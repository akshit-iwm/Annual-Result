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575e4d39951aa7/Deepesh/"/>
    </mc:Choice>
  </mc:AlternateContent>
  <xr:revisionPtr revIDLastSave="82" documentId="8_{21692405-E1E7-4F03-BC3F-F0FACCA6BC3C}" xr6:coauthVersionLast="47" xr6:coauthVersionMax="47" xr10:uidLastSave="{E482FBCB-F776-428F-9F26-61589CD06F4B}"/>
  <bookViews>
    <workbookView xWindow="-120" yWindow="-120" windowWidth="20730" windowHeight="110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47" i="1" l="1"/>
  <c r="CO47" i="1" s="1"/>
  <c r="CM47" i="1"/>
  <c r="CN60" i="1"/>
  <c r="CM60" i="1"/>
  <c r="CN151" i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CM151" i="1"/>
  <c r="CL137" i="1"/>
  <c r="CL138" i="1"/>
  <c r="CL142" i="1"/>
  <c r="CL144" i="1"/>
  <c r="CL145" i="1"/>
  <c r="CL148" i="1" s="1"/>
  <c r="CL146" i="1"/>
  <c r="CL147" i="1"/>
  <c r="CL152" i="1"/>
  <c r="CL151" i="1" s="1"/>
  <c r="CL153" i="1"/>
  <c r="CL154" i="1"/>
  <c r="CL158" i="1" s="1"/>
  <c r="CL155" i="1"/>
  <c r="CL156" i="1"/>
  <c r="CL157" i="1"/>
  <c r="CL160" i="1"/>
  <c r="CL183" i="1"/>
  <c r="CL184" i="1"/>
  <c r="CO60" i="1" l="1"/>
  <c r="CP60" i="1" s="1"/>
  <c r="Z13" i="1" l="1"/>
  <c r="W13" i="1"/>
  <c r="AA12" i="1"/>
  <c r="W12" i="1"/>
  <c r="V12" i="1"/>
  <c r="Z11" i="1"/>
  <c r="W8" i="1"/>
  <c r="AA7" i="1"/>
  <c r="AA8" i="1" s="1"/>
  <c r="Z7" i="1"/>
  <c r="Y7" i="1"/>
  <c r="Y13" i="1" s="1"/>
  <c r="X7" i="1"/>
  <c r="X13" i="1" s="1"/>
  <c r="W7" i="1"/>
  <c r="V7" i="1"/>
  <c r="U7" i="1"/>
  <c r="V13" i="1" s="1"/>
  <c r="T7" i="1"/>
  <c r="T13" i="1" s="1"/>
  <c r="S7" i="1"/>
  <c r="S8" i="1" s="1"/>
  <c r="AA6" i="1"/>
  <c r="Z6" i="1"/>
  <c r="Z12" i="1" s="1"/>
  <c r="Y6" i="1"/>
  <c r="Y12" i="1" s="1"/>
  <c r="X6" i="1"/>
  <c r="X12" i="1" s="1"/>
  <c r="W6" i="1"/>
  <c r="V6" i="1"/>
  <c r="U6" i="1"/>
  <c r="U12" i="1" s="1"/>
  <c r="T6" i="1"/>
  <c r="T12" i="1" s="1"/>
  <c r="S6" i="1"/>
  <c r="AA5" i="1"/>
  <c r="Z5" i="1"/>
  <c r="Z8" i="1" s="1"/>
  <c r="Y5" i="1"/>
  <c r="Y11" i="1" s="1"/>
  <c r="X5" i="1"/>
  <c r="W5" i="1"/>
  <c r="X11" i="1" s="1"/>
  <c r="U5" i="1"/>
  <c r="U8" i="1" s="1"/>
  <c r="V5" i="1"/>
  <c r="W11" i="1" s="1"/>
  <c r="S5" i="1"/>
  <c r="T5" i="1"/>
  <c r="T8" i="1" s="1"/>
  <c r="T14" i="1" s="1"/>
  <c r="AA14" i="1" l="1"/>
  <c r="U14" i="1"/>
  <c r="AA11" i="1"/>
  <c r="AA13" i="1"/>
  <c r="X8" i="1"/>
  <c r="X14" i="1" s="1"/>
  <c r="T11" i="1"/>
  <c r="Y8" i="1"/>
  <c r="U11" i="1"/>
  <c r="U13" i="1"/>
  <c r="V8" i="1"/>
  <c r="V14" i="1" s="1"/>
  <c r="V11" i="1"/>
  <c r="W14" i="1" l="1"/>
  <c r="Y14" i="1"/>
  <c r="Z14" i="1"/>
  <c r="CL13" i="1" l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CL8" i="1"/>
  <c r="CL14" i="1" s="1"/>
  <c r="CK8" i="1"/>
  <c r="CK14" i="1" s="1"/>
  <c r="CJ8" i="1"/>
  <c r="CJ14" i="1" s="1"/>
  <c r="CI8" i="1"/>
  <c r="CI14" i="1" s="1"/>
  <c r="CH8" i="1"/>
  <c r="CG8" i="1"/>
  <c r="CG14" i="1" s="1"/>
  <c r="CF8" i="1"/>
  <c r="CF14" i="1" s="1"/>
  <c r="CE8" i="1"/>
  <c r="CE14" i="1" s="1"/>
  <c r="CD8" i="1"/>
  <c r="CD14" i="1" s="1"/>
  <c r="CC8" i="1"/>
  <c r="CC14" i="1" s="1"/>
  <c r="CB8" i="1"/>
  <c r="CB14" i="1" s="1"/>
  <c r="CA8" i="1"/>
  <c r="CA14" i="1" s="1"/>
  <c r="BZ8" i="1"/>
  <c r="BY8" i="1"/>
  <c r="BY14" i="1" s="1"/>
  <c r="BX8" i="1"/>
  <c r="BX14" i="1" s="1"/>
  <c r="BW8" i="1"/>
  <c r="BW14" i="1" s="1"/>
  <c r="BV8" i="1"/>
  <c r="BV14" i="1" s="1"/>
  <c r="BU8" i="1"/>
  <c r="BU14" i="1" s="1"/>
  <c r="BT8" i="1"/>
  <c r="BT14" i="1" s="1"/>
  <c r="BS8" i="1"/>
  <c r="BS14" i="1" s="1"/>
  <c r="BR8" i="1"/>
  <c r="BQ8" i="1"/>
  <c r="BQ14" i="1" s="1"/>
  <c r="BP8" i="1"/>
  <c r="BP14" i="1" s="1"/>
  <c r="BO8" i="1"/>
  <c r="BO14" i="1" s="1"/>
  <c r="BN8" i="1"/>
  <c r="BN14" i="1" s="1"/>
  <c r="BM8" i="1"/>
  <c r="BM14" i="1" s="1"/>
  <c r="BL8" i="1"/>
  <c r="BL14" i="1" s="1"/>
  <c r="BK8" i="1"/>
  <c r="BK14" i="1" s="1"/>
  <c r="BJ8" i="1"/>
  <c r="BI8" i="1"/>
  <c r="BI14" i="1" s="1"/>
  <c r="BH8" i="1"/>
  <c r="BH14" i="1" s="1"/>
  <c r="BG8" i="1"/>
  <c r="BG14" i="1" s="1"/>
  <c r="BF8" i="1"/>
  <c r="BF14" i="1" s="1"/>
  <c r="BE8" i="1"/>
  <c r="BD8" i="1"/>
  <c r="BC8" i="1"/>
  <c r="BB8" i="1"/>
  <c r="A1" i="3"/>
  <c r="CM11" i="1" l="1"/>
  <c r="CN11" i="1"/>
  <c r="CM12" i="1"/>
  <c r="CM13" i="1"/>
  <c r="BJ14" i="1"/>
  <c r="BR14" i="1"/>
  <c r="BZ14" i="1"/>
  <c r="CH14" i="1"/>
  <c r="AE67" i="1"/>
  <c r="AD67" i="1"/>
  <c r="AC67" i="1"/>
  <c r="AE55" i="1"/>
  <c r="AD55" i="1"/>
  <c r="AC55" i="1"/>
  <c r="AE45" i="1"/>
  <c r="AD45" i="1"/>
  <c r="AC45" i="1"/>
  <c r="AB45" i="1"/>
  <c r="AA45" i="1"/>
  <c r="AE44" i="1"/>
  <c r="AD44" i="1"/>
  <c r="AC44" i="1"/>
  <c r="AE41" i="1"/>
  <c r="AD41" i="1"/>
  <c r="AC41" i="1"/>
  <c r="AE40" i="1"/>
  <c r="AD40" i="1"/>
  <c r="AC40" i="1"/>
  <c r="AE34" i="1"/>
  <c r="AD34" i="1"/>
  <c r="AC34" i="1"/>
  <c r="AE33" i="1"/>
  <c r="AD33" i="1"/>
  <c r="AC33" i="1"/>
  <c r="AE29" i="1"/>
  <c r="AD29" i="1"/>
  <c r="AC29" i="1"/>
  <c r="AE179" i="1"/>
  <c r="AD179" i="1"/>
  <c r="AC179" i="1"/>
  <c r="AB179" i="1"/>
  <c r="AE175" i="1"/>
  <c r="AD175" i="1"/>
  <c r="AC175" i="1"/>
  <c r="AB175" i="1"/>
  <c r="AE174" i="1"/>
  <c r="AD174" i="1"/>
  <c r="AC174" i="1"/>
  <c r="AB174" i="1"/>
  <c r="AE171" i="1"/>
  <c r="AD171" i="1"/>
  <c r="AC171" i="1"/>
  <c r="AB171" i="1"/>
  <c r="AE170" i="1"/>
  <c r="AD170" i="1"/>
  <c r="AC170" i="1"/>
  <c r="AB170" i="1"/>
  <c r="AE169" i="1"/>
  <c r="AD169" i="1"/>
  <c r="AC169" i="1"/>
  <c r="AB169" i="1"/>
  <c r="AE167" i="1"/>
  <c r="AD167" i="1"/>
  <c r="AC167" i="1"/>
  <c r="AB167" i="1"/>
  <c r="AE163" i="1"/>
  <c r="AD163" i="1"/>
  <c r="AC163" i="1"/>
  <c r="AB163" i="1"/>
  <c r="AE162" i="1"/>
  <c r="AD162" i="1"/>
  <c r="AC162" i="1"/>
  <c r="AB162" i="1"/>
  <c r="AD45" i="2"/>
  <c r="AB88" i="2"/>
  <c r="AC46" i="2"/>
  <c r="AB12" i="2"/>
  <c r="AC16" i="2"/>
  <c r="AB26" i="2"/>
  <c r="AE105" i="2"/>
  <c r="AF96" i="2"/>
  <c r="AG79" i="2"/>
  <c r="AE84" i="2"/>
  <c r="AF74" i="2"/>
  <c r="AB63" i="2"/>
  <c r="AE62" i="2"/>
  <c r="AC47" i="2"/>
  <c r="AB98" i="2"/>
  <c r="AB11" i="2"/>
  <c r="AF56" i="2"/>
  <c r="AG11" i="2"/>
  <c r="AE57" i="2"/>
  <c r="AF34" i="2"/>
  <c r="AG41" i="2"/>
  <c r="AF51" i="2"/>
  <c r="AE11" i="2"/>
  <c r="AG75" i="2"/>
  <c r="AC88" i="2"/>
  <c r="AC35" i="2"/>
  <c r="AC67" i="2"/>
  <c r="AF48" i="2"/>
  <c r="AC12" i="2"/>
  <c r="AF19" i="2"/>
  <c r="AD6" i="2"/>
  <c r="AB52" i="2"/>
  <c r="AC7" i="2"/>
  <c r="AG52" i="2"/>
  <c r="AD25" i="2"/>
  <c r="AE29" i="2"/>
  <c r="AD42" i="2"/>
  <c r="AG12" i="2"/>
  <c r="AB87" i="2"/>
  <c r="AD95" i="2"/>
  <c r="AD99" i="2"/>
  <c r="AG48" i="2"/>
  <c r="AC77" i="2"/>
  <c r="AC9" i="2"/>
  <c r="AE68" i="2"/>
  <c r="AD81" i="2"/>
  <c r="AD28" i="2"/>
  <c r="AB74" i="2"/>
  <c r="AC29" i="2"/>
  <c r="AG74" i="2"/>
  <c r="AD72" i="2"/>
  <c r="AE76" i="2"/>
  <c r="AG85" i="2"/>
  <c r="AB108" i="2"/>
  <c r="AG45" i="2"/>
  <c r="AB93" i="2"/>
  <c r="AC25" i="2"/>
  <c r="AD11" i="2"/>
  <c r="AF95" i="2"/>
  <c r="AB92" i="2"/>
  <c r="AF45" i="2"/>
  <c r="AD9" i="2"/>
  <c r="AB95" i="2"/>
  <c r="AD56" i="2"/>
  <c r="AB104" i="2"/>
  <c r="AG76" i="2"/>
  <c r="AG81" i="2"/>
  <c r="AF24" i="2"/>
  <c r="AE80" i="2"/>
  <c r="AD87" i="2"/>
  <c r="AD20" i="2"/>
  <c r="AB34" i="2"/>
  <c r="AF25" i="2"/>
  <c r="AG34" i="2"/>
  <c r="AF12" i="2"/>
  <c r="AG14" i="2"/>
  <c r="AG8" i="2"/>
  <c r="AC53" i="2"/>
  <c r="AC82" i="2"/>
  <c r="AB66" i="2"/>
  <c r="AE26" i="2"/>
  <c r="AC40" i="2"/>
  <c r="AC85" i="2"/>
  <c r="AC31" i="2"/>
  <c r="AE13" i="2"/>
  <c r="AE48" i="2"/>
  <c r="AE109" i="2"/>
  <c r="AC36" i="2"/>
  <c r="AF85" i="2"/>
  <c r="AB82" i="2"/>
  <c r="AC18" i="2"/>
  <c r="AG66" i="2"/>
  <c r="AE89" i="2"/>
  <c r="AF16" i="2"/>
  <c r="AF20" i="2"/>
  <c r="AD54" i="2"/>
  <c r="AD64" i="2"/>
  <c r="AG43" i="2"/>
  <c r="AE92" i="2"/>
  <c r="AF31" i="2"/>
  <c r="AC96" i="2"/>
  <c r="AD53" i="2"/>
  <c r="AC76" i="2"/>
  <c r="AD51" i="2"/>
  <c r="AC28" i="2"/>
  <c r="AB41" i="2"/>
  <c r="AF53" i="2"/>
  <c r="AF46" i="2"/>
  <c r="AE47" i="2"/>
  <c r="AF28" i="2"/>
  <c r="AB86" i="2"/>
  <c r="AF35" i="2"/>
  <c r="AB5" i="2"/>
  <c r="AF50" i="2"/>
  <c r="AG5" i="2"/>
  <c r="AE51" i="2"/>
  <c r="AF22" i="2"/>
  <c r="AG26" i="2"/>
  <c r="AF36" i="2"/>
  <c r="AG110" i="2"/>
  <c r="AG107" i="2"/>
  <c r="AF93" i="2"/>
  <c r="AF105" i="2"/>
  <c r="AF90" i="2"/>
  <c r="AE21" i="2"/>
  <c r="AG90" i="2"/>
  <c r="AC79" i="2"/>
  <c r="AB44" i="2"/>
  <c r="AD16" i="2"/>
  <c r="AB62" i="2"/>
  <c r="AC17" i="2"/>
  <c r="AG62" i="2"/>
  <c r="AD48" i="2"/>
  <c r="AE52" i="2"/>
  <c r="AD62" i="2"/>
  <c r="AC22" i="2"/>
  <c r="AD110" i="2"/>
  <c r="AG113" i="2"/>
  <c r="AE75" i="2"/>
  <c r="AF55" i="2"/>
  <c r="AF80" i="2"/>
  <c r="AG57" i="2"/>
  <c r="AB25" i="2"/>
  <c r="AF11" i="2"/>
  <c r="AD57" i="2"/>
  <c r="AE12" i="2"/>
  <c r="AC58" i="2"/>
  <c r="AB36" i="2"/>
  <c r="AC43" i="2"/>
  <c r="AB53" i="2"/>
  <c r="AE23" i="2"/>
  <c r="AB113" i="2"/>
  <c r="AE106" i="2"/>
  <c r="AF89" i="2"/>
  <c r="AC70" i="2"/>
  <c r="AC90" i="2"/>
  <c r="AE30" i="2"/>
  <c r="AD46" i="2"/>
  <c r="AC15" i="2"/>
  <c r="AF33" i="2"/>
  <c r="AD79" i="2"/>
  <c r="AE34" i="2"/>
  <c r="AC80" i="2"/>
  <c r="AB83" i="2"/>
  <c r="AF8" i="2"/>
  <c r="AC98" i="2"/>
  <c r="AF7" i="2"/>
  <c r="AB10" i="2"/>
  <c r="AB109" i="2"/>
  <c r="AC44" i="2"/>
  <c r="AB57" i="2"/>
  <c r="AF98" i="2"/>
  <c r="AE20" i="2"/>
  <c r="AC87" i="2"/>
  <c r="AB55" i="2"/>
  <c r="AC73" i="2"/>
  <c r="AD71" i="2"/>
  <c r="AF47" i="2"/>
  <c r="AB111" i="2"/>
  <c r="AF79" i="2"/>
  <c r="AG94" i="2"/>
  <c r="AD78" i="2"/>
  <c r="AC72" i="2"/>
  <c r="AF44" i="2"/>
  <c r="AF99" i="2"/>
  <c r="AC21" i="2"/>
  <c r="AD21" i="2"/>
  <c r="AB32" i="2"/>
  <c r="AB106" i="2"/>
  <c r="AG6" i="2"/>
  <c r="AF73" i="2"/>
  <c r="AC41" i="2"/>
  <c r="AF78" i="2"/>
  <c r="AB91" i="2"/>
  <c r="AB80" i="2"/>
  <c r="AG93" i="2"/>
  <c r="AG58" i="2"/>
  <c r="AD85" i="2"/>
  <c r="AE74" i="2"/>
  <c r="AE32" i="2"/>
  <c r="AB79" i="2"/>
  <c r="AD90" i="2"/>
  <c r="AD105" i="2"/>
  <c r="AE49" i="2"/>
  <c r="AB46" i="2"/>
  <c r="AD13" i="2"/>
  <c r="AC106" i="2"/>
  <c r="AG10" i="2"/>
  <c r="AG44" i="2"/>
  <c r="AG84" i="2"/>
  <c r="AD109" i="2"/>
  <c r="AE18" i="2"/>
  <c r="AD92" i="2"/>
  <c r="AE85" i="2"/>
  <c r="AC104" i="2"/>
  <c r="AE83" i="2"/>
  <c r="AD104" i="2"/>
  <c r="AF5" i="2"/>
  <c r="AB24" i="2"/>
  <c r="AD24" i="2"/>
  <c r="AG60" i="2"/>
  <c r="AF14" i="2"/>
  <c r="AF109" i="2"/>
  <c r="AE33" i="2"/>
  <c r="AF68" i="2"/>
  <c r="AE110" i="2"/>
  <c r="AG82" i="2"/>
  <c r="AE78" i="2"/>
  <c r="AE104" i="2"/>
  <c r="AF94" i="2"/>
  <c r="AG99" i="2"/>
  <c r="AD10" i="2"/>
  <c r="AB56" i="2"/>
  <c r="AC11" i="2"/>
  <c r="AG56" i="2"/>
  <c r="AD33" i="2"/>
  <c r="AE40" i="2"/>
  <c r="AD50" i="2"/>
  <c r="AC10" i="2"/>
  <c r="AG59" i="2"/>
  <c r="AF104" i="2"/>
  <c r="AB105" i="2"/>
  <c r="AE24" i="2"/>
  <c r="AG77" i="2"/>
  <c r="AC89" i="2"/>
  <c r="AF32" i="2"/>
  <c r="AB76" i="2"/>
  <c r="AF21" i="2"/>
  <c r="AD67" i="2"/>
  <c r="AE22" i="2"/>
  <c r="AC68" i="2"/>
  <c r="AB59" i="2"/>
  <c r="AC63" i="2"/>
  <c r="AB73" i="2"/>
  <c r="AG32" i="2"/>
  <c r="AC86" i="2"/>
  <c r="AB13" i="2"/>
  <c r="AD17" i="2"/>
  <c r="AC26" i="2"/>
  <c r="AD91" i="2"/>
  <c r="AB22" i="2"/>
  <c r="AD30" i="2"/>
  <c r="AB17" i="2"/>
  <c r="AF62" i="2"/>
  <c r="AG17" i="2"/>
  <c r="AE63" i="2"/>
  <c r="AF49" i="2"/>
  <c r="AG53" i="2"/>
  <c r="AF63" i="2"/>
  <c r="AC34" i="2"/>
  <c r="AG87" i="2"/>
  <c r="AF113" i="2"/>
  <c r="AB97" i="2"/>
  <c r="AF6" i="2"/>
  <c r="AE58" i="2"/>
  <c r="AC60" i="2"/>
  <c r="AF87" i="2"/>
  <c r="AE36" i="2"/>
  <c r="AB42" i="2"/>
  <c r="AF84" i="2"/>
  <c r="AG42" i="2"/>
  <c r="AD5" i="2"/>
  <c r="AE9" i="2"/>
  <c r="AD19" i="2"/>
  <c r="AE107" i="2"/>
  <c r="AB48" i="2"/>
  <c r="AB45" i="2"/>
  <c r="AE65" i="2"/>
  <c r="AG63" i="2"/>
  <c r="AE87" i="2"/>
  <c r="AD97" i="2"/>
  <c r="AE60" i="2"/>
  <c r="AE88" i="2"/>
  <c r="AC71" i="2"/>
  <c r="AD113" i="2"/>
  <c r="AE42" i="2"/>
  <c r="AF110" i="2"/>
  <c r="AB20" i="2"/>
  <c r="AB99" i="2"/>
  <c r="AD83" i="2"/>
  <c r="AG54" i="2"/>
  <c r="AG33" i="2"/>
  <c r="AC92" i="2"/>
  <c r="AC81" i="2"/>
  <c r="AB43" i="2"/>
  <c r="AB58" i="2"/>
  <c r="AE44" i="2"/>
  <c r="AC5" i="2"/>
  <c r="AG15" i="2"/>
  <c r="AF65" i="2"/>
  <c r="AB14" i="2"/>
  <c r="AC83" i="2"/>
  <c r="AD106" i="2"/>
  <c r="AE50" i="2"/>
  <c r="AC66" i="2"/>
  <c r="AE17" i="2"/>
  <c r="AB64" i="2"/>
  <c r="AC8" i="2"/>
  <c r="AG24" i="2"/>
  <c r="AB75" i="2"/>
  <c r="AB51" i="2"/>
  <c r="AG13" i="2"/>
  <c r="AB60" i="2"/>
  <c r="AE61" i="2"/>
  <c r="AF59" i="2"/>
  <c r="AC24" i="2"/>
  <c r="AF92" i="2"/>
  <c r="AD15" i="2"/>
  <c r="AF106" i="2"/>
  <c r="AE70" i="2"/>
  <c r="AG109" i="2"/>
  <c r="AE6" i="2"/>
  <c r="AC19" i="2"/>
  <c r="AB9" i="2"/>
  <c r="AG18" i="2"/>
  <c r="AC49" i="2"/>
  <c r="AG23" i="2"/>
  <c r="AG22" i="2"/>
  <c r="AG28" i="2"/>
  <c r="AB31" i="2"/>
  <c r="AF15" i="2"/>
  <c r="AD61" i="2"/>
  <c r="AE16" i="2"/>
  <c r="AC62" i="2"/>
  <c r="AB47" i="2"/>
  <c r="AC51" i="2"/>
  <c r="AB61" i="2"/>
  <c r="AG20" i="2"/>
  <c r="AE108" i="2"/>
  <c r="AG111" i="2"/>
  <c r="AB89" i="2"/>
  <c r="AE43" i="2"/>
  <c r="AD31" i="2"/>
  <c r="AB35" i="2"/>
  <c r="AE99" i="2"/>
  <c r="AG9" i="2"/>
  <c r="AB27" i="2"/>
  <c r="AF72" i="2"/>
  <c r="AG27" i="2"/>
  <c r="AE73" i="2"/>
  <c r="AF69" i="2"/>
  <c r="AG73" i="2"/>
  <c r="AF83" i="2"/>
  <c r="AE46" i="2"/>
  <c r="AF107" i="2"/>
  <c r="AB29" i="2"/>
  <c r="AF41" i="2"/>
  <c r="AC93" i="2"/>
  <c r="AG19" i="2"/>
  <c r="AF67" i="2"/>
  <c r="AF54" i="2"/>
  <c r="AD22" i="2"/>
  <c r="AB68" i="2"/>
  <c r="AC23" i="2"/>
  <c r="AG68" i="2"/>
  <c r="AD60" i="2"/>
  <c r="AE64" i="2"/>
  <c r="AD74" i="2"/>
  <c r="AG47" i="2"/>
  <c r="AB96" i="2"/>
  <c r="AB112" i="2"/>
  <c r="AD107" i="2"/>
  <c r="AD84" i="2"/>
  <c r="AC97" i="2"/>
  <c r="AE81" i="2"/>
  <c r="AG16" i="2"/>
  <c r="AE71" i="2"/>
  <c r="AD47" i="2"/>
  <c r="AB90" i="2"/>
  <c r="AC48" i="2"/>
  <c r="AB16" i="2"/>
  <c r="AC20" i="2"/>
  <c r="AB30" i="2"/>
  <c r="AC14" i="2"/>
  <c r="AF58" i="2"/>
  <c r="AD66" i="2"/>
  <c r="AD8" i="2"/>
  <c r="AB8" i="2"/>
  <c r="AC94" i="2"/>
  <c r="AC109" i="2"/>
  <c r="AE55" i="2"/>
  <c r="AF111" i="2"/>
  <c r="AC59" i="2"/>
  <c r="AB110" i="2"/>
  <c r="AD70" i="2"/>
  <c r="AB67" i="2"/>
  <c r="AE7" i="2"/>
  <c r="AE45" i="2"/>
  <c r="AB81" i="2"/>
  <c r="AD35" i="2"/>
  <c r="AE54" i="2"/>
  <c r="AG89" i="2"/>
  <c r="AD108" i="2"/>
  <c r="AF81" i="2"/>
  <c r="AG112" i="2"/>
  <c r="AD12" i="2"/>
  <c r="AD40" i="2"/>
  <c r="AF29" i="2"/>
  <c r="AB69" i="2"/>
  <c r="AC30" i="2"/>
  <c r="AD58" i="2"/>
  <c r="AD93" i="2"/>
  <c r="AD18" i="2"/>
  <c r="AG46" i="2"/>
  <c r="AF13" i="2"/>
  <c r="AG70" i="2"/>
  <c r="AB84" i="2"/>
  <c r="AE97" i="2"/>
  <c r="AE8" i="2"/>
  <c r="AD63" i="2"/>
  <c r="AB65" i="2"/>
  <c r="AB54" i="2"/>
  <c r="AE10" i="2"/>
  <c r="AD36" i="2"/>
  <c r="AE19" i="2"/>
  <c r="AG31" i="2"/>
  <c r="AF82" i="2"/>
  <c r="AD89" i="2"/>
  <c r="AG29" i="2"/>
  <c r="AB23" i="2"/>
  <c r="AF61" i="2"/>
  <c r="AF75" i="2"/>
  <c r="AD75" i="2"/>
  <c r="AC56" i="2"/>
  <c r="AB15" i="2"/>
  <c r="AG69" i="2"/>
  <c r="AB21" i="2"/>
  <c r="AF66" i="2"/>
  <c r="AG21" i="2"/>
  <c r="AE67" i="2"/>
  <c r="AF57" i="2"/>
  <c r="AG61" i="2"/>
  <c r="AF71" i="2"/>
  <c r="AE31" i="2"/>
  <c r="AG83" i="2"/>
  <c r="AD98" i="2"/>
  <c r="AD96" i="2"/>
  <c r="AC54" i="2"/>
  <c r="AG86" i="2"/>
  <c r="AB70" i="2"/>
  <c r="AG51" i="2"/>
  <c r="AG25" i="2"/>
  <c r="AD32" i="2"/>
  <c r="AB78" i="2"/>
  <c r="AC33" i="2"/>
  <c r="AG78" i="2"/>
  <c r="AD80" i="2"/>
  <c r="AB6" i="2"/>
  <c r="AC91" i="2"/>
  <c r="AC61" i="2"/>
  <c r="AE94" i="2"/>
  <c r="AD34" i="2"/>
  <c r="AD52" i="2"/>
  <c r="AG97" i="2"/>
  <c r="AG35" i="2"/>
  <c r="AG108" i="2"/>
  <c r="AD65" i="2"/>
  <c r="AF27" i="2"/>
  <c r="AD73" i="2"/>
  <c r="AE28" i="2"/>
  <c r="AC74" i="2"/>
  <c r="AB71" i="2"/>
  <c r="AC75" i="2"/>
  <c r="AB85" i="2"/>
  <c r="AE66" i="2"/>
  <c r="AC107" i="2"/>
  <c r="AG92" i="2"/>
  <c r="AF23" i="2"/>
  <c r="AE56" i="2"/>
  <c r="AD43" i="2"/>
  <c r="AF18" i="2"/>
  <c r="AG67" i="2"/>
  <c r="AB7" i="2"/>
  <c r="AF52" i="2"/>
  <c r="AG7" i="2"/>
  <c r="AE53" i="2"/>
  <c r="AF26" i="2"/>
  <c r="AG30" i="2"/>
  <c r="AF43" i="2"/>
  <c r="AE35" i="2"/>
  <c r="AD69" i="2"/>
  <c r="AB77" i="2"/>
  <c r="AB19" i="2"/>
  <c r="AD29" i="2"/>
  <c r="AC6" i="2"/>
  <c r="AD14" i="2"/>
  <c r="AB50" i="2"/>
  <c r="AF9" i="2"/>
  <c r="AD23" i="2"/>
  <c r="AF60" i="2"/>
  <c r="AG104" i="2"/>
  <c r="AE25" i="2"/>
  <c r="AC113" i="2"/>
  <c r="AD86" i="2"/>
  <c r="AB107" i="2"/>
  <c r="AC99" i="2"/>
  <c r="AC110" i="2"/>
  <c r="AC84" i="2"/>
  <c r="AF86" i="2"/>
  <c r="AE79" i="2"/>
  <c r="AG98" i="2"/>
  <c r="AD49" i="2"/>
  <c r="AF91" i="2"/>
  <c r="AG49" i="2"/>
  <c r="AD77" i="2"/>
  <c r="AF97" i="2"/>
  <c r="AD41" i="2"/>
  <c r="AB18" i="2"/>
  <c r="AE93" i="2"/>
  <c r="AG91" i="2"/>
  <c r="AC64" i="2"/>
  <c r="AG50" i="2"/>
  <c r="AE96" i="2"/>
  <c r="AB49" i="2"/>
  <c r="AB40" i="2"/>
  <c r="AE5" i="2"/>
  <c r="AE111" i="2" s="1"/>
  <c r="AG88" i="2"/>
  <c r="AD88" i="2"/>
  <c r="AE86" i="2"/>
  <c r="AE69" i="2"/>
  <c r="AB94" i="2"/>
  <c r="AE77" i="2"/>
  <c r="AD44" i="2"/>
  <c r="AD26" i="2"/>
  <c r="AB72" i="2"/>
  <c r="AC27" i="2"/>
  <c r="AG72" i="2"/>
  <c r="AD68" i="2"/>
  <c r="AE72" i="2"/>
  <c r="AD82" i="2"/>
  <c r="AC45" i="2"/>
  <c r="AD94" i="2"/>
  <c r="AC95" i="2"/>
  <c r="AC65" i="2"/>
  <c r="AG64" i="2"/>
  <c r="AC108" i="2"/>
  <c r="AE14" i="2"/>
  <c r="AC105" i="2"/>
  <c r="AC50" i="2"/>
  <c r="AF40" i="2"/>
  <c r="AE41" i="2"/>
  <c r="AG96" i="2"/>
  <c r="AF112" i="2"/>
  <c r="AF42" i="2"/>
  <c r="AB33" i="2"/>
  <c r="AD7" i="2"/>
  <c r="AD59" i="2"/>
  <c r="AC13" i="2"/>
  <c r="AG71" i="2"/>
  <c r="AE27" i="2"/>
  <c r="AD55" i="2"/>
  <c r="AF77" i="2"/>
  <c r="AE112" i="2"/>
  <c r="AC78" i="2"/>
  <c r="AG55" i="2"/>
  <c r="AG80" i="2"/>
  <c r="AE91" i="2"/>
  <c r="AF88" i="2"/>
  <c r="AD27" i="2"/>
  <c r="AC57" i="2"/>
  <c r="AE90" i="2"/>
  <c r="AC42" i="2"/>
  <c r="AE98" i="2"/>
  <c r="AF64" i="2"/>
  <c r="AF17" i="2"/>
  <c r="AC55" i="2"/>
  <c r="AE113" i="2"/>
  <c r="AE82" i="2"/>
  <c r="AG95" i="2"/>
  <c r="AF76" i="2"/>
  <c r="AC69" i="2"/>
  <c r="AE95" i="2"/>
  <c r="AG40" i="2"/>
  <c r="AB28" i="2"/>
  <c r="AC52" i="2"/>
  <c r="AF108" i="2"/>
  <c r="AC32" i="2"/>
  <c r="AG106" i="2"/>
  <c r="AE15" i="2"/>
  <c r="AG65" i="2"/>
  <c r="AE59" i="2"/>
  <c r="AG36" i="2"/>
  <c r="AF70" i="2"/>
  <c r="AF10" i="2"/>
  <c r="AD76" i="2"/>
  <c r="AG105" i="2"/>
  <c r="AF30" i="2"/>
  <c r="AD112" i="2"/>
  <c r="AD111" i="2"/>
  <c r="AC111" i="2"/>
  <c r="AC112" i="2"/>
  <c r="CO11" i="1" l="1"/>
  <c r="CP11" i="1" s="1"/>
  <c r="CP5" i="1" s="1"/>
  <c r="CO12" i="1"/>
  <c r="CM7" i="1"/>
  <c r="CN12" i="1"/>
  <c r="CO5" i="1"/>
  <c r="CN13" i="1"/>
  <c r="CM6" i="1"/>
  <c r="CN5" i="1"/>
  <c r="CM5" i="1"/>
  <c r="CG172" i="1"/>
  <c r="CQ11" i="1" l="1"/>
  <c r="CQ5" i="1" s="1"/>
  <c r="CN7" i="1"/>
  <c r="CO6" i="1"/>
  <c r="AB5" i="1"/>
  <c r="CM8" i="1"/>
  <c r="CN6" i="1"/>
  <c r="CN8" i="1" s="1"/>
  <c r="CP12" i="1"/>
  <c r="CQ12" i="1" s="1"/>
  <c r="CR11" i="1"/>
  <c r="CR5" i="1" s="1"/>
  <c r="CO13" i="1"/>
  <c r="AB6" i="1"/>
  <c r="AB12" i="1" s="1"/>
  <c r="CG143" i="1"/>
  <c r="AL156" i="1"/>
  <c r="AJ156" i="1"/>
  <c r="AP156" i="1"/>
  <c r="AN156" i="1"/>
  <c r="AT156" i="1"/>
  <c r="AR156" i="1"/>
  <c r="AX156" i="1"/>
  <c r="AV156" i="1"/>
  <c r="BB156" i="1"/>
  <c r="AZ156" i="1"/>
  <c r="BF156" i="1"/>
  <c r="BD156" i="1"/>
  <c r="BJ156" i="1"/>
  <c r="BH156" i="1"/>
  <c r="BN156" i="1"/>
  <c r="BL156" i="1"/>
  <c r="BR156" i="1"/>
  <c r="BP156" i="1"/>
  <c r="BV156" i="1"/>
  <c r="BT156" i="1"/>
  <c r="BZ156" i="1"/>
  <c r="BX156" i="1"/>
  <c r="CD156" i="1"/>
  <c r="CB156" i="1"/>
  <c r="CJ156" i="1"/>
  <c r="CH172" i="1"/>
  <c r="CF15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CQ6" i="1" l="1"/>
  <c r="CR12" i="1"/>
  <c r="AB11" i="1"/>
  <c r="CO7" i="1"/>
  <c r="CP13" i="1"/>
  <c r="CS11" i="1"/>
  <c r="CQ13" i="1"/>
  <c r="CP6" i="1"/>
  <c r="B1" i="9"/>
  <c r="A1" i="9"/>
  <c r="L1" i="9"/>
  <c r="CR6" i="1" l="1"/>
  <c r="AC6" i="1" s="1"/>
  <c r="AC12" i="1" s="1"/>
  <c r="CS12" i="1"/>
  <c r="CS6" i="1" s="1"/>
  <c r="CS5" i="1"/>
  <c r="CT11" i="1"/>
  <c r="CQ7" i="1"/>
  <c r="CP7" i="1"/>
  <c r="CP8" i="1" s="1"/>
  <c r="CR13" i="1"/>
  <c r="CS13" i="1" s="1"/>
  <c r="CS7" i="1" s="1"/>
  <c r="AB7" i="1"/>
  <c r="CO8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Z259" i="1"/>
  <c r="CT12" i="1" l="1"/>
  <c r="CT6" i="1" s="1"/>
  <c r="AB13" i="1"/>
  <c r="AB8" i="1"/>
  <c r="AB14" i="1" s="1"/>
  <c r="CR7" i="1"/>
  <c r="CT13" i="1"/>
  <c r="CT7" i="1" s="1"/>
  <c r="CT5" i="1"/>
  <c r="CU11" i="1"/>
  <c r="CS8" i="1"/>
  <c r="AC5" i="1"/>
  <c r="CQ8" i="1"/>
  <c r="CM156" i="1"/>
  <c r="CN156" i="1" s="1"/>
  <c r="CO156" i="1" s="1"/>
  <c r="AA156" i="1"/>
  <c r="CI259" i="1"/>
  <c r="CG259" i="1"/>
  <c r="CH259" i="1"/>
  <c r="AB193" i="1"/>
  <c r="AC193" i="1"/>
  <c r="AD193" i="1"/>
  <c r="AE193" i="1"/>
  <c r="CE259" i="1"/>
  <c r="CF259" i="1"/>
  <c r="AI229" i="1"/>
  <c r="AI259" i="1"/>
  <c r="Y259" i="1"/>
  <c r="CD259" i="1"/>
  <c r="CC259" i="1"/>
  <c r="AJ259" i="1"/>
  <c r="AK259" i="1"/>
  <c r="AL259" i="1"/>
  <c r="AA193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C1" i="1"/>
  <c r="CU12" i="1" l="1"/>
  <c r="CU5" i="1"/>
  <c r="CV11" i="1"/>
  <c r="CT8" i="1"/>
  <c r="AC11" i="1"/>
  <c r="CR8" i="1"/>
  <c r="CU13" i="1"/>
  <c r="CV13" i="1" s="1"/>
  <c r="CV7" i="1" s="1"/>
  <c r="AC7" i="1"/>
  <c r="AC13" i="1" s="1"/>
  <c r="CP156" i="1"/>
  <c r="CQ156" i="1" s="1"/>
  <c r="CR156" i="1" s="1"/>
  <c r="CS156" i="1" s="1"/>
  <c r="AB156" i="1"/>
  <c r="BM42" i="3"/>
  <c r="BE20" i="3"/>
  <c r="BR37" i="3"/>
  <c r="BH33" i="3"/>
  <c r="BQ38" i="3"/>
  <c r="BN41" i="3"/>
  <c r="BO10" i="3"/>
  <c r="BU34" i="3"/>
  <c r="BP25" i="3"/>
  <c r="BG18" i="3"/>
  <c r="BN27" i="3"/>
  <c r="CU6" i="1" l="1"/>
  <c r="CV12" i="1"/>
  <c r="CV5" i="1"/>
  <c r="CW11" i="1"/>
  <c r="CW5" i="1" s="1"/>
  <c r="AC8" i="1"/>
  <c r="AC14" i="1" s="1"/>
  <c r="CU7" i="1"/>
  <c r="CW13" i="1"/>
  <c r="CT156" i="1"/>
  <c r="CU156" i="1" s="1"/>
  <c r="CV156" i="1" s="1"/>
  <c r="CW156" i="1" s="1"/>
  <c r="AC156" i="1"/>
  <c r="A1" i="6"/>
  <c r="A1" i="4"/>
  <c r="CW12" i="1" l="1"/>
  <c r="CV6" i="1"/>
  <c r="CW7" i="1"/>
  <c r="CU8" i="1"/>
  <c r="CV8" i="1"/>
  <c r="CX13" i="1"/>
  <c r="CX11" i="1"/>
  <c r="CX5" i="1" s="1"/>
  <c r="AD5" i="1"/>
  <c r="CX156" i="1"/>
  <c r="CY156" i="1" s="1"/>
  <c r="CZ156" i="1" s="1"/>
  <c r="DA156" i="1" s="1"/>
  <c r="AE156" i="1" s="1"/>
  <c r="AD156" i="1"/>
  <c r="BQ1" i="1"/>
  <c r="BR1" i="1" s="1"/>
  <c r="BS1" i="1" s="1"/>
  <c r="BT1" i="1" s="1"/>
  <c r="Z53" i="2"/>
  <c r="Y59" i="2"/>
  <c r="Y10" i="2"/>
  <c r="Z66" i="2"/>
  <c r="Z22" i="2"/>
  <c r="H5" i="2"/>
  <c r="K30" i="2"/>
  <c r="P22" i="2"/>
  <c r="D19" i="2"/>
  <c r="P8" i="2"/>
  <c r="Y86" i="2"/>
  <c r="Z110" i="2"/>
  <c r="Y11" i="2"/>
  <c r="AA78" i="2"/>
  <c r="AA17" i="2"/>
  <c r="O8" i="2"/>
  <c r="V5" i="2"/>
  <c r="I13" i="2"/>
  <c r="R17" i="2"/>
  <c r="I26" i="2"/>
  <c r="Y41" i="2"/>
  <c r="AA46" i="2"/>
  <c r="Y107" i="2"/>
  <c r="AA99" i="2"/>
  <c r="Y15" i="2"/>
  <c r="O30" i="2"/>
  <c r="E9" i="2"/>
  <c r="C22" i="2"/>
  <c r="L7" i="2"/>
  <c r="R14" i="2"/>
  <c r="Q11" i="2"/>
  <c r="V12" i="2"/>
  <c r="V31" i="2"/>
  <c r="F17" i="2"/>
  <c r="AA70" i="2"/>
  <c r="Z88" i="2"/>
  <c r="Z72" i="2"/>
  <c r="AA93" i="2"/>
  <c r="AA14" i="2"/>
  <c r="U15" i="2"/>
  <c r="T20" i="2"/>
  <c r="K33" i="2"/>
  <c r="U13" i="2"/>
  <c r="M25" i="2"/>
  <c r="G7" i="2"/>
  <c r="M28" i="2"/>
  <c r="S32" i="2"/>
  <c r="P25" i="2"/>
  <c r="L26" i="2"/>
  <c r="X31" i="2"/>
  <c r="Y14" i="2"/>
  <c r="AA98" i="2"/>
  <c r="S19" i="2"/>
  <c r="E12" i="2"/>
  <c r="C15" i="2"/>
  <c r="K36" i="2"/>
  <c r="Q36" i="2"/>
  <c r="W26" i="2"/>
  <c r="G14" i="2"/>
  <c r="J28" i="2"/>
  <c r="V23" i="2"/>
  <c r="AA15" i="2"/>
  <c r="Z51" i="2"/>
  <c r="D10" i="2"/>
  <c r="D11" i="2"/>
  <c r="H35" i="2"/>
  <c r="W31" i="2"/>
  <c r="R9" i="2"/>
  <c r="G6" i="2"/>
  <c r="G27" i="2"/>
  <c r="S24" i="2"/>
  <c r="W34" i="2"/>
  <c r="P21" i="2"/>
  <c r="AA33" i="2"/>
  <c r="Z108" i="2"/>
  <c r="Z95" i="2"/>
  <c r="I16" i="2"/>
  <c r="U18" i="2"/>
  <c r="K28" i="2"/>
  <c r="U35" i="2"/>
  <c r="I11" i="2"/>
  <c r="I29" i="2"/>
  <c r="P18" i="2"/>
  <c r="T5" i="2"/>
  <c r="F29" i="2"/>
  <c r="U31" i="2"/>
  <c r="AA60" i="2"/>
  <c r="X5" i="2"/>
  <c r="E11" i="2"/>
  <c r="AA73" i="2"/>
  <c r="Y106" i="2"/>
  <c r="R6" i="2"/>
  <c r="D13" i="2"/>
  <c r="T10" i="2"/>
  <c r="D20" i="2"/>
  <c r="W18" i="2"/>
  <c r="X35" i="2"/>
  <c r="Q56" i="2"/>
  <c r="P30" i="2"/>
  <c r="W6" i="2"/>
  <c r="Z33" i="2"/>
  <c r="E27" i="2"/>
  <c r="W29" i="2"/>
  <c r="H22" i="2"/>
  <c r="R32" i="2"/>
  <c r="W74" i="2"/>
  <c r="AA31" i="2"/>
  <c r="AA23" i="2"/>
  <c r="O27" i="2"/>
  <c r="V33" i="2"/>
  <c r="H18" i="2"/>
  <c r="H23" i="2"/>
  <c r="R8" i="2"/>
  <c r="M32" i="2"/>
  <c r="J21" i="2"/>
  <c r="W46" i="2"/>
  <c r="W9" i="2"/>
  <c r="Y105" i="2"/>
  <c r="X15" i="2"/>
  <c r="H49" i="2"/>
  <c r="AA83" i="2"/>
  <c r="V25" i="2"/>
  <c r="J12" i="2"/>
  <c r="L17" i="2"/>
  <c r="O34" i="2"/>
  <c r="J20" i="2"/>
  <c r="P24" i="2"/>
  <c r="D47" i="2"/>
  <c r="L10" i="2"/>
  <c r="Q69" i="2"/>
  <c r="Q19" i="2"/>
  <c r="X21" i="2"/>
  <c r="Q34" i="2"/>
  <c r="S8" i="2"/>
  <c r="X23" i="2"/>
  <c r="S15" i="2"/>
  <c r="U33" i="2"/>
  <c r="G26" i="2"/>
  <c r="H30" i="2"/>
  <c r="C8" i="2"/>
  <c r="Y50" i="2"/>
  <c r="Q13" i="2"/>
  <c r="L22" i="2"/>
  <c r="M16" i="2"/>
  <c r="W13" i="2"/>
  <c r="Z106" i="2"/>
  <c r="O10" i="2"/>
  <c r="V18" i="2"/>
  <c r="AA61" i="2"/>
  <c r="Z69" i="2"/>
  <c r="S5" i="2"/>
  <c r="J29" i="2"/>
  <c r="M22" i="2"/>
  <c r="Q24" i="2"/>
  <c r="H33" i="2"/>
  <c r="AA32" i="2"/>
  <c r="W16" i="2"/>
  <c r="X20" i="2"/>
  <c r="C32" i="2"/>
  <c r="D36" i="2"/>
  <c r="M7" i="2"/>
  <c r="W32" i="2"/>
  <c r="P15" i="2"/>
  <c r="Z64" i="2"/>
  <c r="Z52" i="2"/>
  <c r="T14" i="2"/>
  <c r="AA91" i="2"/>
  <c r="Z67" i="2"/>
  <c r="K20" i="2"/>
  <c r="Q55" i="2"/>
  <c r="Z83" i="2"/>
  <c r="AA104" i="2"/>
  <c r="Y52" i="2"/>
  <c r="Y32" i="2"/>
  <c r="Y108" i="2"/>
  <c r="K10" i="2"/>
  <c r="L13" i="2"/>
  <c r="C9" i="2"/>
  <c r="J30" i="2"/>
  <c r="U20" i="2"/>
  <c r="Y72" i="2"/>
  <c r="Y34" i="2"/>
  <c r="Y93" i="2"/>
  <c r="AA85" i="2"/>
  <c r="Y5" i="2"/>
  <c r="Y111" i="2" s="1"/>
  <c r="S11" i="2"/>
  <c r="M14" i="2"/>
  <c r="P23" i="2"/>
  <c r="J18" i="2"/>
  <c r="U16" i="2"/>
  <c r="AA19" i="2"/>
  <c r="AA63" i="2"/>
  <c r="Y89" i="2"/>
  <c r="Z6" i="2"/>
  <c r="K11" i="2"/>
  <c r="P17" i="2"/>
  <c r="H19" i="2"/>
  <c r="T11" i="2"/>
  <c r="G11" i="2"/>
  <c r="V29" i="2"/>
  <c r="E35" i="2"/>
  <c r="I8" i="2"/>
  <c r="D34" i="2"/>
  <c r="Q30" i="2"/>
  <c r="Z9" i="2"/>
  <c r="Y84" i="2"/>
  <c r="AA25" i="2"/>
  <c r="Z76" i="2"/>
  <c r="AA65" i="2"/>
  <c r="H24" i="2"/>
  <c r="J24" i="2"/>
  <c r="D31" i="2"/>
  <c r="D32" i="2"/>
  <c r="L25" i="2"/>
  <c r="M6" i="2"/>
  <c r="E10" i="2"/>
  <c r="O24" i="2"/>
  <c r="G32" i="2"/>
  <c r="G24" i="2"/>
  <c r="Q14" i="2"/>
  <c r="AA55" i="2"/>
  <c r="AA105" i="2"/>
  <c r="G16" i="2"/>
  <c r="C31" i="2"/>
  <c r="W20" i="2"/>
  <c r="F25" i="2"/>
  <c r="G21" i="2"/>
  <c r="N5" i="2"/>
  <c r="X22" i="2"/>
  <c r="D18" i="2"/>
  <c r="E36" i="2"/>
  <c r="Y55" i="2"/>
  <c r="Y67" i="2"/>
  <c r="R25" i="2"/>
  <c r="U30" i="2"/>
  <c r="H6" i="2"/>
  <c r="G35" i="2"/>
  <c r="R16" i="2"/>
  <c r="L23" i="2"/>
  <c r="E6" i="2"/>
  <c r="C29" i="2"/>
  <c r="X92" i="2"/>
  <c r="K16" i="2"/>
  <c r="Y40" i="2"/>
  <c r="Z10" i="2"/>
  <c r="U25" i="2"/>
  <c r="D35" i="2"/>
  <c r="Q25" i="2"/>
  <c r="J10" i="2"/>
  <c r="S9" i="2"/>
  <c r="O9" i="2"/>
  <c r="H8" i="2"/>
  <c r="Q8" i="2"/>
  <c r="O19" i="2"/>
  <c r="L24" i="2"/>
  <c r="E18" i="2"/>
  <c r="Y76" i="2"/>
  <c r="D12" i="2"/>
  <c r="I18" i="2"/>
  <c r="AA44" i="2"/>
  <c r="Y16" i="2"/>
  <c r="C14" i="2"/>
  <c r="D5" i="2"/>
  <c r="L12" i="2"/>
  <c r="K8" i="2"/>
  <c r="T13" i="2"/>
  <c r="U9" i="2"/>
  <c r="P7" i="2"/>
  <c r="W70" i="2"/>
  <c r="Y80" i="2"/>
  <c r="Z30" i="2"/>
  <c r="X25" i="2"/>
  <c r="O6" i="2"/>
  <c r="L5" i="2"/>
  <c r="R15" i="2"/>
  <c r="M12" i="2"/>
  <c r="AA80" i="2"/>
  <c r="Y99" i="2"/>
  <c r="K26" i="2"/>
  <c r="I15" i="2"/>
  <c r="M26" i="2"/>
  <c r="U23" i="2"/>
  <c r="N35" i="2"/>
  <c r="X7" i="2"/>
  <c r="W10" i="2"/>
  <c r="V15" i="2"/>
  <c r="AA64" i="2"/>
  <c r="Z91" i="2"/>
  <c r="J32" i="2"/>
  <c r="N13" i="2"/>
  <c r="N29" i="2"/>
  <c r="J7" i="2"/>
  <c r="G12" i="2"/>
  <c r="W12" i="2"/>
  <c r="V14" i="2"/>
  <c r="K9" i="2"/>
  <c r="N27" i="2"/>
  <c r="T15" i="2"/>
  <c r="P19" i="2"/>
  <c r="W24" i="2"/>
  <c r="R7" i="2"/>
  <c r="N8" i="2"/>
  <c r="AA75" i="2"/>
  <c r="Q26" i="2"/>
  <c r="D27" i="2"/>
  <c r="P35" i="2"/>
  <c r="C30" i="2"/>
  <c r="T26" i="2"/>
  <c r="U6" i="2"/>
  <c r="Y61" i="2"/>
  <c r="L34" i="2"/>
  <c r="E24" i="2"/>
  <c r="M36" i="2"/>
  <c r="AA18" i="2"/>
  <c r="T34" i="2"/>
  <c r="Z29" i="2"/>
  <c r="F11" i="2"/>
  <c r="AA86" i="2"/>
  <c r="Y42" i="2"/>
  <c r="L16" i="2"/>
  <c r="Z77" i="2"/>
  <c r="Z47" i="2"/>
  <c r="X11" i="2"/>
  <c r="P29" i="2"/>
  <c r="Y110" i="2"/>
  <c r="Z70" i="2"/>
  <c r="T23" i="2"/>
  <c r="U7" i="2"/>
  <c r="Y81" i="2"/>
  <c r="J26" i="2"/>
  <c r="V26" i="2"/>
  <c r="M30" i="2"/>
  <c r="AA89" i="2"/>
  <c r="F12" i="2"/>
  <c r="Z74" i="2"/>
  <c r="X9" i="2"/>
  <c r="AA50" i="2"/>
  <c r="E15" i="2"/>
  <c r="T18" i="2"/>
  <c r="Z42" i="2"/>
  <c r="G36" i="2"/>
  <c r="Q31" i="2"/>
  <c r="AA67" i="2"/>
  <c r="O28" i="2"/>
  <c r="K18" i="2"/>
  <c r="S35" i="2"/>
  <c r="I28" i="2"/>
  <c r="Y23" i="2"/>
  <c r="AA41" i="2"/>
  <c r="AA21" i="2"/>
  <c r="Y71" i="2"/>
  <c r="Q18" i="2"/>
  <c r="Z82" i="2"/>
  <c r="C33" i="2"/>
  <c r="AA26" i="2"/>
  <c r="AA97" i="2"/>
  <c r="Q5" i="2"/>
  <c r="R36" i="2"/>
  <c r="F13" i="2"/>
  <c r="AA95" i="2"/>
  <c r="D8" i="2"/>
  <c r="P28" i="2"/>
  <c r="E19" i="2"/>
  <c r="M27" i="2"/>
  <c r="Y83" i="2"/>
  <c r="O25" i="2"/>
  <c r="G31" i="2"/>
  <c r="Z34" i="2"/>
  <c r="C27" i="2"/>
  <c r="E34" i="2"/>
  <c r="V17" i="2"/>
  <c r="J9" i="2"/>
  <c r="Q7" i="2"/>
  <c r="Z107" i="2"/>
  <c r="Y98" i="2"/>
  <c r="AA12" i="2"/>
  <c r="Y25" i="2"/>
  <c r="H17" i="2"/>
  <c r="X10" i="2"/>
  <c r="R5" i="2"/>
  <c r="M10" i="2"/>
  <c r="M33" i="2"/>
  <c r="F8" i="2"/>
  <c r="Z56" i="2"/>
  <c r="Y30" i="2"/>
  <c r="Y29" i="2"/>
  <c r="Y65" i="2"/>
  <c r="Z50" i="2"/>
  <c r="I12" i="2"/>
  <c r="E13" i="2"/>
  <c r="C28" i="2"/>
  <c r="N36" i="2"/>
  <c r="E8" i="2"/>
  <c r="AA109" i="2"/>
  <c r="Z43" i="2"/>
  <c r="Z5" i="2"/>
  <c r="AA49" i="2"/>
  <c r="U32" i="2"/>
  <c r="I35" i="2"/>
  <c r="W8" i="2"/>
  <c r="U17" i="2"/>
  <c r="Q9" i="2"/>
  <c r="W19" i="2"/>
  <c r="N23" i="2"/>
  <c r="M24" i="2"/>
  <c r="H26" i="2"/>
  <c r="L18" i="2"/>
  <c r="Z17" i="2"/>
  <c r="Y109" i="2"/>
  <c r="Y54" i="2"/>
  <c r="AA76" i="2"/>
  <c r="Y70" i="2"/>
  <c r="C18" i="2"/>
  <c r="E22" i="2"/>
  <c r="J6" i="2"/>
  <c r="J33" i="2"/>
  <c r="G28" i="2"/>
  <c r="D17" i="2"/>
  <c r="G8" i="2"/>
  <c r="X34" i="2"/>
  <c r="E7" i="2"/>
  <c r="W14" i="2"/>
  <c r="Q6" i="2"/>
  <c r="Z46" i="2"/>
  <c r="Z112" i="2"/>
  <c r="X24" i="2"/>
  <c r="R34" i="2"/>
  <c r="N30" i="2"/>
  <c r="I25" i="2"/>
  <c r="F89" i="2"/>
  <c r="T36" i="2"/>
  <c r="M34" i="2"/>
  <c r="J23" i="2"/>
  <c r="O12" i="2"/>
  <c r="AA48" i="2"/>
  <c r="Z44" i="2"/>
  <c r="C36" i="2"/>
  <c r="V10" i="2"/>
  <c r="S7" i="2"/>
  <c r="X29" i="2"/>
  <c r="N22" i="2"/>
  <c r="T17" i="2"/>
  <c r="R19" i="2"/>
  <c r="Q29" i="2"/>
  <c r="S6" i="2"/>
  <c r="H13" i="2"/>
  <c r="Z78" i="2"/>
  <c r="AA29" i="2"/>
  <c r="K14" i="2"/>
  <c r="T25" i="2"/>
  <c r="P10" i="2"/>
  <c r="J19" i="2"/>
  <c r="M35" i="2"/>
  <c r="M18" i="2"/>
  <c r="X41" i="2"/>
  <c r="I22" i="2"/>
  <c r="T21" i="2"/>
  <c r="S12" i="2"/>
  <c r="M29" i="2"/>
  <c r="AA59" i="2"/>
  <c r="P13" i="2"/>
  <c r="D21" i="2"/>
  <c r="Y46" i="2"/>
  <c r="AA10" i="2"/>
  <c r="F14" i="2"/>
  <c r="R18" i="2"/>
  <c r="S22" i="2"/>
  <c r="H9" i="2"/>
  <c r="K13" i="2"/>
  <c r="X66" i="2"/>
  <c r="L21" i="2"/>
  <c r="H21" i="2"/>
  <c r="AA81" i="2"/>
  <c r="Y91" i="2"/>
  <c r="R54" i="2"/>
  <c r="J35" i="2"/>
  <c r="H10" i="2"/>
  <c r="Z98" i="2"/>
  <c r="C34" i="2"/>
  <c r="Y7" i="2"/>
  <c r="L15" i="2"/>
  <c r="C25" i="2"/>
  <c r="X19" i="2"/>
  <c r="Y53" i="2"/>
  <c r="O31" i="2"/>
  <c r="P26" i="2"/>
  <c r="I21" i="2"/>
  <c r="W28" i="2"/>
  <c r="X26" i="2"/>
  <c r="P11" i="2"/>
  <c r="Z7" i="2"/>
  <c r="H11" i="2"/>
  <c r="Y104" i="2"/>
  <c r="F32" i="2"/>
  <c r="U11" i="2"/>
  <c r="AA77" i="2"/>
  <c r="Y94" i="2"/>
  <c r="O11" i="2"/>
  <c r="Y13" i="2"/>
  <c r="W5" i="2"/>
  <c r="G10" i="2"/>
  <c r="F30" i="2"/>
  <c r="C20" i="2"/>
  <c r="H32" i="2"/>
  <c r="Z55" i="2"/>
  <c r="K6" i="2"/>
  <c r="X28" i="2"/>
  <c r="M11" i="2"/>
  <c r="Y20" i="2"/>
  <c r="N26" i="2"/>
  <c r="AA106" i="2"/>
  <c r="V7" i="2"/>
  <c r="N21" i="2"/>
  <c r="W25" i="2"/>
  <c r="F26" i="2"/>
  <c r="E20" i="2"/>
  <c r="Z23" i="2"/>
  <c r="S28" i="2"/>
  <c r="K29" i="2"/>
  <c r="Z61" i="2"/>
  <c r="I33" i="2"/>
  <c r="AA74" i="2"/>
  <c r="V11" i="2"/>
  <c r="T22" i="2"/>
  <c r="O17" i="2"/>
  <c r="T6" i="2"/>
  <c r="V8" i="2"/>
  <c r="Z45" i="2"/>
  <c r="T7" i="2"/>
  <c r="O7" i="2"/>
  <c r="AA5" i="2"/>
  <c r="O20" i="2"/>
  <c r="AA112" i="2"/>
  <c r="U5" i="2"/>
  <c r="L20" i="2"/>
  <c r="P6" i="2"/>
  <c r="I20" i="2"/>
  <c r="Y28" i="2"/>
  <c r="G19" i="2"/>
  <c r="R35" i="2"/>
  <c r="Q28" i="2"/>
  <c r="N7" i="2"/>
  <c r="O18" i="2"/>
  <c r="Z19" i="2"/>
  <c r="Y48" i="2"/>
  <c r="E14" i="2"/>
  <c r="F5" i="2"/>
  <c r="Y88" i="2"/>
  <c r="Z59" i="2"/>
  <c r="Y74" i="2"/>
  <c r="Z96" i="2"/>
  <c r="C11" i="2"/>
  <c r="L11" i="2"/>
  <c r="P20" i="2"/>
  <c r="E33" i="2"/>
  <c r="T29" i="2"/>
  <c r="U14" i="2"/>
  <c r="Z40" i="2"/>
  <c r="AA87" i="2"/>
  <c r="Z65" i="2"/>
  <c r="AA62" i="2"/>
  <c r="I23" i="2"/>
  <c r="R23" i="2"/>
  <c r="I9" i="2"/>
  <c r="R27" i="2"/>
  <c r="Q12" i="2"/>
  <c r="AA58" i="2"/>
  <c r="AA34" i="2"/>
  <c r="Y63" i="2"/>
  <c r="Z97" i="2"/>
  <c r="Z57" i="2"/>
  <c r="U22" i="2"/>
  <c r="Q78" i="2"/>
  <c r="M23" i="2"/>
  <c r="C12" i="2"/>
  <c r="I10" i="2"/>
  <c r="L33" i="2"/>
  <c r="U29" i="2"/>
  <c r="S30" i="2"/>
  <c r="J14" i="2"/>
  <c r="H27" i="2"/>
  <c r="AA92" i="2"/>
  <c r="Y17" i="2"/>
  <c r="AA16" i="2"/>
  <c r="Y9" i="2"/>
  <c r="E32" i="2"/>
  <c r="E29" i="2"/>
  <c r="F28" i="2"/>
  <c r="T24" i="2"/>
  <c r="G18" i="2"/>
  <c r="U19" i="2"/>
  <c r="L9" i="2"/>
  <c r="D26" i="2"/>
  <c r="G33" i="2"/>
  <c r="S36" i="2"/>
  <c r="G22" i="2"/>
  <c r="AA107" i="2"/>
  <c r="Z54" i="2"/>
  <c r="AA22" i="2"/>
  <c r="T27" i="2"/>
  <c r="U12" i="2"/>
  <c r="G34" i="2"/>
  <c r="Q17" i="2"/>
  <c r="X14" i="2"/>
  <c r="W27" i="2"/>
  <c r="S14" i="2"/>
  <c r="K23" i="2"/>
  <c r="Z81" i="2"/>
  <c r="Z25" i="2"/>
  <c r="Y79" i="2"/>
  <c r="T35" i="2"/>
  <c r="S33" i="2"/>
  <c r="V35" i="2"/>
  <c r="S13" i="2"/>
  <c r="C13" i="2"/>
  <c r="F36" i="2"/>
  <c r="Q10" i="2"/>
  <c r="Z13" i="2"/>
  <c r="O15" i="2"/>
  <c r="N16" i="2"/>
  <c r="X6" i="2"/>
  <c r="Z15" i="2"/>
  <c r="O35" i="2"/>
  <c r="T12" i="2"/>
  <c r="G5" i="2"/>
  <c r="V21" i="2"/>
  <c r="Q35" i="2"/>
  <c r="K15" i="2"/>
  <c r="P33" i="2"/>
  <c r="M9" i="2"/>
  <c r="I34" i="2"/>
  <c r="C17" i="2"/>
  <c r="O21" i="2"/>
  <c r="Y26" i="2"/>
  <c r="C10" i="2"/>
  <c r="T16" i="2"/>
  <c r="Z99" i="2"/>
  <c r="AA108" i="2"/>
  <c r="S34" i="2"/>
  <c r="E23" i="2"/>
  <c r="N34" i="2"/>
  <c r="D30" i="2"/>
  <c r="S26" i="2"/>
  <c r="R28" i="2"/>
  <c r="L31" i="2"/>
  <c r="F33" i="2"/>
  <c r="Y57" i="2"/>
  <c r="Z8" i="2"/>
  <c r="N19" i="2"/>
  <c r="F7" i="2"/>
  <c r="P9" i="2"/>
  <c r="H54" i="2"/>
  <c r="Y66" i="2"/>
  <c r="D6" i="2"/>
  <c r="AA53" i="2"/>
  <c r="L14" i="2"/>
  <c r="Y56" i="2"/>
  <c r="Z41" i="2"/>
  <c r="E30" i="2"/>
  <c r="G9" i="2"/>
  <c r="M20" i="2"/>
  <c r="N18" i="2"/>
  <c r="Q15" i="2"/>
  <c r="V19" i="2"/>
  <c r="Q22" i="2"/>
  <c r="E45" i="2"/>
  <c r="I17" i="2"/>
  <c r="X12" i="2"/>
  <c r="P27" i="2"/>
  <c r="F21" i="2"/>
  <c r="AA11" i="2"/>
  <c r="N11" i="2"/>
  <c r="M15" i="2"/>
  <c r="K27" i="2"/>
  <c r="Q21" i="2"/>
  <c r="Y47" i="2"/>
  <c r="T30" i="2"/>
  <c r="Z113" i="2"/>
  <c r="W15" i="2"/>
  <c r="S31" i="2"/>
  <c r="Y112" i="2"/>
  <c r="X13" i="2"/>
  <c r="AA69" i="2"/>
  <c r="Q58" i="2"/>
  <c r="K34" i="2"/>
  <c r="AA45" i="2"/>
  <c r="S21" i="2"/>
  <c r="Q46" i="2"/>
  <c r="F10" i="2"/>
  <c r="Q23" i="2"/>
  <c r="G23" i="2"/>
  <c r="D14" i="2"/>
  <c r="P5" i="2"/>
  <c r="P31" i="2"/>
  <c r="Z20" i="2"/>
  <c r="Z105" i="2"/>
  <c r="L6" i="2"/>
  <c r="Z75" i="2"/>
  <c r="Z68" i="2"/>
  <c r="V16" i="2"/>
  <c r="H16" i="2"/>
  <c r="I30" i="2"/>
  <c r="Y12" i="2"/>
  <c r="X33" i="2"/>
  <c r="J34" i="2"/>
  <c r="E16" i="2"/>
  <c r="F35" i="2"/>
  <c r="O29" i="2"/>
  <c r="Z48" i="2"/>
  <c r="D25" i="2"/>
  <c r="H29" i="2"/>
  <c r="J13" i="2"/>
  <c r="Z104" i="2"/>
  <c r="AA90" i="2"/>
  <c r="AA57" i="2"/>
  <c r="AA96" i="2"/>
  <c r="D29" i="2"/>
  <c r="G17" i="2"/>
  <c r="M17" i="2"/>
  <c r="N20" i="2"/>
  <c r="E17" i="2"/>
  <c r="I31" i="2"/>
  <c r="Z62" i="2"/>
  <c r="AA24" i="2"/>
  <c r="Y31" i="2"/>
  <c r="AA6" i="2"/>
  <c r="Q54" i="2"/>
  <c r="Q59" i="2"/>
  <c r="J25" i="2"/>
  <c r="V34" i="2"/>
  <c r="K35" i="2"/>
  <c r="Y90" i="2"/>
  <c r="AA28" i="2"/>
  <c r="Z36" i="2"/>
  <c r="Y96" i="2"/>
  <c r="AA84" i="2"/>
  <c r="O22" i="2"/>
  <c r="P34" i="2"/>
  <c r="E28" i="2"/>
  <c r="F34" i="2"/>
  <c r="J27" i="2"/>
  <c r="P36" i="2"/>
  <c r="H20" i="2"/>
  <c r="F9" i="2"/>
  <c r="X32" i="2"/>
  <c r="Y22" i="2"/>
  <c r="AA110" i="2"/>
  <c r="Z49" i="2"/>
  <c r="Z73" i="2"/>
  <c r="Z21" i="2"/>
  <c r="R33" i="2"/>
  <c r="I24" i="2"/>
  <c r="D15" i="2"/>
  <c r="U21" i="2"/>
  <c r="R20" i="2"/>
  <c r="N32" i="2"/>
  <c r="X63" i="2"/>
  <c r="J15" i="2"/>
  <c r="W22" i="2"/>
  <c r="V22" i="2"/>
  <c r="V13" i="2"/>
  <c r="AA13" i="2"/>
  <c r="AA56" i="2"/>
  <c r="Z60" i="2"/>
  <c r="O33" i="2"/>
  <c r="K43" i="2"/>
  <c r="S17" i="2"/>
  <c r="D23" i="2"/>
  <c r="H12" i="2"/>
  <c r="N12" i="2"/>
  <c r="K12" i="2"/>
  <c r="X27" i="2"/>
  <c r="Y85" i="2"/>
  <c r="Z92" i="2"/>
  <c r="AA66" i="2"/>
  <c r="Q33" i="2"/>
  <c r="F22" i="2"/>
  <c r="I36" i="2"/>
  <c r="E31" i="2"/>
  <c r="R30" i="2"/>
  <c r="K22" i="2"/>
  <c r="K7" i="2"/>
  <c r="Y60" i="2"/>
  <c r="C6" i="2"/>
  <c r="R26" i="2"/>
  <c r="Y78" i="2"/>
  <c r="AA71" i="2"/>
  <c r="D24" i="2"/>
  <c r="M5" i="2"/>
  <c r="U28" i="2"/>
  <c r="F15" i="2"/>
  <c r="O26" i="2"/>
  <c r="O14" i="2"/>
  <c r="C65" i="2"/>
  <c r="C26" i="2"/>
  <c r="N17" i="2"/>
  <c r="E26" i="2"/>
  <c r="V30" i="2"/>
  <c r="AA68" i="2"/>
  <c r="K31" i="2"/>
  <c r="Y6" i="2"/>
  <c r="Y45" i="2"/>
  <c r="Z71" i="2"/>
  <c r="U27" i="2"/>
  <c r="J11" i="2"/>
  <c r="L27" i="2"/>
  <c r="G13" i="2"/>
  <c r="K21" i="2"/>
  <c r="T32" i="2"/>
  <c r="T28" i="2"/>
  <c r="Y69" i="2"/>
  <c r="Y64" i="2"/>
  <c r="E25" i="2"/>
  <c r="U10" i="2"/>
  <c r="AA88" i="2"/>
  <c r="L19" i="2"/>
  <c r="AA27" i="2"/>
  <c r="I7" i="2"/>
  <c r="E21" i="2"/>
  <c r="C4" i="2"/>
  <c r="Y21" i="2"/>
  <c r="R24" i="2"/>
  <c r="N14" i="2"/>
  <c r="Y24" i="2"/>
  <c r="R10" i="2"/>
  <c r="W11" i="2"/>
  <c r="N10" i="2"/>
  <c r="I5" i="2"/>
  <c r="AA42" i="2"/>
  <c r="Z87" i="2"/>
  <c r="H28" i="2"/>
  <c r="R21" i="2"/>
  <c r="Z14" i="2"/>
  <c r="Y43" i="2"/>
  <c r="K24" i="2"/>
  <c r="AA79" i="2"/>
  <c r="N33" i="2"/>
  <c r="W23" i="2"/>
  <c r="M21" i="2"/>
  <c r="F27" i="2"/>
  <c r="S20" i="2"/>
  <c r="J8" i="2"/>
  <c r="H31" i="2"/>
  <c r="H99" i="2"/>
  <c r="H14" i="2"/>
  <c r="O36" i="2"/>
  <c r="I14" i="2"/>
  <c r="T9" i="2"/>
  <c r="H36" i="2"/>
  <c r="Y58" i="2"/>
  <c r="L36" i="2"/>
  <c r="V32" i="2"/>
  <c r="K19" i="2"/>
  <c r="D7" i="2"/>
  <c r="Z35" i="2"/>
  <c r="Y36" i="2"/>
  <c r="Z12" i="2"/>
  <c r="V6" i="2"/>
  <c r="Y27" i="2"/>
  <c r="I32" i="2"/>
  <c r="W17" i="2"/>
  <c r="G25" i="2"/>
  <c r="V24" i="2"/>
  <c r="O16" i="2"/>
  <c r="N15" i="2"/>
  <c r="Y51" i="2"/>
  <c r="Y87" i="2"/>
  <c r="Z109" i="2"/>
  <c r="Z11" i="2"/>
  <c r="K17" i="2"/>
  <c r="S27" i="2"/>
  <c r="J17" i="2"/>
  <c r="V27" i="2"/>
  <c r="V36" i="2"/>
  <c r="Z93" i="2"/>
  <c r="Z90" i="2"/>
  <c r="Y35" i="2"/>
  <c r="Z24" i="2"/>
  <c r="Z28" i="2"/>
  <c r="G30" i="2"/>
  <c r="J5" i="2"/>
  <c r="L29" i="2"/>
  <c r="K25" i="2"/>
  <c r="X8" i="2"/>
  <c r="O23" i="2"/>
  <c r="Q20" i="2"/>
  <c r="C23" i="2"/>
  <c r="R22" i="2"/>
  <c r="Y19" i="2"/>
  <c r="Y92" i="2"/>
  <c r="Y8" i="2"/>
  <c r="AA54" i="2"/>
  <c r="Z32" i="2"/>
  <c r="V9" i="2"/>
  <c r="Q16" i="2"/>
  <c r="O5" i="2"/>
  <c r="G20" i="2"/>
  <c r="J36" i="2"/>
  <c r="U34" i="2"/>
  <c r="N9" i="2"/>
  <c r="U26" i="2"/>
  <c r="M31" i="2"/>
  <c r="D33" i="2"/>
  <c r="P32" i="2"/>
  <c r="AA94" i="2"/>
  <c r="AA9" i="2"/>
  <c r="AA72" i="2"/>
  <c r="S18" i="2"/>
  <c r="H34" i="2"/>
  <c r="Q27" i="2"/>
  <c r="C21" i="2"/>
  <c r="P16" i="2"/>
  <c r="Q57" i="2"/>
  <c r="L35" i="2"/>
  <c r="I27" i="2"/>
  <c r="Y75" i="2"/>
  <c r="Z86" i="2"/>
  <c r="Y73" i="2"/>
  <c r="C7" i="2"/>
  <c r="F20" i="2"/>
  <c r="F16" i="2"/>
  <c r="D9" i="2"/>
  <c r="U8" i="2"/>
  <c r="I6" i="2"/>
  <c r="P14" i="2"/>
  <c r="Y68" i="2"/>
  <c r="K5" i="2"/>
  <c r="Z27" i="2"/>
  <c r="Y49" i="2"/>
  <c r="Z31" i="2"/>
  <c r="W36" i="2"/>
  <c r="N24" i="2"/>
  <c r="H25" i="2"/>
  <c r="T8" i="2"/>
  <c r="K87" i="2"/>
  <c r="V20" i="2"/>
  <c r="K59" i="2"/>
  <c r="F18" i="2"/>
  <c r="I19" i="2"/>
  <c r="T19" i="2"/>
  <c r="L28" i="2"/>
  <c r="Y95" i="2"/>
  <c r="R13" i="2"/>
  <c r="Y97" i="2"/>
  <c r="AA52" i="2"/>
  <c r="Y18" i="2"/>
  <c r="C19" i="2"/>
  <c r="R31" i="2"/>
  <c r="S62" i="2"/>
  <c r="Q32" i="2"/>
  <c r="L32" i="2"/>
  <c r="S29" i="2"/>
  <c r="K32" i="2"/>
  <c r="AA51" i="2"/>
  <c r="AA7" i="2"/>
  <c r="Y77" i="2"/>
  <c r="X16" i="2"/>
  <c r="C59" i="2"/>
  <c r="S25" i="2"/>
  <c r="R12" i="2"/>
  <c r="Z18" i="2"/>
  <c r="F31" i="2"/>
  <c r="W35" i="2"/>
  <c r="S16" i="2"/>
  <c r="D28" i="2"/>
  <c r="Z94" i="2"/>
  <c r="T31" i="2"/>
  <c r="E5" i="2"/>
  <c r="Z63" i="2"/>
  <c r="Z89" i="2"/>
  <c r="W7" i="2"/>
  <c r="U24" i="2"/>
  <c r="S10" i="2"/>
  <c r="P12" i="2"/>
  <c r="AA47" i="2"/>
  <c r="J31" i="2"/>
  <c r="V28" i="2"/>
  <c r="AA30" i="2"/>
  <c r="W21" i="2"/>
  <c r="Z58" i="2"/>
  <c r="C35" i="2"/>
  <c r="X17" i="2"/>
  <c r="N6" i="2"/>
  <c r="H7" i="2"/>
  <c r="Z85" i="2"/>
  <c r="Y62" i="2"/>
  <c r="Z84" i="2"/>
  <c r="Z26" i="2"/>
  <c r="AA36" i="2"/>
  <c r="L30" i="2"/>
  <c r="X30" i="2"/>
  <c r="F24" i="2"/>
  <c r="M8" i="2"/>
  <c r="M19" i="2"/>
  <c r="AA43" i="2"/>
  <c r="Z16" i="2"/>
  <c r="AA35" i="2"/>
  <c r="W33" i="2"/>
  <c r="T33" i="2"/>
  <c r="F75" i="2"/>
  <c r="AA8" i="2"/>
  <c r="C5" i="2"/>
  <c r="Y33" i="2"/>
  <c r="AA20" i="2"/>
  <c r="G15" i="2"/>
  <c r="D22" i="2"/>
  <c r="G29" i="2"/>
  <c r="X36" i="2"/>
  <c r="C16" i="2"/>
  <c r="F19" i="2"/>
  <c r="P69" i="2"/>
  <c r="J22" i="2"/>
  <c r="R11" i="2"/>
  <c r="F6" i="2"/>
  <c r="AA40" i="2"/>
  <c r="U36" i="2"/>
  <c r="Z80" i="2"/>
  <c r="F23" i="2"/>
  <c r="J16" i="2"/>
  <c r="Y44" i="2"/>
  <c r="X18" i="2"/>
  <c r="W30" i="2"/>
  <c r="AA82" i="2"/>
  <c r="O32" i="2"/>
  <c r="N31" i="2"/>
  <c r="Y82" i="2"/>
  <c r="S23" i="2"/>
  <c r="N28" i="2"/>
  <c r="Z79" i="2"/>
  <c r="O13" i="2"/>
  <c r="R29" i="2"/>
  <c r="C24" i="2"/>
  <c r="D16" i="2"/>
  <c r="L8" i="2"/>
  <c r="N25" i="2"/>
  <c r="H15" i="2"/>
  <c r="M13" i="2"/>
  <c r="CY11" i="1" l="1"/>
  <c r="CZ11" i="1" s="1"/>
  <c r="CZ5" i="1" s="1"/>
  <c r="AD6" i="1"/>
  <c r="AD12" i="1" s="1"/>
  <c r="CW6" i="1"/>
  <c r="CW8" i="1" s="1"/>
  <c r="CX12" i="1"/>
  <c r="CX6" i="1" s="1"/>
  <c r="CX8" i="1" s="1"/>
  <c r="CX7" i="1"/>
  <c r="CY13" i="1"/>
  <c r="CY7" i="1" s="1"/>
  <c r="DA11" i="1"/>
  <c r="DA5" i="1" s="1"/>
  <c r="CY5" i="1"/>
  <c r="AD7" i="1"/>
  <c r="AD13" i="1" s="1"/>
  <c r="AD11" i="1"/>
  <c r="CZ13" i="1"/>
  <c r="CZ7" i="1" s="1"/>
  <c r="L65" i="1"/>
  <c r="J41" i="1"/>
  <c r="L35" i="1"/>
  <c r="E66" i="1"/>
  <c r="P67" i="1"/>
  <c r="I55" i="1"/>
  <c r="P29" i="1"/>
  <c r="L33" i="1"/>
  <c r="B67" i="1"/>
  <c r="C41" i="1"/>
  <c r="F35" i="1"/>
  <c r="D142" i="1"/>
  <c r="C56" i="1"/>
  <c r="G33" i="1"/>
  <c r="T66" i="1"/>
  <c r="O59" i="1"/>
  <c r="O42" i="1"/>
  <c r="P28" i="1"/>
  <c r="M52" i="1"/>
  <c r="M33" i="1"/>
  <c r="I35" i="1"/>
  <c r="M56" i="1"/>
  <c r="Q71" i="1"/>
  <c r="O41" i="1"/>
  <c r="P43" i="1"/>
  <c r="E35" i="1"/>
  <c r="U59" i="1"/>
  <c r="O43" i="1"/>
  <c r="K71" i="1"/>
  <c r="V59" i="1"/>
  <c r="M41" i="1"/>
  <c r="E55" i="1"/>
  <c r="R55" i="1"/>
  <c r="J65" i="1"/>
  <c r="J29" i="1"/>
  <c r="J35" i="1"/>
  <c r="J45" i="1"/>
  <c r="M40" i="1"/>
  <c r="R43" i="1"/>
  <c r="O65" i="1"/>
  <c r="L67" i="1"/>
  <c r="Q45" i="1"/>
  <c r="M28" i="1"/>
  <c r="U40" i="1"/>
  <c r="D41" i="1"/>
  <c r="O66" i="1"/>
  <c r="D28" i="1"/>
  <c r="I67" i="1"/>
  <c r="G183" i="1"/>
  <c r="O29" i="1"/>
  <c r="W137" i="1"/>
  <c r="F52" i="1"/>
  <c r="V43" i="1"/>
  <c r="V22" i="1" s="1"/>
  <c r="F43" i="1"/>
  <c r="H42" i="1"/>
  <c r="P147" i="1"/>
  <c r="C29" i="1"/>
  <c r="U43" i="1"/>
  <c r="U22" i="1" s="1"/>
  <c r="Q35" i="1"/>
  <c r="H67" i="1"/>
  <c r="G65" i="1"/>
  <c r="E28" i="1"/>
  <c r="N40" i="1"/>
  <c r="H28" i="1"/>
  <c r="P175" i="1"/>
  <c r="U44" i="1"/>
  <c r="P42" i="1"/>
  <c r="O71" i="1"/>
  <c r="S45" i="1"/>
  <c r="R67" i="1"/>
  <c r="Q33" i="1"/>
  <c r="M35" i="1"/>
  <c r="C66" i="1"/>
  <c r="G52" i="1"/>
  <c r="E65" i="1"/>
  <c r="S65" i="1"/>
  <c r="V52" i="1"/>
  <c r="K41" i="1"/>
  <c r="C52" i="1"/>
  <c r="G41" i="1"/>
  <c r="O45" i="1"/>
  <c r="N43" i="1"/>
  <c r="P59" i="1"/>
  <c r="S44" i="1"/>
  <c r="B56" i="1"/>
  <c r="G173" i="1"/>
  <c r="D29" i="1"/>
  <c r="E44" i="1"/>
  <c r="J42" i="1"/>
  <c r="K55" i="1"/>
  <c r="H44" i="1"/>
  <c r="O35" i="1"/>
  <c r="F65" i="1"/>
  <c r="N35" i="1"/>
  <c r="B44" i="1"/>
  <c r="L41" i="1"/>
  <c r="F28" i="1"/>
  <c r="O56" i="1"/>
  <c r="M71" i="1"/>
  <c r="L42" i="1"/>
  <c r="T33" i="1"/>
  <c r="R35" i="1"/>
  <c r="W71" i="1"/>
  <c r="E40" i="1"/>
  <c r="G43" i="1"/>
  <c r="B71" i="1"/>
  <c r="N67" i="1"/>
  <c r="L59" i="1"/>
  <c r="W65" i="1"/>
  <c r="H33" i="1"/>
  <c r="E45" i="1"/>
  <c r="L40" i="1"/>
  <c r="I43" i="1"/>
  <c r="E67" i="1"/>
  <c r="P55" i="1"/>
  <c r="S43" i="1"/>
  <c r="S22" i="1" s="1"/>
  <c r="D56" i="1"/>
  <c r="L52" i="1"/>
  <c r="K65" i="1"/>
  <c r="F66" i="1"/>
  <c r="Q59" i="1"/>
  <c r="G35" i="1"/>
  <c r="V33" i="1"/>
  <c r="B40" i="1"/>
  <c r="W43" i="1"/>
  <c r="W22" i="1" s="1"/>
  <c r="W45" i="1"/>
  <c r="R65" i="1"/>
  <c r="N33" i="1"/>
  <c r="I29" i="1"/>
  <c r="U55" i="1"/>
  <c r="H45" i="1"/>
  <c r="J40" i="1"/>
  <c r="P71" i="1"/>
  <c r="N29" i="1"/>
  <c r="B55" i="1"/>
  <c r="Q42" i="1"/>
  <c r="S40" i="1"/>
  <c r="L71" i="1"/>
  <c r="K43" i="1"/>
  <c r="R59" i="1"/>
  <c r="M44" i="1"/>
  <c r="V41" i="1"/>
  <c r="V65" i="1"/>
  <c r="I42" i="1"/>
  <c r="U42" i="1"/>
  <c r="U20" i="1" s="1"/>
  <c r="O67" i="1"/>
  <c r="Q65" i="1"/>
  <c r="T71" i="1"/>
  <c r="V40" i="1"/>
  <c r="W40" i="1"/>
  <c r="U56" i="1"/>
  <c r="E59" i="1"/>
  <c r="U35" i="1"/>
  <c r="H43" i="1"/>
  <c r="R71" i="1"/>
  <c r="P65" i="1"/>
  <c r="C55" i="1"/>
  <c r="T29" i="1"/>
  <c r="G40" i="1"/>
  <c r="B52" i="1"/>
  <c r="F40" i="1"/>
  <c r="B65" i="1"/>
  <c r="R40" i="1"/>
  <c r="P44" i="1"/>
  <c r="S42" i="1"/>
  <c r="S20" i="1" s="1"/>
  <c r="H41" i="1"/>
  <c r="N45" i="1"/>
  <c r="F67" i="1"/>
  <c r="C59" i="1"/>
  <c r="E42" i="1"/>
  <c r="W67" i="1"/>
  <c r="H56" i="1"/>
  <c r="W33" i="1"/>
  <c r="G67" i="1"/>
  <c r="T67" i="1"/>
  <c r="H52" i="1"/>
  <c r="F71" i="1"/>
  <c r="E56" i="1"/>
  <c r="W152" i="1"/>
  <c r="M55" i="1"/>
  <c r="I65" i="1"/>
  <c r="I45" i="1"/>
  <c r="D71" i="1"/>
  <c r="U45" i="1"/>
  <c r="V29" i="1"/>
  <c r="D33" i="1"/>
  <c r="C44" i="1"/>
  <c r="P33" i="1"/>
  <c r="C144" i="1"/>
  <c r="W35" i="1"/>
  <c r="L28" i="1"/>
  <c r="B66" i="1"/>
  <c r="R56" i="1"/>
  <c r="F45" i="1"/>
  <c r="F29" i="1"/>
  <c r="W29" i="1"/>
  <c r="W41" i="1"/>
  <c r="W52" i="1"/>
  <c r="S41" i="1"/>
  <c r="O28" i="1"/>
  <c r="N55" i="1"/>
  <c r="P52" i="1"/>
  <c r="W42" i="1"/>
  <c r="W20" i="1" s="1"/>
  <c r="R42" i="1"/>
  <c r="E33" i="1"/>
  <c r="M43" i="1"/>
  <c r="M42" i="1"/>
  <c r="D42" i="1"/>
  <c r="R44" i="1"/>
  <c r="U66" i="1"/>
  <c r="K66" i="1"/>
  <c r="K52" i="1"/>
  <c r="G56" i="1"/>
  <c r="M65" i="1"/>
  <c r="V45" i="1"/>
  <c r="U71" i="1"/>
  <c r="T43" i="1"/>
  <c r="T22" i="1" s="1"/>
  <c r="P45" i="1"/>
  <c r="T45" i="1"/>
  <c r="U67" i="1"/>
  <c r="Q29" i="1"/>
  <c r="R29" i="1"/>
  <c r="M59" i="1"/>
  <c r="Q43" i="1"/>
  <c r="O33" i="1"/>
  <c r="K56" i="1"/>
  <c r="S28" i="1"/>
  <c r="S251" i="1" s="1"/>
  <c r="G28" i="1"/>
  <c r="L56" i="1"/>
  <c r="S59" i="1"/>
  <c r="H66" i="1"/>
  <c r="G42" i="1"/>
  <c r="D59" i="1"/>
  <c r="J55" i="1"/>
  <c r="V55" i="1"/>
  <c r="L45" i="1"/>
  <c r="K35" i="1"/>
  <c r="G71" i="1"/>
  <c r="B42" i="1"/>
  <c r="I52" i="1"/>
  <c r="E179" i="1"/>
  <c r="V56" i="1"/>
  <c r="D44" i="1"/>
  <c r="P56" i="1"/>
  <c r="L29" i="1"/>
  <c r="J71" i="1"/>
  <c r="S67" i="1"/>
  <c r="N41" i="1"/>
  <c r="Q40" i="1"/>
  <c r="E41" i="1"/>
  <c r="F41" i="1"/>
  <c r="F33" i="1"/>
  <c r="P35" i="1"/>
  <c r="L66" i="1"/>
  <c r="N56" i="1"/>
  <c r="T41" i="1"/>
  <c r="I66" i="1"/>
  <c r="K29" i="1"/>
  <c r="I59" i="1"/>
  <c r="J52" i="1"/>
  <c r="B28" i="1"/>
  <c r="U29" i="1"/>
  <c r="C65" i="1"/>
  <c r="N65" i="1"/>
  <c r="I41" i="1"/>
  <c r="C45" i="1"/>
  <c r="W66" i="1"/>
  <c r="T40" i="1"/>
  <c r="S55" i="1"/>
  <c r="Q44" i="1"/>
  <c r="K42" i="1"/>
  <c r="S29" i="1"/>
  <c r="J56" i="1"/>
  <c r="J28" i="1"/>
  <c r="J139" i="1"/>
  <c r="V42" i="1"/>
  <c r="V20" i="1" s="1"/>
  <c r="S66" i="1"/>
  <c r="J67" i="1"/>
  <c r="N52" i="1"/>
  <c r="N42" i="1"/>
  <c r="W55" i="1"/>
  <c r="B35" i="1"/>
  <c r="U52" i="1"/>
  <c r="I33" i="1"/>
  <c r="R66" i="1"/>
  <c r="T35" i="1"/>
  <c r="T44" i="1"/>
  <c r="D66" i="1"/>
  <c r="U65" i="1"/>
  <c r="R28" i="1"/>
  <c r="E29" i="1"/>
  <c r="S33" i="1"/>
  <c r="Q52" i="1"/>
  <c r="D55" i="1"/>
  <c r="I28" i="1"/>
  <c r="V35" i="1"/>
  <c r="I71" i="1"/>
  <c r="O55" i="1"/>
  <c r="Q41" i="1"/>
  <c r="S35" i="1"/>
  <c r="T59" i="1"/>
  <c r="J66" i="1"/>
  <c r="H40" i="1"/>
  <c r="G66" i="1"/>
  <c r="T55" i="1"/>
  <c r="N28" i="1"/>
  <c r="K67" i="1"/>
  <c r="P41" i="1"/>
  <c r="S56" i="1"/>
  <c r="C33" i="1"/>
  <c r="D35" i="1"/>
  <c r="P40" i="1"/>
  <c r="V66" i="1"/>
  <c r="F56" i="1"/>
  <c r="G29" i="1"/>
  <c r="O40" i="1"/>
  <c r="V67" i="1"/>
  <c r="L55" i="1"/>
  <c r="I44" i="1"/>
  <c r="L44" i="1"/>
  <c r="C40" i="1"/>
  <c r="C71" i="1"/>
  <c r="C42" i="1"/>
  <c r="I56" i="1"/>
  <c r="E71" i="1"/>
  <c r="G45" i="1"/>
  <c r="D40" i="1"/>
  <c r="K40" i="1"/>
  <c r="K44" i="1"/>
  <c r="T28" i="1"/>
  <c r="C28" i="1"/>
  <c r="F55" i="1"/>
  <c r="L43" i="1"/>
  <c r="J59" i="1"/>
  <c r="U41" i="1"/>
  <c r="B29" i="1"/>
  <c r="R41" i="1"/>
  <c r="H29" i="1"/>
  <c r="G55" i="1"/>
  <c r="C35" i="1"/>
  <c r="M66" i="1"/>
  <c r="K28" i="1"/>
  <c r="K251" i="1" s="1"/>
  <c r="W59" i="1"/>
  <c r="B45" i="1"/>
  <c r="P66" i="1"/>
  <c r="N66" i="1"/>
  <c r="G59" i="1"/>
  <c r="V44" i="1"/>
  <c r="B59" i="1"/>
  <c r="C43" i="1"/>
  <c r="O52" i="1"/>
  <c r="P180" i="1"/>
  <c r="R52" i="1"/>
  <c r="F44" i="1"/>
  <c r="T52" i="1"/>
  <c r="S71" i="1"/>
  <c r="S52" i="1"/>
  <c r="H71" i="1"/>
  <c r="K33" i="1"/>
  <c r="W44" i="1"/>
  <c r="M45" i="1"/>
  <c r="D67" i="1"/>
  <c r="O44" i="1"/>
  <c r="Q55" i="1"/>
  <c r="B41" i="1"/>
  <c r="N59" i="1"/>
  <c r="H35" i="1"/>
  <c r="D43" i="1"/>
  <c r="M67" i="1"/>
  <c r="Q67" i="1"/>
  <c r="Q173" i="1"/>
  <c r="N44" i="1"/>
  <c r="R33" i="1"/>
  <c r="E43" i="1"/>
  <c r="N71" i="1"/>
  <c r="Q56" i="1"/>
  <c r="T42" i="1"/>
  <c r="T20" i="1" s="1"/>
  <c r="F42" i="1"/>
  <c r="M29" i="1"/>
  <c r="H59" i="1"/>
  <c r="W56" i="1"/>
  <c r="F59" i="1"/>
  <c r="U33" i="1"/>
  <c r="K59" i="1"/>
  <c r="B43" i="1"/>
  <c r="J43" i="1"/>
  <c r="R45" i="1"/>
  <c r="K45" i="1"/>
  <c r="H65" i="1"/>
  <c r="V71" i="1"/>
  <c r="D52" i="1"/>
  <c r="J44" i="1"/>
  <c r="C67" i="1"/>
  <c r="Q28" i="1"/>
  <c r="T56" i="1"/>
  <c r="D45" i="1"/>
  <c r="E52" i="1"/>
  <c r="E214" i="1" s="1"/>
  <c r="Q66" i="1"/>
  <c r="T65" i="1"/>
  <c r="P173" i="1"/>
  <c r="P203" i="1" s="1"/>
  <c r="B33" i="1"/>
  <c r="I40" i="1"/>
  <c r="D65" i="1"/>
  <c r="J33" i="1"/>
  <c r="H55" i="1"/>
  <c r="G44" i="1"/>
  <c r="Y191" i="1"/>
  <c r="X93" i="1"/>
  <c r="X42" i="1"/>
  <c r="X20" i="1" s="1"/>
  <c r="Y55" i="1"/>
  <c r="Z184" i="1"/>
  <c r="X191" i="1"/>
  <c r="Y167" i="1"/>
  <c r="X139" i="1"/>
  <c r="Y169" i="1"/>
  <c r="X99" i="1"/>
  <c r="Y138" i="1"/>
  <c r="Y171" i="1"/>
  <c r="X163" i="1"/>
  <c r="Z162" i="1"/>
  <c r="Z43" i="1"/>
  <c r="Z22" i="1" s="1"/>
  <c r="Z52" i="1"/>
  <c r="Z156" i="1"/>
  <c r="CG156" i="1" s="1"/>
  <c r="CH156" i="1" s="1"/>
  <c r="X165" i="1"/>
  <c r="Z44" i="1"/>
  <c r="Y146" i="1"/>
  <c r="Y174" i="1" s="1"/>
  <c r="X41" i="1"/>
  <c r="Y97" i="1"/>
  <c r="Y94" i="1"/>
  <c r="X160" i="1"/>
  <c r="Y145" i="1"/>
  <c r="X153" i="1"/>
  <c r="Z167" i="1"/>
  <c r="CG167" i="1" s="1"/>
  <c r="CH167" i="1" s="1"/>
  <c r="Y65" i="1"/>
  <c r="Y175" i="1"/>
  <c r="X52" i="1"/>
  <c r="Y160" i="1"/>
  <c r="X166" i="1"/>
  <c r="Z183" i="1"/>
  <c r="Y33" i="1"/>
  <c r="Z138" i="1"/>
  <c r="CG138" i="1" s="1"/>
  <c r="CH138" i="1" s="1"/>
  <c r="Y28" i="1"/>
  <c r="Z28" i="1"/>
  <c r="Z99" i="1"/>
  <c r="Z160" i="1"/>
  <c r="Y93" i="1"/>
  <c r="Z164" i="1"/>
  <c r="X56" i="1"/>
  <c r="Z59" i="1"/>
  <c r="X145" i="1"/>
  <c r="Z169" i="1"/>
  <c r="Y164" i="1"/>
  <c r="Y156" i="1"/>
  <c r="X65" i="1"/>
  <c r="Y42" i="1"/>
  <c r="Y20" i="1" s="1"/>
  <c r="X157" i="1"/>
  <c r="Z192" i="1"/>
  <c r="Z190" i="1"/>
  <c r="Y59" i="1"/>
  <c r="Z180" i="1"/>
  <c r="CG180" i="1" s="1"/>
  <c r="Z137" i="1"/>
  <c r="Z67" i="1"/>
  <c r="Y170" i="1"/>
  <c r="Z65" i="1"/>
  <c r="X87" i="1"/>
  <c r="Y66" i="1"/>
  <c r="Z173" i="1"/>
  <c r="Z71" i="1"/>
  <c r="U28" i="1"/>
  <c r="U251" i="1" s="1"/>
  <c r="X97" i="1"/>
  <c r="Z93" i="1"/>
  <c r="Y163" i="1"/>
  <c r="Z175" i="1"/>
  <c r="CG175" i="1" s="1"/>
  <c r="CH175" i="1" s="1"/>
  <c r="Y157" i="1"/>
  <c r="X184" i="1"/>
  <c r="Y99" i="1"/>
  <c r="X173" i="1"/>
  <c r="X98" i="1"/>
  <c r="Z35" i="1"/>
  <c r="Z165" i="1"/>
  <c r="X55" i="1"/>
  <c r="X156" i="1"/>
  <c r="Z157" i="1"/>
  <c r="CG157" i="1" s="1"/>
  <c r="CH157" i="1" s="1"/>
  <c r="Z56" i="1"/>
  <c r="X67" i="1"/>
  <c r="X171" i="1"/>
  <c r="X35" i="1"/>
  <c r="Y155" i="1"/>
  <c r="Y151" i="1" s="1"/>
  <c r="Y162" i="1"/>
  <c r="X66" i="1"/>
  <c r="X192" i="1"/>
  <c r="Z33" i="1"/>
  <c r="X164" i="1"/>
  <c r="Z29" i="1"/>
  <c r="Y142" i="1"/>
  <c r="X71" i="1"/>
  <c r="X33" i="1"/>
  <c r="Z171" i="1"/>
  <c r="CG171" i="1" s="1"/>
  <c r="CH171" i="1" s="1"/>
  <c r="Z142" i="1"/>
  <c r="CG142" i="1" s="1"/>
  <c r="CH142" i="1" s="1"/>
  <c r="Z147" i="1"/>
  <c r="CG147" i="1" s="1"/>
  <c r="CH147" i="1" s="1"/>
  <c r="X169" i="1"/>
  <c r="Z153" i="1"/>
  <c r="CG153" i="1" s="1"/>
  <c r="Z179" i="1"/>
  <c r="Y67" i="1"/>
  <c r="X152" i="1"/>
  <c r="X144" i="1"/>
  <c r="Y35" i="1"/>
  <c r="X142" i="1"/>
  <c r="X183" i="1"/>
  <c r="Y56" i="1"/>
  <c r="Y173" i="1"/>
  <c r="Y183" i="1"/>
  <c r="Y139" i="1"/>
  <c r="X146" i="1"/>
  <c r="X174" i="1" s="1"/>
  <c r="Y29" i="1"/>
  <c r="Y152" i="1"/>
  <c r="X175" i="1"/>
  <c r="X44" i="1"/>
  <c r="Z152" i="1"/>
  <c r="CG152" i="1" s="1"/>
  <c r="X180" i="1"/>
  <c r="Z145" i="1"/>
  <c r="CG145" i="1" s="1"/>
  <c r="CH145" i="1" s="1"/>
  <c r="Z146" i="1"/>
  <c r="CG146" i="1" s="1"/>
  <c r="CH146" i="1" s="1"/>
  <c r="Z41" i="1"/>
  <c r="Z144" i="1"/>
  <c r="Y179" i="1"/>
  <c r="X59" i="1"/>
  <c r="W28" i="1"/>
  <c r="W251" i="1" s="1"/>
  <c r="Y45" i="1"/>
  <c r="Y137" i="1"/>
  <c r="Y41" i="1"/>
  <c r="X167" i="1"/>
  <c r="Y87" i="1"/>
  <c r="Y180" i="1"/>
  <c r="Z42" i="1"/>
  <c r="Z20" i="1" s="1"/>
  <c r="X43" i="1"/>
  <c r="X22" i="1" s="1"/>
  <c r="X138" i="1"/>
  <c r="Z155" i="1"/>
  <c r="CG155" i="1" s="1"/>
  <c r="CH155" i="1" s="1"/>
  <c r="V28" i="1"/>
  <c r="V251" i="1" s="1"/>
  <c r="Z163" i="1"/>
  <c r="CG163" i="1" s="1"/>
  <c r="CH163" i="1" s="1"/>
  <c r="Y166" i="1"/>
  <c r="Z191" i="1"/>
  <c r="Z87" i="1"/>
  <c r="X170" i="1"/>
  <c r="Y165" i="1"/>
  <c r="Z45" i="1"/>
  <c r="Z66" i="1"/>
  <c r="X40" i="1"/>
  <c r="Y44" i="1"/>
  <c r="X137" i="1"/>
  <c r="Y98" i="1"/>
  <c r="Y144" i="1"/>
  <c r="Z97" i="1"/>
  <c r="Y43" i="1"/>
  <c r="Y22" i="1" s="1"/>
  <c r="Y147" i="1"/>
  <c r="Y184" i="1"/>
  <c r="Y153" i="1"/>
  <c r="X179" i="1"/>
  <c r="X162" i="1"/>
  <c r="X29" i="1"/>
  <c r="Y40" i="1"/>
  <c r="Z170" i="1"/>
  <c r="CG170" i="1" s="1"/>
  <c r="CH170" i="1" s="1"/>
  <c r="Z166" i="1"/>
  <c r="CG166" i="1" s="1"/>
  <c r="CH166" i="1" s="1"/>
  <c r="Y192" i="1"/>
  <c r="X155" i="1"/>
  <c r="X151" i="1" s="1"/>
  <c r="X190" i="1"/>
  <c r="Z40" i="1"/>
  <c r="A1" i="1"/>
  <c r="Y190" i="1"/>
  <c r="X147" i="1"/>
  <c r="Z55" i="1"/>
  <c r="X45" i="1"/>
  <c r="Z139" i="1"/>
  <c r="CG139" i="1" s="1"/>
  <c r="Y71" i="1"/>
  <c r="X28" i="1"/>
  <c r="Y52" i="1"/>
  <c r="Z98" i="1"/>
  <c r="BU1" i="1"/>
  <c r="AA111" i="2"/>
  <c r="Y113" i="2"/>
  <c r="Z111" i="2"/>
  <c r="AA113" i="2"/>
  <c r="DA13" i="1" l="1"/>
  <c r="DA7" i="1" s="1"/>
  <c r="CZ12" i="1"/>
  <c r="CZ6" i="1" s="1"/>
  <c r="CY12" i="1"/>
  <c r="CY6" i="1" s="1"/>
  <c r="AE5" i="1"/>
  <c r="L272" i="1"/>
  <c r="AD8" i="1"/>
  <c r="AD14" i="1" s="1"/>
  <c r="AE7" i="1"/>
  <c r="AE13" i="1" s="1"/>
  <c r="CY8" i="1"/>
  <c r="T272" i="1"/>
  <c r="X181" i="1"/>
  <c r="Y229" i="1" s="1"/>
  <c r="P272" i="1"/>
  <c r="Y140" i="1"/>
  <c r="Y195" i="1" s="1"/>
  <c r="S30" i="1"/>
  <c r="X154" i="1"/>
  <c r="X158" i="1" s="1"/>
  <c r="Y148" i="1"/>
  <c r="Y57" i="1" s="1"/>
  <c r="Y200" i="1"/>
  <c r="Y203" i="1"/>
  <c r="F272" i="1"/>
  <c r="D272" i="1"/>
  <c r="S46" i="1"/>
  <c r="Y222" i="1"/>
  <c r="Q272" i="1"/>
  <c r="X193" i="1"/>
  <c r="X140" i="1"/>
  <c r="X195" i="1" s="1"/>
  <c r="X176" i="1"/>
  <c r="X205" i="1" s="1"/>
  <c r="Y154" i="1"/>
  <c r="Y158" i="1" s="1"/>
  <c r="Q203" i="1"/>
  <c r="I272" i="1"/>
  <c r="H272" i="1"/>
  <c r="K272" i="1"/>
  <c r="G203" i="1"/>
  <c r="X46" i="1"/>
  <c r="Y46" i="1"/>
  <c r="X94" i="1"/>
  <c r="Z94" i="1"/>
  <c r="X203" i="1"/>
  <c r="Y193" i="1"/>
  <c r="X168" i="1"/>
  <c r="Y272" i="1"/>
  <c r="X199" i="1"/>
  <c r="CG165" i="1"/>
  <c r="Z200" i="1"/>
  <c r="Z203" i="1"/>
  <c r="CG173" i="1"/>
  <c r="Z193" i="1"/>
  <c r="CG144" i="1"/>
  <c r="Z148" i="1"/>
  <c r="Z57" i="1" s="1"/>
  <c r="Z272" i="1"/>
  <c r="CG169" i="1"/>
  <c r="X272" i="1"/>
  <c r="Y251" i="1"/>
  <c r="Y30" i="1"/>
  <c r="Y17" i="1" s="1"/>
  <c r="CG162" i="1"/>
  <c r="Z168" i="1"/>
  <c r="X30" i="1"/>
  <c r="X17" i="1" s="1"/>
  <c r="X251" i="1"/>
  <c r="CG179" i="1"/>
  <c r="CG181" i="1" s="1"/>
  <c r="Z181" i="1"/>
  <c r="Z140" i="1"/>
  <c r="CG137" i="1"/>
  <c r="Z151" i="1"/>
  <c r="Y176" i="1"/>
  <c r="X148" i="1"/>
  <c r="X57" i="1" s="1"/>
  <c r="Y168" i="1"/>
  <c r="Y214" i="1"/>
  <c r="Y273" i="1"/>
  <c r="Z46" i="1"/>
  <c r="Z174" i="1"/>
  <c r="CG174" i="1" s="1"/>
  <c r="CH174" i="1" s="1"/>
  <c r="Y181" i="1"/>
  <c r="Y199" i="1"/>
  <c r="CG160" i="1"/>
  <c r="Z251" i="1"/>
  <c r="Z30" i="1"/>
  <c r="Z17" i="1" s="1"/>
  <c r="X214" i="1"/>
  <c r="X273" i="1"/>
  <c r="K46" i="1"/>
  <c r="C46" i="1"/>
  <c r="O46" i="1"/>
  <c r="P46" i="1"/>
  <c r="Q46" i="1"/>
  <c r="Q214" i="1"/>
  <c r="Q273" i="1"/>
  <c r="J272" i="1"/>
  <c r="V272" i="1"/>
  <c r="G251" i="1"/>
  <c r="G30" i="1"/>
  <c r="K214" i="1"/>
  <c r="K273" i="1"/>
  <c r="W273" i="1"/>
  <c r="W214" i="1"/>
  <c r="H46" i="1"/>
  <c r="J46" i="1"/>
  <c r="C214" i="1"/>
  <c r="C273" i="1"/>
  <c r="H251" i="1"/>
  <c r="H30" i="1"/>
  <c r="C272" i="1"/>
  <c r="T214" i="1"/>
  <c r="T273" i="1"/>
  <c r="O214" i="1"/>
  <c r="O273" i="1"/>
  <c r="C251" i="1"/>
  <c r="C30" i="1"/>
  <c r="N251" i="1"/>
  <c r="N30" i="1"/>
  <c r="U214" i="1"/>
  <c r="U273" i="1"/>
  <c r="N214" i="1"/>
  <c r="N273" i="1"/>
  <c r="U30" i="1"/>
  <c r="U17" i="1" s="1"/>
  <c r="P214" i="1"/>
  <c r="P273" i="1"/>
  <c r="W46" i="1"/>
  <c r="R272" i="1"/>
  <c r="V30" i="1"/>
  <c r="V17" i="1" s="1"/>
  <c r="H214" i="1"/>
  <c r="H273" i="1"/>
  <c r="R46" i="1"/>
  <c r="V46" i="1"/>
  <c r="I46" i="1"/>
  <c r="L214" i="1"/>
  <c r="L273" i="1"/>
  <c r="O272" i="1"/>
  <c r="E251" i="1"/>
  <c r="E30" i="1"/>
  <c r="D273" i="1"/>
  <c r="D214" i="1"/>
  <c r="T251" i="1"/>
  <c r="T30" i="1"/>
  <c r="T17" i="1" s="1"/>
  <c r="I251" i="1"/>
  <c r="I30" i="1"/>
  <c r="R251" i="1"/>
  <c r="R30" i="1"/>
  <c r="J251" i="1"/>
  <c r="J30" i="1"/>
  <c r="B251" i="1"/>
  <c r="B30" i="1"/>
  <c r="B36" i="1" s="1"/>
  <c r="N272" i="1"/>
  <c r="I214" i="1"/>
  <c r="I273" i="1"/>
  <c r="O30" i="1"/>
  <c r="O251" i="1"/>
  <c r="W30" i="1"/>
  <c r="W17" i="1" s="1"/>
  <c r="B273" i="1"/>
  <c r="E46" i="1"/>
  <c r="V273" i="1"/>
  <c r="V214" i="1"/>
  <c r="G214" i="1"/>
  <c r="G273" i="1"/>
  <c r="F214" i="1"/>
  <c r="F273" i="1"/>
  <c r="D46" i="1"/>
  <c r="U46" i="1"/>
  <c r="M214" i="1"/>
  <c r="M273" i="1"/>
  <c r="Z199" i="1"/>
  <c r="CG164" i="1"/>
  <c r="Z222" i="1"/>
  <c r="X200" i="1"/>
  <c r="Z214" i="1"/>
  <c r="Z273" i="1"/>
  <c r="Q251" i="1"/>
  <c r="Q30" i="1"/>
  <c r="W272" i="1"/>
  <c r="B46" i="1"/>
  <c r="S214" i="1"/>
  <c r="S273" i="1"/>
  <c r="R214" i="1"/>
  <c r="R273" i="1"/>
  <c r="S272" i="1"/>
  <c r="T46" i="1"/>
  <c r="J214" i="1"/>
  <c r="J273" i="1"/>
  <c r="K30" i="1"/>
  <c r="G272" i="1"/>
  <c r="L30" i="1"/>
  <c r="L251" i="1"/>
  <c r="F46" i="1"/>
  <c r="G46" i="1"/>
  <c r="U272" i="1"/>
  <c r="L46" i="1"/>
  <c r="F251" i="1"/>
  <c r="F30" i="1"/>
  <c r="B272" i="1"/>
  <c r="N46" i="1"/>
  <c r="D251" i="1"/>
  <c r="D30" i="1"/>
  <c r="M251" i="1"/>
  <c r="M30" i="1"/>
  <c r="M46" i="1"/>
  <c r="M272" i="1"/>
  <c r="P251" i="1"/>
  <c r="P30" i="1"/>
  <c r="BV1" i="1"/>
  <c r="BW1" i="1" s="1"/>
  <c r="BX1" i="1" s="1"/>
  <c r="BG6" i="3"/>
  <c r="BM38" i="3"/>
  <c r="BH27" i="3"/>
  <c r="BS45" i="3"/>
  <c r="BK16" i="3"/>
  <c r="BG22" i="3"/>
  <c r="BS9" i="3"/>
  <c r="BI8" i="3"/>
  <c r="BT17" i="3"/>
  <c r="BF13" i="3"/>
  <c r="BR39" i="3"/>
  <c r="BJ36" i="3"/>
  <c r="BF5" i="3"/>
  <c r="BH35" i="3"/>
  <c r="BS42" i="3"/>
  <c r="BT42" i="3"/>
  <c r="BG31" i="3"/>
  <c r="BP15" i="3"/>
  <c r="FV16" i="4" a="1"/>
  <c r="BO26" i="3"/>
  <c r="BQ32" i="3"/>
  <c r="BG12" i="3"/>
  <c r="BQ24" i="3"/>
  <c r="BJ22" i="3"/>
  <c r="BI16" i="3"/>
  <c r="BQ11" i="3"/>
  <c r="BP36" i="3"/>
  <c r="BS22" i="3"/>
  <c r="BL34" i="3"/>
  <c r="BS14" i="3"/>
  <c r="BI26" i="3"/>
  <c r="BT21" i="3"/>
  <c r="BR45" i="3"/>
  <c r="BE23" i="3"/>
  <c r="BF11" i="3"/>
  <c r="BH20" i="3"/>
  <c r="BG27" i="3"/>
  <c r="BF27" i="3"/>
  <c r="BJ24" i="3"/>
  <c r="BE35" i="3"/>
  <c r="BS33" i="3"/>
  <c r="BH37" i="3"/>
  <c r="HF9" i="4" a="1"/>
  <c r="BF45" i="3"/>
  <c r="BO21" i="3"/>
  <c r="BL5" i="3"/>
  <c r="BM33" i="3"/>
  <c r="BJ27" i="3"/>
  <c r="BR6" i="3"/>
  <c r="BT34" i="3"/>
  <c r="BK42" i="3"/>
  <c r="BF78" i="3"/>
  <c r="BT12" i="3"/>
  <c r="BE27" i="3"/>
  <c r="BS11" i="3"/>
  <c r="BQ14" i="3"/>
  <c r="BJ19" i="3"/>
  <c r="BG9" i="3"/>
  <c r="BT32" i="3"/>
  <c r="BU38" i="3"/>
  <c r="BP21" i="3"/>
  <c r="BT23" i="3"/>
  <c r="BK6" i="3"/>
  <c r="BS16" i="3"/>
  <c r="BT29" i="3"/>
  <c r="BF31" i="3"/>
  <c r="BP19" i="3"/>
  <c r="BS17" i="3"/>
  <c r="BN34" i="3"/>
  <c r="BN38" i="3"/>
  <c r="BM22" i="3"/>
  <c r="BP42" i="3"/>
  <c r="FH6" i="4" a="1"/>
  <c r="GM5" i="4" a="1"/>
  <c r="BF40" i="3"/>
  <c r="BU45" i="3"/>
  <c r="BS30" i="3"/>
  <c r="BJ21" i="3"/>
  <c r="BQ45" i="3"/>
  <c r="BN33" i="3"/>
  <c r="BJ18" i="3"/>
  <c r="BS24" i="3"/>
  <c r="BQ16" i="3"/>
  <c r="BU20" i="3"/>
  <c r="BU10" i="3"/>
  <c r="BH36" i="3"/>
  <c r="BI7" i="3"/>
  <c r="BP45" i="3"/>
  <c r="BL23" i="3"/>
  <c r="FK7" i="4" a="1"/>
  <c r="BG15" i="3"/>
  <c r="BH16" i="3"/>
  <c r="BQ35" i="3"/>
  <c r="BJ15" i="3"/>
  <c r="BH11" i="3"/>
  <c r="BN15" i="3"/>
  <c r="BN25" i="3"/>
  <c r="BM26" i="3"/>
  <c r="BU26" i="3"/>
  <c r="BO45" i="3"/>
  <c r="BM39" i="3"/>
  <c r="BU39" i="3"/>
  <c r="BI21" i="3"/>
  <c r="BJ46" i="3"/>
  <c r="BM18" i="3"/>
  <c r="BF38" i="3"/>
  <c r="BI32" i="3"/>
  <c r="BN39" i="3"/>
  <c r="BF36" i="3"/>
  <c r="BF14" i="3"/>
  <c r="BJ38" i="3"/>
  <c r="BK14" i="3"/>
  <c r="BQ23" i="3"/>
  <c r="HG9" i="4" a="1"/>
  <c r="FV14" i="4" a="1"/>
  <c r="BF18" i="3"/>
  <c r="BN40" i="3"/>
  <c r="BM16" i="3"/>
  <c r="BK12" i="3"/>
  <c r="BI40" i="3"/>
  <c r="BG23" i="3"/>
  <c r="BH22" i="3"/>
  <c r="BL36" i="3"/>
  <c r="BI45" i="3"/>
  <c r="BP34" i="3"/>
  <c r="BE26" i="3"/>
  <c r="BN9" i="3"/>
  <c r="BP39" i="3"/>
  <c r="BG26" i="3"/>
  <c r="BM30" i="3"/>
  <c r="BH9" i="3"/>
  <c r="BL13" i="3"/>
  <c r="BF22" i="3"/>
  <c r="BI22" i="3"/>
  <c r="BR8" i="3"/>
  <c r="BF63" i="3"/>
  <c r="BF17" i="3"/>
  <c r="BK32" i="3"/>
  <c r="BL6" i="3"/>
  <c r="BG21" i="3"/>
  <c r="BR34" i="3"/>
  <c r="BR42" i="3"/>
  <c r="BG32" i="3"/>
  <c r="BK28" i="3"/>
  <c r="BL59" i="3"/>
  <c r="BG45" i="3"/>
  <c r="HF7" i="4" a="1"/>
  <c r="BN35" i="3"/>
  <c r="BN6" i="3"/>
  <c r="BF12" i="3"/>
  <c r="BT13" i="3"/>
  <c r="BM46" i="3"/>
  <c r="BF90" i="3"/>
  <c r="BJ29" i="3"/>
  <c r="BH24" i="3"/>
  <c r="FS14" i="4" a="1"/>
  <c r="FP13" i="4" a="1"/>
  <c r="BH10" i="3"/>
  <c r="FH15" i="4" a="1"/>
  <c r="GC6" i="4" a="1"/>
  <c r="BT7" i="3"/>
  <c r="BU23" i="3"/>
  <c r="BL66" i="3"/>
  <c r="FJ12" i="4" a="1"/>
  <c r="BU14" i="3"/>
  <c r="FR5" i="4" a="1"/>
  <c r="BL76" i="3"/>
  <c r="HD5" i="4" a="1"/>
  <c r="FK9" i="4" a="1"/>
  <c r="BF79" i="3"/>
  <c r="FT15" i="4" a="1"/>
  <c r="FT12" i="4" a="1"/>
  <c r="BO23" i="3"/>
  <c r="BG29" i="3"/>
  <c r="BL88" i="3"/>
  <c r="FL11" i="4" a="1"/>
  <c r="FX14" i="4" a="1"/>
  <c r="FH11" i="4" a="1"/>
  <c r="BL42" i="3"/>
  <c r="BC16" i="3"/>
  <c r="GI6" i="4" a="1"/>
  <c r="BB38" i="3"/>
  <c r="HC9" i="4" a="1"/>
  <c r="FE9" i="4" a="1"/>
  <c r="FE14" i="4" a="1"/>
  <c r="BO46" i="3"/>
  <c r="BG38" i="3"/>
  <c r="BK31" i="3"/>
  <c r="HG15" i="4" a="1"/>
  <c r="GP12" i="4" a="1"/>
  <c r="BP8" i="3"/>
  <c r="GX15" i="4" a="1"/>
  <c r="AX14" i="3"/>
  <c r="FH16" i="4" a="1"/>
  <c r="BR41" i="3"/>
  <c r="FO14" i="4" a="1"/>
  <c r="BG25" i="3"/>
  <c r="BP28" i="3"/>
  <c r="BP14" i="3"/>
  <c r="BT33" i="3"/>
  <c r="BU35" i="3"/>
  <c r="BT36" i="3"/>
  <c r="BM32" i="3"/>
  <c r="BL32" i="3"/>
  <c r="BI39" i="3"/>
  <c r="BF33" i="3"/>
  <c r="BR32" i="3"/>
  <c r="BL15" i="3"/>
  <c r="BQ6" i="3"/>
  <c r="BP46" i="3"/>
  <c r="BO34" i="3"/>
  <c r="BK17" i="3"/>
  <c r="BO13" i="3"/>
  <c r="BE15" i="3"/>
  <c r="BE34" i="3"/>
  <c r="BQ17" i="3"/>
  <c r="FQ13" i="4" a="1"/>
  <c r="FY7" i="4" a="1"/>
  <c r="BQ13" i="3"/>
  <c r="BJ26" i="3"/>
  <c r="BU28" i="3"/>
  <c r="BM31" i="3"/>
  <c r="BG20" i="3"/>
  <c r="BR24" i="3"/>
  <c r="BT22" i="3"/>
  <c r="BI31" i="3"/>
  <c r="BF19" i="3"/>
  <c r="BH25" i="3"/>
  <c r="BR21" i="3"/>
  <c r="BO30" i="3"/>
  <c r="BF8" i="3"/>
  <c r="BR10" i="3"/>
  <c r="BI24" i="3"/>
  <c r="BU13" i="3"/>
  <c r="BM35" i="3"/>
  <c r="BJ42" i="3"/>
  <c r="BI17" i="3"/>
  <c r="BM17" i="3"/>
  <c r="GX11" i="4" a="1"/>
  <c r="BT28" i="3"/>
  <c r="BR12" i="3"/>
  <c r="BJ14" i="3"/>
  <c r="BN46" i="3"/>
  <c r="BL78" i="3"/>
  <c r="BL11" i="3"/>
  <c r="BP11" i="3"/>
  <c r="BE31" i="3"/>
  <c r="FZ11" i="4" a="1"/>
  <c r="BP5" i="3"/>
  <c r="BP48" i="3" s="1"/>
  <c r="BF26" i="3"/>
  <c r="BM37" i="3"/>
  <c r="BU25" i="3"/>
  <c r="BI12" i="3"/>
  <c r="BI46" i="3"/>
  <c r="BH32" i="3"/>
  <c r="BL33" i="3"/>
  <c r="BU40" i="3"/>
  <c r="BN8" i="3"/>
  <c r="BS37" i="3"/>
  <c r="BO25" i="3"/>
  <c r="BT16" i="3"/>
  <c r="BH14" i="3"/>
  <c r="BN16" i="3"/>
  <c r="BN37" i="3"/>
  <c r="BJ13" i="3"/>
  <c r="BN13" i="3"/>
  <c r="BL17" i="3"/>
  <c r="BN10" i="3"/>
  <c r="BR25" i="3"/>
  <c r="BL7" i="3"/>
  <c r="BH6" i="3"/>
  <c r="GE11" i="4" a="1"/>
  <c r="GK14" i="4" a="1"/>
  <c r="BN28" i="3"/>
  <c r="BE29" i="3"/>
  <c r="BE16" i="3"/>
  <c r="BG30" i="3"/>
  <c r="BQ21" i="3"/>
  <c r="BN32" i="3"/>
  <c r="BF9" i="3"/>
  <c r="BH7" i="3"/>
  <c r="BI11" i="3"/>
  <c r="BE45" i="3"/>
  <c r="BJ23" i="3"/>
  <c r="BP6" i="3"/>
  <c r="BK33" i="3"/>
  <c r="BG7" i="3"/>
  <c r="BG33" i="3"/>
  <c r="BK39" i="3"/>
  <c r="BJ20" i="3"/>
  <c r="BK29" i="3"/>
  <c r="BN11" i="3"/>
  <c r="BF39" i="3"/>
  <c r="BN14" i="3"/>
  <c r="BG46" i="3"/>
  <c r="BJ30" i="3"/>
  <c r="FP5" i="4" a="1"/>
  <c r="BI13" i="3"/>
  <c r="GL7" i="4" a="1"/>
  <c r="BL28" i="3"/>
  <c r="BQ10" i="3"/>
  <c r="BN29" i="3"/>
  <c r="BJ34" i="3"/>
  <c r="BS36" i="3"/>
  <c r="BU9" i="3"/>
  <c r="BF71" i="3"/>
  <c r="BN30" i="3"/>
  <c r="BU41" i="3"/>
  <c r="GH9" i="4" a="1"/>
  <c r="BP67" i="3"/>
  <c r="BF6" i="3"/>
  <c r="BI37" i="3"/>
  <c r="BO22" i="3"/>
  <c r="BJ7" i="3"/>
  <c r="BS26" i="3"/>
  <c r="BQ31" i="3"/>
  <c r="BK21" i="3"/>
  <c r="BH26" i="3"/>
  <c r="BL20" i="3"/>
  <c r="GF7" i="4" a="1"/>
  <c r="GC14" i="4" a="1"/>
  <c r="BG16" i="3"/>
  <c r="GT15" i="4" a="1"/>
  <c r="BF59" i="3"/>
  <c r="GB15" i="4" a="1"/>
  <c r="FK13" i="4" a="1"/>
  <c r="GN11" i="4" a="1"/>
  <c r="BJ45" i="3"/>
  <c r="BJ28" i="3"/>
  <c r="GO6" i="4" a="1"/>
  <c r="GJ5" i="4" a="1"/>
  <c r="BL55" i="3"/>
  <c r="GL5" i="4" a="1"/>
  <c r="HB16" i="4" a="1"/>
  <c r="HA15" i="4" a="1"/>
  <c r="FK15" i="4" a="1"/>
  <c r="BT5" i="3"/>
  <c r="BT76" i="3" s="1"/>
  <c r="BO32" i="3"/>
  <c r="GZ16" i="4" a="1"/>
  <c r="FH12" i="4" a="1"/>
  <c r="BL83" i="3"/>
  <c r="FT11" i="4" a="1"/>
  <c r="BK41" i="3"/>
  <c r="HB13" i="4" a="1"/>
  <c r="GI12" i="4" a="1"/>
  <c r="GW16" i="4" a="1"/>
  <c r="BP9" i="3"/>
  <c r="GY11" i="4" a="1"/>
  <c r="BB11" i="3"/>
  <c r="HE9" i="4" a="1"/>
  <c r="BQ42" i="3"/>
  <c r="FG14" i="4" a="1"/>
  <c r="BA32" i="3"/>
  <c r="BF69" i="3"/>
  <c r="AY46" i="3"/>
  <c r="BT18" i="3"/>
  <c r="BL90" i="3"/>
  <c r="GL12" i="4" a="1"/>
  <c r="FJ6" i="4" a="1"/>
  <c r="BT24" i="3"/>
  <c r="FR15" i="4" a="1"/>
  <c r="GV12" i="4" a="1"/>
  <c r="GC12" i="4" a="1"/>
  <c r="BF66" i="3"/>
  <c r="BD25" i="3"/>
  <c r="BE14" i="3"/>
  <c r="BQ40" i="3"/>
  <c r="BG19" i="3"/>
  <c r="BT10" i="3"/>
  <c r="BO5" i="3"/>
  <c r="BT8" i="3"/>
  <c r="GK7" i="4" a="1"/>
  <c r="BE5" i="3"/>
  <c r="BM13" i="3"/>
  <c r="BO36" i="3"/>
  <c r="BH23" i="3"/>
  <c r="BP23" i="3"/>
  <c r="BG24" i="3"/>
  <c r="BP27" i="3"/>
  <c r="BK8" i="3"/>
  <c r="BF70" i="3"/>
  <c r="BO90" i="3"/>
  <c r="BF89" i="3"/>
  <c r="FS9" i="4" a="1"/>
  <c r="HD8" i="4" a="1"/>
  <c r="BK30" i="3"/>
  <c r="BN5" i="3"/>
  <c r="BK22" i="3"/>
  <c r="BP29" i="3"/>
  <c r="BI23" i="3"/>
  <c r="BS19" i="3"/>
  <c r="BN55" i="3"/>
  <c r="BM21" i="3"/>
  <c r="BO39" i="3"/>
  <c r="BO14" i="3"/>
  <c r="BJ32" i="3"/>
  <c r="BE25" i="3"/>
  <c r="BO63" i="3"/>
  <c r="BO67" i="3"/>
  <c r="BL22" i="3"/>
  <c r="BG39" i="3"/>
  <c r="BS20" i="3"/>
  <c r="BK9" i="3"/>
  <c r="BF42" i="3"/>
  <c r="BS38" i="3"/>
  <c r="BE38" i="3"/>
  <c r="BH45" i="3"/>
  <c r="BS29" i="3"/>
  <c r="BG10" i="3"/>
  <c r="BN50" i="3"/>
  <c r="GD5" i="4" a="1"/>
  <c r="BL8" i="3"/>
  <c r="BE21" i="3"/>
  <c r="BE13" i="3"/>
  <c r="BM27" i="3"/>
  <c r="BJ31" i="3"/>
  <c r="BE18" i="3"/>
  <c r="BF62" i="3"/>
  <c r="BL56" i="3"/>
  <c r="BL79" i="3"/>
  <c r="BI34" i="3"/>
  <c r="BS21" i="3"/>
  <c r="BS13" i="3"/>
  <c r="BI5" i="3"/>
  <c r="BG42" i="3"/>
  <c r="BQ19" i="3"/>
  <c r="BI35" i="3"/>
  <c r="BN42" i="3"/>
  <c r="BU46" i="3"/>
  <c r="BS32" i="3"/>
  <c r="BP75" i="3"/>
  <c r="BI70" i="3"/>
  <c r="HE8" i="4" a="1"/>
  <c r="FW15" i="4" a="1"/>
  <c r="BK27" i="3"/>
  <c r="GZ6" i="4" a="1"/>
  <c r="GO16" i="4" a="1"/>
  <c r="BF7" i="3"/>
  <c r="GQ13" i="4" a="1"/>
  <c r="BN21" i="3"/>
  <c r="BK37" i="3"/>
  <c r="BP59" i="3"/>
  <c r="BE41" i="3"/>
  <c r="HA16" i="4" a="1"/>
  <c r="BF56" i="3"/>
  <c r="GJ9" i="4" a="1"/>
  <c r="HC5" i="4" a="1"/>
  <c r="BI38" i="3"/>
  <c r="BA5" i="3"/>
  <c r="GU9" i="4" a="1"/>
  <c r="BT80" i="3"/>
  <c r="BI18" i="3"/>
  <c r="FI7" i="4" a="1"/>
  <c r="GV7" i="4" a="1"/>
  <c r="BN56" i="3"/>
  <c r="FL8" i="4" a="1"/>
  <c r="BG5" i="3"/>
  <c r="BN19" i="3"/>
  <c r="BI88" i="3"/>
  <c r="BI66" i="3"/>
  <c r="HF14" i="4" a="1"/>
  <c r="GJ8" i="4" a="1"/>
  <c r="BE9" i="3"/>
  <c r="GR13" i="4" a="1"/>
  <c r="BU32" i="3"/>
  <c r="BO20" i="3"/>
  <c r="BF10" i="3"/>
  <c r="BN17" i="3"/>
  <c r="BP18" i="3"/>
  <c r="BF16" i="3"/>
  <c r="BR30" i="3"/>
  <c r="BE65" i="3"/>
  <c r="BO78" i="3"/>
  <c r="BK18" i="3"/>
  <c r="BE32" i="3"/>
  <c r="BO29" i="3"/>
  <c r="BU6" i="3"/>
  <c r="BG11" i="3"/>
  <c r="BF64" i="3"/>
  <c r="BF58" i="3"/>
  <c r="FZ5" i="4" a="1"/>
  <c r="BQ41" i="3"/>
  <c r="BI36" i="3"/>
  <c r="FV5" i="4" a="1"/>
  <c r="BM28" i="3"/>
  <c r="BT11" i="3"/>
  <c r="BG37" i="3"/>
  <c r="BK46" i="3"/>
  <c r="BR22" i="3"/>
  <c r="BQ46" i="3"/>
  <c r="BP32" i="3"/>
  <c r="BM20" i="3"/>
  <c r="BS27" i="3"/>
  <c r="BL24" i="3"/>
  <c r="BL21" i="3"/>
  <c r="BH8" i="3"/>
  <c r="BM24" i="3"/>
  <c r="BS23" i="3"/>
  <c r="BO50" i="3"/>
  <c r="BF25" i="3"/>
  <c r="BM23" i="3"/>
  <c r="BI6" i="3"/>
  <c r="BN20" i="3"/>
  <c r="BP38" i="3"/>
  <c r="BQ18" i="3"/>
  <c r="BF37" i="3"/>
  <c r="BT39" i="3"/>
  <c r="BE46" i="3"/>
  <c r="BS10" i="3"/>
  <c r="BO56" i="3"/>
  <c r="GC9" i="4" a="1"/>
  <c r="BU27" i="3"/>
  <c r="BL38" i="3"/>
  <c r="BK19" i="3"/>
  <c r="BM7" i="3"/>
  <c r="BR27" i="3"/>
  <c r="BF34" i="3"/>
  <c r="BP33" i="3"/>
  <c r="FO5" i="4" a="1"/>
  <c r="BF74" i="3"/>
  <c r="BK26" i="3"/>
  <c r="BO15" i="3"/>
  <c r="BK13" i="3"/>
  <c r="BM25" i="3"/>
  <c r="BE22" i="3"/>
  <c r="BE37" i="3"/>
  <c r="BP64" i="3"/>
  <c r="BQ33" i="3"/>
  <c r="BN90" i="3"/>
  <c r="BJ8" i="3"/>
  <c r="BJ41" i="3"/>
  <c r="BP89" i="3"/>
  <c r="BT41" i="3"/>
  <c r="BN45" i="3"/>
  <c r="BL80" i="3"/>
  <c r="BI41" i="3"/>
  <c r="HG12" i="4" a="1"/>
  <c r="BP22" i="3"/>
  <c r="GT14" i="4" a="1"/>
  <c r="GB14" i="4" a="1"/>
  <c r="BF47" i="3"/>
  <c r="BT19" i="3"/>
  <c r="BN36" i="3"/>
  <c r="BH46" i="3"/>
  <c r="BQ27" i="3"/>
  <c r="BT38" i="3"/>
  <c r="BK7" i="3"/>
  <c r="BU7" i="3"/>
  <c r="BR23" i="3"/>
  <c r="BU5" i="3"/>
  <c r="BR15" i="3"/>
  <c r="BR38" i="3"/>
  <c r="BJ5" i="3"/>
  <c r="BT9" i="3"/>
  <c r="BN78" i="3"/>
  <c r="GW5" i="4" a="1"/>
  <c r="BA24" i="3"/>
  <c r="BR7" i="3"/>
  <c r="BP72" i="3"/>
  <c r="FZ12" i="4" a="1"/>
  <c r="GH6" i="4" a="1"/>
  <c r="GB7" i="4" a="1"/>
  <c r="FM8" i="4" a="1"/>
  <c r="GO13" i="4" a="1"/>
  <c r="FX11" i="4" a="1"/>
  <c r="BS15" i="3"/>
  <c r="BU79" i="3"/>
  <c r="BM11" i="3"/>
  <c r="BE10" i="3"/>
  <c r="BL30" i="3"/>
  <c r="BP26" i="3"/>
  <c r="GW13" i="4" a="1"/>
  <c r="BH5" i="3"/>
  <c r="BC9" i="3"/>
  <c r="GQ15" i="4" a="1"/>
  <c r="AX25" i="3"/>
  <c r="FX6" i="4" a="1"/>
  <c r="BL77" i="3"/>
  <c r="BO97" i="3"/>
  <c r="BR40" i="3"/>
  <c r="FL5" i="4" a="1"/>
  <c r="FH5" i="4" a="1"/>
  <c r="HC12" i="4" a="1"/>
  <c r="BR9" i="3"/>
  <c r="BP94" i="3"/>
  <c r="Q6" i="6" a="1"/>
  <c r="GD13" i="4" a="1"/>
  <c r="BL18" i="3"/>
  <c r="BT20" i="3"/>
  <c r="HG6" i="4" a="1"/>
  <c r="FQ6" i="4" a="1"/>
  <c r="BF41" i="3"/>
  <c r="FV13" i="4" a="1"/>
  <c r="BN97" i="3"/>
  <c r="GC16" i="4" a="1"/>
  <c r="GG14" i="4" a="1"/>
  <c r="BS7" i="3"/>
  <c r="BA30" i="3"/>
  <c r="BP40" i="3"/>
  <c r="BK40" i="3"/>
  <c r="BF76" i="3"/>
  <c r="HB11" i="4" a="1"/>
  <c r="GH11" i="4" a="1"/>
  <c r="BU93" i="3"/>
  <c r="FY11" i="4" a="1"/>
  <c r="GQ11" i="4" a="1"/>
  <c r="FL14" i="4" a="1"/>
  <c r="M5" i="6" a="1"/>
  <c r="BA39" i="3"/>
  <c r="FE6" i="4" a="1"/>
  <c r="FF13" i="4" a="1"/>
  <c r="BM9" i="3"/>
  <c r="EY13" i="4" a="1"/>
  <c r="AF34" i="3"/>
  <c r="BC5" i="4" a="1"/>
  <c r="BN57" i="3"/>
  <c r="ES5" i="4" a="1"/>
  <c r="EW12" i="4" a="1"/>
  <c r="BT8" i="4" a="1"/>
  <c r="BD11" i="3"/>
  <c r="BP80" i="3"/>
  <c r="GR14" i="4" a="1"/>
  <c r="FS12" i="4" a="1"/>
  <c r="FP7" i="4" a="1"/>
  <c r="BS6" i="3"/>
  <c r="BI10" i="3"/>
  <c r="BN77" i="3"/>
  <c r="BF28" i="3"/>
  <c r="BU12" i="3"/>
  <c r="BF93" i="3"/>
  <c r="BU22" i="3"/>
  <c r="BH17" i="3"/>
  <c r="GA7" i="4" a="1"/>
  <c r="BN26" i="3"/>
  <c r="BQ12" i="3"/>
  <c r="BN75" i="3"/>
  <c r="BL39" i="3"/>
  <c r="BI29" i="3"/>
  <c r="BE56" i="3"/>
  <c r="FX16" i="4" a="1"/>
  <c r="EY12" i="4" a="1"/>
  <c r="BR13" i="3"/>
  <c r="BL26" i="3"/>
  <c r="FK5" i="4" a="1"/>
  <c r="GO7" i="4" a="1"/>
  <c r="HE7" i="4" a="1"/>
  <c r="FX15" i="4" a="1"/>
  <c r="BL41" i="3"/>
  <c r="BI57" i="3"/>
  <c r="BN48" i="3"/>
  <c r="BE78" i="3"/>
  <c r="BF21" i="3"/>
  <c r="BP82" i="3"/>
  <c r="FU7" i="4" a="1"/>
  <c r="BN72" i="3"/>
  <c r="BG82" i="3"/>
  <c r="BF88" i="3"/>
  <c r="BH84" i="3"/>
  <c r="AT28" i="3"/>
  <c r="FU12" i="4" a="1"/>
  <c r="FD16" i="4" a="1"/>
  <c r="FS11" i="4" a="1"/>
  <c r="BT35" i="3"/>
  <c r="BG95" i="3"/>
  <c r="BP77" i="3"/>
  <c r="GG13" i="4" a="1"/>
  <c r="GF12" i="4" a="1"/>
  <c r="HF12" i="4" a="1"/>
  <c r="GF11" i="4" a="1"/>
  <c r="BE70" i="3"/>
  <c r="BD41" i="3"/>
  <c r="BC33" i="3"/>
  <c r="BG41" i="3"/>
  <c r="BP13" i="3"/>
  <c r="HH13" i="4" a="1"/>
  <c r="HB12" i="4" a="1"/>
  <c r="BL84" i="3"/>
  <c r="FS7" i="4" a="1"/>
  <c r="BF50" i="3"/>
  <c r="HD7" i="4" a="1"/>
  <c r="GM9" i="4" a="1"/>
  <c r="BG81" i="3"/>
  <c r="BB41" i="3"/>
  <c r="BT27" i="3"/>
  <c r="BL68" i="3"/>
  <c r="BI58" i="3"/>
  <c r="BR26" i="3"/>
  <c r="GR12" i="4" a="1"/>
  <c r="BG55" i="3"/>
  <c r="GV13" i="4" a="1"/>
  <c r="GJ7" i="4" a="1"/>
  <c r="BG40" i="3"/>
  <c r="BJ10" i="3"/>
  <c r="BF57" i="3"/>
  <c r="BR5" i="3"/>
  <c r="BG14" i="3"/>
  <c r="BT26" i="3"/>
  <c r="BK10" i="3"/>
  <c r="BH38" i="3"/>
  <c r="BO33" i="3"/>
  <c r="BO16" i="3"/>
  <c r="BM5" i="3"/>
  <c r="BP69" i="3"/>
  <c r="BF32" i="3"/>
  <c r="BE91" i="3"/>
  <c r="BR67" i="3"/>
  <c r="BI75" i="3"/>
  <c r="FU14" i="4" a="1"/>
  <c r="FN7" i="4" a="1"/>
  <c r="AV17" i="3"/>
  <c r="BK15" i="3"/>
  <c r="BE86" i="3"/>
  <c r="GD14" i="4" a="1"/>
  <c r="FR9" i="4" a="1"/>
  <c r="GH5" i="4" a="1"/>
  <c r="EM7" i="4" a="1"/>
  <c r="BU11" i="3"/>
  <c r="BL96" i="3"/>
  <c r="HH7" i="4" a="1"/>
  <c r="FP8" i="4" a="1"/>
  <c r="BR79" i="3"/>
  <c r="BR61" i="3"/>
  <c r="HE14" i="4" a="1"/>
  <c r="BM63" i="3"/>
  <c r="BF61" i="3"/>
  <c r="GB6" i="4" a="1"/>
  <c r="BN12" i="3"/>
  <c r="AS22" i="3"/>
  <c r="BB15" i="3"/>
  <c r="ET14" i="4" a="1"/>
  <c r="GD16" i="4" a="1"/>
  <c r="BO12" i="3"/>
  <c r="BJ57" i="3"/>
  <c r="BL92" i="3"/>
  <c r="BM14" i="3"/>
  <c r="GB5" i="4" a="1"/>
  <c r="FG7" i="4" a="1"/>
  <c r="FZ15" i="4" a="1"/>
  <c r="GT9" i="4" a="1"/>
  <c r="AS41" i="3"/>
  <c r="BC42" i="3"/>
  <c r="BE24" i="3"/>
  <c r="BP76" i="3"/>
  <c r="FU16" i="4" a="1"/>
  <c r="GR9" i="4" a="1"/>
  <c r="BN81" i="3"/>
  <c r="GY15" i="4" a="1"/>
  <c r="BU85" i="3"/>
  <c r="GG9" i="4" a="1"/>
  <c r="GT11" i="4" a="1"/>
  <c r="FY9" i="4" a="1"/>
  <c r="AS11" i="3"/>
  <c r="BP24" i="3"/>
  <c r="BR64" i="3"/>
  <c r="BR11" i="3"/>
  <c r="BL87" i="3"/>
  <c r="FS15" i="4" a="1"/>
  <c r="BM82" i="3"/>
  <c r="GI11" i="4" a="1"/>
  <c r="FM16" i="4" a="1"/>
  <c r="BP90" i="3"/>
  <c r="GF8" i="4" a="1"/>
  <c r="GS12" i="4" a="1"/>
  <c r="BF94" i="3"/>
  <c r="ES8" i="4" a="1"/>
  <c r="GZ7" i="4" a="1"/>
  <c r="H5" i="6" a="1"/>
  <c r="GR11" i="4" a="1"/>
  <c r="AW8" i="3"/>
  <c r="GH15" i="4" a="1"/>
  <c r="BF12" i="4" a="1"/>
  <c r="CU12" i="4" a="1"/>
  <c r="FH7" i="4" a="1"/>
  <c r="Y5" i="4" a="1"/>
  <c r="BV7" i="4" a="1"/>
  <c r="AF14" i="4" a="1"/>
  <c r="FC13" i="4" a="1"/>
  <c r="BU19" i="3"/>
  <c r="HG7" i="4" a="1"/>
  <c r="BC22" i="3"/>
  <c r="FK11" i="4" a="1"/>
  <c r="I6" i="6" a="1"/>
  <c r="FG6" i="4" a="1"/>
  <c r="AV12" i="3"/>
  <c r="FQ15" i="4" a="1"/>
  <c r="K14" i="4" a="1"/>
  <c r="BD24" i="3"/>
  <c r="GZ14" i="4" a="1"/>
  <c r="BM41" i="3"/>
  <c r="BE6" i="3"/>
  <c r="AV38" i="3"/>
  <c r="BG72" i="3"/>
  <c r="HH6" i="4" a="1"/>
  <c r="HF11" i="4" a="1"/>
  <c r="BH29" i="3"/>
  <c r="BQ7" i="3"/>
  <c r="BN22" i="3"/>
  <c r="BU16" i="3"/>
  <c r="BU37" i="3"/>
  <c r="BI9" i="3"/>
  <c r="BN80" i="3"/>
  <c r="BS8" i="3"/>
  <c r="BF15" i="3"/>
  <c r="BO87" i="3"/>
  <c r="HH12" i="4" a="1"/>
  <c r="FN13" i="4" a="1"/>
  <c r="BM94" i="3"/>
  <c r="GO5" i="4" a="1"/>
  <c r="GG7" i="4" a="1"/>
  <c r="BU29" i="3"/>
  <c r="BN83" i="3"/>
  <c r="FY5" i="4" a="1"/>
  <c r="FV11" i="4" a="1"/>
  <c r="BQ8" i="3"/>
  <c r="GF9" i="4" a="1"/>
  <c r="BK36" i="3"/>
  <c r="BH41" i="3"/>
  <c r="BU36" i="3"/>
  <c r="GM11" i="4" a="1"/>
  <c r="FK6" i="4" a="1"/>
  <c r="BL58" i="3"/>
  <c r="BP81" i="3"/>
  <c r="HA14" i="4" a="1"/>
  <c r="GP11" i="4" a="1"/>
  <c r="BM73" i="3"/>
  <c r="GI8" i="4" a="1"/>
  <c r="BE47" i="3"/>
  <c r="AU39" i="3"/>
  <c r="BD20" i="3"/>
  <c r="AI9" i="4" a="1"/>
  <c r="BB28" i="3"/>
  <c r="HG13" i="4" a="1"/>
  <c r="BQ36" i="3"/>
  <c r="BE83" i="3"/>
  <c r="BG68" i="3"/>
  <c r="GY12" i="4" a="1"/>
  <c r="FX5" i="4" a="1"/>
  <c r="GA8" i="4" a="1"/>
  <c r="FT7" i="4" a="1"/>
  <c r="BH15" i="3"/>
  <c r="BA11" i="3"/>
  <c r="BR77" i="3"/>
  <c r="BG91" i="3"/>
  <c r="GH12" i="4" a="1"/>
  <c r="GX9" i="4" a="1"/>
  <c r="BT92" i="3"/>
  <c r="GN7" i="4" a="1"/>
  <c r="GE8" i="4" a="1"/>
  <c r="GV15" i="4" a="1"/>
  <c r="FY13" i="4" a="1"/>
  <c r="HB6" i="4" a="1"/>
  <c r="AZ31" i="3"/>
  <c r="BP12" i="3"/>
  <c r="BE95" i="3"/>
  <c r="BL73" i="3"/>
  <c r="BN65" i="3"/>
  <c r="GM12" i="4" a="1"/>
  <c r="GX6" i="4" a="1"/>
  <c r="BU15" i="3"/>
  <c r="FZ8" i="4" a="1"/>
  <c r="BO37" i="3"/>
  <c r="GB11" i="4" a="1"/>
  <c r="GQ8" i="4" a="1"/>
  <c r="FO12" i="4" a="1"/>
  <c r="ES7" i="4" a="1"/>
  <c r="GE15" i="4" a="1"/>
  <c r="AZ25" i="3"/>
  <c r="GQ16" i="4" a="1"/>
  <c r="BE6" i="4" a="1"/>
  <c r="BB22" i="3"/>
  <c r="BC13" i="3"/>
  <c r="D36" i="3"/>
  <c r="GN15" i="4" a="1"/>
  <c r="DF14" i="4" a="1"/>
  <c r="AZ16" i="4" a="1"/>
  <c r="BT45" i="3"/>
  <c r="N5" i="6" a="1"/>
  <c r="HE6" i="4" a="1"/>
  <c r="GL8" i="4" a="1"/>
  <c r="EV8" i="4" a="1"/>
  <c r="GE16" i="4" a="1"/>
  <c r="AR15" i="3"/>
  <c r="GF15" i="4" a="1"/>
  <c r="AY26" i="3"/>
  <c r="BA14" i="3"/>
  <c r="DQ16" i="4" a="1"/>
  <c r="EQ9" i="4" a="1"/>
  <c r="BO49" i="3"/>
  <c r="BU80" i="3"/>
  <c r="FR6" i="4" a="1"/>
  <c r="EX13" i="4" a="1"/>
  <c r="GG8" i="4" a="1"/>
  <c r="FA15" i="4" a="1"/>
  <c r="GN6" i="4" a="1"/>
  <c r="V6" i="6" a="1"/>
  <c r="GE13" i="4" a="1"/>
  <c r="Z45" i="3"/>
  <c r="AN15" i="4" a="1"/>
  <c r="FL16" i="4" a="1"/>
  <c r="CR8" i="4" a="1"/>
  <c r="CH6" i="4" a="1"/>
  <c r="EF12" i="4" a="1"/>
  <c r="BJ37" i="3"/>
  <c r="BH18" i="3"/>
  <c r="FZ9" i="4" a="1"/>
  <c r="BR33" i="3"/>
  <c r="BL29" i="3"/>
  <c r="BO38" i="3"/>
  <c r="BF95" i="3"/>
  <c r="BU18" i="3"/>
  <c r="BR31" i="3"/>
  <c r="BG8" i="3"/>
  <c r="BI19" i="3"/>
  <c r="BO55" i="3"/>
  <c r="BI20" i="3"/>
  <c r="BP41" i="3"/>
  <c r="BM68" i="3"/>
  <c r="FW9" i="4" a="1"/>
  <c r="FQ7" i="4" a="1"/>
  <c r="BP70" i="3"/>
  <c r="BI78" i="3"/>
  <c r="FW5" i="4" a="1"/>
  <c r="BJ17" i="3"/>
  <c r="GM16" i="4" a="1"/>
  <c r="BL25" i="3"/>
  <c r="GZ9" i="4" a="1"/>
  <c r="BR28" i="3"/>
  <c r="BF83" i="3"/>
  <c r="BL67" i="3"/>
  <c r="GJ6" i="4" a="1"/>
  <c r="GS7" i="4" a="1"/>
  <c r="FJ5" i="4" a="1"/>
  <c r="FY14" i="4" a="1"/>
  <c r="FN15" i="4" a="1"/>
  <c r="GJ12" i="4" a="1"/>
  <c r="GZ8" i="4" a="1"/>
  <c r="GE12" i="4" a="1"/>
  <c r="GN13" i="4" a="1"/>
  <c r="BF24" i="3"/>
  <c r="AF6" i="3"/>
  <c r="BE19" i="3"/>
  <c r="BA70" i="3"/>
  <c r="BP7" i="3"/>
  <c r="BO75" i="3"/>
  <c r="FM11" i="4" a="1"/>
  <c r="BO27" i="3"/>
  <c r="BK35" i="3"/>
  <c r="GP5" i="4" a="1"/>
  <c r="FY15" i="4" a="1"/>
  <c r="HH8" i="4" a="1"/>
  <c r="BU95" i="3"/>
  <c r="AT6" i="3"/>
  <c r="BF77" i="3"/>
  <c r="BR83" i="3"/>
  <c r="BR35" i="3"/>
  <c r="FP12" i="4" a="1"/>
  <c r="BU60" i="3"/>
  <c r="GK16" i="4" a="1"/>
  <c r="GN12" i="4" a="1"/>
  <c r="BT30" i="3"/>
  <c r="FF12" i="4" a="1"/>
  <c r="GC8" i="4" a="1"/>
  <c r="AS39" i="3"/>
  <c r="BQ37" i="3"/>
  <c r="BT37" i="3"/>
  <c r="BR66" i="3"/>
  <c r="BT78" i="3"/>
  <c r="FT14" i="4" a="1"/>
  <c r="GI15" i="4" a="1"/>
  <c r="BQ26" i="3"/>
  <c r="GS9" i="4" a="1"/>
  <c r="BI33" i="3"/>
  <c r="BO6" i="3"/>
  <c r="BC17" i="3"/>
  <c r="HG5" i="4" a="1"/>
  <c r="AU6" i="3"/>
  <c r="GB9" i="4" a="1"/>
  <c r="BA13" i="3"/>
  <c r="BA41" i="3"/>
  <c r="CR15" i="4" a="1"/>
  <c r="BC39" i="3"/>
  <c r="AF22" i="3"/>
  <c r="CE13" i="4" a="1"/>
  <c r="AU13" i="3"/>
  <c r="AW27" i="3"/>
  <c r="AR38" i="3"/>
  <c r="BF67" i="3"/>
  <c r="AV39" i="3"/>
  <c r="BR87" i="3"/>
  <c r="BD31" i="3"/>
  <c r="AY30" i="3"/>
  <c r="BC37" i="3"/>
  <c r="C15" i="4" a="1"/>
  <c r="EY11" i="4" a="1"/>
  <c r="EP11" i="4" a="1"/>
  <c r="ES9" i="4" a="1"/>
  <c r="FF14" i="4" a="1"/>
  <c r="BQ34" i="3"/>
  <c r="GF6" i="4" a="1"/>
  <c r="GY5" i="4" a="1"/>
  <c r="FQ5" i="4" a="1"/>
  <c r="AM6" i="6" a="1"/>
  <c r="HE5" i="4" a="1"/>
  <c r="EU16" i="4" a="1"/>
  <c r="GT16" i="4" a="1"/>
  <c r="CL16" i="4" a="1"/>
  <c r="FD8" i="4" a="1"/>
  <c r="AD8" i="4" a="1"/>
  <c r="AE7" i="4" a="1"/>
  <c r="BD16" i="3"/>
  <c r="DD12" i="4" a="1"/>
  <c r="P14" i="4" a="1"/>
  <c r="CB6" i="4" a="1"/>
  <c r="BL45" i="3"/>
  <c r="BH28" i="3"/>
  <c r="BR36" i="3"/>
  <c r="AP7" i="3"/>
  <c r="BM19" i="3"/>
  <c r="BC38" i="3"/>
  <c r="AV16" i="3"/>
  <c r="BO7" i="3"/>
  <c r="BM40" i="3"/>
  <c r="BP35" i="3"/>
  <c r="BR16" i="3"/>
  <c r="BK24" i="3"/>
  <c r="BN66" i="3"/>
  <c r="BS35" i="3"/>
  <c r="BE12" i="3"/>
  <c r="BR46" i="3"/>
  <c r="BK23" i="3"/>
  <c r="FI13" i="4" a="1"/>
  <c r="BL12" i="3"/>
  <c r="BU33" i="3"/>
  <c r="BR19" i="3"/>
  <c r="BL10" i="3"/>
  <c r="BL86" i="3"/>
  <c r="FH13" i="4" a="1"/>
  <c r="FL15" i="4" a="1"/>
  <c r="BI93" i="3"/>
  <c r="BN73" i="3"/>
  <c r="BP37" i="3"/>
  <c r="BO92" i="3"/>
  <c r="BT14" i="3"/>
  <c r="BP87" i="3"/>
  <c r="BQ9" i="3"/>
  <c r="BO83" i="3"/>
  <c r="BU24" i="3"/>
  <c r="BE62" i="3"/>
  <c r="GX7" i="4" a="1"/>
  <c r="GD11" i="4" a="1"/>
  <c r="BG13" i="3"/>
  <c r="FH14" i="4" a="1"/>
  <c r="GU12" i="4" a="1"/>
  <c r="FL13" i="4" a="1"/>
  <c r="FP14" i="4" a="1"/>
  <c r="FM5" i="4" a="1"/>
  <c r="FL12" i="4" a="1"/>
  <c r="BO71" i="3"/>
  <c r="AW40" i="3"/>
  <c r="BP61" i="3"/>
  <c r="BH21" i="3"/>
  <c r="BH30" i="3"/>
  <c r="FO7" i="4" a="1"/>
  <c r="GG5" i="4" a="1"/>
  <c r="BU86" i="3"/>
  <c r="BP88" i="3"/>
  <c r="FM13" i="4" a="1"/>
  <c r="BD13" i="3"/>
  <c r="GY13" i="4" a="1"/>
  <c r="FV12" i="4" a="1"/>
  <c r="FE8" i="4" a="1"/>
  <c r="BE28" i="3"/>
  <c r="BJ69" i="3"/>
  <c r="BG88" i="3"/>
  <c r="FX7" i="4" a="1"/>
  <c r="FO8" i="4" a="1"/>
  <c r="BT25" i="3"/>
  <c r="FP6" i="4" a="1"/>
  <c r="BO58" i="3"/>
  <c r="AV10" i="3"/>
  <c r="FX13" i="4" a="1"/>
  <c r="AT46" i="3"/>
  <c r="BN23" i="3"/>
  <c r="BH19" i="3"/>
  <c r="GS14" i="4" a="1"/>
  <c r="BM89" i="3"/>
  <c r="BJ35" i="3"/>
  <c r="FJ8" i="4" a="1"/>
  <c r="BU17" i="3"/>
  <c r="GF13" i="4" a="1"/>
  <c r="GO14" i="4" a="1"/>
  <c r="BI76" i="3"/>
  <c r="AW15" i="3"/>
  <c r="HG8" i="4" a="1"/>
  <c r="FK16" i="4" a="1"/>
  <c r="O6" i="6" a="1"/>
  <c r="EQ13" i="4" a="1"/>
  <c r="FB9" i="4" a="1"/>
  <c r="BB40" i="3"/>
  <c r="AR34" i="3"/>
  <c r="AE15" i="4" a="1"/>
  <c r="AX45" i="3"/>
  <c r="AU11" i="3"/>
  <c r="AI6" i="4" a="1"/>
  <c r="GQ7" i="4" a="1"/>
  <c r="GC5" i="4" a="1"/>
  <c r="BL35" i="3"/>
  <c r="BS40" i="3"/>
  <c r="EY15" i="4" a="1"/>
  <c r="BT81" i="3"/>
  <c r="BB6" i="3"/>
  <c r="W6" i="6" a="1"/>
  <c r="AA6" i="6" a="1"/>
  <c r="AZ38" i="3"/>
  <c r="BF20" i="3"/>
  <c r="GB8" i="4" a="1"/>
  <c r="GI14" i="4" a="1"/>
  <c r="GJ16" i="4" a="1"/>
  <c r="ES15" i="4" a="1"/>
  <c r="GJ11" i="4" a="1"/>
  <c r="ET12" i="4" a="1"/>
  <c r="BD34" i="3"/>
  <c r="DO14" i="4" a="1"/>
  <c r="AF42" i="3"/>
  <c r="AZ8" i="3"/>
  <c r="BL6" i="4" a="1"/>
  <c r="BD45" i="3"/>
  <c r="S12" i="4" a="1"/>
  <c r="AG12" i="4" a="1"/>
  <c r="BM8" i="3"/>
  <c r="BT91" i="3"/>
  <c r="FU8" i="4" a="1"/>
  <c r="BP10" i="3"/>
  <c r="AZ32" i="3"/>
  <c r="BL9" i="3"/>
  <c r="AV42" i="3"/>
  <c r="BT97" i="3"/>
  <c r="BA17" i="3"/>
  <c r="GN9" i="4" a="1"/>
  <c r="BA21" i="3"/>
  <c r="BI92" i="3"/>
  <c r="AD6" i="6" a="1"/>
  <c r="BM15" i="3"/>
  <c r="BQ22" i="3"/>
  <c r="BR18" i="3"/>
  <c r="BO9" i="3"/>
  <c r="BN31" i="3"/>
  <c r="BS46" i="3"/>
  <c r="BH12" i="3"/>
  <c r="BU21" i="3"/>
  <c r="BO8" i="3"/>
  <c r="FM7" i="4" a="1"/>
  <c r="BO19" i="3"/>
  <c r="BO42" i="3"/>
  <c r="BF29" i="3"/>
  <c r="BO28" i="3"/>
  <c r="BR57" i="3"/>
  <c r="BE39" i="3"/>
  <c r="BO41" i="3"/>
  <c r="BI59" i="3"/>
  <c r="HC6" i="4" a="1"/>
  <c r="BG35" i="3"/>
  <c r="GD9" i="4" a="1"/>
  <c r="BP86" i="3"/>
  <c r="BR85" i="3"/>
  <c r="BN24" i="3"/>
  <c r="BI47" i="3"/>
  <c r="BN87" i="3"/>
  <c r="FI9" i="4" a="1"/>
  <c r="GH13" i="4" a="1"/>
  <c r="BU69" i="3"/>
  <c r="FG9" i="4" a="1"/>
  <c r="FO13" i="4" a="1"/>
  <c r="BO35" i="3"/>
  <c r="BE82" i="3"/>
  <c r="FT6" i="4" a="1"/>
  <c r="BS34" i="3"/>
  <c r="FM14" i="4" a="1"/>
  <c r="GG16" i="4" a="1"/>
  <c r="FW14" i="4" a="1"/>
  <c r="GZ15" i="4" a="1"/>
  <c r="BI94" i="3"/>
  <c r="BD29" i="3"/>
  <c r="GV6" i="4" a="1"/>
  <c r="BG28" i="3"/>
  <c r="BI77" i="3"/>
  <c r="GQ12" i="4" a="1"/>
  <c r="GC7" i="4" a="1"/>
  <c r="GW8" i="4" a="1"/>
  <c r="BR82" i="3"/>
  <c r="FU13" i="4" a="1"/>
  <c r="BA42" i="3"/>
  <c r="BA22" i="3"/>
  <c r="HF13" i="4" a="1"/>
  <c r="BI30" i="3"/>
  <c r="BM6" i="3"/>
  <c r="BR78" i="3"/>
  <c r="BM29" i="3"/>
  <c r="GA11" i="4" a="1"/>
  <c r="FX12" i="4" a="1"/>
  <c r="BS41" i="3"/>
  <c r="GL13" i="4" a="1"/>
  <c r="BO18" i="3"/>
  <c r="BP92" i="3"/>
  <c r="BH42" i="3"/>
  <c r="BS39" i="3"/>
  <c r="EX7" i="4" a="1"/>
  <c r="FU6" i="4" a="1"/>
  <c r="BO88" i="3"/>
  <c r="EX11" i="4" a="1"/>
  <c r="BH31" i="3"/>
  <c r="GK9" i="4" a="1"/>
  <c r="BM60" i="3"/>
  <c r="AX36" i="3"/>
  <c r="EX15" i="4" a="1"/>
  <c r="FO11" i="4" a="1"/>
  <c r="BT71" i="3"/>
  <c r="G6" i="6" a="1"/>
  <c r="BE96" i="3"/>
  <c r="BE59" i="3"/>
  <c r="GP8" i="4" a="1"/>
  <c r="GI9" i="4" a="1"/>
  <c r="HC8" i="4" a="1"/>
  <c r="GH8" i="4" a="1"/>
  <c r="FE11" i="4" a="1"/>
  <c r="BD35" i="3"/>
  <c r="AY28" i="3"/>
  <c r="GF5" i="4" a="1"/>
  <c r="CY16" i="4" a="1"/>
  <c r="FW11" i="4" a="1"/>
  <c r="N45" i="3"/>
  <c r="BN68" i="3"/>
  <c r="BO96" i="3"/>
  <c r="ES6" i="4" a="1"/>
  <c r="EQ12" i="4" a="1"/>
  <c r="FG15" i="4" a="1"/>
  <c r="AR6" i="3"/>
  <c r="ER7" i="4" a="1"/>
  <c r="FA12" i="4" a="1"/>
  <c r="AZ28" i="3"/>
  <c r="DY15" i="4" a="1"/>
  <c r="ER11" i="4" a="1"/>
  <c r="FU11" i="4" a="1"/>
  <c r="GR6" i="4" a="1"/>
  <c r="GK8" i="4" a="1"/>
  <c r="C6" i="4" a="1"/>
  <c r="BL94" i="3"/>
  <c r="AV9" i="3"/>
  <c r="BE89" i="3"/>
  <c r="EO12" i="4" a="1"/>
  <c r="GQ9" i="4" a="1"/>
  <c r="BA66" i="3"/>
  <c r="AX5" i="3"/>
  <c r="BT40" i="3"/>
  <c r="FI12" i="4" a="1"/>
  <c r="FV15" i="4" a="1"/>
  <c r="FV7" i="4" a="1"/>
  <c r="AZ22" i="3"/>
  <c r="HA9" i="4" a="1"/>
  <c r="HB7" i="4" a="1"/>
  <c r="FS6" i="4" a="1"/>
  <c r="EL13" i="4" a="1"/>
  <c r="FZ14" i="4" a="1"/>
  <c r="AS23" i="3"/>
  <c r="GL9" i="4" a="1"/>
  <c r="BA92" i="3"/>
  <c r="HC11" i="4" a="1"/>
  <c r="CY8" i="4" a="1"/>
  <c r="GP14" i="4" a="1"/>
  <c r="DR7" i="4" a="1"/>
  <c r="DW15" i="4" a="1"/>
  <c r="FN12" i="4" a="1"/>
  <c r="EJ5" i="4" a="1"/>
  <c r="FS5" i="4" a="1"/>
  <c r="EW13" i="4" a="1"/>
  <c r="AK6" i="6" a="1"/>
  <c r="BA61" i="3"/>
  <c r="DT7" i="4" a="1"/>
  <c r="EX9" i="4" a="1"/>
  <c r="AY38" i="3"/>
  <c r="AF46" i="3"/>
  <c r="BN92" i="3"/>
  <c r="BJ12" i="3"/>
  <c r="BJ71" i="3"/>
  <c r="BI42" i="3"/>
  <c r="GX13" i="4" a="1"/>
  <c r="BI56" i="3"/>
  <c r="BU66" i="3"/>
  <c r="BT46" i="3"/>
  <c r="BF87" i="3"/>
  <c r="GB12" i="4" a="1"/>
  <c r="GT12" i="4" a="1"/>
  <c r="AS8" i="3"/>
  <c r="BG17" i="3"/>
  <c r="AF26" i="3"/>
  <c r="FG12" i="4" a="1"/>
  <c r="CJ14" i="4" a="1"/>
  <c r="BI87" i="3"/>
  <c r="GM15" i="4" a="1"/>
  <c r="GD7" i="4" a="1"/>
  <c r="GO11" i="4" a="1"/>
  <c r="FQ12" i="4" a="1"/>
  <c r="BD12" i="3"/>
  <c r="AW42" i="3"/>
  <c r="BC15" i="3"/>
  <c r="BD8" i="3"/>
  <c r="FW7" i="4" a="1"/>
  <c r="EV11" i="4" a="1"/>
  <c r="AY39" i="3"/>
  <c r="CZ8" i="4" a="1"/>
  <c r="HA7" i="4" a="1"/>
  <c r="FH9" i="4" a="1"/>
  <c r="EM13" i="4" a="1"/>
  <c r="BD28" i="3"/>
  <c r="FJ13" i="4" a="1"/>
  <c r="BA20" i="3"/>
  <c r="AS15" i="3"/>
  <c r="C5" i="4" a="1"/>
  <c r="W5" i="6" a="1"/>
  <c r="AO6" i="3"/>
  <c r="AT8" i="3"/>
  <c r="BN76" i="3"/>
  <c r="HF15" i="4" a="1"/>
  <c r="FG13" i="4" a="1"/>
  <c r="BA37" i="3"/>
  <c r="GV8" i="4" a="1"/>
  <c r="AU34" i="3"/>
  <c r="HD9" i="4" a="1"/>
  <c r="AF8" i="3"/>
  <c r="GZ11" i="4" a="1"/>
  <c r="AM6" i="4" a="1"/>
  <c r="G16" i="4" a="1"/>
  <c r="BK20" i="3"/>
  <c r="GD15" i="4" a="1"/>
  <c r="GC13" i="4" a="1"/>
  <c r="GY6" i="4" a="1"/>
  <c r="AV40" i="3"/>
  <c r="GF16" i="4" a="1"/>
  <c r="BL31" i="3"/>
  <c r="HD15" i="4" a="1"/>
  <c r="FB5" i="4" a="1"/>
  <c r="EZ12" i="4" a="1"/>
  <c r="BA74" i="3"/>
  <c r="GL16" i="4" a="1"/>
  <c r="AB6" i="6" a="1"/>
  <c r="AY29" i="3"/>
  <c r="V5" i="4" a="1"/>
  <c r="AK5" i="6" a="1"/>
  <c r="AD14" i="4" a="1"/>
  <c r="DL9" i="4" a="1"/>
  <c r="GA16" i="4" a="1"/>
  <c r="AR5" i="4" a="1"/>
  <c r="BP63" i="3"/>
  <c r="BN54" i="3"/>
  <c r="BT84" i="3"/>
  <c r="AW23" i="3"/>
  <c r="BK38" i="3"/>
  <c r="FF15" i="4" a="1"/>
  <c r="AU18" i="3"/>
  <c r="BC8" i="3"/>
  <c r="AR7" i="3"/>
  <c r="DT9" i="4" a="1"/>
  <c r="AS21" i="3"/>
  <c r="BQ28" i="3"/>
  <c r="EF6" i="4" a="1"/>
  <c r="T15" i="4" a="1"/>
  <c r="FB12" i="4" a="1"/>
  <c r="CX15" i="4" a="1"/>
  <c r="BR11" i="4" a="1"/>
  <c r="AU16" i="3"/>
  <c r="E26" i="3"/>
  <c r="AY12" i="4" a="1"/>
  <c r="BR70" i="3"/>
  <c r="AG14" i="4" a="1"/>
  <c r="EW16" i="4" a="1"/>
  <c r="EK14" i="4" a="1"/>
  <c r="CS8" i="4" a="1"/>
  <c r="BA25" i="3"/>
  <c r="AK13" i="4" a="1"/>
  <c r="AS36" i="3"/>
  <c r="FR11" i="4" a="1"/>
  <c r="CI7" i="4" a="1"/>
  <c r="DU5" i="4" a="1"/>
  <c r="EQ14" i="4" a="1"/>
  <c r="E5" i="4" a="1"/>
  <c r="CD5" i="4" a="1"/>
  <c r="EI11" i="4" a="1"/>
  <c r="BT6" i="3"/>
  <c r="BR58" i="3"/>
  <c r="GU5" i="4" a="1"/>
  <c r="BO31" i="3"/>
  <c r="C5" i="3"/>
  <c r="BF30" i="3"/>
  <c r="BJ40" i="3"/>
  <c r="GR15" i="4" a="1"/>
  <c r="GB13" i="4" a="1"/>
  <c r="BU56" i="3"/>
  <c r="GX16" i="4" a="1"/>
  <c r="DX5" i="4" a="1"/>
  <c r="FJ9" i="4" a="1"/>
  <c r="K6" i="6" a="1"/>
  <c r="BB45" i="3"/>
  <c r="BF6" i="4" a="1"/>
  <c r="GC11" i="4" a="1"/>
  <c r="AS13" i="3"/>
  <c r="AW28" i="3"/>
  <c r="AS5" i="6" a="1"/>
  <c r="BJ33" i="3"/>
  <c r="BB19" i="3"/>
  <c r="EW9" i="4" a="1"/>
  <c r="AX13" i="3"/>
  <c r="BA15" i="3"/>
  <c r="BC41" i="3"/>
  <c r="DY11" i="4" a="1"/>
  <c r="AF36" i="3"/>
  <c r="AT26" i="3"/>
  <c r="BG67" i="3"/>
  <c r="HE11" i="4" a="1"/>
  <c r="GP9" i="4" a="1"/>
  <c r="AX26" i="3"/>
  <c r="GK12" i="4" a="1"/>
  <c r="BR94" i="3"/>
  <c r="AH6" i="6" a="1"/>
  <c r="AS31" i="3"/>
  <c r="F6" i="3"/>
  <c r="DA11" i="4" a="1"/>
  <c r="AY37" i="3"/>
  <c r="FT13" i="4" a="1"/>
  <c r="FS16" i="4" a="1"/>
  <c r="FV9" i="4" a="1"/>
  <c r="EY14" i="4" a="1"/>
  <c r="GB16" i="4" a="1"/>
  <c r="BB46" i="3"/>
  <c r="FW6" i="4" a="1"/>
  <c r="P7" i="4" a="1"/>
  <c r="GW15" i="4" a="1"/>
  <c r="DE12" i="4" a="1"/>
  <c r="X16" i="4" a="1"/>
  <c r="HA8" i="4" a="1"/>
  <c r="BL14" i="3"/>
  <c r="BD6" i="3"/>
  <c r="HF5" i="4" a="1"/>
  <c r="AS24" i="3"/>
  <c r="HD13" i="4" a="1"/>
  <c r="GU11" i="4" a="1"/>
  <c r="BA80" i="3"/>
  <c r="EL8" i="4" a="1"/>
  <c r="AT23" i="3"/>
  <c r="BI5" i="4" a="1"/>
  <c r="GU14" i="4" a="1"/>
  <c r="AT27" i="3"/>
  <c r="EM15" i="4" a="1"/>
  <c r="AR45" i="3"/>
  <c r="AY32" i="3"/>
  <c r="BA48" i="3"/>
  <c r="N15" i="4" a="1"/>
  <c r="BB39" i="3"/>
  <c r="AZ34" i="3"/>
  <c r="GW6" i="4" a="1"/>
  <c r="GY8" i="4" a="1"/>
  <c r="BM96" i="3"/>
  <c r="BB33" i="3"/>
  <c r="BR72" i="3"/>
  <c r="ET13" i="4" a="1"/>
  <c r="AZ40" i="3"/>
  <c r="BT90" i="3"/>
  <c r="CL7" i="4" a="1"/>
  <c r="O5" i="6" a="1"/>
  <c r="GP7" i="4" a="1"/>
  <c r="BA67" i="3"/>
  <c r="G15" i="4" a="1"/>
  <c r="EZ5" i="4" a="1"/>
  <c r="Y6" i="6" a="1"/>
  <c r="N14" i="4" a="1"/>
  <c r="AX35" i="3"/>
  <c r="C74" i="3"/>
  <c r="AT5" i="4" a="1"/>
  <c r="FY8" i="4" a="1"/>
  <c r="AS19" i="3"/>
  <c r="L6" i="4" a="1"/>
  <c r="R9" i="4" a="1"/>
  <c r="C91" i="3"/>
  <c r="ER8" i="4" a="1"/>
  <c r="AV36" i="3"/>
  <c r="BL47" i="3"/>
  <c r="FA13" i="4" a="1"/>
  <c r="BB32" i="3"/>
  <c r="AI8" i="4" a="1"/>
  <c r="AS29" i="3"/>
  <c r="BA75" i="3"/>
  <c r="K5" i="4" a="1"/>
  <c r="DM12" i="4" a="1"/>
  <c r="EH6" i="4" a="1"/>
  <c r="CE5" i="4" a="1"/>
  <c r="BM48" i="3"/>
  <c r="BN60" i="3"/>
  <c r="BI27" i="3"/>
  <c r="GE5" i="4" a="1"/>
  <c r="BR55" i="3"/>
  <c r="BT15" i="3"/>
  <c r="FW8" i="4" a="1"/>
  <c r="BG34" i="3"/>
  <c r="GX5" i="4" a="1"/>
  <c r="FO16" i="4" a="1"/>
  <c r="GJ14" i="4" a="1"/>
  <c r="BQ25" i="3"/>
  <c r="BJ87" i="3"/>
  <c r="BI28" i="3"/>
  <c r="FA14" i="4" a="1"/>
  <c r="CI14" i="4" a="1"/>
  <c r="EY16" i="4" a="1"/>
  <c r="GI5" i="4" a="1"/>
  <c r="BQ29" i="3"/>
  <c r="AR6" i="6" a="1"/>
  <c r="EM9" i="4" a="1"/>
  <c r="AF23" i="3"/>
  <c r="BI14" i="3"/>
  <c r="FD7" i="4" a="1"/>
  <c r="BU13" i="4" a="1"/>
  <c r="AF41" i="3"/>
  <c r="U6" i="6" a="1"/>
  <c r="BC36" i="3"/>
  <c r="G7" i="4" a="1"/>
  <c r="EQ16" i="4" a="1"/>
  <c r="DD9" i="4" a="1"/>
  <c r="BU77" i="3"/>
  <c r="BC30" i="3"/>
  <c r="FM9" i="4" a="1"/>
  <c r="BA62" i="3"/>
  <c r="FI15" i="4" a="1"/>
  <c r="HF8" i="4" a="1"/>
  <c r="AK7" i="4" a="1"/>
  <c r="BA86" i="3"/>
  <c r="BA73" i="3"/>
  <c r="BU84" i="3"/>
  <c r="BP20" i="3"/>
  <c r="GL11" i="4" a="1"/>
  <c r="BC27" i="3"/>
  <c r="FM15" i="4" a="1"/>
  <c r="AF37" i="3"/>
  <c r="FI11" i="4" a="1"/>
  <c r="EY9" i="4" a="1"/>
  <c r="BD23" i="3"/>
  <c r="EG16" i="4" a="1"/>
  <c r="FA6" i="4" a="1"/>
  <c r="CS14" i="4" a="1"/>
  <c r="AG7" i="4" a="1"/>
  <c r="BE64" i="3"/>
  <c r="GO12" i="4" a="1"/>
  <c r="EZ9" i="4" a="1"/>
  <c r="GG15" i="4" a="1"/>
  <c r="O12" i="4" a="1"/>
  <c r="GU16" i="4" a="1"/>
  <c r="BJ9" i="3"/>
  <c r="BF81" i="3"/>
  <c r="BF65" i="3"/>
  <c r="AV34" i="3"/>
  <c r="BP31" i="3"/>
  <c r="BA38" i="3"/>
  <c r="AW9" i="3"/>
  <c r="AX15" i="3"/>
  <c r="C57" i="3"/>
  <c r="EV7" i="4" a="1"/>
  <c r="EH16" i="4" a="1"/>
  <c r="EN7" i="4" a="1"/>
  <c r="AU36" i="3"/>
  <c r="BE17" i="3"/>
  <c r="GA5" i="4" a="1"/>
  <c r="GS5" i="4" a="1"/>
  <c r="FN5" i="4" a="1"/>
  <c r="P5" i="6" a="1"/>
  <c r="BF80" i="3"/>
  <c r="EP15" i="4" a="1"/>
  <c r="BR86" i="3"/>
  <c r="AZ11" i="3"/>
  <c r="BE87" i="3"/>
  <c r="AN6" i="6" a="1"/>
  <c r="AX33" i="3"/>
  <c r="BM36" i="3"/>
  <c r="GA13" i="4" a="1"/>
  <c r="AJ6" i="6" a="1"/>
  <c r="BU31" i="3"/>
  <c r="ER13" i="4" a="1"/>
  <c r="N6" i="6" a="1"/>
  <c r="K13" i="4" a="1"/>
  <c r="D27" i="3"/>
  <c r="CT15" i="4" a="1"/>
  <c r="BU16" i="4" a="1"/>
  <c r="BL19" i="3"/>
  <c r="BK25" i="3"/>
  <c r="GL6" i="4" a="1"/>
  <c r="BP93" i="3"/>
  <c r="BH34" i="3"/>
  <c r="AT42" i="3"/>
  <c r="BN7" i="3"/>
  <c r="BL40" i="3"/>
  <c r="FO9" i="4" a="1"/>
  <c r="GG11" i="4" a="1"/>
  <c r="AF16" i="3"/>
  <c r="BI90" i="3"/>
  <c r="AX16" i="3"/>
  <c r="F22" i="3"/>
  <c r="C61" i="3"/>
  <c r="GU13" i="4" a="1"/>
  <c r="BM75" i="3"/>
  <c r="AY11" i="3"/>
  <c r="BA35" i="3"/>
  <c r="AP6" i="6" a="1"/>
  <c r="FQ11" i="4" a="1"/>
  <c r="EO9" i="4" a="1"/>
  <c r="DS8" i="4" a="1"/>
  <c r="AY5" i="6" a="1"/>
  <c r="BA77" i="3"/>
  <c r="AT15" i="3"/>
  <c r="AL11" i="4" a="1"/>
  <c r="AX40" i="3"/>
  <c r="C16" i="4" a="1"/>
  <c r="FU5" i="4" a="1"/>
  <c r="GJ13" i="4" a="1"/>
  <c r="GU15" i="4" a="1"/>
  <c r="ET15" i="4" a="1"/>
  <c r="FA8" i="4" a="1"/>
  <c r="GD6" i="4" a="1"/>
  <c r="X15" i="4" a="1"/>
  <c r="AT29" i="3"/>
  <c r="EI6" i="4" a="1"/>
  <c r="FQ9" i="4" a="1"/>
  <c r="BR17" i="3"/>
  <c r="BN62" i="3"/>
  <c r="BA87" i="3"/>
  <c r="BD33" i="3"/>
  <c r="C97" i="3"/>
  <c r="GT13" i="4" a="1"/>
  <c r="AY19" i="3"/>
  <c r="BC23" i="3"/>
  <c r="O6" i="4" a="1"/>
  <c r="AU5" i="6" a="1"/>
  <c r="AV14" i="3"/>
  <c r="DO7" i="4" a="1"/>
  <c r="BF35" i="3"/>
  <c r="HE13" i="4" a="1"/>
  <c r="BB18" i="3"/>
  <c r="FF6" i="4" a="1"/>
  <c r="BN18" i="3"/>
  <c r="FD12" i="4" a="1"/>
  <c r="BE94" i="3"/>
  <c r="FI5" i="4" a="1"/>
  <c r="BJ65" i="3"/>
  <c r="AS37" i="3"/>
  <c r="BI55" i="3"/>
  <c r="AU25" i="3"/>
  <c r="AU15" i="3"/>
  <c r="AF5" i="6" a="1"/>
  <c r="BT69" i="3"/>
  <c r="BC5" i="3"/>
  <c r="AQ6" i="3"/>
  <c r="AL13" i="4" a="1"/>
  <c r="AU38" i="3"/>
  <c r="BU71" i="3"/>
  <c r="BH39" i="3"/>
  <c r="BB5" i="3"/>
  <c r="GS8" i="4" a="1"/>
  <c r="FD11" i="4" a="1"/>
  <c r="HH14" i="4" a="1"/>
  <c r="BA63" i="3"/>
  <c r="GA9" i="4" a="1"/>
  <c r="AY17" i="3"/>
  <c r="FJ11" i="4" a="1"/>
  <c r="AX19" i="3"/>
  <c r="DM6" i="4" a="1"/>
  <c r="EP16" i="4" a="1"/>
  <c r="AW12" i="3"/>
  <c r="AU11" i="4" a="1"/>
  <c r="BJ66" i="3"/>
  <c r="AZ16" i="3"/>
  <c r="AQ12" i="4" a="1"/>
  <c r="DR5" i="4" a="1"/>
  <c r="AT19" i="3"/>
  <c r="EF15" i="4" a="1"/>
  <c r="DK14" i="4" a="1"/>
  <c r="EQ5" i="4" a="1"/>
  <c r="AQ15" i="4" a="1"/>
  <c r="BJ5" i="4" a="1"/>
  <c r="FN8" i="4" a="1"/>
  <c r="DX16" i="4" a="1"/>
  <c r="Y45" i="3"/>
  <c r="Z8" i="4" a="1"/>
  <c r="CE8" i="4" a="1"/>
  <c r="FE5" i="4" a="1"/>
  <c r="AE16" i="4" a="1"/>
  <c r="FY12" i="4" a="1"/>
  <c r="BD15" i="4" a="1"/>
  <c r="D14" i="4" a="1"/>
  <c r="BF92" i="3"/>
  <c r="AS25" i="3"/>
  <c r="AN5" i="4" a="1"/>
  <c r="DL7" i="4" a="1"/>
  <c r="FZ7" i="4" a="1"/>
  <c r="BD30" i="3"/>
  <c r="BC90" i="3"/>
  <c r="BV9" i="4" a="1"/>
  <c r="AU30" i="3"/>
  <c r="CP7" i="4" a="1"/>
  <c r="DQ14" i="4" a="1"/>
  <c r="BB92" i="3"/>
  <c r="DC15" i="4" a="1"/>
  <c r="BQ6" i="4" a="1"/>
  <c r="BC29" i="3"/>
  <c r="AA46" i="3"/>
  <c r="G9" i="4" a="1"/>
  <c r="BC50" i="3"/>
  <c r="AR37" i="3"/>
  <c r="BI67" i="3"/>
  <c r="AV23" i="3"/>
  <c r="EA9" i="4" a="1"/>
  <c r="BF46" i="3"/>
  <c r="BF23" i="3"/>
  <c r="BR20" i="3"/>
  <c r="HG11" i="4" a="1"/>
  <c r="BM12" i="3"/>
  <c r="BJ39" i="3"/>
  <c r="HB15" i="4" a="1"/>
  <c r="GI7" i="4" a="1"/>
  <c r="BO60" i="3"/>
  <c r="GV5" i="4" a="1"/>
  <c r="FI16" i="4" a="1"/>
  <c r="BD17" i="3"/>
  <c r="BC25" i="3"/>
  <c r="AG6" i="6" a="1"/>
  <c r="BA49" i="3"/>
  <c r="AD10" i="3"/>
  <c r="AS27" i="3"/>
  <c r="HE12" i="4" a="1"/>
  <c r="EX5" i="4" a="1"/>
  <c r="AT25" i="3"/>
  <c r="ET16" i="4" a="1"/>
  <c r="BE93" i="3"/>
  <c r="BH40" i="3"/>
  <c r="BS18" i="3"/>
  <c r="BL37" i="3"/>
  <c r="AW6" i="6" a="1"/>
  <c r="AY12" i="3"/>
  <c r="BO7" i="4" a="1"/>
  <c r="EX8" i="4" a="1"/>
  <c r="AU12" i="3"/>
  <c r="GG6" i="4" a="1"/>
  <c r="GM14" i="4" a="1"/>
  <c r="HH15" i="4" a="1"/>
  <c r="BL9" i="4" a="1"/>
  <c r="AU40" i="3"/>
  <c r="HH16" i="4" a="1"/>
  <c r="BI15" i="3"/>
  <c r="D13" i="4" a="1"/>
  <c r="E6" i="3"/>
  <c r="GG12" i="4" a="1"/>
  <c r="BU81" i="3"/>
  <c r="FP9" i="4" a="1"/>
  <c r="EN5" i="4" a="1"/>
  <c r="BB29" i="3"/>
  <c r="L7" i="4" a="1"/>
  <c r="GA14" i="4" a="1"/>
  <c r="BA8" i="3"/>
  <c r="EM14" i="4" a="1"/>
  <c r="AW6" i="3"/>
  <c r="AZ21" i="3"/>
  <c r="EW7" i="4" a="1"/>
  <c r="AU28" i="3"/>
  <c r="FM6" i="4" a="1"/>
  <c r="BB42" i="3"/>
  <c r="AY42" i="3"/>
  <c r="AT35" i="3"/>
  <c r="BG85" i="3"/>
  <c r="BM85" i="3"/>
  <c r="FG8" i="4" a="1"/>
  <c r="GX8" i="4" a="1"/>
  <c r="GV11" i="4" a="1"/>
  <c r="AF6" i="6" a="1"/>
  <c r="BR97" i="3"/>
  <c r="AS28" i="3"/>
  <c r="BI71" i="3"/>
  <c r="EZ15" i="4" a="1"/>
  <c r="BN47" i="3"/>
  <c r="AF18" i="3"/>
  <c r="AY6" i="3"/>
  <c r="BK5" i="3"/>
  <c r="AY27" i="3"/>
  <c r="FX9" i="4" a="1"/>
  <c r="BU59" i="3"/>
  <c r="BD15" i="3"/>
  <c r="HA5" i="4" a="1"/>
  <c r="EZ11" i="4" a="1"/>
  <c r="GN5" i="4" a="1"/>
  <c r="AT40" i="3"/>
  <c r="FZ6" i="4" a="1"/>
  <c r="AV13" i="3"/>
  <c r="GM6" i="4" a="1"/>
  <c r="R14" i="4" a="1"/>
  <c r="DR11" i="4" a="1"/>
  <c r="F38" i="3"/>
  <c r="BB77" i="3"/>
  <c r="AL9" i="4" a="1"/>
  <c r="FM12" i="4" a="1"/>
  <c r="BA5" i="4" a="1"/>
  <c r="AL12" i="4" a="1"/>
  <c r="BM65" i="3"/>
  <c r="DM16" i="4" a="1"/>
  <c r="ED11" i="4" a="1"/>
  <c r="CU6" i="4" a="1"/>
  <c r="BC79" i="3"/>
  <c r="R15" i="4" a="1"/>
  <c r="E12" i="4" a="1"/>
  <c r="FP15" i="4" a="1"/>
  <c r="AF15" i="4" a="1"/>
  <c r="Z5" i="6" a="1"/>
  <c r="E29" i="3"/>
  <c r="AD9" i="4" a="1"/>
  <c r="BA64" i="3"/>
  <c r="EH8" i="4" a="1"/>
  <c r="GW12" i="4" a="1"/>
  <c r="DT12" i="4" a="1"/>
  <c r="AF10" i="3"/>
  <c r="FN14" i="4" a="1"/>
  <c r="BI7" i="4" a="1"/>
  <c r="AS5" i="4" a="1"/>
  <c r="K6" i="4" a="1"/>
  <c r="EZ8" i="4" a="1"/>
  <c r="BC18" i="3"/>
  <c r="AF31" i="3"/>
  <c r="BK55" i="3"/>
  <c r="EW15" i="4" a="1"/>
  <c r="C66" i="3"/>
  <c r="BU14" i="4" a="1"/>
  <c r="AD14" i="3"/>
  <c r="V9" i="4" a="1"/>
  <c r="AV22" i="3"/>
  <c r="EY8" i="4" a="1"/>
  <c r="BB96" i="3"/>
  <c r="FB15" i="4" a="1"/>
  <c r="EN8" i="4" a="1"/>
  <c r="EP8" i="4" a="1"/>
  <c r="GV14" i="4" a="1"/>
  <c r="F42" i="3"/>
  <c r="D21" i="3"/>
  <c r="S13" i="4" a="1"/>
  <c r="BE40" i="3"/>
  <c r="BS28" i="3"/>
  <c r="GR8" i="4" a="1"/>
  <c r="BG36" i="3"/>
  <c r="HD14" i="4" a="1"/>
  <c r="GN8" i="4" a="1"/>
  <c r="BE11" i="3"/>
  <c r="BI68" i="3"/>
  <c r="BO68" i="3"/>
  <c r="BE8" i="3"/>
  <c r="GN14" i="4" a="1"/>
  <c r="BG63" i="3"/>
  <c r="BA7" i="3"/>
  <c r="C89" i="3"/>
  <c r="BW12" i="4" a="1"/>
  <c r="DZ16" i="4" a="1"/>
  <c r="AV20" i="3"/>
  <c r="BA28" i="3"/>
  <c r="BK11" i="3"/>
  <c r="BP16" i="3"/>
  <c r="BI73" i="3"/>
  <c r="BO24" i="3"/>
  <c r="GN16" i="4" a="1"/>
  <c r="GZ12" i="4" a="1"/>
  <c r="BL91" i="3"/>
  <c r="EP7" i="4" a="1"/>
  <c r="X6" i="6" a="1"/>
  <c r="BL61" i="3"/>
  <c r="EL14" i="4" a="1"/>
  <c r="AK12" i="4" a="1"/>
  <c r="FL7" i="4" a="1"/>
  <c r="BA46" i="3"/>
  <c r="EZ14" i="4" a="1"/>
  <c r="BF91" i="3"/>
  <c r="AX5" i="6" a="1"/>
  <c r="FA9" i="4" a="1"/>
  <c r="HD11" i="4" a="1"/>
  <c r="DJ15" i="4" a="1"/>
  <c r="BD18" i="3"/>
  <c r="BA10" i="3"/>
  <c r="BO76" i="3"/>
  <c r="GW9" i="4" a="1"/>
  <c r="AS32" i="3"/>
  <c r="AX31" i="3"/>
  <c r="BT31" i="3"/>
  <c r="BD26" i="3"/>
  <c r="AF45" i="3"/>
  <c r="E5" i="6" a="1"/>
  <c r="BR14" i="3"/>
  <c r="EL15" i="4" a="1"/>
  <c r="DN15" i="4" a="1"/>
  <c r="EA5" i="4" a="1"/>
  <c r="BM10" i="3"/>
  <c r="BG48" i="3"/>
  <c r="BI25" i="3"/>
  <c r="AF39" i="3"/>
  <c r="BO57" i="3"/>
  <c r="BE33" i="3"/>
  <c r="GY14" i="4" a="1"/>
  <c r="GK13" i="4" a="1"/>
  <c r="FI8" i="4" a="1"/>
  <c r="AY22" i="3"/>
  <c r="GS16" i="4" a="1"/>
  <c r="FF11" i="4" a="1"/>
  <c r="BU57" i="3"/>
  <c r="AX21" i="3"/>
  <c r="FT9" i="4" a="1"/>
  <c r="C60" i="3"/>
  <c r="F12" i="4" a="1"/>
  <c r="BR50" i="3"/>
  <c r="C86" i="3"/>
  <c r="FT8" i="4" a="1"/>
  <c r="GQ5" i="4" a="1"/>
  <c r="Q5" i="6" a="1"/>
  <c r="FN16" i="4" a="1"/>
  <c r="BA40" i="3"/>
  <c r="FN6" i="4" a="1"/>
  <c r="BB31" i="3"/>
  <c r="FW13" i="4" a="1"/>
  <c r="F8" i="3"/>
  <c r="BB83" i="3"/>
  <c r="CU16" i="4" a="1"/>
  <c r="EC13" i="4" a="1"/>
  <c r="BO8" i="4" a="1"/>
  <c r="BE11" i="4" a="1"/>
  <c r="F29" i="3"/>
  <c r="GR16" i="4" a="1"/>
  <c r="CO9" i="4" a="1"/>
  <c r="DF13" i="4" a="1"/>
  <c r="FH8" i="4" a="1"/>
  <c r="C54" i="3"/>
  <c r="CD6" i="4" a="1"/>
  <c r="F37" i="3"/>
  <c r="EP12" i="4" a="1"/>
  <c r="AY11" i="4" a="1"/>
  <c r="EA14" i="4" a="1"/>
  <c r="ET9" i="4" a="1"/>
  <c r="C7" i="4" a="1"/>
  <c r="CU11" i="4" a="1"/>
  <c r="CW9" i="4" a="1"/>
  <c r="DV6" i="4" a="1"/>
  <c r="S15" i="4" a="1"/>
  <c r="BY15" i="4" a="1"/>
  <c r="BM34" i="3"/>
  <c r="BI96" i="3"/>
  <c r="GR5" i="4" a="1"/>
  <c r="AZ10" i="3"/>
  <c r="AT36" i="3"/>
  <c r="BP79" i="3"/>
  <c r="AW34" i="3"/>
  <c r="BJ67" i="3"/>
  <c r="GT6" i="4" a="1"/>
  <c r="BA58" i="3"/>
  <c r="BD40" i="3"/>
  <c r="AV32" i="3"/>
  <c r="BA84" i="3"/>
  <c r="F9" i="4" a="1"/>
  <c r="AD15" i="3"/>
  <c r="AV28" i="3"/>
  <c r="BT48" i="3"/>
  <c r="BD39" i="3"/>
  <c r="N12" i="4" a="1"/>
  <c r="BF14" i="4" a="1"/>
  <c r="BM81" i="3"/>
  <c r="GD8" i="4" a="1"/>
  <c r="BB13" i="3"/>
  <c r="BD46" i="3"/>
  <c r="BL12" i="4" a="1"/>
  <c r="BF73" i="3"/>
  <c r="BD8" i="4" a="1"/>
  <c r="R12" i="4" a="1"/>
  <c r="AY23" i="3"/>
  <c r="AL6" i="6" a="1"/>
  <c r="BB34" i="3"/>
  <c r="AS9" i="4" a="1"/>
  <c r="AZ20" i="3"/>
  <c r="T5" i="6" a="1"/>
  <c r="BV12" i="4" a="1"/>
  <c r="DV11" i="4" a="1"/>
  <c r="I8" i="4" a="1"/>
  <c r="BC11" i="3"/>
  <c r="EG12" i="4" a="1"/>
  <c r="BA36" i="3"/>
  <c r="AH5" i="4" a="1"/>
  <c r="AU35" i="3"/>
  <c r="CG9" i="4" a="1"/>
  <c r="EQ11" i="4" a="1"/>
  <c r="CO13" i="4" a="1"/>
  <c r="BB9" i="3"/>
  <c r="AZ26" i="3"/>
  <c r="CA7" i="4" a="1"/>
  <c r="EI15" i="4" a="1"/>
  <c r="C11" i="4" a="1"/>
  <c r="BA18" i="3"/>
  <c r="FA16" i="4" a="1"/>
  <c r="BB93" i="3"/>
  <c r="AY31" i="3"/>
  <c r="AY40" i="3"/>
  <c r="BT14" i="4" a="1"/>
  <c r="AL16" i="4" a="1"/>
  <c r="J5" i="6" a="1"/>
  <c r="H46" i="3"/>
  <c r="C76" i="3"/>
  <c r="AZ36" i="3"/>
  <c r="CB9" i="4" a="1"/>
  <c r="AE8" i="4" a="1"/>
  <c r="D41" i="3"/>
  <c r="BD14" i="3"/>
  <c r="FR14" i="4" a="1"/>
  <c r="DS14" i="4" a="1"/>
  <c r="AR9" i="4" a="1"/>
  <c r="AQ11" i="4" a="1"/>
  <c r="BC19" i="3"/>
  <c r="AL46" i="3"/>
  <c r="U9" i="4" a="1"/>
  <c r="BL46" i="3"/>
  <c r="AW14" i="4" a="1"/>
  <c r="H16" i="4" a="1"/>
  <c r="AC8" i="4" a="1"/>
  <c r="BA29" i="3"/>
  <c r="HA11" i="4" a="1"/>
  <c r="DE6" i="4" a="1"/>
  <c r="AS20" i="3"/>
  <c r="BC94" i="3"/>
  <c r="BC8" i="4" a="1"/>
  <c r="CM15" i="4" a="1"/>
  <c r="R46" i="3"/>
  <c r="EC16" i="4" a="1"/>
  <c r="C73" i="3"/>
  <c r="DY14" i="4" a="1"/>
  <c r="FU15" i="4" a="1"/>
  <c r="CW7" i="4" a="1"/>
  <c r="AR41" i="3"/>
  <c r="EN15" i="4" a="1"/>
  <c r="AB12" i="4" a="1"/>
  <c r="AB14" i="4" a="1"/>
  <c r="CI5" i="4" a="1"/>
  <c r="AN7" i="4" a="1"/>
  <c r="EX12" i="4" a="1"/>
  <c r="P8" i="4" a="1"/>
  <c r="AM13" i="4" a="1"/>
  <c r="EV5" i="4" a="1"/>
  <c r="D16" i="3"/>
  <c r="E11" i="4" a="1"/>
  <c r="AW19" i="3"/>
  <c r="I5" i="6" a="1"/>
  <c r="AZ7" i="4" a="1"/>
  <c r="CD12" i="4" a="1"/>
  <c r="AO13" i="4" a="1"/>
  <c r="D34" i="3"/>
  <c r="C67" i="3"/>
  <c r="F20" i="3"/>
  <c r="E46" i="3"/>
  <c r="BE36" i="3"/>
  <c r="FK14" i="4" a="1"/>
  <c r="BG92" i="3"/>
  <c r="BM64" i="3"/>
  <c r="AX41" i="3"/>
  <c r="BC20" i="3"/>
  <c r="F33" i="3"/>
  <c r="FA11" i="4" a="1"/>
  <c r="BM14" i="4" a="1"/>
  <c r="AF20" i="3"/>
  <c r="AW45" i="3"/>
  <c r="BB12" i="3"/>
  <c r="BD38" i="3"/>
  <c r="BB36" i="3"/>
  <c r="CC8" i="4" a="1"/>
  <c r="BD5" i="3"/>
  <c r="M6" i="6" a="1"/>
  <c r="AX17" i="3"/>
  <c r="AP13" i="4" a="1"/>
  <c r="F7" i="4" a="1"/>
  <c r="FX8" i="4" a="1"/>
  <c r="BC24" i="3"/>
  <c r="I14" i="4" a="1"/>
  <c r="AV25" i="3"/>
  <c r="AW36" i="3"/>
  <c r="GR7" i="4" a="1"/>
  <c r="BS15" i="4" a="1"/>
  <c r="AZ13" i="4" a="1"/>
  <c r="DO15" i="4" a="1"/>
  <c r="HD6" i="4" a="1"/>
  <c r="Q5" i="4" a="1"/>
  <c r="Z6" i="4" a="1"/>
  <c r="AT34" i="3"/>
  <c r="CP11" i="4" a="1"/>
  <c r="BM80" i="3"/>
  <c r="AA5" i="4" a="1"/>
  <c r="CY13" i="4" a="1"/>
  <c r="AH9" i="4" a="1"/>
  <c r="AS6" i="3"/>
  <c r="AR33" i="3"/>
  <c r="HA12" i="4" a="1"/>
  <c r="FR7" i="4" a="1"/>
  <c r="AO14" i="4" a="1"/>
  <c r="AT32" i="3"/>
  <c r="BC32" i="3"/>
  <c r="BA65" i="3"/>
  <c r="DS11" i="4" a="1"/>
  <c r="AT6" i="6" a="1"/>
  <c r="D6" i="6" a="1"/>
  <c r="CH12" i="4" a="1"/>
  <c r="AY10" i="3"/>
  <c r="AF25" i="3"/>
  <c r="U14" i="4" a="1"/>
  <c r="GK11" i="4" a="1"/>
  <c r="EL6" i="4" a="1"/>
  <c r="EA7" i="4" a="1"/>
  <c r="BR29" i="3"/>
  <c r="CN14" i="4" a="1"/>
  <c r="BB6" i="4" a="1"/>
  <c r="CT11" i="4" a="1"/>
  <c r="BD27" i="3"/>
  <c r="DC13" i="4" a="1"/>
  <c r="Z14" i="4" a="1"/>
  <c r="N8" i="4" a="1"/>
  <c r="AM46" i="3"/>
  <c r="L6" i="6" a="1"/>
  <c r="Z46" i="3"/>
  <c r="BB63" i="3"/>
  <c r="CP8" i="4" a="1"/>
  <c r="BA33" i="3"/>
  <c r="AF38" i="3"/>
  <c r="AM12" i="4" a="1"/>
  <c r="GE6" i="4" a="1"/>
  <c r="AV18" i="3"/>
  <c r="CC13" i="4" a="1"/>
  <c r="DP6" i="4" a="1"/>
  <c r="BB23" i="3"/>
  <c r="BH5" i="4" a="1"/>
  <c r="EI8" i="4" a="1"/>
  <c r="AN11" i="4" a="1"/>
  <c r="FS8" i="4" a="1"/>
  <c r="DL11" i="4" a="1"/>
  <c r="E8" i="3"/>
  <c r="BY14" i="4" a="1"/>
  <c r="EO7" i="4" a="1"/>
  <c r="EG8" i="4" a="1"/>
  <c r="BA9" i="3"/>
  <c r="BO15" i="4" a="1"/>
  <c r="CF5" i="4" a="1"/>
  <c r="AF28" i="3"/>
  <c r="AW41" i="3"/>
  <c r="EM16" i="4" a="1"/>
  <c r="E27" i="3"/>
  <c r="V14" i="4" a="1"/>
  <c r="AZ15" i="3"/>
  <c r="CX16" i="4" a="1"/>
  <c r="DG13" i="4" a="1"/>
  <c r="AH16" i="4" a="1"/>
  <c r="O8" i="4" a="1"/>
  <c r="L5" i="4" a="1"/>
  <c r="DG12" i="4" a="1"/>
  <c r="AB6" i="4" a="1"/>
  <c r="AX90" i="3"/>
  <c r="AY33" i="3"/>
  <c r="CH7" i="4" a="1"/>
  <c r="BS13" i="4" a="1"/>
  <c r="BP30" i="3"/>
  <c r="E42" i="3"/>
  <c r="ED9" i="4" a="1"/>
  <c r="AR26" i="3"/>
  <c r="CI8" i="4" a="1"/>
  <c r="EI9" i="4" a="1"/>
  <c r="F11" i="4" a="1"/>
  <c r="BO77" i="3"/>
  <c r="BP66" i="3"/>
  <c r="EN16" i="4" a="1"/>
  <c r="DR13" i="4" a="1"/>
  <c r="AV41" i="3"/>
  <c r="CV6" i="4" a="1"/>
  <c r="U13" i="4" a="1"/>
  <c r="AY6" i="4" a="1"/>
  <c r="AS12" i="3"/>
  <c r="U16" i="4" a="1"/>
  <c r="BB24" i="3"/>
  <c r="AU24" i="3"/>
  <c r="BU63" i="3"/>
  <c r="C83" i="3"/>
  <c r="FR16" i="4" a="1"/>
  <c r="BT93" i="3"/>
  <c r="BE74" i="3"/>
  <c r="FL9" i="4" a="1"/>
  <c r="Q13" i="4" a="1"/>
  <c r="GC15" i="4" a="1"/>
  <c r="EQ6" i="4" a="1"/>
  <c r="H6" i="4" a="1"/>
  <c r="BB81" i="3"/>
  <c r="E16" i="3"/>
  <c r="BK45" i="3"/>
  <c r="AS10" i="3"/>
  <c r="AY15" i="4" a="1"/>
  <c r="FB7" i="4" a="1"/>
  <c r="BK12" i="4" a="1"/>
  <c r="AY24" i="3"/>
  <c r="FF9" i="4" a="1"/>
  <c r="AZ12" i="3"/>
  <c r="CY14" i="4" a="1"/>
  <c r="AX32" i="3"/>
  <c r="CK14" i="4" a="1"/>
  <c r="BC45" i="3"/>
  <c r="DP11" i="4" a="1"/>
  <c r="CE6" i="4" a="1"/>
  <c r="BC68" i="3"/>
  <c r="AU19" i="3"/>
  <c r="AA8" i="4" a="1"/>
  <c r="BP9" i="4" a="1"/>
  <c r="AX42" i="3"/>
  <c r="DL8" i="4" a="1"/>
  <c r="GW14" i="4" a="1"/>
  <c r="BC89" i="3"/>
  <c r="CQ7" i="4" a="1"/>
  <c r="H15" i="4" a="1"/>
  <c r="CH5" i="4" a="1"/>
  <c r="AS7" i="3"/>
  <c r="CG7" i="4" a="1"/>
  <c r="BB55" i="3"/>
  <c r="EM12" i="4" a="1"/>
  <c r="BO11" i="3"/>
  <c r="AS45" i="3"/>
  <c r="AW39" i="3"/>
  <c r="AT13" i="4" a="1"/>
  <c r="BC35" i="3"/>
  <c r="CT6" i="4" a="1"/>
  <c r="DP13" i="4" a="1"/>
  <c r="BM70" i="3"/>
  <c r="AS46" i="3"/>
  <c r="AY8" i="3"/>
  <c r="D40" i="3"/>
  <c r="GH7" i="4" a="1"/>
  <c r="DF16" i="4" a="1"/>
  <c r="EG7" i="4" a="1"/>
  <c r="FP16" i="4" a="1"/>
  <c r="BB26" i="3"/>
  <c r="AF19" i="3"/>
  <c r="E37" i="3"/>
  <c r="EU6" i="4" a="1"/>
  <c r="F12" i="3"/>
  <c r="S5" i="4" a="1"/>
  <c r="DI14" i="4" a="1"/>
  <c r="G5" i="6" a="1"/>
  <c r="GT5" i="4" a="1"/>
  <c r="T12" i="4" a="1"/>
  <c r="BU6" i="4" a="1"/>
  <c r="BA76" i="3"/>
  <c r="CH15" i="4" a="1"/>
  <c r="G5" i="4" a="1"/>
  <c r="GI16" i="4" a="1"/>
  <c r="AD11" i="4" a="1"/>
  <c r="CM7" i="4" a="1"/>
  <c r="D9" i="3"/>
  <c r="P9" i="4" a="1"/>
  <c r="BD9" i="4" a="1"/>
  <c r="FD9" i="4" a="1"/>
  <c r="DR16" i="4" a="1"/>
  <c r="FF8" i="4" a="1"/>
  <c r="BK68" i="3"/>
  <c r="FC16" i="4" a="1"/>
  <c r="E22" i="3"/>
  <c r="BC95" i="3"/>
  <c r="CR14" i="4" a="1"/>
  <c r="AQ45" i="3"/>
  <c r="G7" i="3"/>
  <c r="DK16" i="4" a="1"/>
  <c r="Q12" i="4" a="1"/>
  <c r="AS17" i="3"/>
  <c r="DI6" i="4" a="1"/>
  <c r="CV11" i="4" a="1"/>
  <c r="BL15" i="4" a="1"/>
  <c r="AT18" i="3"/>
  <c r="DF8" i="4" a="1"/>
  <c r="EC5" i="4" a="1"/>
  <c r="BF15" i="4" a="1"/>
  <c r="DO5" i="4" a="1"/>
  <c r="BN13" i="4" a="1"/>
  <c r="AX88" i="3"/>
  <c r="AS6" i="6" a="1"/>
  <c r="M8" i="4" a="1"/>
  <c r="BS31" i="3"/>
  <c r="EQ15" i="4" a="1"/>
  <c r="BL16" i="3"/>
  <c r="V11" i="4" a="1"/>
  <c r="GV9" i="4" a="1"/>
  <c r="O13" i="4" a="1"/>
  <c r="EL5" i="4" a="1"/>
  <c r="AD12" i="4" a="1"/>
  <c r="BE13" i="4" a="1"/>
  <c r="R5" i="4" a="1"/>
  <c r="EK9" i="4" a="1"/>
  <c r="BA23" i="3"/>
  <c r="C58" i="3"/>
  <c r="EL16" i="4" a="1"/>
  <c r="EG9" i="4" a="1"/>
  <c r="FB8" i="4" a="1"/>
  <c r="GQ14" i="4" a="1"/>
  <c r="CW11" i="4" a="1"/>
  <c r="BG9" i="4" a="1"/>
  <c r="CZ14" i="4" a="1"/>
  <c r="EO14" i="4" a="1"/>
  <c r="DW16" i="4" a="1"/>
  <c r="N7" i="4" a="1"/>
  <c r="BI86" i="3"/>
  <c r="AW7" i="4" a="1"/>
  <c r="E38" i="3"/>
  <c r="BY8" i="4" a="1"/>
  <c r="F16" i="4" a="1"/>
  <c r="BA9" i="4" a="1"/>
  <c r="BI14" i="4" a="1"/>
  <c r="CT13" i="4" a="1"/>
  <c r="DH15" i="4" a="1"/>
  <c r="T7" i="4" a="1"/>
  <c r="GU8" i="4" a="1"/>
  <c r="BT6" i="4" a="1"/>
  <c r="BA6" i="3"/>
  <c r="FK8" i="4" a="1"/>
  <c r="BN6" i="4" a="1"/>
  <c r="DZ5" i="4" a="1"/>
  <c r="BB27" i="3"/>
  <c r="GT8" i="4" a="1"/>
  <c r="BH14" i="4" a="1"/>
  <c r="BZ12" i="4" a="1"/>
  <c r="CJ15" i="4" a="1"/>
  <c r="DG9" i="4" a="1"/>
  <c r="D13" i="3"/>
  <c r="J12" i="4" a="1"/>
  <c r="BC12" i="4" a="1"/>
  <c r="CY11" i="4" a="1"/>
  <c r="FB16" i="4" a="1"/>
  <c r="BB72" i="3"/>
  <c r="CB5" i="4" a="1"/>
  <c r="AG46" i="3"/>
  <c r="D7" i="4" a="1"/>
  <c r="BP11" i="4" a="1"/>
  <c r="BD86" i="3"/>
  <c r="S8" i="4" a="1"/>
  <c r="EU11" i="4" a="1"/>
  <c r="C5" i="6" a="1"/>
  <c r="I11" i="4" a="1"/>
  <c r="AD5" i="3"/>
  <c r="AE46" i="3"/>
  <c r="G5" i="3"/>
  <c r="GT7" i="4" a="1"/>
  <c r="AK46" i="3"/>
  <c r="AX64" i="3"/>
  <c r="N5" i="4" a="1"/>
  <c r="AE13" i="4" a="1"/>
  <c r="AX91" i="3"/>
  <c r="FA5" i="4" a="1"/>
  <c r="GX12" i="4" a="1"/>
  <c r="BT57" i="3"/>
  <c r="GS11" i="4" a="1"/>
  <c r="DB11" i="4" a="1"/>
  <c r="DY8" i="4" a="1"/>
  <c r="AW24" i="3"/>
  <c r="HH11" i="4" a="1"/>
  <c r="S6" i="6" a="1"/>
  <c r="GY9" i="4" a="1"/>
  <c r="AH5" i="6" a="1"/>
  <c r="AR39" i="3"/>
  <c r="BB14" i="3"/>
  <c r="BX8" i="4" a="1"/>
  <c r="X5" i="6" a="1"/>
  <c r="BA56" i="3"/>
  <c r="DX11" i="4" a="1"/>
  <c r="BB64" i="3"/>
  <c r="C69" i="3"/>
  <c r="DS12" i="4" a="1"/>
  <c r="DV14" i="4" a="1"/>
  <c r="AY9" i="3"/>
  <c r="DT6" i="4" a="1"/>
  <c r="DA8" i="4" a="1"/>
  <c r="AT5" i="3"/>
  <c r="AT56" i="3" s="1"/>
  <c r="H14" i="4" a="1"/>
  <c r="BB91" i="3"/>
  <c r="AJ15" i="4" a="1"/>
  <c r="L45" i="3"/>
  <c r="AX29" i="3"/>
  <c r="CL15" i="4" a="1"/>
  <c r="EV12" i="4" a="1"/>
  <c r="CA9" i="4" a="1"/>
  <c r="CK9" i="4" a="1"/>
  <c r="S9" i="4" a="1"/>
  <c r="BA78" i="3"/>
  <c r="T45" i="3"/>
  <c r="CL5" i="4" a="1"/>
  <c r="CU15" i="4" a="1"/>
  <c r="CO14" i="4" a="1"/>
  <c r="AP45" i="3"/>
  <c r="FS13" i="4" a="1"/>
  <c r="EZ6" i="4" a="1"/>
  <c r="AB9" i="4" a="1"/>
  <c r="FP11" i="4" a="1"/>
  <c r="AS5" i="3"/>
  <c r="AR19" i="3"/>
  <c r="AN46" i="3"/>
  <c r="DQ15" i="4" a="1"/>
  <c r="CV12" i="4" a="1"/>
  <c r="CO8" i="4" a="1"/>
  <c r="GA15" i="4" a="1"/>
  <c r="EU14" i="4" a="1"/>
  <c r="BB60" i="3"/>
  <c r="BE84" i="3"/>
  <c r="EE16" i="4" a="1"/>
  <c r="HA13" i="4" a="1"/>
  <c r="GK5" i="4" a="1"/>
  <c r="DA9" i="4" a="1"/>
  <c r="BT74" i="3"/>
  <c r="BG80" i="3"/>
  <c r="HD16" i="4" a="1"/>
  <c r="AE5" i="6" a="1"/>
  <c r="BA26" i="3"/>
  <c r="BD9" i="3"/>
  <c r="AU46" i="3"/>
  <c r="BE8" i="4" a="1"/>
  <c r="M5" i="4" a="1"/>
  <c r="AZ42" i="3"/>
  <c r="AX8" i="3"/>
  <c r="EV16" i="4" a="1"/>
  <c r="BJ9" i="4" a="1"/>
  <c r="BB10" i="3"/>
  <c r="CY7" i="4" a="1"/>
  <c r="DT16" i="4" a="1"/>
  <c r="I13" i="4" a="1"/>
  <c r="CZ7" i="4" a="1"/>
  <c r="I46" i="3"/>
  <c r="Z15" i="4" a="1"/>
  <c r="AG5" i="6" a="1"/>
  <c r="EE8" i="4" a="1"/>
  <c r="N11" i="4" a="1"/>
  <c r="D15" i="3"/>
  <c r="BZ15" i="4" a="1"/>
  <c r="F14" i="3"/>
  <c r="BH70" i="3"/>
  <c r="AR5" i="3"/>
  <c r="AR86" i="3" s="1"/>
  <c r="AS14" i="4" a="1"/>
  <c r="AT11" i="3"/>
  <c r="FD15" i="4" a="1"/>
  <c r="Y16" i="4" a="1"/>
  <c r="AT85" i="3"/>
  <c r="EL7" i="4" a="1"/>
  <c r="AX14" i="4" a="1"/>
  <c r="AS16" i="3"/>
  <c r="AY25" i="3"/>
  <c r="CF8" i="4" a="1"/>
  <c r="GD12" i="4" a="1"/>
  <c r="I12" i="4" a="1"/>
  <c r="J13" i="4" a="1"/>
  <c r="E12" i="3"/>
  <c r="BD19" i="3"/>
  <c r="D31" i="3"/>
  <c r="C50" i="3"/>
  <c r="FE15" i="4" a="1"/>
  <c r="DU8" i="4" a="1"/>
  <c r="O15" i="4" a="1"/>
  <c r="M13" i="4" a="1"/>
  <c r="FC11" i="4" a="1"/>
  <c r="AW5" i="3"/>
  <c r="EV6" i="4" a="1"/>
  <c r="AS18" i="3"/>
  <c r="F31" i="3"/>
  <c r="F16" i="3"/>
  <c r="BE12" i="4" a="1"/>
  <c r="FC6" i="4" a="1"/>
  <c r="CP12" i="4" a="1"/>
  <c r="AX20" i="3"/>
  <c r="BC7" i="3"/>
  <c r="DG5" i="4" a="1"/>
  <c r="ET7" i="4" a="1"/>
  <c r="EM6" i="4" a="1"/>
  <c r="EM5" i="4" a="1"/>
  <c r="EM11" i="4" a="1"/>
  <c r="AX27" i="3"/>
  <c r="BC55" i="3"/>
  <c r="CO7" i="4" a="1"/>
  <c r="BA16" i="3"/>
  <c r="CG8" i="4" a="1"/>
  <c r="BF13" i="4" a="1"/>
  <c r="BO40" i="3"/>
  <c r="F17" i="3"/>
  <c r="CV9" i="4" a="1"/>
  <c r="AT14" i="3"/>
  <c r="O5" i="4" a="1"/>
  <c r="EL11" i="4" a="1"/>
  <c r="AV15" i="3"/>
  <c r="AR36" i="3"/>
  <c r="T14" i="4" a="1"/>
  <c r="HG14" i="4" a="1"/>
  <c r="EI5" i="4" a="1"/>
  <c r="DE9" i="4" a="1"/>
  <c r="L16" i="4" a="1"/>
  <c r="BQ12" i="4" a="1"/>
  <c r="AS74" i="3"/>
  <c r="GS13" i="4" a="1"/>
  <c r="CC16" i="4" a="1"/>
  <c r="CW6" i="4" a="1"/>
  <c r="GZ5" i="4" a="1"/>
  <c r="BK6" i="4" a="1"/>
  <c r="AU22" i="3"/>
  <c r="BH8" i="4" a="1"/>
  <c r="CR5" i="4" a="1"/>
  <c r="CT5" i="4" a="1"/>
  <c r="BC6" i="4" a="1"/>
  <c r="BB17" i="3"/>
  <c r="EB16" i="4" a="1"/>
  <c r="AS50" i="3"/>
  <c r="FD13" i="4" a="1"/>
  <c r="AY45" i="3"/>
  <c r="EN13" i="4" a="1"/>
  <c r="EB6" i="4" a="1"/>
  <c r="FE12" i="4" a="1"/>
  <c r="FJ16" i="4" a="1"/>
  <c r="BZ9" i="4" a="1"/>
  <c r="AO7" i="4" a="1"/>
  <c r="BO82" i="3"/>
  <c r="FR13" i="4" a="1"/>
  <c r="AZ14" i="3"/>
  <c r="HC14" i="4" a="1"/>
  <c r="AT38" i="3"/>
  <c r="R5" i="6" a="1"/>
  <c r="BA72" i="3"/>
  <c r="BA68" i="3"/>
  <c r="AT31" i="3"/>
  <c r="BS12" i="3"/>
  <c r="E40" i="3"/>
  <c r="R7" i="4" a="1"/>
  <c r="DQ7" i="4" a="1"/>
  <c r="DK11" i="4" a="1"/>
  <c r="E35" i="3"/>
  <c r="DN7" i="4" a="1"/>
  <c r="BT82" i="3"/>
  <c r="EV9" i="4" a="1"/>
  <c r="W46" i="3"/>
  <c r="BD10" i="3"/>
  <c r="BJ16" i="4" a="1"/>
  <c r="DL15" i="4" a="1"/>
  <c r="AW32" i="3"/>
  <c r="BU47" i="3"/>
  <c r="AQ9" i="4" a="1"/>
  <c r="AM45" i="3"/>
  <c r="AW7" i="3"/>
  <c r="DN13" i="4" a="1"/>
  <c r="BF68" i="3"/>
  <c r="CD8" i="4" a="1"/>
  <c r="BQ5" i="3"/>
  <c r="FF5" i="4" a="1"/>
  <c r="HG16" i="4" a="1"/>
  <c r="AT71" i="3"/>
  <c r="BO12" i="4" a="1"/>
  <c r="AY16" i="3"/>
  <c r="AR90" i="3"/>
  <c r="M6" i="4" a="1"/>
  <c r="BF85" i="3"/>
  <c r="AR92" i="3"/>
  <c r="AJ12" i="4" a="1"/>
  <c r="BE9" i="4" a="1"/>
  <c r="AU10" i="3"/>
  <c r="CG6" i="4" a="1"/>
  <c r="GI13" i="4" a="1"/>
  <c r="DJ14" i="4" a="1"/>
  <c r="DC9" i="4" a="1"/>
  <c r="BQ15" i="3"/>
  <c r="CT8" i="4" a="1"/>
  <c r="T16" i="4" a="1"/>
  <c r="CH13" i="4" a="1"/>
  <c r="AX38" i="3"/>
  <c r="DZ12" i="4" a="1"/>
  <c r="AF29" i="3"/>
  <c r="CU9" i="4" a="1"/>
  <c r="AV19" i="3"/>
  <c r="E10" i="3"/>
  <c r="CJ6" i="4" a="1"/>
  <c r="BB16" i="3"/>
  <c r="AV46" i="3"/>
  <c r="AA9" i="4" a="1"/>
  <c r="BJ6" i="3"/>
  <c r="AZ45" i="3"/>
  <c r="E11" i="3"/>
  <c r="BC15" i="4" a="1"/>
  <c r="BB56" i="3"/>
  <c r="AF35" i="3"/>
  <c r="AF17" i="3"/>
  <c r="EP14" i="4" a="1"/>
  <c r="AJ5" i="4" a="1"/>
  <c r="BN64" i="3"/>
  <c r="AT10" i="3"/>
  <c r="EO5" i="4" a="1"/>
  <c r="BW6" i="4" a="1"/>
  <c r="AF40" i="3"/>
  <c r="C12" i="4" a="1"/>
  <c r="DJ6" i="4" a="1"/>
  <c r="GV16" i="4" a="1"/>
  <c r="O11" i="4" a="1"/>
  <c r="CF12" i="4" a="1"/>
  <c r="CB7" i="4" a="1"/>
  <c r="AM5" i="4" a="1"/>
  <c r="E14" i="3"/>
  <c r="BB82" i="3"/>
  <c r="DD13" i="4" a="1"/>
  <c r="M16" i="4" a="1"/>
  <c r="BA19" i="3"/>
  <c r="AT9" i="4" a="1"/>
  <c r="CC12" i="4" a="1"/>
  <c r="FB14" i="4" a="1"/>
  <c r="AH11" i="4" a="1"/>
  <c r="CC15" i="4" a="1"/>
  <c r="DF11" i="4" a="1"/>
  <c r="AF7" i="3"/>
  <c r="AC13" i="4" a="1"/>
  <c r="FE7" i="4" a="1"/>
  <c r="BP65" i="3"/>
  <c r="S46" i="3"/>
  <c r="DU6" i="4" a="1"/>
  <c r="F18" i="3"/>
  <c r="AM8" i="4" a="1"/>
  <c r="E19" i="3"/>
  <c r="AU7" i="3"/>
  <c r="J45" i="3"/>
  <c r="BD54" i="3"/>
  <c r="R11" i="4" a="1"/>
  <c r="EL12" i="4" a="1"/>
  <c r="AZ41" i="3"/>
  <c r="AS33" i="3"/>
  <c r="S11" i="4" a="1"/>
  <c r="AX6" i="6" a="1"/>
  <c r="D45" i="3"/>
  <c r="G13" i="3"/>
  <c r="BB71" i="3"/>
  <c r="EZ7" i="4" a="1"/>
  <c r="M9" i="4" a="1"/>
  <c r="DI8" i="4" a="1"/>
  <c r="AQ5" i="6" a="1"/>
  <c r="BP13" i="4" a="1"/>
  <c r="AR80" i="3"/>
  <c r="AX9" i="4" a="1"/>
  <c r="AT17" i="3"/>
  <c r="BD12" i="4" a="1"/>
  <c r="DA15" i="4" a="1"/>
  <c r="AT41" i="3"/>
  <c r="AL6" i="4" a="1"/>
  <c r="BB14" i="4" a="1"/>
  <c r="F34" i="3"/>
  <c r="DJ8" i="4" a="1"/>
  <c r="AX24" i="3"/>
  <c r="FB6" i="4" a="1"/>
  <c r="CV14" i="4" a="1"/>
  <c r="BV15" i="4" a="1"/>
  <c r="AX71" i="3"/>
  <c r="C9" i="4" a="1"/>
  <c r="J8" i="4" a="1"/>
  <c r="AV5" i="3"/>
  <c r="BJ7" i="4" a="1"/>
  <c r="V15" i="4" a="1"/>
  <c r="BL16" i="4" a="1"/>
  <c r="AL8" i="4" a="1"/>
  <c r="AB7" i="4" a="1"/>
  <c r="G17" i="3"/>
  <c r="X12" i="4" a="1"/>
  <c r="AX22" i="3"/>
  <c r="C75" i="3"/>
  <c r="CB8" i="4" a="1"/>
  <c r="FI6" i="4" a="1"/>
  <c r="D20" i="3"/>
  <c r="AX86" i="3"/>
  <c r="Z16" i="4" a="1"/>
  <c r="EI12" i="4" a="1"/>
  <c r="P15" i="4" a="1"/>
  <c r="AT7" i="3"/>
  <c r="O7" i="4" a="1"/>
  <c r="BS9" i="4" a="1"/>
  <c r="BG5" i="4" a="1"/>
  <c r="AS35" i="3"/>
  <c r="BF8" i="4" a="1"/>
  <c r="G26" i="3"/>
  <c r="BN16" i="4" a="1"/>
  <c r="AX47" i="3"/>
  <c r="DH5" i="4" a="1"/>
  <c r="EX6" i="4" a="1"/>
  <c r="ED8" i="4" a="1"/>
  <c r="FU9" i="4" a="1"/>
  <c r="BR95" i="3"/>
  <c r="BK34" i="3"/>
  <c r="FJ7" i="4" a="1"/>
  <c r="BA90" i="3"/>
  <c r="GX14" i="4" a="1"/>
  <c r="BG77" i="3"/>
  <c r="GF14" i="4" a="1"/>
  <c r="GM8" i="4" a="1"/>
  <c r="GJ15" i="4" a="1"/>
  <c r="DU12" i="4" a="1"/>
  <c r="D23" i="3"/>
  <c r="D6" i="4" a="1"/>
  <c r="CQ16" i="4" a="1"/>
  <c r="E24" i="3"/>
  <c r="BM45" i="3"/>
  <c r="BD36" i="3"/>
  <c r="DN9" i="4" a="1"/>
  <c r="AC16" i="4" a="1"/>
  <c r="AF24" i="3"/>
  <c r="BA94" i="3"/>
  <c r="EC14" i="4" a="1"/>
  <c r="DL14" i="4" a="1"/>
  <c r="HC15" i="4" a="1"/>
  <c r="FC5" i="4" a="1"/>
  <c r="CI6" i="4" a="1"/>
  <c r="CK6" i="4" a="1"/>
  <c r="BR8" i="4" a="1"/>
  <c r="HF6" i="4" a="1"/>
  <c r="BD32" i="3"/>
  <c r="FR12" i="4" a="1"/>
  <c r="BX12" i="4" a="1"/>
  <c r="BD42" i="3"/>
  <c r="DM13" i="4" a="1"/>
  <c r="CS16" i="4" a="1"/>
  <c r="C8" i="4" a="1"/>
  <c r="F19" i="3"/>
  <c r="BB16" i="4" a="1"/>
  <c r="GO8" i="4" a="1"/>
  <c r="AU17" i="3"/>
  <c r="F11" i="3"/>
  <c r="AX11" i="3"/>
  <c r="AU5" i="4" a="1"/>
  <c r="AC15" i="4" a="1"/>
  <c r="AZ46" i="3"/>
  <c r="AT16" i="3"/>
  <c r="AX6" i="4" a="1"/>
  <c r="HB8" i="4" a="1"/>
  <c r="DP15" i="4" a="1"/>
  <c r="AO6" i="6" a="1"/>
  <c r="CW16" i="4" a="1"/>
  <c r="EX14" i="4" a="1"/>
  <c r="BE69" i="3"/>
  <c r="D37" i="3"/>
  <c r="BG14" i="4" a="1"/>
  <c r="EN6" i="4" a="1"/>
  <c r="FC7" i="4" a="1"/>
  <c r="BU15" i="4" a="1"/>
  <c r="AY21" i="3"/>
  <c r="DC14" i="4" a="1"/>
  <c r="CR6" i="4" a="1"/>
  <c r="FG5" i="4" a="1"/>
  <c r="E6" i="4" a="1"/>
  <c r="F25" i="3"/>
  <c r="AA16" i="4" a="1"/>
  <c r="AT20" i="3"/>
  <c r="BT7" i="4" a="1"/>
  <c r="AT13" i="3"/>
  <c r="AS34" i="3"/>
  <c r="AT14" i="4" a="1"/>
  <c r="FN9" i="4" a="1"/>
  <c r="CN7" i="4" a="1"/>
  <c r="W45" i="3"/>
  <c r="CD16" i="4" a="1"/>
  <c r="E41" i="3"/>
  <c r="CN9" i="4" a="1"/>
  <c r="AR82" i="3"/>
  <c r="GL14" i="4" a="1"/>
  <c r="BB8" i="3"/>
  <c r="BA27" i="3"/>
  <c r="CA13" i="4" a="1"/>
  <c r="BV8" i="4" a="1"/>
  <c r="DC12" i="4" a="1"/>
  <c r="AW33" i="3"/>
  <c r="AV9" i="4" a="1"/>
  <c r="DM9" i="4" a="1"/>
  <c r="AB13" i="4" a="1"/>
  <c r="E36" i="3"/>
  <c r="AS57" i="3"/>
  <c r="EG15" i="4" a="1"/>
  <c r="DV15" i="4" a="1"/>
  <c r="HB14" i="4" a="1"/>
  <c r="EH15" i="4" a="1"/>
  <c r="ES11" i="4" a="1"/>
  <c r="DW6" i="4" a="1"/>
  <c r="BB85" i="3"/>
  <c r="GZ13" i="4" a="1"/>
  <c r="AS30" i="3"/>
  <c r="D6" i="3"/>
  <c r="BP85" i="3"/>
  <c r="DI9" i="4" a="1"/>
  <c r="BD57" i="3"/>
  <c r="DQ8" i="4" a="1"/>
  <c r="BX9" i="4" a="1"/>
  <c r="AR15" i="4" a="1"/>
  <c r="AZ5" i="3"/>
  <c r="AZ70" i="3" s="1"/>
  <c r="CG16" i="4" a="1"/>
  <c r="AZ18" i="3"/>
  <c r="F41" i="3"/>
  <c r="AV45" i="3"/>
  <c r="BC63" i="3"/>
  <c r="CQ5" i="4" a="1"/>
  <c r="BC26" i="3"/>
  <c r="EN9" i="4" a="1"/>
  <c r="BU11" i="4" a="1"/>
  <c r="O46" i="3"/>
  <c r="AR5" i="6" a="1"/>
  <c r="BB21" i="3"/>
  <c r="BQ16" i="4" a="1"/>
  <c r="DF9" i="4" a="1"/>
  <c r="AX37" i="3"/>
  <c r="Q14" i="4" a="1"/>
  <c r="EY5" i="4" a="1"/>
  <c r="EA8" i="4" a="1"/>
  <c r="BP73" i="3"/>
  <c r="EV14" i="4" a="1"/>
  <c r="BM76" i="3"/>
  <c r="BK5" i="4" a="1"/>
  <c r="CT7" i="4" a="1"/>
  <c r="BM7" i="4" a="1"/>
  <c r="CK11" i="4" a="1"/>
  <c r="AW21" i="3"/>
  <c r="BQ9" i="4" a="1"/>
  <c r="G28" i="3"/>
  <c r="BV5" i="4" a="1"/>
  <c r="BG15" i="4" a="1"/>
  <c r="AA11" i="4" a="1"/>
  <c r="DU7" i="4" a="1"/>
  <c r="DE11" i="4" a="1"/>
  <c r="BA8" i="4" a="1"/>
  <c r="F45" i="3"/>
  <c r="AS40" i="3"/>
  <c r="EZ13" i="4" a="1"/>
  <c r="E34" i="3"/>
  <c r="AS13" i="4" a="1"/>
  <c r="CT12" i="4" a="1"/>
  <c r="EJ16" i="4" a="1"/>
  <c r="G14" i="4" a="1"/>
  <c r="EO11" i="4" a="1"/>
  <c r="EV15" i="4" a="1"/>
  <c r="AD16" i="3"/>
  <c r="EU8" i="4" a="1"/>
  <c r="BC13" i="4" a="1"/>
  <c r="L46" i="3"/>
  <c r="DN5" i="4" a="1"/>
  <c r="FJ15" i="4" a="1"/>
  <c r="BA91" i="3"/>
  <c r="D17" i="3"/>
  <c r="DA7" i="4" a="1"/>
  <c r="AS76" i="3"/>
  <c r="Z5" i="4" a="1"/>
  <c r="CN16" i="4" a="1"/>
  <c r="V7" i="4" a="1"/>
  <c r="AE9" i="4" a="1"/>
  <c r="AH14" i="4" a="1"/>
  <c r="BY11" i="4" a="1"/>
  <c r="BJ16" i="3"/>
  <c r="BC34" i="3"/>
  <c r="EK13" i="4" a="1"/>
  <c r="CW5" i="4" a="1"/>
  <c r="BA83" i="3"/>
  <c r="CJ11" i="4" a="1"/>
  <c r="E18" i="3"/>
  <c r="BF9" i="4" a="1"/>
  <c r="E14" i="4" a="1"/>
  <c r="EO8" i="4" a="1"/>
  <c r="AH6" i="4" a="1"/>
  <c r="GQ6" i="4" a="1"/>
  <c r="BN15" i="4" a="1"/>
  <c r="AN6" i="4" a="1"/>
  <c r="G19" i="3"/>
  <c r="AE6" i="4" a="1"/>
  <c r="AW50" i="3"/>
  <c r="BH13" i="4" a="1"/>
  <c r="AI5" i="6" a="1"/>
  <c r="BN12" i="4" a="1"/>
  <c r="CM11" i="4" a="1"/>
  <c r="FK12" i="4" a="1"/>
  <c r="AR71" i="3"/>
  <c r="CC9" i="4" a="1"/>
  <c r="CJ7" i="4" a="1"/>
  <c r="BV14" i="4" a="1"/>
  <c r="BC88" i="3"/>
  <c r="AS12" i="4" a="1"/>
  <c r="BQ90" i="3"/>
  <c r="AD12" i="3"/>
  <c r="BP12" i="4" a="1"/>
  <c r="AR87" i="3"/>
  <c r="BD77" i="3"/>
  <c r="EG13" i="4" a="1"/>
  <c r="Z7" i="4" a="1"/>
  <c r="GS6" i="4" a="1"/>
  <c r="EO15" i="4" a="1"/>
  <c r="AX61" i="3"/>
  <c r="BF86" i="3"/>
  <c r="EY7" i="4" a="1"/>
  <c r="CN13" i="4" a="1"/>
  <c r="AV7" i="3"/>
  <c r="D12" i="3"/>
  <c r="EX16" i="4" a="1"/>
  <c r="E16" i="4" a="1"/>
  <c r="BA15" i="4" a="1"/>
  <c r="AH12" i="4" a="1"/>
  <c r="AR95" i="3"/>
  <c r="GM13" i="4" a="1"/>
  <c r="AT15" i="4" a="1"/>
  <c r="L15" i="4" a="1"/>
  <c r="BJ12" i="4" a="1"/>
  <c r="AX13" i="4" a="1"/>
  <c r="EC7" i="4" a="1"/>
  <c r="AW11" i="3"/>
  <c r="DA5" i="4" a="1"/>
  <c r="AJ46" i="3"/>
  <c r="I16" i="4" a="1"/>
  <c r="EF8" i="4" a="1"/>
  <c r="AV8" i="4" a="1"/>
  <c r="F14" i="4" a="1"/>
  <c r="AF5" i="3"/>
  <c r="DU11" i="4" a="1"/>
  <c r="DD5" i="4" a="1"/>
  <c r="DZ6" i="4" a="1"/>
  <c r="DE15" i="4" a="1"/>
  <c r="DV5" i="4" a="1"/>
  <c r="CP9" i="4" a="1"/>
  <c r="CE15" i="4" a="1"/>
  <c r="FE16" i="4" a="1"/>
  <c r="AO46" i="3"/>
  <c r="BU9" i="4" a="1"/>
  <c r="BX5" i="4" a="1"/>
  <c r="AS69" i="3"/>
  <c r="AT7" i="4" a="1"/>
  <c r="AD9" i="3"/>
  <c r="AK14" i="4" a="1"/>
  <c r="BM92" i="3"/>
  <c r="DP14" i="4" a="1"/>
  <c r="AO9" i="4" a="1"/>
  <c r="HC16" i="4" a="1"/>
  <c r="AZ23" i="3"/>
  <c r="AR8" i="3"/>
  <c r="ED14" i="4" a="1"/>
  <c r="DB13" i="4" a="1"/>
  <c r="EK5" i="4" a="1"/>
  <c r="DO6" i="4" a="1"/>
  <c r="BQ5" i="4" a="1"/>
  <c r="E25" i="3"/>
  <c r="EE12" i="4" a="1"/>
  <c r="AS42" i="3"/>
  <c r="AU9" i="3"/>
  <c r="DX14" i="4" a="1"/>
  <c r="AF32" i="3"/>
  <c r="AV79" i="3"/>
  <c r="CO16" i="4" a="1"/>
  <c r="FL6" i="4" a="1"/>
  <c r="BC56" i="3"/>
  <c r="DZ8" i="4" a="1"/>
  <c r="AJ9" i="4" a="1"/>
  <c r="FC12" i="4" a="1"/>
  <c r="DR6" i="4" a="1"/>
  <c r="ET5" i="4" a="1"/>
  <c r="G6" i="4" a="1"/>
  <c r="EK12" i="4" a="1"/>
  <c r="BD66" i="3"/>
  <c r="BU90" i="3"/>
  <c r="G18" i="3"/>
  <c r="AR12" i="4" a="1"/>
  <c r="AR17" i="3"/>
  <c r="AU45" i="3"/>
  <c r="AW18" i="3"/>
  <c r="F21" i="3"/>
  <c r="ER15" i="4" a="1"/>
  <c r="DG8" i="4" a="1"/>
  <c r="K45" i="3"/>
  <c r="BN49" i="3"/>
  <c r="CI15" i="4" a="1"/>
  <c r="DS6" i="4" a="1"/>
  <c r="CQ9" i="4" a="1"/>
  <c r="DT14" i="4" a="1"/>
  <c r="BJ15" i="4" a="1"/>
  <c r="K46" i="3"/>
  <c r="AS7" i="4" a="1"/>
  <c r="ED15" i="4" a="1"/>
  <c r="AR9" i="3"/>
  <c r="C96" i="3"/>
  <c r="X5" i="4" a="1"/>
  <c r="DX7" i="4" a="1"/>
  <c r="BP8" i="4" a="1"/>
  <c r="AT8" i="4" a="1"/>
  <c r="BS25" i="3"/>
  <c r="BA96" i="3"/>
  <c r="EN14" i="4" a="1"/>
  <c r="DC11" i="4" a="1"/>
  <c r="BD85" i="3"/>
  <c r="D19" i="3"/>
  <c r="X13" i="4" a="1"/>
  <c r="BO6" i="4" a="1"/>
  <c r="BT16" i="4" a="1"/>
  <c r="E8" i="4" a="1"/>
  <c r="AU13" i="4" a="1"/>
  <c r="AR18" i="3"/>
  <c r="AU16" i="4" a="1"/>
  <c r="FQ8" i="4" a="1"/>
  <c r="AV16" i="4" a="1"/>
  <c r="GO9" i="4" a="1"/>
  <c r="AX9" i="3"/>
  <c r="AQ6" i="4" a="1"/>
  <c r="AK45" i="3"/>
  <c r="EB14" i="4" a="1"/>
  <c r="EJ13" i="4" a="1"/>
  <c r="BB15" i="4" a="1"/>
  <c r="G8" i="3"/>
  <c r="CN11" i="4" a="1"/>
  <c r="BB25" i="3"/>
  <c r="ER16" i="4" a="1"/>
  <c r="BO5" i="4" a="1"/>
  <c r="AV24" i="3"/>
  <c r="BU7" i="4" a="1"/>
  <c r="BB67" i="3"/>
  <c r="CZ6" i="4" a="1"/>
  <c r="BS6" i="4" a="1"/>
  <c r="AA15" i="4" a="1"/>
  <c r="E9" i="3"/>
  <c r="Q46" i="3"/>
  <c r="BU30" i="3"/>
  <c r="AV30" i="3"/>
  <c r="DO13" i="4" a="1"/>
  <c r="CS13" i="4" a="1"/>
  <c r="C62" i="3"/>
  <c r="CK13" i="4" a="1"/>
  <c r="FV6" i="4" a="1"/>
  <c r="C14" i="4" a="1"/>
  <c r="Z12" i="4" a="1"/>
  <c r="BC21" i="3"/>
  <c r="FY6" i="4" a="1"/>
  <c r="CA16" i="4" a="1"/>
  <c r="AX5" i="4" a="1"/>
  <c r="AV66" i="3"/>
  <c r="CD15" i="4" a="1"/>
  <c r="AF33" i="3"/>
  <c r="J6" i="4" a="1"/>
  <c r="E9" i="4" a="1"/>
  <c r="AW92" i="3"/>
  <c r="AW10" i="3"/>
  <c r="I9" i="4" a="1"/>
  <c r="AF50" i="3"/>
  <c r="X11" i="4" a="1"/>
  <c r="AG8" i="4" a="1"/>
  <c r="BL11" i="4" a="1"/>
  <c r="AM5" i="6" a="1"/>
  <c r="AF16" i="4" a="1"/>
  <c r="BL5" i="4" a="1"/>
  <c r="AS60" i="3"/>
  <c r="CD11" i="4" a="1"/>
  <c r="BN7" i="4" a="1"/>
  <c r="AZ9" i="4" a="1"/>
  <c r="GP13" i="4" a="1"/>
  <c r="W9" i="4" a="1"/>
  <c r="C6" i="6" a="1"/>
  <c r="AW13" i="4" a="1"/>
  <c r="AR75" i="3"/>
  <c r="AF9" i="3"/>
  <c r="EK16" i="4" a="1"/>
  <c r="BA16" i="4" a="1"/>
  <c r="AT93" i="3"/>
  <c r="BN8" i="4" a="1"/>
  <c r="M45" i="3"/>
  <c r="DP12" i="4" a="1"/>
  <c r="AG11" i="4" a="1"/>
  <c r="AF6" i="4" a="1"/>
  <c r="DU16" i="4" a="1"/>
  <c r="AC11" i="4" a="1"/>
  <c r="E23" i="3"/>
  <c r="AF9" i="4" a="1"/>
  <c r="BD73" i="3"/>
  <c r="CZ12" i="4" a="1"/>
  <c r="BP14" i="4" a="1"/>
  <c r="Y14" i="4" a="1"/>
  <c r="CK7" i="4" a="1"/>
  <c r="V45" i="3"/>
  <c r="BD11" i="4" a="1"/>
  <c r="BO17" i="3"/>
  <c r="D14" i="3"/>
  <c r="BD97" i="3"/>
  <c r="BA45" i="3"/>
  <c r="BZ6" i="4" a="1"/>
  <c r="DH13" i="4" a="1"/>
  <c r="CX9" i="4" a="1"/>
  <c r="CI9" i="4" a="1"/>
  <c r="BB88" i="3"/>
  <c r="J9" i="4" a="1"/>
  <c r="EU9" i="4" a="1"/>
  <c r="BA12" i="4" a="1"/>
  <c r="AZ27" i="3"/>
  <c r="AI16" i="4" a="1"/>
  <c r="CQ12" i="4" a="1"/>
  <c r="BW16" i="4" a="1"/>
  <c r="F30" i="3"/>
  <c r="AB11" i="4" a="1"/>
  <c r="AJ13" i="4" a="1"/>
  <c r="CY6" i="4" a="1"/>
  <c r="M46" i="3"/>
  <c r="CF6" i="4" a="1"/>
  <c r="AU14" i="4" a="1"/>
  <c r="BJ80" i="3"/>
  <c r="CB16" i="4" a="1"/>
  <c r="X8" i="4" a="1"/>
  <c r="BD69" i="3"/>
  <c r="GH14" i="4" a="1"/>
  <c r="HA6" i="4" a="1"/>
  <c r="DE16" i="4" a="1"/>
  <c r="DK5" i="4" a="1"/>
  <c r="AZ6" i="3"/>
  <c r="BM6" i="4" a="1"/>
  <c r="AV26" i="3"/>
  <c r="GW7" i="4" a="1"/>
  <c r="BE16" i="4" a="1"/>
  <c r="W7" i="4" a="1"/>
  <c r="FO15" i="4" a="1"/>
  <c r="Q7" i="4" a="1"/>
  <c r="AU23" i="3"/>
  <c r="AR58" i="3"/>
  <c r="AR14" i="3"/>
  <c r="BV16" i="4" a="1"/>
  <c r="AZ29" i="3"/>
  <c r="EF14" i="4" a="1"/>
  <c r="DI15" i="4" a="1"/>
  <c r="BB84" i="3"/>
  <c r="GK15" i="4" a="1"/>
  <c r="FE13" i="4" a="1"/>
  <c r="F35" i="3"/>
  <c r="AY14" i="4" a="1"/>
  <c r="AW13" i="3"/>
  <c r="AS67" i="3"/>
  <c r="BC6" i="3"/>
  <c r="CC7" i="4" a="1"/>
  <c r="D38" i="3"/>
  <c r="DH12" i="4" a="1"/>
  <c r="CB12" i="4" a="1"/>
  <c r="AT5" i="6" a="1"/>
  <c r="F10" i="3"/>
  <c r="V5" i="6" a="1"/>
  <c r="AN16" i="4" a="1"/>
  <c r="AJ11" i="4" a="1"/>
  <c r="BD76" i="3"/>
  <c r="EC11" i="4" a="1"/>
  <c r="AV93" i="3"/>
  <c r="BY9" i="4" a="1"/>
  <c r="BW15" i="4" a="1"/>
  <c r="BI8" i="4" a="1"/>
  <c r="Z9" i="4" a="1"/>
  <c r="BB9" i="4" a="1"/>
  <c r="BB76" i="3"/>
  <c r="BO16" i="4" a="1"/>
  <c r="AX85" i="3"/>
  <c r="S16" i="4" a="1"/>
  <c r="BB35" i="3"/>
  <c r="CQ6" i="4" a="1"/>
  <c r="BI89" i="3"/>
  <c r="HB5" i="4" a="1"/>
  <c r="CW12" i="4" a="1"/>
  <c r="G45" i="3"/>
  <c r="BW8" i="4" a="1"/>
  <c r="AK9" i="4" a="1"/>
  <c r="DK13" i="4" a="1"/>
  <c r="AZ35" i="3"/>
  <c r="FO6" i="4" a="1"/>
  <c r="AG6" i="4" a="1"/>
  <c r="AY7" i="4" a="1"/>
  <c r="AZ9" i="3"/>
  <c r="AR31" i="3"/>
  <c r="CH9" i="4" a="1"/>
  <c r="F5" i="6" a="1"/>
  <c r="AP6" i="3"/>
  <c r="C94" i="3"/>
  <c r="CM9" i="4" a="1"/>
  <c r="CS9" i="4" a="1"/>
  <c r="BJ96" i="3"/>
  <c r="AC12" i="4" a="1"/>
  <c r="I7" i="4" a="1"/>
  <c r="AS81" i="3"/>
  <c r="BJ76" i="3"/>
  <c r="AD54" i="3"/>
  <c r="AZ91" i="3"/>
  <c r="G25" i="3"/>
  <c r="CD9" i="4" a="1"/>
  <c r="CF14" i="4" a="1"/>
  <c r="DX13" i="4" a="1"/>
  <c r="DU9" i="4" a="1"/>
  <c r="AU7" i="4" a="1"/>
  <c r="G72" i="3"/>
  <c r="FC8" i="4" a="1"/>
  <c r="CQ14" i="4" a="1"/>
  <c r="FD5" i="4" a="1"/>
  <c r="AW77" i="3"/>
  <c r="AS88" i="3"/>
  <c r="BE14" i="4" a="1"/>
  <c r="BR13" i="4" a="1"/>
  <c r="DL5" i="4" a="1"/>
  <c r="AS14" i="3"/>
  <c r="AX7" i="4" a="1"/>
  <c r="AP14" i="4" a="1"/>
  <c r="GS15" i="4" a="1"/>
  <c r="AV71" i="3"/>
  <c r="AW94" i="3"/>
  <c r="AS16" i="4" a="1"/>
  <c r="BJ8" i="4" a="1"/>
  <c r="G95" i="3"/>
  <c r="BU89" i="3"/>
  <c r="C93" i="3"/>
  <c r="DG15" i="4" a="1"/>
  <c r="AW82" i="3"/>
  <c r="BD61" i="3"/>
  <c r="AN5" i="6" a="1"/>
  <c r="DR9" i="4" a="1"/>
  <c r="BB49" i="3"/>
  <c r="GO15" i="4" a="1"/>
  <c r="AP15" i="4" a="1"/>
  <c r="EC9" i="4" a="1"/>
  <c r="AU42" i="3"/>
  <c r="CL14" i="4" a="1"/>
  <c r="G15" i="3"/>
  <c r="BU49" i="3"/>
  <c r="AZ50" i="3"/>
  <c r="M14" i="4" a="1"/>
  <c r="BD84" i="3"/>
  <c r="DN12" i="4" a="1"/>
  <c r="FB11" i="4" a="1"/>
  <c r="R13" i="4" a="1"/>
  <c r="AS49" i="3"/>
  <c r="BQ7" i="4" a="1"/>
  <c r="G62" i="3"/>
  <c r="Q45" i="3"/>
  <c r="AF78" i="3"/>
  <c r="BA82" i="3"/>
  <c r="E17" i="3"/>
  <c r="EY6" i="4" a="1"/>
  <c r="BT12" i="4" a="1"/>
  <c r="AC14" i="4" a="1"/>
  <c r="FG11" i="4" a="1"/>
  <c r="AZ24" i="3"/>
  <c r="BA81" i="3"/>
  <c r="BI6" i="4" a="1"/>
  <c r="O16" i="4" a="1"/>
  <c r="FW16" i="4" a="1"/>
  <c r="CS6" i="4" a="1"/>
  <c r="DW5" i="4" a="1"/>
  <c r="V13" i="4" a="1"/>
  <c r="AW5" i="6" a="1"/>
  <c r="CH8" i="4" a="1"/>
  <c r="DH7" i="4" a="1"/>
  <c r="E28" i="3"/>
  <c r="ER5" i="4" a="1"/>
  <c r="G16" i="3"/>
  <c r="AO5" i="4" a="1"/>
  <c r="AV27" i="3"/>
  <c r="EA13" i="4" a="1"/>
  <c r="AT64" i="3"/>
  <c r="BC64" i="3"/>
  <c r="BA13" i="4" a="1"/>
  <c r="DQ9" i="4" a="1"/>
  <c r="AS26" i="3"/>
  <c r="AZ39" i="3"/>
  <c r="AY13" i="4" a="1"/>
  <c r="AS6" i="4" a="1"/>
  <c r="AP5" i="4" a="1"/>
  <c r="DZ11" i="4" a="1"/>
  <c r="DK6" i="4" a="1"/>
  <c r="AW8" i="4" a="1"/>
  <c r="FW12" i="4" a="1"/>
  <c r="BA7" i="4" a="1"/>
  <c r="FY16" i="4" a="1"/>
  <c r="G31" i="3"/>
  <c r="AU21" i="3"/>
  <c r="AS82" i="3"/>
  <c r="AS15" i="4" a="1"/>
  <c r="CE11" i="4" a="1"/>
  <c r="D18" i="3"/>
  <c r="R6" i="4" a="1"/>
  <c r="BC40" i="3"/>
  <c r="ED13" i="4" a="1"/>
  <c r="BF7" i="4" a="1"/>
  <c r="E7" i="3"/>
  <c r="BA31" i="3"/>
  <c r="EU13" i="4" a="1"/>
  <c r="CY15" i="4" a="1"/>
  <c r="AR29" i="3"/>
  <c r="AT30" i="3"/>
  <c r="CO15" i="4" a="1"/>
  <c r="AZ81" i="3"/>
  <c r="ER14" i="4" a="1"/>
  <c r="BA85" i="3"/>
  <c r="AN8" i="4" a="1"/>
  <c r="L5" i="6" a="1"/>
  <c r="AT91" i="3"/>
  <c r="X9" i="4" a="1"/>
  <c r="T46" i="3"/>
  <c r="E39" i="3"/>
  <c r="AX39" i="3"/>
  <c r="ED6" i="4" a="1"/>
  <c r="G12" i="3"/>
  <c r="DA12" i="4" a="1"/>
  <c r="EK6" i="4" a="1"/>
  <c r="AX79" i="3"/>
  <c r="CE16" i="4" a="1"/>
  <c r="DH14" i="4" a="1"/>
  <c r="FT16" i="4" a="1"/>
  <c r="EH7" i="4" a="1"/>
  <c r="BB37" i="3"/>
  <c r="BT11" i="4" a="1"/>
  <c r="BT15" i="4" a="1"/>
  <c r="FV8" i="4" a="1"/>
  <c r="AT12" i="4" a="1"/>
  <c r="F39" i="3"/>
  <c r="AX12" i="3"/>
  <c r="AY14" i="3"/>
  <c r="EC8" i="4" a="1"/>
  <c r="Q9" i="4" a="1"/>
  <c r="AQ46" i="3"/>
  <c r="BQ50" i="3"/>
  <c r="BL14" i="4" a="1"/>
  <c r="AW38" i="3"/>
  <c r="AJ45" i="3"/>
  <c r="AO11" i="4" a="1"/>
  <c r="G20" i="3"/>
  <c r="G88" i="3"/>
  <c r="BA69" i="3"/>
  <c r="H12" i="4" a="1"/>
  <c r="AT76" i="3"/>
  <c r="DD7" i="4" a="1"/>
  <c r="AY5" i="3"/>
  <c r="AP7" i="4" a="1"/>
  <c r="BJ72" i="3"/>
  <c r="ES13" i="4" a="1"/>
  <c r="P12" i="4" a="1"/>
  <c r="AV5" i="6" a="1"/>
  <c r="ES14" i="4" a="1"/>
  <c r="BH6" i="4" a="1"/>
  <c r="DH9" i="4" a="1"/>
  <c r="DB7" i="4" a="1"/>
  <c r="EW14" i="4" a="1"/>
  <c r="CZ5" i="4" a="1"/>
  <c r="BE30" i="3"/>
  <c r="DJ13" i="4" a="1"/>
  <c r="BB78" i="3"/>
  <c r="DD8" i="4" a="1"/>
  <c r="BE72" i="3"/>
  <c r="AD59" i="3"/>
  <c r="DC16" i="4" a="1"/>
  <c r="AW71" i="3"/>
  <c r="F8" i="4" a="1"/>
  <c r="AW29" i="3"/>
  <c r="AI12" i="4" a="1"/>
  <c r="T8" i="4" a="1"/>
  <c r="BD7" i="3"/>
  <c r="BD21" i="3"/>
  <c r="AR13" i="4" a="1"/>
  <c r="AI11" i="4" a="1"/>
  <c r="GY16" i="4" a="1"/>
  <c r="DL6" i="4" a="1"/>
  <c r="ER6" i="4" a="1"/>
  <c r="AL14" i="4" a="1"/>
  <c r="EN12" i="4" a="1"/>
  <c r="AW31" i="3"/>
  <c r="AV31" i="3"/>
  <c r="BH13" i="3"/>
  <c r="DW13" i="4" a="1"/>
  <c r="C70" i="3"/>
  <c r="CV13" i="4" a="1"/>
  <c r="BP78" i="3"/>
  <c r="BU8" i="3"/>
  <c r="BO73" i="3"/>
  <c r="AL15" i="4" a="1"/>
  <c r="AC5" i="4" a="1"/>
  <c r="AN9" i="4" a="1"/>
  <c r="BF60" i="3"/>
  <c r="ES16" i="4" a="1"/>
  <c r="E31" i="3"/>
  <c r="AW14" i="3"/>
  <c r="CA14" i="4" a="1"/>
  <c r="BK14" i="4" a="1"/>
  <c r="AX23" i="3"/>
  <c r="E5" i="3"/>
  <c r="R8" i="4" a="1"/>
  <c r="AP5" i="3"/>
  <c r="ED12" i="4" a="1"/>
  <c r="J6" i="6" a="1"/>
  <c r="DB6" i="4" a="1"/>
  <c r="AE5" i="4" a="1"/>
  <c r="CJ16" i="4" a="1"/>
  <c r="BR5" i="4" a="1"/>
  <c r="AV37" i="3"/>
  <c r="CW14" i="4" a="1"/>
  <c r="BZ7" i="4" a="1"/>
  <c r="AX18" i="3"/>
  <c r="D24" i="3"/>
  <c r="AX28" i="3"/>
  <c r="CN12" i="4" a="1"/>
  <c r="BR54" i="3"/>
  <c r="K16" i="4" a="1"/>
  <c r="BB20" i="3"/>
  <c r="AT9" i="3"/>
  <c r="AO8" i="4" a="1"/>
  <c r="AN14" i="4" a="1"/>
  <c r="W13" i="4" a="1"/>
  <c r="BB7" i="4" a="1"/>
  <c r="AA6" i="4" a="1"/>
  <c r="CL9" i="4" a="1"/>
  <c r="AV88" i="3"/>
  <c r="DG11" i="4" a="1"/>
  <c r="C77" i="3"/>
  <c r="DW9" i="4" a="1"/>
  <c r="DH8" i="4" a="1"/>
  <c r="AR23" i="3"/>
  <c r="CV16" i="4" a="1"/>
  <c r="AR27" i="3"/>
  <c r="CP15" i="4" a="1"/>
  <c r="FI14" i="4" a="1"/>
  <c r="BZ8" i="4" a="1"/>
  <c r="BD47" i="3"/>
  <c r="AD67" i="3"/>
  <c r="U15" i="4" a="1"/>
  <c r="BQ71" i="3"/>
  <c r="DX9" i="4" a="1"/>
  <c r="K7" i="4" a="1"/>
  <c r="AS92" i="3"/>
  <c r="BQ20" i="3"/>
  <c r="AT81" i="3"/>
  <c r="F15" i="3"/>
  <c r="AV74" i="3"/>
  <c r="AR16" i="4" a="1"/>
  <c r="BP7" i="4" a="1"/>
  <c r="DF15" i="4" a="1"/>
  <c r="AP5" i="6" a="1"/>
  <c r="DD16" i="4" a="1"/>
  <c r="CW15" i="4" a="1"/>
  <c r="AR28" i="3"/>
  <c r="DB16" i="4" a="1"/>
  <c r="BJ11" i="4" a="1"/>
  <c r="AP11" i="4" a="1"/>
  <c r="AW12" i="4" a="1"/>
  <c r="AD17" i="3"/>
  <c r="AX92" i="3"/>
  <c r="EF11" i="4" a="1"/>
  <c r="D33" i="3"/>
  <c r="E45" i="3"/>
  <c r="FT5" i="4" a="1"/>
  <c r="GW11" i="4" a="1"/>
  <c r="GE14" i="4" a="1"/>
  <c r="D8" i="3"/>
  <c r="DQ13" i="4" a="1"/>
  <c r="FG16" i="4" a="1"/>
  <c r="CE7" i="4" a="1"/>
  <c r="BS7" i="4" a="1"/>
  <c r="C90" i="3"/>
  <c r="HH5" i="4" a="1"/>
  <c r="FR8" i="4" a="1"/>
  <c r="AU33" i="3"/>
  <c r="AO5" i="6" a="1"/>
  <c r="AU14" i="3"/>
  <c r="CD7" i="4" a="1"/>
  <c r="AT49" i="3"/>
  <c r="ET6" i="4" a="1"/>
  <c r="P11" i="4" a="1"/>
  <c r="DB8" i="4" a="1"/>
  <c r="FF16" i="4" a="1"/>
  <c r="EU5" i="4" a="1"/>
  <c r="CP5" i="4" a="1"/>
  <c r="AW85" i="3"/>
  <c r="GU6" i="4" a="1"/>
  <c r="GU7" i="4" a="1"/>
  <c r="EJ14" i="4" a="1"/>
  <c r="BG13" i="4" a="1"/>
  <c r="AR62" i="3"/>
  <c r="BC28" i="3"/>
  <c r="AG15" i="4" a="1"/>
  <c r="BC9" i="4" a="1"/>
  <c r="EE14" i="4" a="1"/>
  <c r="CI11" i="4" a="1"/>
  <c r="AY34" i="3"/>
  <c r="AI14" i="4" a="1"/>
  <c r="E15" i="4" a="1"/>
  <c r="DZ14" i="4" a="1"/>
  <c r="EO6" i="4" a="1"/>
  <c r="CN6" i="4" a="1"/>
  <c r="AZ5" i="4" a="1"/>
  <c r="BE7" i="4" a="1"/>
  <c r="BI12" i="4" a="1"/>
  <c r="BI16" i="4" a="1"/>
  <c r="DF7" i="4" a="1"/>
  <c r="EP6" i="4" a="1"/>
  <c r="AJ5" i="6" a="1"/>
  <c r="CF7" i="4" a="1"/>
  <c r="CX7" i="4" a="1"/>
  <c r="DP16" i="4" a="1"/>
  <c r="AD7" i="4" a="1"/>
  <c r="BP17" i="3"/>
  <c r="BA50" i="3"/>
  <c r="AX10" i="3"/>
  <c r="AC6" i="6" a="1"/>
  <c r="AT37" i="3"/>
  <c r="Q8" i="4" a="1"/>
  <c r="AY20" i="3"/>
  <c r="GH16" i="4" a="1"/>
  <c r="AR46" i="3"/>
  <c r="W5" i="4" a="1"/>
  <c r="CG12" i="4" a="1"/>
  <c r="AV8" i="3"/>
  <c r="AK6" i="4" a="1"/>
  <c r="EO16" i="4" a="1"/>
  <c r="HB9" i="4" a="1"/>
  <c r="O9" i="4" a="1"/>
  <c r="AW66" i="3"/>
  <c r="BU42" i="3"/>
  <c r="S7" i="4" a="1"/>
  <c r="D12" i="4" a="1"/>
  <c r="T6" i="6" a="1"/>
  <c r="I5" i="4" a="1"/>
  <c r="BH15" i="4" a="1"/>
  <c r="AW30" i="3"/>
  <c r="Z6" i="6" a="1"/>
  <c r="BH12" i="4" a="1"/>
  <c r="D29" i="3"/>
  <c r="GA6" i="4" a="1"/>
  <c r="AD7" i="3"/>
  <c r="EO13" i="4" a="1"/>
  <c r="DN11" i="4" a="1"/>
  <c r="DO12" i="4" a="1"/>
  <c r="DY12" i="4" a="1"/>
  <c r="EU12" i="4" a="1"/>
  <c r="CO6" i="4" a="1"/>
  <c r="DU13" i="4" a="1"/>
  <c r="Y8" i="4" a="1"/>
  <c r="E21" i="3"/>
  <c r="D5" i="6" a="1"/>
  <c r="EW8" i="4" a="1"/>
  <c r="T9" i="4" a="1"/>
  <c r="BR16" i="4" a="1"/>
  <c r="AW6" i="4" a="1"/>
  <c r="AD6" i="3"/>
  <c r="DP7" i="4" a="1"/>
  <c r="G24" i="3"/>
  <c r="BB30" i="3"/>
  <c r="DL12" i="4" a="1"/>
  <c r="BO13" i="4" a="1"/>
  <c r="CI12" i="4" a="1"/>
  <c r="P6" i="6" a="1"/>
  <c r="AU20" i="3"/>
  <c r="AQ7" i="4" a="1"/>
  <c r="EW5" i="4" a="1"/>
  <c r="AR22" i="3"/>
  <c r="BD88" i="3"/>
  <c r="DT5" i="4" a="1"/>
  <c r="BZ14" i="4" a="1"/>
  <c r="AU31" i="3"/>
  <c r="N9" i="4" a="1"/>
  <c r="BU8" i="4" a="1"/>
  <c r="DR12" i="4" a="1"/>
  <c r="AZ7" i="3"/>
  <c r="AW63" i="3"/>
  <c r="EF16" i="4" a="1"/>
  <c r="BQ13" i="4" a="1"/>
  <c r="AO6" i="4" a="1"/>
  <c r="D46" i="3"/>
  <c r="AW61" i="3"/>
  <c r="E73" i="3"/>
  <c r="AR24" i="3"/>
  <c r="AZ60" i="3"/>
  <c r="AD81" i="3"/>
  <c r="DV9" i="4" a="1"/>
  <c r="DC8" i="4" a="1"/>
  <c r="BZ11" i="4" a="1"/>
  <c r="G11" i="4" a="1"/>
  <c r="AE6" i="6" a="1"/>
  <c r="BZ16" i="4" a="1"/>
  <c r="BV6" i="4" a="1"/>
  <c r="EE11" i="4" a="1"/>
  <c r="BS11" i="4" a="1"/>
  <c r="D39" i="3"/>
  <c r="BP16" i="4" a="1"/>
  <c r="AR13" i="3"/>
  <c r="BK15" i="4" a="1"/>
  <c r="AW70" i="3"/>
  <c r="EF13" i="4" a="1"/>
  <c r="C46" i="3"/>
  <c r="AX46" i="3"/>
  <c r="EA6" i="4" a="1"/>
  <c r="CM5" i="4" a="1"/>
  <c r="D8" i="4" a="1"/>
  <c r="DZ13" i="4" a="1"/>
  <c r="K15" i="4" a="1"/>
  <c r="EZ16" i="4" a="1"/>
  <c r="EB13" i="4" a="1"/>
  <c r="Q11" i="4" a="1"/>
  <c r="ED16" i="4" a="1"/>
  <c r="DN16" i="4" a="1"/>
  <c r="AC46" i="3"/>
  <c r="CX12" i="4" a="1"/>
  <c r="BB79" i="3"/>
  <c r="AU5" i="3"/>
  <c r="AP8" i="4" a="1"/>
  <c r="AF27" i="3"/>
  <c r="AB15" i="4" a="1"/>
  <c r="G8" i="4" a="1"/>
  <c r="BF16" i="4" a="1"/>
  <c r="BC62" i="3"/>
  <c r="C72" i="3"/>
  <c r="CW8" i="4" a="1"/>
  <c r="C13" i="4" a="1"/>
  <c r="DN6" i="4" a="1"/>
  <c r="AA45" i="3"/>
  <c r="BJ11" i="3"/>
  <c r="AW16" i="4" a="1"/>
  <c r="EM8" i="4" a="1"/>
  <c r="CZ9" i="4" a="1"/>
  <c r="N13" i="4" a="1"/>
  <c r="BM11" i="4" a="1"/>
  <c r="AW37" i="3"/>
  <c r="G94" i="3"/>
  <c r="AU97" i="3"/>
  <c r="AW79" i="3"/>
  <c r="DX6" i="4" a="1"/>
  <c r="AU64" i="3"/>
  <c r="BR14" i="4" a="1"/>
  <c r="CB15" i="4" a="1"/>
  <c r="Y6" i="4" a="1"/>
  <c r="AD46" i="3"/>
  <c r="EB5" i="4" a="1"/>
  <c r="F9" i="3"/>
  <c r="EE13" i="4" a="1"/>
  <c r="BQ11" i="4" a="1"/>
  <c r="CN15" i="4" a="1"/>
  <c r="G90" i="3"/>
  <c r="AL45" i="3"/>
  <c r="EJ12" i="4" a="1"/>
  <c r="BC74" i="3"/>
  <c r="DK7" i="4" a="1"/>
  <c r="BA34" i="3"/>
  <c r="AD11" i="3"/>
  <c r="AZ33" i="3"/>
  <c r="EJ15" i="4" a="1"/>
  <c r="AU82" i="3"/>
  <c r="DY5" i="4" a="1"/>
  <c r="AE14" i="4" a="1"/>
  <c r="DL16" i="4" a="1"/>
  <c r="CK15" i="4" a="1"/>
  <c r="EC15" i="4" a="1"/>
  <c r="AJ16" i="4" a="1"/>
  <c r="O14" i="4" a="1"/>
  <c r="AS71" i="3"/>
  <c r="AS87" i="3"/>
  <c r="BP15" i="4" a="1"/>
  <c r="AT75" i="3"/>
  <c r="BJ48" i="3"/>
  <c r="W6" i="4" a="1"/>
  <c r="AW73" i="3"/>
  <c r="BB7" i="3"/>
  <c r="AS95" i="3"/>
  <c r="BQ91" i="3"/>
  <c r="BC97" i="3"/>
  <c r="AT63" i="3"/>
  <c r="BO74" i="3"/>
  <c r="BH91" i="3"/>
  <c r="BK71" i="3"/>
  <c r="BD13" i="4" a="1"/>
  <c r="AV14" i="4" a="1"/>
  <c r="AX80" i="3"/>
  <c r="AW35" i="3"/>
  <c r="AR54" i="3"/>
  <c r="HE15" i="4" a="1"/>
  <c r="G21" i="3"/>
  <c r="FZ13" i="4" a="1"/>
  <c r="CE12" i="4" a="1"/>
  <c r="AS11" i="4" a="1"/>
  <c r="EK8" i="4" a="1"/>
  <c r="CF16" i="4" a="1"/>
  <c r="AB5" i="4" a="1"/>
  <c r="AU32" i="3"/>
  <c r="BB12" i="4" a="1"/>
  <c r="AS9" i="3"/>
  <c r="CX14" i="4" a="1"/>
  <c r="AW9" i="4" a="1"/>
  <c r="DO16" i="4" a="1"/>
  <c r="FZ16" i="4" a="1"/>
  <c r="U8" i="4" a="1"/>
  <c r="BW13" i="4" a="1"/>
  <c r="AU8" i="4" a="1"/>
  <c r="EB12" i="4" a="1"/>
  <c r="AX11" i="4" a="1"/>
  <c r="AR16" i="3"/>
  <c r="EP5" i="4" a="1"/>
  <c r="AY15" i="3"/>
  <c r="CP13" i="4" a="1"/>
  <c r="DQ11" i="4" a="1"/>
  <c r="AB46" i="3"/>
  <c r="C68" i="3"/>
  <c r="AD90" i="3"/>
  <c r="BD6" i="4" a="1"/>
  <c r="BC71" i="3"/>
  <c r="DU14" i="4" a="1"/>
  <c r="AD75" i="3"/>
  <c r="CM13" i="4" a="1"/>
  <c r="EW6" i="4" a="1"/>
  <c r="ES12" i="4" a="1"/>
  <c r="D15" i="4" a="1"/>
  <c r="FC9" i="4" a="1"/>
  <c r="CM12" i="4" a="1"/>
  <c r="DO8" i="4" a="1"/>
  <c r="N16" i="4" a="1"/>
  <c r="DV16" i="4" a="1"/>
  <c r="AU29" i="3"/>
  <c r="Y13" i="4" a="1"/>
  <c r="AS75" i="3"/>
  <c r="E30" i="3"/>
  <c r="AD79" i="3"/>
  <c r="BD91" i="3"/>
  <c r="AD83" i="3"/>
  <c r="G91" i="3"/>
  <c r="AS47" i="3"/>
  <c r="EV13" i="4" a="1"/>
  <c r="GK6" i="4" a="1"/>
  <c r="AB5" i="6" a="1"/>
  <c r="AR85" i="3"/>
  <c r="GE7" i="4" a="1"/>
  <c r="CC11" i="4" a="1"/>
  <c r="AD13" i="3"/>
  <c r="BJ84" i="3"/>
  <c r="BO14" i="4" a="1"/>
  <c r="CZ15" i="4" a="1"/>
  <c r="AJ8" i="4" a="1"/>
  <c r="AT6" i="4" a="1"/>
  <c r="DS16" i="4" a="1"/>
  <c r="BA71" i="3"/>
  <c r="AW22" i="3"/>
  <c r="DW12" i="4" a="1"/>
  <c r="CX11" i="4" a="1"/>
  <c r="AI15" i="4" a="1"/>
  <c r="AZ17" i="3"/>
  <c r="D26" i="3"/>
  <c r="AB5" i="3"/>
  <c r="BS8" i="4" a="1"/>
  <c r="AK16" i="4" a="1"/>
  <c r="ET8" i="4" a="1"/>
  <c r="G30" i="3"/>
  <c r="BM13" i="4" a="1"/>
  <c r="BI13" i="4" a="1"/>
  <c r="BN11" i="4" a="1"/>
  <c r="R6" i="6" a="1"/>
  <c r="DB15" i="4" a="1"/>
  <c r="AT33" i="3"/>
  <c r="AZ19" i="3"/>
  <c r="D5" i="4" a="1"/>
  <c r="GA12" i="4" a="1"/>
  <c r="EC12" i="4" a="1"/>
  <c r="AW95" i="3"/>
  <c r="AZ93" i="3"/>
  <c r="BD63" i="3"/>
  <c r="CV7" i="4" a="1"/>
  <c r="I45" i="3"/>
  <c r="AU27" i="3"/>
  <c r="BD49" i="3"/>
  <c r="AY6" i="6" a="1"/>
  <c r="BF96" i="3"/>
  <c r="AX15" i="4" a="1"/>
  <c r="AT55" i="3"/>
  <c r="F13" i="3"/>
  <c r="DH6" i="4" a="1"/>
  <c r="BC60" i="3"/>
  <c r="AV12" i="4" a="1"/>
  <c r="BQ15" i="4" a="1"/>
  <c r="AF14" i="3"/>
  <c r="Z13" i="4" a="1"/>
  <c r="BJ89" i="3"/>
  <c r="AV70" i="3"/>
  <c r="EU7" i="4" a="1"/>
  <c r="BB13" i="4" a="1"/>
  <c r="BW5" i="4" a="1"/>
  <c r="BS14" i="4" a="1"/>
  <c r="Y5" i="6" a="1"/>
  <c r="V12" i="4" a="1"/>
  <c r="EF7" i="4" a="1"/>
  <c r="E88" i="3"/>
  <c r="BQ30" i="3"/>
  <c r="AW93" i="3"/>
  <c r="AV29" i="3"/>
  <c r="D35" i="3"/>
  <c r="BJ73" i="3"/>
  <c r="BC77" i="3"/>
  <c r="BQ78" i="3"/>
  <c r="Y46" i="3"/>
  <c r="DI16" i="4" a="1"/>
  <c r="E15" i="3"/>
  <c r="AV78" i="3"/>
  <c r="BQ85" i="3"/>
  <c r="AW11" i="4" a="1"/>
  <c r="C78" i="3"/>
  <c r="H11" i="4" a="1"/>
  <c r="BF84" i="3"/>
  <c r="BK70" i="3"/>
  <c r="AR77" i="3"/>
  <c r="AZ77" i="3"/>
  <c r="AY72" i="3"/>
  <c r="BE68" i="3"/>
  <c r="BH75" i="3"/>
  <c r="AF59" i="3"/>
  <c r="AD85" i="3"/>
  <c r="AA7" i="4" a="1"/>
  <c r="CD13" i="4" a="1"/>
  <c r="EK11" i="4" a="1"/>
  <c r="H7" i="4" a="1"/>
  <c r="E75" i="3"/>
  <c r="AZ49" i="3"/>
  <c r="AU37" i="3"/>
  <c r="BD56" i="3"/>
  <c r="AY57" i="3"/>
  <c r="AV68" i="3"/>
  <c r="DF6" i="4" a="1"/>
  <c r="BQ66" i="3"/>
  <c r="BJ63" i="3"/>
  <c r="BT65" i="3"/>
  <c r="BH50" i="3"/>
  <c r="BQ57" i="3"/>
  <c r="BD68" i="3"/>
  <c r="AY87" i="3"/>
  <c r="BJ94" i="3"/>
  <c r="BA6" i="4" a="1"/>
  <c r="AZ65" i="3"/>
  <c r="AY80" i="3"/>
  <c r="AW60" i="3"/>
  <c r="G67" i="3"/>
  <c r="AW56" i="3"/>
  <c r="BU61" i="3"/>
  <c r="BW14" i="4" a="1"/>
  <c r="AD13" i="4" a="1"/>
  <c r="AX73" i="3"/>
  <c r="AY7" i="3"/>
  <c r="CX8" i="4" a="1"/>
  <c r="C82" i="3"/>
  <c r="AD73" i="3"/>
  <c r="BB11" i="4" a="1"/>
  <c r="BJ90" i="3"/>
  <c r="BJ50" i="3"/>
  <c r="AV35" i="3"/>
  <c r="AZ47" i="3"/>
  <c r="AX57" i="3"/>
  <c r="CF15" i="4" a="1"/>
  <c r="AV96" i="3"/>
  <c r="BJ47" i="3"/>
  <c r="AA14" i="4" a="1"/>
  <c r="AT86" i="3"/>
  <c r="BC14" i="3"/>
  <c r="AW76" i="3"/>
  <c r="BJ81" i="3"/>
  <c r="AX77" i="3"/>
  <c r="CU8" i="4" a="1"/>
  <c r="DI12" i="4" a="1"/>
  <c r="DT11" i="4" a="1"/>
  <c r="AT88" i="3"/>
  <c r="BM16" i="4" a="1"/>
  <c r="DW7" i="4" a="1"/>
  <c r="AD56" i="3"/>
  <c r="BG64" i="3"/>
  <c r="BK75" i="3"/>
  <c r="AR74" i="3"/>
  <c r="G92" i="3"/>
  <c r="AZ6" i="4" a="1"/>
  <c r="AY77" i="3"/>
  <c r="EB8" i="4" a="1"/>
  <c r="AW91" i="3"/>
  <c r="AX94" i="3"/>
  <c r="AP6" i="4" a="1"/>
  <c r="AQ13" i="4" a="1"/>
  <c r="V6" i="4" a="1"/>
  <c r="BC46" i="3"/>
  <c r="AB8" i="4" a="1"/>
  <c r="BH86" i="3"/>
  <c r="AY82" i="3"/>
  <c r="AS79" i="3"/>
  <c r="EG14" i="4" a="1"/>
  <c r="BC61" i="3"/>
  <c r="EJ9" i="4" a="1"/>
  <c r="AR10" i="3"/>
  <c r="AU68" i="3"/>
  <c r="BR7" i="4" a="1"/>
  <c r="AG13" i="4" a="1"/>
  <c r="AS73" i="3"/>
  <c r="AU15" i="4" a="1"/>
  <c r="AZ56" i="3"/>
  <c r="DE7" i="4" a="1"/>
  <c r="BA95" i="3"/>
  <c r="BL49" i="3"/>
  <c r="BH65" i="3"/>
  <c r="BQ65" i="3"/>
  <c r="E82" i="3"/>
  <c r="G77" i="3"/>
  <c r="BL81" i="3"/>
  <c r="BK66" i="3"/>
  <c r="AV65" i="3"/>
  <c r="BC31" i="3"/>
  <c r="AG45" i="3"/>
  <c r="AP16" i="4" a="1"/>
  <c r="AV11" i="3"/>
  <c r="AV94" i="3"/>
  <c r="DJ11" i="4" a="1"/>
  <c r="AX75" i="3"/>
  <c r="BF48" i="3"/>
  <c r="AT87" i="3"/>
  <c r="DO9" i="4" a="1"/>
  <c r="AR7" i="4" a="1"/>
  <c r="DG16" i="4" a="1"/>
  <c r="BS5" i="3"/>
  <c r="GY7" i="4" a="1"/>
  <c r="GE9" i="4" a="1"/>
  <c r="AU6" i="4" a="1"/>
  <c r="BC87" i="3"/>
  <c r="AW86" i="3"/>
  <c r="BB97" i="3"/>
  <c r="BE5" i="4" a="1"/>
  <c r="DD6" i="4" a="1"/>
  <c r="BS12" i="4" a="1"/>
  <c r="FQ16" i="4" a="1"/>
  <c r="DM11" i="4" a="1"/>
  <c r="AD82" i="3"/>
  <c r="U45" i="3"/>
  <c r="M15" i="4" a="1"/>
  <c r="CY9" i="4" a="1"/>
  <c r="BA59" i="3"/>
  <c r="G71" i="3"/>
  <c r="E79" i="3"/>
  <c r="CY12" i="4" a="1"/>
  <c r="G12" i="4" a="1"/>
  <c r="EG11" i="4" a="1"/>
  <c r="CU13" i="4" a="1"/>
  <c r="AN12" i="4" a="1"/>
  <c r="AK11" i="4" a="1"/>
  <c r="ED7" i="4" a="1"/>
  <c r="EJ7" i="4" a="1"/>
  <c r="BB73" i="3"/>
  <c r="CG14" i="4" a="1"/>
  <c r="EH5" i="4" a="1"/>
  <c r="FB13" i="4" a="1"/>
  <c r="CZ13" i="4" a="1"/>
  <c r="EK15" i="4" a="1"/>
  <c r="F6" i="6" a="1"/>
  <c r="CP16" i="4" a="1"/>
  <c r="AZ57" i="3"/>
  <c r="AF71" i="3"/>
  <c r="W15" i="4" a="1"/>
  <c r="EF5" i="4" a="1"/>
  <c r="EH11" i="4" a="1"/>
  <c r="AW89" i="3"/>
  <c r="W8" i="4" a="1"/>
  <c r="E6" i="6" a="1"/>
  <c r="K12" i="4" a="1"/>
  <c r="E81" i="3"/>
  <c r="DL13" i="4" a="1"/>
  <c r="CS5" i="4" a="1"/>
  <c r="AS94" i="3"/>
  <c r="BQ97" i="3"/>
  <c r="DE13" i="4" a="1"/>
  <c r="AT39" i="3"/>
  <c r="AV85" i="3"/>
  <c r="AW83" i="3"/>
  <c r="AF77" i="3"/>
  <c r="DB14" i="4" a="1"/>
  <c r="CA15" i="4" a="1"/>
  <c r="BD96" i="3"/>
  <c r="BD14" i="4" a="1"/>
  <c r="AV6" i="6" a="1"/>
  <c r="AH15" i="4" a="1"/>
  <c r="BQ93" i="3"/>
  <c r="BL7" i="4" a="1"/>
  <c r="AF12" i="3"/>
  <c r="W14" i="4" a="1"/>
  <c r="BX6" i="4" a="1"/>
  <c r="BJ97" i="3"/>
  <c r="DO11" i="4" a="1"/>
  <c r="EJ11" i="4" a="1"/>
  <c r="BE55" i="3"/>
  <c r="BE97" i="3"/>
  <c r="C45" i="3"/>
  <c r="BD90" i="3"/>
  <c r="DE8" i="4" a="1"/>
  <c r="DV12" i="4" a="1"/>
  <c r="F5" i="4" a="1"/>
  <c r="AW54" i="3"/>
  <c r="BE79" i="3"/>
  <c r="BE54" i="3"/>
  <c r="BS70" i="3"/>
  <c r="BK76" i="3"/>
  <c r="AU65" i="3"/>
  <c r="G70" i="3"/>
  <c r="AY67" i="3"/>
  <c r="AE45" i="3"/>
  <c r="BH89" i="3"/>
  <c r="E84" i="3"/>
  <c r="AY85" i="3"/>
  <c r="AS80" i="3"/>
  <c r="AF13" i="4" a="1"/>
  <c r="L14" i="4" a="1"/>
  <c r="E59" i="3"/>
  <c r="AS65" i="3"/>
  <c r="C85" i="3"/>
  <c r="D11" i="4" a="1"/>
  <c r="AD69" i="3"/>
  <c r="AZ13" i="3"/>
  <c r="AX87" i="3"/>
  <c r="BJ60" i="3"/>
  <c r="AW58" i="3"/>
  <c r="E13" i="3"/>
  <c r="BT86" i="3"/>
  <c r="BH69" i="3"/>
  <c r="BK54" i="3"/>
  <c r="AF97" i="3"/>
  <c r="AV81" i="3"/>
  <c r="AY65" i="3"/>
  <c r="AR68" i="3"/>
  <c r="BM86" i="3"/>
  <c r="BK65" i="3"/>
  <c r="G64" i="3"/>
  <c r="BR6" i="4" a="1"/>
  <c r="AO15" i="4" a="1"/>
  <c r="BK86" i="3"/>
  <c r="AD95" i="3"/>
  <c r="AW74" i="3"/>
  <c r="BR65" i="3"/>
  <c r="BI62" i="3"/>
  <c r="AT54" i="3"/>
  <c r="DS5" i="4" a="1"/>
  <c r="BA89" i="3"/>
  <c r="D28" i="3"/>
  <c r="AS86" i="3"/>
  <c r="AX7" i="3"/>
  <c r="BM8" i="4" a="1"/>
  <c r="AW49" i="3"/>
  <c r="EI13" i="4" a="1"/>
  <c r="BG84" i="3"/>
  <c r="G54" i="3"/>
  <c r="BD83" i="3"/>
  <c r="BQ73" i="3"/>
  <c r="AV83" i="3"/>
  <c r="BU12" i="4" a="1"/>
  <c r="CL13" i="4" a="1"/>
  <c r="BK62" i="3"/>
  <c r="GP16" i="4" a="1"/>
  <c r="BE71" i="3"/>
  <c r="AT67" i="3"/>
  <c r="CZ11" i="4" a="1"/>
  <c r="BC72" i="3"/>
  <c r="CW13" i="4" a="1"/>
  <c r="BX15" i="4" a="1"/>
  <c r="AV95" i="3"/>
  <c r="BL13" i="4" a="1"/>
  <c r="BC58" i="3"/>
  <c r="BE42" i="3"/>
  <c r="AZ80" i="3"/>
  <c r="BA54" i="3"/>
  <c r="BF75" i="3"/>
  <c r="BS96" i="3"/>
  <c r="BK83" i="3"/>
  <c r="AU47" i="3"/>
  <c r="AY50" i="3"/>
  <c r="Y7" i="4" a="1"/>
  <c r="BS82" i="3"/>
  <c r="AS70" i="3"/>
  <c r="AS91" i="3"/>
  <c r="EE9" i="4" a="1"/>
  <c r="CO12" i="4" a="1"/>
  <c r="BD65" i="3"/>
  <c r="AS85" i="3"/>
  <c r="AD5" i="6" a="1"/>
  <c r="AT82" i="3"/>
  <c r="BH61" i="3"/>
  <c r="AZ88" i="3"/>
  <c r="BB48" i="3"/>
  <c r="BQ82" i="3"/>
  <c r="BJ13" i="4" a="1"/>
  <c r="BA79" i="3"/>
  <c r="AX54" i="3"/>
  <c r="R45" i="3"/>
  <c r="AX55" i="3"/>
  <c r="AT50" i="3"/>
  <c r="DH16" i="4" a="1"/>
  <c r="AV60" i="3"/>
  <c r="AR97" i="3"/>
  <c r="AT96" i="3"/>
  <c r="AX96" i="3"/>
  <c r="BL64" i="3"/>
  <c r="BH78" i="3"/>
  <c r="BS86" i="3"/>
  <c r="BQ47" i="3"/>
  <c r="E55" i="3"/>
  <c r="AD61" i="3"/>
  <c r="BO93" i="3"/>
  <c r="BK59" i="3"/>
  <c r="G75" i="3"/>
  <c r="EH12" i="4" a="1"/>
  <c r="AU89" i="3"/>
  <c r="AX60" i="3"/>
  <c r="AZ14" i="4" a="1"/>
  <c r="D22" i="3"/>
  <c r="F6" i="4" a="1"/>
  <c r="AD87" i="3"/>
  <c r="BH90" i="3"/>
  <c r="EA15" i="4" a="1"/>
  <c r="AD58" i="3"/>
  <c r="AD57" i="3"/>
  <c r="AR42" i="3"/>
  <c r="AZ61" i="3"/>
  <c r="BG16" i="4" a="1"/>
  <c r="C81" i="3"/>
  <c r="E33" i="3"/>
  <c r="BJ6" i="4" a="1"/>
  <c r="G14" i="3"/>
  <c r="CG13" i="4" a="1"/>
  <c r="BR49" i="3"/>
  <c r="BS83" i="3"/>
  <c r="AF91" i="3"/>
  <c r="AY59" i="3"/>
  <c r="AF73" i="3"/>
  <c r="AZ54" i="3"/>
  <c r="BK48" i="3"/>
  <c r="AD84" i="3"/>
  <c r="BN88" i="3"/>
  <c r="BN58" i="3"/>
  <c r="BL75" i="3"/>
  <c r="BL69" i="3"/>
  <c r="BP50" i="3"/>
  <c r="BP60" i="3"/>
  <c r="BI69" i="3"/>
  <c r="BI97" i="3"/>
  <c r="BU97" i="3"/>
  <c r="BU92" i="3"/>
  <c r="BM91" i="3"/>
  <c r="BM56" i="3"/>
  <c r="BJ54" i="3"/>
  <c r="BT75" i="3"/>
  <c r="BT85" i="3"/>
  <c r="BG76" i="3"/>
  <c r="BG57" i="3"/>
  <c r="BG79" i="3"/>
  <c r="BB68" i="3"/>
  <c r="BB54" i="3"/>
  <c r="AR70" i="3"/>
  <c r="AF58" i="3"/>
  <c r="AF96" i="3"/>
  <c r="E97" i="3"/>
  <c r="AU93" i="3"/>
  <c r="BK81" i="3"/>
  <c r="EJ8" i="4" a="1"/>
  <c r="BH85" i="3"/>
  <c r="AZ12" i="4" a="1"/>
  <c r="G81" i="3"/>
  <c r="P45" i="3"/>
  <c r="CP14" i="4" a="1"/>
  <c r="F46" i="3"/>
  <c r="BC16" i="4" a="1"/>
  <c r="EN11" i="4" a="1"/>
  <c r="AR59" i="3"/>
  <c r="BD22" i="3"/>
  <c r="CS15" i="4" a="1"/>
  <c r="AV33" i="3"/>
  <c r="AY16" i="4" a="1"/>
  <c r="AR60" i="3"/>
  <c r="BD5" i="4" a="1"/>
  <c r="DP8" i="4" a="1"/>
  <c r="CR9" i="4" a="1"/>
  <c r="F40" i="3"/>
  <c r="D10" i="3"/>
  <c r="EH9" i="4" a="1"/>
  <c r="EI14" i="4" a="1"/>
  <c r="AD16" i="4" a="1"/>
  <c r="AT60" i="3"/>
  <c r="CJ9" i="4" a="1"/>
  <c r="AV7" i="4" a="1"/>
  <c r="AT89" i="3"/>
  <c r="AH46" i="3"/>
  <c r="DA6" i="4" a="1"/>
  <c r="U6" i="4" a="1"/>
  <c r="C65" i="3"/>
  <c r="AR35" i="3"/>
  <c r="CQ15" i="4" a="1"/>
  <c r="AS96" i="3"/>
  <c r="H6" i="6" a="1"/>
  <c r="EP13" i="4" a="1"/>
  <c r="CC5" i="4" a="1"/>
  <c r="AV97" i="3"/>
  <c r="BD7" i="4" a="1"/>
  <c r="AC6" i="4" a="1"/>
  <c r="CM8" i="4" a="1"/>
  <c r="Y11" i="4" a="1"/>
  <c r="DG7" i="4" a="1"/>
  <c r="S6" i="4" a="1"/>
  <c r="AF21" i="3"/>
  <c r="CT16" i="4" a="1"/>
  <c r="BH62" i="3"/>
  <c r="CK16" i="4" a="1"/>
  <c r="AW25" i="3"/>
  <c r="EC6" i="4" a="1"/>
  <c r="AF69" i="3"/>
  <c r="BF72" i="3"/>
  <c r="CL11" i="4" a="1"/>
  <c r="BR12" i="4" a="1"/>
  <c r="DI7" i="4" a="1"/>
  <c r="CZ16" i="4" a="1"/>
  <c r="CE14" i="4" a="1"/>
  <c r="F26" i="3"/>
  <c r="BD94" i="3"/>
  <c r="AR11" i="3"/>
  <c r="AS38" i="3"/>
  <c r="F28" i="3"/>
  <c r="AT21" i="3"/>
  <c r="AX6" i="3"/>
  <c r="AK8" i="4" a="1"/>
  <c r="F24" i="3"/>
  <c r="C80" i="3"/>
  <c r="AD62" i="3"/>
  <c r="AX74" i="3"/>
  <c r="CB11" i="4" a="1"/>
  <c r="CO5" i="4" a="1"/>
  <c r="DS13" i="4" a="1"/>
  <c r="AD64" i="3"/>
  <c r="AX93" i="3"/>
  <c r="AD86" i="3"/>
  <c r="E86" i="3"/>
  <c r="DF12" i="4" a="1"/>
  <c r="BK8" i="4" a="1"/>
  <c r="BM97" i="3"/>
  <c r="BH57" i="3"/>
  <c r="BS74" i="3"/>
  <c r="BK58" i="3"/>
  <c r="AU63" i="3"/>
  <c r="G96" i="3"/>
  <c r="AD55" i="3"/>
  <c r="BC96" i="3"/>
  <c r="BS68" i="3"/>
  <c r="AV82" i="3"/>
  <c r="AR47" i="3"/>
  <c r="CB13" i="4" a="1"/>
  <c r="AZ67" i="3"/>
  <c r="AW87" i="3"/>
  <c r="AR25" i="3"/>
  <c r="AV13" i="4" a="1"/>
  <c r="F15" i="4" a="1"/>
  <c r="DJ12" i="4" a="1"/>
  <c r="N46" i="3"/>
  <c r="CI13" i="4" a="1"/>
  <c r="J7" i="4" a="1"/>
  <c r="CA6" i="4" a="1"/>
  <c r="CS11" i="4" a="1"/>
  <c r="G23" i="3"/>
  <c r="BO95" i="3"/>
  <c r="BH47" i="3"/>
  <c r="BK60" i="3"/>
  <c r="AF82" i="3"/>
  <c r="AV91" i="3"/>
  <c r="AY88" i="3"/>
  <c r="DM8" i="4" a="1"/>
  <c r="BO80" i="3"/>
  <c r="BK57" i="3"/>
  <c r="AY48" i="3"/>
  <c r="BW11" i="4" a="1"/>
  <c r="C64" i="3"/>
  <c r="BQ77" i="3"/>
  <c r="AY78" i="3"/>
  <c r="GP6" i="4" a="1"/>
  <c r="BT95" i="3"/>
  <c r="N6" i="4" a="1"/>
  <c r="J5" i="4" a="1"/>
  <c r="DI5" i="4" a="1"/>
  <c r="AF12" i="4" a="1"/>
  <c r="BS16" i="4" a="1"/>
  <c r="AW75" i="3"/>
  <c r="X46" i="3"/>
  <c r="BC54" i="3"/>
  <c r="AI6" i="6" a="1"/>
  <c r="AD60" i="3"/>
  <c r="BS48" i="3"/>
  <c r="G61" i="3"/>
  <c r="AZ96" i="3"/>
  <c r="AD63" i="3"/>
  <c r="G66" i="3"/>
  <c r="AN45" i="3"/>
  <c r="DP9" i="4" a="1"/>
  <c r="GP15" i="4" a="1"/>
  <c r="AZ87" i="3"/>
  <c r="BV13" i="4" a="1"/>
  <c r="EG6" i="4" a="1"/>
  <c r="AT58" i="3"/>
  <c r="ER12" i="4" a="1"/>
  <c r="BA55" i="3"/>
  <c r="AR55" i="3"/>
  <c r="E87" i="3"/>
  <c r="EE6" i="4" a="1"/>
  <c r="DR8" i="4" a="1"/>
  <c r="CO11" i="4" a="1"/>
  <c r="AZ90" i="3"/>
  <c r="BE58" i="3"/>
  <c r="BS90" i="3"/>
  <c r="BK93" i="3"/>
  <c r="AU48" i="3"/>
  <c r="AT84" i="3"/>
  <c r="BS71" i="3"/>
  <c r="G89" i="3"/>
  <c r="AZ48" i="3"/>
  <c r="DB5" i="4" a="1"/>
  <c r="AU74" i="3"/>
  <c r="D42" i="3"/>
  <c r="AX48" i="3"/>
  <c r="DA13" i="4" a="1"/>
  <c r="BM9" i="4" a="1"/>
  <c r="CR12" i="4" a="1"/>
  <c r="BH56" i="3"/>
  <c r="BC76" i="3"/>
  <c r="AR63" i="3"/>
  <c r="P46" i="3"/>
  <c r="BD78" i="3"/>
  <c r="AY36" i="3"/>
  <c r="AS66" i="3"/>
  <c r="AF56" i="3"/>
  <c r="BC48" i="3"/>
  <c r="AZ79" i="3"/>
  <c r="BQ48" i="3"/>
  <c r="AF81" i="3"/>
  <c r="BQ68" i="3"/>
  <c r="BD74" i="3"/>
  <c r="AW20" i="3"/>
  <c r="BT59" i="3"/>
  <c r="BH54" i="3"/>
  <c r="BK72" i="3"/>
  <c r="BQ75" i="3"/>
  <c r="AV58" i="3"/>
  <c r="AY56" i="3"/>
  <c r="BF82" i="3"/>
  <c r="G93" i="3"/>
  <c r="AX34" i="3"/>
  <c r="E64" i="3"/>
  <c r="BC57" i="3"/>
  <c r="BU83" i="3"/>
  <c r="HD12" i="4" a="1"/>
  <c r="O45" i="3"/>
  <c r="BK13" i="4" a="1"/>
  <c r="BE66" i="3"/>
  <c r="BA11" i="4" a="1"/>
  <c r="DR14" i="4" a="1"/>
  <c r="BC78" i="3"/>
  <c r="AC5" i="6" a="1"/>
  <c r="AS61" i="3"/>
  <c r="EW11" i="4" a="1"/>
  <c r="BB8" i="4" a="1"/>
  <c r="R16" i="4" a="1"/>
  <c r="C95" i="3"/>
  <c r="D16" i="4" a="1"/>
  <c r="AA13" i="4" a="1"/>
  <c r="Q15" i="4" a="1"/>
  <c r="T6" i="4" a="1"/>
  <c r="S14" i="4" a="1"/>
  <c r="ED5" i="4" a="1"/>
  <c r="BC14" i="4" a="1"/>
  <c r="AY35" i="3"/>
  <c r="AU66" i="3"/>
  <c r="AD88" i="3"/>
  <c r="AV54" i="3"/>
  <c r="P5" i="4" a="1"/>
  <c r="AF11" i="4" a="1"/>
  <c r="AT70" i="3"/>
  <c r="AM11" i="4" a="1"/>
  <c r="DQ5" i="4" a="1"/>
  <c r="AR32" i="3"/>
  <c r="J16" i="4" a="1"/>
  <c r="Q6" i="4" a="1"/>
  <c r="E92" i="3"/>
  <c r="AW62" i="3"/>
  <c r="DM15" i="4" a="1"/>
  <c r="BC67" i="3"/>
  <c r="AD71" i="3"/>
  <c r="AQ6" i="6" a="1"/>
  <c r="GM7" i="4" a="1"/>
  <c r="W11" i="4" a="1"/>
  <c r="AQ8" i="4" a="1"/>
  <c r="AN13" i="4" a="1"/>
  <c r="BT13" i="4" a="1"/>
  <c r="AU49" i="3"/>
  <c r="CK12" i="4" a="1"/>
  <c r="BD37" i="3"/>
  <c r="EH14" i="4" a="1"/>
  <c r="K5" i="6" a="1"/>
  <c r="AT90" i="3"/>
  <c r="BC85" i="3"/>
  <c r="DM5" i="4" a="1"/>
  <c r="AY5" i="4" a="1"/>
  <c r="CJ5" i="4" a="1"/>
  <c r="BL8" i="4" a="1"/>
  <c r="CE9" i="4" a="1"/>
  <c r="DS7" i="4" a="1"/>
  <c r="BP6" i="4" a="1"/>
  <c r="BG66" i="3"/>
  <c r="U11" i="4" a="1"/>
  <c r="AT22" i="3"/>
  <c r="E20" i="3"/>
  <c r="AF11" i="3"/>
  <c r="AI7" i="4" a="1"/>
  <c r="EA12" i="4" a="1"/>
  <c r="CI16" i="4" a="1"/>
  <c r="DV7" i="4" a="1"/>
  <c r="BA88" i="3"/>
  <c r="HE16" i="4" a="1"/>
  <c r="AW96" i="3"/>
  <c r="EF9" i="4" a="1"/>
  <c r="CK5" i="4" a="1"/>
  <c r="AW90" i="3"/>
  <c r="BD70" i="3"/>
  <c r="U12" i="4" a="1"/>
  <c r="V46" i="3"/>
  <c r="CR7" i="4" a="1"/>
  <c r="AX50" i="3"/>
  <c r="BL57" i="3"/>
  <c r="BH97" i="3"/>
  <c r="BS84" i="3"/>
  <c r="BQ54" i="3"/>
  <c r="E56" i="3"/>
  <c r="G79" i="3"/>
  <c r="DS9" i="4" a="1"/>
  <c r="AF67" i="3"/>
  <c r="BS64" i="3"/>
  <c r="G85" i="3"/>
  <c r="BE61" i="3"/>
  <c r="BJ83" i="3"/>
  <c r="BD48" i="3"/>
  <c r="DV13" i="4" a="1"/>
  <c r="AT61" i="3"/>
  <c r="BQ55" i="3"/>
  <c r="AF75" i="3"/>
  <c r="CA5" i="4" a="1"/>
  <c r="BC92" i="3"/>
  <c r="X14" i="4" a="1"/>
  <c r="BJ74" i="3"/>
  <c r="EK7" i="4" a="1"/>
  <c r="AT78" i="3"/>
  <c r="BE92" i="3"/>
  <c r="BG78" i="3"/>
  <c r="BS93" i="3"/>
  <c r="BK63" i="3"/>
  <c r="AR49" i="3"/>
  <c r="AV61" i="3"/>
  <c r="AY71" i="3"/>
  <c r="BQ62" i="3"/>
  <c r="BF49" i="3"/>
  <c r="BQ63" i="3"/>
  <c r="AY75" i="3"/>
  <c r="BG7" i="4" a="1"/>
  <c r="BR9" i="4" a="1"/>
  <c r="BQ96" i="3"/>
  <c r="AY73" i="3"/>
  <c r="AP46" i="3"/>
  <c r="BG54" i="3"/>
  <c r="AH13" i="4" a="1"/>
  <c r="G46" i="3"/>
  <c r="AI46" i="3"/>
  <c r="AH7" i="4" a="1"/>
  <c r="AZ55" i="3"/>
  <c r="BD67" i="3"/>
  <c r="T13" i="4" a="1"/>
  <c r="CV5" i="4" a="1"/>
  <c r="AW17" i="3"/>
  <c r="BD75" i="3"/>
  <c r="BK56" i="3"/>
  <c r="AY93" i="3"/>
  <c r="BO11" i="4" a="1"/>
  <c r="G13" i="4" a="1"/>
  <c r="AY79" i="3"/>
  <c r="EI7" i="4" a="1"/>
  <c r="BL48" i="3"/>
  <c r="AG5" i="4" a="1"/>
  <c r="F5" i="3"/>
  <c r="E78" i="3"/>
  <c r="EQ7" i="4" a="1"/>
  <c r="DK15" i="4" a="1"/>
  <c r="AX78" i="3"/>
  <c r="K8" i="4" a="1"/>
  <c r="DE14" i="4" a="1"/>
  <c r="BU88" i="3"/>
  <c r="AI5" i="4" a="1"/>
  <c r="AX70" i="3"/>
  <c r="AT11" i="4" a="1"/>
  <c r="BG6" i="4" a="1"/>
  <c r="BM54" i="3"/>
  <c r="BH83" i="3"/>
  <c r="BS69" i="3"/>
  <c r="BQ79" i="3"/>
  <c r="E71" i="3"/>
  <c r="AT66" i="3"/>
  <c r="AO16" i="4" a="1"/>
  <c r="BK80" i="3"/>
  <c r="AC45" i="3"/>
  <c r="AW59" i="3"/>
  <c r="AS78" i="3"/>
  <c r="AZ89" i="3"/>
  <c r="U7" i="4" a="1"/>
  <c r="AV69" i="3"/>
  <c r="BM12" i="4" a="1"/>
  <c r="CB14" i="4" a="1"/>
  <c r="BA57" i="3"/>
  <c r="BS77" i="3"/>
  <c r="BD55" i="3"/>
  <c r="FN11" i="4" a="1"/>
  <c r="BB5" i="4" a="1"/>
  <c r="AS83" i="3"/>
  <c r="BJ92" i="3"/>
  <c r="BZ13" i="4" a="1"/>
  <c r="G68" i="3"/>
  <c r="CU7" i="4" a="1"/>
  <c r="AY92" i="3"/>
  <c r="V8" i="4" a="1"/>
  <c r="BE48" i="3"/>
  <c r="AD76" i="3"/>
  <c r="AT80" i="3"/>
  <c r="AZ59" i="3"/>
  <c r="J11" i="4" a="1"/>
  <c r="BO47" i="3"/>
  <c r="BH93" i="3"/>
  <c r="BK89" i="3"/>
  <c r="AF94" i="3"/>
  <c r="AV86" i="3"/>
  <c r="AY60" i="3"/>
  <c r="F85" i="3"/>
  <c r="BH95" i="3"/>
  <c r="AF54" i="3"/>
  <c r="AY68" i="3"/>
  <c r="AZ69" i="3"/>
  <c r="AH45" i="3"/>
  <c r="F27" i="3"/>
  <c r="AS54" i="3"/>
  <c r="BJ61" i="3"/>
  <c r="CR13" i="4" a="1"/>
  <c r="AU6" i="6" a="1"/>
  <c r="BS47" i="3"/>
  <c r="DC5" i="4" a="1"/>
  <c r="BQ94" i="3"/>
  <c r="F13" i="4" a="1"/>
  <c r="BC91" i="3"/>
  <c r="BJ75" i="3"/>
  <c r="BQ67" i="3"/>
  <c r="AW26" i="3"/>
  <c r="I15" i="4" a="1"/>
  <c r="AR61" i="3"/>
  <c r="I6" i="4" a="1"/>
  <c r="BQ61" i="3"/>
  <c r="BT66" i="3"/>
  <c r="BS66" i="3"/>
  <c r="AU76" i="3"/>
  <c r="AY76" i="3"/>
  <c r="AY89" i="3"/>
  <c r="AT47" i="3"/>
  <c r="G97" i="3"/>
  <c r="F82" i="3"/>
  <c r="BN94" i="3"/>
  <c r="BR96" i="3"/>
  <c r="BL60" i="3"/>
  <c r="BL71" i="3"/>
  <c r="BP68" i="3"/>
  <c r="BP58" i="3"/>
  <c r="AQ5" i="4" a="1"/>
  <c r="DH11" i="4" a="1"/>
  <c r="AD72" i="3"/>
  <c r="AK5" i="4" a="1"/>
  <c r="EB7" i="4" a="1"/>
  <c r="AW57" i="3"/>
  <c r="CA8" i="4" a="1"/>
  <c r="FJ14" i="4" a="1"/>
  <c r="CF9" i="4" a="1"/>
  <c r="F32" i="3"/>
  <c r="C63" i="3"/>
  <c r="BK11" i="4" a="1"/>
  <c r="AV92" i="3"/>
  <c r="DY6" i="4" a="1"/>
  <c r="CG15" i="4" a="1"/>
  <c r="AW64" i="3"/>
  <c r="CK8" i="4" a="1"/>
  <c r="L9" i="4" a="1"/>
  <c r="AR12" i="3"/>
  <c r="DY16" i="4" a="1"/>
  <c r="W12" i="4" a="1"/>
  <c r="AU9" i="4" a="1"/>
  <c r="G60" i="3"/>
  <c r="BN14" i="4" a="1"/>
  <c r="AU26" i="3"/>
  <c r="P13" i="4" a="1"/>
  <c r="V16" i="4" a="1"/>
  <c r="BX16" i="4" a="1"/>
  <c r="BQ39" i="3"/>
  <c r="E58" i="3"/>
  <c r="EH13" i="4" a="1"/>
  <c r="BQ76" i="3"/>
  <c r="BJ25" i="3"/>
  <c r="AD18" i="3"/>
  <c r="AD94" i="3"/>
  <c r="CM6" i="4" a="1"/>
  <c r="BF5" i="4" a="1"/>
  <c r="AV5" i="4" a="1"/>
  <c r="AW65" i="3"/>
  <c r="AV6" i="4" a="1"/>
  <c r="BO79" i="3"/>
  <c r="DK8" i="4" a="1"/>
  <c r="AZ37" i="3"/>
  <c r="EA16" i="4" a="1"/>
  <c r="AF30" i="3"/>
  <c r="AA12" i="4" a="1"/>
  <c r="X6" i="4" a="1"/>
  <c r="BC93" i="3"/>
  <c r="BC59" i="3"/>
  <c r="AJ7" i="4" a="1"/>
  <c r="AU12" i="4" a="1"/>
  <c r="DC6" i="4" a="1"/>
  <c r="AD74" i="3"/>
  <c r="AF13" i="3"/>
  <c r="D11" i="3"/>
  <c r="AR6" i="4" a="1"/>
  <c r="AY13" i="3"/>
  <c r="BH16" i="4" a="1"/>
  <c r="AB16" i="4" a="1"/>
  <c r="CM16" i="4" a="1"/>
  <c r="DJ7" i="4" a="1"/>
  <c r="AI45" i="3"/>
  <c r="AC9" i="4" a="1"/>
  <c r="DX12" i="4" a="1"/>
  <c r="E76" i="3"/>
  <c r="CJ12" i="4" a="1"/>
  <c r="BS5" i="4" a="1"/>
  <c r="G65" i="3"/>
  <c r="AD66" i="3"/>
  <c r="HH9" i="4" a="1"/>
  <c r="AD77" i="3"/>
  <c r="BJ64" i="3"/>
  <c r="ER9" i="4" a="1"/>
  <c r="BX14" i="4" a="1"/>
  <c r="AZ11" i="4" a="1"/>
  <c r="BU48" i="3"/>
  <c r="BT60" i="3"/>
  <c r="BH55" i="3"/>
  <c r="BS95" i="3"/>
  <c r="BQ60" i="3"/>
  <c r="BD71" i="3"/>
  <c r="AD93" i="3"/>
  <c r="AU50" i="3"/>
  <c r="AV67" i="3"/>
  <c r="EE7" i="4" a="1"/>
  <c r="CL8" i="4" a="1"/>
  <c r="J46" i="3"/>
  <c r="X45" i="3"/>
  <c r="G56" i="3"/>
  <c r="K9" i="4" a="1"/>
  <c r="CY5" i="4" a="1"/>
  <c r="EI16" i="4" a="1"/>
  <c r="U5" i="4" a="1"/>
  <c r="AG16" i="4" a="1"/>
  <c r="AT92" i="3"/>
  <c r="CX6" i="4" a="1"/>
  <c r="BT88" i="3"/>
  <c r="AR91" i="3"/>
  <c r="AS8" i="4" a="1"/>
  <c r="BK97" i="3"/>
  <c r="AZ95" i="3"/>
  <c r="AF61" i="3"/>
  <c r="AF5" i="4" a="1"/>
  <c r="BD92" i="3"/>
  <c r="BJ95" i="3"/>
  <c r="AL5" i="4" a="1"/>
  <c r="G63" i="3"/>
  <c r="BH79" i="3"/>
  <c r="BK96" i="3"/>
  <c r="G80" i="3"/>
  <c r="CC6" i="4" a="1"/>
  <c r="AU96" i="3"/>
  <c r="AX58" i="3"/>
  <c r="AV49" i="3"/>
  <c r="BD93" i="3"/>
  <c r="HC13" i="4" a="1"/>
  <c r="Y9" i="4" a="1"/>
  <c r="AF80" i="3"/>
  <c r="AR96" i="3"/>
  <c r="BK16" i="4" a="1"/>
  <c r="AU80" i="3"/>
  <c r="FD14" i="4" a="1"/>
  <c r="AZ8" i="4" a="1"/>
  <c r="BH60" i="3"/>
  <c r="F64" i="3"/>
  <c r="G86" i="3"/>
  <c r="FQ14" i="4" a="1"/>
  <c r="DI11" i="4" a="1"/>
  <c r="H8" i="4" a="1"/>
  <c r="HF16" i="4" a="1"/>
  <c r="BO64" i="3"/>
  <c r="BK50" i="3"/>
  <c r="AV87" i="3"/>
  <c r="BF97" i="3"/>
  <c r="AY41" i="3"/>
  <c r="CA12" i="4" a="1"/>
  <c r="AZ83" i="3"/>
  <c r="L12" i="4" a="1"/>
  <c r="BT70" i="3"/>
  <c r="AX63" i="3"/>
  <c r="G87" i="3"/>
  <c r="DT15" i="4" a="1"/>
  <c r="AX56" i="3"/>
  <c r="BM15" i="4" a="1"/>
  <c r="FC15" i="4" a="1"/>
  <c r="BC82" i="3"/>
  <c r="AR21" i="3"/>
  <c r="BS49" i="3"/>
  <c r="AU87" i="3"/>
  <c r="AY83" i="3"/>
  <c r="BS59" i="3"/>
  <c r="F76" i="3"/>
  <c r="BQ81" i="3"/>
  <c r="AD97" i="3"/>
  <c r="DA16" i="4" a="1"/>
  <c r="AR30" i="3"/>
  <c r="AU71" i="3"/>
  <c r="AH8" i="4" a="1"/>
  <c r="AW81" i="3"/>
  <c r="BR60" i="3"/>
  <c r="AZ71" i="3"/>
  <c r="D5" i="3"/>
  <c r="AZ94" i="3"/>
  <c r="AU85" i="3"/>
  <c r="BG94" i="3"/>
  <c r="BK92" i="3"/>
  <c r="AD96" i="3"/>
  <c r="F60" i="3"/>
  <c r="D96" i="3"/>
  <c r="D60" i="3"/>
  <c r="BQ58" i="3"/>
  <c r="BN59" i="3"/>
  <c r="BL62" i="3"/>
  <c r="BP47" i="3"/>
  <c r="BP71" i="3"/>
  <c r="BI85" i="3"/>
  <c r="BI49" i="3"/>
  <c r="BU78" i="3"/>
  <c r="BM59" i="3"/>
  <c r="BM90" i="3"/>
  <c r="BM69" i="3"/>
  <c r="BT79" i="3"/>
  <c r="BT64" i="3"/>
  <c r="BG83" i="3"/>
  <c r="BG50" i="3"/>
  <c r="BG97" i="3"/>
  <c r="BB80" i="3"/>
  <c r="BB58" i="3"/>
  <c r="AR89" i="3"/>
  <c r="AF87" i="3"/>
  <c r="E94" i="3"/>
  <c r="AU88" i="3"/>
  <c r="F65" i="3"/>
  <c r="F49" i="3"/>
  <c r="D70" i="3"/>
  <c r="D87" i="3"/>
  <c r="D95" i="3"/>
  <c r="D75" i="3"/>
  <c r="D80" i="3"/>
  <c r="D68" i="3"/>
  <c r="D73" i="3"/>
  <c r="AF86" i="3"/>
  <c r="F75" i="3"/>
  <c r="D78" i="3"/>
  <c r="BJ55" i="3"/>
  <c r="CS7" i="4" a="1"/>
  <c r="DG14" i="4" a="1"/>
  <c r="BD59" i="3"/>
  <c r="AW48" i="3"/>
  <c r="AW88" i="3"/>
  <c r="AC7" i="4" a="1"/>
  <c r="BO9" i="4" a="1"/>
  <c r="U5" i="6" a="1"/>
  <c r="AR20" i="3"/>
  <c r="L8" i="4" a="1"/>
  <c r="AZ86" i="3"/>
  <c r="AR73" i="3"/>
  <c r="AX8" i="4" a="1"/>
  <c r="E32" i="3"/>
  <c r="BI15" i="4" a="1"/>
  <c r="F7" i="3"/>
  <c r="EJ6" i="4" a="1"/>
  <c r="G6" i="3"/>
  <c r="BG69" i="3"/>
  <c r="AV62" i="3"/>
  <c r="DE5" i="4" a="1"/>
  <c r="BQ86" i="3"/>
  <c r="S45" i="3"/>
  <c r="EB9" i="4" a="1"/>
  <c r="BI9" i="4" a="1"/>
  <c r="BA12" i="3"/>
  <c r="AU55" i="3"/>
  <c r="DY9" i="4" a="1"/>
  <c r="BC65" i="3"/>
  <c r="BH94" i="3"/>
  <c r="BQ80" i="3"/>
  <c r="G82" i="3"/>
  <c r="BT9" i="4" a="1"/>
  <c r="BD62" i="3"/>
  <c r="AS93" i="3"/>
  <c r="G58" i="3"/>
  <c r="BC86" i="3"/>
  <c r="DJ5" i="4" a="1"/>
  <c r="AW69" i="3"/>
  <c r="AJ6" i="4" a="1"/>
  <c r="DY7" i="4" a="1"/>
  <c r="BD16" i="4" a="1"/>
  <c r="AV48" i="3"/>
  <c r="BC47" i="3"/>
  <c r="DZ7" i="4" a="1"/>
  <c r="BS54" i="3"/>
  <c r="AT72" i="3"/>
  <c r="AR93" i="3"/>
  <c r="AV57" i="3"/>
  <c r="BY6" i="4" a="1"/>
  <c r="K11" i="4" a="1"/>
  <c r="DF5" i="4" a="1"/>
  <c r="BO85" i="3"/>
  <c r="BK64" i="3"/>
  <c r="AZ64" i="3"/>
  <c r="BH59" i="3"/>
  <c r="AU77" i="3"/>
  <c r="CR16" i="4" a="1"/>
  <c r="AU79" i="3"/>
  <c r="AX12" i="4" a="1"/>
  <c r="BG93" i="3"/>
  <c r="AX83" i="3"/>
  <c r="G83" i="3"/>
  <c r="P6" i="4" a="1"/>
  <c r="BJ82" i="3"/>
  <c r="CV8" i="4" a="1"/>
  <c r="BM5" i="4" a="1"/>
  <c r="AX89" i="3"/>
  <c r="BR73" i="3"/>
  <c r="BS76" i="3"/>
  <c r="AU92" i="3"/>
  <c r="F95" i="3"/>
  <c r="BS67" i="3"/>
  <c r="F54" i="3"/>
  <c r="BD80" i="3"/>
  <c r="BH9" i="4" a="1"/>
  <c r="AR40" i="3"/>
  <c r="BJ14" i="4" a="1"/>
  <c r="CL12" i="4" a="1"/>
  <c r="T5" i="4" a="1"/>
  <c r="FC14" i="4" a="1"/>
  <c r="AX30" i="3"/>
  <c r="BT5" i="4" a="1"/>
  <c r="AX84" i="3"/>
  <c r="BY13" i="4" a="1"/>
  <c r="AR83" i="3"/>
  <c r="BE63" i="3"/>
  <c r="BQ72" i="3"/>
  <c r="AY64" i="3"/>
  <c r="BK74" i="3"/>
  <c r="BK84" i="3"/>
  <c r="AU62" i="3"/>
  <c r="BC83" i="3"/>
  <c r="BN74" i="3"/>
  <c r="BL93" i="3"/>
  <c r="BP49" i="3"/>
  <c r="BP91" i="3"/>
  <c r="BI83" i="3"/>
  <c r="BI80" i="3"/>
  <c r="BU65" i="3"/>
  <c r="BM66" i="3"/>
  <c r="BM67" i="3"/>
  <c r="BJ85" i="3"/>
  <c r="BT96" i="3"/>
  <c r="BT68" i="3"/>
  <c r="BG47" i="3"/>
  <c r="BG58" i="3"/>
  <c r="BG65" i="3"/>
  <c r="BB87" i="3"/>
  <c r="AT74" i="3"/>
  <c r="AF79" i="3"/>
  <c r="AF64" i="3"/>
  <c r="BS63" i="3"/>
  <c r="AU90" i="3"/>
  <c r="F79" i="3"/>
  <c r="F55" i="3"/>
  <c r="D55" i="3"/>
  <c r="D97" i="3"/>
  <c r="D64" i="3"/>
  <c r="D79" i="3"/>
  <c r="D57" i="3"/>
  <c r="AQ14" i="4" a="1"/>
  <c r="BR92" i="3"/>
  <c r="BI95" i="3"/>
  <c r="BM83" i="3"/>
  <c r="AF95" i="3"/>
  <c r="F47" i="3"/>
  <c r="BG59" i="3"/>
  <c r="AR81" i="3"/>
  <c r="AU91" i="3"/>
  <c r="D91" i="3"/>
  <c r="AU70" i="3"/>
  <c r="BR81" i="3"/>
  <c r="BP96" i="3"/>
  <c r="BM62" i="3"/>
  <c r="BT56" i="3"/>
  <c r="BG87" i="3"/>
  <c r="AR50" i="3"/>
  <c r="F91" i="3"/>
  <c r="D85" i="3"/>
  <c r="DJ16" i="4" a="1"/>
  <c r="BK95" i="3"/>
  <c r="U46" i="3"/>
  <c r="BH64" i="3"/>
  <c r="BK7" i="4" a="1"/>
  <c r="AR88" i="3"/>
  <c r="AX97" i="3"/>
  <c r="F80" i="3"/>
  <c r="AE11" i="4" a="1"/>
  <c r="AV21" i="3"/>
  <c r="G55" i="3"/>
  <c r="CP6" i="4" a="1"/>
  <c r="AF8" i="4" a="1"/>
  <c r="BD82" i="3"/>
  <c r="AR84" i="3"/>
  <c r="AV50" i="3"/>
  <c r="D30" i="3"/>
  <c r="DB12" i="4" a="1"/>
  <c r="AF7" i="4" a="1"/>
  <c r="X7" i="4" a="1"/>
  <c r="DT13" i="4" a="1"/>
  <c r="BH48" i="3"/>
  <c r="AV63" i="3"/>
  <c r="BL54" i="3"/>
  <c r="AD91" i="3"/>
  <c r="FD6" i="4" a="1"/>
  <c r="BE49" i="3"/>
  <c r="BE67" i="3"/>
  <c r="BP5" i="4" a="1"/>
  <c r="CR11" i="4" a="1"/>
  <c r="AV59" i="3"/>
  <c r="BG11" i="4" a="1"/>
  <c r="BS92" i="3"/>
  <c r="AU81" i="3"/>
  <c r="AY62" i="3"/>
  <c r="BH82" i="3"/>
  <c r="AY63" i="3"/>
  <c r="AR14" i="4" a="1"/>
  <c r="BX13" i="4" a="1"/>
  <c r="BH80" i="3"/>
  <c r="BD81" i="3"/>
  <c r="AK15" i="4" a="1"/>
  <c r="DP5" i="4" a="1"/>
  <c r="AB45" i="3"/>
  <c r="BE85" i="3"/>
  <c r="BY16" i="4" a="1"/>
  <c r="BJ88" i="3"/>
  <c r="AD15" i="4" a="1"/>
  <c r="DK9" i="4" a="1"/>
  <c r="D9" i="4" a="1"/>
  <c r="DY13" i="4" a="1"/>
  <c r="AW46" i="3"/>
  <c r="BJ56" i="3"/>
  <c r="CD14" i="4" a="1"/>
  <c r="AR8" i="4" a="1"/>
  <c r="BH67" i="3"/>
  <c r="BQ59" i="3"/>
  <c r="AD78" i="3"/>
  <c r="BK73" i="3"/>
  <c r="CL6" i="4" a="1"/>
  <c r="E83" i="3"/>
  <c r="BJ62" i="3"/>
  <c r="CN5" i="4" a="1"/>
  <c r="BS79" i="3"/>
  <c r="AV11" i="4" a="1"/>
  <c r="AX62" i="3"/>
  <c r="J15" i="4" a="1"/>
  <c r="BU72" i="3"/>
  <c r="AS58" i="3"/>
  <c r="DS15" i="4" a="1"/>
  <c r="EL9" i="4" a="1"/>
  <c r="BG75" i="3"/>
  <c r="BK49" i="3"/>
  <c r="AV55" i="3"/>
  <c r="AL5" i="6" a="1"/>
  <c r="AR57" i="3"/>
  <c r="C92" i="3"/>
  <c r="AZ63" i="3"/>
  <c r="AD68" i="3"/>
  <c r="AW55" i="3"/>
  <c r="CQ11" i="4" a="1"/>
  <c r="BD89" i="3"/>
  <c r="CV15" i="4" a="1"/>
  <c r="AY8" i="4" a="1"/>
  <c r="CN8" i="4" a="1"/>
  <c r="AZ82" i="3"/>
  <c r="AS68" i="3"/>
  <c r="Y12" i="4" a="1"/>
  <c r="BE81" i="3"/>
  <c r="BH96" i="3"/>
  <c r="BQ83" i="3"/>
  <c r="F63" i="3"/>
  <c r="AF49" i="3"/>
  <c r="AR79" i="3"/>
  <c r="F73" i="3"/>
  <c r="E57" i="3"/>
  <c r="BN95" i="3"/>
  <c r="BL50" i="3"/>
  <c r="BP97" i="3"/>
  <c r="BP55" i="3"/>
  <c r="BI81" i="3"/>
  <c r="BI50" i="3"/>
  <c r="BU54" i="3"/>
  <c r="BM79" i="3"/>
  <c r="BM55" i="3"/>
  <c r="BJ86" i="3"/>
  <c r="BT94" i="3"/>
  <c r="BT62" i="3"/>
  <c r="BG70" i="3"/>
  <c r="BG86" i="3"/>
  <c r="BB57" i="3"/>
  <c r="BB89" i="3"/>
  <c r="AT73" i="3"/>
  <c r="AF55" i="3"/>
  <c r="AF85" i="3"/>
  <c r="BS57" i="3"/>
  <c r="AU59" i="3"/>
  <c r="F50" i="3"/>
  <c r="F92" i="3"/>
  <c r="D65" i="3"/>
  <c r="D82" i="3"/>
  <c r="D93" i="3"/>
  <c r="D58" i="3"/>
  <c r="BH58" i="3"/>
  <c r="AY95" i="3"/>
  <c r="BP56" i="3"/>
  <c r="BP84" i="3"/>
  <c r="BU50" i="3"/>
  <c r="BM57" i="3"/>
  <c r="BT50" i="3"/>
  <c r="BB86" i="3"/>
  <c r="AR67" i="3"/>
  <c r="BS97" i="3"/>
  <c r="D63" i="3"/>
  <c r="D59" i="3"/>
  <c r="BB70" i="3"/>
  <c r="AF48" i="3"/>
  <c r="G69" i="3"/>
  <c r="BL95" i="3"/>
  <c r="BI48" i="3"/>
  <c r="BC70" i="3"/>
  <c r="CJ8" i="4" a="1"/>
  <c r="AV76" i="3"/>
  <c r="BS72" i="3"/>
  <c r="BO91" i="3"/>
  <c r="AR76" i="3"/>
  <c r="AF15" i="3"/>
  <c r="AD80" i="3"/>
  <c r="AY74" i="3"/>
  <c r="F23" i="3"/>
  <c r="BD79" i="3"/>
  <c r="BI11" i="4" a="1"/>
  <c r="BC10" i="3"/>
  <c r="AZ73" i="3"/>
  <c r="AE12" i="4" a="1"/>
  <c r="AZ72" i="3"/>
  <c r="HC7" i="4" a="1"/>
  <c r="AY9" i="4" a="1"/>
  <c r="H9" i="4" a="1"/>
  <c r="AD6" i="4" a="1"/>
  <c r="AW5" i="4" a="1"/>
  <c r="BS91" i="3"/>
  <c r="AV56" i="3"/>
  <c r="BT55" i="3"/>
  <c r="AY55" i="3"/>
  <c r="DV8" i="4" a="1"/>
  <c r="AW72" i="3"/>
  <c r="BQ14" i="4" a="1"/>
  <c r="D32" i="3"/>
  <c r="BY7" i="4" a="1"/>
  <c r="BF11" i="4" a="1"/>
  <c r="AD70" i="3"/>
  <c r="BS81" i="3"/>
  <c r="AU56" i="3"/>
  <c r="CH11" i="4" a="1"/>
  <c r="BH63" i="3"/>
  <c r="AV64" i="3"/>
  <c r="BL74" i="3"/>
  <c r="DD15" i="4" a="1"/>
  <c r="BH81" i="3"/>
  <c r="D25" i="3"/>
  <c r="AX67" i="3"/>
  <c r="AS55" i="3"/>
  <c r="CG11" i="4" a="1"/>
  <c r="BA14" i="4" a="1"/>
  <c r="DJ9" i="4" a="1"/>
  <c r="BK77" i="3"/>
  <c r="AT57" i="3"/>
  <c r="BU5" i="4" a="1"/>
  <c r="M7" i="4" a="1"/>
  <c r="G10" i="3"/>
  <c r="DM7" i="4" a="1"/>
  <c r="AD89" i="3"/>
  <c r="DI13" i="4" a="1"/>
  <c r="BC75" i="3"/>
  <c r="BH88" i="3"/>
  <c r="BQ89" i="3"/>
  <c r="J14" i="4" a="1"/>
  <c r="AT97" i="3"/>
  <c r="AI13" i="4" a="1"/>
  <c r="EB15" i="4" a="1"/>
  <c r="AU69" i="3"/>
  <c r="DZ15" i="4" a="1"/>
  <c r="BK67" i="3"/>
  <c r="AS90" i="3"/>
  <c r="CU5" i="4" a="1"/>
  <c r="BD50" i="3"/>
  <c r="BD95" i="3"/>
  <c r="BA93" i="3"/>
  <c r="DQ6" i="4" a="1"/>
  <c r="AZ78" i="3"/>
  <c r="BF54" i="3"/>
  <c r="BK88" i="3"/>
  <c r="AZ62" i="3"/>
  <c r="AT16" i="4" a="1"/>
  <c r="AU95" i="3"/>
  <c r="DZ9" i="4" a="1"/>
  <c r="BU67" i="3"/>
  <c r="BJ79" i="3"/>
  <c r="AS56" i="3"/>
  <c r="CQ8" i="4" a="1"/>
  <c r="BE50" i="3"/>
  <c r="AW84" i="3"/>
  <c r="BX11" i="4" a="1"/>
  <c r="E7" i="4" a="1"/>
  <c r="AM9" i="4" a="1"/>
  <c r="AT24" i="3"/>
  <c r="BC81" i="3"/>
  <c r="BN5" i="4" a="1"/>
  <c r="AT77" i="3"/>
  <c r="AV89" i="3"/>
  <c r="BQ87" i="3"/>
  <c r="AX59" i="3"/>
  <c r="BL70" i="3"/>
  <c r="BU96" i="3"/>
  <c r="BT72" i="3"/>
  <c r="BT77" i="3"/>
  <c r="BG60" i="3"/>
  <c r="BG89" i="3"/>
  <c r="BB61" i="3"/>
  <c r="AF63" i="3"/>
  <c r="AU57" i="3"/>
  <c r="F83" i="3"/>
  <c r="D90" i="3"/>
  <c r="D56" i="3"/>
  <c r="BG90" i="3"/>
  <c r="F61" i="3"/>
  <c r="BK82" i="3"/>
  <c r="BP74" i="3"/>
  <c r="BM47" i="3"/>
  <c r="BG49" i="3"/>
  <c r="BB65" i="3"/>
  <c r="AY47" i="3"/>
  <c r="D88" i="3"/>
  <c r="BK79" i="3"/>
  <c r="AX66" i="3"/>
  <c r="BQ56" i="3"/>
  <c r="CT9" i="4" a="1"/>
  <c r="EB11" i="4" a="1"/>
  <c r="AX76" i="3"/>
  <c r="BJ77" i="3"/>
  <c r="CA11" i="4" a="1"/>
  <c r="BH74" i="3"/>
  <c r="AV15" i="4" a="1"/>
  <c r="G11" i="3"/>
  <c r="BT73" i="3"/>
  <c r="BJ49" i="3"/>
  <c r="AT62" i="3"/>
  <c r="BO94" i="3"/>
  <c r="DT8" i="4" a="1"/>
  <c r="EE15" i="4" a="1"/>
  <c r="AR69" i="3"/>
  <c r="BY5" i="4" a="1"/>
  <c r="AT12" i="3"/>
  <c r="DU15" i="4" a="1"/>
  <c r="AD45" i="3"/>
  <c r="DX15" i="4" a="1"/>
  <c r="AS77" i="3"/>
  <c r="BK61" i="3"/>
  <c r="AY81" i="3"/>
  <c r="BO48" i="3"/>
  <c r="AY49" i="3"/>
  <c r="CG5" i="4" a="1"/>
  <c r="FF7" i="4" a="1"/>
  <c r="AM16" i="4" a="1"/>
  <c r="AJ14" i="4" a="1"/>
  <c r="BQ74" i="3"/>
  <c r="AS64" i="3"/>
  <c r="BM50" i="3"/>
  <c r="BS85" i="3"/>
  <c r="AU67" i="3"/>
  <c r="BA97" i="3"/>
  <c r="BH77" i="3"/>
  <c r="G57" i="3"/>
  <c r="BH92" i="3"/>
  <c r="AV75" i="3"/>
  <c r="BS94" i="3"/>
  <c r="BJ70" i="3"/>
  <c r="EE5" i="4" a="1"/>
  <c r="AU41" i="3"/>
  <c r="AU94" i="3"/>
  <c r="AT94" i="3"/>
  <c r="BQ95" i="3"/>
  <c r="AR78" i="3"/>
  <c r="BY12" i="4" a="1"/>
  <c r="BA60" i="3"/>
  <c r="DD11" i="4" a="1"/>
  <c r="AZ76" i="3"/>
  <c r="DB9" i="4" a="1"/>
  <c r="AW16" i="3"/>
  <c r="AV80" i="3"/>
  <c r="CU14" i="4" a="1"/>
  <c r="BH73" i="3"/>
  <c r="AF62" i="3"/>
  <c r="AT95" i="3"/>
  <c r="AU86" i="3"/>
  <c r="BE7" i="3"/>
  <c r="DG6" i="4" a="1"/>
  <c r="D7" i="3"/>
  <c r="AF60" i="3"/>
  <c r="BQ84" i="3"/>
  <c r="AX82" i="3"/>
  <c r="AZ74" i="3"/>
  <c r="CX5" i="4" a="1"/>
  <c r="AX72" i="3"/>
  <c r="BC11" i="4" a="1"/>
  <c r="DN8" i="4" a="1"/>
  <c r="BU70" i="3"/>
  <c r="BJ68" i="3"/>
  <c r="BK90" i="3"/>
  <c r="G76" i="3"/>
  <c r="AF90" i="3"/>
  <c r="E67" i="3"/>
  <c r="DM14" i="4" a="1"/>
  <c r="AS63" i="3"/>
  <c r="AO12" i="4" a="1"/>
  <c r="BT87" i="3"/>
  <c r="AY91" i="3"/>
  <c r="BC84" i="3"/>
  <c r="AZ85" i="3"/>
  <c r="BQ70" i="3"/>
  <c r="E69" i="3"/>
  <c r="BQ88" i="3"/>
  <c r="BK9" i="4" a="1"/>
  <c r="BE15" i="4" a="1"/>
  <c r="CF13" i="4" a="1"/>
  <c r="BH49" i="3"/>
  <c r="E74" i="3"/>
  <c r="AR65" i="3"/>
  <c r="AY54" i="3"/>
  <c r="BK94" i="3"/>
  <c r="E85" i="3"/>
  <c r="AY61" i="3"/>
  <c r="BR84" i="3"/>
  <c r="BL82" i="3"/>
  <c r="BP95" i="3"/>
  <c r="BP54" i="3"/>
  <c r="BI61" i="3"/>
  <c r="BU58" i="3"/>
  <c r="BU91" i="3"/>
  <c r="BM49" i="3"/>
  <c r="BM71" i="3"/>
  <c r="BT54" i="3"/>
  <c r="BT83" i="3"/>
  <c r="BT49" i="3"/>
  <c r="BB66" i="3"/>
  <c r="AF72" i="3"/>
  <c r="AY86" i="3"/>
  <c r="F96" i="3"/>
  <c r="D89" i="3"/>
  <c r="BN86" i="3"/>
  <c r="BU82" i="3"/>
  <c r="BU62" i="3"/>
  <c r="BT67" i="3"/>
  <c r="BG62" i="3"/>
  <c r="BB75" i="3"/>
  <c r="AF83" i="3"/>
  <c r="F62" i="3"/>
  <c r="D81" i="3"/>
  <c r="AF76" i="3"/>
  <c r="AU60" i="3"/>
  <c r="BJ91" i="3"/>
  <c r="AU58" i="3"/>
  <c r="AT59" i="3"/>
  <c r="Q16" i="4" a="1"/>
  <c r="AD92" i="3"/>
  <c r="BK69" i="3"/>
  <c r="DC7" i="4" a="1"/>
  <c r="BW9" i="4" a="1"/>
  <c r="S5" i="6" a="1"/>
  <c r="BA47" i="3"/>
  <c r="E91" i="3"/>
  <c r="BN9" i="4" a="1"/>
  <c r="G9" i="3"/>
  <c r="AP9" i="4" a="1"/>
  <c r="AT79" i="3"/>
  <c r="E77" i="3"/>
  <c r="AX95" i="3"/>
  <c r="BW7" i="4" a="1"/>
  <c r="BK47" i="3"/>
  <c r="AY66" i="3"/>
  <c r="BE76" i="3"/>
  <c r="AZ68" i="3"/>
  <c r="BG8" i="4" a="1"/>
  <c r="AV6" i="3"/>
  <c r="AT68" i="3"/>
  <c r="BQ8" i="4" a="1"/>
  <c r="L11" i="4" a="1"/>
  <c r="BU74" i="3"/>
  <c r="BL72" i="3"/>
  <c r="BS60" i="3"/>
  <c r="E70" i="3"/>
  <c r="BD87" i="3"/>
  <c r="BS62" i="3"/>
  <c r="AY69" i="3"/>
  <c r="BH68" i="3"/>
  <c r="CX13" i="4" a="1"/>
  <c r="AQ16" i="4" a="1"/>
  <c r="L13" i="4" a="1"/>
  <c r="AV73" i="3"/>
  <c r="AS72" i="3"/>
  <c r="AX68" i="3"/>
  <c r="DK12" i="4" a="1"/>
  <c r="BG12" i="4" a="1"/>
  <c r="E61" i="3"/>
  <c r="CF11" i="4" a="1"/>
  <c r="BC80" i="3"/>
  <c r="AT65" i="3"/>
  <c r="BD64" i="3"/>
  <c r="Y15" i="4" a="1"/>
  <c r="H45" i="3"/>
  <c r="AR64" i="3"/>
  <c r="AS59" i="3"/>
  <c r="BH76" i="3"/>
  <c r="AT48" i="3"/>
  <c r="BD72" i="3"/>
  <c r="AZ66" i="3"/>
  <c r="F36" i="3"/>
  <c r="C79" i="3"/>
  <c r="AM7" i="4" a="1"/>
  <c r="AU83" i="3"/>
  <c r="AF66" i="3"/>
  <c r="AT45" i="3"/>
  <c r="BU73" i="3"/>
  <c r="G22" i="3"/>
  <c r="AS89" i="3"/>
  <c r="AR11" i="4" a="1"/>
  <c r="BZ5" i="4" a="1"/>
  <c r="AZ97" i="3"/>
  <c r="BH66" i="3"/>
  <c r="BK85" i="3"/>
  <c r="G78" i="3"/>
  <c r="AL7" i="4" a="1"/>
  <c r="AV47" i="3"/>
  <c r="AU8" i="3"/>
  <c r="BL27" i="3"/>
  <c r="BJ93" i="3"/>
  <c r="BO59" i="3"/>
  <c r="DR15" i="4" a="1"/>
  <c r="EA11" i="4" a="1"/>
  <c r="DQ12" i="4" a="1"/>
  <c r="AO45" i="3"/>
  <c r="AZ75" i="3"/>
  <c r="AF88" i="3"/>
  <c r="P16" i="4" a="1"/>
  <c r="AR56" i="3"/>
  <c r="DX8" i="4" a="1"/>
  <c r="BS89" i="3"/>
  <c r="AV84" i="3"/>
  <c r="BX7" i="4" a="1"/>
  <c r="AU61" i="3"/>
  <c r="AM15" i="4" a="1"/>
  <c r="AF65" i="3"/>
  <c r="AW15" i="4" a="1"/>
  <c r="EQ8" i="4" a="1"/>
  <c r="AY94" i="3"/>
  <c r="F72" i="3"/>
  <c r="AY18" i="3"/>
  <c r="DW8" i="4" a="1"/>
  <c r="AX81" i="3"/>
  <c r="G74" i="3"/>
  <c r="AY84" i="3"/>
  <c r="AX16" i="4" a="1"/>
  <c r="ET11" i="4" a="1"/>
  <c r="DA14" i="4" a="1"/>
  <c r="BE88" i="3"/>
  <c r="BC7" i="4" a="1"/>
  <c r="AD5" i="4" a="1"/>
  <c r="CJ13" i="4" a="1"/>
  <c r="BR15" i="4" a="1"/>
  <c r="E72" i="3"/>
  <c r="AP12" i="4" a="1"/>
  <c r="AU75" i="3"/>
  <c r="AA5" i="6" a="1"/>
  <c r="AF93" i="3"/>
  <c r="AY96" i="3"/>
  <c r="BS58" i="3"/>
  <c r="EU15" i="4" a="1"/>
  <c r="M11" i="4" a="1"/>
  <c r="H5" i="4" a="1"/>
  <c r="AR48" i="3"/>
  <c r="AW47" i="3"/>
  <c r="G59" i="3"/>
  <c r="BD60" i="3"/>
  <c r="BF55" i="3"/>
  <c r="BK91" i="3"/>
  <c r="AZ84" i="3"/>
  <c r="BJ58" i="3"/>
  <c r="AF74" i="3"/>
  <c r="H13" i="4" a="1"/>
  <c r="AU84" i="3"/>
  <c r="AD8" i="3"/>
  <c r="BC49" i="3"/>
  <c r="BC69" i="3"/>
  <c r="CH14" i="4" a="1"/>
  <c r="CM14" i="4" a="1"/>
  <c r="AZ15" i="4" a="1"/>
  <c r="BK78" i="3"/>
  <c r="EP9" i="4" a="1"/>
  <c r="AY90" i="3"/>
  <c r="BE60" i="3"/>
  <c r="AS84" i="3"/>
  <c r="G27" i="3"/>
  <c r="CC14" i="4" a="1"/>
  <c r="T11" i="4" a="1"/>
  <c r="BE57" i="3"/>
  <c r="BJ78" i="3"/>
  <c r="BL65" i="3"/>
  <c r="BS50" i="3"/>
  <c r="E65" i="3"/>
  <c r="BL85" i="3"/>
  <c r="DN14" i="4" a="1"/>
  <c r="AV90" i="3"/>
  <c r="DD14" i="4" a="1"/>
  <c r="CQ13" i="4" a="1"/>
  <c r="AX49" i="3"/>
  <c r="G29" i="3"/>
  <c r="AZ58" i="3"/>
  <c r="W16" i="4" a="1"/>
  <c r="BC66" i="3"/>
  <c r="AF70" i="3"/>
  <c r="BH72" i="3"/>
  <c r="M12" i="4" a="1"/>
  <c r="F69" i="3"/>
  <c r="BH71" i="3"/>
  <c r="AT69" i="3"/>
  <c r="AY70" i="3"/>
  <c r="BH87" i="3"/>
  <c r="AY58" i="3"/>
  <c r="BH7" i="4" a="1"/>
  <c r="E13" i="4" a="1"/>
  <c r="BH11" i="4" a="1"/>
  <c r="BS75" i="3"/>
  <c r="AD65" i="3"/>
  <c r="C87" i="3"/>
  <c r="AU54" i="3"/>
  <c r="AM14" i="4" a="1"/>
  <c r="DW11" i="4" a="1"/>
  <c r="GL15" i="4" a="1"/>
  <c r="CT14" i="4" a="1"/>
  <c r="AX65" i="3"/>
  <c r="CS12" i="4" a="1"/>
  <c r="BK87" i="3"/>
  <c r="AZ92" i="3"/>
  <c r="AW67" i="3"/>
  <c r="AV72" i="3"/>
  <c r="G73" i="3"/>
  <c r="F78" i="3"/>
  <c r="BN61" i="3"/>
  <c r="BR89" i="3"/>
  <c r="BL89" i="3"/>
  <c r="BP57" i="3"/>
  <c r="BP83" i="3"/>
  <c r="BI72" i="3"/>
  <c r="BU75" i="3"/>
  <c r="BU87" i="3"/>
  <c r="BM87" i="3"/>
  <c r="BM93" i="3"/>
  <c r="BT61" i="3"/>
  <c r="BT58" i="3"/>
  <c r="BG61" i="3"/>
  <c r="BG73" i="3"/>
  <c r="BG71" i="3"/>
  <c r="BB74" i="3"/>
  <c r="BB94" i="3"/>
  <c r="AR72" i="3"/>
  <c r="AF57" i="3"/>
  <c r="AF84" i="3"/>
  <c r="AU78" i="3"/>
  <c r="F94" i="3"/>
  <c r="F84" i="3"/>
  <c r="F70" i="3"/>
  <c r="D61" i="3"/>
  <c r="D94" i="3"/>
  <c r="D83" i="3"/>
  <c r="D69" i="3"/>
  <c r="Z11" i="4" a="1"/>
  <c r="FA7" i="4" a="1"/>
  <c r="DW14" i="4" a="1"/>
  <c r="AZ30" i="3"/>
  <c r="BC12" i="3"/>
  <c r="AY97" i="3"/>
  <c r="BC73" i="3"/>
  <c r="AS97" i="3"/>
  <c r="BQ49" i="3"/>
  <c r="EG5" i="4" a="1"/>
  <c r="AW80" i="3"/>
  <c r="CH16" i="4" a="1"/>
  <c r="BJ59" i="3"/>
  <c r="BV11" i="4" a="1"/>
  <c r="AT83" i="3"/>
  <c r="BD58" i="3"/>
  <c r="BQ92" i="3"/>
  <c r="BE77" i="3"/>
  <c r="G84" i="3"/>
  <c r="AU73" i="3"/>
  <c r="E95" i="3"/>
  <c r="AR66" i="3"/>
  <c r="BT63" i="3"/>
  <c r="AG9" i="4" a="1"/>
  <c r="AX69" i="3"/>
  <c r="BS65" i="3"/>
  <c r="F86" i="3"/>
  <c r="AV77" i="3"/>
  <c r="E68" i="3"/>
  <c r="BU76" i="3"/>
  <c r="BB62" i="3"/>
  <c r="F48" i="3"/>
  <c r="BM72" i="3"/>
  <c r="D77" i="3"/>
  <c r="BM77" i="3"/>
  <c r="BL97" i="3"/>
  <c r="AF92" i="3"/>
  <c r="BP62" i="3"/>
  <c r="AU72" i="3"/>
  <c r="BU94" i="3"/>
  <c r="BN96" i="3"/>
  <c r="BB59" i="3"/>
  <c r="BL63" i="3"/>
  <c r="AR94" i="3"/>
  <c r="BT47" i="3"/>
  <c r="D66" i="3"/>
  <c r="BT89" i="3"/>
  <c r="AF89" i="3"/>
  <c r="BG74" i="3"/>
  <c r="F81" i="3"/>
  <c r="D92" i="3"/>
  <c r="BI84" i="3"/>
  <c r="BG56" i="3"/>
  <c r="F59" i="3"/>
  <c r="D62" i="3"/>
  <c r="BG96" i="3"/>
  <c r="BI65" i="3"/>
  <c r="BB47" i="3"/>
  <c r="BO72" i="3"/>
  <c r="BO65" i="3"/>
  <c r="BO61" i="3"/>
  <c r="BO89" i="3"/>
  <c r="BO66" i="3"/>
  <c r="BO70" i="3"/>
  <c r="BO81" i="3"/>
  <c r="BO86" i="3"/>
  <c r="BO69" i="3"/>
  <c r="BO54" i="3"/>
  <c r="BO62" i="3"/>
  <c r="BO84" i="3"/>
  <c r="BE73" i="3"/>
  <c r="BE80" i="3"/>
  <c r="BE75" i="3"/>
  <c r="BE90" i="3"/>
  <c r="BN79" i="3"/>
  <c r="BN71" i="3"/>
  <c r="BN69" i="3"/>
  <c r="BN84" i="3"/>
  <c r="BN89" i="3"/>
  <c r="BN85" i="3"/>
  <c r="BN67" i="3"/>
  <c r="BN63" i="3"/>
  <c r="BN91" i="3"/>
  <c r="BN93" i="3"/>
  <c r="BN70" i="3"/>
  <c r="BN82" i="3"/>
  <c r="BI63" i="3"/>
  <c r="BI82" i="3"/>
  <c r="BI54" i="3"/>
  <c r="BI74" i="3"/>
  <c r="BI79" i="3"/>
  <c r="BI60" i="3"/>
  <c r="BI91" i="3"/>
  <c r="BI64" i="3"/>
  <c r="BU55" i="3"/>
  <c r="BU68" i="3"/>
  <c r="BU64" i="3"/>
  <c r="BR59" i="3"/>
  <c r="BR93" i="3"/>
  <c r="BR56" i="3"/>
  <c r="BR68" i="3"/>
  <c r="BR80" i="3"/>
  <c r="BR74" i="3"/>
  <c r="BR76" i="3"/>
  <c r="BR91" i="3"/>
  <c r="BR75" i="3"/>
  <c r="BR88" i="3"/>
  <c r="BR47" i="3"/>
  <c r="BR63" i="3"/>
  <c r="BR69" i="3"/>
  <c r="BR62" i="3"/>
  <c r="BR48" i="3"/>
  <c r="BR90" i="3"/>
  <c r="BR71" i="3"/>
  <c r="BM84" i="3"/>
  <c r="BM74" i="3"/>
  <c r="BM95" i="3"/>
  <c r="BM88" i="3"/>
  <c r="BM58" i="3"/>
  <c r="BM78" i="3"/>
  <c r="BM61" i="3"/>
  <c r="C56" i="3"/>
  <c r="C55" i="3"/>
  <c r="C71" i="3"/>
  <c r="C88" i="3"/>
  <c r="C84" i="3"/>
  <c r="C59" i="3"/>
  <c r="BB90" i="3"/>
  <c r="BB69" i="3"/>
  <c r="BB50" i="3"/>
  <c r="BB95" i="3"/>
  <c r="AS48" i="3"/>
  <c r="AS62" i="3"/>
  <c r="AW78" i="3"/>
  <c r="AW68" i="3"/>
  <c r="AW97" i="3"/>
  <c r="BQ64" i="3"/>
  <c r="BQ69" i="3"/>
  <c r="AF47" i="3"/>
  <c r="AF68" i="3"/>
  <c r="E89" i="3"/>
  <c r="E96" i="3"/>
  <c r="E62" i="3"/>
  <c r="E66" i="3"/>
  <c r="E80" i="3"/>
  <c r="E90" i="3"/>
  <c r="E63" i="3"/>
  <c r="E60" i="3"/>
  <c r="E54" i="3"/>
  <c r="E93" i="3"/>
  <c r="BS56" i="3"/>
  <c r="BS78" i="3"/>
  <c r="BS73" i="3"/>
  <c r="BS55" i="3"/>
  <c r="BS80" i="3"/>
  <c r="BS61" i="3"/>
  <c r="BS87" i="3"/>
  <c r="BS88" i="3"/>
  <c r="F87" i="3"/>
  <c r="F66" i="3"/>
  <c r="F74" i="3"/>
  <c r="F67" i="3"/>
  <c r="F93" i="3"/>
  <c r="F90" i="3"/>
  <c r="F88" i="3"/>
  <c r="F68" i="3"/>
  <c r="F77" i="3"/>
  <c r="F97" i="3"/>
  <c r="F57" i="3"/>
  <c r="F58" i="3"/>
  <c r="F56" i="3"/>
  <c r="F89" i="3"/>
  <c r="F71" i="3"/>
  <c r="D84" i="3"/>
  <c r="D54" i="3"/>
  <c r="D76" i="3"/>
  <c r="D72" i="3"/>
  <c r="D74" i="3"/>
  <c r="D67" i="3"/>
  <c r="D71" i="3"/>
  <c r="D86" i="3"/>
  <c r="DA12" i="1" l="1"/>
  <c r="DA6" i="1" s="1"/>
  <c r="DA8" i="1" s="1"/>
  <c r="CZ8" i="1"/>
  <c r="S36" i="1"/>
  <c r="S19" i="1" s="1"/>
  <c r="S21" i="1" s="1"/>
  <c r="S23" i="1" s="1"/>
  <c r="S17" i="1"/>
  <c r="AE11" i="1"/>
  <c r="AK142" i="1"/>
  <c r="AL142" i="1" s="1"/>
  <c r="AK145" i="1"/>
  <c r="AL145" i="1" s="1"/>
  <c r="AK146" i="1"/>
  <c r="AL146" i="1" s="1"/>
  <c r="AK179" i="1"/>
  <c r="AK171" i="1"/>
  <c r="AL171" i="1" s="1"/>
  <c r="AK144" i="1"/>
  <c r="AL144" i="1" s="1"/>
  <c r="AK183" i="1"/>
  <c r="AL183" i="1" s="1"/>
  <c r="AK173" i="1"/>
  <c r="CC151" i="1"/>
  <c r="CC162" i="1"/>
  <c r="CD162" i="1" s="1"/>
  <c r="BY144" i="1"/>
  <c r="BZ144" i="1" s="1"/>
  <c r="CH94" i="1"/>
  <c r="AI166" i="1"/>
  <c r="AJ166" i="1" s="1"/>
  <c r="AI147" i="1"/>
  <c r="AJ147" i="1" s="1"/>
  <c r="AI137" i="1"/>
  <c r="AJ137" i="1" s="1"/>
  <c r="CK146" i="1"/>
  <c r="CK179" i="1"/>
  <c r="CA155" i="1"/>
  <c r="CB155" i="1" s="1"/>
  <c r="AK151" i="1"/>
  <c r="AG9" i="4"/>
  <c r="HY9" i="4" s="1"/>
  <c r="AK184" i="1"/>
  <c r="AL184" i="1" s="1"/>
  <c r="AM166" i="1"/>
  <c r="AN166" i="1" s="1"/>
  <c r="CK160" i="1"/>
  <c r="BV11" i="4"/>
  <c r="CH16" i="4"/>
  <c r="CC179" i="1"/>
  <c r="EG5" i="4"/>
  <c r="CI34" i="1"/>
  <c r="DW14" i="4"/>
  <c r="FA7" i="4"/>
  <c r="Z11" i="4"/>
  <c r="CA162" i="1"/>
  <c r="CB162" i="1" s="1"/>
  <c r="CS12" i="4"/>
  <c r="CT14" i="4"/>
  <c r="GL15" i="4"/>
  <c r="DW11" i="4"/>
  <c r="AM14" i="4"/>
  <c r="AI172" i="1"/>
  <c r="AJ172" i="1" s="1"/>
  <c r="BH11" i="4"/>
  <c r="E13" i="4"/>
  <c r="BH7" i="4"/>
  <c r="CE139" i="1"/>
  <c r="CE153" i="1"/>
  <c r="M12" i="4"/>
  <c r="CI171" i="1"/>
  <c r="CJ171" i="1" s="1"/>
  <c r="W16" i="4"/>
  <c r="AM59" i="1"/>
  <c r="CD93" i="1"/>
  <c r="CQ13" i="4"/>
  <c r="DD14" i="4"/>
  <c r="DN14" i="4"/>
  <c r="AK170" i="1"/>
  <c r="AL170" i="1" s="1"/>
  <c r="CK138" i="1"/>
  <c r="T11" i="4"/>
  <c r="CC14" i="4"/>
  <c r="BY166" i="1"/>
  <c r="BZ166" i="1" s="1"/>
  <c r="CK142" i="1"/>
  <c r="CM142" i="1" s="1"/>
  <c r="CN142" i="1" s="1"/>
  <c r="CO142" i="1" s="1"/>
  <c r="CP142" i="1" s="1"/>
  <c r="CQ142" i="1" s="1"/>
  <c r="CR142" i="1" s="1"/>
  <c r="CS142" i="1" s="1"/>
  <c r="CE146" i="1"/>
  <c r="CF146" i="1" s="1"/>
  <c r="EP9" i="4"/>
  <c r="AZ15" i="4"/>
  <c r="CM14" i="4"/>
  <c r="CH14" i="4"/>
  <c r="CI93" i="1"/>
  <c r="CA166" i="1"/>
  <c r="CB166" i="1" s="1"/>
  <c r="H13" i="4"/>
  <c r="H5" i="4"/>
  <c r="M11" i="4"/>
  <c r="EU15" i="4"/>
  <c r="CE183" i="1"/>
  <c r="CF183" i="1" s="1"/>
  <c r="AA5" i="6"/>
  <c r="AP12" i="4"/>
  <c r="AK155" i="1"/>
  <c r="AL155" i="1" s="1"/>
  <c r="BR15" i="4"/>
  <c r="CJ13" i="4"/>
  <c r="AD5" i="4"/>
  <c r="BC7" i="4"/>
  <c r="CK147" i="1"/>
  <c r="DA14" i="4"/>
  <c r="ET11" i="4"/>
  <c r="AX16" i="4"/>
  <c r="CE166" i="1"/>
  <c r="CF166" i="1" s="1"/>
  <c r="AM157" i="1"/>
  <c r="AN157" i="1" s="1"/>
  <c r="DW8" i="4"/>
  <c r="CE41" i="1"/>
  <c r="EQ8" i="4"/>
  <c r="AW15" i="4"/>
  <c r="AM15" i="4"/>
  <c r="BX7" i="4"/>
  <c r="DX8" i="4"/>
  <c r="P16" i="4"/>
  <c r="DQ12" i="4"/>
  <c r="EA11" i="4"/>
  <c r="DR15" i="4"/>
  <c r="AL7" i="4"/>
  <c r="AM162" i="1"/>
  <c r="AN162" i="1" s="1"/>
  <c r="BZ5" i="4"/>
  <c r="AR11" i="4"/>
  <c r="BY173" i="1"/>
  <c r="CA180" i="1"/>
  <c r="AM7" i="4"/>
  <c r="AI163" i="1"/>
  <c r="AJ163" i="1" s="1"/>
  <c r="Y15" i="4"/>
  <c r="CI179" i="1"/>
  <c r="CF11" i="4"/>
  <c r="BG12" i="4"/>
  <c r="DK12" i="4"/>
  <c r="BY155" i="1"/>
  <c r="BZ155" i="1" s="1"/>
  <c r="L13" i="4"/>
  <c r="AQ16" i="4"/>
  <c r="CX13" i="4"/>
  <c r="AK153" i="1"/>
  <c r="L11" i="4"/>
  <c r="BQ8" i="4"/>
  <c r="CB28" i="1"/>
  <c r="BG8" i="4"/>
  <c r="CE171" i="1"/>
  <c r="CF171" i="1" s="1"/>
  <c r="BW7" i="4"/>
  <c r="AK160" i="1"/>
  <c r="AL160" i="1" s="1"/>
  <c r="AP9" i="4"/>
  <c r="IB9" i="4" s="1"/>
  <c r="BN9" i="4"/>
  <c r="IJ9" i="4" s="1"/>
  <c r="AK174" i="1"/>
  <c r="AL174" i="1" s="1"/>
  <c r="S5" i="6"/>
  <c r="BW9" i="4"/>
  <c r="IM9" i="4" s="1"/>
  <c r="DC7" i="4"/>
  <c r="Q16" i="4"/>
  <c r="CA139" i="1"/>
  <c r="CA142" i="1"/>
  <c r="CB142" i="1" s="1"/>
  <c r="AK167" i="1"/>
  <c r="AL167" i="1" s="1"/>
  <c r="AK157" i="1"/>
  <c r="AL157" i="1" s="1"/>
  <c r="CF13" i="4"/>
  <c r="BE15" i="4"/>
  <c r="BK9" i="4"/>
  <c r="II9" i="4" s="1"/>
  <c r="CI166" i="1"/>
  <c r="CJ166" i="1" s="1"/>
  <c r="CE174" i="1"/>
  <c r="CF174" i="1" s="1"/>
  <c r="AO12" i="4"/>
  <c r="BY145" i="1"/>
  <c r="BZ145" i="1" s="1"/>
  <c r="DM14" i="4"/>
  <c r="DN8" i="4"/>
  <c r="BC11" i="4"/>
  <c r="CX5" i="4"/>
  <c r="DG6" i="4"/>
  <c r="CU14" i="4"/>
  <c r="CC43" i="1"/>
  <c r="CC22" i="1" s="1"/>
  <c r="DB9" i="4"/>
  <c r="DD11" i="4"/>
  <c r="BY12" i="4"/>
  <c r="EE5" i="4"/>
  <c r="AM138" i="1"/>
  <c r="AN138" i="1" s="1"/>
  <c r="BY169" i="1"/>
  <c r="BZ169" i="1" s="1"/>
  <c r="AJ14" i="4"/>
  <c r="AM16" i="4"/>
  <c r="IA16" i="4" s="1"/>
  <c r="FF7" i="4"/>
  <c r="CG5" i="4"/>
  <c r="CE93" i="1"/>
  <c r="CE164" i="1"/>
  <c r="BY160" i="1"/>
  <c r="BZ160" i="1" s="1"/>
  <c r="DX15" i="4"/>
  <c r="DU15" i="4"/>
  <c r="BZ34" i="1"/>
  <c r="BY5" i="4"/>
  <c r="EE15" i="4"/>
  <c r="DT8" i="4"/>
  <c r="AM35" i="1"/>
  <c r="AV15" i="4"/>
  <c r="CA11" i="4"/>
  <c r="EB11" i="4"/>
  <c r="CT9" i="4"/>
  <c r="CA138" i="1"/>
  <c r="CB138" i="1" s="1"/>
  <c r="BN5" i="4"/>
  <c r="CI164" i="1"/>
  <c r="AM9" i="4"/>
  <c r="IA9" i="4" s="1"/>
  <c r="E7" i="4"/>
  <c r="BX11" i="4"/>
  <c r="CC166" i="1"/>
  <c r="CD166" i="1" s="1"/>
  <c r="CK94" i="1"/>
  <c r="CQ8" i="4"/>
  <c r="BY137" i="1"/>
  <c r="DZ9" i="4"/>
  <c r="CA184" i="1"/>
  <c r="CB184" i="1" s="1"/>
  <c r="AT16" i="4"/>
  <c r="DQ6" i="4"/>
  <c r="CJ94" i="1"/>
  <c r="CU5" i="4"/>
  <c r="BY146" i="1"/>
  <c r="BZ146" i="1" s="1"/>
  <c r="DZ15" i="4"/>
  <c r="EB15" i="4"/>
  <c r="AI13" i="4"/>
  <c r="J14" i="4"/>
  <c r="DI13" i="4"/>
  <c r="DM7" i="4"/>
  <c r="AM33" i="1"/>
  <c r="M7" i="4"/>
  <c r="BU5" i="4"/>
  <c r="DJ9" i="4"/>
  <c r="IZ9" i="4" s="1"/>
  <c r="BA14" i="4"/>
  <c r="CG11" i="4"/>
  <c r="AJ56" i="1"/>
  <c r="DD15" i="4"/>
  <c r="CH11" i="4"/>
  <c r="CA137" i="1"/>
  <c r="CB137" i="1" s="1"/>
  <c r="BF11" i="4"/>
  <c r="BY7" i="4"/>
  <c r="BQ14" i="4"/>
  <c r="CC155" i="1"/>
  <c r="CD155" i="1" s="1"/>
  <c r="DV8" i="4"/>
  <c r="AW5" i="4"/>
  <c r="AD6" i="4"/>
  <c r="H9" i="4"/>
  <c r="AY9" i="4"/>
  <c r="IE9" i="4" s="1"/>
  <c r="HC7" i="4"/>
  <c r="AE12" i="4"/>
  <c r="CI33" i="1"/>
  <c r="BI11" i="4"/>
  <c r="AL55" i="1"/>
  <c r="CE157" i="1"/>
  <c r="CF157" i="1" s="1"/>
  <c r="BL40" i="1"/>
  <c r="CJ8" i="4"/>
  <c r="CI153" i="1"/>
  <c r="CJ153" i="1" s="1"/>
  <c r="CE184" i="1"/>
  <c r="CF184" i="1" s="1"/>
  <c r="AL94" i="1"/>
  <c r="AK138" i="1"/>
  <c r="AL138" i="1" s="1"/>
  <c r="BL93" i="1"/>
  <c r="CK164" i="1"/>
  <c r="Y12" i="4"/>
  <c r="BY151" i="1"/>
  <c r="CN8" i="4"/>
  <c r="AY8" i="4"/>
  <c r="CV15" i="4"/>
  <c r="CQ11" i="4"/>
  <c r="AI175" i="1"/>
  <c r="AJ175" i="1" s="1"/>
  <c r="AL5" i="6"/>
  <c r="EL9" i="4"/>
  <c r="DS15" i="4"/>
  <c r="BY139" i="1"/>
  <c r="J15" i="4"/>
  <c r="AV11" i="4"/>
  <c r="CN5" i="4"/>
  <c r="AK180" i="1"/>
  <c r="AK181" i="1" s="1"/>
  <c r="CL6" i="4"/>
  <c r="AR8" i="4"/>
  <c r="CD14" i="4"/>
  <c r="DY13" i="4"/>
  <c r="D9" i="4"/>
  <c r="DK9" i="4"/>
  <c r="AD15" i="4"/>
  <c r="BY16" i="4"/>
  <c r="CK167" i="1"/>
  <c r="AA167" i="1" s="1"/>
  <c r="DP5" i="4"/>
  <c r="AK15" i="4"/>
  <c r="BX13" i="4"/>
  <c r="AR14" i="4"/>
  <c r="CE145" i="1"/>
  <c r="CF145" i="1" s="1"/>
  <c r="CE144" i="1"/>
  <c r="CF144" i="1" s="1"/>
  <c r="CA164" i="1"/>
  <c r="BG11" i="4"/>
  <c r="CR11" i="4"/>
  <c r="BP5" i="4"/>
  <c r="CK93" i="1"/>
  <c r="FD6" i="4"/>
  <c r="DT13" i="4"/>
  <c r="X7" i="4"/>
  <c r="AF7" i="4"/>
  <c r="DB12" i="4"/>
  <c r="CB94" i="1"/>
  <c r="AF8" i="4"/>
  <c r="CP6" i="4"/>
  <c r="CB29" i="1"/>
  <c r="AE11" i="4"/>
  <c r="BK7" i="4"/>
  <c r="DJ16" i="4"/>
  <c r="IZ16" i="4" s="1"/>
  <c r="BX94" i="1"/>
  <c r="CA153" i="1"/>
  <c r="CA174" i="1"/>
  <c r="CB174" i="1" s="1"/>
  <c r="AQ14" i="4"/>
  <c r="CA146" i="1"/>
  <c r="CB146" i="1" s="1"/>
  <c r="CI180" i="1"/>
  <c r="CA144" i="1"/>
  <c r="CB144" i="1" s="1"/>
  <c r="CE169" i="1"/>
  <c r="CF169" i="1" s="1"/>
  <c r="CK145" i="1"/>
  <c r="CM145" i="1" s="1"/>
  <c r="CN145" i="1" s="1"/>
  <c r="CO145" i="1" s="1"/>
  <c r="AB145" i="1" s="1"/>
  <c r="BY13" i="4"/>
  <c r="BT5" i="4"/>
  <c r="FC14" i="4"/>
  <c r="T5" i="4"/>
  <c r="CL12" i="4"/>
  <c r="BJ14" i="4"/>
  <c r="BH9" i="4"/>
  <c r="IH9" i="4" s="1"/>
  <c r="CA175" i="1"/>
  <c r="CB175" i="1" s="1"/>
  <c r="BM5" i="4"/>
  <c r="CV8" i="4"/>
  <c r="P6" i="4"/>
  <c r="AM180" i="1"/>
  <c r="AX12" i="4"/>
  <c r="CA163" i="1"/>
  <c r="CB163" i="1" s="1"/>
  <c r="CR16" i="4"/>
  <c r="IT16" i="4" s="1"/>
  <c r="CA160" i="1"/>
  <c r="CB160" i="1" s="1"/>
  <c r="DF5" i="4"/>
  <c r="K11" i="4"/>
  <c r="BY6" i="4"/>
  <c r="DZ7" i="4"/>
  <c r="BD16" i="4"/>
  <c r="DY7" i="4"/>
  <c r="AJ6" i="4"/>
  <c r="DJ5" i="4"/>
  <c r="AM139" i="1"/>
  <c r="BT9" i="4"/>
  <c r="IL9" i="4" s="1"/>
  <c r="AM165" i="1"/>
  <c r="CI170" i="1"/>
  <c r="CJ170" i="1" s="1"/>
  <c r="DY9" i="4"/>
  <c r="JE9" i="4" s="1"/>
  <c r="CG34" i="1"/>
  <c r="BI9" i="4"/>
  <c r="EB9" i="4"/>
  <c r="JF9" i="4" s="1"/>
  <c r="DE5" i="4"/>
  <c r="AM28" i="1"/>
  <c r="EJ6" i="4"/>
  <c r="BI15" i="4"/>
  <c r="AX8" i="4"/>
  <c r="L8" i="4"/>
  <c r="U5" i="6"/>
  <c r="BO9" i="4"/>
  <c r="AC7" i="4"/>
  <c r="CC147" i="1"/>
  <c r="CD147" i="1" s="1"/>
  <c r="DG14" i="4"/>
  <c r="CS7" i="4"/>
  <c r="AL93" i="1"/>
  <c r="CA147" i="1"/>
  <c r="CB147" i="1" s="1"/>
  <c r="CA167" i="1"/>
  <c r="CB167" i="1" s="1"/>
  <c r="CC164" i="1"/>
  <c r="AH8" i="4"/>
  <c r="DA16" i="4"/>
  <c r="IW16" i="4" s="1"/>
  <c r="CE180" i="1"/>
  <c r="CA172" i="1"/>
  <c r="CB172" i="1" s="1"/>
  <c r="BX29" i="1"/>
  <c r="CI165" i="1"/>
  <c r="FC15" i="4"/>
  <c r="BM15" i="4"/>
  <c r="DT15" i="4"/>
  <c r="AM172" i="1"/>
  <c r="AN172" i="1" s="1"/>
  <c r="L12" i="4"/>
  <c r="CA12" i="4"/>
  <c r="HF16" i="4"/>
  <c r="H8" i="4"/>
  <c r="DI11" i="4"/>
  <c r="FQ14" i="4"/>
  <c r="AZ8" i="4"/>
  <c r="FD14" i="4"/>
  <c r="CA179" i="1"/>
  <c r="BK16" i="4"/>
  <c r="II16" i="4" s="1"/>
  <c r="Y9" i="4"/>
  <c r="HC13" i="4"/>
  <c r="CB93" i="1"/>
  <c r="CA183" i="1"/>
  <c r="CB183" i="1" s="1"/>
  <c r="CC6" i="4"/>
  <c r="AM179" i="1"/>
  <c r="AM145" i="1"/>
  <c r="AN145" i="1" s="1"/>
  <c r="AL5" i="4"/>
  <c r="AF5" i="4"/>
  <c r="AS8" i="4"/>
  <c r="CX6" i="4"/>
  <c r="AG16" i="4"/>
  <c r="HY16" i="4" s="1"/>
  <c r="HY21" i="4" s="1"/>
  <c r="AS97" i="1" s="1"/>
  <c r="U5" i="4"/>
  <c r="EI16" i="4"/>
  <c r="CY5" i="4"/>
  <c r="K9" i="4"/>
  <c r="AM137" i="1"/>
  <c r="CL8" i="4"/>
  <c r="EE7" i="4"/>
  <c r="CA94" i="1"/>
  <c r="AZ11" i="4"/>
  <c r="BX14" i="4"/>
  <c r="ER9" i="4"/>
  <c r="HH9" i="4"/>
  <c r="KH9" i="4" s="1"/>
  <c r="AM170" i="1"/>
  <c r="AN170" i="1" s="1"/>
  <c r="BS5" i="4"/>
  <c r="CJ12" i="4"/>
  <c r="DX12" i="4"/>
  <c r="AC9" i="4"/>
  <c r="DJ7" i="4"/>
  <c r="CM16" i="4"/>
  <c r="AB16" i="4"/>
  <c r="BH16" i="4"/>
  <c r="IH16" i="4" s="1"/>
  <c r="AR6" i="4"/>
  <c r="AJ35" i="1"/>
  <c r="DC6" i="4"/>
  <c r="AU12" i="4"/>
  <c r="AJ7" i="4"/>
  <c r="X6" i="4"/>
  <c r="AA12" i="4"/>
  <c r="EA16" i="4"/>
  <c r="DK8" i="4"/>
  <c r="AV6" i="4"/>
  <c r="CC170" i="1"/>
  <c r="CD170" i="1" s="1"/>
  <c r="AV5" i="4"/>
  <c r="BF5" i="4"/>
  <c r="CM6" i="4"/>
  <c r="BJ41" i="1"/>
  <c r="EH13" i="4"/>
  <c r="AK139" i="1"/>
  <c r="BX16" i="4"/>
  <c r="V16" i="4"/>
  <c r="P13" i="4"/>
  <c r="CA67" i="1"/>
  <c r="BN14" i="4"/>
  <c r="AM142" i="1"/>
  <c r="AN142" i="1" s="1"/>
  <c r="AU9" i="4"/>
  <c r="W12" i="4"/>
  <c r="DY16" i="4"/>
  <c r="JE16" i="4" s="1"/>
  <c r="BX34" i="1"/>
  <c r="L9" i="4"/>
  <c r="HR9" i="4" s="1"/>
  <c r="CK8" i="4"/>
  <c r="CC169" i="1"/>
  <c r="CD169" i="1" s="1"/>
  <c r="CG15" i="4"/>
  <c r="DY6" i="4"/>
  <c r="BK11" i="4"/>
  <c r="AI145" i="1"/>
  <c r="AJ145" i="1" s="1"/>
  <c r="CF9" i="4"/>
  <c r="IP9" i="4" s="1"/>
  <c r="FJ14" i="4"/>
  <c r="CA8" i="4"/>
  <c r="CC138" i="1"/>
  <c r="CD138" i="1" s="1"/>
  <c r="EB7" i="4"/>
  <c r="AK5" i="4"/>
  <c r="DH11" i="4"/>
  <c r="AQ5" i="4"/>
  <c r="CE173" i="1"/>
  <c r="I6" i="4"/>
  <c r="I15" i="4"/>
  <c r="CC67" i="1"/>
  <c r="CI174" i="1"/>
  <c r="CJ174" i="1" s="1"/>
  <c r="F13" i="4"/>
  <c r="DC5" i="4"/>
  <c r="AU6" i="6"/>
  <c r="AU7" i="6" s="1"/>
  <c r="CR13" i="4"/>
  <c r="CE151" i="1"/>
  <c r="CE142" i="1"/>
  <c r="CF142" i="1" s="1"/>
  <c r="J11" i="4"/>
  <c r="V8" i="4"/>
  <c r="CE175" i="1"/>
  <c r="CF175" i="1" s="1"/>
  <c r="CU7" i="4"/>
  <c r="AM151" i="1"/>
  <c r="BZ13" i="4"/>
  <c r="BY180" i="1"/>
  <c r="BB5" i="4"/>
  <c r="FN11" i="4"/>
  <c r="CB14" i="4"/>
  <c r="BM12" i="4"/>
  <c r="U7" i="4"/>
  <c r="BY162" i="1"/>
  <c r="BZ162" i="1" s="1"/>
  <c r="AO16" i="4"/>
  <c r="BG6" i="4"/>
  <c r="AT11" i="4"/>
  <c r="AI5" i="4"/>
  <c r="DE14" i="4"/>
  <c r="K8" i="4"/>
  <c r="DK15" i="4"/>
  <c r="EQ7" i="4"/>
  <c r="AK162" i="1"/>
  <c r="AL162" i="1" s="1"/>
  <c r="AG5" i="4"/>
  <c r="EI7" i="4"/>
  <c r="CE163" i="1"/>
  <c r="CF163" i="1" s="1"/>
  <c r="G13" i="4"/>
  <c r="BO11" i="4"/>
  <c r="CC44" i="1"/>
  <c r="CV5" i="4"/>
  <c r="T13" i="4"/>
  <c r="AH7" i="4"/>
  <c r="AH13" i="4"/>
  <c r="BR9" i="4"/>
  <c r="BG7" i="4"/>
  <c r="CL93" i="1"/>
  <c r="BX93" i="1"/>
  <c r="CK175" i="1"/>
  <c r="AA175" i="1" s="1"/>
  <c r="EK7" i="4"/>
  <c r="X14" i="4"/>
  <c r="CI175" i="1"/>
  <c r="CJ175" i="1" s="1"/>
  <c r="CA5" i="4"/>
  <c r="DV13" i="4"/>
  <c r="AM167" i="1"/>
  <c r="AN167" i="1" s="1"/>
  <c r="DS9" i="4"/>
  <c r="JC9" i="4" s="1"/>
  <c r="AM163" i="1"/>
  <c r="AN163" i="1" s="1"/>
  <c r="AK137" i="1"/>
  <c r="AL137" i="1" s="1"/>
  <c r="CD94" i="1"/>
  <c r="CR7" i="4"/>
  <c r="U12" i="4"/>
  <c r="CC146" i="1"/>
  <c r="CD146" i="1" s="1"/>
  <c r="CK5" i="4"/>
  <c r="EF9" i="4"/>
  <c r="CC183" i="1"/>
  <c r="CD183" i="1" s="1"/>
  <c r="HE16" i="4"/>
  <c r="KG16" i="4" s="1"/>
  <c r="DV7" i="4"/>
  <c r="CI16" i="4"/>
  <c r="IQ16" i="4" s="1"/>
  <c r="EA12" i="4"/>
  <c r="AI7" i="4"/>
  <c r="BL35" i="1"/>
  <c r="U11" i="4"/>
  <c r="BP6" i="4"/>
  <c r="DS7" i="4"/>
  <c r="CE9" i="4"/>
  <c r="BL8" i="4"/>
  <c r="CJ5" i="4"/>
  <c r="AY5" i="4"/>
  <c r="DM5" i="4"/>
  <c r="CI167" i="1"/>
  <c r="CJ167" i="1" s="1"/>
  <c r="K5" i="6"/>
  <c r="EH14" i="4"/>
  <c r="CK12" i="4"/>
  <c r="CA93" i="1"/>
  <c r="BT13" i="4"/>
  <c r="AN13" i="4"/>
  <c r="AQ8" i="4"/>
  <c r="W11" i="4"/>
  <c r="GM7" i="4"/>
  <c r="AQ6" i="6"/>
  <c r="AQ7" i="6" s="1"/>
  <c r="DM15" i="4"/>
  <c r="CC144" i="1"/>
  <c r="CD144" i="1" s="1"/>
  <c r="AK175" i="1"/>
  <c r="AL175" i="1" s="1"/>
  <c r="Q6" i="4"/>
  <c r="J16" i="4"/>
  <c r="DQ5" i="4"/>
  <c r="AM11" i="4"/>
  <c r="AF11" i="4"/>
  <c r="P5" i="4"/>
  <c r="CA171" i="1"/>
  <c r="CB171" i="1" s="1"/>
  <c r="CE66" i="1"/>
  <c r="BC14" i="4"/>
  <c r="ED5" i="4"/>
  <c r="S14" i="4"/>
  <c r="T6" i="4"/>
  <c r="Q15" i="4"/>
  <c r="AA13" i="4"/>
  <c r="D16" i="4"/>
  <c r="AI184" i="1"/>
  <c r="AJ184" i="1" s="1"/>
  <c r="R16" i="4"/>
  <c r="HT16" i="4" s="1"/>
  <c r="BB8" i="4"/>
  <c r="EW11" i="4"/>
  <c r="AC5" i="6"/>
  <c r="CI162" i="1"/>
  <c r="CJ162" i="1" s="1"/>
  <c r="DR14" i="4"/>
  <c r="BA11" i="4"/>
  <c r="CK171" i="1"/>
  <c r="AA171" i="1" s="1"/>
  <c r="BK13" i="4"/>
  <c r="HD12" i="4"/>
  <c r="CI138" i="1"/>
  <c r="CJ138" i="1" s="1"/>
  <c r="AK169" i="1"/>
  <c r="AL169" i="1" s="1"/>
  <c r="CD65" i="1"/>
  <c r="CE137" i="1"/>
  <c r="BY171" i="1"/>
  <c r="BZ171" i="1" s="1"/>
  <c r="CR12" i="4"/>
  <c r="BM9" i="4"/>
  <c r="DA13" i="4"/>
  <c r="AJ71" i="1"/>
  <c r="CA157" i="1"/>
  <c r="CB157" i="1" s="1"/>
  <c r="DB5" i="4"/>
  <c r="AM173" i="1"/>
  <c r="AM203" i="1" s="1"/>
  <c r="AN203" i="1" s="1"/>
  <c r="CK139" i="1"/>
  <c r="CO11" i="4"/>
  <c r="DR8" i="4"/>
  <c r="EE6" i="4"/>
  <c r="AK172" i="1"/>
  <c r="AL172" i="1" s="1"/>
  <c r="ER12" i="4"/>
  <c r="EG6" i="4"/>
  <c r="BV13" i="4"/>
  <c r="GP15" i="4"/>
  <c r="DP9" i="4"/>
  <c r="JB9" i="4" s="1"/>
  <c r="AM171" i="1"/>
  <c r="AN171" i="1" s="1"/>
  <c r="AI6" i="6"/>
  <c r="AI7" i="6" s="1"/>
  <c r="BS16" i="4"/>
  <c r="AF12" i="4"/>
  <c r="DI5" i="4"/>
  <c r="J5" i="4"/>
  <c r="N6" i="4"/>
  <c r="GP6" i="4"/>
  <c r="CE162" i="1"/>
  <c r="CF162" i="1" s="1"/>
  <c r="AI169" i="1"/>
  <c r="AJ169" i="1" s="1"/>
  <c r="BW11" i="4"/>
  <c r="DM8" i="4"/>
  <c r="CE147" i="1"/>
  <c r="CF147" i="1" s="1"/>
  <c r="AM55" i="1"/>
  <c r="CS11" i="4"/>
  <c r="CA6" i="4"/>
  <c r="J7" i="4"/>
  <c r="CI13" i="4"/>
  <c r="DJ12" i="4"/>
  <c r="F15" i="4"/>
  <c r="AV13" i="4"/>
  <c r="BX56" i="1"/>
  <c r="CC172" i="1"/>
  <c r="CD172" i="1" s="1"/>
  <c r="CB13" i="4"/>
  <c r="CI183" i="1"/>
  <c r="CJ183" i="1" s="1"/>
  <c r="AM183" i="1"/>
  <c r="AN183" i="1" s="1"/>
  <c r="CA145" i="1"/>
  <c r="CB145" i="1" s="1"/>
  <c r="BK8" i="4"/>
  <c r="DF12" i="4"/>
  <c r="DS13" i="4"/>
  <c r="CO5" i="4"/>
  <c r="CB11" i="4"/>
  <c r="AI179" i="1"/>
  <c r="AK8" i="4"/>
  <c r="CD28" i="1"/>
  <c r="BZ29" i="1"/>
  <c r="AL52" i="1"/>
  <c r="BX35" i="1"/>
  <c r="AL67" i="1"/>
  <c r="CE14" i="4"/>
  <c r="CZ16" i="4"/>
  <c r="DI7" i="4"/>
  <c r="BR12" i="4"/>
  <c r="CL11" i="4"/>
  <c r="EC6" i="4"/>
  <c r="CC56" i="1"/>
  <c r="CK16" i="4"/>
  <c r="CT16" i="4"/>
  <c r="BL29" i="1"/>
  <c r="S6" i="4"/>
  <c r="DG7" i="4"/>
  <c r="Y11" i="4"/>
  <c r="CM8" i="4"/>
  <c r="IS8" i="4" s="1"/>
  <c r="AC6" i="4"/>
  <c r="BD7" i="4"/>
  <c r="CC5" i="4"/>
  <c r="EP13" i="4"/>
  <c r="H6" i="6"/>
  <c r="H7" i="6" s="1"/>
  <c r="BY183" i="1"/>
  <c r="BZ183" i="1" s="1"/>
  <c r="CQ15" i="4"/>
  <c r="BX66" i="1"/>
  <c r="AI170" i="1"/>
  <c r="AJ170" i="1" s="1"/>
  <c r="U6" i="4"/>
  <c r="DA6" i="4"/>
  <c r="AV7" i="4"/>
  <c r="CJ9" i="4"/>
  <c r="AD16" i="4"/>
  <c r="HX16" i="4" s="1"/>
  <c r="EI14" i="4"/>
  <c r="EH9" i="4"/>
  <c r="JH9" i="4" s="1"/>
  <c r="AJ33" i="1"/>
  <c r="CR9" i="4"/>
  <c r="IT9" i="4" s="1"/>
  <c r="DP8" i="4"/>
  <c r="BD5" i="4"/>
  <c r="AY16" i="4"/>
  <c r="IE16" i="4" s="1"/>
  <c r="IE21" i="4" s="1"/>
  <c r="AY97" i="1" s="1"/>
  <c r="CS15" i="4"/>
  <c r="EN11" i="4"/>
  <c r="BC16" i="4"/>
  <c r="CP14" i="4"/>
  <c r="AM164" i="1"/>
  <c r="AZ12" i="4"/>
  <c r="EJ8" i="4"/>
  <c r="CG13" i="4"/>
  <c r="AM42" i="1"/>
  <c r="BJ6" i="4"/>
  <c r="AI164" i="1"/>
  <c r="BG16" i="4"/>
  <c r="BX71" i="1"/>
  <c r="EA15" i="4"/>
  <c r="F6" i="4"/>
  <c r="AZ14" i="4"/>
  <c r="CA173" i="1"/>
  <c r="EH12" i="4"/>
  <c r="DH16" i="4"/>
  <c r="BZ94" i="1"/>
  <c r="BJ13" i="4"/>
  <c r="AD5" i="6"/>
  <c r="BY167" i="1"/>
  <c r="BZ167" i="1" s="1"/>
  <c r="CO12" i="4"/>
  <c r="EE9" i="4"/>
  <c r="JG9" i="4" s="1"/>
  <c r="BY174" i="1"/>
  <c r="BZ174" i="1" s="1"/>
  <c r="BY153" i="1"/>
  <c r="Y7" i="4"/>
  <c r="CE94" i="1"/>
  <c r="CK71" i="1"/>
  <c r="CI139" i="1"/>
  <c r="BL13" i="4"/>
  <c r="BX15" i="4"/>
  <c r="CW13" i="4"/>
  <c r="CI155" i="1"/>
  <c r="CJ155" i="1" s="1"/>
  <c r="CZ11" i="4"/>
  <c r="GP16" i="4"/>
  <c r="KB16" i="4" s="1"/>
  <c r="CL13" i="4"/>
  <c r="BU12" i="4"/>
  <c r="EI13" i="4"/>
  <c r="CC93" i="1"/>
  <c r="BM8" i="4"/>
  <c r="AJ52" i="1"/>
  <c r="AJ214" i="1" s="1"/>
  <c r="DS5" i="4"/>
  <c r="CC157" i="1"/>
  <c r="CD157" i="1" s="1"/>
  <c r="AO15" i="4"/>
  <c r="BR6" i="4"/>
  <c r="AM169" i="1"/>
  <c r="AN169" i="1" s="1"/>
  <c r="CE170" i="1"/>
  <c r="CF170" i="1" s="1"/>
  <c r="CC139" i="1"/>
  <c r="D11" i="4"/>
  <c r="AI167" i="1"/>
  <c r="AJ167" i="1" s="1"/>
  <c r="BY170" i="1"/>
  <c r="BZ170" i="1" s="1"/>
  <c r="L14" i="4"/>
  <c r="AF13" i="4"/>
  <c r="BY179" i="1"/>
  <c r="CE167" i="1"/>
  <c r="CF167" i="1" s="1"/>
  <c r="AK166" i="1"/>
  <c r="AL166" i="1" s="1"/>
  <c r="AM153" i="1"/>
  <c r="CA170" i="1"/>
  <c r="CB170" i="1" s="1"/>
  <c r="CK163" i="1"/>
  <c r="AA163" i="1" s="1"/>
  <c r="F5" i="4"/>
  <c r="DV12" i="4"/>
  <c r="DE8" i="4"/>
  <c r="EJ11" i="4"/>
  <c r="DO11" i="4"/>
  <c r="BX6" i="4"/>
  <c r="W14" i="4"/>
  <c r="BL34" i="1"/>
  <c r="BL7" i="4"/>
  <c r="AH15" i="4"/>
  <c r="AV6" i="6"/>
  <c r="AV7" i="6" s="1"/>
  <c r="BD14" i="4"/>
  <c r="CA15" i="4"/>
  <c r="DB14" i="4"/>
  <c r="CC180" i="1"/>
  <c r="DE13" i="4"/>
  <c r="CS5" i="4"/>
  <c r="DL13" i="4"/>
  <c r="AK164" i="1"/>
  <c r="K12" i="4"/>
  <c r="E6" i="6"/>
  <c r="E7" i="6" s="1"/>
  <c r="W8" i="4"/>
  <c r="CC173" i="1"/>
  <c r="EH11" i="4"/>
  <c r="EF5" i="4"/>
  <c r="W15" i="4"/>
  <c r="CP16" i="4"/>
  <c r="F6" i="6"/>
  <c r="F7" i="6" s="1"/>
  <c r="EK15" i="4"/>
  <c r="CZ13" i="4"/>
  <c r="FB13" i="4"/>
  <c r="EH5" i="4"/>
  <c r="CG14" i="4"/>
  <c r="EJ7" i="4"/>
  <c r="ED7" i="4"/>
  <c r="AK11" i="4"/>
  <c r="AN12" i="4"/>
  <c r="CU13" i="4"/>
  <c r="EG11" i="4"/>
  <c r="G12" i="4"/>
  <c r="CY12" i="4"/>
  <c r="AK163" i="1"/>
  <c r="AL163" i="1" s="1"/>
  <c r="CY9" i="4"/>
  <c r="M15" i="4"/>
  <c r="DM11" i="4"/>
  <c r="FQ16" i="4"/>
  <c r="BS12" i="4"/>
  <c r="DD6" i="4"/>
  <c r="BE5" i="4"/>
  <c r="CI172" i="1"/>
  <c r="CJ172" i="1" s="1"/>
  <c r="AU6" i="4"/>
  <c r="GE9" i="4"/>
  <c r="GY7" i="4"/>
  <c r="DG16" i="4"/>
  <c r="IY16" i="4" s="1"/>
  <c r="IY21" i="4" s="1"/>
  <c r="BS97" i="1" s="1"/>
  <c r="AR7" i="4"/>
  <c r="DO9" i="4"/>
  <c r="DJ11" i="4"/>
  <c r="CB35" i="1"/>
  <c r="AP16" i="4"/>
  <c r="IB16" i="4" s="1"/>
  <c r="AM160" i="1"/>
  <c r="AN160" i="1" s="1"/>
  <c r="AK165" i="1"/>
  <c r="CG184" i="1"/>
  <c r="CH184" i="1" s="1"/>
  <c r="DE7" i="4"/>
  <c r="AU15" i="4"/>
  <c r="AG13" i="4"/>
  <c r="BR7" i="4"/>
  <c r="CA151" i="1"/>
  <c r="BX33" i="1"/>
  <c r="EJ9" i="4"/>
  <c r="EG14" i="4"/>
  <c r="BY163" i="1"/>
  <c r="BZ163" i="1" s="1"/>
  <c r="CE165" i="1"/>
  <c r="AB8" i="4"/>
  <c r="V6" i="4"/>
  <c r="AQ13" i="4"/>
  <c r="AP6" i="4"/>
  <c r="CC174" i="1"/>
  <c r="CD174" i="1" s="1"/>
  <c r="EB8" i="4"/>
  <c r="CE160" i="1"/>
  <c r="CF160" i="1" s="1"/>
  <c r="CF222" i="1" s="1"/>
  <c r="AZ6" i="4"/>
  <c r="AM175" i="1"/>
  <c r="AN175" i="1" s="1"/>
  <c r="DW7" i="4"/>
  <c r="BM16" i="4"/>
  <c r="DT11" i="4"/>
  <c r="DI12" i="4"/>
  <c r="CU8" i="4"/>
  <c r="CI42" i="1"/>
  <c r="CI20" i="1" s="1"/>
  <c r="AA14" i="4"/>
  <c r="CF15" i="4"/>
  <c r="CB66" i="1"/>
  <c r="BB11" i="4"/>
  <c r="AI165" i="1"/>
  <c r="CX8" i="4"/>
  <c r="AD13" i="4"/>
  <c r="BW14" i="4"/>
  <c r="CC137" i="1"/>
  <c r="CD137" i="1" s="1"/>
  <c r="CC142" i="1"/>
  <c r="CD142" i="1" s="1"/>
  <c r="CE179" i="1"/>
  <c r="BA6" i="4"/>
  <c r="CE172" i="1"/>
  <c r="CF172" i="1" s="1"/>
  <c r="DF6" i="4"/>
  <c r="CE138" i="1"/>
  <c r="CF138" i="1" s="1"/>
  <c r="CF93" i="1"/>
  <c r="H7" i="4"/>
  <c r="EK11" i="4"/>
  <c r="CD13" i="4"/>
  <c r="AA7" i="4"/>
  <c r="CK154" i="1"/>
  <c r="CE155" i="1"/>
  <c r="CF155" i="1" s="1"/>
  <c r="H11" i="4"/>
  <c r="AI162" i="1"/>
  <c r="AJ162" i="1" s="1"/>
  <c r="AW11" i="4"/>
  <c r="AK40" i="1"/>
  <c r="DI16" i="4"/>
  <c r="CI160" i="1"/>
  <c r="CJ160" i="1" s="1"/>
  <c r="CJ222" i="1" s="1"/>
  <c r="AJ66" i="1"/>
  <c r="CB59" i="1"/>
  <c r="AK147" i="1"/>
  <c r="AL147" i="1" s="1"/>
  <c r="EF7" i="4"/>
  <c r="V12" i="4"/>
  <c r="Y5" i="6"/>
  <c r="BS14" i="4"/>
  <c r="BW5" i="4"/>
  <c r="BB13" i="4"/>
  <c r="EU7" i="4"/>
  <c r="Z13" i="4"/>
  <c r="BL42" i="1"/>
  <c r="BL20" i="1" s="1"/>
  <c r="BQ15" i="4"/>
  <c r="AV12" i="4"/>
  <c r="CI142" i="1"/>
  <c r="CJ142" i="1" s="1"/>
  <c r="DH6" i="4"/>
  <c r="AX15" i="4"/>
  <c r="AY6" i="6"/>
  <c r="AY7" i="6" s="1"/>
  <c r="CJ93" i="1"/>
  <c r="CV7" i="4"/>
  <c r="CC184" i="1"/>
  <c r="CD184" i="1" s="1"/>
  <c r="EC12" i="4"/>
  <c r="GA12" i="4"/>
  <c r="D5" i="4"/>
  <c r="DB15" i="4"/>
  <c r="R6" i="6"/>
  <c r="R7" i="6" s="1"/>
  <c r="BN11" i="4"/>
  <c r="BI13" i="4"/>
  <c r="BM13" i="4"/>
  <c r="ET8" i="4"/>
  <c r="AK16" i="4"/>
  <c r="BS8" i="4"/>
  <c r="AJ67" i="1"/>
  <c r="CF44" i="1"/>
  <c r="AI15" i="4"/>
  <c r="HZ15" i="4" s="1"/>
  <c r="CX11" i="4"/>
  <c r="DW12" i="4"/>
  <c r="DS16" i="4"/>
  <c r="JC16" i="4" s="1"/>
  <c r="AT6" i="4"/>
  <c r="AJ8" i="4"/>
  <c r="CZ15" i="4"/>
  <c r="BO14" i="4"/>
  <c r="CC11" i="4"/>
  <c r="GE7" i="4"/>
  <c r="AB5" i="6"/>
  <c r="GK6" i="4"/>
  <c r="EV13" i="4"/>
  <c r="AM174" i="1"/>
  <c r="AN174" i="1" s="1"/>
  <c r="Y13" i="4"/>
  <c r="CA59" i="1"/>
  <c r="DV16" i="4"/>
  <c r="JD16" i="4" s="1"/>
  <c r="N16" i="4"/>
  <c r="DO8" i="4"/>
  <c r="CM12" i="4"/>
  <c r="FC9" i="4"/>
  <c r="JO9" i="4" s="1"/>
  <c r="D15" i="4"/>
  <c r="ES12" i="4"/>
  <c r="EW6" i="4"/>
  <c r="CM13" i="4"/>
  <c r="DU14" i="4"/>
  <c r="BD6" i="4"/>
  <c r="AI151" i="1"/>
  <c r="DQ11" i="4"/>
  <c r="CP13" i="4"/>
  <c r="CE40" i="1"/>
  <c r="EP5" i="4"/>
  <c r="BX43" i="1"/>
  <c r="BX22" i="1" s="1"/>
  <c r="AX11" i="4"/>
  <c r="EB12" i="4"/>
  <c r="AU8" i="4"/>
  <c r="BW13" i="4"/>
  <c r="U8" i="4"/>
  <c r="FZ16" i="4"/>
  <c r="DO16" i="4"/>
  <c r="AW9" i="4"/>
  <c r="CX14" i="4"/>
  <c r="BB12" i="4"/>
  <c r="AB5" i="4"/>
  <c r="CF16" i="4"/>
  <c r="IP16" i="4" s="1"/>
  <c r="EK8" i="4"/>
  <c r="AS11" i="4"/>
  <c r="CE12" i="4"/>
  <c r="FZ13" i="4"/>
  <c r="AM29" i="1"/>
  <c r="HE15" i="4"/>
  <c r="CC66" i="1"/>
  <c r="AV14" i="4"/>
  <c r="BD13" i="4"/>
  <c r="BY184" i="1"/>
  <c r="BZ184" i="1" s="1"/>
  <c r="W6" i="4"/>
  <c r="BP15" i="4"/>
  <c r="BY172" i="1"/>
  <c r="BZ172" i="1" s="1"/>
  <c r="O14" i="4"/>
  <c r="AJ16" i="4"/>
  <c r="HZ16" i="4" s="1"/>
  <c r="EC15" i="4"/>
  <c r="CK15" i="4"/>
  <c r="DL16" i="4"/>
  <c r="AE14" i="4"/>
  <c r="DY5" i="4"/>
  <c r="CA165" i="1"/>
  <c r="EJ15" i="4"/>
  <c r="BJ35" i="1"/>
  <c r="CG65" i="1"/>
  <c r="DK7" i="4"/>
  <c r="CI157" i="1"/>
  <c r="CJ157" i="1" s="1"/>
  <c r="EJ12" i="4"/>
  <c r="AM146" i="1"/>
  <c r="AN146" i="1" s="1"/>
  <c r="CN15" i="4"/>
  <c r="BQ11" i="4"/>
  <c r="EE13" i="4"/>
  <c r="EB5" i="4"/>
  <c r="Y6" i="4"/>
  <c r="CB15" i="4"/>
  <c r="BR14" i="4"/>
  <c r="CA169" i="1"/>
  <c r="CB169" i="1" s="1"/>
  <c r="DX6" i="4"/>
  <c r="CC163" i="1"/>
  <c r="CD163" i="1" s="1"/>
  <c r="BM11" i="4"/>
  <c r="N13" i="4"/>
  <c r="CZ9" i="4"/>
  <c r="EM8" i="4"/>
  <c r="AW16" i="4"/>
  <c r="DN6" i="4"/>
  <c r="C13" i="4"/>
  <c r="CW8" i="4"/>
  <c r="AI155" i="1"/>
  <c r="AJ155" i="1" s="1"/>
  <c r="CI144" i="1"/>
  <c r="CJ144" i="1" s="1"/>
  <c r="BF16" i="4"/>
  <c r="G8" i="4"/>
  <c r="AB15" i="4"/>
  <c r="AP8" i="4"/>
  <c r="CX12" i="4"/>
  <c r="DN16" i="4"/>
  <c r="ED16" i="4"/>
  <c r="Q11" i="4"/>
  <c r="EB13" i="4"/>
  <c r="EZ16" i="4"/>
  <c r="JN16" i="4" s="1"/>
  <c r="K15" i="4"/>
  <c r="DZ13" i="4"/>
  <c r="D8" i="4"/>
  <c r="CM5" i="4"/>
  <c r="EA6" i="4"/>
  <c r="EF13" i="4"/>
  <c r="CC153" i="1"/>
  <c r="BK15" i="4"/>
  <c r="BP16" i="4"/>
  <c r="BS11" i="4"/>
  <c r="EE11" i="4"/>
  <c r="BV6" i="4"/>
  <c r="BZ16" i="4"/>
  <c r="IN16" i="4" s="1"/>
  <c r="AE6" i="6"/>
  <c r="AE7" i="6" s="1"/>
  <c r="G11" i="4"/>
  <c r="BZ11" i="4"/>
  <c r="DC8" i="4"/>
  <c r="DV9" i="4"/>
  <c r="JD9" i="4" s="1"/>
  <c r="JD21" i="4" s="1"/>
  <c r="BX97" i="1" s="1"/>
  <c r="AO6" i="4"/>
  <c r="BQ13" i="4"/>
  <c r="EF16" i="4"/>
  <c r="CC145" i="1"/>
  <c r="CD145" i="1" s="1"/>
  <c r="DR12" i="4"/>
  <c r="BU8" i="4"/>
  <c r="N9" i="4"/>
  <c r="BZ14" i="4"/>
  <c r="DT5" i="4"/>
  <c r="EW5" i="4"/>
  <c r="AQ7" i="4"/>
  <c r="P6" i="6"/>
  <c r="P7" i="6" s="1"/>
  <c r="CI12" i="4"/>
  <c r="BO13" i="4"/>
  <c r="DL12" i="4"/>
  <c r="DP7" i="4"/>
  <c r="BJ28" i="1"/>
  <c r="BJ251" i="1" s="1"/>
  <c r="AW6" i="4"/>
  <c r="BR16" i="4"/>
  <c r="T9" i="4"/>
  <c r="EW8" i="4"/>
  <c r="D5" i="6"/>
  <c r="AK29" i="1"/>
  <c r="Y8" i="4"/>
  <c r="DU13" i="4"/>
  <c r="CO6" i="4"/>
  <c r="EU12" i="4"/>
  <c r="DY12" i="4"/>
  <c r="DO12" i="4"/>
  <c r="DN11" i="4"/>
  <c r="EO13" i="4"/>
  <c r="GA6" i="4"/>
  <c r="AJ59" i="1"/>
  <c r="BH12" i="4"/>
  <c r="Z6" i="6"/>
  <c r="Z7" i="6" s="1"/>
  <c r="BH15" i="4"/>
  <c r="I5" i="4"/>
  <c r="T6" i="6"/>
  <c r="T7" i="6" s="1"/>
  <c r="D12" i="4"/>
  <c r="S7" i="4"/>
  <c r="CC171" i="1"/>
  <c r="CD171" i="1" s="1"/>
  <c r="O9" i="4"/>
  <c r="HS9" i="4" s="1"/>
  <c r="HB9" i="4"/>
  <c r="KF9" i="4" s="1"/>
  <c r="EO16" i="4"/>
  <c r="AK6" i="4"/>
  <c r="CG12" i="4"/>
  <c r="W5" i="4"/>
  <c r="GH16" i="4"/>
  <c r="Q8" i="4"/>
  <c r="AC6" i="6"/>
  <c r="AC7" i="6" s="1"/>
  <c r="CD33" i="1"/>
  <c r="CG94" i="1"/>
  <c r="AD7" i="4"/>
  <c r="DP16" i="4"/>
  <c r="JB16" i="4" s="1"/>
  <c r="CX7" i="4"/>
  <c r="CF7" i="4"/>
  <c r="AJ5" i="6"/>
  <c r="EP6" i="4"/>
  <c r="DF7" i="4"/>
  <c r="BI16" i="4"/>
  <c r="BI12" i="4"/>
  <c r="BE7" i="4"/>
  <c r="AZ5" i="4"/>
  <c r="CN6" i="4"/>
  <c r="EO6" i="4"/>
  <c r="DZ14" i="4"/>
  <c r="E15" i="4"/>
  <c r="AI14" i="4"/>
  <c r="CE65" i="1"/>
  <c r="CI11" i="4"/>
  <c r="EE14" i="4"/>
  <c r="BC9" i="4"/>
  <c r="AG15" i="4"/>
  <c r="CI52" i="1"/>
  <c r="BG13" i="4"/>
  <c r="EJ14" i="4"/>
  <c r="GU7" i="4"/>
  <c r="GU6" i="4"/>
  <c r="CC167" i="1"/>
  <c r="CD167" i="1" s="1"/>
  <c r="CP5" i="4"/>
  <c r="EU5" i="4"/>
  <c r="FF16" i="4"/>
  <c r="JP16" i="4" s="1"/>
  <c r="DB8" i="4"/>
  <c r="P11" i="4"/>
  <c r="ET6" i="4"/>
  <c r="BZ93" i="1"/>
  <c r="CD7" i="4"/>
  <c r="CA42" i="1"/>
  <c r="CA20" i="1" s="1"/>
  <c r="AO5" i="6"/>
  <c r="FR8" i="4"/>
  <c r="HH5" i="4"/>
  <c r="AI146" i="1"/>
  <c r="AJ146" i="1" s="1"/>
  <c r="BS7" i="4"/>
  <c r="CE7" i="4"/>
  <c r="FG16" i="4"/>
  <c r="DQ13" i="4"/>
  <c r="GE14" i="4"/>
  <c r="GW11" i="4"/>
  <c r="FT5" i="4"/>
  <c r="EF11" i="4"/>
  <c r="BJ44" i="1"/>
  <c r="AW12" i="4"/>
  <c r="AP11" i="4"/>
  <c r="BJ11" i="4"/>
  <c r="DB16" i="4"/>
  <c r="BX52" i="1"/>
  <c r="BX214" i="1" s="1"/>
  <c r="CW15" i="4"/>
  <c r="DD16" i="4"/>
  <c r="IX16" i="4" s="1"/>
  <c r="AP5" i="6"/>
  <c r="DF15" i="4"/>
  <c r="BP7" i="4"/>
  <c r="AR16" i="4"/>
  <c r="AL40" i="1"/>
  <c r="BY175" i="1"/>
  <c r="BZ175" i="1" s="1"/>
  <c r="K7" i="4"/>
  <c r="DX9" i="4"/>
  <c r="U15" i="4"/>
  <c r="BZ8" i="4"/>
  <c r="FI14" i="4"/>
  <c r="CP15" i="4"/>
  <c r="CV16" i="4"/>
  <c r="BX55" i="1"/>
  <c r="DH8" i="4"/>
  <c r="DW9" i="4"/>
  <c r="AI160" i="1"/>
  <c r="AJ160" i="1" s="1"/>
  <c r="DG11" i="4"/>
  <c r="CL9" i="4"/>
  <c r="IR9" i="4" s="1"/>
  <c r="AA6" i="4"/>
  <c r="BB7" i="4"/>
  <c r="W13" i="4"/>
  <c r="AN14" i="4"/>
  <c r="AO8" i="4"/>
  <c r="K16" i="4"/>
  <c r="CN12" i="4"/>
  <c r="CD52" i="1"/>
  <c r="CD214" i="1" s="1"/>
  <c r="CD41" i="1"/>
  <c r="BZ7" i="4"/>
  <c r="CW14" i="4"/>
  <c r="BR5" i="4"/>
  <c r="CJ16" i="4"/>
  <c r="AE5" i="4"/>
  <c r="DB6" i="4"/>
  <c r="J6" i="6"/>
  <c r="J7" i="6" s="1"/>
  <c r="ED12" i="4"/>
  <c r="R8" i="4"/>
  <c r="CD55" i="1"/>
  <c r="BK14" i="4"/>
  <c r="CA14" i="4"/>
  <c r="CC42" i="1"/>
  <c r="CC20" i="1" s="1"/>
  <c r="ES16" i="4"/>
  <c r="AN9" i="4"/>
  <c r="AC5" i="4"/>
  <c r="AL15" i="4"/>
  <c r="CV13" i="4"/>
  <c r="AI153" i="1"/>
  <c r="DW13" i="4"/>
  <c r="EN12" i="4"/>
  <c r="AL14" i="4"/>
  <c r="ER6" i="4"/>
  <c r="DL6" i="4"/>
  <c r="GY16" i="4"/>
  <c r="KE16" i="4" s="1"/>
  <c r="AI11" i="4"/>
  <c r="AR13" i="4"/>
  <c r="CJ29" i="1"/>
  <c r="T8" i="4"/>
  <c r="AI12" i="4"/>
  <c r="CC59" i="1"/>
  <c r="F8" i="4"/>
  <c r="DC16" i="4"/>
  <c r="CK155" i="1"/>
  <c r="DD8" i="4"/>
  <c r="DJ13" i="4"/>
  <c r="CZ5" i="4"/>
  <c r="EW14" i="4"/>
  <c r="DB7" i="4"/>
  <c r="DH9" i="4"/>
  <c r="BH6" i="4"/>
  <c r="ES14" i="4"/>
  <c r="AV5" i="6"/>
  <c r="P12" i="4"/>
  <c r="ES13" i="4"/>
  <c r="AP7" i="4"/>
  <c r="DD7" i="4"/>
  <c r="H12" i="4"/>
  <c r="AM147" i="1"/>
  <c r="AN147" i="1" s="1"/>
  <c r="AO11" i="4"/>
  <c r="BL14" i="4"/>
  <c r="Q9" i="4"/>
  <c r="EC8" i="4"/>
  <c r="CE42" i="1"/>
  <c r="CE20" i="1" s="1"/>
  <c r="CD34" i="1"/>
  <c r="AT12" i="4"/>
  <c r="FV8" i="4"/>
  <c r="BT15" i="4"/>
  <c r="BT11" i="4"/>
  <c r="EH7" i="4"/>
  <c r="FT16" i="4"/>
  <c r="DH14" i="4"/>
  <c r="CE16" i="4"/>
  <c r="EK6" i="4"/>
  <c r="DA12" i="4"/>
  <c r="AM34" i="1"/>
  <c r="ED6" i="4"/>
  <c r="X9" i="4"/>
  <c r="HV9" i="4" s="1"/>
  <c r="L5" i="6"/>
  <c r="AN8" i="4"/>
  <c r="ER14" i="4"/>
  <c r="CO15" i="4"/>
  <c r="BX59" i="1"/>
  <c r="CY15" i="4"/>
  <c r="EU13" i="4"/>
  <c r="BF7" i="4"/>
  <c r="ED13" i="4"/>
  <c r="R6" i="4"/>
  <c r="AJ41" i="1"/>
  <c r="CE11" i="4"/>
  <c r="AS15" i="4"/>
  <c r="BY165" i="1"/>
  <c r="CA29" i="1"/>
  <c r="FY16" i="4"/>
  <c r="BA7" i="4"/>
  <c r="FW12" i="4"/>
  <c r="AW8" i="4"/>
  <c r="IE8" i="4" s="1"/>
  <c r="DK6" i="4"/>
  <c r="DZ11" i="4"/>
  <c r="AP5" i="4"/>
  <c r="AS6" i="4"/>
  <c r="AY13" i="4"/>
  <c r="BY67" i="1"/>
  <c r="DQ9" i="4"/>
  <c r="BA13" i="4"/>
  <c r="CI169" i="1"/>
  <c r="CJ169" i="1" s="1"/>
  <c r="EA13" i="4"/>
  <c r="AO5" i="4"/>
  <c r="AM43" i="1"/>
  <c r="ER5" i="4"/>
  <c r="AK52" i="1"/>
  <c r="AK214" i="1" s="1"/>
  <c r="DH7" i="4"/>
  <c r="CH8" i="4"/>
  <c r="AW5" i="6"/>
  <c r="V13" i="4"/>
  <c r="DW5" i="4"/>
  <c r="CS6" i="4"/>
  <c r="FW16" i="4"/>
  <c r="O16" i="4"/>
  <c r="HS16" i="4" s="1"/>
  <c r="BI6" i="4"/>
  <c r="FG11" i="4"/>
  <c r="AC14" i="4"/>
  <c r="BT12" i="4"/>
  <c r="EY6" i="4"/>
  <c r="AK44" i="1"/>
  <c r="AM144" i="1"/>
  <c r="AN144" i="1" s="1"/>
  <c r="BQ7" i="4"/>
  <c r="BY93" i="1"/>
  <c r="R13" i="4"/>
  <c r="FB11" i="4"/>
  <c r="DN12" i="4"/>
  <c r="M14" i="4"/>
  <c r="CF94" i="1"/>
  <c r="AM40" i="1"/>
  <c r="CL14" i="4"/>
  <c r="CA71" i="1"/>
  <c r="EC9" i="4"/>
  <c r="AP15" i="4"/>
  <c r="GO15" i="4"/>
  <c r="CH93" i="1"/>
  <c r="DR9" i="4"/>
  <c r="AN5" i="6"/>
  <c r="CC165" i="1"/>
  <c r="DG15" i="4"/>
  <c r="AM184" i="1"/>
  <c r="AN184" i="1" s="1"/>
  <c r="BJ8" i="4"/>
  <c r="AS16" i="4"/>
  <c r="IC16" i="4" s="1"/>
  <c r="GS15" i="4"/>
  <c r="AP14" i="4"/>
  <c r="AX7" i="4"/>
  <c r="BY42" i="1"/>
  <c r="BY20" i="1" s="1"/>
  <c r="DL5" i="4"/>
  <c r="BR13" i="4"/>
  <c r="BE14" i="4"/>
  <c r="BY147" i="1"/>
  <c r="BZ147" i="1" s="1"/>
  <c r="CC160" i="1"/>
  <c r="CD160" i="1" s="1"/>
  <c r="FD5" i="4"/>
  <c r="CQ14" i="4"/>
  <c r="FC8" i="4"/>
  <c r="AM155" i="1"/>
  <c r="AN155" i="1" s="1"/>
  <c r="AU7" i="4"/>
  <c r="DU9" i="4"/>
  <c r="DX13" i="4"/>
  <c r="CF14" i="4"/>
  <c r="CD9" i="4"/>
  <c r="AM56" i="1"/>
  <c r="AM272" i="1" s="1"/>
  <c r="BY164" i="1"/>
  <c r="I7" i="4"/>
  <c r="AC12" i="4"/>
  <c r="CS9" i="4"/>
  <c r="CM9" i="4"/>
  <c r="F5" i="6"/>
  <c r="CH9" i="4"/>
  <c r="AY7" i="4"/>
  <c r="AG6" i="4"/>
  <c r="FO6" i="4"/>
  <c r="CF66" i="1"/>
  <c r="DK13" i="4"/>
  <c r="AK9" i="4"/>
  <c r="BW8" i="4"/>
  <c r="CW12" i="4"/>
  <c r="HB5" i="4"/>
  <c r="CQ6" i="4"/>
  <c r="CH66" i="1"/>
  <c r="S16" i="4"/>
  <c r="BO16" i="4"/>
  <c r="BB9" i="4"/>
  <c r="IF9" i="4" s="1"/>
  <c r="Z9" i="4"/>
  <c r="BI8" i="4"/>
  <c r="BW15" i="4"/>
  <c r="BY9" i="4"/>
  <c r="EC11" i="4"/>
  <c r="AJ11" i="4"/>
  <c r="AN16" i="4"/>
  <c r="V5" i="6"/>
  <c r="AL33" i="1"/>
  <c r="AT5" i="6"/>
  <c r="CB12" i="4"/>
  <c r="DH12" i="4"/>
  <c r="CC7" i="4"/>
  <c r="CI28" i="1"/>
  <c r="AY14" i="4"/>
  <c r="AL66" i="1"/>
  <c r="FE13" i="4"/>
  <c r="GK15" i="4"/>
  <c r="DI15" i="4"/>
  <c r="EF14" i="4"/>
  <c r="CF59" i="1"/>
  <c r="BV16" i="4"/>
  <c r="BX42" i="1"/>
  <c r="BX20" i="1" s="1"/>
  <c r="CA55" i="1"/>
  <c r="Q7" i="4"/>
  <c r="FO15" i="4"/>
  <c r="W7" i="4"/>
  <c r="BE16" i="4"/>
  <c r="IG16" i="4" s="1"/>
  <c r="GW7" i="4"/>
  <c r="CB67" i="1"/>
  <c r="BM6" i="4"/>
  <c r="CF28" i="1"/>
  <c r="DK5" i="4"/>
  <c r="DE16" i="4"/>
  <c r="HA6" i="4"/>
  <c r="GH14" i="4"/>
  <c r="X8" i="4"/>
  <c r="CB16" i="4"/>
  <c r="AU14" i="4"/>
  <c r="CF6" i="4"/>
  <c r="CY6" i="4"/>
  <c r="AJ13" i="4"/>
  <c r="AB11" i="4"/>
  <c r="BW16" i="4"/>
  <c r="IM16" i="4" s="1"/>
  <c r="IM21" i="4" s="1"/>
  <c r="BG97" i="1" s="1"/>
  <c r="CQ12" i="4"/>
  <c r="AI16" i="4"/>
  <c r="BA12" i="4"/>
  <c r="EU9" i="4"/>
  <c r="J9" i="4"/>
  <c r="CI9" i="4"/>
  <c r="IQ9" i="4" s="1"/>
  <c r="IQ21" i="4" s="1"/>
  <c r="BK97" i="1" s="1"/>
  <c r="CX9" i="4"/>
  <c r="IV9" i="4" s="1"/>
  <c r="DH13" i="4"/>
  <c r="BZ6" i="4"/>
  <c r="AJ42" i="1"/>
  <c r="BD11" i="4"/>
  <c r="CK7" i="4"/>
  <c r="Y14" i="4"/>
  <c r="BP14" i="4"/>
  <c r="CZ12" i="4"/>
  <c r="AF9" i="4"/>
  <c r="AK55" i="1"/>
  <c r="AC11" i="4"/>
  <c r="DU16" i="4"/>
  <c r="AF6" i="4"/>
  <c r="AG11" i="4"/>
  <c r="DP12" i="4"/>
  <c r="BN8" i="4"/>
  <c r="BA16" i="4"/>
  <c r="EK16" i="4"/>
  <c r="JI16" i="4" s="1"/>
  <c r="AW13" i="4"/>
  <c r="C6" i="6"/>
  <c r="C7" i="6" s="1"/>
  <c r="W9" i="4"/>
  <c r="GP13" i="4"/>
  <c r="AZ9" i="4"/>
  <c r="BN7" i="4"/>
  <c r="CD11" i="4"/>
  <c r="BY142" i="1"/>
  <c r="BZ142" i="1" s="1"/>
  <c r="BL5" i="4"/>
  <c r="AF16" i="4"/>
  <c r="AM5" i="6"/>
  <c r="BL11" i="4"/>
  <c r="AG8" i="4"/>
  <c r="X11" i="4"/>
  <c r="BL94" i="1"/>
  <c r="I9" i="4"/>
  <c r="HQ9" i="4" s="1"/>
  <c r="CC33" i="1"/>
  <c r="CC175" i="1"/>
  <c r="CD175" i="1" s="1"/>
  <c r="E9" i="4"/>
  <c r="J6" i="4"/>
  <c r="CD15" i="4"/>
  <c r="AX5" i="4"/>
  <c r="CA16" i="4"/>
  <c r="FY6" i="4"/>
  <c r="CI29" i="1"/>
  <c r="Z12" i="4"/>
  <c r="C14" i="4"/>
  <c r="FV6" i="4"/>
  <c r="CK13" i="4"/>
  <c r="AI144" i="1"/>
  <c r="AJ144" i="1" s="1"/>
  <c r="CS13" i="4"/>
  <c r="DO13" i="4"/>
  <c r="AA15" i="4"/>
  <c r="BS6" i="4"/>
  <c r="CZ6" i="4"/>
  <c r="BU7" i="4"/>
  <c r="BO5" i="4"/>
  <c r="ER16" i="4"/>
  <c r="CH56" i="1"/>
  <c r="CN11" i="4"/>
  <c r="BB15" i="4"/>
  <c r="EJ13" i="4"/>
  <c r="EB14" i="4"/>
  <c r="AQ6" i="4"/>
  <c r="GO9" i="4"/>
  <c r="AV16" i="4"/>
  <c r="ID16" i="4" s="1"/>
  <c r="FQ8" i="4"/>
  <c r="AU16" i="4"/>
  <c r="BX41" i="1"/>
  <c r="AU13" i="4"/>
  <c r="E8" i="4"/>
  <c r="BT16" i="4"/>
  <c r="IL16" i="4" s="1"/>
  <c r="IL21" i="4" s="1"/>
  <c r="BF97" i="1" s="1"/>
  <c r="BO6" i="4"/>
  <c r="X13" i="4"/>
  <c r="DC11" i="4"/>
  <c r="EN14" i="4"/>
  <c r="CG183" i="1"/>
  <c r="CH183" i="1" s="1"/>
  <c r="AT8" i="4"/>
  <c r="BP8" i="4"/>
  <c r="DX7" i="4"/>
  <c r="X5" i="4"/>
  <c r="AI183" i="1"/>
  <c r="AJ183" i="1" s="1"/>
  <c r="ED15" i="4"/>
  <c r="AS7" i="4"/>
  <c r="BJ15" i="4"/>
  <c r="DT14" i="4"/>
  <c r="CQ9" i="4"/>
  <c r="DS6" i="4"/>
  <c r="CI15" i="4"/>
  <c r="DG8" i="4"/>
  <c r="ER15" i="4"/>
  <c r="AL29" i="1"/>
  <c r="CC41" i="1"/>
  <c r="BX44" i="1"/>
  <c r="AR12" i="4"/>
  <c r="AM41" i="1"/>
  <c r="EK12" i="4"/>
  <c r="G6" i="4"/>
  <c r="ET5" i="4"/>
  <c r="DR6" i="4"/>
  <c r="FC12" i="4"/>
  <c r="AJ9" i="4"/>
  <c r="HZ9" i="4" s="1"/>
  <c r="HZ21" i="4" s="1"/>
  <c r="AT97" i="1" s="1"/>
  <c r="DZ8" i="4"/>
  <c r="JF8" i="4" s="1"/>
  <c r="CI137" i="1"/>
  <c r="CJ137" i="1" s="1"/>
  <c r="FL6" i="4"/>
  <c r="CO16" i="4"/>
  <c r="IS16" i="4" s="1"/>
  <c r="DX14" i="4"/>
  <c r="BY71" i="1"/>
  <c r="EE12" i="4"/>
  <c r="AK56" i="1"/>
  <c r="BQ5" i="4"/>
  <c r="DO6" i="4"/>
  <c r="EK5" i="4"/>
  <c r="DB13" i="4"/>
  <c r="ED14" i="4"/>
  <c r="CF55" i="1"/>
  <c r="HC16" i="4"/>
  <c r="AO9" i="4"/>
  <c r="DP14" i="4"/>
  <c r="AK14" i="4"/>
  <c r="AT7" i="4"/>
  <c r="BX5" i="4"/>
  <c r="BU9" i="4"/>
  <c r="FE16" i="4"/>
  <c r="CE15" i="4"/>
  <c r="CP9" i="4"/>
  <c r="DV5" i="4"/>
  <c r="DE15" i="4"/>
  <c r="DZ6" i="4"/>
  <c r="DD5" i="4"/>
  <c r="DU11" i="4"/>
  <c r="F14" i="4"/>
  <c r="AV8" i="4"/>
  <c r="EF8" i="4"/>
  <c r="I16" i="4"/>
  <c r="HQ16" i="4" s="1"/>
  <c r="DA5" i="4"/>
  <c r="CC35" i="1"/>
  <c r="EC7" i="4"/>
  <c r="AX13" i="4"/>
  <c r="BJ12" i="4"/>
  <c r="L15" i="4"/>
  <c r="AT15" i="4"/>
  <c r="ID15" i="4" s="1"/>
  <c r="GM13" i="4"/>
  <c r="AH12" i="4"/>
  <c r="BA15" i="4"/>
  <c r="E16" i="4"/>
  <c r="EX16" i="4"/>
  <c r="AJ34" i="1"/>
  <c r="CN13" i="4"/>
  <c r="EY7" i="4"/>
  <c r="EO15" i="4"/>
  <c r="GS6" i="4"/>
  <c r="Z7" i="4"/>
  <c r="EG13" i="4"/>
  <c r="BP12" i="4"/>
  <c r="BJ34" i="1"/>
  <c r="AS12" i="4"/>
  <c r="CI147" i="1"/>
  <c r="CJ147" i="1" s="1"/>
  <c r="BV14" i="4"/>
  <c r="CJ7" i="4"/>
  <c r="CC9" i="4"/>
  <c r="IO9" i="4" s="1"/>
  <c r="FK12" i="4"/>
  <c r="CM11" i="4"/>
  <c r="BN12" i="4"/>
  <c r="AI5" i="6"/>
  <c r="BH13" i="4"/>
  <c r="CC94" i="1"/>
  <c r="AE6" i="4"/>
  <c r="AN6" i="4"/>
  <c r="BN15" i="4"/>
  <c r="GQ6" i="4"/>
  <c r="AH6" i="4"/>
  <c r="EO8" i="4"/>
  <c r="E14" i="4"/>
  <c r="BF9" i="4"/>
  <c r="AK41" i="1"/>
  <c r="CJ11" i="4"/>
  <c r="CW5" i="4"/>
  <c r="EK13" i="4"/>
  <c r="CI65" i="1"/>
  <c r="BY11" i="4"/>
  <c r="AH14" i="4"/>
  <c r="AE9" i="4"/>
  <c r="V7" i="4"/>
  <c r="CN16" i="4"/>
  <c r="Z5" i="4"/>
  <c r="DA7" i="4"/>
  <c r="AJ44" i="1"/>
  <c r="FJ15" i="4"/>
  <c r="DN5" i="4"/>
  <c r="BC13" i="4"/>
  <c r="EU8" i="4"/>
  <c r="BJ43" i="1"/>
  <c r="BJ22" i="1" s="1"/>
  <c r="EV15" i="4"/>
  <c r="EO11" i="4"/>
  <c r="G14" i="4"/>
  <c r="EJ16" i="4"/>
  <c r="CT12" i="4"/>
  <c r="AS13" i="4"/>
  <c r="AK65" i="1"/>
  <c r="EZ13" i="4"/>
  <c r="BA8" i="4"/>
  <c r="DE11" i="4"/>
  <c r="DU7" i="4"/>
  <c r="AA11" i="4"/>
  <c r="BG15" i="4"/>
  <c r="BV5" i="4"/>
  <c r="AM52" i="1"/>
  <c r="AM273" i="1" s="1"/>
  <c r="BQ9" i="4"/>
  <c r="IK9" i="4" s="1"/>
  <c r="CC29" i="1"/>
  <c r="CK11" i="4"/>
  <c r="BM7" i="4"/>
  <c r="CT7" i="4"/>
  <c r="BK5" i="4"/>
  <c r="EV14" i="4"/>
  <c r="EA8" i="4"/>
  <c r="EY5" i="4"/>
  <c r="Q14" i="4"/>
  <c r="DF9" i="4"/>
  <c r="BQ16" i="4"/>
  <c r="IK16" i="4" s="1"/>
  <c r="CH29" i="1"/>
  <c r="AR5" i="6"/>
  <c r="BU11" i="4"/>
  <c r="EN9" i="4"/>
  <c r="JJ9" i="4" s="1"/>
  <c r="CI67" i="1"/>
  <c r="CQ5" i="4"/>
  <c r="CI145" i="1"/>
  <c r="CJ145" i="1" s="1"/>
  <c r="CF41" i="1"/>
  <c r="CG16" i="4"/>
  <c r="AR15" i="4"/>
  <c r="BX9" i="4"/>
  <c r="DQ8" i="4"/>
  <c r="DI9" i="4"/>
  <c r="AJ28" i="1"/>
  <c r="AJ251" i="1" s="1"/>
  <c r="GZ13" i="4"/>
  <c r="DW6" i="4"/>
  <c r="ES11" i="4"/>
  <c r="EH15" i="4"/>
  <c r="HB14" i="4"/>
  <c r="DV15" i="4"/>
  <c r="EG15" i="4"/>
  <c r="BY138" i="1"/>
  <c r="BZ138" i="1" s="1"/>
  <c r="AB13" i="4"/>
  <c r="DM9" i="4"/>
  <c r="JA9" i="4" s="1"/>
  <c r="AV9" i="4"/>
  <c r="ID9" i="4" s="1"/>
  <c r="DC12" i="4"/>
  <c r="BV8" i="4"/>
  <c r="CA13" i="4"/>
  <c r="GL14" i="4"/>
  <c r="CN9" i="4"/>
  <c r="CD16" i="4"/>
  <c r="CN7" i="4"/>
  <c r="FN9" i="4"/>
  <c r="AT14" i="4"/>
  <c r="BY65" i="1"/>
  <c r="BT7" i="4"/>
  <c r="AA16" i="4"/>
  <c r="HW16" i="4" s="1"/>
  <c r="AL56" i="1"/>
  <c r="E6" i="4"/>
  <c r="FG5" i="4"/>
  <c r="CR6" i="4"/>
  <c r="DC14" i="4"/>
  <c r="CE29" i="1"/>
  <c r="BU15" i="4"/>
  <c r="FC7" i="4"/>
  <c r="EN6" i="4"/>
  <c r="BG14" i="4"/>
  <c r="EX14" i="4"/>
  <c r="CW16" i="4"/>
  <c r="AO6" i="6"/>
  <c r="AO7" i="6" s="1"/>
  <c r="DP15" i="4"/>
  <c r="HB8" i="4"/>
  <c r="AX6" i="4"/>
  <c r="BZ43" i="1"/>
  <c r="BZ22" i="1" s="1"/>
  <c r="AC15" i="4"/>
  <c r="AU5" i="4"/>
  <c r="CD35" i="1"/>
  <c r="AL35" i="1"/>
  <c r="CA44" i="1"/>
  <c r="GO8" i="4"/>
  <c r="BB16" i="4"/>
  <c r="IF16" i="4" s="1"/>
  <c r="C8" i="4"/>
  <c r="CS16" i="4"/>
  <c r="DM13" i="4"/>
  <c r="CJ71" i="1"/>
  <c r="BX12" i="4"/>
  <c r="FR12" i="4"/>
  <c r="HF6" i="4"/>
  <c r="BR8" i="4"/>
  <c r="CK6" i="4"/>
  <c r="CI6" i="4"/>
  <c r="FC5" i="4"/>
  <c r="HC15" i="4"/>
  <c r="DL14" i="4"/>
  <c r="EC14" i="4"/>
  <c r="AC16" i="4"/>
  <c r="DN9" i="4"/>
  <c r="CQ16" i="4"/>
  <c r="D6" i="4"/>
  <c r="AJ55" i="1"/>
  <c r="DU12" i="4"/>
  <c r="GJ15" i="4"/>
  <c r="GM8" i="4"/>
  <c r="GF14" i="4"/>
  <c r="GX14" i="4"/>
  <c r="FJ7" i="4"/>
  <c r="FU9" i="4"/>
  <c r="JU9" i="4" s="1"/>
  <c r="ED8" i="4"/>
  <c r="EX6" i="4"/>
  <c r="DH5" i="4"/>
  <c r="BN16" i="4"/>
  <c r="IJ16" i="4" s="1"/>
  <c r="BF8" i="4"/>
  <c r="BY66" i="1"/>
  <c r="BG5" i="4"/>
  <c r="BS9" i="4"/>
  <c r="O7" i="4"/>
  <c r="P15" i="4"/>
  <c r="EI12" i="4"/>
  <c r="Z16" i="4"/>
  <c r="FI6" i="4"/>
  <c r="CB8" i="4"/>
  <c r="X12" i="4"/>
  <c r="AM44" i="1"/>
  <c r="AB7" i="4"/>
  <c r="AL8" i="4"/>
  <c r="BL16" i="4"/>
  <c r="V15" i="4"/>
  <c r="BJ7" i="4"/>
  <c r="J8" i="4"/>
  <c r="C9" i="4"/>
  <c r="BV15" i="4"/>
  <c r="CV14" i="4"/>
  <c r="FB6" i="4"/>
  <c r="DJ8" i="4"/>
  <c r="AL65" i="1"/>
  <c r="BB14" i="4"/>
  <c r="AL6" i="4"/>
  <c r="DA15" i="4"/>
  <c r="BD12" i="4"/>
  <c r="BZ44" i="1"/>
  <c r="AX9" i="4"/>
  <c r="BP13" i="4"/>
  <c r="AQ5" i="6"/>
  <c r="DI8" i="4"/>
  <c r="M9" i="4"/>
  <c r="EZ7" i="4"/>
  <c r="AX6" i="6"/>
  <c r="AX7" i="6" s="1"/>
  <c r="S11" i="4"/>
  <c r="EL12" i="4"/>
  <c r="R11" i="4"/>
  <c r="AM8" i="4"/>
  <c r="AL41" i="1"/>
  <c r="DU6" i="4"/>
  <c r="FE7" i="4"/>
  <c r="AC13" i="4"/>
  <c r="DF11" i="4"/>
  <c r="CC15" i="4"/>
  <c r="AH11" i="4"/>
  <c r="FB14" i="4"/>
  <c r="CC12" i="4"/>
  <c r="AT9" i="4"/>
  <c r="M16" i="4"/>
  <c r="DD13" i="4"/>
  <c r="AK42" i="1"/>
  <c r="AM5" i="4"/>
  <c r="CB7" i="4"/>
  <c r="CF12" i="4"/>
  <c r="O11" i="4"/>
  <c r="GV16" i="4"/>
  <c r="KD16" i="4" s="1"/>
  <c r="DJ6" i="4"/>
  <c r="C12" i="4"/>
  <c r="BW6" i="4"/>
  <c r="EO5" i="4"/>
  <c r="BZ33" i="1"/>
  <c r="AJ5" i="4"/>
  <c r="EP14" i="4"/>
  <c r="BL44" i="1"/>
  <c r="BL66" i="1"/>
  <c r="BC15" i="4"/>
  <c r="AK35" i="1"/>
  <c r="AA9" i="4"/>
  <c r="HW9" i="4" s="1"/>
  <c r="CH43" i="1"/>
  <c r="CH22" i="1" s="1"/>
  <c r="CJ6" i="4"/>
  <c r="AK33" i="1"/>
  <c r="CU9" i="4"/>
  <c r="IU9" i="4" s="1"/>
  <c r="BL59" i="1"/>
  <c r="DZ12" i="4"/>
  <c r="CH13" i="4"/>
  <c r="T16" i="4"/>
  <c r="CT8" i="4"/>
  <c r="DC9" i="4"/>
  <c r="DJ14" i="4"/>
  <c r="GI13" i="4"/>
  <c r="CG6" i="4"/>
  <c r="CA33" i="1"/>
  <c r="BE9" i="4"/>
  <c r="IG9" i="4" s="1"/>
  <c r="AJ12" i="4"/>
  <c r="M6" i="4"/>
  <c r="CE43" i="1"/>
  <c r="CE22" i="1" s="1"/>
  <c r="BO12" i="4"/>
  <c r="HG16" i="4"/>
  <c r="FF5" i="4"/>
  <c r="CD8" i="4"/>
  <c r="DN13" i="4"/>
  <c r="AQ9" i="4"/>
  <c r="DL15" i="4"/>
  <c r="BJ16" i="4"/>
  <c r="CJ33" i="1"/>
  <c r="EV9" i="4"/>
  <c r="DN7" i="4"/>
  <c r="AK66" i="1"/>
  <c r="DK11" i="4"/>
  <c r="DQ7" i="4"/>
  <c r="R7" i="4"/>
  <c r="R5" i="6"/>
  <c r="HC14" i="4"/>
  <c r="CF42" i="1"/>
  <c r="CF20" i="1" s="1"/>
  <c r="FR13" i="4"/>
  <c r="AO7" i="4"/>
  <c r="BZ9" i="4"/>
  <c r="IN9" i="4" s="1"/>
  <c r="FJ16" i="4"/>
  <c r="FE12" i="4"/>
  <c r="EB6" i="4"/>
  <c r="EN13" i="4"/>
  <c r="FD13" i="4"/>
  <c r="BY94" i="1"/>
  <c r="EB16" i="4"/>
  <c r="JF16" i="4" s="1"/>
  <c r="CH44" i="1"/>
  <c r="BC6" i="4"/>
  <c r="CT5" i="4"/>
  <c r="CR5" i="4"/>
  <c r="BH8" i="4"/>
  <c r="BK6" i="4"/>
  <c r="GZ5" i="4"/>
  <c r="CW6" i="4"/>
  <c r="CC16" i="4"/>
  <c r="IO16" i="4" s="1"/>
  <c r="GS13" i="4"/>
  <c r="BY157" i="1"/>
  <c r="BZ157" i="1" s="1"/>
  <c r="BQ12" i="4"/>
  <c r="L16" i="4"/>
  <c r="HR16" i="4" s="1"/>
  <c r="DE9" i="4"/>
  <c r="EI5" i="4"/>
  <c r="HG14" i="4"/>
  <c r="T14" i="4"/>
  <c r="CB40" i="1"/>
  <c r="EL11" i="4"/>
  <c r="O5" i="4"/>
  <c r="BZ42" i="1"/>
  <c r="BZ20" i="1" s="1"/>
  <c r="CV9" i="4"/>
  <c r="AL44" i="1"/>
  <c r="BF13" i="4"/>
  <c r="CG8" i="4"/>
  <c r="CG43" i="1"/>
  <c r="CG22" i="1" s="1"/>
  <c r="CO7" i="4"/>
  <c r="EM11" i="4"/>
  <c r="EM5" i="4"/>
  <c r="EM6" i="4"/>
  <c r="ET7" i="4"/>
  <c r="DG5" i="4"/>
  <c r="CP12" i="4"/>
  <c r="FC6" i="4"/>
  <c r="BE12" i="4"/>
  <c r="AL43" i="1"/>
  <c r="BY41" i="1"/>
  <c r="EV6" i="4"/>
  <c r="FC11" i="4"/>
  <c r="M13" i="4"/>
  <c r="O15" i="4"/>
  <c r="DU8" i="4"/>
  <c r="FE15" i="4"/>
  <c r="AI94" i="1"/>
  <c r="AK34" i="1"/>
  <c r="J13" i="4"/>
  <c r="I12" i="4"/>
  <c r="GD12" i="4"/>
  <c r="CF8" i="4"/>
  <c r="CE56" i="1"/>
  <c r="BY43" i="1"/>
  <c r="BY22" i="1" s="1"/>
  <c r="AX14" i="4"/>
  <c r="EL7" i="4"/>
  <c r="Y16" i="4"/>
  <c r="FD15" i="4"/>
  <c r="BZ35" i="1"/>
  <c r="AS14" i="4"/>
  <c r="AL42" i="1"/>
  <c r="BZ15" i="4"/>
  <c r="AJ40" i="1"/>
  <c r="N11" i="4"/>
  <c r="EE8" i="4"/>
  <c r="AG5" i="6"/>
  <c r="Z15" i="4"/>
  <c r="CZ7" i="4"/>
  <c r="I13" i="4"/>
  <c r="DT16" i="4"/>
  <c r="CY7" i="4"/>
  <c r="CH33" i="1"/>
  <c r="BJ9" i="4"/>
  <c r="EV16" i="4"/>
  <c r="CF71" i="1"/>
  <c r="M5" i="4"/>
  <c r="BE8" i="4"/>
  <c r="CG67" i="1"/>
  <c r="AE5" i="6"/>
  <c r="HD16" i="4"/>
  <c r="DA9" i="4"/>
  <c r="IW9" i="4" s="1"/>
  <c r="IW21" i="4" s="1"/>
  <c r="BQ97" i="1" s="1"/>
  <c r="GK5" i="4"/>
  <c r="HA13" i="4"/>
  <c r="EE16" i="4"/>
  <c r="JG16" i="4" s="1"/>
  <c r="CK166" i="1"/>
  <c r="EU14" i="4"/>
  <c r="GA15" i="4"/>
  <c r="CO8" i="4"/>
  <c r="CV12" i="4"/>
  <c r="DQ15" i="4"/>
  <c r="FP11" i="4"/>
  <c r="AB9" i="4"/>
  <c r="EZ6" i="4"/>
  <c r="FS13" i="4"/>
  <c r="CO14" i="4"/>
  <c r="CU15" i="4"/>
  <c r="CL5" i="4"/>
  <c r="S9" i="4"/>
  <c r="CK9" i="4"/>
  <c r="CA9" i="4"/>
  <c r="EV12" i="4"/>
  <c r="CL15" i="4"/>
  <c r="CD59" i="1"/>
  <c r="AJ15" i="4"/>
  <c r="H14" i="4"/>
  <c r="DA8" i="4"/>
  <c r="DT6" i="4"/>
  <c r="DV14" i="4"/>
  <c r="DS12" i="4"/>
  <c r="DX11" i="4"/>
  <c r="X5" i="6"/>
  <c r="BX8" i="4"/>
  <c r="CH42" i="1"/>
  <c r="CH20" i="1" s="1"/>
  <c r="AH5" i="6"/>
  <c r="GY9" i="4"/>
  <c r="KE9" i="4" s="1"/>
  <c r="S6" i="6"/>
  <c r="S7" i="6" s="1"/>
  <c r="HH11" i="4"/>
  <c r="DY8" i="4"/>
  <c r="DB11" i="4"/>
  <c r="GS11" i="4"/>
  <c r="GX12" i="4"/>
  <c r="FA5" i="4"/>
  <c r="AE13" i="4"/>
  <c r="N5" i="4"/>
  <c r="GT7" i="4"/>
  <c r="I11" i="4"/>
  <c r="C5" i="6"/>
  <c r="EU11" i="4"/>
  <c r="S8" i="4"/>
  <c r="BP11" i="4"/>
  <c r="D7" i="4"/>
  <c r="CB5" i="4"/>
  <c r="FB16" i="4"/>
  <c r="CY11" i="4"/>
  <c r="BC12" i="4"/>
  <c r="J12" i="4"/>
  <c r="DG9" i="4"/>
  <c r="IY9" i="4" s="1"/>
  <c r="CJ15" i="4"/>
  <c r="BZ12" i="4"/>
  <c r="BH14" i="4"/>
  <c r="GT8" i="4"/>
  <c r="DZ5" i="4"/>
  <c r="BN6" i="4"/>
  <c r="FK8" i="4"/>
  <c r="CG28" i="1"/>
  <c r="CG200" i="1" s="1"/>
  <c r="CH200" i="1" s="1"/>
  <c r="BT6" i="4"/>
  <c r="GU8" i="4"/>
  <c r="T7" i="4"/>
  <c r="DH15" i="4"/>
  <c r="CT13" i="4"/>
  <c r="BI14" i="4"/>
  <c r="BA9" i="4"/>
  <c r="F16" i="4"/>
  <c r="HP16" i="4" s="1"/>
  <c r="BY8" i="4"/>
  <c r="AW7" i="4"/>
  <c r="IE7" i="4" s="1"/>
  <c r="N7" i="4"/>
  <c r="DW16" i="4"/>
  <c r="EO14" i="4"/>
  <c r="CZ14" i="4"/>
  <c r="BG9" i="4"/>
  <c r="CW11" i="4"/>
  <c r="GQ14" i="4"/>
  <c r="FB8" i="4"/>
  <c r="EG9" i="4"/>
  <c r="EL16" i="4"/>
  <c r="AI139" i="1"/>
  <c r="CG55" i="1"/>
  <c r="EK9" i="4"/>
  <c r="JI9" i="4" s="1"/>
  <c r="R5" i="4"/>
  <c r="BE13" i="4"/>
  <c r="AD12" i="4"/>
  <c r="EL5" i="4"/>
  <c r="O13" i="4"/>
  <c r="GV9" i="4"/>
  <c r="KD9" i="4" s="1"/>
  <c r="V11" i="4"/>
  <c r="EQ15" i="4"/>
  <c r="M8" i="4"/>
  <c r="AS6" i="6"/>
  <c r="AS7" i="6" s="1"/>
  <c r="BN13" i="4"/>
  <c r="DO5" i="4"/>
  <c r="BF15" i="4"/>
  <c r="EC5" i="4"/>
  <c r="DF8" i="4"/>
  <c r="BZ41" i="1"/>
  <c r="BL15" i="4"/>
  <c r="CV11" i="4"/>
  <c r="DI6" i="4"/>
  <c r="BY44" i="1"/>
  <c r="Q12" i="4"/>
  <c r="DK16" i="4"/>
  <c r="CR14" i="4"/>
  <c r="CI184" i="1"/>
  <c r="CJ184" i="1" s="1"/>
  <c r="FC16" i="4"/>
  <c r="JO16" i="4" s="1"/>
  <c r="FF8" i="4"/>
  <c r="DR16" i="4"/>
  <c r="FD9" i="4"/>
  <c r="BD9" i="4"/>
  <c r="P9" i="4"/>
  <c r="CM7" i="4"/>
  <c r="AD11" i="4"/>
  <c r="GI16" i="4"/>
  <c r="G5" i="4"/>
  <c r="CH15" i="4"/>
  <c r="BU6" i="4"/>
  <c r="T12" i="4"/>
  <c r="GT5" i="4"/>
  <c r="G5" i="6"/>
  <c r="DI14" i="4"/>
  <c r="S5" i="4"/>
  <c r="AL34" i="1"/>
  <c r="EU6" i="4"/>
  <c r="CH67" i="1"/>
  <c r="FP16" i="4"/>
  <c r="EG7" i="4"/>
  <c r="DF16" i="4"/>
  <c r="GH7" i="4"/>
  <c r="DP13" i="4"/>
  <c r="CT6" i="4"/>
  <c r="CI66" i="1"/>
  <c r="AT13" i="4"/>
  <c r="EM12" i="4"/>
  <c r="CG7" i="4"/>
  <c r="CH5" i="4"/>
  <c r="H15" i="4"/>
  <c r="CQ7" i="4"/>
  <c r="CI173" i="1"/>
  <c r="GW14" i="4"/>
  <c r="DL8" i="4"/>
  <c r="CD71" i="1"/>
  <c r="BP9" i="4"/>
  <c r="AA8" i="4"/>
  <c r="CI154" i="1"/>
  <c r="CJ154" i="1" s="1"/>
  <c r="CE6" i="4"/>
  <c r="DP11" i="4"/>
  <c r="CK14" i="4"/>
  <c r="CY14" i="4"/>
  <c r="CF34" i="1"/>
  <c r="FF9" i="4"/>
  <c r="JP9" i="4" s="1"/>
  <c r="BK12" i="4"/>
  <c r="FB7" i="4"/>
  <c r="AY15" i="4"/>
  <c r="BY33" i="1"/>
  <c r="AK43" i="1"/>
  <c r="H6" i="4"/>
  <c r="EQ6" i="4"/>
  <c r="GC15" i="4"/>
  <c r="Q13" i="4"/>
  <c r="FL9" i="4"/>
  <c r="JR9" i="4" s="1"/>
  <c r="CK157" i="1"/>
  <c r="AA157" i="1" s="1"/>
  <c r="FR16" i="4"/>
  <c r="JT16" i="4" s="1"/>
  <c r="AI180" i="1"/>
  <c r="AI181" i="1" s="1"/>
  <c r="AJ229" i="1" s="1"/>
  <c r="U16" i="4"/>
  <c r="HU16" i="4" s="1"/>
  <c r="BY34" i="1"/>
  <c r="AY6" i="4"/>
  <c r="U13" i="4"/>
  <c r="CV6" i="4"/>
  <c r="DR13" i="4"/>
  <c r="EN16" i="4"/>
  <c r="JJ16" i="4" s="1"/>
  <c r="JJ21" i="4" s="1"/>
  <c r="CD97" i="1" s="1"/>
  <c r="F11" i="4"/>
  <c r="EI9" i="4"/>
  <c r="CI8" i="4"/>
  <c r="BX67" i="1"/>
  <c r="ED9" i="4"/>
  <c r="AK71" i="1"/>
  <c r="BS13" i="4"/>
  <c r="CH7" i="4"/>
  <c r="AB6" i="4"/>
  <c r="DG12" i="4"/>
  <c r="L5" i="4"/>
  <c r="O8" i="4"/>
  <c r="HS8" i="4" s="1"/>
  <c r="AH16" i="4"/>
  <c r="DG13" i="4"/>
  <c r="CX16" i="4"/>
  <c r="IV16" i="4" s="1"/>
  <c r="CF40" i="1"/>
  <c r="V14" i="4"/>
  <c r="EM16" i="4"/>
  <c r="BL52" i="1"/>
  <c r="CF5" i="4"/>
  <c r="BO15" i="4"/>
  <c r="IK15" i="4" s="1"/>
  <c r="EG8" i="4"/>
  <c r="EO7" i="4"/>
  <c r="BY14" i="4"/>
  <c r="DL11" i="4"/>
  <c r="FS8" i="4"/>
  <c r="AN11" i="4"/>
  <c r="EI8" i="4"/>
  <c r="JI8" i="4" s="1"/>
  <c r="BH5" i="4"/>
  <c r="CH55" i="1"/>
  <c r="DP6" i="4"/>
  <c r="CC13" i="4"/>
  <c r="CB41" i="1"/>
  <c r="GE6" i="4"/>
  <c r="AM12" i="4"/>
  <c r="CP8" i="4"/>
  <c r="L6" i="6"/>
  <c r="L7" i="6" s="1"/>
  <c r="N8" i="4"/>
  <c r="Z14" i="4"/>
  <c r="DC13" i="4"/>
  <c r="CT11" i="4"/>
  <c r="BB6" i="4"/>
  <c r="CN14" i="4"/>
  <c r="EA7" i="4"/>
  <c r="JF7" i="4" s="1"/>
  <c r="EL6" i="4"/>
  <c r="GK11" i="4"/>
  <c r="U14" i="4"/>
  <c r="BL56" i="1"/>
  <c r="CE33" i="1"/>
  <c r="CH12" i="4"/>
  <c r="D6" i="6"/>
  <c r="D7" i="6" s="1"/>
  <c r="AT6" i="6"/>
  <c r="AT7" i="6" s="1"/>
  <c r="DS11" i="4"/>
  <c r="AO14" i="4"/>
  <c r="FR7" i="4"/>
  <c r="HA12" i="4"/>
  <c r="BY28" i="1"/>
  <c r="AH9" i="4"/>
  <c r="CY13" i="4"/>
  <c r="AA5" i="4"/>
  <c r="CP11" i="4"/>
  <c r="BZ65" i="1"/>
  <c r="Z6" i="4"/>
  <c r="Q5" i="4"/>
  <c r="HD6" i="4"/>
  <c r="DO15" i="4"/>
  <c r="AZ13" i="4"/>
  <c r="BS15" i="4"/>
  <c r="GR7" i="4"/>
  <c r="KC7" i="4" s="1"/>
  <c r="CB56" i="1"/>
  <c r="CB272" i="1" s="1"/>
  <c r="I14" i="4"/>
  <c r="FX8" i="4"/>
  <c r="F7" i="4"/>
  <c r="AP13" i="4"/>
  <c r="CD44" i="1"/>
  <c r="M6" i="6"/>
  <c r="M7" i="6" s="1"/>
  <c r="CC8" i="4"/>
  <c r="CH34" i="1"/>
  <c r="BM14" i="4"/>
  <c r="IJ14" i="4" s="1"/>
  <c r="FA11" i="4"/>
  <c r="FK14" i="4"/>
  <c r="AJ65" i="1"/>
  <c r="AO13" i="4"/>
  <c r="CD12" i="4"/>
  <c r="AZ7" i="4"/>
  <c r="I5" i="6"/>
  <c r="E11" i="4"/>
  <c r="AJ43" i="1"/>
  <c r="EV5" i="4"/>
  <c r="AM13" i="4"/>
  <c r="P8" i="4"/>
  <c r="EX12" i="4"/>
  <c r="AN7" i="4"/>
  <c r="CI5" i="4"/>
  <c r="AB14" i="4"/>
  <c r="AB12" i="4"/>
  <c r="EN15" i="4"/>
  <c r="CW7" i="4"/>
  <c r="FU15" i="4"/>
  <c r="DY14" i="4"/>
  <c r="EC16" i="4"/>
  <c r="CM15" i="4"/>
  <c r="BC8" i="4"/>
  <c r="DE6" i="4"/>
  <c r="HA11" i="4"/>
  <c r="CG59" i="1"/>
  <c r="AC8" i="4"/>
  <c r="H16" i="4"/>
  <c r="AW14" i="4"/>
  <c r="U9" i="4"/>
  <c r="HU9" i="4" s="1"/>
  <c r="AQ11" i="4"/>
  <c r="AR9" i="4"/>
  <c r="DS14" i="4"/>
  <c r="FR14" i="4"/>
  <c r="CJ42" i="1"/>
  <c r="CJ20" i="1" s="1"/>
  <c r="AE8" i="4"/>
  <c r="HY8" i="4" s="1"/>
  <c r="CB9" i="4"/>
  <c r="J5" i="6"/>
  <c r="AL16" i="4"/>
  <c r="BT14" i="4"/>
  <c r="FA16" i="4"/>
  <c r="CG41" i="1"/>
  <c r="C11" i="4"/>
  <c r="EI15" i="4"/>
  <c r="JI15" i="4" s="1"/>
  <c r="CA7" i="4"/>
  <c r="CF67" i="1"/>
  <c r="CO13" i="4"/>
  <c r="EQ11" i="4"/>
  <c r="CG9" i="4"/>
  <c r="CA66" i="1"/>
  <c r="AH5" i="4"/>
  <c r="EG12" i="4"/>
  <c r="CI35" i="1"/>
  <c r="I8" i="4"/>
  <c r="DV11" i="4"/>
  <c r="BV12" i="4"/>
  <c r="T5" i="6"/>
  <c r="AS9" i="4"/>
  <c r="IC9" i="4" s="1"/>
  <c r="CH65" i="1"/>
  <c r="AL6" i="6"/>
  <c r="AL7" i="6" s="1"/>
  <c r="CE55" i="1"/>
  <c r="R12" i="4"/>
  <c r="BD8" i="4"/>
  <c r="BL12" i="4"/>
  <c r="CJ84" i="1"/>
  <c r="CI84" i="1" s="1"/>
  <c r="CH84" i="1" s="1"/>
  <c r="CG84" i="1" s="1"/>
  <c r="CF84" i="1" s="1"/>
  <c r="CE84" i="1" s="1"/>
  <c r="CD84" i="1" s="1"/>
  <c r="CC84" i="1" s="1"/>
  <c r="CB84" i="1" s="1"/>
  <c r="CA84" i="1" s="1"/>
  <c r="BZ84" i="1" s="1"/>
  <c r="BY84" i="1" s="1"/>
  <c r="BX84" i="1" s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BK84" i="1" s="1"/>
  <c r="BJ84" i="1" s="1"/>
  <c r="BI84" i="1" s="1"/>
  <c r="BH84" i="1" s="1"/>
  <c r="BG84" i="1" s="1"/>
  <c r="BF84" i="1" s="1"/>
  <c r="BE84" i="1" s="1"/>
  <c r="BD84" i="1" s="1"/>
  <c r="BC84" i="1" s="1"/>
  <c r="BB84" i="1" s="1"/>
  <c r="BA84" i="1" s="1"/>
  <c r="AZ84" i="1" s="1"/>
  <c r="AY84" i="1" s="1"/>
  <c r="AX84" i="1" s="1"/>
  <c r="AW84" i="1" s="1"/>
  <c r="AV84" i="1" s="1"/>
  <c r="AU84" i="1" s="1"/>
  <c r="AT84" i="1" s="1"/>
  <c r="AS84" i="1" s="1"/>
  <c r="AR84" i="1" s="1"/>
  <c r="AQ84" i="1" s="1"/>
  <c r="AP84" i="1" s="1"/>
  <c r="AO84" i="1" s="1"/>
  <c r="AN84" i="1" s="1"/>
  <c r="AM84" i="1" s="1"/>
  <c r="AL84" i="1" s="1"/>
  <c r="AK84" i="1" s="1"/>
  <c r="AJ84" i="1" s="1"/>
  <c r="AI84" i="1" s="1"/>
  <c r="GD8" i="4"/>
  <c r="BF14" i="4"/>
  <c r="N12" i="4"/>
  <c r="CB52" i="1"/>
  <c r="BJ40" i="1"/>
  <c r="F9" i="4"/>
  <c r="HP9" i="4" s="1"/>
  <c r="HP21" i="4" s="1"/>
  <c r="AJ97" i="1" s="1"/>
  <c r="GT6" i="4"/>
  <c r="CC65" i="1"/>
  <c r="CF33" i="1"/>
  <c r="GR5" i="4"/>
  <c r="BY15" i="4"/>
  <c r="S15" i="4"/>
  <c r="HU15" i="4" s="1"/>
  <c r="DV6" i="4"/>
  <c r="CW9" i="4"/>
  <c r="CU11" i="4"/>
  <c r="C7" i="4"/>
  <c r="ET9" i="4"/>
  <c r="JL9" i="4" s="1"/>
  <c r="EA14" i="4"/>
  <c r="AY11" i="4"/>
  <c r="EP12" i="4"/>
  <c r="CD6" i="4"/>
  <c r="FH8" i="4"/>
  <c r="DF13" i="4"/>
  <c r="CO9" i="4"/>
  <c r="IS9" i="4" s="1"/>
  <c r="GR16" i="4"/>
  <c r="AL59" i="1"/>
  <c r="BE11" i="4"/>
  <c r="BO8" i="4"/>
  <c r="EC13" i="4"/>
  <c r="CU16" i="4"/>
  <c r="IU16" i="4" s="1"/>
  <c r="IU21" i="4" s="1"/>
  <c r="BO97" i="1" s="1"/>
  <c r="FW13" i="4"/>
  <c r="FN6" i="4"/>
  <c r="FN16" i="4"/>
  <c r="Q5" i="6"/>
  <c r="GQ5" i="4"/>
  <c r="FT8" i="4"/>
  <c r="F12" i="4"/>
  <c r="AI142" i="1"/>
  <c r="AJ142" i="1" s="1"/>
  <c r="FT9" i="4"/>
  <c r="CD29" i="1"/>
  <c r="FF11" i="4"/>
  <c r="GS16" i="4"/>
  <c r="KC16" i="4" s="1"/>
  <c r="FI8" i="4"/>
  <c r="GK13" i="4"/>
  <c r="GY14" i="4"/>
  <c r="EA5" i="4"/>
  <c r="DN15" i="4"/>
  <c r="EL15" i="4"/>
  <c r="E5" i="6"/>
  <c r="CJ67" i="1"/>
  <c r="GW9" i="4"/>
  <c r="CG33" i="1"/>
  <c r="CJ41" i="1"/>
  <c r="DJ15" i="4"/>
  <c r="HD11" i="4"/>
  <c r="FA9" i="4"/>
  <c r="AX5" i="6"/>
  <c r="EZ14" i="4"/>
  <c r="FL7" i="4"/>
  <c r="AK12" i="4"/>
  <c r="EL14" i="4"/>
  <c r="X6" i="6"/>
  <c r="X7" i="6" s="1"/>
  <c r="EP7" i="4"/>
  <c r="GZ12" i="4"/>
  <c r="GN16" i="4"/>
  <c r="CG52" i="1"/>
  <c r="DZ16" i="4"/>
  <c r="BW12" i="4"/>
  <c r="AI173" i="1"/>
  <c r="GN14" i="4"/>
  <c r="CK35" i="1"/>
  <c r="GN8" i="4"/>
  <c r="HD14" i="4"/>
  <c r="GR8" i="4"/>
  <c r="S13" i="4"/>
  <c r="AJ29" i="1"/>
  <c r="AL71" i="1"/>
  <c r="GV14" i="4"/>
  <c r="EP8" i="4"/>
  <c r="EN8" i="4"/>
  <c r="FB15" i="4"/>
  <c r="EY8" i="4"/>
  <c r="V9" i="4"/>
  <c r="BJ42" i="1"/>
  <c r="BJ20" i="1" s="1"/>
  <c r="BU14" i="4"/>
  <c r="AI171" i="1"/>
  <c r="AJ171" i="1" s="1"/>
  <c r="EW15" i="4"/>
  <c r="CI41" i="1"/>
  <c r="EZ8" i="4"/>
  <c r="K6" i="4"/>
  <c r="AS5" i="4"/>
  <c r="BI7" i="4"/>
  <c r="FN14" i="4"/>
  <c r="BL33" i="1"/>
  <c r="DT12" i="4"/>
  <c r="GW12" i="4"/>
  <c r="EH8" i="4"/>
  <c r="AD9" i="4"/>
  <c r="HX9" i="4" s="1"/>
  <c r="AK59" i="1"/>
  <c r="Z5" i="6"/>
  <c r="AF15" i="4"/>
  <c r="FP15" i="4"/>
  <c r="E12" i="4"/>
  <c r="R15" i="4"/>
  <c r="CI163" i="1"/>
  <c r="CJ163" i="1" s="1"/>
  <c r="CU6" i="4"/>
  <c r="ED11" i="4"/>
  <c r="DM16" i="4"/>
  <c r="JA16" i="4" s="1"/>
  <c r="JA21" i="4" s="1"/>
  <c r="BU97" i="1" s="1"/>
  <c r="AL12" i="4"/>
  <c r="BA5" i="4"/>
  <c r="FM12" i="4"/>
  <c r="AL9" i="4"/>
  <c r="DR11" i="4"/>
  <c r="R14" i="4"/>
  <c r="GM6" i="4"/>
  <c r="FZ6" i="4"/>
  <c r="GN5" i="4"/>
  <c r="EZ11" i="4"/>
  <c r="HA5" i="4"/>
  <c r="CJ40" i="1"/>
  <c r="FX9" i="4"/>
  <c r="JV9" i="4" s="1"/>
  <c r="CE28" i="1"/>
  <c r="CE251" i="1" s="1"/>
  <c r="BL41" i="1"/>
  <c r="EZ15" i="4"/>
  <c r="BY52" i="1"/>
  <c r="AF6" i="6"/>
  <c r="AF7" i="6" s="1"/>
  <c r="GV11" i="4"/>
  <c r="GX8" i="4"/>
  <c r="FG8" i="4"/>
  <c r="BZ66" i="1"/>
  <c r="CE71" i="1"/>
  <c r="CH71" i="1"/>
  <c r="FM6" i="4"/>
  <c r="CA52" i="1"/>
  <c r="EW7" i="4"/>
  <c r="CF29" i="1"/>
  <c r="CC28" i="1"/>
  <c r="CC251" i="1" s="1"/>
  <c r="EM14" i="4"/>
  <c r="GA14" i="4"/>
  <c r="L7" i="4"/>
  <c r="CH59" i="1"/>
  <c r="EN5" i="4"/>
  <c r="FP9" i="4"/>
  <c r="GG12" i="4"/>
  <c r="AK28" i="1"/>
  <c r="AK251" i="1" s="1"/>
  <c r="D13" i="4"/>
  <c r="HH16" i="4"/>
  <c r="KH16" i="4" s="1"/>
  <c r="KH21" i="4" s="1"/>
  <c r="BL9" i="4"/>
  <c r="HH15" i="4"/>
  <c r="GM14" i="4"/>
  <c r="GG6" i="4"/>
  <c r="CA34" i="1"/>
  <c r="EX8" i="4"/>
  <c r="BO7" i="4"/>
  <c r="IK7" i="4" s="1"/>
  <c r="CE34" i="1"/>
  <c r="AW6" i="6"/>
  <c r="AW7" i="6" s="1"/>
  <c r="ET16" i="4"/>
  <c r="JL16" i="4" s="1"/>
  <c r="BZ56" i="1"/>
  <c r="EX5" i="4"/>
  <c r="HE12" i="4"/>
  <c r="BJ33" i="1"/>
  <c r="CG93" i="1"/>
  <c r="AG6" i="6"/>
  <c r="AG7" i="6" s="1"/>
  <c r="CI56" i="1"/>
  <c r="CJ44" i="1"/>
  <c r="FI16" i="4"/>
  <c r="JQ16" i="4" s="1"/>
  <c r="GV5" i="4"/>
  <c r="GI7" i="4"/>
  <c r="HB15" i="4"/>
  <c r="HG11" i="4"/>
  <c r="CL55" i="1"/>
  <c r="AB55" i="1" s="1"/>
  <c r="CL84" i="1"/>
  <c r="CM84" i="1" s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EA9" i="4"/>
  <c r="CB55" i="1"/>
  <c r="CI94" i="1"/>
  <c r="G9" i="4"/>
  <c r="CI59" i="1"/>
  <c r="BQ6" i="4"/>
  <c r="DC15" i="4"/>
  <c r="DQ14" i="4"/>
  <c r="CP7" i="4"/>
  <c r="BV9" i="4"/>
  <c r="CI146" i="1"/>
  <c r="CJ146" i="1" s="1"/>
  <c r="FZ7" i="4"/>
  <c r="DL7" i="4"/>
  <c r="AN5" i="4"/>
  <c r="BY56" i="1"/>
  <c r="D14" i="4"/>
  <c r="BD15" i="4"/>
  <c r="FY12" i="4"/>
  <c r="AE16" i="4"/>
  <c r="FE5" i="4"/>
  <c r="CE8" i="4"/>
  <c r="Z8" i="4"/>
  <c r="DX16" i="4"/>
  <c r="FN8" i="4"/>
  <c r="BJ5" i="4"/>
  <c r="AQ15" i="4"/>
  <c r="EQ5" i="4"/>
  <c r="DK14" i="4"/>
  <c r="EF15" i="4"/>
  <c r="DR5" i="4"/>
  <c r="AQ12" i="4"/>
  <c r="CF43" i="1"/>
  <c r="CF22" i="1" s="1"/>
  <c r="AU11" i="4"/>
  <c r="CC34" i="1"/>
  <c r="EP16" i="4"/>
  <c r="DM6" i="4"/>
  <c r="FJ11" i="4"/>
  <c r="CE44" i="1"/>
  <c r="GA9" i="4"/>
  <c r="JW9" i="4" s="1"/>
  <c r="HH14" i="4"/>
  <c r="FD11" i="4"/>
  <c r="GS8" i="4"/>
  <c r="AL13" i="4"/>
  <c r="AF5" i="6"/>
  <c r="CA40" i="1"/>
  <c r="CA56" i="1"/>
  <c r="FI5" i="4"/>
  <c r="FD12" i="4"/>
  <c r="FF6" i="4"/>
  <c r="CH41" i="1"/>
  <c r="HE13" i="4"/>
  <c r="CL66" i="1"/>
  <c r="CM66" i="1" s="1"/>
  <c r="CN66" i="1" s="1"/>
  <c r="CO66" i="1" s="1"/>
  <c r="CP66" i="1" s="1"/>
  <c r="DO7" i="4"/>
  <c r="CB42" i="1"/>
  <c r="CB20" i="1" s="1"/>
  <c r="AU5" i="6"/>
  <c r="O6" i="4"/>
  <c r="CI55" i="1"/>
  <c r="GT13" i="4"/>
  <c r="FQ9" i="4"/>
  <c r="EI6" i="4"/>
  <c r="BZ59" i="1"/>
  <c r="X15" i="4"/>
  <c r="GD6" i="4"/>
  <c r="FA8" i="4"/>
  <c r="ET15" i="4"/>
  <c r="GU15" i="4"/>
  <c r="GJ13" i="4"/>
  <c r="FU5" i="4"/>
  <c r="C16" i="4"/>
  <c r="AL11" i="4"/>
  <c r="BZ40" i="1"/>
  <c r="AY5" i="6"/>
  <c r="DS8" i="4"/>
  <c r="EO9" i="4"/>
  <c r="FQ11" i="4"/>
  <c r="AP6" i="6"/>
  <c r="AP7" i="6" s="1"/>
  <c r="CG66" i="1"/>
  <c r="CE35" i="1"/>
  <c r="GU13" i="4"/>
  <c r="CD43" i="1"/>
  <c r="CD22" i="1" s="1"/>
  <c r="BL43" i="1"/>
  <c r="BL22" i="1" s="1"/>
  <c r="GG11" i="4"/>
  <c r="FO9" i="4"/>
  <c r="JS9" i="4" s="1"/>
  <c r="BZ71" i="1"/>
  <c r="GL6" i="4"/>
  <c r="BU16" i="4"/>
  <c r="CT15" i="4"/>
  <c r="K13" i="4"/>
  <c r="N6" i="6"/>
  <c r="N7" i="6" s="1"/>
  <c r="ER13" i="4"/>
  <c r="AJ6" i="6"/>
  <c r="AJ7" i="6" s="1"/>
  <c r="GA13" i="4"/>
  <c r="AN6" i="6"/>
  <c r="AN7" i="6" s="1"/>
  <c r="CK172" i="1"/>
  <c r="CF35" i="1"/>
  <c r="EP15" i="4"/>
  <c r="P5" i="6"/>
  <c r="FN5" i="4"/>
  <c r="GS5" i="4"/>
  <c r="GA5" i="4"/>
  <c r="CK44" i="1"/>
  <c r="EN7" i="4"/>
  <c r="EH16" i="4"/>
  <c r="JH16" i="4" s="1"/>
  <c r="EV7" i="4"/>
  <c r="AI138" i="1"/>
  <c r="AJ138" i="1" s="1"/>
  <c r="CD40" i="1"/>
  <c r="CB65" i="1"/>
  <c r="GU16" i="4"/>
  <c r="O12" i="4"/>
  <c r="GG15" i="4"/>
  <c r="EZ9" i="4"/>
  <c r="JN9" i="4" s="1"/>
  <c r="GO12" i="4"/>
  <c r="CK169" i="1"/>
  <c r="AG7" i="4"/>
  <c r="CS14" i="4"/>
  <c r="FA6" i="4"/>
  <c r="EG16" i="4"/>
  <c r="CJ55" i="1"/>
  <c r="EY9" i="4"/>
  <c r="FI11" i="4"/>
  <c r="FM15" i="4"/>
  <c r="GL11" i="4"/>
  <c r="AK7" i="4"/>
  <c r="HF8" i="4"/>
  <c r="FI15" i="4"/>
  <c r="FM9" i="4"/>
  <c r="DD9" i="4"/>
  <c r="IX9" i="4" s="1"/>
  <c r="IX21" i="4" s="1"/>
  <c r="BR97" i="1" s="1"/>
  <c r="EQ16" i="4"/>
  <c r="JK16" i="4" s="1"/>
  <c r="JK21" i="4" s="1"/>
  <c r="CE97" i="1" s="1"/>
  <c r="G7" i="4"/>
  <c r="U6" i="6"/>
  <c r="U7" i="6" s="1"/>
  <c r="BU13" i="4"/>
  <c r="FD7" i="4"/>
  <c r="BL55" i="1"/>
  <c r="EM9" i="4"/>
  <c r="AR6" i="6"/>
  <c r="AR7" i="6" s="1"/>
  <c r="GI5" i="4"/>
  <c r="EY16" i="4"/>
  <c r="CI14" i="4"/>
  <c r="FA14" i="4"/>
  <c r="GJ14" i="4"/>
  <c r="FO16" i="4"/>
  <c r="JS16" i="4" s="1"/>
  <c r="JS21" i="4" s="1"/>
  <c r="GX5" i="4"/>
  <c r="FW8" i="4"/>
  <c r="GE5" i="4"/>
  <c r="CE5" i="4"/>
  <c r="EH6" i="4"/>
  <c r="DM12" i="4"/>
  <c r="K5" i="4"/>
  <c r="BY59" i="1"/>
  <c r="AI8" i="4"/>
  <c r="FA13" i="4"/>
  <c r="ER8" i="4"/>
  <c r="AI174" i="1"/>
  <c r="AJ174" i="1" s="1"/>
  <c r="R9" i="4"/>
  <c r="HT9" i="4" s="1"/>
  <c r="L6" i="4"/>
  <c r="FY8" i="4"/>
  <c r="AT5" i="4"/>
  <c r="AI157" i="1"/>
  <c r="AJ157" i="1" s="1"/>
  <c r="CD66" i="1"/>
  <c r="N14" i="4"/>
  <c r="HS14" i="4" s="1"/>
  <c r="Y6" i="6"/>
  <c r="Y7" i="6" s="1"/>
  <c r="EZ5" i="4"/>
  <c r="G15" i="4"/>
  <c r="GP7" i="4"/>
  <c r="O5" i="6"/>
  <c r="CL7" i="4"/>
  <c r="ET13" i="4"/>
  <c r="GY8" i="4"/>
  <c r="GW6" i="4"/>
  <c r="CF65" i="1"/>
  <c r="N15" i="4"/>
  <c r="EM15" i="4"/>
  <c r="JJ15" i="4" s="1"/>
  <c r="GU14" i="4"/>
  <c r="BI5" i="4"/>
  <c r="BZ55" i="1"/>
  <c r="EL8" i="4"/>
  <c r="GU11" i="4"/>
  <c r="HD13" i="4"/>
  <c r="HF5" i="4"/>
  <c r="CJ28" i="1"/>
  <c r="CJ30" i="1" s="1"/>
  <c r="HA8" i="4"/>
  <c r="X16" i="4"/>
  <c r="HV16" i="4" s="1"/>
  <c r="HV21" i="4" s="1"/>
  <c r="AP97" i="1" s="1"/>
  <c r="DE12" i="4"/>
  <c r="GW15" i="4"/>
  <c r="P7" i="4"/>
  <c r="FW6" i="4"/>
  <c r="GB16" i="4"/>
  <c r="EY14" i="4"/>
  <c r="FV9" i="4"/>
  <c r="FS16" i="4"/>
  <c r="FT13" i="4"/>
  <c r="DA11" i="4"/>
  <c r="AL28" i="1"/>
  <c r="AL251" i="1" s="1"/>
  <c r="AH6" i="6"/>
  <c r="AH7" i="6" s="1"/>
  <c r="GK12" i="4"/>
  <c r="CD67" i="1"/>
  <c r="GP9" i="4"/>
  <c r="KB9" i="4" s="1"/>
  <c r="HE11" i="4"/>
  <c r="BZ67" i="1"/>
  <c r="DY11" i="4"/>
  <c r="CG40" i="1"/>
  <c r="EW9" i="4"/>
  <c r="JM9" i="4" s="1"/>
  <c r="AS5" i="6"/>
  <c r="CC52" i="1"/>
  <c r="CC214" i="1" s="1"/>
  <c r="GC11" i="4"/>
  <c r="BF6" i="4"/>
  <c r="K6" i="6"/>
  <c r="K7" i="6" s="1"/>
  <c r="FJ9" i="4"/>
  <c r="DX5" i="4"/>
  <c r="GX16" i="4"/>
  <c r="GB13" i="4"/>
  <c r="GR15" i="4"/>
  <c r="GU5" i="4"/>
  <c r="EI11" i="4"/>
  <c r="CD5" i="4"/>
  <c r="E5" i="4"/>
  <c r="EQ14" i="4"/>
  <c r="DU5" i="4"/>
  <c r="CI7" i="4"/>
  <c r="FR11" i="4"/>
  <c r="AK13" i="4"/>
  <c r="CG56" i="1"/>
  <c r="CS8" i="4"/>
  <c r="EK14" i="4"/>
  <c r="EW16" i="4"/>
  <c r="JM16" i="4" s="1"/>
  <c r="AG14" i="4"/>
  <c r="AY12" i="4"/>
  <c r="AK67" i="1"/>
  <c r="CA43" i="1"/>
  <c r="CA22" i="1" s="1"/>
  <c r="BR11" i="4"/>
  <c r="CX15" i="4"/>
  <c r="FB12" i="4"/>
  <c r="T15" i="4"/>
  <c r="EF6" i="4"/>
  <c r="BY29" i="1"/>
  <c r="DT9" i="4"/>
  <c r="CA41" i="1"/>
  <c r="FF15" i="4"/>
  <c r="CC55" i="1"/>
  <c r="AR5" i="4"/>
  <c r="GA16" i="4"/>
  <c r="JW16" i="4" s="1"/>
  <c r="DL9" i="4"/>
  <c r="AD14" i="4"/>
  <c r="AK5" i="6"/>
  <c r="V5" i="4"/>
  <c r="CE59" i="1"/>
  <c r="AB6" i="6"/>
  <c r="AB7" i="6" s="1"/>
  <c r="GL16" i="4"/>
  <c r="EZ12" i="4"/>
  <c r="FB5" i="4"/>
  <c r="HD15" i="4"/>
  <c r="GF16" i="4"/>
  <c r="GY6" i="4"/>
  <c r="GC13" i="4"/>
  <c r="GD15" i="4"/>
  <c r="G16" i="4"/>
  <c r="AM6" i="4"/>
  <c r="GZ11" i="4"/>
  <c r="HD9" i="4"/>
  <c r="CA65" i="1"/>
  <c r="GV8" i="4"/>
  <c r="FG13" i="4"/>
  <c r="HF15" i="4"/>
  <c r="W5" i="6"/>
  <c r="C5" i="4"/>
  <c r="BY40" i="1"/>
  <c r="FJ13" i="4"/>
  <c r="CJ52" i="1"/>
  <c r="CJ214" i="1" s="1"/>
  <c r="EM13" i="4"/>
  <c r="FH9" i="4"/>
  <c r="HA7" i="4"/>
  <c r="CZ8" i="4"/>
  <c r="EV11" i="4"/>
  <c r="FW7" i="4"/>
  <c r="CI40" i="1"/>
  <c r="CC71" i="1"/>
  <c r="CJ34" i="1"/>
  <c r="FQ12" i="4"/>
  <c r="GO11" i="4"/>
  <c r="GD7" i="4"/>
  <c r="GM15" i="4"/>
  <c r="CJ14" i="4"/>
  <c r="FG12" i="4"/>
  <c r="BL67" i="1"/>
  <c r="GT12" i="4"/>
  <c r="GB12" i="4"/>
  <c r="GX13" i="4"/>
  <c r="EX9" i="4"/>
  <c r="DT7" i="4"/>
  <c r="AK6" i="6"/>
  <c r="AK7" i="6" s="1"/>
  <c r="EW13" i="4"/>
  <c r="FS5" i="4"/>
  <c r="EJ5" i="4"/>
  <c r="FN12" i="4"/>
  <c r="DW15" i="4"/>
  <c r="DR7" i="4"/>
  <c r="GP14" i="4"/>
  <c r="CY8" i="4"/>
  <c r="HC11" i="4"/>
  <c r="GL9" i="4"/>
  <c r="BY55" i="1"/>
  <c r="FZ14" i="4"/>
  <c r="EL13" i="4"/>
  <c r="FS6" i="4"/>
  <c r="HB7" i="4"/>
  <c r="HA9" i="4"/>
  <c r="FV7" i="4"/>
  <c r="FV15" i="4"/>
  <c r="FI12" i="4"/>
  <c r="GQ9" i="4"/>
  <c r="EO12" i="4"/>
  <c r="CK173" i="1"/>
  <c r="C6" i="4"/>
  <c r="GK8" i="4"/>
  <c r="GR6" i="4"/>
  <c r="FU11" i="4"/>
  <c r="ER11" i="4"/>
  <c r="DY15" i="4"/>
  <c r="CF52" i="1"/>
  <c r="FA12" i="4"/>
  <c r="ER7" i="4"/>
  <c r="BX28" i="1"/>
  <c r="BX251" i="1" s="1"/>
  <c r="FG15" i="4"/>
  <c r="EQ12" i="4"/>
  <c r="ES6" i="4"/>
  <c r="FW11" i="4"/>
  <c r="CY16" i="4"/>
  <c r="GF5" i="4"/>
  <c r="CE52" i="1"/>
  <c r="CE214" i="1" s="1"/>
  <c r="CJ66" i="1"/>
  <c r="FE11" i="4"/>
  <c r="GH8" i="4"/>
  <c r="HC8" i="4"/>
  <c r="GI9" i="4"/>
  <c r="GP8" i="4"/>
  <c r="CK183" i="1"/>
  <c r="AA183" i="1" s="1"/>
  <c r="G6" i="6"/>
  <c r="G7" i="6" s="1"/>
  <c r="FO11" i="4"/>
  <c r="EX15" i="4"/>
  <c r="GK9" i="4"/>
  <c r="EX11" i="4"/>
  <c r="FU6" i="4"/>
  <c r="EX7" i="4"/>
  <c r="GL13" i="4"/>
  <c r="FX12" i="4"/>
  <c r="GA11" i="4"/>
  <c r="HF13" i="4"/>
  <c r="CG71" i="1"/>
  <c r="FU13" i="4"/>
  <c r="GW8" i="4"/>
  <c r="GC7" i="4"/>
  <c r="GQ12" i="4"/>
  <c r="GV6" i="4"/>
  <c r="CJ59" i="1"/>
  <c r="GZ15" i="4"/>
  <c r="FW14" i="4"/>
  <c r="GG16" i="4"/>
  <c r="JY16" i="4" s="1"/>
  <c r="JY21" i="4" s="1"/>
  <c r="FM14" i="4"/>
  <c r="FT6" i="4"/>
  <c r="CK165" i="1"/>
  <c r="FO13" i="4"/>
  <c r="FG9" i="4"/>
  <c r="GH13" i="4"/>
  <c r="FI9" i="4"/>
  <c r="JQ9" i="4" s="1"/>
  <c r="GD9" i="4"/>
  <c r="JX9" i="4" s="1"/>
  <c r="HC6" i="4"/>
  <c r="CL59" i="1"/>
  <c r="FM7" i="4"/>
  <c r="AD6" i="6"/>
  <c r="AD7" i="6" s="1"/>
  <c r="CG29" i="1"/>
  <c r="GN9" i="4"/>
  <c r="CG44" i="1"/>
  <c r="CB71" i="1"/>
  <c r="FU8" i="4"/>
  <c r="AG12" i="4"/>
  <c r="S12" i="4"/>
  <c r="CJ83" i="1"/>
  <c r="CI83" i="1" s="1"/>
  <c r="BL6" i="4"/>
  <c r="BL71" i="1"/>
  <c r="DO14" i="4"/>
  <c r="CJ65" i="1"/>
  <c r="ET12" i="4"/>
  <c r="GJ11" i="4"/>
  <c r="ES15" i="4"/>
  <c r="JL15" i="4" s="1"/>
  <c r="GJ16" i="4"/>
  <c r="JZ16" i="4" s="1"/>
  <c r="GI14" i="4"/>
  <c r="GB8" i="4"/>
  <c r="AA6" i="6"/>
  <c r="AA7" i="6" s="1"/>
  <c r="W6" i="6"/>
  <c r="W7" i="6" s="1"/>
  <c r="CH28" i="1"/>
  <c r="EY15" i="4"/>
  <c r="GC5" i="4"/>
  <c r="GQ7" i="4"/>
  <c r="AI6" i="4"/>
  <c r="CA35" i="1"/>
  <c r="AE15" i="4"/>
  <c r="BX65" i="1"/>
  <c r="FB9" i="4"/>
  <c r="EQ13" i="4"/>
  <c r="O6" i="6"/>
  <c r="O7" i="6" s="1"/>
  <c r="FK16" i="4"/>
  <c r="HG8" i="4"/>
  <c r="CC40" i="1"/>
  <c r="GO14" i="4"/>
  <c r="GF13" i="4"/>
  <c r="FJ8" i="4"/>
  <c r="GS14" i="4"/>
  <c r="FX13" i="4"/>
  <c r="CB33" i="1"/>
  <c r="FP6" i="4"/>
  <c r="FO8" i="4"/>
  <c r="FX7" i="4"/>
  <c r="CK52" i="1"/>
  <c r="FE8" i="4"/>
  <c r="FV12" i="4"/>
  <c r="GY13" i="4"/>
  <c r="FM13" i="4"/>
  <c r="GG5" i="4"/>
  <c r="FO7" i="4"/>
  <c r="FL12" i="4"/>
  <c r="FM5" i="4"/>
  <c r="FP14" i="4"/>
  <c r="FL13" i="4"/>
  <c r="GU12" i="4"/>
  <c r="FH14" i="4"/>
  <c r="GD11" i="4"/>
  <c r="GX7" i="4"/>
  <c r="CK144" i="1"/>
  <c r="FL15" i="4"/>
  <c r="FH13" i="4"/>
  <c r="FI13" i="4"/>
  <c r="CK34" i="1"/>
  <c r="CB43" i="1"/>
  <c r="CB22" i="1" s="1"/>
  <c r="CB6" i="4"/>
  <c r="P14" i="4"/>
  <c r="DD12" i="4"/>
  <c r="CJ43" i="1"/>
  <c r="CJ22" i="1" s="1"/>
  <c r="AE7" i="4"/>
  <c r="AD8" i="4"/>
  <c r="FD8" i="4"/>
  <c r="CL16" i="4"/>
  <c r="IR16" i="4" s="1"/>
  <c r="GT16" i="4"/>
  <c r="EU16" i="4"/>
  <c r="HE5" i="4"/>
  <c r="AM6" i="6"/>
  <c r="AM7" i="6" s="1"/>
  <c r="FQ5" i="4"/>
  <c r="GY5" i="4"/>
  <c r="GF6" i="4"/>
  <c r="FF14" i="4"/>
  <c r="ES9" i="4"/>
  <c r="EP11" i="4"/>
  <c r="EY11" i="4"/>
  <c r="C15" i="4"/>
  <c r="CE13" i="4"/>
  <c r="CR15" i="4"/>
  <c r="GB9" i="4"/>
  <c r="CA28" i="1"/>
  <c r="CA251" i="1" s="1"/>
  <c r="HG5" i="4"/>
  <c r="CI44" i="1"/>
  <c r="GS9" i="4"/>
  <c r="KC9" i="4" s="1"/>
  <c r="GI15" i="4"/>
  <c r="FT14" i="4"/>
  <c r="GC8" i="4"/>
  <c r="FF12" i="4"/>
  <c r="GN12" i="4"/>
  <c r="GK16" i="4"/>
  <c r="FP12" i="4"/>
  <c r="BZ28" i="1"/>
  <c r="HH8" i="4"/>
  <c r="FY15" i="4"/>
  <c r="GP5" i="4"/>
  <c r="FM11" i="4"/>
  <c r="BL28" i="1"/>
  <c r="BL251" i="1" s="1"/>
  <c r="GN13" i="4"/>
  <c r="GE12" i="4"/>
  <c r="GZ8" i="4"/>
  <c r="GJ12" i="4"/>
  <c r="FN15" i="4"/>
  <c r="FY14" i="4"/>
  <c r="FJ5" i="4"/>
  <c r="GS7" i="4"/>
  <c r="GJ6" i="4"/>
  <c r="GZ9" i="4"/>
  <c r="GM16" i="4"/>
  <c r="KA16" i="4" s="1"/>
  <c r="FW5" i="4"/>
  <c r="FQ7" i="4"/>
  <c r="FW9" i="4"/>
  <c r="FZ9" i="4"/>
  <c r="EF12" i="4"/>
  <c r="CH6" i="4"/>
  <c r="CR8" i="4"/>
  <c r="FL16" i="4"/>
  <c r="JR16" i="4" s="1"/>
  <c r="JR21" i="4" s="1"/>
  <c r="CL97" i="1" s="1"/>
  <c r="CN97" i="1" s="1"/>
  <c r="CO97" i="1" s="1"/>
  <c r="AN15" i="4"/>
  <c r="GE13" i="4"/>
  <c r="V6" i="6"/>
  <c r="V7" i="6" s="1"/>
  <c r="GN6" i="4"/>
  <c r="FA15" i="4"/>
  <c r="GG8" i="4"/>
  <c r="EX13" i="4"/>
  <c r="FR6" i="4"/>
  <c r="EQ9" i="4"/>
  <c r="JK9" i="4" s="1"/>
  <c r="DQ16" i="4"/>
  <c r="CG42" i="1"/>
  <c r="CG20" i="1" s="1"/>
  <c r="CE67" i="1"/>
  <c r="GF15" i="4"/>
  <c r="BX40" i="1"/>
  <c r="GE16" i="4"/>
  <c r="EV8" i="4"/>
  <c r="GL8" i="4"/>
  <c r="HE6" i="4"/>
  <c r="N5" i="6"/>
  <c r="AZ16" i="4"/>
  <c r="DF14" i="4"/>
  <c r="GN15" i="4"/>
  <c r="BE6" i="4"/>
  <c r="GQ16" i="4"/>
  <c r="CF56" i="1"/>
  <c r="GE15" i="4"/>
  <c r="ES7" i="4"/>
  <c r="FO12" i="4"/>
  <c r="GQ8" i="4"/>
  <c r="GB11" i="4"/>
  <c r="FZ8" i="4"/>
  <c r="GX6" i="4"/>
  <c r="GM12" i="4"/>
  <c r="CK184" i="1"/>
  <c r="HB6" i="4"/>
  <c r="FY13" i="4"/>
  <c r="GV15" i="4"/>
  <c r="GE8" i="4"/>
  <c r="GN7" i="4"/>
  <c r="GX9" i="4"/>
  <c r="GH12" i="4"/>
  <c r="CG35" i="1"/>
  <c r="FT7" i="4"/>
  <c r="GA8" i="4"/>
  <c r="FX5" i="4"/>
  <c r="GY12" i="4"/>
  <c r="CK180" i="1"/>
  <c r="CK181" i="1" s="1"/>
  <c r="HG13" i="4"/>
  <c r="CH52" i="1"/>
  <c r="AI9" i="4"/>
  <c r="GI8" i="4"/>
  <c r="GP11" i="4"/>
  <c r="HA14" i="4"/>
  <c r="FK6" i="4"/>
  <c r="GM11" i="4"/>
  <c r="GF9" i="4"/>
  <c r="FV11" i="4"/>
  <c r="FY5" i="4"/>
  <c r="GG7" i="4"/>
  <c r="GO5" i="4"/>
  <c r="FN13" i="4"/>
  <c r="HH12" i="4"/>
  <c r="CL40" i="1"/>
  <c r="AB40" i="1" s="1"/>
  <c r="HF11" i="4"/>
  <c r="HH6" i="4"/>
  <c r="CK28" i="1"/>
  <c r="GZ14" i="4"/>
  <c r="K14" i="4"/>
  <c r="FQ15" i="4"/>
  <c r="CB34" i="1"/>
  <c r="FG6" i="4"/>
  <c r="I6" i="6"/>
  <c r="I7" i="6" s="1"/>
  <c r="FK11" i="4"/>
  <c r="HG7" i="4"/>
  <c r="FC13" i="4"/>
  <c r="AF14" i="4"/>
  <c r="BV7" i="4"/>
  <c r="Y5" i="4"/>
  <c r="FH7" i="4"/>
  <c r="CU12" i="4"/>
  <c r="BF12" i="4"/>
  <c r="GH15" i="4"/>
  <c r="GR11" i="4"/>
  <c r="H5" i="6"/>
  <c r="GZ7" i="4"/>
  <c r="ES8" i="4"/>
  <c r="GS12" i="4"/>
  <c r="GF8" i="4"/>
  <c r="FM16" i="4"/>
  <c r="GI11" i="4"/>
  <c r="FS15" i="4"/>
  <c r="BY35" i="1"/>
  <c r="FY9" i="4"/>
  <c r="GT11" i="4"/>
  <c r="GG9" i="4"/>
  <c r="JY9" i="4" s="1"/>
  <c r="GY15" i="4"/>
  <c r="GR9" i="4"/>
  <c r="FU16" i="4"/>
  <c r="JU16" i="4" s="1"/>
  <c r="JU21" i="4" s="1"/>
  <c r="CI71" i="1"/>
  <c r="GT9" i="4"/>
  <c r="FZ15" i="4"/>
  <c r="FG7" i="4"/>
  <c r="GB5" i="4"/>
  <c r="GD16" i="4"/>
  <c r="JX16" i="4" s="1"/>
  <c r="JX21" i="4" s="1"/>
  <c r="ET14" i="4"/>
  <c r="CH40" i="1"/>
  <c r="GB6" i="4"/>
  <c r="HE14" i="4"/>
  <c r="FP8" i="4"/>
  <c r="HH7" i="4"/>
  <c r="EM7" i="4"/>
  <c r="GH5" i="4"/>
  <c r="FR9" i="4"/>
  <c r="JT9" i="4" s="1"/>
  <c r="JT21" i="4" s="1"/>
  <c r="GD14" i="4"/>
  <c r="CB44" i="1"/>
  <c r="FN7" i="4"/>
  <c r="FU14" i="4"/>
  <c r="CK174" i="1"/>
  <c r="AA174" i="1" s="1"/>
  <c r="GJ7" i="4"/>
  <c r="GV13" i="4"/>
  <c r="GR12" i="4"/>
  <c r="GM9" i="4"/>
  <c r="KA9" i="4" s="1"/>
  <c r="HD7" i="4"/>
  <c r="KG7" i="4" s="1"/>
  <c r="CL94" i="1"/>
  <c r="FS7" i="4"/>
  <c r="HB12" i="4"/>
  <c r="HH13" i="4"/>
  <c r="CK153" i="1"/>
  <c r="CM153" i="1" s="1"/>
  <c r="CN153" i="1" s="1"/>
  <c r="CO153" i="1" s="1"/>
  <c r="AB153" i="1" s="1"/>
  <c r="GF11" i="4"/>
  <c r="HF12" i="4"/>
  <c r="GF12" i="4"/>
  <c r="GG13" i="4"/>
  <c r="FS11" i="4"/>
  <c r="FD16" i="4"/>
  <c r="FU12" i="4"/>
  <c r="BZ52" i="1"/>
  <c r="BZ214" i="1" s="1"/>
  <c r="FU7" i="4"/>
  <c r="CL29" i="1"/>
  <c r="AB29" i="1" s="1"/>
  <c r="CK162" i="1"/>
  <c r="FX15" i="4"/>
  <c r="HE7" i="4"/>
  <c r="GO7" i="4"/>
  <c r="FK5" i="4"/>
  <c r="EY12" i="4"/>
  <c r="FX16" i="4"/>
  <c r="JV16" i="4" s="1"/>
  <c r="JV21" i="4" s="1"/>
  <c r="CK137" i="1"/>
  <c r="CM137" i="1" s="1"/>
  <c r="CN137" i="1" s="1"/>
  <c r="CO137" i="1" s="1"/>
  <c r="GA7" i="4"/>
  <c r="CL52" i="1"/>
  <c r="FP7" i="4"/>
  <c r="FS12" i="4"/>
  <c r="GR14" i="4"/>
  <c r="CJ35" i="1"/>
  <c r="BT8" i="4"/>
  <c r="EW12" i="4"/>
  <c r="ES5" i="4"/>
  <c r="BC5" i="4"/>
  <c r="BL65" i="1"/>
  <c r="EY13" i="4"/>
  <c r="FF13" i="4"/>
  <c r="FE6" i="4"/>
  <c r="M5" i="6"/>
  <c r="FL14" i="4"/>
  <c r="GQ11" i="4"/>
  <c r="FY11" i="4"/>
  <c r="GH11" i="4"/>
  <c r="HB11" i="4"/>
  <c r="GG14" i="4"/>
  <c r="GC16" i="4"/>
  <c r="FV13" i="4"/>
  <c r="FQ6" i="4"/>
  <c r="HG6" i="4"/>
  <c r="GD13" i="4"/>
  <c r="Q6" i="6"/>
  <c r="Q7" i="6" s="1"/>
  <c r="HC12" i="4"/>
  <c r="FH5" i="4"/>
  <c r="FL5" i="4"/>
  <c r="FX6" i="4"/>
  <c r="CD56" i="1"/>
  <c r="GQ15" i="4"/>
  <c r="GW13" i="4"/>
  <c r="CK33" i="1"/>
  <c r="FX11" i="4"/>
  <c r="GO13" i="4"/>
  <c r="FM8" i="4"/>
  <c r="GB7" i="4"/>
  <c r="GH6" i="4"/>
  <c r="FZ12" i="4"/>
  <c r="GW5" i="4"/>
  <c r="GB14" i="4"/>
  <c r="GT14" i="4"/>
  <c r="HG12" i="4"/>
  <c r="FO5" i="4"/>
  <c r="CL65" i="1"/>
  <c r="CM65" i="1" s="1"/>
  <c r="CN65" i="1" s="1"/>
  <c r="CO65" i="1" s="1"/>
  <c r="CP65" i="1" s="1"/>
  <c r="CQ65" i="1" s="1"/>
  <c r="CR65" i="1" s="1"/>
  <c r="CS65" i="1" s="1"/>
  <c r="CT65" i="1" s="1"/>
  <c r="GC9" i="4"/>
  <c r="CK84" i="1"/>
  <c r="CL56" i="1"/>
  <c r="FV5" i="4"/>
  <c r="FZ5" i="4"/>
  <c r="CK170" i="1"/>
  <c r="AA170" i="1" s="1"/>
  <c r="CL43" i="1"/>
  <c r="CL22" i="1" s="1"/>
  <c r="CL33" i="1"/>
  <c r="AB33" i="1" s="1"/>
  <c r="GR13" i="4"/>
  <c r="GJ8" i="4"/>
  <c r="HF14" i="4"/>
  <c r="FL8" i="4"/>
  <c r="GV7" i="4"/>
  <c r="FI7" i="4"/>
  <c r="GU9" i="4"/>
  <c r="HC5" i="4"/>
  <c r="GJ9" i="4"/>
  <c r="JZ9" i="4" s="1"/>
  <c r="HA16" i="4"/>
  <c r="GQ13" i="4"/>
  <c r="GO16" i="4"/>
  <c r="GZ6" i="4"/>
  <c r="FW15" i="4"/>
  <c r="HE8" i="4"/>
  <c r="CK41" i="1"/>
  <c r="CK29" i="1"/>
  <c r="GD5" i="4"/>
  <c r="CL71" i="1"/>
  <c r="CK56" i="1"/>
  <c r="HD8" i="4"/>
  <c r="FS9" i="4"/>
  <c r="GK7" i="4"/>
  <c r="CK42" i="1"/>
  <c r="CK20" i="1" s="1"/>
  <c r="CJ56" i="1"/>
  <c r="GC12" i="4"/>
  <c r="GV12" i="4"/>
  <c r="FR15" i="4"/>
  <c r="FJ6" i="4"/>
  <c r="GL12" i="4"/>
  <c r="FG14" i="4"/>
  <c r="HE9" i="4"/>
  <c r="KG9" i="4" s="1"/>
  <c r="CH35" i="1"/>
  <c r="GY11" i="4"/>
  <c r="GW16" i="4"/>
  <c r="GI12" i="4"/>
  <c r="HB13" i="4"/>
  <c r="FT11" i="4"/>
  <c r="FH12" i="4"/>
  <c r="GZ16" i="4"/>
  <c r="FK15" i="4"/>
  <c r="HA15" i="4"/>
  <c r="HB16" i="4"/>
  <c r="KF16" i="4" s="1"/>
  <c r="KF21" i="4" s="1"/>
  <c r="GL5" i="4"/>
  <c r="GJ5" i="4"/>
  <c r="GO6" i="4"/>
  <c r="GN11" i="4"/>
  <c r="FK13" i="4"/>
  <c r="GB15" i="4"/>
  <c r="GT15" i="4"/>
  <c r="KD15" i="4" s="1"/>
  <c r="GC14" i="4"/>
  <c r="GF7" i="4"/>
  <c r="CL28" i="1"/>
  <c r="GH9" i="4"/>
  <c r="GL7" i="4"/>
  <c r="FP5" i="4"/>
  <c r="CK83" i="1"/>
  <c r="CK43" i="1"/>
  <c r="CK22" i="1" s="1"/>
  <c r="CK59" i="1"/>
  <c r="GK14" i="4"/>
  <c r="GE11" i="4"/>
  <c r="CL67" i="1"/>
  <c r="AB67" i="1" s="1"/>
  <c r="FZ11" i="4"/>
  <c r="GX11" i="4"/>
  <c r="FY7" i="4"/>
  <c r="FQ13" i="4"/>
  <c r="CK65" i="1"/>
  <c r="CK40" i="1"/>
  <c r="FO14" i="4"/>
  <c r="FH16" i="4"/>
  <c r="CD42" i="1"/>
  <c r="CD20" i="1" s="1"/>
  <c r="GX15" i="4"/>
  <c r="GP12" i="4"/>
  <c r="HG15" i="4"/>
  <c r="FE14" i="4"/>
  <c r="JP14" i="4" s="1"/>
  <c r="FE9" i="4"/>
  <c r="HC9" i="4"/>
  <c r="GI6" i="4"/>
  <c r="CI43" i="1"/>
  <c r="CM43" i="1" s="1"/>
  <c r="CQ43" i="1" s="1"/>
  <c r="CU43" i="1" s="1"/>
  <c r="CY43" i="1" s="1"/>
  <c r="FH11" i="4"/>
  <c r="FX14" i="4"/>
  <c r="FL11" i="4"/>
  <c r="FT12" i="4"/>
  <c r="FT15" i="4"/>
  <c r="FK9" i="4"/>
  <c r="HD5" i="4"/>
  <c r="FR5" i="4"/>
  <c r="FJ12" i="4"/>
  <c r="GC6" i="4"/>
  <c r="FH15" i="4"/>
  <c r="FP13" i="4"/>
  <c r="FS14" i="4"/>
  <c r="CL34" i="1"/>
  <c r="AB34" i="1" s="1"/>
  <c r="HF7" i="4"/>
  <c r="CL44" i="1"/>
  <c r="AB44" i="1" s="1"/>
  <c r="CK67" i="1"/>
  <c r="CL41" i="1"/>
  <c r="AB41" i="1" s="1"/>
  <c r="FV14" i="4"/>
  <c r="HG9" i="4"/>
  <c r="CL42" i="1"/>
  <c r="CL20" i="1" s="1"/>
  <c r="FK7" i="4"/>
  <c r="GM5" i="4"/>
  <c r="FH6" i="4"/>
  <c r="CL83" i="1"/>
  <c r="HF9" i="4"/>
  <c r="CK66" i="1"/>
  <c r="CL35" i="1"/>
  <c r="CK55" i="1"/>
  <c r="FV16" i="4"/>
  <c r="JG15" i="4"/>
  <c r="BY199" i="1"/>
  <c r="BZ199" i="1" s="1"/>
  <c r="AA33" i="1"/>
  <c r="AN137" i="1"/>
  <c r="AA142" i="1"/>
  <c r="CG203" i="1"/>
  <c r="CH203" i="1" s="1"/>
  <c r="JQ7" i="4"/>
  <c r="JC21" i="4"/>
  <c r="BW97" i="1" s="1"/>
  <c r="IB14" i="4"/>
  <c r="AM251" i="1"/>
  <c r="BY203" i="1"/>
  <c r="BZ203" i="1" s="1"/>
  <c r="CG199" i="1"/>
  <c r="CH199" i="1" s="1"/>
  <c r="BY214" i="1"/>
  <c r="AA179" i="1"/>
  <c r="CC148" i="1"/>
  <c r="AA153" i="1"/>
  <c r="BZ137" i="1"/>
  <c r="CD148" i="1"/>
  <c r="AA169" i="1"/>
  <c r="S208" i="1"/>
  <c r="S118" i="1"/>
  <c r="X268" i="1"/>
  <c r="X47" i="1"/>
  <c r="Y47" i="1"/>
  <c r="S48" i="1"/>
  <c r="S49" i="1" s="1"/>
  <c r="N47" i="1"/>
  <c r="S47" i="1"/>
  <c r="Y149" i="1"/>
  <c r="U47" i="1"/>
  <c r="X53" i="1"/>
  <c r="B47" i="1"/>
  <c r="T47" i="1"/>
  <c r="V47" i="1"/>
  <c r="Y223" i="1"/>
  <c r="Y221" i="1" s="1"/>
  <c r="G47" i="1"/>
  <c r="E47" i="1"/>
  <c r="Y217" i="1"/>
  <c r="Y53" i="1"/>
  <c r="X266" i="1"/>
  <c r="L47" i="1"/>
  <c r="CD222" i="1"/>
  <c r="F47" i="1"/>
  <c r="Y269" i="1"/>
  <c r="F36" i="1"/>
  <c r="F118" i="1"/>
  <c r="F31" i="1"/>
  <c r="F208" i="1"/>
  <c r="L36" i="1"/>
  <c r="L118" i="1"/>
  <c r="L31" i="1"/>
  <c r="L208" i="1"/>
  <c r="W118" i="1"/>
  <c r="W31" i="1"/>
  <c r="J36" i="1"/>
  <c r="J31" i="1"/>
  <c r="J208" i="1"/>
  <c r="J118" i="1"/>
  <c r="I36" i="1"/>
  <c r="I31" i="1"/>
  <c r="I118" i="1"/>
  <c r="I208" i="1"/>
  <c r="I47" i="1"/>
  <c r="H47" i="1"/>
  <c r="O47" i="1"/>
  <c r="Y268" i="1"/>
  <c r="Z229" i="1"/>
  <c r="Y266" i="1"/>
  <c r="CG151" i="1"/>
  <c r="CG154" i="1" s="1"/>
  <c r="Z154" i="1"/>
  <c r="Z268" i="1"/>
  <c r="CG168" i="1"/>
  <c r="CH162" i="1"/>
  <c r="CG148" i="1"/>
  <c r="CH144" i="1"/>
  <c r="CH148" i="1" s="1"/>
  <c r="P36" i="1"/>
  <c r="P118" i="1"/>
  <c r="P31" i="1"/>
  <c r="P208" i="1"/>
  <c r="M47" i="1"/>
  <c r="E118" i="1"/>
  <c r="E208" i="1"/>
  <c r="E31" i="1"/>
  <c r="E36" i="1"/>
  <c r="W208" i="1"/>
  <c r="V31" i="1"/>
  <c r="V36" i="1"/>
  <c r="V19" i="1" s="1"/>
  <c r="V21" i="1" s="1"/>
  <c r="V23" i="1" s="1"/>
  <c r="V208" i="1"/>
  <c r="V118" i="1"/>
  <c r="S37" i="1"/>
  <c r="H36" i="1"/>
  <c r="H118" i="1"/>
  <c r="H208" i="1"/>
  <c r="H31" i="1"/>
  <c r="W36" i="1"/>
  <c r="W19" i="1" s="1"/>
  <c r="W21" i="1" s="1"/>
  <c r="W23" i="1" s="1"/>
  <c r="Q47" i="1"/>
  <c r="CH160" i="1"/>
  <c r="X149" i="1"/>
  <c r="X188" i="1"/>
  <c r="X129" i="1" s="1"/>
  <c r="Y205" i="1"/>
  <c r="Y204" i="1" s="1"/>
  <c r="CH229" i="1"/>
  <c r="Y226" i="1"/>
  <c r="CH83" i="1"/>
  <c r="CI85" i="1"/>
  <c r="Y31" i="1"/>
  <c r="Y36" i="1"/>
  <c r="Y19" i="1" s="1"/>
  <c r="Y21" i="1" s="1"/>
  <c r="Y23" i="1" s="1"/>
  <c r="Y118" i="1"/>
  <c r="Y208" i="1"/>
  <c r="Y264" i="1"/>
  <c r="X204" i="1"/>
  <c r="D36" i="1"/>
  <c r="D208" i="1"/>
  <c r="D31" i="1"/>
  <c r="K118" i="1"/>
  <c r="K31" i="1"/>
  <c r="K208" i="1"/>
  <c r="K36" i="1"/>
  <c r="Q118" i="1"/>
  <c r="Q31" i="1"/>
  <c r="Q208" i="1"/>
  <c r="Q36" i="1"/>
  <c r="O118" i="1"/>
  <c r="O208" i="1"/>
  <c r="O31" i="1"/>
  <c r="O36" i="1"/>
  <c r="B37" i="1"/>
  <c r="B48" i="1"/>
  <c r="B54" i="1" s="1"/>
  <c r="R208" i="1"/>
  <c r="R118" i="1"/>
  <c r="R36" i="1"/>
  <c r="R31" i="1"/>
  <c r="T118" i="1"/>
  <c r="T208" i="1"/>
  <c r="T36" i="1"/>
  <c r="T19" i="1" s="1"/>
  <c r="T21" i="1" s="1"/>
  <c r="T23" i="1" s="1"/>
  <c r="T31" i="1"/>
  <c r="R47" i="1"/>
  <c r="U36" i="1"/>
  <c r="U19" i="1" s="1"/>
  <c r="U21" i="1" s="1"/>
  <c r="U23" i="1" s="1"/>
  <c r="U118" i="1"/>
  <c r="U31" i="1"/>
  <c r="U208" i="1"/>
  <c r="S31" i="1"/>
  <c r="C31" i="1"/>
  <c r="C36" i="1"/>
  <c r="C38" i="1" s="1"/>
  <c r="C208" i="1"/>
  <c r="C47" i="1"/>
  <c r="Z118" i="1"/>
  <c r="Z31" i="1"/>
  <c r="Z208" i="1"/>
  <c r="Z36" i="1"/>
  <c r="Z19" i="1" s="1"/>
  <c r="Z21" i="1" s="1"/>
  <c r="Z23" i="1" s="1"/>
  <c r="CQ66" i="1"/>
  <c r="CR66" i="1" s="1"/>
  <c r="CS66" i="1" s="1"/>
  <c r="CT66" i="1" s="1"/>
  <c r="Z47" i="1"/>
  <c r="CH169" i="1"/>
  <c r="CG176" i="1"/>
  <c r="X177" i="1"/>
  <c r="X185" i="1" s="1"/>
  <c r="Y216" i="1"/>
  <c r="X202" i="1"/>
  <c r="M36" i="1"/>
  <c r="M118" i="1"/>
  <c r="M208" i="1"/>
  <c r="M31" i="1"/>
  <c r="D47" i="1"/>
  <c r="W47" i="1"/>
  <c r="N118" i="1"/>
  <c r="N36" i="1"/>
  <c r="N208" i="1"/>
  <c r="N31" i="1"/>
  <c r="J47" i="1"/>
  <c r="G36" i="1"/>
  <c r="G208" i="1"/>
  <c r="G118" i="1"/>
  <c r="G31" i="1"/>
  <c r="P47" i="1"/>
  <c r="K47" i="1"/>
  <c r="AB66" i="1"/>
  <c r="Z216" i="1"/>
  <c r="Y202" i="1"/>
  <c r="Y177" i="1"/>
  <c r="Y185" i="1" s="1"/>
  <c r="CG140" i="1"/>
  <c r="CH137" i="1"/>
  <c r="Y188" i="1"/>
  <c r="Y129" i="1" s="1"/>
  <c r="X264" i="1"/>
  <c r="X118" i="1"/>
  <c r="X36" i="1"/>
  <c r="X19" i="1" s="1"/>
  <c r="X21" i="1" s="1"/>
  <c r="X23" i="1" s="1"/>
  <c r="X208" i="1"/>
  <c r="X31" i="1"/>
  <c r="Z202" i="1"/>
  <c r="Z176" i="1"/>
  <c r="Z205" i="1" s="1"/>
  <c r="Z204" i="1" s="1"/>
  <c r="Z188" i="1"/>
  <c r="Z129" i="1" s="1"/>
  <c r="Z149" i="1"/>
  <c r="Z269" i="1"/>
  <c r="Z226" i="1"/>
  <c r="Z195" i="1"/>
  <c r="BY1" i="1"/>
  <c r="AB142" i="1" l="1"/>
  <c r="AE6" i="1"/>
  <c r="U18" i="1"/>
  <c r="S54" i="1"/>
  <c r="S58" i="1" s="1"/>
  <c r="S60" i="1" s="1"/>
  <c r="S252" i="1"/>
  <c r="S253" i="1" s="1"/>
  <c r="W18" i="1"/>
  <c r="Z18" i="1"/>
  <c r="CN43" i="1"/>
  <c r="CR43" i="1" s="1"/>
  <c r="CV43" i="1" s="1"/>
  <c r="CZ43" i="1" s="1"/>
  <c r="Y18" i="1"/>
  <c r="KB14" i="4"/>
  <c r="BY273" i="1"/>
  <c r="IP14" i="4"/>
  <c r="JB8" i="4"/>
  <c r="V18" i="1"/>
  <c r="CA148" i="1"/>
  <c r="JX14" i="4"/>
  <c r="JX19" i="4" s="1"/>
  <c r="KG14" i="4"/>
  <c r="KG19" i="4" s="1"/>
  <c r="JW8" i="4"/>
  <c r="JP8" i="4"/>
  <c r="CK176" i="1"/>
  <c r="JX7" i="4"/>
  <c r="KE15" i="4"/>
  <c r="JJ8" i="4"/>
  <c r="JO8" i="4"/>
  <c r="HP14" i="4"/>
  <c r="CI272" i="1"/>
  <c r="II7" i="4"/>
  <c r="AJ30" i="1"/>
  <c r="IO7" i="4"/>
  <c r="IB7" i="4"/>
  <c r="IB19" i="4" s="1"/>
  <c r="AV98" i="1" s="1"/>
  <c r="IF7" i="4"/>
  <c r="IS7" i="4"/>
  <c r="II14" i="4"/>
  <c r="JO14" i="4"/>
  <c r="HV15" i="4"/>
  <c r="KA8" i="4"/>
  <c r="JG14" i="4"/>
  <c r="JG19" i="4" s="1"/>
  <c r="CA98" i="1" s="1"/>
  <c r="CE30" i="1"/>
  <c r="CE17" i="1" s="1"/>
  <c r="HQ21" i="4"/>
  <c r="AK97" i="1" s="1"/>
  <c r="JB14" i="4"/>
  <c r="JB19" i="4" s="1"/>
  <c r="BV98" i="1" s="1"/>
  <c r="CF272" i="1"/>
  <c r="IC21" i="4"/>
  <c r="AW97" i="1" s="1"/>
  <c r="KE21" i="4"/>
  <c r="JY14" i="4"/>
  <c r="JY19" i="4" s="1"/>
  <c r="HY15" i="4"/>
  <c r="HY20" i="4" s="1"/>
  <c r="AS99" i="1" s="1"/>
  <c r="CA200" i="1"/>
  <c r="CB200" i="1" s="1"/>
  <c r="JY7" i="4"/>
  <c r="IV7" i="4"/>
  <c r="JH7" i="4"/>
  <c r="CC203" i="1"/>
  <c r="CD203" i="1" s="1"/>
  <c r="HW7" i="4"/>
  <c r="CC272" i="1"/>
  <c r="BX272" i="1"/>
  <c r="BY181" i="1"/>
  <c r="CE158" i="1"/>
  <c r="IF8" i="4"/>
  <c r="CA154" i="1"/>
  <c r="CB53" i="1" s="1"/>
  <c r="IT8" i="4"/>
  <c r="AK203" i="1"/>
  <c r="AL203" i="1" s="1"/>
  <c r="S18" i="1"/>
  <c r="CC30" i="1"/>
  <c r="CC17" i="1" s="1"/>
  <c r="KF15" i="4"/>
  <c r="CK85" i="1"/>
  <c r="KC15" i="4"/>
  <c r="JW7" i="4"/>
  <c r="JU15" i="4"/>
  <c r="JU7" i="4"/>
  <c r="JW14" i="4"/>
  <c r="KC14" i="4"/>
  <c r="KC19" i="4" s="1"/>
  <c r="JE15" i="4"/>
  <c r="BZ46" i="1"/>
  <c r="BY272" i="1"/>
  <c r="JQ8" i="4"/>
  <c r="JE14" i="4"/>
  <c r="JP15" i="4"/>
  <c r="JA14" i="4"/>
  <c r="JH15" i="4"/>
  <c r="JH20" i="4" s="1"/>
  <c r="CB99" i="1" s="1"/>
  <c r="JH8" i="4"/>
  <c r="II8" i="4"/>
  <c r="IP7" i="4"/>
  <c r="IP19" i="4" s="1"/>
  <c r="BJ98" i="1" s="1"/>
  <c r="JB7" i="4"/>
  <c r="IN14" i="4"/>
  <c r="HV8" i="4"/>
  <c r="CF148" i="1"/>
  <c r="KG21" i="4"/>
  <c r="IP21" i="4"/>
  <c r="BJ97" i="1" s="1"/>
  <c r="IJ15" i="4"/>
  <c r="IB21" i="4"/>
  <c r="AV97" i="1" s="1"/>
  <c r="IO14" i="4"/>
  <c r="CD272" i="1"/>
  <c r="IH14" i="4"/>
  <c r="IO15" i="4"/>
  <c r="II15" i="4"/>
  <c r="IX7" i="4"/>
  <c r="X18" i="1"/>
  <c r="T18" i="1"/>
  <c r="CC168" i="1"/>
  <c r="CC202" i="1" s="1"/>
  <c r="CC222" i="1"/>
  <c r="CI181" i="1"/>
  <c r="CK222" i="1"/>
  <c r="JZ21" i="4"/>
  <c r="CK53" i="1"/>
  <c r="HU21" i="4"/>
  <c r="AO97" i="1" s="1"/>
  <c r="IJ7" i="4"/>
  <c r="IZ7" i="4"/>
  <c r="JZ7" i="4"/>
  <c r="HS21" i="4"/>
  <c r="AM97" i="1" s="1"/>
  <c r="AL30" i="1"/>
  <c r="AL173" i="1" s="1"/>
  <c r="AL176" i="1" s="1"/>
  <c r="CJ251" i="1"/>
  <c r="CI22" i="1"/>
  <c r="AM214" i="1"/>
  <c r="AA41" i="1"/>
  <c r="BZ272" i="1"/>
  <c r="JW19" i="4"/>
  <c r="IO19" i="4"/>
  <c r="BI98" i="1" s="1"/>
  <c r="CJ272" i="1"/>
  <c r="JY15" i="4"/>
  <c r="JR8" i="4"/>
  <c r="JS14" i="4"/>
  <c r="JS19" i="4" s="1"/>
  <c r="CG272" i="1"/>
  <c r="AA55" i="1"/>
  <c r="CA272" i="1"/>
  <c r="HT14" i="4"/>
  <c r="CG273" i="1"/>
  <c r="KC21" i="4"/>
  <c r="KD8" i="4"/>
  <c r="KD20" i="4" s="1"/>
  <c r="KD7" i="4"/>
  <c r="IG8" i="4"/>
  <c r="KG15" i="4"/>
  <c r="JR15" i="4"/>
  <c r="IP15" i="4"/>
  <c r="IF15" i="4"/>
  <c r="IF20" i="4" s="1"/>
  <c r="AZ99" i="1" s="1"/>
  <c r="CL118" i="1"/>
  <c r="ID7" i="4"/>
  <c r="JL14" i="4"/>
  <c r="AK30" i="1"/>
  <c r="AK36" i="1" s="1"/>
  <c r="HX15" i="4"/>
  <c r="IL14" i="4"/>
  <c r="IK14" i="4"/>
  <c r="IK19" i="4" s="1"/>
  <c r="BE98" i="1" s="1"/>
  <c r="IV8" i="4"/>
  <c r="AK200" i="1"/>
  <c r="AL200" i="1" s="1"/>
  <c r="CC140" i="1"/>
  <c r="CC149" i="1" s="1"/>
  <c r="JK7" i="4"/>
  <c r="JE21" i="4"/>
  <c r="BY97" i="1" s="1"/>
  <c r="JG7" i="4"/>
  <c r="JO15" i="4"/>
  <c r="JO20" i="4" s="1"/>
  <c r="CI99" i="1" s="1"/>
  <c r="IZ21" i="4"/>
  <c r="BT97" i="1" s="1"/>
  <c r="CA199" i="1"/>
  <c r="CB199" i="1" s="1"/>
  <c r="IU14" i="4"/>
  <c r="IU19" i="4" s="1"/>
  <c r="BO98" i="1" s="1"/>
  <c r="AM222" i="1"/>
  <c r="IE15" i="4"/>
  <c r="IE20" i="4" s="1"/>
  <c r="AY99" i="1" s="1"/>
  <c r="II19" i="4"/>
  <c r="BC98" i="1" s="1"/>
  <c r="AK140" i="1"/>
  <c r="CH46" i="1"/>
  <c r="KG8" i="4"/>
  <c r="KD14" i="4"/>
  <c r="HS15" i="4"/>
  <c r="HS20" i="4" s="1"/>
  <c r="AM99" i="1" s="1"/>
  <c r="HU14" i="4"/>
  <c r="AK46" i="1"/>
  <c r="AK47" i="1" s="1"/>
  <c r="JG8" i="4"/>
  <c r="IJ19" i="4"/>
  <c r="BD98" i="1" s="1"/>
  <c r="HQ14" i="4"/>
  <c r="JI21" i="4"/>
  <c r="CC97" i="1" s="1"/>
  <c r="IA14" i="4"/>
  <c r="IY15" i="4"/>
  <c r="IM8" i="4"/>
  <c r="CK158" i="1"/>
  <c r="CA203" i="1"/>
  <c r="CB203" i="1" s="1"/>
  <c r="JE7" i="4"/>
  <c r="JY8" i="4"/>
  <c r="JV7" i="4"/>
  <c r="JJ20" i="4"/>
  <c r="CD99" i="1" s="1"/>
  <c r="CA118" i="1"/>
  <c r="KE14" i="4"/>
  <c r="JT8" i="4"/>
  <c r="JH14" i="4"/>
  <c r="HU8" i="4"/>
  <c r="HU20" i="4" s="1"/>
  <c r="AO99" i="1" s="1"/>
  <c r="BX30" i="1"/>
  <c r="BX17" i="1" s="1"/>
  <c r="JM15" i="4"/>
  <c r="CP43" i="1"/>
  <c r="CA30" i="1"/>
  <c r="CA17" i="1" s="1"/>
  <c r="CC273" i="1"/>
  <c r="BL272" i="1"/>
  <c r="AL272" i="1"/>
  <c r="BL30" i="1"/>
  <c r="BL17" i="1" s="1"/>
  <c r="JC8" i="4"/>
  <c r="HT21" i="4"/>
  <c r="AN97" i="1" s="1"/>
  <c r="AM181" i="1"/>
  <c r="IH8" i="4"/>
  <c r="KA15" i="4"/>
  <c r="BL46" i="1"/>
  <c r="IT7" i="4"/>
  <c r="CE176" i="1"/>
  <c r="CI222" i="1"/>
  <c r="CJ148" i="1"/>
  <c r="CP153" i="1"/>
  <c r="CQ153" i="1" s="1"/>
  <c r="CR153" i="1" s="1"/>
  <c r="CS153" i="1" s="1"/>
  <c r="CT153" i="1" s="1"/>
  <c r="CU153" i="1" s="1"/>
  <c r="CV153" i="1" s="1"/>
  <c r="CW153" i="1" s="1"/>
  <c r="CM157" i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K168" i="1"/>
  <c r="KF14" i="4"/>
  <c r="CL85" i="1"/>
  <c r="AA67" i="1"/>
  <c r="IX15" i="4"/>
  <c r="CI168" i="1"/>
  <c r="CI202" i="1" s="1"/>
  <c r="KA7" i="4"/>
  <c r="CC200" i="1"/>
  <c r="CD200" i="1" s="1"/>
  <c r="CD226" i="1"/>
  <c r="AM46" i="1"/>
  <c r="AM47" i="1" s="1"/>
  <c r="AJ36" i="1"/>
  <c r="CJ85" i="1"/>
  <c r="CJ53" i="1"/>
  <c r="KH15" i="4"/>
  <c r="JD14" i="4"/>
  <c r="AN148" i="1"/>
  <c r="HY14" i="4"/>
  <c r="AL148" i="1"/>
  <c r="CG118" i="1"/>
  <c r="CB148" i="1"/>
  <c r="CC226" i="1" s="1"/>
  <c r="CP145" i="1"/>
  <c r="CQ145" i="1" s="1"/>
  <c r="CR145" i="1" s="1"/>
  <c r="CS145" i="1" s="1"/>
  <c r="CT145" i="1" s="1"/>
  <c r="CU145" i="1" s="1"/>
  <c r="CV145" i="1" s="1"/>
  <c r="CW145" i="1" s="1"/>
  <c r="AA84" i="1"/>
  <c r="Z84" i="1" s="1"/>
  <c r="Y84" i="1" s="1"/>
  <c r="X84" i="1" s="1"/>
  <c r="W84" i="1" s="1"/>
  <c r="V84" i="1" s="1"/>
  <c r="U84" i="1" s="1"/>
  <c r="T84" i="1" s="1"/>
  <c r="S84" i="1" s="1"/>
  <c r="R84" i="1" s="1"/>
  <c r="Q84" i="1" s="1"/>
  <c r="P84" i="1" s="1"/>
  <c r="O84" i="1" s="1"/>
  <c r="N84" i="1" s="1"/>
  <c r="M84" i="1" s="1"/>
  <c r="L84" i="1" s="1"/>
  <c r="K84" i="1" s="1"/>
  <c r="J84" i="1" s="1"/>
  <c r="I84" i="1" s="1"/>
  <c r="H84" i="1" s="1"/>
  <c r="G84" i="1" s="1"/>
  <c r="F84" i="1" s="1"/>
  <c r="E84" i="1" s="1"/>
  <c r="CD30" i="1"/>
  <c r="CD17" i="1" s="1"/>
  <c r="JS8" i="4"/>
  <c r="BZ30" i="1"/>
  <c r="JZ14" i="4"/>
  <c r="JZ19" i="4" s="1"/>
  <c r="AB65" i="1"/>
  <c r="CI176" i="1"/>
  <c r="CI205" i="1" s="1"/>
  <c r="AJ148" i="1"/>
  <c r="BZ222" i="1"/>
  <c r="BZ251" i="1"/>
  <c r="AM118" i="1"/>
  <c r="CC118" i="1"/>
  <c r="CC199" i="1"/>
  <c r="CD199" i="1" s="1"/>
  <c r="CD164" i="1" s="1"/>
  <c r="CJ273" i="1"/>
  <c r="CK30" i="1"/>
  <c r="CK17" i="1" s="1"/>
  <c r="CO17" i="1" s="1"/>
  <c r="CS17" i="1" s="1"/>
  <c r="CW17" i="1" s="1"/>
  <c r="JP20" i="4"/>
  <c r="CJ99" i="1" s="1"/>
  <c r="CB214" i="1"/>
  <c r="CB273" i="1"/>
  <c r="IE14" i="4"/>
  <c r="IE19" i="4" s="1"/>
  <c r="AY98" i="1" s="1"/>
  <c r="HP8" i="4"/>
  <c r="IT14" i="4"/>
  <c r="IT19" i="4" s="1"/>
  <c r="BN98" i="1" s="1"/>
  <c r="JC14" i="4"/>
  <c r="CM146" i="1"/>
  <c r="CN146" i="1" s="1"/>
  <c r="CO146" i="1" s="1"/>
  <c r="AA146" i="1"/>
  <c r="JH19" i="4"/>
  <c r="CB98" i="1" s="1"/>
  <c r="JI20" i="4"/>
  <c r="CC99" i="1" s="1"/>
  <c r="CM183" i="1"/>
  <c r="CN183" i="1" s="1"/>
  <c r="CO183" i="1" s="1"/>
  <c r="CP183" i="1" s="1"/>
  <c r="CQ183" i="1" s="1"/>
  <c r="CR183" i="1" s="1"/>
  <c r="CS183" i="1" s="1"/>
  <c r="AC183" i="1" s="1"/>
  <c r="CF53" i="1"/>
  <c r="JA15" i="4"/>
  <c r="IU8" i="4"/>
  <c r="JN7" i="4"/>
  <c r="HW8" i="4"/>
  <c r="AK168" i="1"/>
  <c r="AK202" i="1" s="1"/>
  <c r="CI158" i="1"/>
  <c r="AM176" i="1"/>
  <c r="AM205" i="1" s="1"/>
  <c r="AA145" i="1"/>
  <c r="CC46" i="1"/>
  <c r="CF46" i="1"/>
  <c r="BY176" i="1"/>
  <c r="BY205" i="1" s="1"/>
  <c r="BY204" i="1" s="1"/>
  <c r="BZ204" i="1" s="1"/>
  <c r="BZ205" i="1" s="1"/>
  <c r="JV14" i="4"/>
  <c r="JX15" i="4"/>
  <c r="CM184" i="1"/>
  <c r="CN184" i="1" s="1"/>
  <c r="CO184" i="1" s="1"/>
  <c r="AA184" i="1"/>
  <c r="JW15" i="4"/>
  <c r="JW20" i="4" s="1"/>
  <c r="CH272" i="1"/>
  <c r="CH251" i="1"/>
  <c r="CH30" i="1"/>
  <c r="CH173" i="1" s="1"/>
  <c r="CH176" i="1" s="1"/>
  <c r="CH217" i="1" s="1"/>
  <c r="KE8" i="4"/>
  <c r="KE20" i="4" s="1"/>
  <c r="HZ8" i="4"/>
  <c r="HZ20" i="4" s="1"/>
  <c r="AT99" i="1" s="1"/>
  <c r="HT8" i="4"/>
  <c r="BL273" i="1"/>
  <c r="BL214" i="1"/>
  <c r="IQ8" i="4"/>
  <c r="CE272" i="1"/>
  <c r="JC7" i="4"/>
  <c r="IA8" i="4"/>
  <c r="HT15" i="4"/>
  <c r="BX46" i="1"/>
  <c r="CI251" i="1"/>
  <c r="CI30" i="1"/>
  <c r="AA137" i="1"/>
  <c r="CB154" i="1"/>
  <c r="CB158" i="1" s="1"/>
  <c r="CK148" i="1"/>
  <c r="CK188" i="1" s="1"/>
  <c r="AI140" i="1"/>
  <c r="BY148" i="1"/>
  <c r="JN14" i="4"/>
  <c r="JR14" i="4"/>
  <c r="HV14" i="4"/>
  <c r="HP7" i="4"/>
  <c r="HP19" i="4" s="1"/>
  <c r="AJ98" i="1" s="1"/>
  <c r="KH14" i="4"/>
  <c r="IP8" i="4"/>
  <c r="HP15" i="4"/>
  <c r="AK199" i="1"/>
  <c r="AL199" i="1" s="1"/>
  <c r="CA222" i="1"/>
  <c r="CB222" i="1"/>
  <c r="CA158" i="1"/>
  <c r="CB223" i="1" s="1"/>
  <c r="CB221" i="1" s="1"/>
  <c r="CK140" i="1"/>
  <c r="AK148" i="1"/>
  <c r="CF273" i="1"/>
  <c r="CG214" i="1"/>
  <c r="CI148" i="1"/>
  <c r="CI269" i="1" s="1"/>
  <c r="CE148" i="1"/>
  <c r="CF269" i="1" s="1"/>
  <c r="AI148" i="1"/>
  <c r="KH7" i="4"/>
  <c r="JJ7" i="4"/>
  <c r="KB7" i="4"/>
  <c r="KB19" i="4" s="1"/>
  <c r="AA44" i="1"/>
  <c r="JN15" i="4"/>
  <c r="IQ7" i="4"/>
  <c r="IA7" i="4"/>
  <c r="JM7" i="4"/>
  <c r="IR15" i="4"/>
  <c r="JP7" i="4"/>
  <c r="JP19" i="4" s="1"/>
  <c r="CJ98" i="1" s="1"/>
  <c r="JR7" i="4"/>
  <c r="IS21" i="4"/>
  <c r="BM97" i="1" s="1"/>
  <c r="HV7" i="4"/>
  <c r="IM15" i="4"/>
  <c r="IM20" i="4" s="1"/>
  <c r="BG99" i="1" s="1"/>
  <c r="JI14" i="4"/>
  <c r="IH15" i="4"/>
  <c r="IH20" i="4" s="1"/>
  <c r="BB99" i="1" s="1"/>
  <c r="ID14" i="4"/>
  <c r="IL7" i="4"/>
  <c r="IH7" i="4"/>
  <c r="IH19" i="4" s="1"/>
  <c r="BB98" i="1" s="1"/>
  <c r="AK176" i="1"/>
  <c r="AK205" i="1" s="1"/>
  <c r="AK204" i="1" s="1"/>
  <c r="AL204" i="1" s="1"/>
  <c r="AL205" i="1" s="1"/>
  <c r="AA162" i="1"/>
  <c r="CF118" i="1"/>
  <c r="CC176" i="1"/>
  <c r="CC205" i="1" s="1"/>
  <c r="CC206" i="1" s="1"/>
  <c r="CI140" i="1"/>
  <c r="CI112" i="1" s="1"/>
  <c r="CE273" i="1"/>
  <c r="CE168" i="1"/>
  <c r="CE177" i="1" s="1"/>
  <c r="CE118" i="1"/>
  <c r="CL30" i="1"/>
  <c r="JL8" i="4"/>
  <c r="JL20" i="4" s="1"/>
  <c r="CF99" i="1" s="1"/>
  <c r="KB15" i="4"/>
  <c r="KH8" i="4"/>
  <c r="IW8" i="4"/>
  <c r="JM21" i="4"/>
  <c r="CG97" i="1" s="1"/>
  <c r="IQ14" i="4"/>
  <c r="CD46" i="1"/>
  <c r="IC15" i="4"/>
  <c r="JQ21" i="4"/>
  <c r="CK97" i="1" s="1"/>
  <c r="AA97" i="1" s="1"/>
  <c r="CA273" i="1"/>
  <c r="CA214" i="1"/>
  <c r="JT15" i="4"/>
  <c r="IZ15" i="4"/>
  <c r="HX14" i="4"/>
  <c r="IV21" i="4"/>
  <c r="BP97" i="1" s="1"/>
  <c r="JO21" i="4"/>
  <c r="CI97" i="1" s="1"/>
  <c r="CG251" i="1"/>
  <c r="CG30" i="1"/>
  <c r="KD21" i="4"/>
  <c r="HR8" i="4"/>
  <c r="IL8" i="4"/>
  <c r="IF21" i="4"/>
  <c r="AZ97" i="1" s="1"/>
  <c r="JO7" i="4"/>
  <c r="JO19" i="4" s="1"/>
  <c r="CI98" i="1" s="1"/>
  <c r="CI127" i="1" s="1"/>
  <c r="HW21" i="4"/>
  <c r="AQ97" i="1" s="1"/>
  <c r="KA14" i="4"/>
  <c r="IK21" i="4"/>
  <c r="BE97" i="1" s="1"/>
  <c r="IO21" i="4"/>
  <c r="BI97" i="1" s="1"/>
  <c r="IZ8" i="4"/>
  <c r="IX8" i="4"/>
  <c r="IY7" i="4"/>
  <c r="IN21" i="4"/>
  <c r="BH97" i="1" s="1"/>
  <c r="ID8" i="4"/>
  <c r="ID20" i="4" s="1"/>
  <c r="AX99" i="1" s="1"/>
  <c r="AI154" i="1"/>
  <c r="HX8" i="4"/>
  <c r="JB21" i="4"/>
  <c r="BV97" i="1" s="1"/>
  <c r="CA181" i="1"/>
  <c r="CA188" i="1" s="1"/>
  <c r="CE181" i="1"/>
  <c r="AM200" i="1"/>
  <c r="AN200" i="1" s="1"/>
  <c r="IN7" i="4"/>
  <c r="IN19" i="4" s="1"/>
  <c r="BH98" i="1" s="1"/>
  <c r="CI199" i="1"/>
  <c r="CJ199" i="1" s="1"/>
  <c r="CK199" i="1" s="1"/>
  <c r="CL199" i="1" s="1"/>
  <c r="JD8" i="4"/>
  <c r="CB251" i="1"/>
  <c r="CB30" i="1"/>
  <c r="IX14" i="4"/>
  <c r="IX19" i="4" s="1"/>
  <c r="BR98" i="1" s="1"/>
  <c r="CC181" i="1"/>
  <c r="CC188" i="1" s="1"/>
  <c r="JS7" i="4"/>
  <c r="CE140" i="1"/>
  <c r="CF137" i="1"/>
  <c r="IJ21" i="4"/>
  <c r="BD97" i="1" s="1"/>
  <c r="CA168" i="1"/>
  <c r="CA202" i="1" s="1"/>
  <c r="CA176" i="1"/>
  <c r="CA205" i="1" s="1"/>
  <c r="JH21" i="4"/>
  <c r="CB97" i="1" s="1"/>
  <c r="AL214" i="1"/>
  <c r="AL273" i="1"/>
  <c r="HR15" i="4"/>
  <c r="IT15" i="4"/>
  <c r="IT20" i="4" s="1"/>
  <c r="BN99" i="1" s="1"/>
  <c r="AM154" i="1"/>
  <c r="HY7" i="4"/>
  <c r="JD15" i="4"/>
  <c r="CA140" i="1"/>
  <c r="CA149" i="1" s="1"/>
  <c r="HW15" i="4"/>
  <c r="IW14" i="4"/>
  <c r="IW19" i="4" s="1"/>
  <c r="BQ98" i="1" s="1"/>
  <c r="AI168" i="1"/>
  <c r="AI216" i="1" s="1"/>
  <c r="CO43" i="1"/>
  <c r="CS43" i="1" s="1"/>
  <c r="CW43" i="1" s="1"/>
  <c r="DA43" i="1" s="1"/>
  <c r="AM168" i="1"/>
  <c r="CI46" i="1"/>
  <c r="CI47" i="1" s="1"/>
  <c r="CF214" i="1"/>
  <c r="CK46" i="1"/>
  <c r="CL46" i="1"/>
  <c r="CH273" i="1"/>
  <c r="CH214" i="1"/>
  <c r="IB15" i="4"/>
  <c r="JZ15" i="4"/>
  <c r="JQ15" i="4"/>
  <c r="JQ20" i="4" s="1"/>
  <c r="CK99" i="1" s="1"/>
  <c r="CK128" i="1" s="1"/>
  <c r="CA46" i="1"/>
  <c r="JA7" i="4"/>
  <c r="JA19" i="4" s="1"/>
  <c r="BU98" i="1" s="1"/>
  <c r="JN8" i="4"/>
  <c r="CG46" i="1"/>
  <c r="JT14" i="4"/>
  <c r="JB15" i="4"/>
  <c r="JB20" i="4" s="1"/>
  <c r="BV99" i="1" s="1"/>
  <c r="JU8" i="4"/>
  <c r="JU20" i="4" s="1"/>
  <c r="JA8" i="4"/>
  <c r="HS7" i="4"/>
  <c r="HS19" i="4" s="1"/>
  <c r="AM98" i="1" s="1"/>
  <c r="IV14" i="4"/>
  <c r="IV19" i="4" s="1"/>
  <c r="BP98" i="1" s="1"/>
  <c r="HX7" i="4"/>
  <c r="AJ46" i="1"/>
  <c r="AJ47" i="1" s="1"/>
  <c r="AA65" i="1"/>
  <c r="IC7" i="4"/>
  <c r="JM14" i="4"/>
  <c r="JM19" i="4" s="1"/>
  <c r="CG98" i="1" s="1"/>
  <c r="JN21" i="4"/>
  <c r="CH97" i="1" s="1"/>
  <c r="CE46" i="1"/>
  <c r="CE47" i="1" s="1"/>
  <c r="CL53" i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IN15" i="4"/>
  <c r="JG21" i="4"/>
  <c r="CA97" i="1" s="1"/>
  <c r="IU15" i="4"/>
  <c r="IU20" i="4" s="1"/>
  <c r="BO99" i="1" s="1"/>
  <c r="HX21" i="4"/>
  <c r="AR97" i="1" s="1"/>
  <c r="CD273" i="1"/>
  <c r="HU7" i="4"/>
  <c r="IC8" i="4"/>
  <c r="HQ8" i="4"/>
  <c r="CI200" i="1"/>
  <c r="CJ200" i="1" s="1"/>
  <c r="CK200" i="1" s="1"/>
  <c r="CL200" i="1" s="1"/>
  <c r="CM200" i="1" s="1"/>
  <c r="CN200" i="1" s="1"/>
  <c r="CO200" i="1" s="1"/>
  <c r="CP200" i="1" s="1"/>
  <c r="CQ200" i="1" s="1"/>
  <c r="CR200" i="1" s="1"/>
  <c r="CS200" i="1" s="1"/>
  <c r="CT200" i="1" s="1"/>
  <c r="CU200" i="1" s="1"/>
  <c r="CV200" i="1" s="1"/>
  <c r="CW200" i="1" s="1"/>
  <c r="CX200" i="1" s="1"/>
  <c r="CY200" i="1" s="1"/>
  <c r="CZ200" i="1" s="1"/>
  <c r="DA200" i="1" s="1"/>
  <c r="AA147" i="1"/>
  <c r="CM147" i="1"/>
  <c r="CN147" i="1" s="1"/>
  <c r="CO147" i="1" s="1"/>
  <c r="IS14" i="4"/>
  <c r="IS19" i="4" s="1"/>
  <c r="BM98" i="1" s="1"/>
  <c r="AA138" i="1"/>
  <c r="CM138" i="1"/>
  <c r="CN138" i="1" s="1"/>
  <c r="CO138" i="1" s="1"/>
  <c r="AL222" i="1"/>
  <c r="AM148" i="1"/>
  <c r="AM188" i="1" s="1"/>
  <c r="CF251" i="1"/>
  <c r="CH118" i="1"/>
  <c r="CJ46" i="1"/>
  <c r="CJ47" i="1" s="1"/>
  <c r="CI118" i="1"/>
  <c r="CI119" i="1" s="1"/>
  <c r="CF30" i="1"/>
  <c r="CJ31" i="1" s="1"/>
  <c r="BY46" i="1"/>
  <c r="JG20" i="4"/>
  <c r="CA99" i="1" s="1"/>
  <c r="KA21" i="4"/>
  <c r="KF8" i="4"/>
  <c r="KF20" i="4" s="1"/>
  <c r="JZ8" i="4"/>
  <c r="JV15" i="4"/>
  <c r="AA40" i="1"/>
  <c r="KB8" i="4"/>
  <c r="CB118" i="1"/>
  <c r="BY30" i="1"/>
  <c r="BY251" i="1"/>
  <c r="CB46" i="1"/>
  <c r="AA66" i="1"/>
  <c r="JF21" i="4"/>
  <c r="BZ97" i="1" s="1"/>
  <c r="IW7" i="4"/>
  <c r="IG21" i="4"/>
  <c r="BA97" i="1" s="1"/>
  <c r="BY168" i="1"/>
  <c r="BY202" i="1" s="1"/>
  <c r="IR14" i="4"/>
  <c r="IR19" i="4" s="1"/>
  <c r="BL98" i="1" s="1"/>
  <c r="AK222" i="1"/>
  <c r="IH21" i="4"/>
  <c r="BB97" i="1" s="1"/>
  <c r="AM140" i="1"/>
  <c r="IV15" i="4"/>
  <c r="HR14" i="4"/>
  <c r="IG7" i="4"/>
  <c r="KE7" i="4"/>
  <c r="KE19" i="4" s="1"/>
  <c r="JX8" i="4"/>
  <c r="JK8" i="4"/>
  <c r="JV8" i="4"/>
  <c r="CI203" i="1"/>
  <c r="CJ203" i="1" s="1"/>
  <c r="CK203" i="1" s="1"/>
  <c r="CL203" i="1" s="1"/>
  <c r="JC15" i="4"/>
  <c r="IY8" i="4"/>
  <c r="ID21" i="4"/>
  <c r="AX97" i="1" s="1"/>
  <c r="AA29" i="1"/>
  <c r="IB8" i="4"/>
  <c r="HZ14" i="4"/>
  <c r="JI7" i="4"/>
  <c r="HR7" i="4"/>
  <c r="IG14" i="4"/>
  <c r="HZ7" i="4"/>
  <c r="IQ15" i="4"/>
  <c r="IQ20" i="4" s="1"/>
  <c r="BK99" i="1" s="1"/>
  <c r="BJ46" i="1"/>
  <c r="II21" i="4"/>
  <c r="BC97" i="1" s="1"/>
  <c r="IU7" i="4"/>
  <c r="IC14" i="4"/>
  <c r="IF14" i="4"/>
  <c r="IF19" i="4" s="1"/>
  <c r="AZ98" i="1" s="1"/>
  <c r="IA21" i="4"/>
  <c r="AU97" i="1" s="1"/>
  <c r="IG15" i="4"/>
  <c r="JE8" i="4"/>
  <c r="JE20" i="4" s="1"/>
  <c r="BY99" i="1" s="1"/>
  <c r="CE154" i="1"/>
  <c r="CF154" i="1" s="1"/>
  <c r="AK154" i="1"/>
  <c r="BZ148" i="1"/>
  <c r="CA269" i="1" s="1"/>
  <c r="AJ222" i="1"/>
  <c r="AA43" i="1"/>
  <c r="AA22" i="1" s="1"/>
  <c r="CJ118" i="1"/>
  <c r="CD251" i="1"/>
  <c r="AI176" i="1"/>
  <c r="AI217" i="1" s="1"/>
  <c r="AI222" i="1"/>
  <c r="BY200" i="1"/>
  <c r="BZ200" i="1" s="1"/>
  <c r="BZ165" i="1" s="1"/>
  <c r="CK118" i="1"/>
  <c r="CK119" i="1" s="1"/>
  <c r="BZ273" i="1"/>
  <c r="CD118" i="1"/>
  <c r="JT7" i="4"/>
  <c r="JU14" i="4"/>
  <c r="JU19" i="4" s="1"/>
  <c r="KF7" i="4"/>
  <c r="IM7" i="4"/>
  <c r="KC8" i="4"/>
  <c r="KC20" i="4" s="1"/>
  <c r="IY14" i="4"/>
  <c r="IR21" i="4"/>
  <c r="BL97" i="1" s="1"/>
  <c r="JQ14" i="4"/>
  <c r="JQ19" i="4" s="1"/>
  <c r="CK98" i="1" s="1"/>
  <c r="CK127" i="1" s="1"/>
  <c r="JL7" i="4"/>
  <c r="JD7" i="4"/>
  <c r="JD19" i="4" s="1"/>
  <c r="BX98" i="1" s="1"/>
  <c r="JW21" i="4"/>
  <c r="JK14" i="4"/>
  <c r="JK19" i="4" s="1"/>
  <c r="CE98" i="1" s="1"/>
  <c r="HQ7" i="4"/>
  <c r="HQ19" i="4" s="1"/>
  <c r="AK98" i="1" s="1"/>
  <c r="JS15" i="4"/>
  <c r="JL21" i="4"/>
  <c r="CF97" i="1" s="1"/>
  <c r="IM14" i="4"/>
  <c r="IM19" i="4" s="1"/>
  <c r="BG98" i="1" s="1"/>
  <c r="JJ14" i="4"/>
  <c r="IS15" i="4"/>
  <c r="IS20" i="4" s="1"/>
  <c r="BM99" i="1" s="1"/>
  <c r="AA34" i="1"/>
  <c r="IZ14" i="4"/>
  <c r="IZ19" i="4" s="1"/>
  <c r="BT98" i="1" s="1"/>
  <c r="JK15" i="4"/>
  <c r="JK20" i="4" s="1"/>
  <c r="CE99" i="1" s="1"/>
  <c r="IN8" i="4"/>
  <c r="HR21" i="4"/>
  <c r="AL97" i="1" s="1"/>
  <c r="AL46" i="1"/>
  <c r="JM8" i="4"/>
  <c r="JM20" i="4" s="1"/>
  <c r="CG99" i="1" s="1"/>
  <c r="IR7" i="4"/>
  <c r="HT7" i="4"/>
  <c r="CE222" i="1"/>
  <c r="IW15" i="4"/>
  <c r="IW20" i="4" s="1"/>
  <c r="BQ99" i="1" s="1"/>
  <c r="CM155" i="1"/>
  <c r="CN155" i="1" s="1"/>
  <c r="CO155" i="1" s="1"/>
  <c r="AA155" i="1"/>
  <c r="BX273" i="1"/>
  <c r="JP21" i="4"/>
  <c r="CJ97" i="1" s="1"/>
  <c r="CI214" i="1"/>
  <c r="CI152" i="1"/>
  <c r="CI273" i="1"/>
  <c r="JF14" i="4"/>
  <c r="JF19" i="4" s="1"/>
  <c r="BZ98" i="1" s="1"/>
  <c r="HW14" i="4"/>
  <c r="HW19" i="4" s="1"/>
  <c r="AQ98" i="1" s="1"/>
  <c r="KB21" i="4"/>
  <c r="IT21" i="4"/>
  <c r="BN97" i="1" s="1"/>
  <c r="IJ8" i="4"/>
  <c r="IJ20" i="4" s="1"/>
  <c r="BD99" i="1" s="1"/>
  <c r="HQ15" i="4"/>
  <c r="IO8" i="4"/>
  <c r="IO20" i="4" s="1"/>
  <c r="BI99" i="1" s="1"/>
  <c r="AM199" i="1"/>
  <c r="AN199" i="1" s="1"/>
  <c r="AM30" i="1"/>
  <c r="AM36" i="1" s="1"/>
  <c r="IA15" i="4"/>
  <c r="BY154" i="1"/>
  <c r="IR8" i="4"/>
  <c r="JF15" i="4"/>
  <c r="JF20" i="4" s="1"/>
  <c r="BZ99" i="1" s="1"/>
  <c r="BY140" i="1"/>
  <c r="IK8" i="4"/>
  <c r="IK20" i="4" s="1"/>
  <c r="BE99" i="1" s="1"/>
  <c r="IL15" i="4"/>
  <c r="CC154" i="1"/>
  <c r="AB157" i="1"/>
  <c r="BZ173" i="1"/>
  <c r="BZ176" i="1" s="1"/>
  <c r="CE269" i="1"/>
  <c r="CC36" i="1"/>
  <c r="CC19" i="1" s="1"/>
  <c r="CC21" i="1" s="1"/>
  <c r="CC23" i="1" s="1"/>
  <c r="BZ36" i="1"/>
  <c r="BZ19" i="1" s="1"/>
  <c r="BZ21" i="1" s="1"/>
  <c r="BZ23" i="1" s="1"/>
  <c r="CG31" i="1"/>
  <c r="CD269" i="1"/>
  <c r="AM204" i="1"/>
  <c r="AN204" i="1" s="1"/>
  <c r="AN205" i="1" s="1"/>
  <c r="CG222" i="1"/>
  <c r="CJ17" i="1"/>
  <c r="CJ36" i="1"/>
  <c r="CJ19" i="1" s="1"/>
  <c r="CJ21" i="1" s="1"/>
  <c r="CJ23" i="1" s="1"/>
  <c r="S132" i="1"/>
  <c r="Y186" i="1"/>
  <c r="Y218" i="1"/>
  <c r="X186" i="1"/>
  <c r="AC66" i="1"/>
  <c r="CI128" i="1"/>
  <c r="CH222" i="1"/>
  <c r="Z177" i="1"/>
  <c r="AJ37" i="1"/>
  <c r="X201" i="1"/>
  <c r="X206" i="1"/>
  <c r="CU66" i="1"/>
  <c r="CV66" i="1" s="1"/>
  <c r="CW66" i="1" s="1"/>
  <c r="CX66" i="1" s="1"/>
  <c r="V38" i="1"/>
  <c r="U37" i="1"/>
  <c r="U48" i="1"/>
  <c r="AC157" i="1"/>
  <c r="U38" i="1"/>
  <c r="T37" i="1"/>
  <c r="T48" i="1"/>
  <c r="S38" i="1"/>
  <c r="R37" i="1"/>
  <c r="R48" i="1"/>
  <c r="CH226" i="1"/>
  <c r="CH269" i="1"/>
  <c r="CH154" i="1"/>
  <c r="CG158" i="1"/>
  <c r="CH53" i="1"/>
  <c r="I37" i="1"/>
  <c r="J38" i="1"/>
  <c r="I48" i="1"/>
  <c r="J37" i="1"/>
  <c r="K38" i="1"/>
  <c r="J48" i="1"/>
  <c r="Z206" i="1"/>
  <c r="Z201" i="1"/>
  <c r="Y201" i="1"/>
  <c r="Y206" i="1"/>
  <c r="G37" i="1"/>
  <c r="H38" i="1"/>
  <c r="G48" i="1"/>
  <c r="CL222" i="1"/>
  <c r="AA160" i="1"/>
  <c r="N37" i="1"/>
  <c r="O38" i="1"/>
  <c r="N48" i="1"/>
  <c r="CG205" i="1"/>
  <c r="CG204" i="1" s="1"/>
  <c r="CH204" i="1" s="1"/>
  <c r="CH205" i="1" s="1"/>
  <c r="Q37" i="1"/>
  <c r="R38" i="1"/>
  <c r="Q48" i="1"/>
  <c r="K37" i="1"/>
  <c r="L38" i="1"/>
  <c r="K48" i="1"/>
  <c r="AC65" i="1"/>
  <c r="X38" i="1"/>
  <c r="W37" i="1"/>
  <c r="W48" i="1"/>
  <c r="H37" i="1"/>
  <c r="I38" i="1"/>
  <c r="H48" i="1"/>
  <c r="P37" i="1"/>
  <c r="Q38" i="1"/>
  <c r="P48" i="1"/>
  <c r="CG188" i="1"/>
  <c r="CG149" i="1"/>
  <c r="CG226" i="1"/>
  <c r="CG269" i="1"/>
  <c r="AB97" i="1"/>
  <c r="CP97" i="1"/>
  <c r="CQ97" i="1" s="1"/>
  <c r="CR97" i="1" s="1"/>
  <c r="CS97" i="1" s="1"/>
  <c r="X37" i="1"/>
  <c r="X48" i="1"/>
  <c r="Y38" i="1"/>
  <c r="M37" i="1"/>
  <c r="N38" i="1"/>
  <c r="M48" i="1"/>
  <c r="CT43" i="1"/>
  <c r="D38" i="1"/>
  <c r="C48" i="1"/>
  <c r="C50" i="1" s="1"/>
  <c r="C37" i="1"/>
  <c r="O37" i="1"/>
  <c r="P38" i="1"/>
  <c r="O48" i="1"/>
  <c r="AA144" i="1"/>
  <c r="CU65" i="1"/>
  <c r="CV65" i="1" s="1"/>
  <c r="CW65" i="1" s="1"/>
  <c r="CX65" i="1" s="1"/>
  <c r="CG83" i="1"/>
  <c r="CH85" i="1"/>
  <c r="Z217" i="1"/>
  <c r="Z218" i="1" s="1"/>
  <c r="CT142" i="1"/>
  <c r="CU142" i="1" s="1"/>
  <c r="CV142" i="1" s="1"/>
  <c r="CW142" i="1" s="1"/>
  <c r="AC142" i="1"/>
  <c r="CG177" i="1"/>
  <c r="CG202" i="1"/>
  <c r="L37" i="1"/>
  <c r="M38" i="1"/>
  <c r="L48" i="1"/>
  <c r="F37" i="1"/>
  <c r="G38" i="1"/>
  <c r="F48" i="1"/>
  <c r="CP137" i="1"/>
  <c r="CQ137" i="1" s="1"/>
  <c r="CR137" i="1" s="1"/>
  <c r="CS137" i="1" s="1"/>
  <c r="AB137" i="1"/>
  <c r="Z37" i="1"/>
  <c r="Z48" i="1"/>
  <c r="B49" i="1"/>
  <c r="B132" i="1"/>
  <c r="B252" i="1"/>
  <c r="B253" i="1" s="1"/>
  <c r="D37" i="1"/>
  <c r="D48" i="1"/>
  <c r="E38" i="1"/>
  <c r="Y37" i="1"/>
  <c r="Z38" i="1"/>
  <c r="Y48" i="1"/>
  <c r="T38" i="1"/>
  <c r="W38" i="1"/>
  <c r="V37" i="1"/>
  <c r="V48" i="1"/>
  <c r="E48" i="1"/>
  <c r="F38" i="1"/>
  <c r="E37" i="1"/>
  <c r="CM83" i="1"/>
  <c r="AA83" i="1"/>
  <c r="Z158" i="1"/>
  <c r="Z53" i="1"/>
  <c r="BZ1" i="1"/>
  <c r="B58" i="1"/>
  <c r="AE12" i="1" l="1"/>
  <c r="AE8" i="1"/>
  <c r="AE14" i="1" s="1"/>
  <c r="CL164" i="1"/>
  <c r="CL165" i="1"/>
  <c r="CL173" i="1"/>
  <c r="CL172" i="1"/>
  <c r="CL166" i="1"/>
  <c r="BL47" i="1"/>
  <c r="CD208" i="1"/>
  <c r="CE36" i="1"/>
  <c r="CE19" i="1" s="1"/>
  <c r="CE21" i="1" s="1"/>
  <c r="CE23" i="1" s="1"/>
  <c r="IP20" i="4"/>
  <c r="BJ99" i="1" s="1"/>
  <c r="BZ47" i="1"/>
  <c r="CK177" i="1"/>
  <c r="JE19" i="4"/>
  <c r="BY98" i="1" s="1"/>
  <c r="KG20" i="4"/>
  <c r="HV20" i="4"/>
  <c r="AP99" i="1" s="1"/>
  <c r="BX36" i="1"/>
  <c r="BX37" i="1" s="1"/>
  <c r="KA20" i="4"/>
  <c r="AK48" i="1"/>
  <c r="IL19" i="4"/>
  <c r="BF98" i="1" s="1"/>
  <c r="CC47" i="1"/>
  <c r="HT19" i="4"/>
  <c r="AN98" i="1" s="1"/>
  <c r="BY32" i="1"/>
  <c r="CB31" i="1"/>
  <c r="JY20" i="4"/>
  <c r="II20" i="4"/>
  <c r="BC99" i="1" s="1"/>
  <c r="BX47" i="1"/>
  <c r="CF226" i="1"/>
  <c r="CE188" i="1"/>
  <c r="JT20" i="4"/>
  <c r="CA36" i="1"/>
  <c r="CA39" i="1" s="1"/>
  <c r="AL165" i="1"/>
  <c r="CA47" i="1"/>
  <c r="CA204" i="1"/>
  <c r="CB204" i="1" s="1"/>
  <c r="CB205" i="1" s="1"/>
  <c r="CC48" i="1"/>
  <c r="CC252" i="1" s="1"/>
  <c r="CC253" i="1" s="1"/>
  <c r="AL36" i="1"/>
  <c r="AL39" i="1" s="1"/>
  <c r="CK36" i="1"/>
  <c r="CK19" i="1" s="1"/>
  <c r="CK21" i="1" s="1"/>
  <c r="CK23" i="1" s="1"/>
  <c r="CB245" i="1"/>
  <c r="AL47" i="1"/>
  <c r="JL19" i="4"/>
  <c r="CF98" i="1" s="1"/>
  <c r="IG20" i="4"/>
  <c r="BA99" i="1" s="1"/>
  <c r="CE31" i="1"/>
  <c r="HX20" i="4"/>
  <c r="AR99" i="1" s="1"/>
  <c r="CH165" i="1"/>
  <c r="AK32" i="1"/>
  <c r="JR20" i="4"/>
  <c r="CL99" i="1" s="1"/>
  <c r="CL128" i="1" s="1"/>
  <c r="AL164" i="1"/>
  <c r="AL168" i="1" s="1"/>
  <c r="AL177" i="1" s="1"/>
  <c r="AK37" i="1"/>
  <c r="AC153" i="1"/>
  <c r="BZ48" i="1"/>
  <c r="BZ49" i="1" s="1"/>
  <c r="CC37" i="1"/>
  <c r="CD165" i="1"/>
  <c r="CD168" i="1" s="1"/>
  <c r="CK185" i="1"/>
  <c r="CK32" i="1"/>
  <c r="AL32" i="1"/>
  <c r="CD47" i="1"/>
  <c r="CH164" i="1"/>
  <c r="BL36" i="1"/>
  <c r="CK47" i="1"/>
  <c r="CL32" i="1"/>
  <c r="CL47" i="1"/>
  <c r="KD19" i="4"/>
  <c r="CE48" i="1"/>
  <c r="CE252" i="1" s="1"/>
  <c r="CE253" i="1" s="1"/>
  <c r="IG19" i="4"/>
  <c r="BA98" i="1" s="1"/>
  <c r="JC20" i="4"/>
  <c r="BW99" i="1" s="1"/>
  <c r="BY201" i="1"/>
  <c r="BZ201" i="1" s="1"/>
  <c r="BZ202" i="1" s="1"/>
  <c r="BZ206" i="1" s="1"/>
  <c r="CD36" i="1"/>
  <c r="IZ20" i="4"/>
  <c r="BT99" i="1" s="1"/>
  <c r="KH19" i="4"/>
  <c r="JV19" i="4"/>
  <c r="KH20" i="4"/>
  <c r="CI206" i="1"/>
  <c r="CD32" i="1"/>
  <c r="CI114" i="1"/>
  <c r="IX20" i="4"/>
  <c r="BR99" i="1" s="1"/>
  <c r="IY20" i="4"/>
  <c r="BS99" i="1" s="1"/>
  <c r="CE32" i="1"/>
  <c r="HU19" i="4"/>
  <c r="AO98" i="1" s="1"/>
  <c r="CE208" i="1"/>
  <c r="HY19" i="4"/>
  <c r="AS98" i="1" s="1"/>
  <c r="CA201" i="1"/>
  <c r="CB201" i="1" s="1"/>
  <c r="CB202" i="1" s="1"/>
  <c r="ID19" i="4"/>
  <c r="AX98" i="1" s="1"/>
  <c r="IR20" i="4"/>
  <c r="BL99" i="1" s="1"/>
  <c r="JN20" i="4"/>
  <c r="CH99" i="1" s="1"/>
  <c r="CH128" i="1" s="1"/>
  <c r="AB84" i="1"/>
  <c r="AC84" i="1" s="1"/>
  <c r="AD84" i="1" s="1"/>
  <c r="AE84" i="1" s="1"/>
  <c r="AM32" i="1"/>
  <c r="CD173" i="1"/>
  <c r="CD176" i="1" s="1"/>
  <c r="IV20" i="4"/>
  <c r="BP99" i="1" s="1"/>
  <c r="AM177" i="1"/>
  <c r="KB20" i="4"/>
  <c r="AJ48" i="1"/>
  <c r="AJ252" i="1" s="1"/>
  <c r="AJ253" i="1" s="1"/>
  <c r="IQ19" i="4"/>
  <c r="BK98" i="1" s="1"/>
  <c r="AK201" i="1"/>
  <c r="AL201" i="1" s="1"/>
  <c r="AL202" i="1" s="1"/>
  <c r="AL206" i="1" s="1"/>
  <c r="CF245" i="1"/>
  <c r="CT183" i="1"/>
  <c r="CU183" i="1" s="1"/>
  <c r="CV183" i="1" s="1"/>
  <c r="CW183" i="1" s="1"/>
  <c r="CX183" i="1" s="1"/>
  <c r="CY183" i="1" s="1"/>
  <c r="CZ183" i="1" s="1"/>
  <c r="DA183" i="1" s="1"/>
  <c r="AE183" i="1" s="1"/>
  <c r="HQ20" i="4"/>
  <c r="AK99" i="1" s="1"/>
  <c r="KF19" i="4"/>
  <c r="AI218" i="1"/>
  <c r="KA19" i="4"/>
  <c r="IA19" i="4"/>
  <c r="AU98" i="1" s="1"/>
  <c r="JC19" i="4"/>
  <c r="BW98" i="1" s="1"/>
  <c r="AM226" i="1"/>
  <c r="CL119" i="1"/>
  <c r="CL122" i="1" s="1"/>
  <c r="CJ164" i="1"/>
  <c r="CI188" i="1"/>
  <c r="AC145" i="1"/>
  <c r="CJ165" i="1"/>
  <c r="CJ168" i="1" s="1"/>
  <c r="CJ269" i="1"/>
  <c r="CJ226" i="1"/>
  <c r="CI226" i="1"/>
  <c r="CJ208" i="1"/>
  <c r="CC53" i="1"/>
  <c r="CH245" i="1"/>
  <c r="CC177" i="1"/>
  <c r="CJ245" i="1"/>
  <c r="CJ128" i="1"/>
  <c r="AB183" i="1"/>
  <c r="CJ119" i="1"/>
  <c r="CJ122" i="1" s="1"/>
  <c r="CC201" i="1"/>
  <c r="CD201" i="1" s="1"/>
  <c r="CD202" i="1" s="1"/>
  <c r="CK124" i="1"/>
  <c r="CD31" i="1"/>
  <c r="CG245" i="1"/>
  <c r="AM245" i="1"/>
  <c r="AM269" i="1"/>
  <c r="CA226" i="1"/>
  <c r="CC204" i="1"/>
  <c r="CD204" i="1" s="1"/>
  <c r="CD205" i="1" s="1"/>
  <c r="IA20" i="4"/>
  <c r="AU99" i="1" s="1"/>
  <c r="CA32" i="1"/>
  <c r="CF32" i="1"/>
  <c r="Z78" i="1"/>
  <c r="CB226" i="1"/>
  <c r="CF36" i="1"/>
  <c r="CF19" i="1" s="1"/>
  <c r="CF21" i="1" s="1"/>
  <c r="CF23" i="1" s="1"/>
  <c r="CG32" i="1"/>
  <c r="AK39" i="1"/>
  <c r="BZ17" i="1"/>
  <c r="BZ18" i="1" s="1"/>
  <c r="CC269" i="1"/>
  <c r="CB269" i="1"/>
  <c r="JV20" i="4"/>
  <c r="CG208" i="1"/>
  <c r="CF31" i="1"/>
  <c r="CB47" i="1"/>
  <c r="BY206" i="1"/>
  <c r="CG47" i="1"/>
  <c r="CF47" i="1"/>
  <c r="CC32" i="1"/>
  <c r="BZ164" i="1"/>
  <c r="BZ168" i="1" s="1"/>
  <c r="BZ177" i="1" s="1"/>
  <c r="CE37" i="1"/>
  <c r="BY177" i="1"/>
  <c r="CI177" i="1"/>
  <c r="CI185" i="1" s="1"/>
  <c r="AB43" i="1"/>
  <c r="AB22" i="1" s="1"/>
  <c r="CA245" i="1"/>
  <c r="JS20" i="4"/>
  <c r="CK122" i="1"/>
  <c r="HX19" i="4"/>
  <c r="AR98" i="1" s="1"/>
  <c r="CE185" i="1"/>
  <c r="CB32" i="1"/>
  <c r="HP20" i="4"/>
  <c r="AJ99" i="1" s="1"/>
  <c r="CI122" i="1"/>
  <c r="CI124" i="1"/>
  <c r="CI123" i="1"/>
  <c r="CJ127" i="1"/>
  <c r="CJ123" i="1"/>
  <c r="CP184" i="1"/>
  <c r="CQ184" i="1" s="1"/>
  <c r="CR184" i="1" s="1"/>
  <c r="CS184" i="1" s="1"/>
  <c r="AB184" i="1"/>
  <c r="CJ37" i="1"/>
  <c r="IB20" i="4"/>
  <c r="AV99" i="1" s="1"/>
  <c r="AN154" i="1"/>
  <c r="AN158" i="1" s="1"/>
  <c r="AM158" i="1"/>
  <c r="JX20" i="4"/>
  <c r="BX48" i="1"/>
  <c r="BX54" i="1" s="1"/>
  <c r="BX58" i="1" s="1"/>
  <c r="AM48" i="1"/>
  <c r="AM37" i="1"/>
  <c r="JT19" i="4"/>
  <c r="AK188" i="1"/>
  <c r="AK226" i="1"/>
  <c r="AK149" i="1"/>
  <c r="BY17" i="1"/>
  <c r="BY36" i="1"/>
  <c r="CH17" i="1"/>
  <c r="CL31" i="1"/>
  <c r="CI32" i="1"/>
  <c r="CH36" i="1"/>
  <c r="CC31" i="1"/>
  <c r="CH208" i="1"/>
  <c r="CJ152" i="1"/>
  <c r="CI151" i="1"/>
  <c r="AM149" i="1"/>
  <c r="IN20" i="4"/>
  <c r="BH99" i="1" s="1"/>
  <c r="HV19" i="4"/>
  <c r="AP98" i="1" s="1"/>
  <c r="CB164" i="1"/>
  <c r="BX19" i="1"/>
  <c r="BX21" i="1" s="1"/>
  <c r="BX23" i="1" s="1"/>
  <c r="CD245" i="1"/>
  <c r="AK177" i="1"/>
  <c r="CE245" i="1"/>
  <c r="CC208" i="1"/>
  <c r="HW20" i="4"/>
  <c r="AQ99" i="1" s="1"/>
  <c r="AI149" i="1"/>
  <c r="AI226" i="1"/>
  <c r="AI188" i="1"/>
  <c r="AJ57" i="1" s="1"/>
  <c r="JR19" i="4"/>
  <c r="CL98" i="1" s="1"/>
  <c r="CB165" i="1"/>
  <c r="AK206" i="1"/>
  <c r="CD38" i="1"/>
  <c r="CA206" i="1"/>
  <c r="CK123" i="1"/>
  <c r="CK149" i="1"/>
  <c r="CC245" i="1"/>
  <c r="AI177" i="1"/>
  <c r="AJ226" i="1"/>
  <c r="IC19" i="4"/>
  <c r="AW98" i="1" s="1"/>
  <c r="HR19" i="4"/>
  <c r="AL98" i="1" s="1"/>
  <c r="BY47" i="1"/>
  <c r="IC20" i="4"/>
  <c r="AW99" i="1" s="1"/>
  <c r="CL36" i="1"/>
  <c r="CL39" i="1" s="1"/>
  <c r="CL17" i="1"/>
  <c r="CP17" i="1" s="1"/>
  <c r="CT17" i="1" s="1"/>
  <c r="CX17" i="1" s="1"/>
  <c r="JI19" i="4"/>
  <c r="CC98" i="1" s="1"/>
  <c r="CE149" i="1"/>
  <c r="CE226" i="1"/>
  <c r="JN19" i="4"/>
  <c r="CH98" i="1" s="1"/>
  <c r="CH127" i="1" s="1"/>
  <c r="CI36" i="1"/>
  <c r="CI17" i="1"/>
  <c r="CI31" i="1"/>
  <c r="CH47" i="1"/>
  <c r="CJ32" i="1"/>
  <c r="BY158" i="1"/>
  <c r="BZ154" i="1"/>
  <c r="BZ53" i="1"/>
  <c r="AL53" i="1"/>
  <c r="AL154" i="1"/>
  <c r="AK158" i="1"/>
  <c r="JZ20" i="4"/>
  <c r="AB155" i="1"/>
  <c r="CP155" i="1"/>
  <c r="CQ155" i="1" s="1"/>
  <c r="CR155" i="1" s="1"/>
  <c r="CS155" i="1" s="1"/>
  <c r="CG53" i="1"/>
  <c r="CF158" i="1"/>
  <c r="CF223" i="1" s="1"/>
  <c r="CF221" i="1" s="1"/>
  <c r="HT20" i="4"/>
  <c r="AN99" i="1" s="1"/>
  <c r="CP146" i="1"/>
  <c r="CQ146" i="1" s="1"/>
  <c r="CR146" i="1" s="1"/>
  <c r="CS146" i="1" s="1"/>
  <c r="AB146" i="1"/>
  <c r="CJ48" i="1"/>
  <c r="CJ49" i="1" s="1"/>
  <c r="CC158" i="1"/>
  <c r="CD154" i="1"/>
  <c r="CD53" i="1"/>
  <c r="CP147" i="1"/>
  <c r="CQ147" i="1" s="1"/>
  <c r="CR147" i="1" s="1"/>
  <c r="CS147" i="1" s="1"/>
  <c r="AB147" i="1"/>
  <c r="AL269" i="1"/>
  <c r="AM202" i="1"/>
  <c r="IL20" i="4"/>
  <c r="BF99" i="1" s="1"/>
  <c r="IY19" i="4"/>
  <c r="BS98" i="1" s="1"/>
  <c r="HR20" i="4"/>
  <c r="AL99" i="1" s="1"/>
  <c r="CB17" i="1"/>
  <c r="CB36" i="1"/>
  <c r="AL226" i="1"/>
  <c r="CJ124" i="1"/>
  <c r="CI208" i="1"/>
  <c r="CG17" i="1"/>
  <c r="CH32" i="1"/>
  <c r="CG36" i="1"/>
  <c r="CK38" i="1" s="1"/>
  <c r="CK31" i="1"/>
  <c r="AC43" i="1"/>
  <c r="AC22" i="1" s="1"/>
  <c r="CD39" i="1"/>
  <c r="CI245" i="1"/>
  <c r="AJ53" i="1"/>
  <c r="AJ154" i="1"/>
  <c r="AI158" i="1"/>
  <c r="BZ37" i="1"/>
  <c r="CI201" i="1"/>
  <c r="CJ201" i="1" s="1"/>
  <c r="CK201" i="1" s="1"/>
  <c r="CJ173" i="1"/>
  <c r="CJ176" i="1" s="1"/>
  <c r="CA177" i="1"/>
  <c r="CA185" i="1" s="1"/>
  <c r="CA186" i="1" s="1"/>
  <c r="CH31" i="1"/>
  <c r="Y78" i="1"/>
  <c r="BZ32" i="1"/>
  <c r="JJ19" i="4"/>
  <c r="CD98" i="1" s="1"/>
  <c r="BZ226" i="1"/>
  <c r="BZ269" i="1"/>
  <c r="HZ19" i="4"/>
  <c r="AT98" i="1" s="1"/>
  <c r="CF17" i="1"/>
  <c r="CF208" i="1"/>
  <c r="CP138" i="1"/>
  <c r="CQ138" i="1" s="1"/>
  <c r="CR138" i="1" s="1"/>
  <c r="CS138" i="1" s="1"/>
  <c r="AB138" i="1"/>
  <c r="JD20" i="4"/>
  <c r="BX99" i="1" s="1"/>
  <c r="CI204" i="1"/>
  <c r="CJ204" i="1" s="1"/>
  <c r="CI149" i="1"/>
  <c r="BY188" i="1"/>
  <c r="BY149" i="1"/>
  <c r="JA20" i="4"/>
  <c r="BU99" i="1" s="1"/>
  <c r="CB173" i="1"/>
  <c r="CB176" i="1" s="1"/>
  <c r="CK37" i="1"/>
  <c r="CK48" i="1"/>
  <c r="CK49" i="1" s="1"/>
  <c r="CK18" i="1"/>
  <c r="CC18" i="1"/>
  <c r="CN17" i="1"/>
  <c r="CR17" i="1" s="1"/>
  <c r="CV17" i="1" s="1"/>
  <c r="CJ18" i="1"/>
  <c r="CO28" i="1"/>
  <c r="BX49" i="1"/>
  <c r="CI116" i="1"/>
  <c r="CI115" i="1"/>
  <c r="Y209" i="1"/>
  <c r="Y210" i="1" s="1"/>
  <c r="CG185" i="1"/>
  <c r="CG186" i="1" s="1"/>
  <c r="Z209" i="1"/>
  <c r="Z210" i="1" s="1"/>
  <c r="CM203" i="1"/>
  <c r="Z264" i="1"/>
  <c r="Z223" i="1"/>
  <c r="Z221" i="1" s="1"/>
  <c r="Z266" i="1"/>
  <c r="V49" i="1"/>
  <c r="W50" i="1"/>
  <c r="V132" i="1"/>
  <c r="V54" i="1"/>
  <c r="V58" i="1" s="1"/>
  <c r="V252" i="1"/>
  <c r="V253" i="1" s="1"/>
  <c r="V270" i="1"/>
  <c r="Y49" i="1"/>
  <c r="Y54" i="1"/>
  <c r="Z50" i="1"/>
  <c r="Y252" i="1"/>
  <c r="Y253" i="1" s="1"/>
  <c r="Y270" i="1"/>
  <c r="Y271" i="1" s="1"/>
  <c r="Y132" i="1"/>
  <c r="CX142" i="1"/>
  <c r="CY142" i="1" s="1"/>
  <c r="CZ142" i="1" s="1"/>
  <c r="DA142" i="1" s="1"/>
  <c r="AE142" i="1" s="1"/>
  <c r="AD142" i="1"/>
  <c r="CH119" i="1"/>
  <c r="CY65" i="1"/>
  <c r="CZ65" i="1" s="1"/>
  <c r="DA65" i="1" s="1"/>
  <c r="CK269" i="1"/>
  <c r="CK226" i="1"/>
  <c r="AD43" i="1"/>
  <c r="AD22" i="1" s="1"/>
  <c r="CX43" i="1"/>
  <c r="AE43" i="1" s="1"/>
  <c r="AE22" i="1" s="1"/>
  <c r="X49" i="1"/>
  <c r="X132" i="1"/>
  <c r="Y50" i="1"/>
  <c r="X54" i="1"/>
  <c r="X252" i="1"/>
  <c r="X253" i="1" s="1"/>
  <c r="X270" i="1"/>
  <c r="CY66" i="1"/>
  <c r="CZ66" i="1" s="1"/>
  <c r="DA66" i="1" s="1"/>
  <c r="D270" i="1"/>
  <c r="D252" i="1"/>
  <c r="D253" i="1" s="1"/>
  <c r="D49" i="1"/>
  <c r="D132" i="1"/>
  <c r="D54" i="1"/>
  <c r="D58" i="1" s="1"/>
  <c r="E50" i="1"/>
  <c r="Z270" i="1"/>
  <c r="Z271" i="1" s="1"/>
  <c r="Z54" i="1"/>
  <c r="Z252" i="1"/>
  <c r="Z253" i="1" s="1"/>
  <c r="Z132" i="1"/>
  <c r="Z49" i="1"/>
  <c r="CT137" i="1"/>
  <c r="CU137" i="1" s="1"/>
  <c r="CV137" i="1" s="1"/>
  <c r="CW137" i="1" s="1"/>
  <c r="AC137" i="1"/>
  <c r="CX145" i="1"/>
  <c r="CY145" i="1" s="1"/>
  <c r="CZ145" i="1" s="1"/>
  <c r="DA145" i="1" s="1"/>
  <c r="AE145" i="1" s="1"/>
  <c r="AD145" i="1"/>
  <c r="L49" i="1"/>
  <c r="L54" i="1"/>
  <c r="L58" i="1" s="1"/>
  <c r="L60" i="1" s="1"/>
  <c r="L132" i="1"/>
  <c r="M50" i="1"/>
  <c r="L252" i="1"/>
  <c r="L253" i="1" s="1"/>
  <c r="L270" i="1"/>
  <c r="CG206" i="1"/>
  <c r="CG201" i="1"/>
  <c r="CH201" i="1" s="1"/>
  <c r="CH202" i="1" s="1"/>
  <c r="CH206" i="1" s="1"/>
  <c r="CE49" i="1"/>
  <c r="CE54" i="1"/>
  <c r="CE58" i="1" s="1"/>
  <c r="CG85" i="1"/>
  <c r="CF83" i="1"/>
  <c r="AC97" i="1"/>
  <c r="CT97" i="1"/>
  <c r="CU97" i="1" s="1"/>
  <c r="CV97" i="1" s="1"/>
  <c r="CW97" i="1" s="1"/>
  <c r="AD97" i="1" s="1"/>
  <c r="Q270" i="1"/>
  <c r="Q132" i="1"/>
  <c r="R50" i="1"/>
  <c r="Q49" i="1"/>
  <c r="Q252" i="1"/>
  <c r="Q253" i="1" s="1"/>
  <c r="Q54" i="1"/>
  <c r="Q58" i="1" s="1"/>
  <c r="Q61" i="1" s="1"/>
  <c r="AA222" i="1"/>
  <c r="BZ54" i="1"/>
  <c r="BZ252" i="1"/>
  <c r="BZ253" i="1" s="1"/>
  <c r="I252" i="1"/>
  <c r="I253" i="1" s="1"/>
  <c r="I54" i="1"/>
  <c r="I58" i="1" s="1"/>
  <c r="I60" i="1" s="1"/>
  <c r="I270" i="1"/>
  <c r="I132" i="1"/>
  <c r="J50" i="1"/>
  <c r="I49" i="1"/>
  <c r="T49" i="1"/>
  <c r="T270" i="1"/>
  <c r="T50" i="1"/>
  <c r="T132" i="1"/>
  <c r="T252" i="1"/>
  <c r="T253" i="1" s="1"/>
  <c r="U50" i="1"/>
  <c r="T54" i="1"/>
  <c r="T58" i="1" s="1"/>
  <c r="T61" i="1" s="1"/>
  <c r="T68" i="1" s="1"/>
  <c r="CX157" i="1"/>
  <c r="CY157" i="1" s="1"/>
  <c r="CZ157" i="1" s="1"/>
  <c r="DA157" i="1" s="1"/>
  <c r="AE157" i="1" s="1"/>
  <c r="AD157" i="1"/>
  <c r="AA85" i="1"/>
  <c r="Z83" i="1"/>
  <c r="AB83" i="1"/>
  <c r="F270" i="1"/>
  <c r="F252" i="1"/>
  <c r="F253" i="1" s="1"/>
  <c r="F132" i="1"/>
  <c r="F54" i="1"/>
  <c r="F58" i="1" s="1"/>
  <c r="F60" i="1" s="1"/>
  <c r="G50" i="1"/>
  <c r="F49" i="1"/>
  <c r="AD153" i="1"/>
  <c r="CX153" i="1"/>
  <c r="CY153" i="1" s="1"/>
  <c r="CZ153" i="1" s="1"/>
  <c r="DA153" i="1" s="1"/>
  <c r="AE153" i="1" s="1"/>
  <c r="CM144" i="1"/>
  <c r="BX60" i="1"/>
  <c r="BX61" i="1"/>
  <c r="CG129" i="1"/>
  <c r="CH57" i="1"/>
  <c r="W49" i="1"/>
  <c r="W270" i="1"/>
  <c r="W132" i="1"/>
  <c r="X50" i="1"/>
  <c r="W54" i="1"/>
  <c r="W58" i="1" s="1"/>
  <c r="W252" i="1"/>
  <c r="W253" i="1" s="1"/>
  <c r="K132" i="1"/>
  <c r="K270" i="1"/>
  <c r="L50" i="1"/>
  <c r="K54" i="1"/>
  <c r="K58" i="1" s="1"/>
  <c r="K61" i="1" s="1"/>
  <c r="K254" i="1" s="1"/>
  <c r="K252" i="1"/>
  <c r="K253" i="1" s="1"/>
  <c r="K49" i="1"/>
  <c r="CM160" i="1"/>
  <c r="CM222" i="1" s="1"/>
  <c r="K50" i="1"/>
  <c r="J54" i="1"/>
  <c r="J58" i="1" s="1"/>
  <c r="J60" i="1" s="1"/>
  <c r="J270" i="1"/>
  <c r="J49" i="1"/>
  <c r="J252" i="1"/>
  <c r="J253" i="1" s="1"/>
  <c r="J132" i="1"/>
  <c r="CG266" i="1"/>
  <c r="CG264" i="1"/>
  <c r="S270" i="1"/>
  <c r="S50" i="1"/>
  <c r="R54" i="1"/>
  <c r="R58" i="1" s="1"/>
  <c r="R61" i="1" s="1"/>
  <c r="R62" i="1" s="1"/>
  <c r="R265" i="1" s="1"/>
  <c r="R270" i="1"/>
  <c r="R252" i="1"/>
  <c r="R253" i="1" s="1"/>
  <c r="R132" i="1"/>
  <c r="R49" i="1"/>
  <c r="U270" i="1"/>
  <c r="V50" i="1"/>
  <c r="U54" i="1"/>
  <c r="U58" i="1" s="1"/>
  <c r="U49" i="1"/>
  <c r="U252" i="1"/>
  <c r="U253" i="1" s="1"/>
  <c r="U132" i="1"/>
  <c r="CC54" i="1"/>
  <c r="CC58" i="1" s="1"/>
  <c r="CC49" i="1"/>
  <c r="Z185" i="1"/>
  <c r="Z186" i="1" s="1"/>
  <c r="AK54" i="1"/>
  <c r="AK58" i="1" s="1"/>
  <c r="AK252" i="1"/>
  <c r="AK253" i="1" s="1"/>
  <c r="AK49" i="1"/>
  <c r="CN83" i="1"/>
  <c r="CM85" i="1"/>
  <c r="E49" i="1"/>
  <c r="F50" i="1"/>
  <c r="E252" i="1"/>
  <c r="E253" i="1" s="1"/>
  <c r="E132" i="1"/>
  <c r="E54" i="1"/>
  <c r="E58" i="1" s="1"/>
  <c r="E60" i="1" s="1"/>
  <c r="AD65" i="1"/>
  <c r="O132" i="1"/>
  <c r="P50" i="1"/>
  <c r="O252" i="1"/>
  <c r="O253" i="1" s="1"/>
  <c r="O49" i="1"/>
  <c r="O54" i="1"/>
  <c r="O58" i="1" s="1"/>
  <c r="O61" i="1" s="1"/>
  <c r="O254" i="1" s="1"/>
  <c r="O270" i="1"/>
  <c r="C49" i="1"/>
  <c r="D50" i="1"/>
  <c r="C270" i="1"/>
  <c r="C54" i="1"/>
  <c r="C58" i="1" s="1"/>
  <c r="C60" i="1" s="1"/>
  <c r="C132" i="1"/>
  <c r="C252" i="1"/>
  <c r="C253" i="1" s="1"/>
  <c r="M132" i="1"/>
  <c r="M49" i="1"/>
  <c r="M270" i="1"/>
  <c r="N50" i="1"/>
  <c r="M252" i="1"/>
  <c r="M253" i="1" s="1"/>
  <c r="M54" i="1"/>
  <c r="M58" i="1" s="1"/>
  <c r="M60" i="1" s="1"/>
  <c r="P252" i="1"/>
  <c r="P253" i="1" s="1"/>
  <c r="P49" i="1"/>
  <c r="Q50" i="1"/>
  <c r="P270" i="1"/>
  <c r="P132" i="1"/>
  <c r="P54" i="1"/>
  <c r="P58" i="1" s="1"/>
  <c r="P61" i="1" s="1"/>
  <c r="P254" i="1" s="1"/>
  <c r="H54" i="1"/>
  <c r="H58" i="1" s="1"/>
  <c r="H61" i="1" s="1"/>
  <c r="H62" i="1" s="1"/>
  <c r="H265" i="1" s="1"/>
  <c r="I50" i="1"/>
  <c r="H252" i="1"/>
  <c r="H253" i="1" s="1"/>
  <c r="H132" i="1"/>
  <c r="H49" i="1"/>
  <c r="H270" i="1"/>
  <c r="N54" i="1"/>
  <c r="N58" i="1" s="1"/>
  <c r="N61" i="1" s="1"/>
  <c r="N62" i="1" s="1"/>
  <c r="N265" i="1" s="1"/>
  <c r="N270" i="1"/>
  <c r="O50" i="1"/>
  <c r="N132" i="1"/>
  <c r="N49" i="1"/>
  <c r="N252" i="1"/>
  <c r="N253" i="1" s="1"/>
  <c r="CM199" i="1"/>
  <c r="H50" i="1"/>
  <c r="G270" i="1"/>
  <c r="G252" i="1"/>
  <c r="G253" i="1" s="1"/>
  <c r="G49" i="1"/>
  <c r="G54" i="1"/>
  <c r="G58" i="1" s="1"/>
  <c r="G61" i="1" s="1"/>
  <c r="G62" i="1" s="1"/>
  <c r="G265" i="1" s="1"/>
  <c r="G132" i="1"/>
  <c r="CH158" i="1"/>
  <c r="CI223" i="1" s="1"/>
  <c r="CI221" i="1" s="1"/>
  <c r="CI53" i="1"/>
  <c r="AD66" i="1"/>
  <c r="B61" i="1"/>
  <c r="B60" i="1"/>
  <c r="CA1" i="1"/>
  <c r="CB1" i="1" s="1"/>
  <c r="S61" i="1"/>
  <c r="CL176" i="1" l="1"/>
  <c r="CK39" i="1"/>
  <c r="CL168" i="1"/>
  <c r="CE38" i="1"/>
  <c r="AM185" i="1"/>
  <c r="CJ38" i="1"/>
  <c r="CK186" i="1"/>
  <c r="CF18" i="1"/>
  <c r="CL124" i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CA37" i="1"/>
  <c r="CE18" i="1"/>
  <c r="AD183" i="1"/>
  <c r="CB168" i="1"/>
  <c r="CB177" i="1" s="1"/>
  <c r="AL37" i="1"/>
  <c r="AL48" i="1"/>
  <c r="AM51" i="1" s="1"/>
  <c r="CB206" i="1"/>
  <c r="BL19" i="1"/>
  <c r="BL48" i="1"/>
  <c r="AM39" i="1"/>
  <c r="BL37" i="1"/>
  <c r="CJ177" i="1"/>
  <c r="CA19" i="1"/>
  <c r="CA48" i="1"/>
  <c r="CH168" i="1"/>
  <c r="AK51" i="1"/>
  <c r="CG223" i="1"/>
  <c r="CG221" i="1" s="1"/>
  <c r="AJ54" i="1"/>
  <c r="AJ58" i="1" s="1"/>
  <c r="AJ61" i="1" s="1"/>
  <c r="AJ49" i="1"/>
  <c r="AM186" i="1"/>
  <c r="CD19" i="1"/>
  <c r="CD37" i="1"/>
  <c r="CD48" i="1"/>
  <c r="CE39" i="1"/>
  <c r="CD177" i="1"/>
  <c r="CI186" i="1"/>
  <c r="CD206" i="1"/>
  <c r="CD209" i="1" s="1"/>
  <c r="CE186" i="1"/>
  <c r="CF38" i="1"/>
  <c r="CJ54" i="1"/>
  <c r="CJ58" i="1" s="1"/>
  <c r="CJ60" i="1" s="1"/>
  <c r="CF39" i="1"/>
  <c r="CJ202" i="1"/>
  <c r="CJ252" i="1"/>
  <c r="CJ253" i="1" s="1"/>
  <c r="CF37" i="1"/>
  <c r="CF48" i="1"/>
  <c r="BX18" i="1"/>
  <c r="BX252" i="1"/>
  <c r="BX253" i="1" s="1"/>
  <c r="AC155" i="1"/>
  <c r="CT155" i="1"/>
  <c r="CU155" i="1" s="1"/>
  <c r="CV155" i="1" s="1"/>
  <c r="CW155" i="1" s="1"/>
  <c r="CJ151" i="1"/>
  <c r="CK152" i="1"/>
  <c r="CK151" i="1" s="1"/>
  <c r="AC146" i="1"/>
  <c r="CT146" i="1"/>
  <c r="CU146" i="1" s="1"/>
  <c r="CV146" i="1" s="1"/>
  <c r="CW146" i="1" s="1"/>
  <c r="AM53" i="1"/>
  <c r="AL158" i="1"/>
  <c r="AM223" i="1" s="1"/>
  <c r="AM221" i="1" s="1"/>
  <c r="CL19" i="1"/>
  <c r="CL21" i="1" s="1"/>
  <c r="CL23" i="1" s="1"/>
  <c r="CL37" i="1"/>
  <c r="CL48" i="1"/>
  <c r="CL127" i="1"/>
  <c r="CL123" i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BY19" i="1"/>
  <c r="BY21" i="1" s="1"/>
  <c r="BY23" i="1" s="1"/>
  <c r="BY37" i="1"/>
  <c r="BZ39" i="1"/>
  <c r="CC38" i="1"/>
  <c r="BY48" i="1"/>
  <c r="CB19" i="1"/>
  <c r="CB21" i="1" s="1"/>
  <c r="CB23" i="1" s="1"/>
  <c r="CB48" i="1"/>
  <c r="CB37" i="1"/>
  <c r="CB38" i="1"/>
  <c r="CC39" i="1"/>
  <c r="Y79" i="1"/>
  <c r="CB39" i="1"/>
  <c r="CM17" i="1"/>
  <c r="CQ17" i="1" s="1"/>
  <c r="CU17" i="1" s="1"/>
  <c r="AC184" i="1"/>
  <c r="CT184" i="1"/>
  <c r="CU184" i="1" s="1"/>
  <c r="CV184" i="1" s="1"/>
  <c r="CW184" i="1" s="1"/>
  <c r="CG19" i="1"/>
  <c r="CG21" i="1" s="1"/>
  <c r="CG23" i="1" s="1"/>
  <c r="CG48" i="1"/>
  <c r="CK50" i="1" s="1"/>
  <c r="CH39" i="1"/>
  <c r="CG37" i="1"/>
  <c r="BZ158" i="1"/>
  <c r="CA223" i="1" s="1"/>
  <c r="CA221" i="1" s="1"/>
  <c r="CA53" i="1"/>
  <c r="CG38" i="1"/>
  <c r="CI39" i="1"/>
  <c r="CH19" i="1"/>
  <c r="CH38" i="1"/>
  <c r="CH37" i="1"/>
  <c r="CL38" i="1"/>
  <c r="CH48" i="1"/>
  <c r="CG39" i="1"/>
  <c r="AK53" i="1"/>
  <c r="AJ158" i="1"/>
  <c r="AK223" i="1" s="1"/>
  <c r="AK221" i="1" s="1"/>
  <c r="CD158" i="1"/>
  <c r="CE223" i="1" s="1"/>
  <c r="CE221" i="1" s="1"/>
  <c r="CE53" i="1"/>
  <c r="CT138" i="1"/>
  <c r="CU138" i="1" s="1"/>
  <c r="CV138" i="1" s="1"/>
  <c r="CW138" i="1" s="1"/>
  <c r="AC138" i="1"/>
  <c r="BY185" i="1"/>
  <c r="BY186" i="1" s="1"/>
  <c r="AM201" i="1"/>
  <c r="AN201" i="1" s="1"/>
  <c r="AN202" i="1" s="1"/>
  <c r="AN206" i="1" s="1"/>
  <c r="AM206" i="1"/>
  <c r="AI185" i="1"/>
  <c r="AI186" i="1" s="1"/>
  <c r="Z79" i="1"/>
  <c r="AK185" i="1"/>
  <c r="AK186" i="1" s="1"/>
  <c r="CC223" i="1"/>
  <c r="CC221" i="1" s="1"/>
  <c r="AM54" i="1"/>
  <c r="AM58" i="1" s="1"/>
  <c r="AM49" i="1"/>
  <c r="AM252" i="1"/>
  <c r="AM253" i="1" s="1"/>
  <c r="CK204" i="1"/>
  <c r="CJ205" i="1"/>
  <c r="CT147" i="1"/>
  <c r="CU147" i="1" s="1"/>
  <c r="CV147" i="1" s="1"/>
  <c r="CW147" i="1" s="1"/>
  <c r="AC147" i="1"/>
  <c r="CI19" i="1"/>
  <c r="CI21" i="1" s="1"/>
  <c r="CI23" i="1" s="1"/>
  <c r="CI37" i="1"/>
  <c r="CM37" i="1" s="1"/>
  <c r="CN37" i="1" s="1"/>
  <c r="CI48" i="1"/>
  <c r="CJ39" i="1"/>
  <c r="CI38" i="1"/>
  <c r="BY39" i="1"/>
  <c r="CC185" i="1"/>
  <c r="CC186" i="1" s="1"/>
  <c r="CK54" i="1"/>
  <c r="CK58" i="1" s="1"/>
  <c r="CK61" i="1" s="1"/>
  <c r="CK51" i="1"/>
  <c r="CN28" i="1"/>
  <c r="CS28" i="1"/>
  <c r="F61" i="1"/>
  <c r="G63" i="1" s="1"/>
  <c r="G68" i="1"/>
  <c r="G72" i="1" s="1"/>
  <c r="G60" i="1"/>
  <c r="T62" i="1"/>
  <c r="T265" i="1" s="1"/>
  <c r="G254" i="1"/>
  <c r="O68" i="1"/>
  <c r="O213" i="1" s="1"/>
  <c r="O215" i="1" s="1"/>
  <c r="T254" i="1"/>
  <c r="L61" i="1"/>
  <c r="L254" i="1" s="1"/>
  <c r="CX97" i="1"/>
  <c r="CY97" i="1" s="1"/>
  <c r="R254" i="1"/>
  <c r="O62" i="1"/>
  <c r="O265" i="1" s="1"/>
  <c r="R63" i="1"/>
  <c r="T60" i="1"/>
  <c r="M61" i="1"/>
  <c r="N63" i="1" s="1"/>
  <c r="H68" i="1"/>
  <c r="H213" i="1" s="1"/>
  <c r="H215" i="1" s="1"/>
  <c r="H60" i="1"/>
  <c r="H254" i="1"/>
  <c r="Q62" i="1"/>
  <c r="Q265" i="1" s="1"/>
  <c r="H63" i="1"/>
  <c r="C61" i="1"/>
  <c r="C254" i="1" s="1"/>
  <c r="Q68" i="1"/>
  <c r="Q213" i="1" s="1"/>
  <c r="Q215" i="1" s="1"/>
  <c r="Q254" i="1"/>
  <c r="Q60" i="1"/>
  <c r="K68" i="1"/>
  <c r="K72" i="1" s="1"/>
  <c r="N254" i="1"/>
  <c r="P60" i="1"/>
  <c r="P68" i="1"/>
  <c r="P72" i="1" s="1"/>
  <c r="J61" i="1"/>
  <c r="K63" i="1" s="1"/>
  <c r="O63" i="1"/>
  <c r="N68" i="1"/>
  <c r="N213" i="1" s="1"/>
  <c r="N215" i="1" s="1"/>
  <c r="K62" i="1"/>
  <c r="K265" i="1" s="1"/>
  <c r="P63" i="1"/>
  <c r="R68" i="1"/>
  <c r="P62" i="1"/>
  <c r="P265" i="1" s="1"/>
  <c r="I61" i="1"/>
  <c r="I63" i="1" s="1"/>
  <c r="K60" i="1"/>
  <c r="E61" i="1"/>
  <c r="E68" i="1" s="1"/>
  <c r="Q63" i="1"/>
  <c r="N60" i="1"/>
  <c r="R60" i="1"/>
  <c r="O60" i="1"/>
  <c r="U61" i="1"/>
  <c r="U60" i="1"/>
  <c r="CM148" i="1"/>
  <c r="CN144" i="1"/>
  <c r="CF85" i="1"/>
  <c r="CE83" i="1"/>
  <c r="AE66" i="1"/>
  <c r="CH122" i="1"/>
  <c r="CH123" i="1"/>
  <c r="CH124" i="1"/>
  <c r="CN199" i="1"/>
  <c r="CO83" i="1"/>
  <c r="CN85" i="1"/>
  <c r="AK60" i="1"/>
  <c r="AK61" i="1"/>
  <c r="CN160" i="1"/>
  <c r="CO160" i="1" s="1"/>
  <c r="BX68" i="1"/>
  <c r="BX254" i="1"/>
  <c r="BX62" i="1"/>
  <c r="BX265" i="1" s="1"/>
  <c r="BZ58" i="1"/>
  <c r="CG128" i="1"/>
  <c r="CG131" i="1" s="1"/>
  <c r="CG119" i="1"/>
  <c r="CG127" i="1"/>
  <c r="CG130" i="1" s="1"/>
  <c r="CG112" i="1"/>
  <c r="D60" i="1"/>
  <c r="D61" i="1"/>
  <c r="Y75" i="1"/>
  <c r="Y58" i="1"/>
  <c r="V61" i="1"/>
  <c r="V60" i="1"/>
  <c r="CC61" i="1"/>
  <c r="CC60" i="1"/>
  <c r="CH223" i="1"/>
  <c r="CH221" i="1" s="1"/>
  <c r="W60" i="1"/>
  <c r="W61" i="1"/>
  <c r="AB85" i="1"/>
  <c r="AC83" i="1"/>
  <c r="Z58" i="1"/>
  <c r="Z75" i="1"/>
  <c r="X75" i="1"/>
  <c r="X58" i="1"/>
  <c r="AE65" i="1"/>
  <c r="CL201" i="1"/>
  <c r="CK202" i="1"/>
  <c r="CL269" i="1"/>
  <c r="CL226" i="1"/>
  <c r="Z85" i="1"/>
  <c r="Y83" i="1"/>
  <c r="CE61" i="1"/>
  <c r="CE60" i="1"/>
  <c r="CX137" i="1"/>
  <c r="CY137" i="1" s="1"/>
  <c r="CZ137" i="1" s="1"/>
  <c r="DA137" i="1" s="1"/>
  <c r="AE137" i="1" s="1"/>
  <c r="AD137" i="1"/>
  <c r="CN203" i="1"/>
  <c r="B62" i="1"/>
  <c r="S62" i="1"/>
  <c r="S265" i="1" s="1"/>
  <c r="T63" i="1"/>
  <c r="S63" i="1"/>
  <c r="CC1" i="1"/>
  <c r="S68" i="1"/>
  <c r="S254" i="1"/>
  <c r="B254" i="1"/>
  <c r="B68" i="1"/>
  <c r="F68" i="1"/>
  <c r="F62" i="1"/>
  <c r="F265" i="1" s="1"/>
  <c r="F254" i="1"/>
  <c r="T72" i="1"/>
  <c r="T213" i="1"/>
  <c r="T215" i="1" s="1"/>
  <c r="P56" i="2"/>
  <c r="X65" i="2"/>
  <c r="E81" i="2"/>
  <c r="H84" i="2"/>
  <c r="W86" i="2"/>
  <c r="R89" i="2"/>
  <c r="E53" i="2"/>
  <c r="P80" i="2"/>
  <c r="K63" i="2"/>
  <c r="X91" i="2"/>
  <c r="O81" i="2"/>
  <c r="R90" i="2"/>
  <c r="L83" i="2"/>
  <c r="S54" i="2"/>
  <c r="U69" i="2"/>
  <c r="K78" i="2"/>
  <c r="M52" i="2"/>
  <c r="C71" i="2"/>
  <c r="W63" i="2"/>
  <c r="J85" i="2"/>
  <c r="V92" i="2"/>
  <c r="L82" i="2"/>
  <c r="R110" i="2"/>
  <c r="E97" i="2"/>
  <c r="S107" i="2"/>
  <c r="Q64" i="2"/>
  <c r="L45" i="2"/>
  <c r="P42" i="2"/>
  <c r="U86" i="2"/>
  <c r="V112" i="2"/>
  <c r="W97" i="2"/>
  <c r="G56" i="2"/>
  <c r="C62" i="2"/>
  <c r="F41" i="2"/>
  <c r="O107" i="2"/>
  <c r="U43" i="2"/>
  <c r="C89" i="2"/>
  <c r="J52" i="2"/>
  <c r="T59" i="2"/>
  <c r="Q41" i="2"/>
  <c r="V105" i="2"/>
  <c r="F111" i="2"/>
  <c r="U65" i="2"/>
  <c r="P78" i="2"/>
  <c r="K93" i="2"/>
  <c r="K65" i="2"/>
  <c r="J84" i="2"/>
  <c r="E60" i="2"/>
  <c r="N72" i="2"/>
  <c r="O75" i="2"/>
  <c r="P53" i="2"/>
  <c r="D54" i="2"/>
  <c r="D49" i="2"/>
  <c r="U113" i="2"/>
  <c r="E67" i="2"/>
  <c r="R41" i="2"/>
  <c r="T64" i="2"/>
  <c r="L86" i="2"/>
  <c r="N97" i="2"/>
  <c r="F52" i="2"/>
  <c r="N96" i="2"/>
  <c r="O113" i="2"/>
  <c r="X74" i="2"/>
  <c r="P109" i="2"/>
  <c r="K49" i="2"/>
  <c r="P60" i="2"/>
  <c r="N45" i="2"/>
  <c r="R62" i="2"/>
  <c r="I44" i="2"/>
  <c r="N112" i="2"/>
  <c r="E66" i="2"/>
  <c r="L96" i="2"/>
  <c r="F46" i="2"/>
  <c r="W90" i="2"/>
  <c r="L51" i="2"/>
  <c r="R94" i="2"/>
  <c r="O46" i="2"/>
  <c r="W66" i="2"/>
  <c r="M47" i="2"/>
  <c r="L113" i="2"/>
  <c r="G85" i="2"/>
  <c r="W61" i="2"/>
  <c r="F113" i="2"/>
  <c r="J54" i="2"/>
  <c r="T107" i="2"/>
  <c r="D69" i="2"/>
  <c r="H64" i="2"/>
  <c r="E104" i="2"/>
  <c r="M93" i="2"/>
  <c r="O95" i="2"/>
  <c r="J66" i="2"/>
  <c r="U53" i="2"/>
  <c r="X96" i="2"/>
  <c r="I113" i="2"/>
  <c r="D110" i="2"/>
  <c r="O112" i="2"/>
  <c r="W94" i="2"/>
  <c r="C70" i="2"/>
  <c r="V79" i="2"/>
  <c r="T97" i="2"/>
  <c r="R105" i="2"/>
  <c r="O74" i="2"/>
  <c r="F105" i="2"/>
  <c r="W65" i="2"/>
  <c r="R70" i="2"/>
  <c r="M106" i="2"/>
  <c r="U95" i="2"/>
  <c r="R104" i="2"/>
  <c r="P85" i="2"/>
  <c r="K68" i="2"/>
  <c r="O88" i="2"/>
  <c r="K91" i="2"/>
  <c r="D104" i="2"/>
  <c r="H43" i="2"/>
  <c r="U49" i="2"/>
  <c r="L105" i="2"/>
  <c r="P92" i="2"/>
  <c r="X88" i="2"/>
  <c r="G74" i="2"/>
  <c r="W54" i="2"/>
  <c r="C60" i="2"/>
  <c r="T96" i="2"/>
  <c r="I58" i="2"/>
  <c r="N58" i="2"/>
  <c r="F81" i="2"/>
  <c r="W69" i="2"/>
  <c r="Q66" i="2"/>
  <c r="L68" i="2"/>
  <c r="M89" i="2"/>
  <c r="C109" i="2"/>
  <c r="H78" i="2"/>
  <c r="S89" i="2"/>
  <c r="X83" i="2"/>
  <c r="N98" i="2"/>
  <c r="M67" i="2"/>
  <c r="X55" i="2"/>
  <c r="W80" i="2"/>
  <c r="N48" i="2"/>
  <c r="S79" i="2"/>
  <c r="O42" i="2"/>
  <c r="U85" i="2"/>
  <c r="M96" i="2"/>
  <c r="R48" i="2"/>
  <c r="M48" i="2"/>
  <c r="Q43" i="2"/>
  <c r="U78" i="2"/>
  <c r="V70" i="2"/>
  <c r="K58" i="2"/>
  <c r="V80" i="2"/>
  <c r="I62" i="2"/>
  <c r="X111" i="2"/>
  <c r="J109" i="2"/>
  <c r="D88" i="2"/>
  <c r="F62" i="2"/>
  <c r="C66" i="2"/>
  <c r="C108" i="2"/>
  <c r="O99" i="2"/>
  <c r="Q99" i="2"/>
  <c r="E78" i="2"/>
  <c r="E51" i="2"/>
  <c r="N109" i="2"/>
  <c r="S88" i="2"/>
  <c r="R69" i="2"/>
  <c r="M82" i="2"/>
  <c r="W98" i="2"/>
  <c r="G76" i="2"/>
  <c r="J79" i="2"/>
  <c r="K40" i="2"/>
  <c r="Q65" i="2"/>
  <c r="Q47" i="2"/>
  <c r="U91" i="2"/>
  <c r="E108" i="2"/>
  <c r="S96" i="2"/>
  <c r="L74" i="2"/>
  <c r="E93" i="2"/>
  <c r="R60" i="2"/>
  <c r="G41" i="2"/>
  <c r="K74" i="2"/>
  <c r="D99" i="2"/>
  <c r="W71" i="2"/>
  <c r="Q45" i="2"/>
  <c r="U56" i="2"/>
  <c r="M68" i="2"/>
  <c r="W76" i="2"/>
  <c r="R74" i="2"/>
  <c r="G70" i="2"/>
  <c r="P70" i="2"/>
  <c r="W78" i="2"/>
  <c r="S97" i="2"/>
  <c r="N67" i="2"/>
  <c r="G90" i="2"/>
  <c r="F69" i="2"/>
  <c r="K85" i="2"/>
  <c r="T63" i="2"/>
  <c r="F109" i="2"/>
  <c r="R49" i="2"/>
  <c r="L75" i="2"/>
  <c r="R78" i="2"/>
  <c r="H60" i="2"/>
  <c r="V97" i="2"/>
  <c r="G42" i="2"/>
  <c r="F72" i="2"/>
  <c r="E56" i="2"/>
  <c r="X46" i="2"/>
  <c r="C52" i="2"/>
  <c r="P72" i="2"/>
  <c r="I86" i="2"/>
  <c r="H65" i="2"/>
  <c r="S52" i="2"/>
  <c r="W113" i="2"/>
  <c r="C99" i="2"/>
  <c r="O111" i="2"/>
  <c r="T81" i="2"/>
  <c r="E49" i="2"/>
  <c r="Q86" i="2"/>
  <c r="U50" i="2"/>
  <c r="W62" i="2"/>
  <c r="J46" i="2"/>
  <c r="E82" i="2"/>
  <c r="P49" i="2"/>
  <c r="U87" i="2"/>
  <c r="U92" i="2"/>
  <c r="E62" i="2"/>
  <c r="S64" i="2"/>
  <c r="G54" i="2"/>
  <c r="G53" i="2"/>
  <c r="T88" i="2"/>
  <c r="Q83" i="2"/>
  <c r="O68" i="2"/>
  <c r="E91" i="2"/>
  <c r="L41" i="2"/>
  <c r="X57" i="2"/>
  <c r="O69" i="2"/>
  <c r="J113" i="2"/>
  <c r="W79" i="2"/>
  <c r="K47" i="2"/>
  <c r="I41" i="2"/>
  <c r="V42" i="2"/>
  <c r="D75" i="2"/>
  <c r="L57" i="2"/>
  <c r="H86" i="2"/>
  <c r="O76" i="2"/>
  <c r="W49" i="2"/>
  <c r="I79" i="2"/>
  <c r="W40" i="2"/>
  <c r="C84" i="2"/>
  <c r="M59" i="2"/>
  <c r="V47" i="2"/>
  <c r="D62" i="2"/>
  <c r="S111" i="2"/>
  <c r="D97" i="2"/>
  <c r="X94" i="2"/>
  <c r="O48" i="2"/>
  <c r="N86" i="2"/>
  <c r="Q75" i="2"/>
  <c r="G89" i="2"/>
  <c r="V41" i="2"/>
  <c r="J83" i="2"/>
  <c r="F88" i="2"/>
  <c r="L66" i="2"/>
  <c r="I90" i="2"/>
  <c r="X76" i="2"/>
  <c r="K90" i="2"/>
  <c r="F73" i="2"/>
  <c r="H83" i="2"/>
  <c r="E57" i="2"/>
  <c r="I50" i="2"/>
  <c r="P86" i="2"/>
  <c r="H57" i="2"/>
  <c r="X48" i="2"/>
  <c r="F95" i="2"/>
  <c r="D53" i="2"/>
  <c r="E54" i="2"/>
  <c r="T52" i="2"/>
  <c r="C96" i="2"/>
  <c r="W60" i="2"/>
  <c r="G79" i="2"/>
  <c r="Q97" i="2"/>
  <c r="L88" i="2"/>
  <c r="N71" i="2"/>
  <c r="W81" i="2"/>
  <c r="S73" i="2"/>
  <c r="P51" i="2"/>
  <c r="C68" i="2"/>
  <c r="C55" i="2"/>
  <c r="C76" i="2"/>
  <c r="T110" i="2"/>
  <c r="K60" i="2"/>
  <c r="T69" i="2"/>
  <c r="V95" i="2"/>
  <c r="V109" i="2"/>
  <c r="L50" i="2"/>
  <c r="X44" i="2"/>
  <c r="Q40" i="2"/>
  <c r="U60" i="2"/>
  <c r="C73" i="2"/>
  <c r="G67" i="2"/>
  <c r="X85" i="2"/>
  <c r="R63" i="2"/>
  <c r="V49" i="2"/>
  <c r="M69" i="2"/>
  <c r="P65" i="2"/>
  <c r="D90" i="2"/>
  <c r="F56" i="2"/>
  <c r="U77" i="2"/>
  <c r="I45" i="2"/>
  <c r="S72" i="2"/>
  <c r="J90" i="2"/>
  <c r="P95" i="2"/>
  <c r="V93" i="2"/>
  <c r="T93" i="2"/>
  <c r="U104" i="2"/>
  <c r="F67" i="2"/>
  <c r="E95" i="2"/>
  <c r="N87" i="2"/>
  <c r="Q44" i="2"/>
  <c r="X112" i="2"/>
  <c r="W89" i="2"/>
  <c r="H80" i="2"/>
  <c r="M60" i="2"/>
  <c r="F48" i="2"/>
  <c r="S110" i="2"/>
  <c r="T50" i="2"/>
  <c r="S85" i="2"/>
  <c r="M64" i="2"/>
  <c r="T41" i="2"/>
  <c r="X97" i="2"/>
  <c r="H68" i="2"/>
  <c r="O105" i="2"/>
  <c r="L44" i="2"/>
  <c r="V84" i="2"/>
  <c r="J58" i="2"/>
  <c r="N42" i="2"/>
  <c r="K66" i="2"/>
  <c r="I106" i="2"/>
  <c r="U58" i="2"/>
  <c r="G62" i="2"/>
  <c r="P111" i="2"/>
  <c r="S45" i="2"/>
  <c r="T66" i="2"/>
  <c r="W75" i="2"/>
  <c r="E46" i="2"/>
  <c r="P105" i="2"/>
  <c r="M95" i="2"/>
  <c r="N83" i="2"/>
  <c r="K71" i="2"/>
  <c r="I66" i="2"/>
  <c r="Q71" i="2"/>
  <c r="R72" i="2"/>
  <c r="T51" i="2"/>
  <c r="J97" i="2"/>
  <c r="U66" i="2"/>
  <c r="F60" i="2"/>
  <c r="K88" i="2"/>
  <c r="F97" i="2"/>
  <c r="F93" i="2"/>
  <c r="D63" i="2"/>
  <c r="G113" i="2"/>
  <c r="J107" i="2"/>
  <c r="G105" i="2"/>
  <c r="I112" i="2"/>
  <c r="O72" i="2"/>
  <c r="W109" i="2"/>
  <c r="O40" i="2"/>
  <c r="I40" i="2"/>
  <c r="E83" i="2"/>
  <c r="X72" i="2"/>
  <c r="M79" i="2"/>
  <c r="F92" i="2"/>
  <c r="G87" i="2"/>
  <c r="M40" i="2"/>
  <c r="V48" i="2"/>
  <c r="R53" i="2"/>
  <c r="D59" i="2"/>
  <c r="D61" i="2"/>
  <c r="K86" i="2"/>
  <c r="H95" i="2"/>
  <c r="L59" i="2"/>
  <c r="G68" i="2"/>
  <c r="H69" i="2"/>
  <c r="S63" i="2"/>
  <c r="K111" i="2"/>
  <c r="C47" i="2"/>
  <c r="X47" i="2"/>
  <c r="U90" i="2"/>
  <c r="I96" i="2"/>
  <c r="F71" i="2"/>
  <c r="J55" i="2"/>
  <c r="P90" i="2"/>
  <c r="M61" i="2"/>
  <c r="X61" i="2"/>
  <c r="W104" i="2"/>
  <c r="K75" i="2"/>
  <c r="C93" i="2"/>
  <c r="S83" i="2"/>
  <c r="V91" i="2"/>
  <c r="Q108" i="2"/>
  <c r="V64" i="2"/>
  <c r="F90" i="2"/>
  <c r="N68" i="2"/>
  <c r="S105" i="2"/>
  <c r="J68" i="2"/>
  <c r="L53" i="2"/>
  <c r="W44" i="2"/>
  <c r="Q68" i="2"/>
  <c r="D43" i="2"/>
  <c r="W87" i="2"/>
  <c r="P61" i="2"/>
  <c r="S66" i="2"/>
  <c r="D112" i="2"/>
  <c r="Q53" i="2"/>
  <c r="E59" i="2"/>
  <c r="W107" i="2"/>
  <c r="S49" i="2"/>
  <c r="C64" i="2"/>
  <c r="V89" i="2"/>
  <c r="G94" i="2"/>
  <c r="V61" i="2"/>
  <c r="I71" i="2"/>
  <c r="U93" i="2"/>
  <c r="G99" i="2"/>
  <c r="Q104" i="2"/>
  <c r="V86" i="2"/>
  <c r="I85" i="2"/>
  <c r="G88" i="2"/>
  <c r="G81" i="2"/>
  <c r="U64" i="2"/>
  <c r="T111" i="2"/>
  <c r="K92" i="2"/>
  <c r="I59" i="2"/>
  <c r="V43" i="2"/>
  <c r="T48" i="2"/>
  <c r="H50" i="2"/>
  <c r="K80" i="2"/>
  <c r="P79" i="2"/>
  <c r="T108" i="2"/>
  <c r="H59" i="2"/>
  <c r="N70" i="2"/>
  <c r="M46" i="2"/>
  <c r="F49" i="2"/>
  <c r="L67" i="2"/>
  <c r="S51" i="2"/>
  <c r="X108" i="2"/>
  <c r="L72" i="2"/>
  <c r="H72" i="2"/>
  <c r="Q113" i="2"/>
  <c r="D85" i="2"/>
  <c r="F55" i="2"/>
  <c r="H52" i="2"/>
  <c r="L78" i="2"/>
  <c r="G52" i="2"/>
  <c r="P40" i="2"/>
  <c r="X99" i="2"/>
  <c r="X58" i="2"/>
  <c r="K95" i="2"/>
  <c r="M94" i="2"/>
  <c r="D50" i="2"/>
  <c r="V63" i="2"/>
  <c r="T45" i="2"/>
  <c r="T57" i="2"/>
  <c r="Q84" i="2"/>
  <c r="X104" i="2"/>
  <c r="F78" i="2"/>
  <c r="R98" i="2"/>
  <c r="N62" i="2"/>
  <c r="H66" i="2"/>
  <c r="P54" i="2"/>
  <c r="H70" i="2"/>
  <c r="P81" i="2"/>
  <c r="R75" i="2"/>
  <c r="W85" i="2"/>
  <c r="U79" i="2"/>
  <c r="R111" i="2"/>
  <c r="D72" i="2"/>
  <c r="N84" i="2"/>
  <c r="H40" i="2"/>
  <c r="T82" i="2"/>
  <c r="S60" i="2"/>
  <c r="D93" i="2"/>
  <c r="J56" i="2"/>
  <c r="D64" i="2"/>
  <c r="R66" i="2"/>
  <c r="G45" i="2"/>
  <c r="X90" i="2"/>
  <c r="I55" i="2"/>
  <c r="P108" i="2"/>
  <c r="C79" i="2"/>
  <c r="F53" i="2"/>
  <c r="T67" i="2"/>
  <c r="H104" i="2"/>
  <c r="W41" i="2"/>
  <c r="H109" i="2"/>
  <c r="U84" i="2"/>
  <c r="E92" i="2"/>
  <c r="G111" i="2"/>
  <c r="G104" i="2"/>
  <c r="S86" i="2"/>
  <c r="U74" i="2"/>
  <c r="U97" i="2"/>
  <c r="U52" i="2"/>
  <c r="N111" i="2"/>
  <c r="I52" i="2"/>
  <c r="Q94" i="2"/>
  <c r="U48" i="2"/>
  <c r="C91" i="2"/>
  <c r="N82" i="2"/>
  <c r="N59" i="2"/>
  <c r="G97" i="2"/>
  <c r="K106" i="2"/>
  <c r="Q81" i="2"/>
  <c r="P98" i="2"/>
  <c r="I68" i="2"/>
  <c r="H67" i="2"/>
  <c r="E84" i="2"/>
  <c r="E89" i="2"/>
  <c r="M78" i="2"/>
  <c r="T46" i="2"/>
  <c r="G69" i="2"/>
  <c r="J112" i="2"/>
  <c r="S91" i="2"/>
  <c r="I75" i="2"/>
  <c r="S84" i="2"/>
  <c r="X109" i="2"/>
  <c r="W64" i="2"/>
  <c r="E110" i="2"/>
  <c r="I94" i="2"/>
  <c r="X107" i="2"/>
  <c r="H111" i="2"/>
  <c r="I54" i="2"/>
  <c r="G92" i="2"/>
  <c r="J87" i="2"/>
  <c r="P110" i="2"/>
  <c r="I99" i="2"/>
  <c r="K104" i="2"/>
  <c r="G61" i="2"/>
  <c r="W72" i="2"/>
  <c r="O57" i="2"/>
  <c r="J60" i="2"/>
  <c r="H45" i="2"/>
  <c r="T43" i="2"/>
  <c r="L99" i="2"/>
  <c r="K84" i="2"/>
  <c r="F58" i="2"/>
  <c r="G66" i="2"/>
  <c r="C75" i="2"/>
  <c r="X80" i="2"/>
  <c r="X60" i="2"/>
  <c r="H55" i="2"/>
  <c r="N78" i="2"/>
  <c r="R47" i="2"/>
  <c r="K89" i="2"/>
  <c r="R85" i="2"/>
  <c r="H90" i="2"/>
  <c r="D92" i="2"/>
  <c r="C74" i="2"/>
  <c r="V58" i="2"/>
  <c r="U108" i="2"/>
  <c r="T80" i="2"/>
  <c r="H51" i="2"/>
  <c r="O109" i="2"/>
  <c r="H107" i="2"/>
  <c r="H77" i="2"/>
  <c r="C54" i="2"/>
  <c r="Q73" i="2"/>
  <c r="O96" i="2"/>
  <c r="Q111" i="2"/>
  <c r="U55" i="2"/>
  <c r="G95" i="2"/>
  <c r="T49" i="2"/>
  <c r="D83" i="2"/>
  <c r="O89" i="2"/>
  <c r="M56" i="2"/>
  <c r="O110" i="2"/>
  <c r="X87" i="2"/>
  <c r="D41" i="2"/>
  <c r="O106" i="2"/>
  <c r="W59" i="2"/>
  <c r="E40" i="2"/>
  <c r="I65" i="2"/>
  <c r="O55" i="2"/>
  <c r="N113" i="2"/>
  <c r="G77" i="2"/>
  <c r="J82" i="2"/>
  <c r="D113" i="2"/>
  <c r="N55" i="2"/>
  <c r="U67" i="2"/>
  <c r="J65" i="2"/>
  <c r="D45" i="2"/>
  <c r="X110" i="2"/>
  <c r="V62" i="2"/>
  <c r="X70" i="2"/>
  <c r="X93" i="2"/>
  <c r="U42" i="2"/>
  <c r="R99" i="2"/>
  <c r="L70" i="2"/>
  <c r="H71" i="2"/>
  <c r="X62" i="2"/>
  <c r="G112" i="2"/>
  <c r="F99" i="2"/>
  <c r="H46" i="2"/>
  <c r="O70" i="2"/>
  <c r="L106" i="2"/>
  <c r="D56" i="2"/>
  <c r="T65" i="2"/>
  <c r="H62" i="2"/>
  <c r="Q89" i="2"/>
  <c r="U51" i="2"/>
  <c r="Q70" i="2"/>
  <c r="M71" i="2"/>
  <c r="K53" i="2"/>
  <c r="Q63" i="2"/>
  <c r="D98" i="2"/>
  <c r="R92" i="2"/>
  <c r="U62" i="2"/>
  <c r="I46" i="2"/>
  <c r="T109" i="2"/>
  <c r="P64" i="2"/>
  <c r="E42" i="2"/>
  <c r="N50" i="2"/>
  <c r="W56" i="2"/>
  <c r="V76" i="2"/>
  <c r="G47" i="2"/>
  <c r="G46" i="2"/>
  <c r="J57" i="2"/>
  <c r="T75" i="2"/>
  <c r="V54" i="2"/>
  <c r="K112" i="2"/>
  <c r="J69" i="2"/>
  <c r="N77" i="2"/>
  <c r="H82" i="2"/>
  <c r="C49" i="2"/>
  <c r="X43" i="2"/>
  <c r="H41" i="2"/>
  <c r="P50" i="2"/>
  <c r="J53" i="2"/>
  <c r="M90" i="2"/>
  <c r="R59" i="2"/>
  <c r="R95" i="2"/>
  <c r="O90" i="2"/>
  <c r="N90" i="2"/>
  <c r="P97" i="2"/>
  <c r="M43" i="2"/>
  <c r="O85" i="2"/>
  <c r="V111" i="2"/>
  <c r="L49" i="2"/>
  <c r="F74" i="2"/>
  <c r="X49" i="2"/>
  <c r="L89" i="2"/>
  <c r="U106" i="2"/>
  <c r="C41" i="2"/>
  <c r="F61" i="2"/>
  <c r="D78" i="2"/>
  <c r="W77" i="2"/>
  <c r="O62" i="2"/>
  <c r="M73" i="2"/>
  <c r="K48" i="2"/>
  <c r="S50" i="2"/>
  <c r="C69" i="2"/>
  <c r="S109" i="2"/>
  <c r="Q110" i="2"/>
  <c r="T106" i="2"/>
  <c r="Q87" i="2"/>
  <c r="L91" i="2"/>
  <c r="Q96" i="2"/>
  <c r="G57" i="2"/>
  <c r="I61" i="2"/>
  <c r="G73" i="2"/>
  <c r="M81" i="2"/>
  <c r="M54" i="2"/>
  <c r="T54" i="2"/>
  <c r="E80" i="2"/>
  <c r="L56" i="2"/>
  <c r="N49" i="2"/>
  <c r="R52" i="2"/>
  <c r="U81" i="2"/>
  <c r="K96" i="2"/>
  <c r="U63" i="2"/>
  <c r="X42" i="2"/>
  <c r="J78" i="2"/>
  <c r="U46" i="2"/>
  <c r="D42" i="2"/>
  <c r="P45" i="2"/>
  <c r="E63" i="2"/>
  <c r="U68" i="2"/>
  <c r="N99" i="2"/>
  <c r="U61" i="2"/>
  <c r="T105" i="2"/>
  <c r="K94" i="2"/>
  <c r="K73" i="2"/>
  <c r="F87" i="2"/>
  <c r="I97" i="2"/>
  <c r="W111" i="2"/>
  <c r="S106" i="2"/>
  <c r="J43" i="2"/>
  <c r="U54" i="2"/>
  <c r="W43" i="2"/>
  <c r="X105" i="2"/>
  <c r="S48" i="2"/>
  <c r="I47" i="2"/>
  <c r="G96" i="2"/>
  <c r="R80" i="2"/>
  <c r="L63" i="2"/>
  <c r="Q49" i="2"/>
  <c r="F104" i="2"/>
  <c r="F77" i="2"/>
  <c r="S71" i="2"/>
  <c r="W112" i="2"/>
  <c r="P106" i="2"/>
  <c r="N41" i="2"/>
  <c r="P68" i="2"/>
  <c r="X89" i="2"/>
  <c r="M88" i="2"/>
  <c r="Q106" i="2"/>
  <c r="S59" i="2"/>
  <c r="X45" i="2"/>
  <c r="P83" i="2"/>
  <c r="D48" i="2"/>
  <c r="O77" i="2"/>
  <c r="G71" i="2"/>
  <c r="N64" i="2"/>
  <c r="H76" i="2"/>
  <c r="D91" i="2"/>
  <c r="J64" i="2"/>
  <c r="R46" i="2"/>
  <c r="O98" i="2"/>
  <c r="E52" i="2"/>
  <c r="G55" i="2"/>
  <c r="Q109" i="2"/>
  <c r="E71" i="2"/>
  <c r="D40" i="2"/>
  <c r="E58" i="2"/>
  <c r="E86" i="2"/>
  <c r="L109" i="2"/>
  <c r="Q50" i="2"/>
  <c r="D65" i="2"/>
  <c r="S46" i="2"/>
  <c r="W93" i="2"/>
  <c r="F57" i="2"/>
  <c r="F80" i="2"/>
  <c r="M65" i="2"/>
  <c r="E70" i="2"/>
  <c r="V106" i="2"/>
  <c r="T62" i="2"/>
  <c r="O49" i="2"/>
  <c r="N46" i="2"/>
  <c r="G65" i="2"/>
  <c r="L60" i="2"/>
  <c r="M92" i="2"/>
  <c r="N85" i="2"/>
  <c r="P47" i="2"/>
  <c r="K64" i="2"/>
  <c r="T91" i="2"/>
  <c r="F96" i="2"/>
  <c r="I57" i="2"/>
  <c r="D55" i="2"/>
  <c r="G78" i="2"/>
  <c r="R108" i="2"/>
  <c r="N65" i="2"/>
  <c r="G43" i="2"/>
  <c r="O71" i="2"/>
  <c r="Q60" i="2"/>
  <c r="P77" i="2"/>
  <c r="M55" i="2"/>
  <c r="D79" i="2"/>
  <c r="X40" i="2"/>
  <c r="O67" i="2"/>
  <c r="O45" i="2"/>
  <c r="K50" i="2"/>
  <c r="H87" i="2"/>
  <c r="M111" i="2"/>
  <c r="I81" i="2"/>
  <c r="P48" i="2"/>
  <c r="O84" i="2"/>
  <c r="L64" i="2"/>
  <c r="C95" i="2"/>
  <c r="S42" i="2"/>
  <c r="E79" i="2"/>
  <c r="J91" i="2"/>
  <c r="L42" i="2"/>
  <c r="E50" i="2"/>
  <c r="F106" i="2"/>
  <c r="M66" i="2"/>
  <c r="D95" i="2"/>
  <c r="G110" i="2"/>
  <c r="M105" i="2"/>
  <c r="H110" i="2"/>
  <c r="M63" i="2"/>
  <c r="E72" i="2"/>
  <c r="H44" i="2"/>
  <c r="H79" i="2"/>
  <c r="R42" i="2"/>
  <c r="O104" i="2"/>
  <c r="H61" i="2"/>
  <c r="K109" i="2"/>
  <c r="D96" i="2"/>
  <c r="R56" i="2"/>
  <c r="V88" i="2"/>
  <c r="I69" i="2"/>
  <c r="M51" i="2"/>
  <c r="S44" i="2"/>
  <c r="S80" i="2"/>
  <c r="N63" i="2"/>
  <c r="H93" i="2"/>
  <c r="N106" i="2"/>
  <c r="W99" i="2"/>
  <c r="F85" i="2"/>
  <c r="O61" i="2"/>
  <c r="E68" i="2"/>
  <c r="F66" i="2"/>
  <c r="T94" i="2"/>
  <c r="T85" i="2"/>
  <c r="L48" i="2"/>
  <c r="G51" i="2"/>
  <c r="X95" i="2"/>
  <c r="L69" i="2"/>
  <c r="G107" i="2"/>
  <c r="X53" i="2"/>
  <c r="X106" i="2"/>
  <c r="T79" i="2"/>
  <c r="L47" i="2"/>
  <c r="W42" i="2"/>
  <c r="J67" i="2"/>
  <c r="P63" i="2"/>
  <c r="G40" i="2"/>
  <c r="T74" i="2"/>
  <c r="D84" i="2"/>
  <c r="S95" i="2"/>
  <c r="F42" i="2"/>
  <c r="I53" i="2"/>
  <c r="J104" i="2"/>
  <c r="F68" i="2"/>
  <c r="J51" i="2"/>
  <c r="S108" i="2"/>
  <c r="O79" i="2"/>
  <c r="W51" i="2"/>
  <c r="R57" i="2"/>
  <c r="G82" i="2"/>
  <c r="U80" i="2"/>
  <c r="I80" i="2"/>
  <c r="M58" i="2"/>
  <c r="X67" i="2"/>
  <c r="F110" i="2"/>
  <c r="C53" i="2"/>
  <c r="K77" i="2"/>
  <c r="R106" i="2"/>
  <c r="M49" i="2"/>
  <c r="V72" i="2"/>
  <c r="U75" i="2"/>
  <c r="Q48" i="2"/>
  <c r="W92" i="2"/>
  <c r="T78" i="2"/>
  <c r="Q67" i="2"/>
  <c r="T98" i="2"/>
  <c r="P71" i="2"/>
  <c r="L112" i="2"/>
  <c r="N53" i="2"/>
  <c r="K44" i="2"/>
  <c r="G48" i="2"/>
  <c r="M104" i="2"/>
  <c r="U71" i="2"/>
  <c r="J75" i="2"/>
  <c r="V55" i="2"/>
  <c r="E106" i="2"/>
  <c r="U59" i="2"/>
  <c r="O44" i="2"/>
  <c r="D106" i="2"/>
  <c r="S78" i="2"/>
  <c r="P107" i="2"/>
  <c r="L94" i="2"/>
  <c r="O59" i="2"/>
  <c r="E109" i="2"/>
  <c r="F82" i="2"/>
  <c r="T58" i="2"/>
  <c r="W106" i="2"/>
  <c r="U70" i="2"/>
  <c r="U107" i="2"/>
  <c r="P44" i="2"/>
  <c r="X64" i="2"/>
  <c r="C87" i="2"/>
  <c r="V94" i="2"/>
  <c r="C77" i="2"/>
  <c r="E112" i="2"/>
  <c r="S57" i="2"/>
  <c r="T92" i="2"/>
  <c r="U96" i="2"/>
  <c r="L77" i="2"/>
  <c r="G109" i="2"/>
  <c r="D46" i="2"/>
  <c r="S104" i="2"/>
  <c r="G84" i="2"/>
  <c r="R44" i="2"/>
  <c r="O66" i="2"/>
  <c r="M107" i="2"/>
  <c r="O78" i="2"/>
  <c r="M42" i="2"/>
  <c r="I48" i="2"/>
  <c r="D68" i="2"/>
  <c r="W45" i="2"/>
  <c r="P52" i="2"/>
  <c r="L54" i="2"/>
  <c r="F47" i="2"/>
  <c r="D77" i="2"/>
  <c r="Q77" i="2"/>
  <c r="F70" i="2"/>
  <c r="Q91" i="2"/>
  <c r="S69" i="2"/>
  <c r="M91" i="2"/>
  <c r="X98" i="2"/>
  <c r="K41" i="2"/>
  <c r="K55" i="2"/>
  <c r="X71" i="2"/>
  <c r="S74" i="2"/>
  <c r="K54" i="2"/>
  <c r="O50" i="2"/>
  <c r="E88" i="2"/>
  <c r="O91" i="2"/>
  <c r="W108" i="2"/>
  <c r="F107" i="2"/>
  <c r="U83" i="2"/>
  <c r="L84" i="2"/>
  <c r="P112" i="2"/>
  <c r="R50" i="2"/>
  <c r="J89" i="2"/>
  <c r="K42" i="2"/>
  <c r="L71" i="2"/>
  <c r="H108" i="2"/>
  <c r="J96" i="2"/>
  <c r="O56" i="2"/>
  <c r="E44" i="2"/>
  <c r="M44" i="2"/>
  <c r="O43" i="2"/>
  <c r="K105" i="2"/>
  <c r="E47" i="2"/>
  <c r="Q107" i="2"/>
  <c r="L52" i="2"/>
  <c r="C81" i="2"/>
  <c r="J47" i="2"/>
  <c r="N75" i="2"/>
  <c r="J92" i="2"/>
  <c r="O108" i="2"/>
  <c r="H96" i="2"/>
  <c r="H106" i="2"/>
  <c r="M77" i="2"/>
  <c r="H88" i="2"/>
  <c r="H63" i="2"/>
  <c r="R107" i="2"/>
  <c r="R82" i="2"/>
  <c r="C85" i="2"/>
  <c r="K81" i="2"/>
  <c r="R77" i="2"/>
  <c r="J74" i="2"/>
  <c r="W88" i="2"/>
  <c r="D58" i="2"/>
  <c r="I108" i="2"/>
  <c r="X82" i="2"/>
  <c r="N47" i="2"/>
  <c r="U109" i="2"/>
  <c r="V57" i="2"/>
  <c r="V108" i="2"/>
  <c r="R97" i="2"/>
  <c r="N107" i="2"/>
  <c r="V113" i="2"/>
  <c r="V82" i="2"/>
  <c r="N88" i="2"/>
  <c r="M110" i="2"/>
  <c r="D107" i="2"/>
  <c r="V46" i="2"/>
  <c r="X79" i="2"/>
  <c r="U111" i="2"/>
  <c r="K98" i="2"/>
  <c r="S113" i="2"/>
  <c r="L107" i="2"/>
  <c r="O54" i="2"/>
  <c r="D87" i="2"/>
  <c r="P66" i="2"/>
  <c r="C98" i="2"/>
  <c r="C48" i="2"/>
  <c r="T77" i="2"/>
  <c r="D71" i="2"/>
  <c r="M53" i="2"/>
  <c r="T95" i="2"/>
  <c r="I56" i="2"/>
  <c r="V74" i="2"/>
  <c r="H94" i="2"/>
  <c r="E65" i="2"/>
  <c r="C72" i="2"/>
  <c r="K72" i="2"/>
  <c r="O86" i="2"/>
  <c r="T73" i="2"/>
  <c r="R65" i="2"/>
  <c r="D111" i="2"/>
  <c r="E85" i="2"/>
  <c r="J76" i="2"/>
  <c r="M50" i="2"/>
  <c r="R40" i="2"/>
  <c r="C90" i="2"/>
  <c r="L95" i="2"/>
  <c r="S81" i="2"/>
  <c r="Q42" i="2"/>
  <c r="H113" i="2"/>
  <c r="O87" i="2"/>
  <c r="D60" i="2"/>
  <c r="I43" i="2"/>
  <c r="C107" i="2"/>
  <c r="T71" i="2"/>
  <c r="P113" i="2"/>
  <c r="O73" i="2"/>
  <c r="R45" i="2"/>
  <c r="E90" i="2"/>
  <c r="W53" i="2"/>
  <c r="T90" i="2"/>
  <c r="O58" i="2"/>
  <c r="R93" i="2"/>
  <c r="E96" i="2"/>
  <c r="N80" i="2"/>
  <c r="M80" i="2"/>
  <c r="S58" i="2"/>
  <c r="S67" i="2"/>
  <c r="Q80" i="2"/>
  <c r="H97" i="2"/>
  <c r="Q72" i="2"/>
  <c r="C45" i="2"/>
  <c r="I92" i="2"/>
  <c r="S40" i="2"/>
  <c r="Q51" i="2"/>
  <c r="L81" i="2"/>
  <c r="U47" i="2"/>
  <c r="S87" i="2"/>
  <c r="L97" i="2"/>
  <c r="W58" i="2"/>
  <c r="X73" i="2"/>
  <c r="W68" i="2"/>
  <c r="K97" i="2"/>
  <c r="T99" i="2"/>
  <c r="S56" i="2"/>
  <c r="U94" i="2"/>
  <c r="W83" i="2"/>
  <c r="J50" i="2"/>
  <c r="U57" i="2"/>
  <c r="V77" i="2"/>
  <c r="K110" i="2"/>
  <c r="R55" i="2"/>
  <c r="E76" i="2"/>
  <c r="U40" i="2"/>
  <c r="J77" i="2"/>
  <c r="I63" i="2"/>
  <c r="N74" i="2"/>
  <c r="P55" i="2"/>
  <c r="G72" i="2"/>
  <c r="R96" i="2"/>
  <c r="X69" i="2"/>
  <c r="S68" i="2"/>
  <c r="R68" i="2"/>
  <c r="J49" i="2"/>
  <c r="M62" i="2"/>
  <c r="P88" i="2"/>
  <c r="W96" i="2"/>
  <c r="W73" i="2"/>
  <c r="N93" i="2"/>
  <c r="J62" i="2"/>
  <c r="W55" i="2"/>
  <c r="S75" i="2"/>
  <c r="N105" i="2"/>
  <c r="Q76" i="2"/>
  <c r="X86" i="2"/>
  <c r="P89" i="2"/>
  <c r="I111" i="2"/>
  <c r="M113" i="2"/>
  <c r="E87" i="2"/>
  <c r="C46" i="2"/>
  <c r="V87" i="2"/>
  <c r="E113" i="2"/>
  <c r="T84" i="2"/>
  <c r="I70" i="2"/>
  <c r="T47" i="2"/>
  <c r="O52" i="2"/>
  <c r="D86" i="2"/>
  <c r="Q52" i="2"/>
  <c r="I82" i="2"/>
  <c r="F86" i="2"/>
  <c r="E55" i="2"/>
  <c r="E74" i="2"/>
  <c r="S98" i="2"/>
  <c r="R87" i="2"/>
  <c r="F50" i="2"/>
  <c r="Q62" i="2"/>
  <c r="N52" i="2"/>
  <c r="T42" i="2"/>
  <c r="O41" i="2"/>
  <c r="U110" i="2"/>
  <c r="G63" i="2"/>
  <c r="J108" i="2"/>
  <c r="G93" i="2"/>
  <c r="L55" i="2"/>
  <c r="S99" i="2"/>
  <c r="J73" i="2"/>
  <c r="J63" i="2"/>
  <c r="X51" i="2"/>
  <c r="W84" i="2"/>
  <c r="Q105" i="2"/>
  <c r="G108" i="2"/>
  <c r="I88" i="2"/>
  <c r="S41" i="2"/>
  <c r="I60" i="2"/>
  <c r="T68" i="2"/>
  <c r="M97" i="2"/>
  <c r="W57" i="2"/>
  <c r="Q61" i="2"/>
  <c r="L110" i="2"/>
  <c r="G106" i="2"/>
  <c r="S61" i="2"/>
  <c r="J61" i="2"/>
  <c r="I105" i="2"/>
  <c r="F44" i="2"/>
  <c r="D57" i="2"/>
  <c r="V78" i="2"/>
  <c r="J88" i="2"/>
  <c r="K51" i="2"/>
  <c r="P99" i="2"/>
  <c r="D76" i="2"/>
  <c r="K83" i="2"/>
  <c r="D108" i="2"/>
  <c r="R86" i="2"/>
  <c r="V52" i="2"/>
  <c r="R83" i="2"/>
  <c r="K79" i="2"/>
  <c r="M112" i="2"/>
  <c r="U45" i="2"/>
  <c r="L87" i="2"/>
  <c r="T87" i="2"/>
  <c r="T113" i="2"/>
  <c r="U98" i="2"/>
  <c r="V110" i="2"/>
  <c r="S94" i="2"/>
  <c r="I93" i="2"/>
  <c r="G64" i="2"/>
  <c r="D67" i="2"/>
  <c r="N92" i="2"/>
  <c r="G49" i="2"/>
  <c r="E48" i="2"/>
  <c r="H112" i="2"/>
  <c r="L62" i="2"/>
  <c r="I64" i="2"/>
  <c r="H105" i="2"/>
  <c r="Q92" i="2"/>
  <c r="C83" i="2"/>
  <c r="P43" i="2"/>
  <c r="I95" i="2"/>
  <c r="U89" i="2"/>
  <c r="V44" i="2"/>
  <c r="U41" i="2"/>
  <c r="R71" i="2"/>
  <c r="H42" i="2"/>
  <c r="L65" i="2"/>
  <c r="D73" i="2"/>
  <c r="Q93" i="2"/>
  <c r="S43" i="2"/>
  <c r="M87" i="2"/>
  <c r="I42" i="2"/>
  <c r="I107" i="2"/>
  <c r="F65" i="2"/>
  <c r="I109" i="2"/>
  <c r="I110" i="2"/>
  <c r="L76" i="2"/>
  <c r="N108" i="2"/>
  <c r="V90" i="2"/>
  <c r="O64" i="2"/>
  <c r="C78" i="2"/>
  <c r="O60" i="2"/>
  <c r="E64" i="2"/>
  <c r="V51" i="2"/>
  <c r="J41" i="2"/>
  <c r="P84" i="2"/>
  <c r="F112" i="2"/>
  <c r="O82" i="2"/>
  <c r="Q85" i="2"/>
  <c r="L93" i="2"/>
  <c r="N69" i="2"/>
  <c r="P41" i="2"/>
  <c r="I104" i="2"/>
  <c r="Q74" i="2"/>
  <c r="V107" i="2"/>
  <c r="O63" i="2"/>
  <c r="G60" i="2"/>
  <c r="C94" i="2"/>
  <c r="R73" i="2"/>
  <c r="M85" i="2"/>
  <c r="E75" i="2"/>
  <c r="J44" i="2"/>
  <c r="N66" i="2"/>
  <c r="S77" i="2"/>
  <c r="H58" i="2"/>
  <c r="N79" i="2"/>
  <c r="O83" i="2"/>
  <c r="O47" i="2"/>
  <c r="C51" i="2"/>
  <c r="G86" i="2"/>
  <c r="D89" i="2"/>
  <c r="G98" i="2"/>
  <c r="G50" i="2"/>
  <c r="D52" i="2"/>
  <c r="V75" i="2"/>
  <c r="M74" i="2"/>
  <c r="P104" i="2"/>
  <c r="N95" i="2"/>
  <c r="T72" i="2"/>
  <c r="J98" i="2"/>
  <c r="C61" i="2"/>
  <c r="J93" i="2"/>
  <c r="N54" i="2"/>
  <c r="W95" i="2"/>
  <c r="T104" i="2"/>
  <c r="R76" i="2"/>
  <c r="H91" i="2"/>
  <c r="F59" i="2"/>
  <c r="E105" i="2"/>
  <c r="X59" i="2"/>
  <c r="M109" i="2"/>
  <c r="S93" i="2"/>
  <c r="R64" i="2"/>
  <c r="F64" i="2"/>
  <c r="V68" i="2"/>
  <c r="S82" i="2"/>
  <c r="C92" i="2"/>
  <c r="T56" i="2"/>
  <c r="G44" i="2"/>
  <c r="K61" i="2"/>
  <c r="D51" i="2"/>
  <c r="F51" i="2"/>
  <c r="R113" i="2"/>
  <c r="P75" i="2"/>
  <c r="L43" i="2"/>
  <c r="K69" i="2"/>
  <c r="C63" i="2"/>
  <c r="U112" i="2"/>
  <c r="C42" i="2"/>
  <c r="V66" i="2"/>
  <c r="L90" i="2"/>
  <c r="M72" i="2"/>
  <c r="U76" i="2"/>
  <c r="R81" i="2"/>
  <c r="P73" i="2"/>
  <c r="H47" i="2"/>
  <c r="M70" i="2"/>
  <c r="X56" i="2"/>
  <c r="I87" i="2"/>
  <c r="M108" i="2"/>
  <c r="D105" i="2"/>
  <c r="V53" i="2"/>
  <c r="N81" i="2"/>
  <c r="N57" i="2"/>
  <c r="X113" i="2"/>
  <c r="K99" i="2"/>
  <c r="N40" i="2"/>
  <c r="X75" i="2"/>
  <c r="J42" i="2"/>
  <c r="T83" i="2"/>
  <c r="T112" i="2"/>
  <c r="K46" i="2"/>
  <c r="X68" i="2"/>
  <c r="Q88" i="2"/>
  <c r="O94" i="2"/>
  <c r="O92" i="2"/>
  <c r="M45" i="2"/>
  <c r="Q90" i="2"/>
  <c r="I84" i="2"/>
  <c r="L80" i="2"/>
  <c r="J81" i="2"/>
  <c r="S76" i="2"/>
  <c r="V50" i="2"/>
  <c r="X78" i="2"/>
  <c r="K108" i="2"/>
  <c r="J40" i="2"/>
  <c r="M57" i="2"/>
  <c r="L40" i="2"/>
  <c r="R112" i="2"/>
  <c r="O53" i="2"/>
  <c r="I89" i="2"/>
  <c r="M41" i="2"/>
  <c r="H74" i="2"/>
  <c r="N94" i="2"/>
  <c r="G58" i="2"/>
  <c r="J71" i="2"/>
  <c r="U82" i="2"/>
  <c r="J110" i="2"/>
  <c r="S92" i="2"/>
  <c r="N76" i="2"/>
  <c r="F40" i="2"/>
  <c r="S55" i="2"/>
  <c r="C110" i="2"/>
  <c r="P67" i="2"/>
  <c r="Q82" i="2"/>
  <c r="C56" i="2"/>
  <c r="I67" i="2"/>
  <c r="D66" i="2"/>
  <c r="U88" i="2"/>
  <c r="G59" i="2"/>
  <c r="C88" i="2"/>
  <c r="X52" i="2"/>
  <c r="H48" i="2"/>
  <c r="V67" i="2"/>
  <c r="H75" i="2"/>
  <c r="S90" i="2"/>
  <c r="C106" i="2"/>
  <c r="L73" i="2"/>
  <c r="F45" i="2"/>
  <c r="J59" i="2"/>
  <c r="U105" i="2"/>
  <c r="L79" i="2"/>
  <c r="D81" i="2"/>
  <c r="V65" i="2"/>
  <c r="D109" i="2"/>
  <c r="F43" i="2"/>
  <c r="L61" i="2"/>
  <c r="M86" i="2"/>
  <c r="K76" i="2"/>
  <c r="W48" i="2"/>
  <c r="S65" i="2"/>
  <c r="N73" i="2"/>
  <c r="P87" i="2"/>
  <c r="J72" i="2"/>
  <c r="E99" i="2"/>
  <c r="W50" i="2"/>
  <c r="Q112" i="2"/>
  <c r="I83" i="2"/>
  <c r="T44" i="2"/>
  <c r="N89" i="2"/>
  <c r="E77" i="2"/>
  <c r="P58" i="2"/>
  <c r="V40" i="2"/>
  <c r="N51" i="2"/>
  <c r="J111" i="2"/>
  <c r="J95" i="2"/>
  <c r="E41" i="2"/>
  <c r="C67" i="2"/>
  <c r="T76" i="2"/>
  <c r="H53" i="2"/>
  <c r="C80" i="2"/>
  <c r="D70" i="2"/>
  <c r="C40" i="2"/>
  <c r="V99" i="2"/>
  <c r="I49" i="2"/>
  <c r="M84" i="2"/>
  <c r="D94" i="2"/>
  <c r="X50" i="2"/>
  <c r="N91" i="2"/>
  <c r="F91" i="2"/>
  <c r="M99" i="2"/>
  <c r="U99" i="2"/>
  <c r="N56" i="2"/>
  <c r="V45" i="2"/>
  <c r="T55" i="2"/>
  <c r="I72" i="2"/>
  <c r="D82" i="2"/>
  <c r="L104" i="2"/>
  <c r="X54" i="2"/>
  <c r="P94" i="2"/>
  <c r="W105" i="2"/>
  <c r="R91" i="2"/>
  <c r="S53" i="2"/>
  <c r="R79" i="2"/>
  <c r="T70" i="2"/>
  <c r="L92" i="2"/>
  <c r="L108" i="2"/>
  <c r="U44" i="2"/>
  <c r="J94" i="2"/>
  <c r="P46" i="2"/>
  <c r="H56" i="2"/>
  <c r="D74" i="2"/>
  <c r="T86" i="2"/>
  <c r="F84" i="2"/>
  <c r="D80" i="2"/>
  <c r="F79" i="2"/>
  <c r="H73" i="2"/>
  <c r="K52" i="2"/>
  <c r="P57" i="2"/>
  <c r="W67" i="2"/>
  <c r="T40" i="2"/>
  <c r="J80" i="2"/>
  <c r="L46" i="2"/>
  <c r="S47" i="2"/>
  <c r="C104" i="2"/>
  <c r="X77" i="2"/>
  <c r="H92" i="2"/>
  <c r="C86" i="2"/>
  <c r="F63" i="2"/>
  <c r="G80" i="2"/>
  <c r="I98" i="2"/>
  <c r="E107" i="2"/>
  <c r="S70" i="2"/>
  <c r="T53" i="2"/>
  <c r="R43" i="2"/>
  <c r="Q95" i="2"/>
  <c r="O80" i="2"/>
  <c r="M75" i="2"/>
  <c r="O51" i="2"/>
  <c r="E98" i="2"/>
  <c r="C44" i="2"/>
  <c r="V104" i="2"/>
  <c r="J45" i="2"/>
  <c r="K70" i="2"/>
  <c r="K62" i="2"/>
  <c r="L98" i="2"/>
  <c r="R61" i="2"/>
  <c r="U73" i="2"/>
  <c r="W82" i="2"/>
  <c r="H98" i="2"/>
  <c r="X81" i="2"/>
  <c r="R84" i="2"/>
  <c r="M98" i="2"/>
  <c r="P59" i="2"/>
  <c r="I91" i="2"/>
  <c r="C82" i="2"/>
  <c r="V96" i="2"/>
  <c r="V83" i="2"/>
  <c r="C43" i="2"/>
  <c r="F54" i="2"/>
  <c r="V98" i="2"/>
  <c r="E111" i="2"/>
  <c r="P93" i="2"/>
  <c r="D44" i="2"/>
  <c r="P82" i="2"/>
  <c r="P91" i="2"/>
  <c r="I78" i="2"/>
  <c r="E43" i="2"/>
  <c r="C57" i="2"/>
  <c r="W47" i="2"/>
  <c r="S112" i="2"/>
  <c r="J86" i="2"/>
  <c r="E69" i="2"/>
  <c r="U72" i="2"/>
  <c r="W91" i="2"/>
  <c r="I76" i="2"/>
  <c r="R67" i="2"/>
  <c r="V60" i="2"/>
  <c r="G83" i="2"/>
  <c r="F83" i="2"/>
  <c r="O65" i="2"/>
  <c r="N110" i="2"/>
  <c r="K67" i="2"/>
  <c r="V69" i="2"/>
  <c r="T61" i="2"/>
  <c r="X84" i="2"/>
  <c r="I73" i="2"/>
  <c r="E61" i="2"/>
  <c r="L58" i="2"/>
  <c r="V73" i="2"/>
  <c r="I74" i="2"/>
  <c r="O93" i="2"/>
  <c r="E94" i="2"/>
  <c r="F108" i="2"/>
  <c r="J70" i="2"/>
  <c r="F98" i="2"/>
  <c r="R58" i="2"/>
  <c r="K56" i="2"/>
  <c r="K57" i="2"/>
  <c r="J48" i="2"/>
  <c r="H85" i="2"/>
  <c r="K45" i="2"/>
  <c r="R51" i="2"/>
  <c r="N43" i="2"/>
  <c r="N44" i="2"/>
  <c r="F76" i="2"/>
  <c r="G91" i="2"/>
  <c r="J106" i="2"/>
  <c r="V59" i="2"/>
  <c r="Q98" i="2"/>
  <c r="Q79" i="2"/>
  <c r="V85" i="2"/>
  <c r="R88" i="2"/>
  <c r="P96" i="2"/>
  <c r="V71" i="2"/>
  <c r="R109" i="2"/>
  <c r="T89" i="2"/>
  <c r="I51" i="2"/>
  <c r="G75" i="2"/>
  <c r="O97" i="2"/>
  <c r="M83" i="2"/>
  <c r="K113" i="2"/>
  <c r="C58" i="2"/>
  <c r="M76" i="2"/>
  <c r="E73" i="2"/>
  <c r="C50" i="2"/>
  <c r="W52" i="2"/>
  <c r="N104" i="2"/>
  <c r="P76" i="2"/>
  <c r="P62" i="2"/>
  <c r="F94" i="2"/>
  <c r="H89" i="2"/>
  <c r="L85" i="2"/>
  <c r="C105" i="2"/>
  <c r="V81" i="2"/>
  <c r="I77" i="2"/>
  <c r="N60" i="2"/>
  <c r="H81" i="2"/>
  <c r="W110" i="2"/>
  <c r="V56" i="2"/>
  <c r="T60" i="2"/>
  <c r="K107" i="2"/>
  <c r="C97" i="2"/>
  <c r="J105" i="2"/>
  <c r="N61" i="2"/>
  <c r="L111" i="2"/>
  <c r="P74" i="2"/>
  <c r="K82" i="2"/>
  <c r="J99" i="2"/>
  <c r="CL177" i="1" l="1"/>
  <c r="J62" i="1"/>
  <c r="J265" i="1" s="1"/>
  <c r="CP47" i="1"/>
  <c r="CQ47" i="1" s="1"/>
  <c r="CR47" i="1" s="1"/>
  <c r="AJ60" i="1"/>
  <c r="AM270" i="1"/>
  <c r="AM271" i="1" s="1"/>
  <c r="BL252" i="1"/>
  <c r="BL253" i="1" s="1"/>
  <c r="BL49" i="1"/>
  <c r="BL54" i="1"/>
  <c r="BL58" i="1" s="1"/>
  <c r="CI18" i="1"/>
  <c r="BL21" i="1"/>
  <c r="BL23" i="1" s="1"/>
  <c r="BL18" i="1"/>
  <c r="CH216" i="1"/>
  <c r="CH218" i="1" s="1"/>
  <c r="CH177" i="1"/>
  <c r="CE50" i="1"/>
  <c r="CA270" i="1"/>
  <c r="CA271" i="1" s="1"/>
  <c r="CA252" i="1"/>
  <c r="CA253" i="1" s="1"/>
  <c r="CA51" i="1"/>
  <c r="CA49" i="1"/>
  <c r="CA54" i="1"/>
  <c r="CA58" i="1" s="1"/>
  <c r="CA21" i="1"/>
  <c r="CA23" i="1" s="1"/>
  <c r="CA18" i="1"/>
  <c r="CJ61" i="1"/>
  <c r="CJ254" i="1" s="1"/>
  <c r="AM132" i="1"/>
  <c r="AL49" i="1"/>
  <c r="AL252" i="1"/>
  <c r="AL253" i="1" s="1"/>
  <c r="AL51" i="1"/>
  <c r="AL270" i="1"/>
  <c r="AL271" i="1" s="1"/>
  <c r="AL54" i="1"/>
  <c r="AL58" i="1" s="1"/>
  <c r="AM246" i="1"/>
  <c r="CD21" i="1"/>
  <c r="CD23" i="1" s="1"/>
  <c r="CD18" i="1"/>
  <c r="CH209" i="1"/>
  <c r="CB18" i="1"/>
  <c r="CD50" i="1"/>
  <c r="CD270" i="1"/>
  <c r="CD271" i="1" s="1"/>
  <c r="CD51" i="1"/>
  <c r="CE51" i="1"/>
  <c r="CD54" i="1"/>
  <c r="CD58" i="1" s="1"/>
  <c r="CD252" i="1"/>
  <c r="CD253" i="1" s="1"/>
  <c r="CE270" i="1"/>
  <c r="CE271" i="1" s="1"/>
  <c r="CD49" i="1"/>
  <c r="CJ206" i="1"/>
  <c r="CL18" i="1"/>
  <c r="BY18" i="1"/>
  <c r="CF270" i="1"/>
  <c r="CF271" i="1" s="1"/>
  <c r="CJ50" i="1"/>
  <c r="CF51" i="1"/>
  <c r="CF54" i="1"/>
  <c r="CF58" i="1" s="1"/>
  <c r="CF61" i="1" s="1"/>
  <c r="CF49" i="1"/>
  <c r="CF252" i="1"/>
  <c r="CF253" i="1" s="1"/>
  <c r="CF132" i="1"/>
  <c r="CF246" i="1"/>
  <c r="CK60" i="1"/>
  <c r="CH252" i="1"/>
  <c r="CH253" i="1" s="1"/>
  <c r="CH270" i="1"/>
  <c r="CH271" i="1" s="1"/>
  <c r="CH49" i="1"/>
  <c r="CL50" i="1"/>
  <c r="CI51" i="1"/>
  <c r="CH54" i="1"/>
  <c r="CH58" i="1" s="1"/>
  <c r="CH50" i="1"/>
  <c r="AD138" i="1"/>
  <c r="CX138" i="1"/>
  <c r="CY138" i="1" s="1"/>
  <c r="CZ138" i="1" s="1"/>
  <c r="DA138" i="1" s="1"/>
  <c r="AE138" i="1" s="1"/>
  <c r="CP28" i="1"/>
  <c r="CI270" i="1"/>
  <c r="CI271" i="1" s="1"/>
  <c r="CI252" i="1"/>
  <c r="CI253" i="1" s="1"/>
  <c r="CI49" i="1"/>
  <c r="CJ270" i="1"/>
  <c r="CJ271" i="1" s="1"/>
  <c r="CI50" i="1"/>
  <c r="CJ51" i="1"/>
  <c r="CI54" i="1"/>
  <c r="CI58" i="1" s="1"/>
  <c r="CH21" i="1"/>
  <c r="CH23" i="1" s="1"/>
  <c r="CH18" i="1"/>
  <c r="AL223" i="1"/>
  <c r="AL221" i="1" s="1"/>
  <c r="CX155" i="1"/>
  <c r="CY155" i="1" s="1"/>
  <c r="CZ155" i="1" s="1"/>
  <c r="DA155" i="1" s="1"/>
  <c r="AE155" i="1" s="1"/>
  <c r="AD155" i="1"/>
  <c r="CK132" i="1"/>
  <c r="AM60" i="1"/>
  <c r="AM61" i="1"/>
  <c r="CD223" i="1"/>
  <c r="CD221" i="1" s="1"/>
  <c r="AD184" i="1"/>
  <c r="CX184" i="1"/>
  <c r="CY184" i="1" s="1"/>
  <c r="CZ184" i="1" s="1"/>
  <c r="DA184" i="1" s="1"/>
  <c r="AE184" i="1" s="1"/>
  <c r="AD146" i="1"/>
  <c r="CX146" i="1"/>
  <c r="CY146" i="1" s="1"/>
  <c r="CZ146" i="1" s="1"/>
  <c r="DA146" i="1" s="1"/>
  <c r="AE146" i="1" s="1"/>
  <c r="AD147" i="1"/>
  <c r="CX147" i="1"/>
  <c r="CY147" i="1" s="1"/>
  <c r="CZ147" i="1" s="1"/>
  <c r="DA147" i="1" s="1"/>
  <c r="AE147" i="1" s="1"/>
  <c r="Y80" i="1"/>
  <c r="CC51" i="1"/>
  <c r="CC132" i="1"/>
  <c r="CC246" i="1"/>
  <c r="CD246" i="1"/>
  <c r="CF50" i="1"/>
  <c r="CD132" i="1"/>
  <c r="CB54" i="1"/>
  <c r="CE246" i="1"/>
  <c r="CB50" i="1"/>
  <c r="CB49" i="1"/>
  <c r="CB51" i="1"/>
  <c r="CB270" i="1"/>
  <c r="CB271" i="1" s="1"/>
  <c r="CB252" i="1"/>
  <c r="CB253" i="1" s="1"/>
  <c r="CC270" i="1"/>
  <c r="CC271" i="1" s="1"/>
  <c r="CE132" i="1"/>
  <c r="CL49" i="1"/>
  <c r="CL54" i="1"/>
  <c r="CL58" i="1" s="1"/>
  <c r="CL51" i="1"/>
  <c r="BZ223" i="1"/>
  <c r="BZ221" i="1" s="1"/>
  <c r="CM28" i="1"/>
  <c r="BZ51" i="1"/>
  <c r="BY51" i="1"/>
  <c r="CB132" i="1"/>
  <c r="CC50" i="1"/>
  <c r="BY270" i="1"/>
  <c r="BY49" i="1"/>
  <c r="BY252" i="1"/>
  <c r="BY253" i="1" s="1"/>
  <c r="BY54" i="1"/>
  <c r="BZ270" i="1"/>
  <c r="BZ271" i="1" s="1"/>
  <c r="CA132" i="1"/>
  <c r="CL204" i="1"/>
  <c r="CK205" i="1"/>
  <c r="CK206" i="1" s="1"/>
  <c r="Z80" i="1"/>
  <c r="CH246" i="1"/>
  <c r="CI246" i="1"/>
  <c r="CG49" i="1"/>
  <c r="CG132" i="1"/>
  <c r="CG134" i="1" s="1"/>
  <c r="CH51" i="1"/>
  <c r="CG270" i="1"/>
  <c r="CG271" i="1" s="1"/>
  <c r="CG252" i="1"/>
  <c r="CG253" i="1" s="1"/>
  <c r="CG54" i="1"/>
  <c r="CH132" i="1"/>
  <c r="CG246" i="1"/>
  <c r="CI132" i="1"/>
  <c r="CG51" i="1"/>
  <c r="CJ246" i="1"/>
  <c r="CG50" i="1"/>
  <c r="CJ132" i="1"/>
  <c r="CL132" i="1"/>
  <c r="CG18" i="1"/>
  <c r="AJ223" i="1"/>
  <c r="AJ221" i="1" s="1"/>
  <c r="DA17" i="1"/>
  <c r="DA28" i="1" s="1"/>
  <c r="CW28" i="1"/>
  <c r="CR28" i="1"/>
  <c r="G213" i="1"/>
  <c r="G215" i="1" s="1"/>
  <c r="O72" i="1"/>
  <c r="I254" i="1"/>
  <c r="M68" i="1"/>
  <c r="M213" i="1" s="1"/>
  <c r="M215" i="1" s="1"/>
  <c r="C68" i="1"/>
  <c r="C72" i="1" s="1"/>
  <c r="N72" i="1"/>
  <c r="H72" i="1"/>
  <c r="L68" i="1"/>
  <c r="L72" i="1" s="1"/>
  <c r="L63" i="1"/>
  <c r="CK68" i="1"/>
  <c r="CK62" i="1"/>
  <c r="L62" i="1"/>
  <c r="L265" i="1" s="1"/>
  <c r="P213" i="1"/>
  <c r="P215" i="1" s="1"/>
  <c r="K213" i="1"/>
  <c r="K215" i="1" s="1"/>
  <c r="I62" i="1"/>
  <c r="I265" i="1" s="1"/>
  <c r="I68" i="1"/>
  <c r="I72" i="1" s="1"/>
  <c r="M63" i="1"/>
  <c r="F63" i="1"/>
  <c r="C63" i="1"/>
  <c r="Q72" i="1"/>
  <c r="J68" i="1"/>
  <c r="J72" i="1" s="1"/>
  <c r="C62" i="1"/>
  <c r="M254" i="1"/>
  <c r="E62" i="1"/>
  <c r="E265" i="1" s="1"/>
  <c r="M62" i="1"/>
  <c r="M265" i="1" s="1"/>
  <c r="E254" i="1"/>
  <c r="CO37" i="1"/>
  <c r="CP37" i="1" s="1"/>
  <c r="CQ37" i="1" s="1"/>
  <c r="R213" i="1"/>
  <c r="R215" i="1" s="1"/>
  <c r="R72" i="1"/>
  <c r="E63" i="1"/>
  <c r="D63" i="1"/>
  <c r="E72" i="1"/>
  <c r="E213" i="1"/>
  <c r="E215" i="1" s="1"/>
  <c r="J254" i="1"/>
  <c r="J63" i="1"/>
  <c r="CN222" i="1"/>
  <c r="CG115" i="1"/>
  <c r="CG116" i="1"/>
  <c r="CG114" i="1"/>
  <c r="BZ61" i="1"/>
  <c r="BZ60" i="1"/>
  <c r="CN148" i="1"/>
  <c r="CO144" i="1"/>
  <c r="CO203" i="1"/>
  <c r="CE68" i="1"/>
  <c r="CE62" i="1"/>
  <c r="CE265" i="1" s="1"/>
  <c r="CE254" i="1"/>
  <c r="CM201" i="1"/>
  <c r="CL202" i="1"/>
  <c r="AC85" i="1"/>
  <c r="AD83" i="1"/>
  <c r="V68" i="1"/>
  <c r="V62" i="1"/>
  <c r="V265" i="1" s="1"/>
  <c r="W63" i="1"/>
  <c r="V254" i="1"/>
  <c r="AJ68" i="1"/>
  <c r="AJ254" i="1"/>
  <c r="AJ62" i="1"/>
  <c r="AK64" i="1"/>
  <c r="BX213" i="1"/>
  <c r="BX215" i="1" s="1"/>
  <c r="BX72" i="1"/>
  <c r="CO85" i="1"/>
  <c r="CP83" i="1"/>
  <c r="CM269" i="1"/>
  <c r="CM226" i="1"/>
  <c r="X83" i="1"/>
  <c r="Y85" i="1"/>
  <c r="Z61" i="1"/>
  <c r="Z60" i="1"/>
  <c r="Y61" i="1"/>
  <c r="Y60" i="1"/>
  <c r="D62" i="1"/>
  <c r="D68" i="1"/>
  <c r="D254" i="1"/>
  <c r="CG123" i="1"/>
  <c r="CG122" i="1"/>
  <c r="CG124" i="1"/>
  <c r="AK68" i="1"/>
  <c r="AK62" i="1"/>
  <c r="AK254" i="1"/>
  <c r="CD83" i="1"/>
  <c r="CE85" i="1"/>
  <c r="Z128" i="1"/>
  <c r="Z131" i="1" s="1"/>
  <c r="Z134" i="1" s="1"/>
  <c r="Z127" i="1"/>
  <c r="Z130" i="1" s="1"/>
  <c r="Z133" i="1" s="1"/>
  <c r="Z112" i="1"/>
  <c r="Z119" i="1"/>
  <c r="X61" i="1"/>
  <c r="X63" i="1" s="1"/>
  <c r="X60" i="1"/>
  <c r="W62" i="1"/>
  <c r="W265" i="1" s="1"/>
  <c r="W254" i="1"/>
  <c r="W68" i="1"/>
  <c r="W72" i="1" s="1"/>
  <c r="CC254" i="1"/>
  <c r="CC62" i="1"/>
  <c r="CC265" i="1" s="1"/>
  <c r="CC68" i="1"/>
  <c r="CO222" i="1"/>
  <c r="CP160" i="1"/>
  <c r="CP222" i="1" s="1"/>
  <c r="AB160" i="1"/>
  <c r="CO199" i="1"/>
  <c r="CF119" i="1"/>
  <c r="CF127" i="1"/>
  <c r="CF128" i="1"/>
  <c r="U254" i="1"/>
  <c r="U63" i="1"/>
  <c r="V63" i="1"/>
  <c r="U62" i="1"/>
  <c r="U265" i="1" s="1"/>
  <c r="U68" i="1"/>
  <c r="W153" i="1"/>
  <c r="T192" i="1"/>
  <c r="T99" i="1"/>
  <c r="L175" i="1"/>
  <c r="N152" i="1"/>
  <c r="R157" i="1"/>
  <c r="T98" i="1"/>
  <c r="G97" i="1"/>
  <c r="S160" i="1"/>
  <c r="F170" i="1"/>
  <c r="W167" i="1"/>
  <c r="B152" i="1"/>
  <c r="U164" i="1"/>
  <c r="U199" i="1" s="1"/>
  <c r="R171" i="1"/>
  <c r="D191" i="1"/>
  <c r="F164" i="1"/>
  <c r="F199" i="1" s="1"/>
  <c r="J93" i="1"/>
  <c r="E183" i="1"/>
  <c r="H191" i="1"/>
  <c r="F191" i="1"/>
  <c r="I191" i="1"/>
  <c r="Q147" i="1"/>
  <c r="O179" i="1"/>
  <c r="Q165" i="1"/>
  <c r="Q200" i="1" s="1"/>
  <c r="I183" i="1"/>
  <c r="S173" i="1"/>
  <c r="S203" i="1" s="1"/>
  <c r="I160" i="1"/>
  <c r="S175" i="1"/>
  <c r="L164" i="1"/>
  <c r="L199" i="1" s="1"/>
  <c r="L156" i="1"/>
  <c r="V146" i="1"/>
  <c r="V174" i="1" s="1"/>
  <c r="K169" i="1"/>
  <c r="B146" i="1"/>
  <c r="B174" i="1" s="1"/>
  <c r="N139" i="1"/>
  <c r="C87" i="1"/>
  <c r="G170" i="1"/>
  <c r="S192" i="1"/>
  <c r="M137" i="1"/>
  <c r="B170" i="1"/>
  <c r="U163" i="1"/>
  <c r="K94" i="1"/>
  <c r="S170" i="1"/>
  <c r="I169" i="1"/>
  <c r="K138" i="1"/>
  <c r="I192" i="1"/>
  <c r="H180" i="1"/>
  <c r="N99" i="1"/>
  <c r="E166" i="1"/>
  <c r="W155" i="1"/>
  <c r="W151" i="1" s="1"/>
  <c r="W139" i="1"/>
  <c r="B84" i="1"/>
  <c r="K155" i="1"/>
  <c r="K151" i="1" s="1"/>
  <c r="H184" i="1"/>
  <c r="B180" i="1"/>
  <c r="D137" i="1"/>
  <c r="T142" i="1"/>
  <c r="K153" i="1"/>
  <c r="T163" i="1"/>
  <c r="N93" i="1"/>
  <c r="H144" i="1"/>
  <c r="G99" i="1"/>
  <c r="W180" i="1"/>
  <c r="V97" i="1"/>
  <c r="J169" i="1"/>
  <c r="P98" i="1"/>
  <c r="V152" i="1"/>
  <c r="T93" i="1"/>
  <c r="B184" i="1"/>
  <c r="R147" i="1"/>
  <c r="I180" i="1"/>
  <c r="V163" i="1"/>
  <c r="F138" i="1"/>
  <c r="J137" i="1"/>
  <c r="V191" i="1"/>
  <c r="B157" i="1"/>
  <c r="V167" i="1"/>
  <c r="T162" i="1"/>
  <c r="R145" i="1"/>
  <c r="T166" i="1"/>
  <c r="I98" i="1"/>
  <c r="B192" i="1"/>
  <c r="O175" i="1"/>
  <c r="S87" i="1"/>
  <c r="D173" i="1"/>
  <c r="D203" i="1" s="1"/>
  <c r="K164" i="1"/>
  <c r="K199" i="1" s="1"/>
  <c r="S157" i="1"/>
  <c r="V87" i="1"/>
  <c r="C153" i="1"/>
  <c r="P184" i="1"/>
  <c r="D171" i="1"/>
  <c r="M87" i="1"/>
  <c r="K152" i="1"/>
  <c r="E98" i="1"/>
  <c r="C190" i="1"/>
  <c r="E138" i="1"/>
  <c r="T94" i="1"/>
  <c r="O163" i="1"/>
  <c r="Q184" i="1"/>
  <c r="U157" i="1"/>
  <c r="D153" i="1"/>
  <c r="U137" i="1"/>
  <c r="P164" i="1"/>
  <c r="P199" i="1" s="1"/>
  <c r="J162" i="1"/>
  <c r="L138" i="1"/>
  <c r="J166" i="1"/>
  <c r="D156" i="1"/>
  <c r="O192" i="1"/>
  <c r="E153" i="1"/>
  <c r="W138" i="1"/>
  <c r="M157" i="1"/>
  <c r="V153" i="1"/>
  <c r="K144" i="1"/>
  <c r="R166" i="1"/>
  <c r="I87" i="1"/>
  <c r="K147" i="1"/>
  <c r="W160" i="1"/>
  <c r="X222" i="1" s="1"/>
  <c r="T87" i="1"/>
  <c r="L137" i="1"/>
  <c r="F190" i="1"/>
  <c r="U94" i="1"/>
  <c r="P145" i="1"/>
  <c r="S138" i="1"/>
  <c r="J192" i="1"/>
  <c r="G144" i="1"/>
  <c r="I167" i="1"/>
  <c r="K179" i="1"/>
  <c r="K173" i="1"/>
  <c r="K203" i="1" s="1"/>
  <c r="L191" i="1"/>
  <c r="D180" i="1"/>
  <c r="Q153" i="1"/>
  <c r="V171" i="1"/>
  <c r="C139" i="1"/>
  <c r="B190" i="1"/>
  <c r="P163" i="1"/>
  <c r="F192" i="1"/>
  <c r="M169" i="1"/>
  <c r="Q94" i="1"/>
  <c r="Q170" i="1"/>
  <c r="V142" i="1"/>
  <c r="N94" i="1"/>
  <c r="D169" i="1"/>
  <c r="M94" i="1"/>
  <c r="V99" i="1"/>
  <c r="S164" i="1"/>
  <c r="S199" i="1" s="1"/>
  <c r="G155" i="1"/>
  <c r="G151" i="1" s="1"/>
  <c r="V184" i="1"/>
  <c r="K180" i="1"/>
  <c r="E146" i="1"/>
  <c r="E174" i="1" s="1"/>
  <c r="J157" i="1"/>
  <c r="Q87" i="1"/>
  <c r="U190" i="1"/>
  <c r="O167" i="1"/>
  <c r="L170" i="1"/>
  <c r="N190" i="1"/>
  <c r="R179" i="1"/>
  <c r="W99" i="1"/>
  <c r="J163" i="1"/>
  <c r="P162" i="1"/>
  <c r="F87" i="1"/>
  <c r="C179" i="1"/>
  <c r="B183" i="1"/>
  <c r="Q190" i="1"/>
  <c r="U166" i="1"/>
  <c r="N142" i="1"/>
  <c r="O180" i="1"/>
  <c r="Q160" i="1"/>
  <c r="R162" i="1"/>
  <c r="L152" i="1"/>
  <c r="F155" i="1"/>
  <c r="F151" i="1" s="1"/>
  <c r="T146" i="1"/>
  <c r="T174" i="1" s="1"/>
  <c r="W87" i="1"/>
  <c r="O152" i="1"/>
  <c r="V137" i="1"/>
  <c r="N183" i="1"/>
  <c r="I170" i="1"/>
  <c r="M180" i="1"/>
  <c r="O99" i="1"/>
  <c r="F153" i="1"/>
  <c r="R137" i="1"/>
  <c r="F99" i="1"/>
  <c r="U144" i="1"/>
  <c r="U184" i="1"/>
  <c r="W173" i="1"/>
  <c r="D94" i="1"/>
  <c r="L99" i="1"/>
  <c r="H138" i="1"/>
  <c r="H98" i="1"/>
  <c r="Q192" i="1"/>
  <c r="N145" i="1"/>
  <c r="P183" i="1"/>
  <c r="V166" i="1"/>
  <c r="B153" i="1"/>
  <c r="R155" i="1"/>
  <c r="R151" i="1" s="1"/>
  <c r="M138" i="1"/>
  <c r="V165" i="1"/>
  <c r="V200" i="1" s="1"/>
  <c r="G169" i="1"/>
  <c r="C138" i="1"/>
  <c r="N98" i="1"/>
  <c r="O98" i="1"/>
  <c r="C157" i="1"/>
  <c r="N97" i="1"/>
  <c r="U147" i="1"/>
  <c r="P153" i="1"/>
  <c r="U170" i="1"/>
  <c r="G160" i="1"/>
  <c r="N144" i="1"/>
  <c r="T97" i="1"/>
  <c r="F173" i="1"/>
  <c r="F203" i="1" s="1"/>
  <c r="R94" i="1"/>
  <c r="U169" i="1"/>
  <c r="U155" i="1"/>
  <c r="U151" i="1" s="1"/>
  <c r="L166" i="1"/>
  <c r="C142" i="1"/>
  <c r="E99" i="1"/>
  <c r="R163" i="1"/>
  <c r="E165" i="1"/>
  <c r="E200" i="1" s="1"/>
  <c r="K99" i="1"/>
  <c r="R190" i="1"/>
  <c r="V175" i="1"/>
  <c r="G180" i="1"/>
  <c r="V93" i="1"/>
  <c r="P139" i="1"/>
  <c r="L144" i="1"/>
  <c r="U191" i="1"/>
  <c r="I156" i="1"/>
  <c r="R180" i="1"/>
  <c r="E93" i="1"/>
  <c r="J167" i="1"/>
  <c r="E173" i="1"/>
  <c r="E203" i="1" s="1"/>
  <c r="W98" i="1"/>
  <c r="S137" i="1"/>
  <c r="W94" i="1"/>
  <c r="B166" i="1"/>
  <c r="J156" i="1"/>
  <c r="U152" i="1"/>
  <c r="Q155" i="1"/>
  <c r="Q151" i="1" s="1"/>
  <c r="U156" i="1"/>
  <c r="U93" i="1"/>
  <c r="H145" i="1"/>
  <c r="F156" i="1"/>
  <c r="N180" i="1"/>
  <c r="B87" i="1"/>
  <c r="M164" i="1"/>
  <c r="M199" i="1" s="1"/>
  <c r="O165" i="1"/>
  <c r="O200" i="1" s="1"/>
  <c r="P192" i="1"/>
  <c r="V192" i="1"/>
  <c r="O94" i="1"/>
  <c r="O155" i="1"/>
  <c r="O151" i="1" s="1"/>
  <c r="H160" i="1"/>
  <c r="N87" i="1"/>
  <c r="Q180" i="1"/>
  <c r="H139" i="1"/>
  <c r="T152" i="1"/>
  <c r="T144" i="1"/>
  <c r="U142" i="1"/>
  <c r="O139" i="1"/>
  <c r="E97" i="1"/>
  <c r="W166" i="1"/>
  <c r="D165" i="1"/>
  <c r="D200" i="1" s="1"/>
  <c r="N170" i="1"/>
  <c r="O190" i="1"/>
  <c r="F147" i="1"/>
  <c r="I171" i="1"/>
  <c r="M173" i="1"/>
  <c r="M203" i="1" s="1"/>
  <c r="T160" i="1"/>
  <c r="T222" i="1" s="1"/>
  <c r="L157" i="1"/>
  <c r="M99" i="1"/>
  <c r="T138" i="1"/>
  <c r="M145" i="1"/>
  <c r="S145" i="1"/>
  <c r="P170" i="1"/>
  <c r="D147" i="1"/>
  <c r="E142" i="1"/>
  <c r="W97" i="1"/>
  <c r="H165" i="1"/>
  <c r="H200" i="1" s="1"/>
  <c r="V164" i="1"/>
  <c r="V199" i="1" s="1"/>
  <c r="N163" i="1"/>
  <c r="C147" i="1"/>
  <c r="N171" i="1"/>
  <c r="B165" i="1"/>
  <c r="B200" i="1" s="1"/>
  <c r="R184" i="1"/>
  <c r="N169" i="1"/>
  <c r="V147" i="1"/>
  <c r="C173" i="1"/>
  <c r="C203" i="1" s="1"/>
  <c r="F145" i="1"/>
  <c r="S97" i="1"/>
  <c r="P144" i="1"/>
  <c r="D175" i="1"/>
  <c r="I173" i="1"/>
  <c r="I203" i="1" s="1"/>
  <c r="C94" i="1"/>
  <c r="O173" i="1"/>
  <c r="O203" i="1" s="1"/>
  <c r="U180" i="1"/>
  <c r="B156" i="1"/>
  <c r="U192" i="1"/>
  <c r="F146" i="1"/>
  <c r="F174" i="1" s="1"/>
  <c r="F184" i="1"/>
  <c r="O144" i="1"/>
  <c r="S191" i="1"/>
  <c r="D93" i="1"/>
  <c r="G190" i="1"/>
  <c r="M192" i="1"/>
  <c r="E180" i="1"/>
  <c r="E181" i="1" s="1"/>
  <c r="F229" i="1" s="1"/>
  <c r="Q166" i="1"/>
  <c r="S171" i="1"/>
  <c r="D97" i="1"/>
  <c r="K184" i="1"/>
  <c r="I93" i="1"/>
  <c r="C146" i="1"/>
  <c r="C174" i="1" s="1"/>
  <c r="Q144" i="1"/>
  <c r="N191" i="1"/>
  <c r="R156" i="1"/>
  <c r="B151" i="1"/>
  <c r="S153" i="1"/>
  <c r="G164" i="1"/>
  <c r="G199" i="1" s="1"/>
  <c r="B97" i="1"/>
  <c r="E162" i="1"/>
  <c r="E170" i="1"/>
  <c r="N164" i="1"/>
  <c r="N199" i="1" s="1"/>
  <c r="H153" i="1"/>
  <c r="T171" i="1"/>
  <c r="V180" i="1"/>
  <c r="E175" i="1"/>
  <c r="R99" i="1"/>
  <c r="L190" i="1"/>
  <c r="K163" i="1"/>
  <c r="F180" i="1"/>
  <c r="J153" i="1"/>
  <c r="H175" i="1"/>
  <c r="M162" i="1"/>
  <c r="T147" i="1"/>
  <c r="Q138" i="1"/>
  <c r="I157" i="1"/>
  <c r="K165" i="1"/>
  <c r="K200" i="1" s="1"/>
  <c r="E137" i="1"/>
  <c r="W146" i="1"/>
  <c r="W174" i="1" s="1"/>
  <c r="R138" i="1"/>
  <c r="U139" i="1"/>
  <c r="C97" i="1"/>
  <c r="Q191" i="1"/>
  <c r="N165" i="1"/>
  <c r="N200" i="1" s="1"/>
  <c r="W156" i="1"/>
  <c r="P99" i="1"/>
  <c r="F169" i="1"/>
  <c r="S147" i="1"/>
  <c r="O93" i="1"/>
  <c r="G93" i="1"/>
  <c r="R169" i="1"/>
  <c r="M190" i="1"/>
  <c r="Q97" i="1"/>
  <c r="I94" i="1"/>
  <c r="C167" i="1"/>
  <c r="M146" i="1"/>
  <c r="M174" i="1" s="1"/>
  <c r="C145" i="1"/>
  <c r="D166" i="1"/>
  <c r="U165" i="1"/>
  <c r="U200" i="1" s="1"/>
  <c r="Q156" i="1"/>
  <c r="J191" i="1"/>
  <c r="F179" i="1"/>
  <c r="D184" i="1"/>
  <c r="H155" i="1"/>
  <c r="H151" i="1" s="1"/>
  <c r="L98" i="1"/>
  <c r="E171" i="1"/>
  <c r="Q152" i="1"/>
  <c r="N155" i="1"/>
  <c r="N151" i="1" s="1"/>
  <c r="F183" i="1"/>
  <c r="Q98" i="1"/>
  <c r="S169" i="1"/>
  <c r="V138" i="1"/>
  <c r="J99" i="1"/>
  <c r="E94" i="1"/>
  <c r="C83" i="1"/>
  <c r="C184" i="1"/>
  <c r="H142" i="1"/>
  <c r="P171" i="1"/>
  <c r="K162" i="1"/>
  <c r="C137" i="1"/>
  <c r="M171" i="1"/>
  <c r="D99" i="1"/>
  <c r="J180" i="1"/>
  <c r="T190" i="1"/>
  <c r="S99" i="1"/>
  <c r="B171" i="1"/>
  <c r="R191" i="1"/>
  <c r="H156" i="1"/>
  <c r="R183" i="1"/>
  <c r="B145" i="1"/>
  <c r="G171" i="1"/>
  <c r="L167" i="1"/>
  <c r="K167" i="1"/>
  <c r="H170" i="1"/>
  <c r="J171" i="1"/>
  <c r="J147" i="1"/>
  <c r="G166" i="1"/>
  <c r="E144" i="1"/>
  <c r="W165" i="1"/>
  <c r="B162" i="1"/>
  <c r="G138" i="1"/>
  <c r="O137" i="1"/>
  <c r="J138" i="1"/>
  <c r="O156" i="1"/>
  <c r="Q175" i="1"/>
  <c r="V173" i="1"/>
  <c r="V203" i="1" s="1"/>
  <c r="M191" i="1"/>
  <c r="L183" i="1"/>
  <c r="N175" i="1"/>
  <c r="Q163" i="1"/>
  <c r="C163" i="1"/>
  <c r="N192" i="1"/>
  <c r="I142" i="1"/>
  <c r="Q145" i="1"/>
  <c r="E192" i="1"/>
  <c r="R152" i="1"/>
  <c r="I175" i="1"/>
  <c r="V144" i="1"/>
  <c r="R160" i="1"/>
  <c r="N173" i="1"/>
  <c r="N203" i="1" s="1"/>
  <c r="I145" i="1"/>
  <c r="U179" i="1"/>
  <c r="G152" i="1"/>
  <c r="L165" i="1"/>
  <c r="L200" i="1" s="1"/>
  <c r="V145" i="1"/>
  <c r="O183" i="1"/>
  <c r="G157" i="1"/>
  <c r="K191" i="1"/>
  <c r="N138" i="1"/>
  <c r="O164" i="1"/>
  <c r="O199" i="1" s="1"/>
  <c r="R173" i="1"/>
  <c r="R203" i="1" s="1"/>
  <c r="B179" i="1"/>
  <c r="L145" i="1"/>
  <c r="K93" i="1"/>
  <c r="D162" i="1"/>
  <c r="U87" i="1"/>
  <c r="L162" i="1"/>
  <c r="P137" i="1"/>
  <c r="H173" i="1"/>
  <c r="H203" i="1" s="1"/>
  <c r="G137" i="1"/>
  <c r="I155" i="1"/>
  <c r="I151" i="1" s="1"/>
  <c r="L153" i="1"/>
  <c r="Q171" i="1"/>
  <c r="C156" i="1"/>
  <c r="S180" i="1"/>
  <c r="H163" i="1"/>
  <c r="C180" i="1"/>
  <c r="D183" i="1"/>
  <c r="D160" i="1"/>
  <c r="D144" i="1"/>
  <c r="E157" i="1"/>
  <c r="E190" i="1"/>
  <c r="S183" i="1"/>
  <c r="U97" i="1"/>
  <c r="H179" i="1"/>
  <c r="K146" i="1"/>
  <c r="K174" i="1" s="1"/>
  <c r="I146" i="1"/>
  <c r="I174" i="1" s="1"/>
  <c r="S152" i="1"/>
  <c r="I99" i="1"/>
  <c r="T179" i="1"/>
  <c r="E164" i="1"/>
  <c r="E199" i="1" s="1"/>
  <c r="J170" i="1"/>
  <c r="W192" i="1"/>
  <c r="B142" i="1"/>
  <c r="M142" i="1"/>
  <c r="Q146" i="1"/>
  <c r="Q174" i="1" s="1"/>
  <c r="W171" i="1"/>
  <c r="P93" i="1"/>
  <c r="G162" i="1"/>
  <c r="C192" i="1"/>
  <c r="N162" i="1"/>
  <c r="G87" i="1"/>
  <c r="R192" i="1"/>
  <c r="I190" i="1"/>
  <c r="O147" i="1"/>
  <c r="T157" i="1"/>
  <c r="F152" i="1"/>
  <c r="O97" i="1"/>
  <c r="R93" i="1"/>
  <c r="M166" i="1"/>
  <c r="K137" i="1"/>
  <c r="O87" i="1"/>
  <c r="P152" i="1"/>
  <c r="U98" i="1"/>
  <c r="C171" i="1"/>
  <c r="W145" i="1"/>
  <c r="F171" i="1"/>
  <c r="J164" i="1"/>
  <c r="J199" i="1" s="1"/>
  <c r="W184" i="1"/>
  <c r="M153" i="1"/>
  <c r="F162" i="1"/>
  <c r="V170" i="1"/>
  <c r="K171" i="1"/>
  <c r="Q139" i="1"/>
  <c r="E152" i="1"/>
  <c r="U99" i="1"/>
  <c r="O160" i="1"/>
  <c r="M160" i="1"/>
  <c r="B175" i="1"/>
  <c r="M175" i="1"/>
  <c r="L163" i="1"/>
  <c r="M98" i="1"/>
  <c r="H94" i="1"/>
  <c r="B164" i="1"/>
  <c r="B199" i="1" s="1"/>
  <c r="W144" i="1"/>
  <c r="M163" i="1"/>
  <c r="B137" i="1"/>
  <c r="G175" i="1"/>
  <c r="I153" i="1"/>
  <c r="V183" i="1"/>
  <c r="N167" i="1"/>
  <c r="F163" i="1"/>
  <c r="N166" i="1"/>
  <c r="T169" i="1"/>
  <c r="I147" i="1"/>
  <c r="K98" i="1"/>
  <c r="T137" i="1"/>
  <c r="H146" i="1"/>
  <c r="H174" i="1" s="1"/>
  <c r="N160" i="1"/>
  <c r="C84" i="1"/>
  <c r="J179" i="1"/>
  <c r="L192" i="1"/>
  <c r="O153" i="1"/>
  <c r="F144" i="1"/>
  <c r="T191" i="1"/>
  <c r="W147" i="1"/>
  <c r="J183" i="1"/>
  <c r="D170" i="1"/>
  <c r="C166" i="1"/>
  <c r="O169" i="1"/>
  <c r="W93" i="1"/>
  <c r="W157" i="1"/>
  <c r="I97" i="1"/>
  <c r="L179" i="1"/>
  <c r="E145" i="1"/>
  <c r="L184" i="1"/>
  <c r="R139" i="1"/>
  <c r="C183" i="1"/>
  <c r="J173" i="1"/>
  <c r="J203" i="1" s="1"/>
  <c r="Q179" i="1"/>
  <c r="G167" i="1"/>
  <c r="F165" i="1"/>
  <c r="F200" i="1" s="1"/>
  <c r="H164" i="1"/>
  <c r="H199" i="1" s="1"/>
  <c r="Q137" i="1"/>
  <c r="R142" i="1"/>
  <c r="P191" i="1"/>
  <c r="O145" i="1"/>
  <c r="H192" i="1"/>
  <c r="F166" i="1"/>
  <c r="M170" i="1"/>
  <c r="B147" i="1"/>
  <c r="H162" i="1"/>
  <c r="N184" i="1"/>
  <c r="R98" i="1"/>
  <c r="G147" i="1"/>
  <c r="G191" i="1"/>
  <c r="O184" i="1"/>
  <c r="P179" i="1"/>
  <c r="P181" i="1" s="1"/>
  <c r="Q229" i="1" s="1"/>
  <c r="B83" i="1"/>
  <c r="B85" i="1" s="1"/>
  <c r="K160" i="1"/>
  <c r="M167" i="1"/>
  <c r="O157" i="1"/>
  <c r="U145" i="1"/>
  <c r="I163" i="1"/>
  <c r="L169" i="1"/>
  <c r="H157" i="1"/>
  <c r="T156" i="1"/>
  <c r="E191" i="1"/>
  <c r="T139" i="1"/>
  <c r="T173" i="1"/>
  <c r="T203" i="1" s="1"/>
  <c r="Q93" i="1"/>
  <c r="U173" i="1"/>
  <c r="U203" i="1" s="1"/>
  <c r="R164" i="1"/>
  <c r="R199" i="1" s="1"/>
  <c r="G139" i="1"/>
  <c r="C169" i="1"/>
  <c r="M93" i="1"/>
  <c r="D151" i="1"/>
  <c r="B139" i="1"/>
  <c r="E139" i="1"/>
  <c r="M156" i="1"/>
  <c r="U183" i="1"/>
  <c r="G98" i="1"/>
  <c r="G156" i="1"/>
  <c r="H183" i="1"/>
  <c r="I165" i="1"/>
  <c r="I200" i="1" s="1"/>
  <c r="B191" i="1"/>
  <c r="H190" i="1"/>
  <c r="J87" i="1"/>
  <c r="C175" i="1"/>
  <c r="D138" i="1"/>
  <c r="T183" i="1"/>
  <c r="U160" i="1"/>
  <c r="F142" i="1"/>
  <c r="M97" i="1"/>
  <c r="C152" i="1"/>
  <c r="D157" i="1"/>
  <c r="W190" i="1"/>
  <c r="D179" i="1"/>
  <c r="G94" i="1"/>
  <c r="S144" i="1"/>
  <c r="D145" i="1"/>
  <c r="C164" i="1"/>
  <c r="C199" i="1" s="1"/>
  <c r="D84" i="1"/>
  <c r="K156" i="1"/>
  <c r="D192" i="1"/>
  <c r="E156" i="1"/>
  <c r="B173" i="1"/>
  <c r="B203" i="1" s="1"/>
  <c r="P87" i="1"/>
  <c r="C191" i="1"/>
  <c r="L155" i="1"/>
  <c r="L151" i="1" s="1"/>
  <c r="E169" i="1"/>
  <c r="V155" i="1"/>
  <c r="V151" i="1" s="1"/>
  <c r="L94" i="1"/>
  <c r="T165" i="1"/>
  <c r="T200" i="1" s="1"/>
  <c r="V169" i="1"/>
  <c r="K183" i="1"/>
  <c r="I179" i="1"/>
  <c r="K97" i="1"/>
  <c r="K170" i="1"/>
  <c r="M165" i="1"/>
  <c r="M200" i="1" s="1"/>
  <c r="P190" i="1"/>
  <c r="F98" i="1"/>
  <c r="J97" i="1"/>
  <c r="K157" i="1"/>
  <c r="P138" i="1"/>
  <c r="E155" i="1"/>
  <c r="E151" i="1" s="1"/>
  <c r="V157" i="1"/>
  <c r="R165" i="1"/>
  <c r="R200" i="1" s="1"/>
  <c r="S165" i="1"/>
  <c r="S200" i="1" s="1"/>
  <c r="S139" i="1"/>
  <c r="B155" i="1"/>
  <c r="J94" i="1"/>
  <c r="N147" i="1"/>
  <c r="M144" i="1"/>
  <c r="O171" i="1"/>
  <c r="O166" i="1"/>
  <c r="J98" i="1"/>
  <c r="H87" i="1"/>
  <c r="O170" i="1"/>
  <c r="W169" i="1"/>
  <c r="P169" i="1"/>
  <c r="S179" i="1"/>
  <c r="L173" i="1"/>
  <c r="L203" i="1" s="1"/>
  <c r="K139" i="1"/>
  <c r="S163" i="1"/>
  <c r="T180" i="1"/>
  <c r="G192" i="1"/>
  <c r="G153" i="1"/>
  <c r="I138" i="1"/>
  <c r="S156" i="1"/>
  <c r="D167" i="1"/>
  <c r="N179" i="1"/>
  <c r="B163" i="1"/>
  <c r="L146" i="1"/>
  <c r="L174" i="1" s="1"/>
  <c r="C99" i="1"/>
  <c r="K145" i="1"/>
  <c r="D87" i="1"/>
  <c r="L93" i="1"/>
  <c r="F94" i="1"/>
  <c r="J155" i="1"/>
  <c r="J151" i="1" s="1"/>
  <c r="W179" i="1"/>
  <c r="T170" i="1"/>
  <c r="E167" i="1"/>
  <c r="F93" i="1"/>
  <c r="U138" i="1"/>
  <c r="S166" i="1"/>
  <c r="W162" i="1"/>
  <c r="L97" i="1"/>
  <c r="S94" i="1"/>
  <c r="W164" i="1"/>
  <c r="P167" i="1"/>
  <c r="S162" i="1"/>
  <c r="U171" i="1"/>
  <c r="N146" i="1"/>
  <c r="N174" i="1" s="1"/>
  <c r="H167" i="1"/>
  <c r="I166" i="1"/>
  <c r="I139" i="1"/>
  <c r="K142" i="1"/>
  <c r="I162" i="1"/>
  <c r="M183" i="1"/>
  <c r="H147" i="1"/>
  <c r="U153" i="1"/>
  <c r="N153" i="1"/>
  <c r="O138" i="1"/>
  <c r="R87" i="1"/>
  <c r="S142" i="1"/>
  <c r="H93" i="1"/>
  <c r="W175" i="1"/>
  <c r="D152" i="1"/>
  <c r="I164" i="1"/>
  <c r="I199" i="1" s="1"/>
  <c r="F97" i="1"/>
  <c r="C98" i="1"/>
  <c r="I152" i="1"/>
  <c r="R170" i="1"/>
  <c r="G163" i="1"/>
  <c r="J160" i="1"/>
  <c r="W183" i="1"/>
  <c r="B98" i="1"/>
  <c r="G146" i="1"/>
  <c r="G174" i="1" s="1"/>
  <c r="S98" i="1"/>
  <c r="F167" i="1"/>
  <c r="F139" i="1"/>
  <c r="R97" i="1"/>
  <c r="P94" i="1"/>
  <c r="M152" i="1"/>
  <c r="P166" i="1"/>
  <c r="G142" i="1"/>
  <c r="C165" i="1"/>
  <c r="C200" i="1" s="1"/>
  <c r="J146" i="1"/>
  <c r="J174" i="1" s="1"/>
  <c r="T145" i="1"/>
  <c r="L180" i="1"/>
  <c r="W163" i="1"/>
  <c r="W142" i="1"/>
  <c r="V98" i="1"/>
  <c r="N137" i="1"/>
  <c r="T167" i="1"/>
  <c r="P157" i="1"/>
  <c r="P146" i="1"/>
  <c r="P174" i="1" s="1"/>
  <c r="P156" i="1"/>
  <c r="L142" i="1"/>
  <c r="H152" i="1"/>
  <c r="J142" i="1"/>
  <c r="M155" i="1"/>
  <c r="M151" i="1" s="1"/>
  <c r="Q164" i="1"/>
  <c r="Q199" i="1" s="1"/>
  <c r="V190" i="1"/>
  <c r="M179" i="1"/>
  <c r="H137" i="1"/>
  <c r="B138" i="1"/>
  <c r="S184" i="1"/>
  <c r="O146" i="1"/>
  <c r="O174" i="1" s="1"/>
  <c r="P97" i="1"/>
  <c r="P142" i="1"/>
  <c r="G184" i="1"/>
  <c r="P165" i="1"/>
  <c r="P200" i="1" s="1"/>
  <c r="F157" i="1"/>
  <c r="Q167" i="1"/>
  <c r="R153" i="1"/>
  <c r="I184" i="1"/>
  <c r="P160" i="1"/>
  <c r="Q162" i="1"/>
  <c r="K192" i="1"/>
  <c r="T155" i="1"/>
  <c r="T151" i="1" s="1"/>
  <c r="V160" i="1"/>
  <c r="D190" i="1"/>
  <c r="F160" i="1"/>
  <c r="G222" i="1" s="1"/>
  <c r="L87" i="1"/>
  <c r="U162" i="1"/>
  <c r="D98" i="1"/>
  <c r="H169" i="1"/>
  <c r="O162" i="1"/>
  <c r="B99" i="1"/>
  <c r="T153" i="1"/>
  <c r="M139" i="1"/>
  <c r="B169" i="1"/>
  <c r="L171" i="1"/>
  <c r="R175" i="1"/>
  <c r="U146" i="1"/>
  <c r="U174" i="1" s="1"/>
  <c r="I144" i="1"/>
  <c r="I137" i="1"/>
  <c r="F137" i="1"/>
  <c r="F175" i="1"/>
  <c r="U175" i="1"/>
  <c r="S190" i="1"/>
  <c r="E147" i="1"/>
  <c r="C170" i="1"/>
  <c r="S167" i="1"/>
  <c r="B160" i="1"/>
  <c r="B144" i="1"/>
  <c r="W191" i="1"/>
  <c r="K175" i="1"/>
  <c r="M184" i="1"/>
  <c r="D146" i="1"/>
  <c r="D174" i="1" s="1"/>
  <c r="H97" i="1"/>
  <c r="N156" i="1"/>
  <c r="V162" i="1"/>
  <c r="V94" i="1"/>
  <c r="C162" i="1"/>
  <c r="K166" i="1"/>
  <c r="D83" i="1"/>
  <c r="V139" i="1"/>
  <c r="J145" i="1"/>
  <c r="L160" i="1"/>
  <c r="Q183" i="1"/>
  <c r="D139" i="1"/>
  <c r="R167" i="1"/>
  <c r="G179" i="1"/>
  <c r="E87" i="1"/>
  <c r="C160" i="1"/>
  <c r="S146" i="1"/>
  <c r="S174" i="1" s="1"/>
  <c r="R146" i="1"/>
  <c r="R174" i="1" s="1"/>
  <c r="S155" i="1"/>
  <c r="S151" i="1" s="1"/>
  <c r="J184" i="1"/>
  <c r="T164" i="1"/>
  <c r="T199" i="1" s="1"/>
  <c r="E163" i="1"/>
  <c r="Q142" i="1"/>
  <c r="J190" i="1"/>
  <c r="J165" i="1"/>
  <c r="J200" i="1" s="1"/>
  <c r="J144" i="1"/>
  <c r="B167" i="1"/>
  <c r="J175" i="1"/>
  <c r="V179" i="1"/>
  <c r="O142" i="1"/>
  <c r="L147" i="1"/>
  <c r="R144" i="1"/>
  <c r="T175" i="1"/>
  <c r="O191" i="1"/>
  <c r="U167" i="1"/>
  <c r="S93" i="1"/>
  <c r="E160" i="1"/>
  <c r="H171" i="1"/>
  <c r="P155" i="1"/>
  <c r="P151" i="1" s="1"/>
  <c r="H99" i="1"/>
  <c r="C93" i="1"/>
  <c r="K87" i="1"/>
  <c r="C155" i="1"/>
  <c r="D163" i="1"/>
  <c r="Q169" i="1"/>
  <c r="W170" i="1"/>
  <c r="L139" i="1"/>
  <c r="C151" i="1"/>
  <c r="Q99" i="1"/>
  <c r="N157" i="1"/>
  <c r="G165" i="1"/>
  <c r="G200" i="1" s="1"/>
  <c r="D155" i="1"/>
  <c r="E184" i="1"/>
  <c r="T184" i="1"/>
  <c r="K190" i="1"/>
  <c r="Q157" i="1"/>
  <c r="J152" i="1"/>
  <c r="H166" i="1"/>
  <c r="D164" i="1"/>
  <c r="D199" i="1" s="1"/>
  <c r="V156" i="1"/>
  <c r="G145" i="1"/>
  <c r="M147" i="1"/>
  <c r="CZ97" i="1"/>
  <c r="AA148" i="1"/>
  <c r="AA269" i="1" s="1"/>
  <c r="CD1" i="1"/>
  <c r="CE1" i="1" s="1"/>
  <c r="CF1" i="1" s="1"/>
  <c r="CG1" i="1" s="1"/>
  <c r="CH1" i="1" s="1"/>
  <c r="CI1" i="1" s="1"/>
  <c r="CJ1" i="1" s="1"/>
  <c r="L213" i="1"/>
  <c r="L215" i="1" s="1"/>
  <c r="B72" i="1"/>
  <c r="F72" i="1"/>
  <c r="S72" i="1"/>
  <c r="S213" i="1"/>
  <c r="S215" i="1" s="1"/>
  <c r="I213" i="1"/>
  <c r="I215" i="1" s="1"/>
  <c r="F213" i="1"/>
  <c r="F215" i="1" s="1"/>
  <c r="M72" i="1" l="1"/>
  <c r="CJ68" i="1"/>
  <c r="CJ139" i="1" s="1"/>
  <c r="CJ140" i="1" s="1"/>
  <c r="F222" i="1"/>
  <c r="AL60" i="1"/>
  <c r="AL61" i="1"/>
  <c r="AM64" i="1" s="1"/>
  <c r="CJ62" i="1"/>
  <c r="CJ265" i="1" s="1"/>
  <c r="CK64" i="1"/>
  <c r="CA61" i="1"/>
  <c r="CA64" i="1" s="1"/>
  <c r="CA60" i="1"/>
  <c r="BL60" i="1"/>
  <c r="BL61" i="1"/>
  <c r="CS47" i="1"/>
  <c r="CT47" i="1" s="1"/>
  <c r="CG133" i="1"/>
  <c r="CD61" i="1"/>
  <c r="CD63" i="1" s="1"/>
  <c r="CD60" i="1"/>
  <c r="CF60" i="1"/>
  <c r="CG58" i="1"/>
  <c r="CG75" i="1"/>
  <c r="CI75" i="1"/>
  <c r="CH60" i="1"/>
  <c r="CH61" i="1"/>
  <c r="AM254" i="1"/>
  <c r="AM62" i="1"/>
  <c r="AM265" i="1" s="1"/>
  <c r="CE75" i="1"/>
  <c r="CC75" i="1"/>
  <c r="CB58" i="1"/>
  <c r="CI61" i="1"/>
  <c r="CI60" i="1"/>
  <c r="CX28" i="1"/>
  <c r="CT28" i="1"/>
  <c r="CQ28" i="1"/>
  <c r="CL60" i="1"/>
  <c r="CL61" i="1"/>
  <c r="CM204" i="1"/>
  <c r="CL205" i="1"/>
  <c r="CL206" i="1" s="1"/>
  <c r="AM247" i="1"/>
  <c r="BY58" i="1"/>
  <c r="CA75" i="1"/>
  <c r="CZ17" i="1"/>
  <c r="CZ28" i="1" s="1"/>
  <c r="CV28" i="1"/>
  <c r="C213" i="1"/>
  <c r="C215" i="1" s="1"/>
  <c r="F181" i="1"/>
  <c r="G229" i="1" s="1"/>
  <c r="M222" i="1"/>
  <c r="CK86" i="1"/>
  <c r="CK72" i="1"/>
  <c r="J213" i="1"/>
  <c r="J215" i="1" s="1"/>
  <c r="I154" i="1"/>
  <c r="I53" i="1" s="1"/>
  <c r="CR37" i="1"/>
  <c r="Z124" i="1"/>
  <c r="Z122" i="1"/>
  <c r="Z123" i="1"/>
  <c r="Y128" i="1"/>
  <c r="Y131" i="1" s="1"/>
  <c r="Y134" i="1" s="1"/>
  <c r="Y127" i="1"/>
  <c r="Y130" i="1" s="1"/>
  <c r="Y133" i="1" s="1"/>
  <c r="Y112" i="1"/>
  <c r="Y119" i="1"/>
  <c r="CJ213" i="1"/>
  <c r="CJ215" i="1" s="1"/>
  <c r="CP203" i="1"/>
  <c r="BZ62" i="1"/>
  <c r="BZ265" i="1" s="1"/>
  <c r="BZ254" i="1"/>
  <c r="BZ68" i="1"/>
  <c r="CF124" i="1"/>
  <c r="CF123" i="1"/>
  <c r="CF122" i="1"/>
  <c r="AB222" i="1"/>
  <c r="CC213" i="1"/>
  <c r="CC215" i="1" s="1"/>
  <c r="CC72" i="1"/>
  <c r="X254" i="1"/>
  <c r="X68" i="1"/>
  <c r="X62" i="1"/>
  <c r="X265" i="1" s="1"/>
  <c r="Y63" i="1"/>
  <c r="Z114" i="1"/>
  <c r="Z116" i="1"/>
  <c r="Z115" i="1"/>
  <c r="CF68" i="1"/>
  <c r="CF62" i="1"/>
  <c r="CF265" i="1" s="1"/>
  <c r="CJ63" i="1"/>
  <c r="CF254" i="1"/>
  <c r="Y62" i="1"/>
  <c r="Y265" i="1" s="1"/>
  <c r="Z63" i="1"/>
  <c r="Y68" i="1"/>
  <c r="Y254" i="1"/>
  <c r="W83" i="1"/>
  <c r="X85" i="1"/>
  <c r="CE213" i="1"/>
  <c r="CE215" i="1" s="1"/>
  <c r="CE86" i="1"/>
  <c r="CE72" i="1"/>
  <c r="CP144" i="1"/>
  <c r="CO148" i="1"/>
  <c r="AB144" i="1"/>
  <c r="U72" i="1"/>
  <c r="U213" i="1"/>
  <c r="U215" i="1" s="1"/>
  <c r="CQ160" i="1"/>
  <c r="CQ222" i="1" s="1"/>
  <c r="CE128" i="1"/>
  <c r="CE112" i="1"/>
  <c r="CE119" i="1"/>
  <c r="CE127" i="1"/>
  <c r="D72" i="1"/>
  <c r="D213" i="1"/>
  <c r="D215" i="1" s="1"/>
  <c r="CQ83" i="1"/>
  <c r="CP85" i="1"/>
  <c r="AJ139" i="1"/>
  <c r="AJ140" i="1" s="1"/>
  <c r="AK227" i="1" s="1"/>
  <c r="AK225" i="1" s="1"/>
  <c r="AJ213" i="1"/>
  <c r="AJ215" i="1" s="1"/>
  <c r="AJ72" i="1"/>
  <c r="V72" i="1"/>
  <c r="V213" i="1"/>
  <c r="V215" i="1" s="1"/>
  <c r="CN201" i="1"/>
  <c r="CM202" i="1"/>
  <c r="CF64" i="1"/>
  <c r="CN269" i="1"/>
  <c r="CN226" i="1"/>
  <c r="CP199" i="1"/>
  <c r="CD85" i="1"/>
  <c r="CC83" i="1"/>
  <c r="AK72" i="1"/>
  <c r="AK213" i="1"/>
  <c r="AK215" i="1" s="1"/>
  <c r="Z254" i="1"/>
  <c r="Z62" i="1"/>
  <c r="Z265" i="1" s="1"/>
  <c r="Z68" i="1"/>
  <c r="AD85" i="1"/>
  <c r="AE83" i="1"/>
  <c r="AE85" i="1" s="1"/>
  <c r="E222" i="1"/>
  <c r="U222" i="1"/>
  <c r="J140" i="1"/>
  <c r="J74" i="1" s="1"/>
  <c r="D222" i="1"/>
  <c r="G181" i="1"/>
  <c r="H229" i="1" s="1"/>
  <c r="M181" i="1"/>
  <c r="N229" i="1" s="1"/>
  <c r="S181" i="1"/>
  <c r="T229" i="1" s="1"/>
  <c r="L154" i="1"/>
  <c r="L53" i="1" s="1"/>
  <c r="D181" i="1"/>
  <c r="E229" i="1" s="1"/>
  <c r="B193" i="1"/>
  <c r="D154" i="1"/>
  <c r="D53" i="1" s="1"/>
  <c r="R148" i="1"/>
  <c r="R57" i="1" s="1"/>
  <c r="F140" i="1"/>
  <c r="F195" i="1" s="1"/>
  <c r="T181" i="1"/>
  <c r="U229" i="1" s="1"/>
  <c r="D148" i="1"/>
  <c r="D57" i="1" s="1"/>
  <c r="P140" i="1"/>
  <c r="P268" i="1" s="1"/>
  <c r="M140" i="1"/>
  <c r="M195" i="1" s="1"/>
  <c r="F154" i="1"/>
  <c r="L140" i="1"/>
  <c r="W222" i="1"/>
  <c r="N140" i="1"/>
  <c r="N74" i="1" s="1"/>
  <c r="N154" i="1"/>
  <c r="N158" i="1" s="1"/>
  <c r="P148" i="1"/>
  <c r="P188" i="1" s="1"/>
  <c r="P129" i="1" s="1"/>
  <c r="U154" i="1"/>
  <c r="U53" i="1" s="1"/>
  <c r="E140" i="1"/>
  <c r="E195" i="1" s="1"/>
  <c r="J154" i="1"/>
  <c r="J158" i="1" s="1"/>
  <c r="V154" i="1"/>
  <c r="V53" i="1" s="1"/>
  <c r="B181" i="1"/>
  <c r="C229" i="1" s="1"/>
  <c r="R154" i="1"/>
  <c r="R53" i="1" s="1"/>
  <c r="P193" i="1"/>
  <c r="O140" i="1"/>
  <c r="O74" i="1" s="1"/>
  <c r="U193" i="1"/>
  <c r="I222" i="1"/>
  <c r="D140" i="1"/>
  <c r="D74" i="1" s="1"/>
  <c r="J222" i="1"/>
  <c r="G140" i="1"/>
  <c r="G195" i="1" s="1"/>
  <c r="N148" i="1"/>
  <c r="N57" i="1" s="1"/>
  <c r="K193" i="1"/>
  <c r="U168" i="1"/>
  <c r="U202" i="1" s="1"/>
  <c r="U201" i="1" s="1"/>
  <c r="Q222" i="1"/>
  <c r="G176" i="1"/>
  <c r="G205" i="1" s="1"/>
  <c r="G204" i="1" s="1"/>
  <c r="I168" i="1"/>
  <c r="I202" i="1" s="1"/>
  <c r="I201" i="1" s="1"/>
  <c r="B127" i="1"/>
  <c r="J181" i="1"/>
  <c r="K229" i="1" s="1"/>
  <c r="M148" i="1"/>
  <c r="M57" i="1" s="1"/>
  <c r="S176" i="1"/>
  <c r="S205" i="1" s="1"/>
  <c r="S204" i="1" s="1"/>
  <c r="J148" i="1"/>
  <c r="J57" i="1" s="1"/>
  <c r="M154" i="1"/>
  <c r="I181" i="1"/>
  <c r="J229" i="1" s="1"/>
  <c r="E154" i="1"/>
  <c r="E53" i="1" s="1"/>
  <c r="V222" i="1"/>
  <c r="B140" i="1"/>
  <c r="B195" i="1" s="1"/>
  <c r="O148" i="1"/>
  <c r="G168" i="1"/>
  <c r="G202" i="1" s="1"/>
  <c r="G201" i="1" s="1"/>
  <c r="N168" i="1"/>
  <c r="N202" i="1" s="1"/>
  <c r="N201" i="1" s="1"/>
  <c r="F168" i="1"/>
  <c r="F202" i="1" s="1"/>
  <c r="F201" i="1" s="1"/>
  <c r="N176" i="1"/>
  <c r="N205" i="1" s="1"/>
  <c r="N204" i="1" s="1"/>
  <c r="C176" i="1"/>
  <c r="C205" i="1" s="1"/>
  <c r="C204" i="1" s="1"/>
  <c r="L222" i="1"/>
  <c r="B148" i="1"/>
  <c r="N222" i="1"/>
  <c r="L168" i="1"/>
  <c r="L202" i="1" s="1"/>
  <c r="R222" i="1"/>
  <c r="E193" i="1"/>
  <c r="N193" i="1"/>
  <c r="C140" i="1"/>
  <c r="C195" i="1" s="1"/>
  <c r="C85" i="1"/>
  <c r="C127" i="1" s="1"/>
  <c r="M193" i="1"/>
  <c r="K168" i="1"/>
  <c r="K202" i="1" s="1"/>
  <c r="K201" i="1" s="1"/>
  <c r="V181" i="1"/>
  <c r="W229" i="1" s="1"/>
  <c r="B154" i="1"/>
  <c r="B53" i="1" s="1"/>
  <c r="U181" i="1"/>
  <c r="V229" i="1" s="1"/>
  <c r="H140" i="1"/>
  <c r="H195" i="1" s="1"/>
  <c r="O154" i="1"/>
  <c r="O158" i="1" s="1"/>
  <c r="N181" i="1"/>
  <c r="P154" i="1"/>
  <c r="P158" i="1" s="1"/>
  <c r="R140" i="1"/>
  <c r="R195" i="1" s="1"/>
  <c r="C181" i="1"/>
  <c r="J168" i="1"/>
  <c r="J202" i="1" s="1"/>
  <c r="M176" i="1"/>
  <c r="M205" i="1" s="1"/>
  <c r="M204" i="1" s="1"/>
  <c r="L193" i="1"/>
  <c r="U140" i="1"/>
  <c r="C154" i="1"/>
  <c r="C158" i="1" s="1"/>
  <c r="H148" i="1"/>
  <c r="W154" i="1"/>
  <c r="W53" i="1" s="1"/>
  <c r="T176" i="1"/>
  <c r="T205" i="1" s="1"/>
  <c r="T204" i="1" s="1"/>
  <c r="U176" i="1"/>
  <c r="U205" i="1" s="1"/>
  <c r="U204" i="1" s="1"/>
  <c r="T154" i="1"/>
  <c r="T158" i="1" s="1"/>
  <c r="G154" i="1"/>
  <c r="F148" i="1"/>
  <c r="F57" i="1" s="1"/>
  <c r="T193" i="1"/>
  <c r="S222" i="1"/>
  <c r="V176" i="1"/>
  <c r="V205" i="1" s="1"/>
  <c r="V204" i="1" s="1"/>
  <c r="E176" i="1"/>
  <c r="E205" i="1" s="1"/>
  <c r="E204" i="1" s="1"/>
  <c r="C148" i="1"/>
  <c r="C57" i="1" s="1"/>
  <c r="U148" i="1"/>
  <c r="V148" i="1"/>
  <c r="V57" i="1" s="1"/>
  <c r="O222" i="1"/>
  <c r="S154" i="1"/>
  <c r="S53" i="1" s="1"/>
  <c r="V168" i="1"/>
  <c r="S140" i="1"/>
  <c r="S195" i="1" s="1"/>
  <c r="H181" i="1"/>
  <c r="I229" i="1" s="1"/>
  <c r="G148" i="1"/>
  <c r="T168" i="1"/>
  <c r="T202" i="1" s="1"/>
  <c r="T201" i="1" s="1"/>
  <c r="G193" i="1"/>
  <c r="O181" i="1"/>
  <c r="D85" i="1"/>
  <c r="D86" i="1" s="1"/>
  <c r="K222" i="1"/>
  <c r="S148" i="1"/>
  <c r="S269" i="1" s="1"/>
  <c r="S271" i="1" s="1"/>
  <c r="C168" i="1"/>
  <c r="C202" i="1" s="1"/>
  <c r="C201" i="1" s="1"/>
  <c r="Q140" i="1"/>
  <c r="K154" i="1"/>
  <c r="K53" i="1" s="1"/>
  <c r="H168" i="1"/>
  <c r="I148" i="1"/>
  <c r="E168" i="1"/>
  <c r="E202" i="1" s="1"/>
  <c r="E201" i="1" s="1"/>
  <c r="L176" i="1"/>
  <c r="L205" i="1" s="1"/>
  <c r="L204" i="1" s="1"/>
  <c r="S168" i="1"/>
  <c r="S202" i="1" s="1"/>
  <c r="W193" i="1"/>
  <c r="H193" i="1"/>
  <c r="T140" i="1"/>
  <c r="Q168" i="1"/>
  <c r="Q202" i="1" s="1"/>
  <c r="Q201" i="1" s="1"/>
  <c r="T148" i="1"/>
  <c r="T57" i="1" s="1"/>
  <c r="Q181" i="1"/>
  <c r="R229" i="1" s="1"/>
  <c r="R193" i="1"/>
  <c r="R168" i="1"/>
  <c r="R202" i="1" s="1"/>
  <c r="R201" i="1" s="1"/>
  <c r="R181" i="1"/>
  <c r="S229" i="1" s="1"/>
  <c r="P168" i="1"/>
  <c r="P202" i="1" s="1"/>
  <c r="P201" i="1" s="1"/>
  <c r="C193" i="1"/>
  <c r="V193" i="1"/>
  <c r="I193" i="1"/>
  <c r="D193" i="1"/>
  <c r="Q176" i="1"/>
  <c r="Q205" i="1" s="1"/>
  <c r="Q204" i="1" s="1"/>
  <c r="R176" i="1"/>
  <c r="P176" i="1"/>
  <c r="P205" i="1" s="1"/>
  <c r="P204" i="1" s="1"/>
  <c r="O176" i="1"/>
  <c r="O205" i="1" s="1"/>
  <c r="O204" i="1" s="1"/>
  <c r="D176" i="1"/>
  <c r="D205" i="1" s="1"/>
  <c r="D204" i="1" s="1"/>
  <c r="J176" i="1"/>
  <c r="I176" i="1"/>
  <c r="I177" i="1" s="1"/>
  <c r="M168" i="1"/>
  <c r="M202" i="1" s="1"/>
  <c r="M201" i="1" s="1"/>
  <c r="F176" i="1"/>
  <c r="P222" i="1"/>
  <c r="E148" i="1"/>
  <c r="Q154" i="1"/>
  <c r="K181" i="1"/>
  <c r="B168" i="1"/>
  <c r="H176" i="1"/>
  <c r="O168" i="1"/>
  <c r="O202" i="1" s="1"/>
  <c r="F193" i="1"/>
  <c r="D168" i="1"/>
  <c r="D202" i="1" s="1"/>
  <c r="S193" i="1"/>
  <c r="I140" i="1"/>
  <c r="H154" i="1"/>
  <c r="O193" i="1"/>
  <c r="H222" i="1"/>
  <c r="L148" i="1"/>
  <c r="K140" i="1"/>
  <c r="Q148" i="1"/>
  <c r="K176" i="1"/>
  <c r="B176" i="1"/>
  <c r="B205" i="1" s="1"/>
  <c r="B204" i="1" s="1"/>
  <c r="C222" i="1"/>
  <c r="L181" i="1"/>
  <c r="M229" i="1" s="1"/>
  <c r="V140" i="1"/>
  <c r="K148" i="1"/>
  <c r="J193" i="1"/>
  <c r="W148" i="1"/>
  <c r="Q193" i="1"/>
  <c r="B128" i="1"/>
  <c r="B86" i="1"/>
  <c r="B88" i="1" s="1"/>
  <c r="DA97" i="1"/>
  <c r="AE97" i="1" s="1"/>
  <c r="CK1" i="1"/>
  <c r="AA226" i="1"/>
  <c r="X9" i="3"/>
  <c r="AB63" i="3"/>
  <c r="X23" i="3"/>
  <c r="K33" i="3"/>
  <c r="AA39" i="3"/>
  <c r="AG32" i="3"/>
  <c r="T39" i="3"/>
  <c r="AP68" i="3"/>
  <c r="J14" i="3"/>
  <c r="AG16" i="3"/>
  <c r="U32" i="3"/>
  <c r="M23" i="3"/>
  <c r="X29" i="3"/>
  <c r="R39" i="3"/>
  <c r="G42" i="3"/>
  <c r="AB86" i="3"/>
  <c r="AJ27" i="3"/>
  <c r="AP38" i="3"/>
  <c r="AP89" i="3"/>
  <c r="Z26" i="3"/>
  <c r="G40" i="3"/>
  <c r="Y6" i="3"/>
  <c r="T23" i="3"/>
  <c r="P8" i="3"/>
  <c r="AB36" i="3"/>
  <c r="R9" i="3"/>
  <c r="AI33" i="3"/>
  <c r="M32" i="3"/>
  <c r="AP84" i="3"/>
  <c r="AB42" i="3"/>
  <c r="U25" i="3"/>
  <c r="AO17" i="3"/>
  <c r="M24" i="3"/>
  <c r="Z40" i="3"/>
  <c r="T42" i="3"/>
  <c r="AM38" i="3"/>
  <c r="L30" i="3"/>
  <c r="L20" i="3"/>
  <c r="C9" i="3"/>
  <c r="K19" i="3"/>
  <c r="AN23" i="3"/>
  <c r="L35" i="3"/>
  <c r="AA11" i="3"/>
  <c r="AM41" i="3"/>
  <c r="AN15" i="3"/>
  <c r="AN5" i="3"/>
  <c r="AD26" i="3"/>
  <c r="AA30" i="3"/>
  <c r="J20" i="3"/>
  <c r="J28" i="3"/>
  <c r="C49" i="3"/>
  <c r="AI21" i="3"/>
  <c r="S39" i="3"/>
  <c r="AQ14" i="3"/>
  <c r="J29" i="3"/>
  <c r="AI34" i="3"/>
  <c r="W16" i="3"/>
  <c r="U23" i="3"/>
  <c r="P30" i="3"/>
  <c r="AO34" i="3"/>
  <c r="K20" i="3"/>
  <c r="AO33" i="3"/>
  <c r="AP58" i="3"/>
  <c r="G35" i="3"/>
  <c r="J39" i="3"/>
  <c r="I5" i="3"/>
  <c r="W5" i="3"/>
  <c r="C24" i="3"/>
  <c r="M21" i="3"/>
  <c r="AQ30" i="3"/>
  <c r="J35" i="3"/>
  <c r="X15" i="3"/>
  <c r="W28" i="3"/>
  <c r="AH33" i="3"/>
  <c r="AG11" i="3"/>
  <c r="AN31" i="3"/>
  <c r="AC36" i="3"/>
  <c r="AB22" i="3"/>
  <c r="AH39" i="3"/>
  <c r="O41" i="3"/>
  <c r="AB67" i="3"/>
  <c r="AM8" i="3"/>
  <c r="AJ6" i="3"/>
  <c r="AL22" i="3"/>
  <c r="G33" i="3"/>
  <c r="K35" i="3"/>
  <c r="O29" i="3"/>
  <c r="AC41" i="3"/>
  <c r="AJ5" i="3"/>
  <c r="AG38" i="3"/>
  <c r="AI36" i="3"/>
  <c r="K29" i="3"/>
  <c r="AL42" i="3"/>
  <c r="AK25" i="3"/>
  <c r="X22" i="3"/>
  <c r="AP27" i="3"/>
  <c r="AP9" i="3"/>
  <c r="J30" i="3"/>
  <c r="AJ56" i="3"/>
  <c r="V38" i="3"/>
  <c r="T12" i="3"/>
  <c r="V21" i="3"/>
  <c r="T20" i="3"/>
  <c r="W9" i="3"/>
  <c r="S17" i="3"/>
  <c r="Z14" i="3"/>
  <c r="H13" i="3"/>
  <c r="AN58" i="3"/>
  <c r="H39" i="3"/>
  <c r="AB74" i="3"/>
  <c r="AP15" i="3"/>
  <c r="U40" i="3"/>
  <c r="M18" i="3"/>
  <c r="AI12" i="3"/>
  <c r="I88" i="3"/>
  <c r="V29" i="3"/>
  <c r="AP85" i="3"/>
  <c r="AH30" i="3"/>
  <c r="J5" i="3"/>
  <c r="W39" i="3"/>
  <c r="AN40" i="3"/>
  <c r="H21" i="3"/>
  <c r="X36" i="3"/>
  <c r="I95" i="3"/>
  <c r="AB10" i="3"/>
  <c r="J74" i="3"/>
  <c r="C39" i="3"/>
  <c r="AI32" i="3"/>
  <c r="I36" i="3"/>
  <c r="AJ71" i="3"/>
  <c r="W65" i="3"/>
  <c r="AO28" i="3"/>
  <c r="AM18" i="3"/>
  <c r="K16" i="3"/>
  <c r="AH22" i="3"/>
  <c r="L39" i="3"/>
  <c r="R30" i="3"/>
  <c r="AP95" i="3"/>
  <c r="AN56" i="3"/>
  <c r="AJ55" i="3"/>
  <c r="W71" i="3"/>
  <c r="J8" i="3"/>
  <c r="I38" i="3"/>
  <c r="K8" i="3"/>
  <c r="AD25" i="3"/>
  <c r="AO35" i="3"/>
  <c r="AJ75" i="3"/>
  <c r="AN64" i="3"/>
  <c r="W62" i="3"/>
  <c r="I69" i="3"/>
  <c r="AP83" i="3"/>
  <c r="AC15" i="3"/>
  <c r="M5" i="3"/>
  <c r="AA31" i="3"/>
  <c r="M96" i="3"/>
  <c r="AP21" i="3"/>
  <c r="AI29" i="3"/>
  <c r="T33" i="3"/>
  <c r="AK27" i="3"/>
  <c r="O26" i="3"/>
  <c r="AB28" i="3"/>
  <c r="AJ10" i="3"/>
  <c r="Z15" i="3"/>
  <c r="AJ76" i="3"/>
  <c r="W57" i="3"/>
  <c r="W64" i="3"/>
  <c r="AH37" i="3"/>
  <c r="J97" i="3"/>
  <c r="L31" i="3"/>
  <c r="G34" i="3"/>
  <c r="O12" i="3"/>
  <c r="AA18" i="3"/>
  <c r="J23" i="3"/>
  <c r="T9" i="3"/>
  <c r="Q8" i="3"/>
  <c r="AQ41" i="3"/>
  <c r="AI42" i="3"/>
  <c r="AO36" i="3"/>
  <c r="AB94" i="3"/>
  <c r="K31" i="3"/>
  <c r="AN95" i="3"/>
  <c r="AD31" i="3"/>
  <c r="Z28" i="3"/>
  <c r="N24" i="3"/>
  <c r="AM16" i="3"/>
  <c r="W29" i="3"/>
  <c r="AG24" i="3"/>
  <c r="C33" i="3"/>
  <c r="I68" i="3"/>
  <c r="M92" i="3"/>
  <c r="AB14" i="3"/>
  <c r="AB84" i="3"/>
  <c r="W59" i="3"/>
  <c r="Q29" i="3"/>
  <c r="AJ87" i="3"/>
  <c r="I63" i="3"/>
  <c r="AN73" i="3"/>
  <c r="E47" i="3"/>
  <c r="I58" i="3"/>
  <c r="AA6" i="3"/>
  <c r="N27" i="3"/>
  <c r="L28" i="3"/>
  <c r="W76" i="3"/>
  <c r="J47" i="3"/>
  <c r="M33" i="3"/>
  <c r="J77" i="3"/>
  <c r="AG10" i="3"/>
  <c r="AQ21" i="3"/>
  <c r="AN55" i="3"/>
  <c r="AJ94" i="3"/>
  <c r="AJ65" i="3"/>
  <c r="J72" i="3"/>
  <c r="M85" i="3"/>
  <c r="M48" i="3"/>
  <c r="M55" i="3"/>
  <c r="M56" i="3"/>
  <c r="P31" i="3"/>
  <c r="O32" i="3"/>
  <c r="AD49" i="3"/>
  <c r="AB72" i="3"/>
  <c r="I29" i="3"/>
  <c r="AJ26" i="3"/>
  <c r="AJ12" i="3"/>
  <c r="T40" i="3"/>
  <c r="K39" i="3"/>
  <c r="AE19" i="3"/>
  <c r="J19" i="3"/>
  <c r="AH12" i="3"/>
  <c r="W35" i="3"/>
  <c r="AP32" i="3"/>
  <c r="I32" i="3"/>
  <c r="AP61" i="3"/>
  <c r="AQ10" i="3"/>
  <c r="Q21" i="3"/>
  <c r="M22" i="3"/>
  <c r="Z19" i="3"/>
  <c r="AP20" i="3"/>
  <c r="S21" i="3"/>
  <c r="S19" i="3"/>
  <c r="I42" i="3"/>
  <c r="V39" i="3"/>
  <c r="AM13" i="3"/>
  <c r="AK31" i="3"/>
  <c r="AP12" i="3"/>
  <c r="Q13" i="3"/>
  <c r="N26" i="3"/>
  <c r="H5" i="3"/>
  <c r="W18" i="3"/>
  <c r="I31" i="3"/>
  <c r="AK42" i="3"/>
  <c r="AE23" i="3"/>
  <c r="AB79" i="3"/>
  <c r="AP31" i="3"/>
  <c r="AC20" i="3"/>
  <c r="N42" i="3"/>
  <c r="AA17" i="3"/>
  <c r="X20" i="3"/>
  <c r="AB40" i="3"/>
  <c r="AE32" i="3"/>
  <c r="Y25" i="3"/>
  <c r="W11" i="3"/>
  <c r="AN24" i="3"/>
  <c r="AG6" i="3"/>
  <c r="AI24" i="3"/>
  <c r="R28" i="3"/>
  <c r="AD48" i="3"/>
  <c r="L37" i="3"/>
  <c r="AL13" i="3"/>
  <c r="AB85" i="3"/>
  <c r="AL26" i="3"/>
  <c r="AL34" i="3"/>
  <c r="Z32" i="3"/>
  <c r="I14" i="3"/>
  <c r="N6" i="3"/>
  <c r="Y12" i="3"/>
  <c r="AE25" i="3"/>
  <c r="AJ23" i="3"/>
  <c r="AK28" i="3"/>
  <c r="H64" i="3"/>
  <c r="AL17" i="3"/>
  <c r="AE9" i="3"/>
  <c r="H57" i="3"/>
  <c r="AJ88" i="3"/>
  <c r="N38" i="3"/>
  <c r="AC17" i="3"/>
  <c r="AJ74" i="3"/>
  <c r="W25" i="3"/>
  <c r="AP63" i="3"/>
  <c r="AE7" i="3"/>
  <c r="N19" i="3"/>
  <c r="H55" i="3"/>
  <c r="AD42" i="3"/>
  <c r="J11" i="3"/>
  <c r="L25" i="3"/>
  <c r="T36" i="3"/>
  <c r="AN93" i="3"/>
  <c r="AJ97" i="3"/>
  <c r="V16" i="3"/>
  <c r="M15" i="3"/>
  <c r="H54" i="3"/>
  <c r="I86" i="3"/>
  <c r="V33" i="3"/>
  <c r="J33" i="3"/>
  <c r="G32" i="3"/>
  <c r="W63" i="3"/>
  <c r="AP22" i="3"/>
  <c r="AN87" i="3"/>
  <c r="W49" i="3"/>
  <c r="AL20" i="3"/>
  <c r="R20" i="3"/>
  <c r="N17" i="3"/>
  <c r="L9" i="3"/>
  <c r="S8" i="3"/>
  <c r="AM11" i="3"/>
  <c r="AP64" i="3"/>
  <c r="T13" i="3"/>
  <c r="C21" i="3"/>
  <c r="Z41" i="3"/>
  <c r="T14" i="3"/>
  <c r="AM35" i="3"/>
  <c r="AA33" i="3"/>
  <c r="W21" i="3"/>
  <c r="C40" i="3"/>
  <c r="Q34" i="3"/>
  <c r="K10" i="3"/>
  <c r="H31" i="3"/>
  <c r="H27" i="3"/>
  <c r="AK39" i="3"/>
  <c r="C15" i="3"/>
  <c r="AH18" i="3"/>
  <c r="Z7" i="3"/>
  <c r="U10" i="3"/>
  <c r="J36" i="3"/>
  <c r="U31" i="3"/>
  <c r="H34" i="3"/>
  <c r="AG20" i="3"/>
  <c r="AL14" i="3"/>
  <c r="AD28" i="3"/>
  <c r="V31" i="3"/>
  <c r="AB81" i="3"/>
  <c r="AK33" i="3"/>
  <c r="M29" i="3"/>
  <c r="Y34" i="3"/>
  <c r="AA28" i="3"/>
  <c r="AE42" i="3"/>
  <c r="S12" i="3"/>
  <c r="AA12" i="3"/>
  <c r="AH9" i="3"/>
  <c r="AB20" i="3"/>
  <c r="AG37" i="3"/>
  <c r="S11" i="3"/>
  <c r="V41" i="3"/>
  <c r="Y20" i="3"/>
  <c r="I7" i="3"/>
  <c r="AA29" i="3"/>
  <c r="AM14" i="3"/>
  <c r="AA22" i="3"/>
  <c r="X12" i="3"/>
  <c r="AP23" i="3"/>
  <c r="AC24" i="3"/>
  <c r="S40" i="3"/>
  <c r="X18" i="3"/>
  <c r="AJ14" i="3"/>
  <c r="L5" i="3"/>
  <c r="AG5" i="3"/>
  <c r="AB69" i="3"/>
  <c r="AG84" i="3"/>
  <c r="AD38" i="3"/>
  <c r="AH15" i="3"/>
  <c r="X27" i="3"/>
  <c r="AD30" i="3"/>
  <c r="AP80" i="3"/>
  <c r="M8" i="3"/>
  <c r="AE8" i="3"/>
  <c r="U18" i="3"/>
  <c r="AH21" i="3"/>
  <c r="I93" i="3"/>
  <c r="AG14" i="3"/>
  <c r="AK34" i="3"/>
  <c r="AP88" i="3"/>
  <c r="AD39" i="3"/>
  <c r="AN88" i="3"/>
  <c r="AG63" i="3"/>
  <c r="T21" i="3"/>
  <c r="AM6" i="3"/>
  <c r="AJ36" i="3"/>
  <c r="X14" i="3"/>
  <c r="AL9" i="3"/>
  <c r="C35" i="3"/>
  <c r="L10" i="3"/>
  <c r="AG28" i="3"/>
  <c r="AC39" i="3"/>
  <c r="I28" i="3"/>
  <c r="AL18" i="3"/>
  <c r="C18" i="3"/>
  <c r="H22" i="3"/>
  <c r="AP97" i="3"/>
  <c r="AB8" i="3"/>
  <c r="AP96" i="3"/>
  <c r="AC34" i="3"/>
  <c r="X5" i="3"/>
  <c r="V34" i="3"/>
  <c r="R15" i="3"/>
  <c r="Q31" i="3"/>
  <c r="AB97" i="3"/>
  <c r="AD24" i="3"/>
  <c r="AJ48" i="3"/>
  <c r="L77" i="3"/>
  <c r="T6" i="3"/>
  <c r="K28" i="3"/>
  <c r="AB30" i="3"/>
  <c r="AM17" i="3"/>
  <c r="H89" i="3"/>
  <c r="U9" i="3"/>
  <c r="W7" i="3"/>
  <c r="AA10" i="3"/>
  <c r="L12" i="3"/>
  <c r="H92" i="3"/>
  <c r="C30" i="3"/>
  <c r="R21" i="3"/>
  <c r="AP73" i="3"/>
  <c r="AA36" i="3"/>
  <c r="AB41" i="3"/>
  <c r="AP19" i="3"/>
  <c r="AP87" i="3"/>
  <c r="AI10" i="3"/>
  <c r="AK30" i="3"/>
  <c r="AN61" i="3"/>
  <c r="H61" i="3"/>
  <c r="I75" i="3"/>
  <c r="AM26" i="3"/>
  <c r="AP79" i="3"/>
  <c r="AM12" i="3"/>
  <c r="AM15" i="3"/>
  <c r="AK23" i="3"/>
  <c r="N11" i="3"/>
  <c r="W30" i="3"/>
  <c r="AL31" i="3"/>
  <c r="AB21" i="3"/>
  <c r="AE41" i="3"/>
  <c r="J86" i="3"/>
  <c r="K9" i="3"/>
  <c r="J25" i="3"/>
  <c r="AG47" i="3"/>
  <c r="AN77" i="3"/>
  <c r="W50" i="3"/>
  <c r="AN7" i="3"/>
  <c r="H87" i="3"/>
  <c r="C42" i="3"/>
  <c r="AG55" i="3"/>
  <c r="AO12" i="3"/>
  <c r="AG34" i="3"/>
  <c r="Q18" i="3"/>
  <c r="AN35" i="3"/>
  <c r="Q25" i="3"/>
  <c r="R32" i="3"/>
  <c r="AB87" i="3"/>
  <c r="L91" i="3"/>
  <c r="H42" i="3"/>
  <c r="AI40" i="3"/>
  <c r="C13" i="3"/>
  <c r="AQ36" i="3"/>
  <c r="AJ57" i="3"/>
  <c r="AN60" i="3"/>
  <c r="AG89" i="3"/>
  <c r="AN49" i="3"/>
  <c r="W83" i="3"/>
  <c r="AG65" i="3"/>
  <c r="AI35" i="3"/>
  <c r="M87" i="3"/>
  <c r="AG79" i="3"/>
  <c r="L50" i="3"/>
  <c r="AC38" i="3"/>
  <c r="C38" i="3"/>
  <c r="O14" i="3"/>
  <c r="H83" i="3"/>
  <c r="K30" i="3"/>
  <c r="V30" i="3"/>
  <c r="AM21" i="3"/>
  <c r="AB80" i="3"/>
  <c r="W32" i="3"/>
  <c r="M90" i="3"/>
  <c r="J96" i="3"/>
  <c r="L67" i="3"/>
  <c r="AN96" i="3"/>
  <c r="W92" i="3"/>
  <c r="W89" i="3"/>
  <c r="H24" i="3"/>
  <c r="K23" i="3"/>
  <c r="L73" i="3"/>
  <c r="AN14" i="3"/>
  <c r="X54" i="3"/>
  <c r="AN94" i="3"/>
  <c r="P6" i="3"/>
  <c r="AK36" i="3"/>
  <c r="W24" i="3"/>
  <c r="L81" i="3"/>
  <c r="M12" i="3"/>
  <c r="AQ18" i="3"/>
  <c r="X48" i="3"/>
  <c r="H77" i="3"/>
  <c r="I84" i="3"/>
  <c r="P19" i="3"/>
  <c r="I59" i="3"/>
  <c r="M83" i="3"/>
  <c r="AA24" i="3"/>
  <c r="H65" i="3"/>
  <c r="Q32" i="3"/>
  <c r="T34" i="3"/>
  <c r="AP94" i="3"/>
  <c r="T10" i="3"/>
  <c r="T27" i="3"/>
  <c r="K42" i="3"/>
  <c r="P15" i="3"/>
  <c r="H97" i="3"/>
  <c r="J73" i="3"/>
  <c r="P17" i="3"/>
  <c r="AJ41" i="3"/>
  <c r="AL23" i="3"/>
  <c r="AJ95" i="3"/>
  <c r="AE33" i="3"/>
  <c r="J95" i="3"/>
  <c r="W77" i="3"/>
  <c r="AL39" i="3"/>
  <c r="AO11" i="3"/>
  <c r="W15" i="3"/>
  <c r="AQ38" i="3"/>
  <c r="O13" i="3"/>
  <c r="H96" i="3"/>
  <c r="AP91" i="3"/>
  <c r="I74" i="3"/>
  <c r="I47" i="3"/>
  <c r="AC28" i="3"/>
  <c r="AA38" i="3"/>
  <c r="H91" i="3"/>
  <c r="W34" i="3"/>
  <c r="AN69" i="3"/>
  <c r="AG25" i="3"/>
  <c r="Y38" i="3"/>
  <c r="AK17" i="3"/>
  <c r="X38" i="3"/>
  <c r="X87" i="3"/>
  <c r="L57" i="3"/>
  <c r="AG83" i="3"/>
  <c r="H82" i="3"/>
  <c r="I56" i="3"/>
  <c r="AJ73" i="3"/>
  <c r="X60" i="3"/>
  <c r="X63" i="3"/>
  <c r="X92" i="3"/>
  <c r="J87" i="3"/>
  <c r="M58" i="3"/>
  <c r="M93" i="3"/>
  <c r="M95" i="3"/>
  <c r="M68" i="3"/>
  <c r="S7" i="3"/>
  <c r="C19" i="3"/>
  <c r="C17" i="3"/>
  <c r="AO24" i="3"/>
  <c r="L38" i="3"/>
  <c r="O23" i="3"/>
  <c r="AJ7" i="3"/>
  <c r="AP86" i="3"/>
  <c r="E50" i="3"/>
  <c r="AQ17" i="3"/>
  <c r="Y19" i="3"/>
  <c r="M27" i="3"/>
  <c r="AB71" i="3"/>
  <c r="AP10" i="3"/>
  <c r="S38" i="3"/>
  <c r="AG39" i="3"/>
  <c r="AJ8" i="3"/>
  <c r="H37" i="3"/>
  <c r="Q16" i="3"/>
  <c r="H35" i="3"/>
  <c r="C8" i="3"/>
  <c r="AO42" i="3"/>
  <c r="Q14" i="3"/>
  <c r="AC40" i="3"/>
  <c r="K6" i="3"/>
  <c r="K5" i="3"/>
  <c r="AA42" i="3"/>
  <c r="P35" i="3"/>
  <c r="AG30" i="3"/>
  <c r="AG87" i="3"/>
  <c r="M38" i="3"/>
  <c r="AB6" i="3"/>
  <c r="L64" i="3"/>
  <c r="AP56" i="3"/>
  <c r="Q6" i="3"/>
  <c r="AQ20" i="3"/>
  <c r="Z31" i="3"/>
  <c r="AJ35" i="3"/>
  <c r="Q42" i="3"/>
  <c r="AG64" i="3"/>
  <c r="AL29" i="3"/>
  <c r="AB49" i="3"/>
  <c r="X90" i="3"/>
  <c r="AI25" i="3"/>
  <c r="X89" i="3"/>
  <c r="AQ7" i="3"/>
  <c r="I22" i="3"/>
  <c r="AL7" i="3"/>
  <c r="AN63" i="3"/>
  <c r="Z9" i="3"/>
  <c r="P29" i="3"/>
  <c r="AK12" i="3"/>
  <c r="AG93" i="3"/>
  <c r="W69" i="3"/>
  <c r="T32" i="3"/>
  <c r="K80" i="3"/>
  <c r="Q20" i="3"/>
  <c r="AC23" i="3"/>
  <c r="S26" i="3"/>
  <c r="W75" i="3"/>
  <c r="AN80" i="3"/>
  <c r="AO20" i="3"/>
  <c r="AI30" i="3"/>
  <c r="S23" i="3"/>
  <c r="AQ42" i="3"/>
  <c r="AM25" i="3"/>
  <c r="AN68" i="3"/>
  <c r="AN10" i="3"/>
  <c r="U28" i="3"/>
  <c r="AM19" i="3"/>
  <c r="AI23" i="3"/>
  <c r="R5" i="3"/>
  <c r="AN42" i="3"/>
  <c r="Z24" i="3"/>
  <c r="AN25" i="3"/>
  <c r="L23" i="3"/>
  <c r="AG74" i="3"/>
  <c r="W79" i="3"/>
  <c r="AP26" i="3"/>
  <c r="M9" i="3"/>
  <c r="W17" i="3"/>
  <c r="Q7" i="3"/>
  <c r="J18" i="3"/>
  <c r="AH19" i="3"/>
  <c r="I23" i="3"/>
  <c r="I35" i="3"/>
  <c r="N30" i="3"/>
  <c r="AO39" i="3"/>
  <c r="AM34" i="3"/>
  <c r="S28" i="3"/>
  <c r="P13" i="3"/>
  <c r="AJ11" i="3"/>
  <c r="H29" i="3"/>
  <c r="K41" i="3"/>
  <c r="O38" i="3"/>
  <c r="N18" i="3"/>
  <c r="U35" i="3"/>
  <c r="AC22" i="3"/>
  <c r="AK40" i="3"/>
  <c r="Z23" i="3"/>
  <c r="AH31" i="3"/>
  <c r="AA32" i="3"/>
  <c r="AK22" i="3"/>
  <c r="AP76" i="3"/>
  <c r="AC31" i="3"/>
  <c r="AB35" i="3"/>
  <c r="J40" i="3"/>
  <c r="AM30" i="3"/>
  <c r="H18" i="3"/>
  <c r="AE13" i="3"/>
  <c r="Y39" i="3"/>
  <c r="N23" i="3"/>
  <c r="AN32" i="3"/>
  <c r="AN26" i="3"/>
  <c r="Q38" i="3"/>
  <c r="AQ29" i="3"/>
  <c r="O19" i="3"/>
  <c r="H69" i="3"/>
  <c r="AE26" i="3"/>
  <c r="AO14" i="3"/>
  <c r="AI8" i="3"/>
  <c r="L76" i="3"/>
  <c r="AE10" i="3"/>
  <c r="AG75" i="3"/>
  <c r="Y11" i="3"/>
  <c r="X24" i="3"/>
  <c r="L48" i="3"/>
  <c r="K91" i="3"/>
  <c r="S32" i="3"/>
  <c r="L33" i="3"/>
  <c r="K21" i="3"/>
  <c r="AI41" i="3"/>
  <c r="AC30" i="3"/>
  <c r="I8" i="3"/>
  <c r="AQ13" i="3"/>
  <c r="Q30" i="3"/>
  <c r="L42" i="3"/>
  <c r="AQ11" i="3"/>
  <c r="Z33" i="3"/>
  <c r="AI16" i="3"/>
  <c r="I13" i="3"/>
  <c r="X40" i="3"/>
  <c r="R33" i="3"/>
  <c r="AJ63" i="3"/>
  <c r="AQ40" i="3"/>
  <c r="AE22" i="3"/>
  <c r="AP50" i="3"/>
  <c r="S22" i="3"/>
  <c r="X7" i="3"/>
  <c r="L88" i="3"/>
  <c r="AP71" i="3"/>
  <c r="X59" i="3"/>
  <c r="AP17" i="3"/>
  <c r="AA20" i="3"/>
  <c r="I15" i="3"/>
  <c r="U22" i="3"/>
  <c r="G50" i="3"/>
  <c r="X55" i="3"/>
  <c r="AP62" i="3"/>
  <c r="AM40" i="3"/>
  <c r="K14" i="3"/>
  <c r="Q12" i="3"/>
  <c r="AN22" i="3"/>
  <c r="Y30" i="3"/>
  <c r="I83" i="3"/>
  <c r="M28" i="3"/>
  <c r="K34" i="3"/>
  <c r="K97" i="3"/>
  <c r="Y37" i="3"/>
  <c r="C7" i="3"/>
  <c r="P5" i="3"/>
  <c r="Z42" i="3"/>
  <c r="V28" i="3"/>
  <c r="W67" i="3"/>
  <c r="X95" i="3"/>
  <c r="AN85" i="3"/>
  <c r="P97" i="3"/>
  <c r="J93" i="3"/>
  <c r="P75" i="3"/>
  <c r="W66" i="3"/>
  <c r="J6" i="3"/>
  <c r="J41" i="3"/>
  <c r="AG22" i="3"/>
  <c r="AK13" i="3"/>
  <c r="AN84" i="3"/>
  <c r="AJ96" i="3"/>
  <c r="T24" i="3"/>
  <c r="W54" i="3"/>
  <c r="AK32" i="3"/>
  <c r="AO27" i="3"/>
  <c r="AL41" i="3"/>
  <c r="O24" i="3"/>
  <c r="AQ22" i="3"/>
  <c r="AO22" i="3"/>
  <c r="L59" i="3"/>
  <c r="AI14" i="3"/>
  <c r="P87" i="3"/>
  <c r="V11" i="3"/>
  <c r="H36" i="3"/>
  <c r="J90" i="3"/>
  <c r="L47" i="3"/>
  <c r="P25" i="3"/>
  <c r="AB19" i="3"/>
  <c r="AQ5" i="3"/>
  <c r="Y40" i="3"/>
  <c r="L27" i="3"/>
  <c r="T11" i="3"/>
  <c r="L80" i="3"/>
  <c r="AI38" i="3"/>
  <c r="AP14" i="3"/>
  <c r="J94" i="3"/>
  <c r="AL21" i="3"/>
  <c r="X84" i="3"/>
  <c r="P93" i="3"/>
  <c r="Z21" i="3"/>
  <c r="K68" i="3"/>
  <c r="W87" i="3"/>
  <c r="Y35" i="3"/>
  <c r="U17" i="3"/>
  <c r="X31" i="3"/>
  <c r="AK35" i="3"/>
  <c r="AJ83" i="3"/>
  <c r="L79" i="3"/>
  <c r="AA13" i="3"/>
  <c r="C36" i="3"/>
  <c r="M42" i="3"/>
  <c r="AQ78" i="3"/>
  <c r="M89" i="3"/>
  <c r="AN71" i="3"/>
  <c r="E49" i="3"/>
  <c r="H59" i="3"/>
  <c r="W48" i="3"/>
  <c r="I16" i="3"/>
  <c r="U13" i="3"/>
  <c r="I94" i="3"/>
  <c r="AL38" i="3"/>
  <c r="P69" i="3"/>
  <c r="AN48" i="3"/>
  <c r="W81" i="3"/>
  <c r="AA26" i="3"/>
  <c r="AQ67" i="3"/>
  <c r="P63" i="3"/>
  <c r="R61" i="3"/>
  <c r="AN91" i="3"/>
  <c r="K90" i="3"/>
  <c r="AG91" i="3"/>
  <c r="H73" i="3"/>
  <c r="I89" i="3"/>
  <c r="AJ84" i="3"/>
  <c r="AJ66" i="3"/>
  <c r="X58" i="3"/>
  <c r="J79" i="3"/>
  <c r="P70" i="3"/>
  <c r="M82" i="3"/>
  <c r="M66" i="3"/>
  <c r="M70" i="3"/>
  <c r="R86" i="3"/>
  <c r="R78" i="3"/>
  <c r="AQ56" i="3"/>
  <c r="AQ72" i="3"/>
  <c r="AQ66" i="3"/>
  <c r="AQ47" i="3"/>
  <c r="AP36" i="3"/>
  <c r="R69" i="3"/>
  <c r="AQ74" i="3"/>
  <c r="R67" i="3"/>
  <c r="R10" i="3"/>
  <c r="AK24" i="3"/>
  <c r="AN62" i="3"/>
  <c r="AG80" i="3"/>
  <c r="H58" i="3"/>
  <c r="AJ50" i="3"/>
  <c r="X85" i="3"/>
  <c r="J56" i="3"/>
  <c r="P84" i="3"/>
  <c r="M94" i="3"/>
  <c r="M73" i="3"/>
  <c r="R96" i="3"/>
  <c r="AQ77" i="3"/>
  <c r="AQ79" i="3"/>
  <c r="Z18" i="3"/>
  <c r="J17" i="3"/>
  <c r="AJ42" i="3"/>
  <c r="Y5" i="3"/>
  <c r="Y26" i="3"/>
  <c r="W20" i="3"/>
  <c r="AM33" i="3"/>
  <c r="AH5" i="3"/>
  <c r="R17" i="3"/>
  <c r="AE39" i="3"/>
  <c r="X26" i="3"/>
  <c r="AB26" i="3"/>
  <c r="AJ25" i="3"/>
  <c r="X11" i="3"/>
  <c r="X35" i="3"/>
  <c r="W40" i="3"/>
  <c r="R36" i="3"/>
  <c r="AE12" i="3"/>
  <c r="AB50" i="3"/>
  <c r="J22" i="3"/>
  <c r="AE27" i="3"/>
  <c r="S37" i="3"/>
  <c r="U6" i="3"/>
  <c r="AE11" i="3"/>
  <c r="I96" i="3"/>
  <c r="V40" i="3"/>
  <c r="AH8" i="3"/>
  <c r="U7" i="3"/>
  <c r="Q17" i="3"/>
  <c r="S41" i="3"/>
  <c r="AH76" i="3"/>
  <c r="AL35" i="3"/>
  <c r="AG21" i="3"/>
  <c r="AB47" i="3"/>
  <c r="C20" i="3"/>
  <c r="AP16" i="3"/>
  <c r="T29" i="3"/>
  <c r="J27" i="3"/>
  <c r="R34" i="3"/>
  <c r="L58" i="3"/>
  <c r="AJ47" i="3"/>
  <c r="H17" i="3"/>
  <c r="L96" i="3"/>
  <c r="AP49" i="3"/>
  <c r="O25" i="3"/>
  <c r="Y85" i="3"/>
  <c r="L13" i="3"/>
  <c r="U26" i="3"/>
  <c r="AI20" i="3"/>
  <c r="C28" i="3"/>
  <c r="W33" i="3"/>
  <c r="P55" i="3"/>
  <c r="AA25" i="3"/>
  <c r="AQ37" i="3"/>
  <c r="W42" i="3"/>
  <c r="AB60" i="3"/>
  <c r="H12" i="3"/>
  <c r="AP29" i="3"/>
  <c r="P58" i="3"/>
  <c r="O36" i="3"/>
  <c r="V14" i="3"/>
  <c r="P68" i="3"/>
  <c r="P65" i="3"/>
  <c r="AC33" i="3"/>
  <c r="AO30" i="3"/>
  <c r="AO5" i="3"/>
  <c r="AH13" i="3"/>
  <c r="S9" i="3"/>
  <c r="M17" i="3"/>
  <c r="U39" i="3"/>
  <c r="AG13" i="3"/>
  <c r="AN66" i="3"/>
  <c r="AG18" i="3"/>
  <c r="O8" i="3"/>
  <c r="AC18" i="3"/>
  <c r="AH69" i="3"/>
  <c r="P23" i="3"/>
  <c r="AI9" i="3"/>
  <c r="AN36" i="3"/>
  <c r="I71" i="3"/>
  <c r="AO94" i="3"/>
  <c r="X75" i="3"/>
  <c r="AH23" i="3"/>
  <c r="AG73" i="3"/>
  <c r="P89" i="3"/>
  <c r="AL25" i="3"/>
  <c r="W86" i="3"/>
  <c r="Y81" i="3"/>
  <c r="AJ61" i="3"/>
  <c r="K83" i="3"/>
  <c r="K74" i="3"/>
  <c r="H76" i="3"/>
  <c r="AJ68" i="3"/>
  <c r="P47" i="3"/>
  <c r="M77" i="3"/>
  <c r="R58" i="3"/>
  <c r="AO92" i="3"/>
  <c r="AO79" i="3"/>
  <c r="AQ85" i="3"/>
  <c r="Y16" i="3"/>
  <c r="AE30" i="3"/>
  <c r="AQ28" i="3"/>
  <c r="P27" i="3"/>
  <c r="T28" i="3"/>
  <c r="AO7" i="3"/>
  <c r="AM23" i="3"/>
  <c r="Q28" i="3"/>
  <c r="M11" i="3"/>
  <c r="AQ25" i="3"/>
  <c r="H10" i="3"/>
  <c r="AH49" i="3"/>
  <c r="J16" i="3"/>
  <c r="AG36" i="3"/>
  <c r="AH38" i="3"/>
  <c r="J7" i="3"/>
  <c r="O10" i="3"/>
  <c r="AN30" i="3"/>
  <c r="I39" i="3"/>
  <c r="AJ17" i="3"/>
  <c r="L17" i="3"/>
  <c r="Y71" i="3"/>
  <c r="I78" i="3"/>
  <c r="L78" i="3"/>
  <c r="AP93" i="3"/>
  <c r="AB57" i="3"/>
  <c r="AB18" i="3"/>
  <c r="AC29" i="3"/>
  <c r="AN17" i="3"/>
  <c r="AH17" i="3"/>
  <c r="AB23" i="3"/>
  <c r="AJ15" i="3"/>
  <c r="AN11" i="3"/>
  <c r="AB15" i="3"/>
  <c r="O18" i="3"/>
  <c r="I82" i="3"/>
  <c r="AQ8" i="3"/>
  <c r="N31" i="3"/>
  <c r="W14" i="3"/>
  <c r="AE35" i="3"/>
  <c r="AP47" i="3"/>
  <c r="AN78" i="3"/>
  <c r="C14" i="3"/>
  <c r="K87" i="3"/>
  <c r="K13" i="3"/>
  <c r="Z38" i="3"/>
  <c r="J37" i="3"/>
  <c r="AM22" i="3"/>
  <c r="I65" i="3"/>
  <c r="K18" i="3"/>
  <c r="V9" i="3"/>
  <c r="I66" i="3"/>
  <c r="U12" i="3"/>
  <c r="AG35" i="3"/>
  <c r="M72" i="3"/>
  <c r="H8" i="3"/>
  <c r="K93" i="3"/>
  <c r="AQ19" i="3"/>
  <c r="AH29" i="3"/>
  <c r="P86" i="3"/>
  <c r="Y90" i="3"/>
  <c r="AJ16" i="3"/>
  <c r="K50" i="3"/>
  <c r="M35" i="3"/>
  <c r="C6" i="3"/>
  <c r="AI19" i="3"/>
  <c r="AH28" i="3"/>
  <c r="S6" i="3"/>
  <c r="AC25" i="3"/>
  <c r="X30" i="3"/>
  <c r="R87" i="3"/>
  <c r="AJ58" i="3"/>
  <c r="AE21" i="3"/>
  <c r="AK41" i="3"/>
  <c r="AI13" i="3"/>
  <c r="K73" i="3"/>
  <c r="AA37" i="3"/>
  <c r="AH26" i="3"/>
  <c r="I57" i="3"/>
  <c r="J70" i="3"/>
  <c r="P80" i="3"/>
  <c r="C4" i="3"/>
  <c r="AN89" i="3"/>
  <c r="K56" i="3"/>
  <c r="AO18" i="3"/>
  <c r="C47" i="3"/>
  <c r="AH91" i="3"/>
  <c r="AB27" i="3"/>
  <c r="AK11" i="3"/>
  <c r="AD47" i="3"/>
  <c r="AH74" i="3"/>
  <c r="L93" i="3"/>
  <c r="H60" i="3"/>
  <c r="AJ90" i="3"/>
  <c r="AJ92" i="3"/>
  <c r="J69" i="3"/>
  <c r="M71" i="3"/>
  <c r="M74" i="3"/>
  <c r="R65" i="3"/>
  <c r="AO81" i="3"/>
  <c r="AQ83" i="3"/>
  <c r="AQ96" i="3"/>
  <c r="AQ58" i="3"/>
  <c r="AD20" i="3"/>
  <c r="Q23" i="3"/>
  <c r="AG8" i="3"/>
  <c r="I10" i="3"/>
  <c r="AL33" i="3"/>
  <c r="AE17" i="3"/>
  <c r="AN28" i="3"/>
  <c r="R26" i="3"/>
  <c r="AJ37" i="3"/>
  <c r="X32" i="3"/>
  <c r="Y27" i="3"/>
  <c r="P22" i="3"/>
  <c r="W22" i="3"/>
  <c r="AP35" i="3"/>
  <c r="Z27" i="3"/>
  <c r="AM42" i="3"/>
  <c r="AP25" i="3"/>
  <c r="AK10" i="3"/>
  <c r="R41" i="3"/>
  <c r="W8" i="3"/>
  <c r="AB59" i="3"/>
  <c r="AJ34" i="3"/>
  <c r="AP57" i="3"/>
  <c r="K57" i="3"/>
  <c r="Y17" i="3"/>
  <c r="AQ33" i="3"/>
  <c r="AH41" i="3"/>
  <c r="AJ32" i="3"/>
  <c r="S15" i="3"/>
  <c r="R7" i="3"/>
  <c r="L72" i="3"/>
  <c r="Z22" i="3"/>
  <c r="M16" i="3"/>
  <c r="Z37" i="3"/>
  <c r="Q33" i="3"/>
  <c r="S18" i="3"/>
  <c r="P41" i="3"/>
  <c r="AH27" i="3"/>
  <c r="AE36" i="3"/>
  <c r="X86" i="3"/>
  <c r="AP72" i="3"/>
  <c r="M14" i="3"/>
  <c r="Y15" i="3"/>
  <c r="AQ16" i="3"/>
  <c r="T37" i="3"/>
  <c r="AA35" i="3"/>
  <c r="U36" i="3"/>
  <c r="O20" i="3"/>
  <c r="AO10" i="3"/>
  <c r="C22" i="3"/>
  <c r="M25" i="3"/>
  <c r="AK38" i="3"/>
  <c r="U20" i="3"/>
  <c r="AQ12" i="3"/>
  <c r="P34" i="3"/>
  <c r="AB29" i="3"/>
  <c r="M7" i="3"/>
  <c r="AL36" i="3"/>
  <c r="AI31" i="3"/>
  <c r="AE18" i="3"/>
  <c r="AO31" i="3"/>
  <c r="I12" i="3"/>
  <c r="AK6" i="3"/>
  <c r="R16" i="3"/>
  <c r="AA40" i="3"/>
  <c r="H28" i="3"/>
  <c r="K7" i="3"/>
  <c r="P16" i="3"/>
  <c r="P18" i="3"/>
  <c r="I27" i="3"/>
  <c r="V6" i="3"/>
  <c r="Y59" i="3"/>
  <c r="AA19" i="3"/>
  <c r="AB93" i="3"/>
  <c r="K17" i="3"/>
  <c r="AB37" i="3"/>
  <c r="Z29" i="3"/>
  <c r="AG88" i="3"/>
  <c r="L74" i="3"/>
  <c r="Y29" i="3"/>
  <c r="AK26" i="3"/>
  <c r="Y89" i="3"/>
  <c r="Z34" i="3"/>
  <c r="AG95" i="3"/>
  <c r="Y8" i="3"/>
  <c r="AB58" i="3"/>
  <c r="Y28" i="3"/>
  <c r="D47" i="3"/>
  <c r="K36" i="3"/>
  <c r="AN12" i="3"/>
  <c r="AM32" i="3"/>
  <c r="X17" i="3"/>
  <c r="AH34" i="3"/>
  <c r="D48" i="3"/>
  <c r="AB17" i="3"/>
  <c r="L22" i="3"/>
  <c r="X41" i="3"/>
  <c r="S29" i="3"/>
  <c r="C25" i="3"/>
  <c r="I81" i="3"/>
  <c r="AH24" i="3"/>
  <c r="K86" i="3"/>
  <c r="AL11" i="3"/>
  <c r="O30" i="3"/>
  <c r="J31" i="3"/>
  <c r="S10" i="3"/>
  <c r="AG26" i="3"/>
  <c r="L32" i="3"/>
  <c r="AP67" i="3"/>
  <c r="AC42" i="3"/>
  <c r="L26" i="3"/>
  <c r="AL27" i="3"/>
  <c r="AJ33" i="3"/>
  <c r="AE29" i="3"/>
  <c r="U16" i="3"/>
  <c r="Y68" i="3"/>
  <c r="R19" i="3"/>
  <c r="P28" i="3"/>
  <c r="AJ60" i="3"/>
  <c r="AP37" i="3"/>
  <c r="AL28" i="3"/>
  <c r="L75" i="3"/>
  <c r="O39" i="3"/>
  <c r="Y41" i="3"/>
  <c r="AK14" i="3"/>
  <c r="I37" i="3"/>
  <c r="Y95" i="3"/>
  <c r="I49" i="3"/>
  <c r="L92" i="3"/>
  <c r="H11" i="3"/>
  <c r="K22" i="3"/>
  <c r="Y76" i="3"/>
  <c r="P76" i="3"/>
  <c r="P81" i="3"/>
  <c r="AO21" i="3"/>
  <c r="AB7" i="3"/>
  <c r="P77" i="3"/>
  <c r="N21" i="3"/>
  <c r="AH78" i="3"/>
  <c r="J83" i="3"/>
  <c r="X13" i="3"/>
  <c r="W94" i="3"/>
  <c r="X94" i="3"/>
  <c r="Q26" i="3"/>
  <c r="AO29" i="3"/>
  <c r="AJ67" i="3"/>
  <c r="AM9" i="3"/>
  <c r="L6" i="3"/>
  <c r="AP41" i="3"/>
  <c r="AA9" i="3"/>
  <c r="AN16" i="3"/>
  <c r="Y70" i="3"/>
  <c r="P66" i="3"/>
  <c r="P94" i="3"/>
  <c r="D50" i="3"/>
  <c r="AN18" i="3"/>
  <c r="M50" i="3"/>
  <c r="AJ62" i="3"/>
  <c r="AE40" i="3"/>
  <c r="J89" i="3"/>
  <c r="K11" i="3"/>
  <c r="Y88" i="3"/>
  <c r="Y78" i="3"/>
  <c r="AC6" i="3"/>
  <c r="I48" i="3"/>
  <c r="AQ34" i="3"/>
  <c r="P79" i="3"/>
  <c r="L69" i="3"/>
  <c r="R75" i="3"/>
  <c r="AL32" i="3"/>
  <c r="AP92" i="3"/>
  <c r="V20" i="3"/>
  <c r="AB25" i="3"/>
  <c r="AB56" i="3"/>
  <c r="AD21" i="3"/>
  <c r="X67" i="3"/>
  <c r="Q22" i="3"/>
  <c r="AG49" i="3"/>
  <c r="P85" i="3"/>
  <c r="X97" i="3"/>
  <c r="AN79" i="3"/>
  <c r="AG82" i="3"/>
  <c r="AN83" i="3"/>
  <c r="AO86" i="3"/>
  <c r="J54" i="3"/>
  <c r="AB9" i="3"/>
  <c r="I60" i="3"/>
  <c r="M10" i="3"/>
  <c r="AB95" i="3"/>
  <c r="AG23" i="3"/>
  <c r="AN47" i="3"/>
  <c r="K78" i="3"/>
  <c r="K48" i="3"/>
  <c r="AJ89" i="3"/>
  <c r="M81" i="3"/>
  <c r="R82" i="3"/>
  <c r="AO50" i="3"/>
  <c r="AQ81" i="3"/>
  <c r="AP39" i="3"/>
  <c r="Q41" i="3"/>
  <c r="AA23" i="3"/>
  <c r="U21" i="3"/>
  <c r="K26" i="3"/>
  <c r="AO13" i="3"/>
  <c r="AD40" i="3"/>
  <c r="Z12" i="3"/>
  <c r="Y67" i="3"/>
  <c r="N34" i="3"/>
  <c r="AK8" i="3"/>
  <c r="G37" i="3"/>
  <c r="X16" i="3"/>
  <c r="AJ24" i="3"/>
  <c r="V25" i="3"/>
  <c r="AM24" i="3"/>
  <c r="AG41" i="3"/>
  <c r="L71" i="3"/>
  <c r="AN97" i="3"/>
  <c r="L18" i="3"/>
  <c r="P21" i="3"/>
  <c r="P33" i="3"/>
  <c r="AN19" i="3"/>
  <c r="S16" i="3"/>
  <c r="AH90" i="3"/>
  <c r="AJ19" i="3"/>
  <c r="N22" i="3"/>
  <c r="AP33" i="3"/>
  <c r="M34" i="3"/>
  <c r="L16" i="3"/>
  <c r="V12" i="3"/>
  <c r="H49" i="3"/>
  <c r="Z13" i="3"/>
  <c r="V35" i="3"/>
  <c r="AP66" i="3"/>
  <c r="Q9" i="3"/>
  <c r="AN82" i="3"/>
  <c r="V15" i="3"/>
  <c r="AG78" i="3"/>
  <c r="U34" i="3"/>
  <c r="AQ15" i="3"/>
  <c r="I87" i="3"/>
  <c r="AO26" i="3"/>
  <c r="AP82" i="3"/>
  <c r="L29" i="3"/>
  <c r="AJ38" i="3"/>
  <c r="Q11" i="3"/>
  <c r="W61" i="3"/>
  <c r="J64" i="3"/>
  <c r="K79" i="3"/>
  <c r="AL15" i="3"/>
  <c r="R13" i="3"/>
  <c r="AN72" i="3"/>
  <c r="P78" i="3"/>
  <c r="S5" i="3"/>
  <c r="J84" i="3"/>
  <c r="X6" i="3"/>
  <c r="AH40" i="3"/>
  <c r="L84" i="3"/>
  <c r="AH70" i="3"/>
  <c r="R73" i="3"/>
  <c r="AB32" i="3"/>
  <c r="AJ72" i="3"/>
  <c r="AG42" i="3"/>
  <c r="K92" i="3"/>
  <c r="Y23" i="3"/>
  <c r="P91" i="3"/>
  <c r="H16" i="3"/>
  <c r="N37" i="3"/>
  <c r="V7" i="3"/>
  <c r="U24" i="3"/>
  <c r="AO83" i="3"/>
  <c r="I50" i="3"/>
  <c r="J85" i="3"/>
  <c r="AG86" i="3"/>
  <c r="AJ79" i="3"/>
  <c r="X91" i="3"/>
  <c r="J75" i="3"/>
  <c r="M78" i="3"/>
  <c r="M49" i="3"/>
  <c r="S91" i="3"/>
  <c r="AO61" i="3"/>
  <c r="AQ73" i="3"/>
  <c r="AQ57" i="3"/>
  <c r="J24" i="3"/>
  <c r="W27" i="3"/>
  <c r="Z11" i="3"/>
  <c r="Z17" i="3"/>
  <c r="AB62" i="3"/>
  <c r="W12" i="3"/>
  <c r="U11" i="3"/>
  <c r="AI22" i="3"/>
  <c r="AL12" i="3"/>
  <c r="M37" i="3"/>
  <c r="AE14" i="3"/>
  <c r="AP81" i="3"/>
  <c r="S30" i="3"/>
  <c r="AM5" i="3"/>
  <c r="AH67" i="3"/>
  <c r="K27" i="3"/>
  <c r="P38" i="3"/>
  <c r="AK18" i="3"/>
  <c r="Y31" i="3"/>
  <c r="N40" i="3"/>
  <c r="AD22" i="3"/>
  <c r="O6" i="3"/>
  <c r="T18" i="3"/>
  <c r="AA27" i="3"/>
  <c r="L70" i="3"/>
  <c r="AB96" i="3"/>
  <c r="R35" i="3"/>
  <c r="Y13" i="3"/>
  <c r="AD34" i="3"/>
  <c r="L8" i="3"/>
  <c r="AH6" i="3"/>
  <c r="W31" i="3"/>
  <c r="AJ82" i="3"/>
  <c r="H50" i="3"/>
  <c r="AI15" i="3"/>
  <c r="AH16" i="3"/>
  <c r="I67" i="3"/>
  <c r="R12" i="3"/>
  <c r="O16" i="3"/>
  <c r="AC27" i="3"/>
  <c r="K85" i="3"/>
  <c r="AQ24" i="3"/>
  <c r="N12" i="3"/>
  <c r="Y36" i="3"/>
  <c r="AO15" i="3"/>
  <c r="AM10" i="3"/>
  <c r="K96" i="3"/>
  <c r="I73" i="3"/>
  <c r="AE38" i="3"/>
  <c r="Z8" i="3"/>
  <c r="P74" i="3"/>
  <c r="AI26" i="3"/>
  <c r="S27" i="3"/>
  <c r="S24" i="3"/>
  <c r="R23" i="3"/>
  <c r="Y47" i="3"/>
  <c r="P57" i="3"/>
  <c r="I85" i="3"/>
  <c r="AJ81" i="3"/>
  <c r="AM57" i="3"/>
  <c r="W10" i="3"/>
  <c r="V26" i="3"/>
  <c r="AC16" i="3"/>
  <c r="I77" i="3"/>
  <c r="R60" i="3"/>
  <c r="Y97" i="3"/>
  <c r="X62" i="3"/>
  <c r="J62" i="3"/>
  <c r="K81" i="3"/>
  <c r="Y24" i="3"/>
  <c r="U8" i="3"/>
  <c r="X79" i="3"/>
  <c r="R57" i="3"/>
  <c r="I80" i="3"/>
  <c r="AK20" i="3"/>
  <c r="J55" i="3"/>
  <c r="O34" i="3"/>
  <c r="AN41" i="3"/>
  <c r="AN76" i="3"/>
  <c r="L54" i="3"/>
  <c r="AH14" i="3"/>
  <c r="I76" i="3"/>
  <c r="AB34" i="3"/>
  <c r="I54" i="3"/>
  <c r="U30" i="3"/>
  <c r="AM66" i="3"/>
  <c r="AL30" i="3"/>
  <c r="C26" i="3"/>
  <c r="S42" i="3"/>
  <c r="AP18" i="3"/>
  <c r="AH58" i="3"/>
  <c r="R47" i="3"/>
  <c r="R56" i="3"/>
  <c r="K64" i="3"/>
  <c r="AG71" i="3"/>
  <c r="X82" i="3"/>
  <c r="P72" i="3"/>
  <c r="M54" i="3"/>
  <c r="S64" i="3"/>
  <c r="AO63" i="3"/>
  <c r="AQ68" i="3"/>
  <c r="AK9" i="3"/>
  <c r="AJ22" i="3"/>
  <c r="N5" i="3"/>
  <c r="G38" i="3"/>
  <c r="J13" i="3"/>
  <c r="AJ28" i="3"/>
  <c r="M20" i="3"/>
  <c r="N20" i="3"/>
  <c r="K40" i="3"/>
  <c r="AC21" i="3"/>
  <c r="I18" i="3"/>
  <c r="AK37" i="3"/>
  <c r="T5" i="3"/>
  <c r="H15" i="3"/>
  <c r="AD23" i="3"/>
  <c r="T97" i="3"/>
  <c r="Z30" i="3"/>
  <c r="L21" i="3"/>
  <c r="H81" i="3"/>
  <c r="Y50" i="3"/>
  <c r="H78" i="3"/>
  <c r="AN13" i="3"/>
  <c r="N83" i="3"/>
  <c r="N79" i="3"/>
  <c r="Y21" i="3"/>
  <c r="L34" i="3"/>
  <c r="AP75" i="3"/>
  <c r="AK16" i="3"/>
  <c r="O33" i="3"/>
  <c r="T17" i="3"/>
  <c r="C23" i="3"/>
  <c r="M13" i="3"/>
  <c r="H84" i="3"/>
  <c r="R6" i="3"/>
  <c r="O28" i="3"/>
  <c r="AO41" i="3"/>
  <c r="I24" i="3"/>
  <c r="AG31" i="3"/>
  <c r="AM64" i="3"/>
  <c r="I40" i="3"/>
  <c r="L95" i="3"/>
  <c r="W84" i="3"/>
  <c r="R25" i="3"/>
  <c r="AB90" i="3"/>
  <c r="H40" i="3"/>
  <c r="AB55" i="3"/>
  <c r="C37" i="3"/>
  <c r="AB83" i="3"/>
  <c r="H20" i="3"/>
  <c r="AQ23" i="3"/>
  <c r="R24" i="3"/>
  <c r="AL10" i="3"/>
  <c r="C31" i="3"/>
  <c r="AN21" i="3"/>
  <c r="O9" i="3"/>
  <c r="AD41" i="3"/>
  <c r="T16" i="3"/>
  <c r="AJ20" i="3"/>
  <c r="N89" i="3"/>
  <c r="J42" i="3"/>
  <c r="AM7" i="3"/>
  <c r="AN37" i="3"/>
  <c r="AP55" i="3"/>
  <c r="L14" i="3"/>
  <c r="Z35" i="3"/>
  <c r="AI5" i="3"/>
  <c r="AH36" i="3"/>
  <c r="AO16" i="3"/>
  <c r="AM28" i="3"/>
  <c r="R40" i="3"/>
  <c r="X77" i="3"/>
  <c r="AC26" i="3"/>
  <c r="L56" i="3"/>
  <c r="AM75" i="3"/>
  <c r="AM73" i="3"/>
  <c r="AG50" i="3"/>
  <c r="W60" i="3"/>
  <c r="AB75" i="3"/>
  <c r="J65" i="3"/>
  <c r="V19" i="3"/>
  <c r="T96" i="3"/>
  <c r="V5" i="3"/>
  <c r="I41" i="3"/>
  <c r="AN74" i="3"/>
  <c r="I79" i="3"/>
  <c r="R27" i="3"/>
  <c r="Y77" i="3"/>
  <c r="X68" i="3"/>
  <c r="W96" i="3"/>
  <c r="AD29" i="3"/>
  <c r="AH7" i="3"/>
  <c r="H68" i="3"/>
  <c r="AI57" i="3"/>
  <c r="AB16" i="3"/>
  <c r="T80" i="3"/>
  <c r="I72" i="3"/>
  <c r="X34" i="3"/>
  <c r="AG19" i="3"/>
  <c r="Y62" i="3"/>
  <c r="AE34" i="3"/>
  <c r="AC37" i="3"/>
  <c r="N61" i="3"/>
  <c r="S25" i="3"/>
  <c r="AI11" i="3"/>
  <c r="AH65" i="3"/>
  <c r="AK19" i="3"/>
  <c r="AJ39" i="3"/>
  <c r="C48" i="3"/>
  <c r="AD33" i="3"/>
  <c r="I61" i="3"/>
  <c r="N36" i="3"/>
  <c r="J32" i="3"/>
  <c r="R72" i="3"/>
  <c r="Z20" i="3"/>
  <c r="AO97" i="3"/>
  <c r="R18" i="3"/>
  <c r="AA7" i="3"/>
  <c r="AO85" i="3"/>
  <c r="AM50" i="3"/>
  <c r="M76" i="3"/>
  <c r="N14" i="3"/>
  <c r="AP74" i="3"/>
  <c r="R71" i="3"/>
  <c r="K95" i="3"/>
  <c r="AG59" i="3"/>
  <c r="AI96" i="3"/>
  <c r="X74" i="3"/>
  <c r="J82" i="3"/>
  <c r="M86" i="3"/>
  <c r="M75" i="3"/>
  <c r="R59" i="3"/>
  <c r="S70" i="3"/>
  <c r="AO76" i="3"/>
  <c r="AO57" i="3"/>
  <c r="AQ54" i="3"/>
  <c r="AQ90" i="3"/>
  <c r="AG48" i="3"/>
  <c r="H85" i="3"/>
  <c r="X93" i="3"/>
  <c r="V73" i="3"/>
  <c r="R94" i="3"/>
  <c r="AO69" i="3"/>
  <c r="AQ87" i="3"/>
  <c r="AE15" i="3"/>
  <c r="X39" i="3"/>
  <c r="AN70" i="3"/>
  <c r="K60" i="3"/>
  <c r="AM29" i="3"/>
  <c r="AG7" i="3"/>
  <c r="AJ64" i="3"/>
  <c r="V94" i="3"/>
  <c r="I21" i="3"/>
  <c r="H88" i="3"/>
  <c r="N88" i="3"/>
  <c r="R68" i="3"/>
  <c r="H79" i="3"/>
  <c r="W47" i="3"/>
  <c r="AH42" i="3"/>
  <c r="AQ39" i="3"/>
  <c r="N50" i="3"/>
  <c r="X56" i="3"/>
  <c r="H47" i="3"/>
  <c r="AO54" i="3"/>
  <c r="J68" i="3"/>
  <c r="L65" i="3"/>
  <c r="AI68" i="3"/>
  <c r="J78" i="3"/>
  <c r="R74" i="3"/>
  <c r="AO55" i="3"/>
  <c r="P26" i="3"/>
  <c r="T38" i="3"/>
  <c r="AB77" i="3"/>
  <c r="T86" i="3"/>
  <c r="K89" i="3"/>
  <c r="Z39" i="3"/>
  <c r="AQ35" i="3"/>
  <c r="AH77" i="3"/>
  <c r="Y32" i="3"/>
  <c r="H94" i="3"/>
  <c r="S13" i="3"/>
  <c r="T8" i="3"/>
  <c r="Z16" i="3"/>
  <c r="P67" i="3"/>
  <c r="AA5" i="3"/>
  <c r="K58" i="3"/>
  <c r="P7" i="3"/>
  <c r="AN75" i="3"/>
  <c r="AA41" i="3"/>
  <c r="AJ80" i="3"/>
  <c r="T25" i="3"/>
  <c r="R92" i="3"/>
  <c r="P37" i="3"/>
  <c r="T35" i="3"/>
  <c r="AP42" i="3"/>
  <c r="R90" i="3"/>
  <c r="P60" i="3"/>
  <c r="AN92" i="3"/>
  <c r="AA61" i="3"/>
  <c r="J80" i="3"/>
  <c r="AA88" i="3"/>
  <c r="S83" i="3"/>
  <c r="AQ84" i="3"/>
  <c r="W6" i="3"/>
  <c r="AN39" i="3"/>
  <c r="N25" i="3"/>
  <c r="AP30" i="3"/>
  <c r="AP78" i="3"/>
  <c r="K37" i="3"/>
  <c r="H26" i="3"/>
  <c r="H14" i="3"/>
  <c r="S31" i="3"/>
  <c r="AG33" i="3"/>
  <c r="H48" i="3"/>
  <c r="AL6" i="3"/>
  <c r="AH55" i="3"/>
  <c r="H63" i="3"/>
  <c r="W41" i="3"/>
  <c r="L24" i="3"/>
  <c r="AC12" i="3"/>
  <c r="R48" i="3"/>
  <c r="AJ93" i="3"/>
  <c r="AI70" i="3"/>
  <c r="AG77" i="3"/>
  <c r="O42" i="3"/>
  <c r="AM61" i="3"/>
  <c r="J57" i="3"/>
  <c r="AJ78" i="3"/>
  <c r="K61" i="3"/>
  <c r="J76" i="3"/>
  <c r="R49" i="3"/>
  <c r="AO48" i="3"/>
  <c r="AQ64" i="3"/>
  <c r="P12" i="3"/>
  <c r="R22" i="3"/>
  <c r="AN27" i="3"/>
  <c r="T74" i="3"/>
  <c r="AB48" i="3"/>
  <c r="AB61" i="3"/>
  <c r="M26" i="3"/>
  <c r="H23" i="3"/>
  <c r="S20" i="3"/>
  <c r="N9" i="3"/>
  <c r="C27" i="3"/>
  <c r="W74" i="3"/>
  <c r="AM85" i="3"/>
  <c r="AN29" i="3"/>
  <c r="AG15" i="3"/>
  <c r="N68" i="3"/>
  <c r="T89" i="3"/>
  <c r="W58" i="3"/>
  <c r="AG27" i="3"/>
  <c r="C34" i="3"/>
  <c r="J9" i="3"/>
  <c r="N13" i="3"/>
  <c r="N8" i="3"/>
  <c r="AO47" i="3"/>
  <c r="X21" i="3"/>
  <c r="AN20" i="3"/>
  <c r="R77" i="3"/>
  <c r="AM63" i="3"/>
  <c r="Z6" i="3"/>
  <c r="C32" i="3"/>
  <c r="AI47" i="3"/>
  <c r="M69" i="3"/>
  <c r="AO71" i="3"/>
  <c r="AQ70" i="3"/>
  <c r="AK15" i="3"/>
  <c r="Y9" i="3"/>
  <c r="W37" i="3"/>
  <c r="C11" i="3"/>
  <c r="T26" i="3"/>
  <c r="AP54" i="3"/>
  <c r="AC32" i="3"/>
  <c r="N55" i="3"/>
  <c r="Y72" i="3"/>
  <c r="C29" i="3"/>
  <c r="AH96" i="3"/>
  <c r="H19" i="3"/>
  <c r="AN86" i="3"/>
  <c r="W36" i="3"/>
  <c r="L89" i="3"/>
  <c r="Q40" i="3"/>
  <c r="N90" i="3"/>
  <c r="AL24" i="3"/>
  <c r="K25" i="3"/>
  <c r="L61" i="3"/>
  <c r="AI7" i="3"/>
  <c r="L40" i="3"/>
  <c r="Y87" i="3"/>
  <c r="AB39" i="3"/>
  <c r="AJ31" i="3"/>
  <c r="O37" i="3"/>
  <c r="AJ21" i="3"/>
  <c r="H7" i="3"/>
  <c r="V22" i="3"/>
  <c r="AK29" i="3"/>
  <c r="R37" i="3"/>
  <c r="L86" i="3"/>
  <c r="M40" i="3"/>
  <c r="AH50" i="3"/>
  <c r="T78" i="3"/>
  <c r="N35" i="3"/>
  <c r="AG70" i="3"/>
  <c r="Q36" i="3"/>
  <c r="L55" i="3"/>
  <c r="H30" i="3"/>
  <c r="I26" i="3"/>
  <c r="W55" i="3"/>
  <c r="N16" i="3"/>
  <c r="L41" i="3"/>
  <c r="AG60" i="3"/>
  <c r="AG69" i="3"/>
  <c r="Z5" i="3"/>
  <c r="AB13" i="3"/>
  <c r="AM88" i="3"/>
  <c r="V49" i="3"/>
  <c r="AA84" i="3"/>
  <c r="K47" i="3"/>
  <c r="AM36" i="3"/>
  <c r="AH61" i="3"/>
  <c r="Z10" i="3"/>
  <c r="M84" i="3"/>
  <c r="I97" i="3"/>
  <c r="Z81" i="3"/>
  <c r="AN50" i="3"/>
  <c r="J38" i="3"/>
  <c r="I70" i="3"/>
  <c r="AB33" i="3"/>
  <c r="AJ59" i="3"/>
  <c r="T19" i="3"/>
  <c r="AJ85" i="3"/>
  <c r="M88" i="3"/>
  <c r="I17" i="3"/>
  <c r="N72" i="3"/>
  <c r="J88" i="3"/>
  <c r="AA66" i="3"/>
  <c r="AQ61" i="3"/>
  <c r="U29" i="3"/>
  <c r="AB91" i="3"/>
  <c r="AN59" i="3"/>
  <c r="AD32" i="3"/>
  <c r="AI75" i="3"/>
  <c r="Z25" i="3"/>
  <c r="I55" i="3"/>
  <c r="Z89" i="3"/>
  <c r="C10" i="3"/>
  <c r="Q39" i="3"/>
  <c r="AO82" i="3"/>
  <c r="W91" i="3"/>
  <c r="I20" i="3"/>
  <c r="Z61" i="3"/>
  <c r="H71" i="3"/>
  <c r="S34" i="3"/>
  <c r="P62" i="3"/>
  <c r="AD50" i="3"/>
  <c r="T91" i="3"/>
  <c r="L87" i="3"/>
  <c r="H56" i="3"/>
  <c r="AI78" i="3"/>
  <c r="AJ77" i="3"/>
  <c r="X66" i="3"/>
  <c r="J92" i="3"/>
  <c r="P92" i="3"/>
  <c r="V97" i="3"/>
  <c r="AA92" i="3"/>
  <c r="M64" i="3"/>
  <c r="M59" i="3"/>
  <c r="S82" i="3"/>
  <c r="S90" i="3"/>
  <c r="AO89" i="3"/>
  <c r="AQ55" i="3"/>
  <c r="AQ71" i="3"/>
  <c r="AJ40" i="3"/>
  <c r="AA14" i="3"/>
  <c r="AL37" i="3"/>
  <c r="AB65" i="3"/>
  <c r="G41" i="3"/>
  <c r="T22" i="3"/>
  <c r="AP13" i="3"/>
  <c r="Y22" i="3"/>
  <c r="K32" i="3"/>
  <c r="AP65" i="3"/>
  <c r="X33" i="3"/>
  <c r="H32" i="3"/>
  <c r="AB66" i="3"/>
  <c r="R31" i="3"/>
  <c r="U27" i="3"/>
  <c r="N32" i="3"/>
  <c r="P14" i="3"/>
  <c r="P11" i="3"/>
  <c r="AC19" i="3"/>
  <c r="AI17" i="3"/>
  <c r="X37" i="3"/>
  <c r="K71" i="3"/>
  <c r="AB73" i="3"/>
  <c r="K24" i="3"/>
  <c r="G48" i="3"/>
  <c r="AA21" i="3"/>
  <c r="G49" i="3"/>
  <c r="AG29" i="3"/>
  <c r="AA15" i="3"/>
  <c r="AP59" i="3"/>
  <c r="AE5" i="3"/>
  <c r="AP28" i="3"/>
  <c r="H41" i="3"/>
  <c r="AM47" i="3"/>
  <c r="W78" i="3"/>
  <c r="J10" i="3"/>
  <c r="W13" i="3"/>
  <c r="AM39" i="3"/>
  <c r="AI39" i="3"/>
  <c r="AE94" i="3"/>
  <c r="W95" i="3"/>
  <c r="Q37" i="3"/>
  <c r="H33" i="3"/>
  <c r="AM72" i="3"/>
  <c r="W26" i="3"/>
  <c r="R42" i="3"/>
  <c r="P39" i="3"/>
  <c r="I64" i="3"/>
  <c r="V56" i="3"/>
  <c r="AA64" i="3"/>
  <c r="J63" i="3"/>
  <c r="V18" i="3"/>
  <c r="T65" i="3"/>
  <c r="AH48" i="3"/>
  <c r="P36" i="3"/>
  <c r="W73" i="3"/>
  <c r="V84" i="3"/>
  <c r="AB31" i="3"/>
  <c r="J91" i="3"/>
  <c r="W82" i="3"/>
  <c r="M6" i="3"/>
  <c r="T84" i="3"/>
  <c r="J50" i="3"/>
  <c r="E48" i="3"/>
  <c r="AP11" i="3"/>
  <c r="AN33" i="3"/>
  <c r="S66" i="3"/>
  <c r="AA97" i="3"/>
  <c r="AJ29" i="3"/>
  <c r="AB78" i="3"/>
  <c r="O5" i="3"/>
  <c r="L66" i="3"/>
  <c r="AM79" i="3"/>
  <c r="V32" i="3"/>
  <c r="AB11" i="3"/>
  <c r="AC9" i="3"/>
  <c r="AI90" i="3"/>
  <c r="W80" i="3"/>
  <c r="Z90" i="3"/>
  <c r="Q19" i="3"/>
  <c r="R89" i="3"/>
  <c r="K15" i="3"/>
  <c r="Z67" i="3"/>
  <c r="M79" i="3"/>
  <c r="N39" i="3"/>
  <c r="S80" i="3"/>
  <c r="J66" i="3"/>
  <c r="AI18" i="3"/>
  <c r="S33" i="3"/>
  <c r="AO38" i="3"/>
  <c r="T81" i="3"/>
  <c r="L63" i="3"/>
  <c r="H75" i="3"/>
  <c r="AI59" i="3"/>
  <c r="AJ49" i="3"/>
  <c r="X57" i="3"/>
  <c r="J59" i="3"/>
  <c r="P71" i="3"/>
  <c r="V96" i="3"/>
  <c r="AA78" i="3"/>
  <c r="M47" i="3"/>
  <c r="R79" i="3"/>
  <c r="S56" i="3"/>
  <c r="S71" i="3"/>
  <c r="AO93" i="3"/>
  <c r="AQ59" i="3"/>
  <c r="O87" i="3"/>
  <c r="O55" i="3"/>
  <c r="C12" i="3"/>
  <c r="AL8" i="3"/>
  <c r="AG40" i="3"/>
  <c r="AI27" i="3"/>
  <c r="M19" i="3"/>
  <c r="R11" i="3"/>
  <c r="AH10" i="3"/>
  <c r="R8" i="3"/>
  <c r="H38" i="3"/>
  <c r="AH20" i="3"/>
  <c r="C41" i="3"/>
  <c r="T90" i="3"/>
  <c r="U42" i="3"/>
  <c r="N10" i="3"/>
  <c r="AO23" i="3"/>
  <c r="Y33" i="3"/>
  <c r="AO8" i="3"/>
  <c r="X28" i="3"/>
  <c r="AD35" i="3"/>
  <c r="S36" i="3"/>
  <c r="Q5" i="3"/>
  <c r="AC7" i="3"/>
  <c r="G47" i="3"/>
  <c r="X25" i="3"/>
  <c r="U37" i="3"/>
  <c r="AH54" i="3"/>
  <c r="AB88" i="3"/>
  <c r="AP48" i="3"/>
  <c r="AP69" i="3"/>
  <c r="AC8" i="3"/>
  <c r="N97" i="3"/>
  <c r="U33" i="3"/>
  <c r="AC14" i="3"/>
  <c r="W68" i="3"/>
  <c r="AG72" i="3"/>
  <c r="N28" i="3"/>
  <c r="L90" i="3"/>
  <c r="I92" i="3"/>
  <c r="AD37" i="3"/>
  <c r="AH32" i="3"/>
  <c r="AE6" i="3"/>
  <c r="W56" i="3"/>
  <c r="L36" i="3"/>
  <c r="P56" i="3"/>
  <c r="AB12" i="3"/>
  <c r="P49" i="3"/>
  <c r="AM37" i="3"/>
  <c r="AN67" i="3"/>
  <c r="AM87" i="3"/>
  <c r="AO9" i="3"/>
  <c r="AJ9" i="3"/>
  <c r="H67" i="3"/>
  <c r="W93" i="3"/>
  <c r="U19" i="3"/>
  <c r="P32" i="3"/>
  <c r="AO49" i="3"/>
  <c r="R14" i="3"/>
  <c r="O7" i="3"/>
  <c r="L94" i="3"/>
  <c r="AJ70" i="3"/>
  <c r="M91" i="3"/>
  <c r="S68" i="3"/>
  <c r="M30" i="3"/>
  <c r="Q10" i="3"/>
  <c r="Y18" i="3"/>
  <c r="L15" i="3"/>
  <c r="AO40" i="3"/>
  <c r="AH79" i="3"/>
  <c r="AE16" i="3"/>
  <c r="P10" i="3"/>
  <c r="M31" i="3"/>
  <c r="T85" i="3"/>
  <c r="AC35" i="3"/>
  <c r="AO25" i="3"/>
  <c r="N47" i="3"/>
  <c r="T93" i="3"/>
  <c r="AB89" i="3"/>
  <c r="V37" i="3"/>
  <c r="AB76" i="3"/>
  <c r="N29" i="3"/>
  <c r="O17" i="3"/>
  <c r="AE89" i="3"/>
  <c r="W70" i="3"/>
  <c r="I9" i="3"/>
  <c r="J48" i="3"/>
  <c r="X8" i="3"/>
  <c r="P40" i="3"/>
  <c r="Z87" i="3"/>
  <c r="AO32" i="3"/>
  <c r="J71" i="3"/>
  <c r="H9" i="3"/>
  <c r="AH73" i="3"/>
  <c r="O27" i="3"/>
  <c r="AH25" i="3"/>
  <c r="AB92" i="3"/>
  <c r="AC13" i="3"/>
  <c r="Q96" i="3"/>
  <c r="Q15" i="3"/>
  <c r="AA58" i="3"/>
  <c r="T30" i="3"/>
  <c r="X80" i="3"/>
  <c r="V95" i="3"/>
  <c r="S74" i="3"/>
  <c r="AQ76" i="3"/>
  <c r="O58" i="3"/>
  <c r="I11" i="3"/>
  <c r="AA8" i="3"/>
  <c r="AH95" i="3"/>
  <c r="AB24" i="3"/>
  <c r="I6" i="3"/>
  <c r="AQ27" i="3"/>
  <c r="I25" i="3"/>
  <c r="AK7" i="3"/>
  <c r="N33" i="3"/>
  <c r="AE31" i="3"/>
  <c r="AP70" i="3"/>
  <c r="AJ30" i="3"/>
  <c r="U5" i="3"/>
  <c r="AP90" i="3"/>
  <c r="Y65" i="3"/>
  <c r="AL19" i="3"/>
  <c r="M57" i="3"/>
  <c r="AE82" i="3"/>
  <c r="AE69" i="3"/>
  <c r="Z36" i="3"/>
  <c r="Y55" i="3"/>
  <c r="AK5" i="3"/>
  <c r="AM31" i="3"/>
  <c r="J67" i="3"/>
  <c r="Q65" i="3"/>
  <c r="O76" i="3"/>
  <c r="K55" i="3"/>
  <c r="X81" i="3"/>
  <c r="Z95" i="3"/>
  <c r="R83" i="3"/>
  <c r="AO72" i="3"/>
  <c r="AQ88" i="3"/>
  <c r="O60" i="3"/>
  <c r="AC10" i="3"/>
  <c r="V36" i="3"/>
  <c r="P24" i="3"/>
  <c r="L19" i="3"/>
  <c r="I30" i="3"/>
  <c r="N59" i="3"/>
  <c r="J26" i="3"/>
  <c r="AG12" i="3"/>
  <c r="AD36" i="3"/>
  <c r="P9" i="3"/>
  <c r="Y7" i="3"/>
  <c r="L62" i="3"/>
  <c r="AP24" i="3"/>
  <c r="H6" i="3"/>
  <c r="Y61" i="3"/>
  <c r="J60" i="3"/>
  <c r="AQ32" i="3"/>
  <c r="T15" i="3"/>
  <c r="AH86" i="3"/>
  <c r="AE28" i="3"/>
  <c r="AA34" i="3"/>
  <c r="I90" i="3"/>
  <c r="X10" i="3"/>
  <c r="H25" i="3"/>
  <c r="O54" i="3"/>
  <c r="R62" i="3"/>
  <c r="R80" i="3"/>
  <c r="W90" i="3"/>
  <c r="M61" i="3"/>
  <c r="K70" i="3"/>
  <c r="Q35" i="3"/>
  <c r="X69" i="3"/>
  <c r="AA86" i="3"/>
  <c r="AO64" i="3"/>
  <c r="V24" i="3"/>
  <c r="AN6" i="3"/>
  <c r="I19" i="3"/>
  <c r="J34" i="3"/>
  <c r="W38" i="3"/>
  <c r="AB54" i="3"/>
  <c r="AC5" i="3"/>
  <c r="AD27" i="3"/>
  <c r="W19" i="3"/>
  <c r="AJ54" i="3"/>
  <c r="U41" i="3"/>
  <c r="L68" i="3"/>
  <c r="T56" i="3"/>
  <c r="AN9" i="3"/>
  <c r="AE63" i="3"/>
  <c r="AE87" i="3"/>
  <c r="P20" i="3"/>
  <c r="N93" i="3"/>
  <c r="M60" i="3"/>
  <c r="T63" i="3"/>
  <c r="M39" i="3"/>
  <c r="X49" i="3"/>
  <c r="T75" i="3"/>
  <c r="AC11" i="3"/>
  <c r="R76" i="3"/>
  <c r="M80" i="3"/>
  <c r="AC66" i="3"/>
  <c r="AG76" i="3"/>
  <c r="J81" i="3"/>
  <c r="S60" i="3"/>
  <c r="AK68" i="3"/>
  <c r="AQ60" i="3"/>
  <c r="V27" i="3"/>
  <c r="AN8" i="3"/>
  <c r="U14" i="3"/>
  <c r="W72" i="3"/>
  <c r="O15" i="3"/>
  <c r="AJ91" i="3"/>
  <c r="AM27" i="3"/>
  <c r="N15" i="3"/>
  <c r="AQ31" i="3"/>
  <c r="AB68" i="3"/>
  <c r="V81" i="3"/>
  <c r="AP8" i="3"/>
  <c r="AG85" i="3"/>
  <c r="J21" i="3"/>
  <c r="V72" i="3"/>
  <c r="AM20" i="3"/>
  <c r="J12" i="3"/>
  <c r="N41" i="3"/>
  <c r="AG66" i="3"/>
  <c r="O11" i="3"/>
  <c r="AE20" i="3"/>
  <c r="AP60" i="3"/>
  <c r="AM48" i="3"/>
  <c r="W85" i="3"/>
  <c r="X88" i="3"/>
  <c r="N66" i="3"/>
  <c r="Z63" i="3"/>
  <c r="AM74" i="3"/>
  <c r="G39" i="3"/>
  <c r="V54" i="3"/>
  <c r="P54" i="3"/>
  <c r="AJ86" i="3"/>
  <c r="P42" i="3"/>
  <c r="T68" i="3"/>
  <c r="AI69" i="3"/>
  <c r="J49" i="3"/>
  <c r="AA67" i="3"/>
  <c r="S81" i="3"/>
  <c r="AQ50" i="3"/>
  <c r="AK66" i="3"/>
  <c r="O47" i="3"/>
  <c r="AO19" i="3"/>
  <c r="AH47" i="3"/>
  <c r="AG56" i="3"/>
  <c r="AB70" i="3"/>
  <c r="V13" i="3"/>
  <c r="AB38" i="3"/>
  <c r="L49" i="3"/>
  <c r="AM91" i="3"/>
  <c r="T31" i="3"/>
  <c r="AM60" i="3"/>
  <c r="AD19" i="3"/>
  <c r="D49" i="3"/>
  <c r="V42" i="3"/>
  <c r="W88" i="3"/>
  <c r="X19" i="3"/>
  <c r="AP40" i="3"/>
  <c r="AE37" i="3"/>
  <c r="V50" i="3"/>
  <c r="M62" i="3"/>
  <c r="AI28" i="3"/>
  <c r="H95" i="3"/>
  <c r="AN54" i="3"/>
  <c r="S92" i="3"/>
  <c r="Z93" i="3"/>
  <c r="N7" i="3"/>
  <c r="AP77" i="3"/>
  <c r="AN81" i="3"/>
  <c r="T77" i="3"/>
  <c r="H80" i="3"/>
  <c r="AJ69" i="3"/>
  <c r="U90" i="3"/>
  <c r="M63" i="3"/>
  <c r="S77" i="3"/>
  <c r="AQ94" i="3"/>
  <c r="AK74" i="3"/>
  <c r="I33" i="3"/>
  <c r="R38" i="3"/>
  <c r="N75" i="3"/>
  <c r="C16" i="3"/>
  <c r="K12" i="3"/>
  <c r="I62" i="3"/>
  <c r="AP34" i="3"/>
  <c r="L7" i="3"/>
  <c r="O31" i="3"/>
  <c r="O21" i="3"/>
  <c r="Y14" i="3"/>
  <c r="AJ18" i="3"/>
  <c r="AB64" i="3"/>
  <c r="AI74" i="3"/>
  <c r="S35" i="3"/>
  <c r="J15" i="3"/>
  <c r="M41" i="3"/>
  <c r="AK21" i="3"/>
  <c r="T41" i="3"/>
  <c r="R63" i="3"/>
  <c r="M36" i="3"/>
  <c r="AQ9" i="3"/>
  <c r="G36" i="3"/>
  <c r="N69" i="3"/>
  <c r="Z85" i="3"/>
  <c r="X64" i="3"/>
  <c r="W23" i="3"/>
  <c r="P95" i="3"/>
  <c r="V80" i="3"/>
  <c r="J58" i="3"/>
  <c r="H74" i="3"/>
  <c r="Y64" i="3"/>
  <c r="V85" i="3"/>
  <c r="V76" i="3"/>
  <c r="AG57" i="3"/>
  <c r="AI91" i="3"/>
  <c r="AE90" i="3"/>
  <c r="U70" i="3"/>
  <c r="M97" i="3"/>
  <c r="AO58" i="3"/>
  <c r="AK65" i="3"/>
  <c r="V23" i="3"/>
  <c r="V8" i="3"/>
  <c r="AA16" i="3"/>
  <c r="AN34" i="3"/>
  <c r="K38" i="3"/>
  <c r="T7" i="3"/>
  <c r="Q27" i="3"/>
  <c r="R29" i="3"/>
  <c r="K76" i="3"/>
  <c r="N86" i="3"/>
  <c r="Y57" i="3"/>
  <c r="I34" i="3"/>
  <c r="X73" i="3"/>
  <c r="U15" i="3"/>
  <c r="AI71" i="3"/>
  <c r="P96" i="3"/>
  <c r="AN38" i="3"/>
  <c r="H66" i="3"/>
  <c r="R50" i="3"/>
  <c r="Q83" i="3"/>
  <c r="X42" i="3"/>
  <c r="AH87" i="3"/>
  <c r="V17" i="3"/>
  <c r="R91" i="3"/>
  <c r="AO70" i="3"/>
  <c r="Q80" i="3"/>
  <c r="AG17" i="3"/>
  <c r="Y42" i="3"/>
  <c r="AQ48" i="3"/>
  <c r="V93" i="3"/>
  <c r="P50" i="3"/>
  <c r="AQ97" i="3"/>
  <c r="N87" i="3"/>
  <c r="AG9" i="3"/>
  <c r="AG61" i="3"/>
  <c r="AI54" i="3"/>
  <c r="AE57" i="3"/>
  <c r="U91" i="3"/>
  <c r="M67" i="3"/>
  <c r="S89" i="3"/>
  <c r="AQ65" i="3"/>
  <c r="AK86" i="3"/>
  <c r="AL5" i="3"/>
  <c r="U38" i="3"/>
  <c r="AO37" i="3"/>
  <c r="Q24" i="3"/>
  <c r="AI6" i="3"/>
  <c r="O35" i="3"/>
  <c r="AQ26" i="3"/>
  <c r="AH35" i="3"/>
  <c r="AM80" i="3"/>
  <c r="Y10" i="3"/>
  <c r="AE24" i="3"/>
  <c r="O40" i="3"/>
  <c r="AL40" i="3"/>
  <c r="AL16" i="3"/>
  <c r="S14" i="3"/>
  <c r="K66" i="3"/>
  <c r="P61" i="3"/>
  <c r="L83" i="3"/>
  <c r="X61" i="3"/>
  <c r="I91" i="3"/>
  <c r="AG81" i="3"/>
  <c r="AN57" i="3"/>
  <c r="AJ13" i="3"/>
  <c r="AN90" i="3"/>
  <c r="X72" i="3"/>
  <c r="T54" i="3"/>
  <c r="J61" i="3"/>
  <c r="AB82" i="3"/>
  <c r="V83" i="3"/>
  <c r="AH11" i="3"/>
  <c r="L11" i="3"/>
  <c r="V10" i="3"/>
  <c r="AI37" i="3"/>
  <c r="O22" i="3"/>
  <c r="K72" i="3"/>
  <c r="Q97" i="3"/>
  <c r="X83" i="3"/>
  <c r="U61" i="3"/>
  <c r="M65" i="3"/>
  <c r="R55" i="3"/>
  <c r="AO60" i="3"/>
  <c r="AQ93" i="3"/>
  <c r="O94" i="3"/>
  <c r="H62" i="3"/>
  <c r="H86" i="3"/>
  <c r="H70" i="3"/>
  <c r="H90" i="3"/>
  <c r="H72" i="3"/>
  <c r="H93" i="3"/>
  <c r="L97" i="3"/>
  <c r="L82" i="3"/>
  <c r="L60" i="3"/>
  <c r="L85" i="3"/>
  <c r="AG92" i="3"/>
  <c r="AG67" i="3"/>
  <c r="AG97" i="3"/>
  <c r="AG90" i="3"/>
  <c r="AG54" i="3"/>
  <c r="AG96" i="3"/>
  <c r="AG68" i="3"/>
  <c r="AG94" i="3"/>
  <c r="AG58" i="3"/>
  <c r="AG62" i="3"/>
  <c r="X50" i="3"/>
  <c r="X70" i="3"/>
  <c r="X96" i="3"/>
  <c r="X71" i="3"/>
  <c r="X78" i="3"/>
  <c r="X47" i="3"/>
  <c r="X65" i="3"/>
  <c r="X76" i="3"/>
  <c r="K94" i="3"/>
  <c r="K88" i="3"/>
  <c r="K82" i="3"/>
  <c r="K49" i="3"/>
  <c r="K54" i="3"/>
  <c r="K75" i="3"/>
  <c r="K65" i="3"/>
  <c r="K84" i="3"/>
  <c r="K77" i="3"/>
  <c r="K67" i="3"/>
  <c r="K63" i="3"/>
  <c r="K62" i="3"/>
  <c r="K69" i="3"/>
  <c r="K59" i="3"/>
  <c r="R70" i="3"/>
  <c r="R85" i="3"/>
  <c r="R84" i="3"/>
  <c r="R66" i="3"/>
  <c r="R54" i="3"/>
  <c r="R81" i="3"/>
  <c r="R93" i="3"/>
  <c r="R97" i="3"/>
  <c r="R88" i="3"/>
  <c r="R95" i="3"/>
  <c r="R64" i="3"/>
  <c r="P82" i="3"/>
  <c r="P59" i="3"/>
  <c r="P73" i="3"/>
  <c r="P83" i="3"/>
  <c r="P88" i="3"/>
  <c r="P90" i="3"/>
  <c r="P48" i="3"/>
  <c r="P64" i="3"/>
  <c r="AQ75" i="3"/>
  <c r="AQ95" i="3"/>
  <c r="AQ92" i="3"/>
  <c r="AQ63" i="3"/>
  <c r="AQ69" i="3"/>
  <c r="AQ80" i="3"/>
  <c r="AQ89" i="3"/>
  <c r="AQ62" i="3"/>
  <c r="AQ86" i="3"/>
  <c r="AQ82" i="3"/>
  <c r="AQ91" i="3"/>
  <c r="AQ49" i="3"/>
  <c r="Y96" i="3"/>
  <c r="Y58" i="3"/>
  <c r="Y69" i="3"/>
  <c r="Y48" i="3"/>
  <c r="Y60" i="3"/>
  <c r="Y83" i="3"/>
  <c r="Y91" i="3"/>
  <c r="Y63" i="3"/>
  <c r="Y49" i="3"/>
  <c r="Y74" i="3"/>
  <c r="Y79" i="3"/>
  <c r="Y73" i="3"/>
  <c r="Y82" i="3"/>
  <c r="Y92" i="3"/>
  <c r="Y80" i="3"/>
  <c r="Y86" i="3"/>
  <c r="Y84" i="3"/>
  <c r="Y56" i="3"/>
  <c r="Y94" i="3"/>
  <c r="Y93" i="3"/>
  <c r="Y54" i="3"/>
  <c r="Y66" i="3"/>
  <c r="Y75" i="3"/>
  <c r="AH89" i="3"/>
  <c r="AH85" i="3"/>
  <c r="AH66" i="3"/>
  <c r="AH80" i="3"/>
  <c r="AH81" i="3"/>
  <c r="AH93" i="3"/>
  <c r="AH88" i="3"/>
  <c r="AH62" i="3"/>
  <c r="AH97" i="3"/>
  <c r="AH75" i="3"/>
  <c r="AH64" i="3"/>
  <c r="AH63" i="3"/>
  <c r="AH56" i="3"/>
  <c r="AH57" i="3"/>
  <c r="AH60" i="3"/>
  <c r="AH92" i="3"/>
  <c r="AH83" i="3"/>
  <c r="AH72" i="3"/>
  <c r="AH84" i="3"/>
  <c r="AH59" i="3"/>
  <c r="AH94" i="3"/>
  <c r="AH68" i="3"/>
  <c r="AH82" i="3"/>
  <c r="AO56" i="3"/>
  <c r="AO87" i="3"/>
  <c r="AO68" i="3"/>
  <c r="AO66" i="3"/>
  <c r="AO96" i="3"/>
  <c r="AO90" i="3"/>
  <c r="AO88" i="3"/>
  <c r="AO59" i="3"/>
  <c r="AO95" i="3"/>
  <c r="AO78" i="3"/>
  <c r="AO91" i="3"/>
  <c r="AO62" i="3"/>
  <c r="AO74" i="3"/>
  <c r="AO73" i="3"/>
  <c r="AO67" i="3"/>
  <c r="AO75" i="3"/>
  <c r="AO65" i="3"/>
  <c r="AO84" i="3"/>
  <c r="AO77" i="3"/>
  <c r="AO80" i="3"/>
  <c r="S65" i="3"/>
  <c r="S47" i="3"/>
  <c r="S48" i="3"/>
  <c r="S88" i="3"/>
  <c r="S84" i="3"/>
  <c r="S62" i="3"/>
  <c r="S85" i="3"/>
  <c r="S78" i="3"/>
  <c r="S76" i="3"/>
  <c r="S72" i="3"/>
  <c r="S59" i="3"/>
  <c r="S63" i="3"/>
  <c r="S87" i="3"/>
  <c r="S58" i="3"/>
  <c r="S86" i="3"/>
  <c r="S55" i="3"/>
  <c r="S97" i="3"/>
  <c r="S95" i="3"/>
  <c r="S57" i="3"/>
  <c r="S49" i="3"/>
  <c r="S50" i="3"/>
  <c r="S61" i="3"/>
  <c r="S75" i="3"/>
  <c r="S73" i="3"/>
  <c r="S69" i="3"/>
  <c r="S94" i="3"/>
  <c r="S67" i="3"/>
  <c r="S54" i="3"/>
  <c r="S96" i="3"/>
  <c r="S79" i="3"/>
  <c r="S93" i="3"/>
  <c r="AM82" i="3"/>
  <c r="AM76" i="3"/>
  <c r="AM56" i="3"/>
  <c r="AM78" i="3"/>
  <c r="AM93" i="3"/>
  <c r="AM96" i="3"/>
  <c r="AM54" i="3"/>
  <c r="AM97" i="3"/>
  <c r="AM59" i="3"/>
  <c r="AM70" i="3"/>
  <c r="AM71" i="3"/>
  <c r="AM62" i="3"/>
  <c r="AM86" i="3"/>
  <c r="AM67" i="3"/>
  <c r="AM55" i="3"/>
  <c r="AM94" i="3"/>
  <c r="AM49" i="3"/>
  <c r="AM84" i="3"/>
  <c r="AM69" i="3"/>
  <c r="AM89" i="3"/>
  <c r="AM68" i="3"/>
  <c r="AM58" i="3"/>
  <c r="AM95" i="3"/>
  <c r="AM83" i="3"/>
  <c r="AM81" i="3"/>
  <c r="AM92" i="3"/>
  <c r="AM90" i="3"/>
  <c r="AM77" i="3"/>
  <c r="N49" i="3"/>
  <c r="N76" i="3"/>
  <c r="N77" i="3"/>
  <c r="N95" i="3"/>
  <c r="N74" i="3"/>
  <c r="N82" i="3"/>
  <c r="N63" i="3"/>
  <c r="N92" i="3"/>
  <c r="N80" i="3"/>
  <c r="N54" i="3"/>
  <c r="N60" i="3"/>
  <c r="N64" i="3"/>
  <c r="N78" i="3"/>
  <c r="N85" i="3"/>
  <c r="N91" i="3"/>
  <c r="N62" i="3"/>
  <c r="N48" i="3"/>
  <c r="N96" i="3"/>
  <c r="N65" i="3"/>
  <c r="N71" i="3"/>
  <c r="N94" i="3"/>
  <c r="N81" i="3"/>
  <c r="N84" i="3"/>
  <c r="N73" i="3"/>
  <c r="N56" i="3"/>
  <c r="N58" i="3"/>
  <c r="N57" i="3"/>
  <c r="N67" i="3"/>
  <c r="N70" i="3"/>
  <c r="T87" i="3"/>
  <c r="T55" i="3"/>
  <c r="T94" i="3"/>
  <c r="T76" i="3"/>
  <c r="T57" i="3"/>
  <c r="T88" i="3"/>
  <c r="T70" i="3"/>
  <c r="T47" i="3"/>
  <c r="T72" i="3"/>
  <c r="T48" i="3"/>
  <c r="T58" i="3"/>
  <c r="T61" i="3"/>
  <c r="T60" i="3"/>
  <c r="T92" i="3"/>
  <c r="T71" i="3"/>
  <c r="T62" i="3"/>
  <c r="T66" i="3"/>
  <c r="T67" i="3"/>
  <c r="T83" i="3"/>
  <c r="T49" i="3"/>
  <c r="T79" i="3"/>
  <c r="T69" i="3"/>
  <c r="T73" i="3"/>
  <c r="T82" i="3"/>
  <c r="T59" i="3"/>
  <c r="T64" i="3"/>
  <c r="T95" i="3"/>
  <c r="T50" i="3"/>
  <c r="AI50" i="3"/>
  <c r="AI80" i="3"/>
  <c r="AI79" i="3"/>
  <c r="AI76" i="3"/>
  <c r="AI67" i="3"/>
  <c r="AI82" i="3"/>
  <c r="AI93" i="3"/>
  <c r="AI48" i="3"/>
  <c r="AI81" i="3"/>
  <c r="AI88" i="3"/>
  <c r="AI86" i="3"/>
  <c r="AI65" i="3"/>
  <c r="AI61" i="3"/>
  <c r="AI92" i="3"/>
  <c r="AI89" i="3"/>
  <c r="AI87" i="3"/>
  <c r="AI83" i="3"/>
  <c r="AI55" i="3"/>
  <c r="AI84" i="3"/>
  <c r="AI64" i="3"/>
  <c r="AI62" i="3"/>
  <c r="AI72" i="3"/>
  <c r="AI63" i="3"/>
  <c r="AI66" i="3"/>
  <c r="AI56" i="3"/>
  <c r="AI77" i="3"/>
  <c r="AI95" i="3"/>
  <c r="AI73" i="3"/>
  <c r="AI60" i="3"/>
  <c r="AI94" i="3"/>
  <c r="AI97" i="3"/>
  <c r="AI85" i="3"/>
  <c r="AI58" i="3"/>
  <c r="AI49" i="3"/>
  <c r="V70" i="3"/>
  <c r="V91" i="3"/>
  <c r="V58" i="3"/>
  <c r="V61" i="3"/>
  <c r="V78" i="3"/>
  <c r="V66" i="3"/>
  <c r="V79" i="3"/>
  <c r="V71" i="3"/>
  <c r="V87" i="3"/>
  <c r="V68" i="3"/>
  <c r="V47" i="3"/>
  <c r="V75" i="3"/>
  <c r="V88" i="3"/>
  <c r="V57" i="3"/>
  <c r="V90" i="3"/>
  <c r="V63" i="3"/>
  <c r="V74" i="3"/>
  <c r="V92" i="3"/>
  <c r="V67" i="3"/>
  <c r="V89" i="3"/>
  <c r="V69" i="3"/>
  <c r="V55" i="3"/>
  <c r="V60" i="3"/>
  <c r="V48" i="3"/>
  <c r="V65" i="3"/>
  <c r="V82" i="3"/>
  <c r="V59" i="3"/>
  <c r="V62" i="3"/>
  <c r="V86" i="3"/>
  <c r="V77" i="3"/>
  <c r="V64" i="3"/>
  <c r="AA70" i="3"/>
  <c r="AA76" i="3"/>
  <c r="AA94" i="3"/>
  <c r="AA79" i="3"/>
  <c r="AA77" i="3"/>
  <c r="AA59" i="3"/>
  <c r="AA73" i="3"/>
  <c r="AA57" i="3"/>
  <c r="AA48" i="3"/>
  <c r="AA90" i="3"/>
  <c r="AA75" i="3"/>
  <c r="AA87" i="3"/>
  <c r="AA63" i="3"/>
  <c r="AA54" i="3"/>
  <c r="AA82" i="3"/>
  <c r="AA71" i="3"/>
  <c r="AA95" i="3"/>
  <c r="AA72" i="3"/>
  <c r="AA85" i="3"/>
  <c r="AA93" i="3"/>
  <c r="AA68" i="3"/>
  <c r="AA62" i="3"/>
  <c r="AA55" i="3"/>
  <c r="AA80" i="3"/>
  <c r="AA69" i="3"/>
  <c r="AA50" i="3"/>
  <c r="AA91" i="3"/>
  <c r="AA74" i="3"/>
  <c r="AA49" i="3"/>
  <c r="AA47" i="3"/>
  <c r="AA56" i="3"/>
  <c r="AA81" i="3"/>
  <c r="AA60" i="3"/>
  <c r="AA83" i="3"/>
  <c r="AA65" i="3"/>
  <c r="AA96" i="3"/>
  <c r="AA89" i="3"/>
  <c r="Z73" i="3"/>
  <c r="Z60" i="3"/>
  <c r="Z57" i="3"/>
  <c r="Z68" i="3"/>
  <c r="Z97" i="3"/>
  <c r="Z70" i="3"/>
  <c r="Z62" i="3"/>
  <c r="Z78" i="3"/>
  <c r="Z54" i="3"/>
  <c r="Z49" i="3"/>
  <c r="Z83" i="3"/>
  <c r="Z96" i="3"/>
  <c r="Z48" i="3"/>
  <c r="Z80" i="3"/>
  <c r="Z72" i="3"/>
  <c r="Z47" i="3"/>
  <c r="Z79" i="3"/>
  <c r="Z88" i="3"/>
  <c r="Z71" i="3"/>
  <c r="Z55" i="3"/>
  <c r="Z64" i="3"/>
  <c r="Z56" i="3"/>
  <c r="Z58" i="3"/>
  <c r="Z91" i="3"/>
  <c r="Z82" i="3"/>
  <c r="Z75" i="3"/>
  <c r="Z84" i="3"/>
  <c r="Z76" i="3"/>
  <c r="Z65" i="3"/>
  <c r="Z94" i="3"/>
  <c r="Z77" i="3"/>
  <c r="Z92" i="3"/>
  <c r="Z74" i="3"/>
  <c r="Z59" i="3"/>
  <c r="Z50" i="3"/>
  <c r="Z86" i="3"/>
  <c r="Z66" i="3"/>
  <c r="AE78" i="3"/>
  <c r="AE62" i="3"/>
  <c r="AE96" i="3"/>
  <c r="AE93" i="3"/>
  <c r="AE97" i="3"/>
  <c r="AE88" i="3"/>
  <c r="AE84" i="3"/>
  <c r="AE68" i="3"/>
  <c r="AE50" i="3"/>
  <c r="AE58" i="3"/>
  <c r="AE61" i="3"/>
  <c r="AE72" i="3"/>
  <c r="AE76" i="3"/>
  <c r="AE75" i="3"/>
  <c r="AE73" i="3"/>
  <c r="AE85" i="3"/>
  <c r="AE56" i="3"/>
  <c r="AE91" i="3"/>
  <c r="AE65" i="3"/>
  <c r="AE79" i="3"/>
  <c r="AE74" i="3"/>
  <c r="AE54" i="3"/>
  <c r="AE83" i="3"/>
  <c r="AE67" i="3"/>
  <c r="AE59" i="3"/>
  <c r="AE55" i="3"/>
  <c r="AE66" i="3"/>
  <c r="AE77" i="3"/>
  <c r="AE47" i="3"/>
  <c r="AE95" i="3"/>
  <c r="AE92" i="3"/>
  <c r="AE80" i="3"/>
  <c r="AE86" i="3"/>
  <c r="AE81" i="3"/>
  <c r="AE49" i="3"/>
  <c r="AE60" i="3"/>
  <c r="AE71" i="3"/>
  <c r="AE64" i="3"/>
  <c r="AE48" i="3"/>
  <c r="AE70" i="3"/>
  <c r="O69" i="3"/>
  <c r="O75" i="3"/>
  <c r="O72" i="3"/>
  <c r="O74" i="3"/>
  <c r="O97" i="3"/>
  <c r="O48" i="3"/>
  <c r="O61" i="3"/>
  <c r="O50" i="3"/>
  <c r="O77" i="3"/>
  <c r="O59" i="3"/>
  <c r="O56" i="3"/>
  <c r="O49" i="3"/>
  <c r="O65" i="3"/>
  <c r="O96" i="3"/>
  <c r="O81" i="3"/>
  <c r="O66" i="3"/>
  <c r="O62" i="3"/>
  <c r="O89" i="3"/>
  <c r="O88" i="3"/>
  <c r="O78" i="3"/>
  <c r="O84" i="3"/>
  <c r="O91" i="3"/>
  <c r="O73" i="3"/>
  <c r="O83" i="3"/>
  <c r="O95" i="3"/>
  <c r="O85" i="3"/>
  <c r="O63" i="3"/>
  <c r="O64" i="3"/>
  <c r="O57" i="3"/>
  <c r="O93" i="3"/>
  <c r="O82" i="3"/>
  <c r="O67" i="3"/>
  <c r="O80" i="3"/>
  <c r="O68" i="3"/>
  <c r="O79" i="3"/>
  <c r="O90" i="3"/>
  <c r="O71" i="3"/>
  <c r="O86" i="3"/>
  <c r="O92" i="3"/>
  <c r="O70" i="3"/>
  <c r="Q78" i="3"/>
  <c r="Q57" i="3"/>
  <c r="Q60" i="3"/>
  <c r="Q50" i="3"/>
  <c r="Q85" i="3"/>
  <c r="Q64" i="3"/>
  <c r="Q94" i="3"/>
  <c r="Q79" i="3"/>
  <c r="Q95" i="3"/>
  <c r="Q73" i="3"/>
  <c r="Q71" i="3"/>
  <c r="Q59" i="3"/>
  <c r="Q62" i="3"/>
  <c r="Q66" i="3"/>
  <c r="Q68" i="3"/>
  <c r="Q61" i="3"/>
  <c r="Q47" i="3"/>
  <c r="Q69" i="3"/>
  <c r="Q90" i="3"/>
  <c r="Q74" i="3"/>
  <c r="Q75" i="3"/>
  <c r="Q49" i="3"/>
  <c r="Q87" i="3"/>
  <c r="Q82" i="3"/>
  <c r="Q63" i="3"/>
  <c r="Q91" i="3"/>
  <c r="Q56" i="3"/>
  <c r="Q88" i="3"/>
  <c r="Q93" i="3"/>
  <c r="Q58" i="3"/>
  <c r="Q86" i="3"/>
  <c r="Q77" i="3"/>
  <c r="Q48" i="3"/>
  <c r="Q81" i="3"/>
  <c r="Q55" i="3"/>
  <c r="Q54" i="3"/>
  <c r="Q67" i="3"/>
  <c r="Q70" i="3"/>
  <c r="Q72" i="3"/>
  <c r="Q92" i="3"/>
  <c r="Q89" i="3"/>
  <c r="Q76" i="3"/>
  <c r="Q84" i="3"/>
  <c r="U56" i="3"/>
  <c r="U97" i="3"/>
  <c r="U72" i="3"/>
  <c r="U69" i="3"/>
  <c r="U49" i="3"/>
  <c r="U80" i="3"/>
  <c r="U88" i="3"/>
  <c r="U84" i="3"/>
  <c r="U82" i="3"/>
  <c r="U75" i="3"/>
  <c r="U83" i="3"/>
  <c r="U95" i="3"/>
  <c r="U74" i="3"/>
  <c r="U63" i="3"/>
  <c r="U54" i="3"/>
  <c r="U62" i="3"/>
  <c r="U60" i="3"/>
  <c r="U78" i="3"/>
  <c r="U55" i="3"/>
  <c r="U66" i="3"/>
  <c r="U87" i="3"/>
  <c r="U76" i="3"/>
  <c r="U81" i="3"/>
  <c r="U65" i="3"/>
  <c r="U59" i="3"/>
  <c r="U92" i="3"/>
  <c r="U48" i="3"/>
  <c r="U86" i="3"/>
  <c r="U68" i="3"/>
  <c r="U85" i="3"/>
  <c r="U58" i="3"/>
  <c r="U94" i="3"/>
  <c r="U79" i="3"/>
  <c r="U93" i="3"/>
  <c r="U73" i="3"/>
  <c r="U57" i="3"/>
  <c r="U77" i="3"/>
  <c r="U50" i="3"/>
  <c r="U71" i="3"/>
  <c r="U67" i="3"/>
  <c r="U47" i="3"/>
  <c r="U89" i="3"/>
  <c r="U96" i="3"/>
  <c r="U64" i="3"/>
  <c r="AK64" i="3"/>
  <c r="AK55" i="3"/>
  <c r="AK82" i="3"/>
  <c r="AK83" i="3"/>
  <c r="AK91" i="3"/>
  <c r="AK79" i="3"/>
  <c r="AK67" i="3"/>
  <c r="AK89" i="3"/>
  <c r="AK84" i="3"/>
  <c r="AK54" i="3"/>
  <c r="AK49" i="3"/>
  <c r="AK90" i="3"/>
  <c r="AK70" i="3"/>
  <c r="AK56" i="3"/>
  <c r="AK61" i="3"/>
  <c r="AK72" i="3"/>
  <c r="AK71" i="3"/>
  <c r="AK97" i="3"/>
  <c r="AK75" i="3"/>
  <c r="AK81" i="3"/>
  <c r="AK50" i="3"/>
  <c r="AK93" i="3"/>
  <c r="AK48" i="3"/>
  <c r="AK78" i="3"/>
  <c r="AK85" i="3"/>
  <c r="AK92" i="3"/>
  <c r="AK77" i="3"/>
  <c r="AK58" i="3"/>
  <c r="AK60" i="3"/>
  <c r="AK63" i="3"/>
  <c r="AK80" i="3"/>
  <c r="AK94" i="3"/>
  <c r="AK95" i="3"/>
  <c r="AK62" i="3"/>
  <c r="AK87" i="3"/>
  <c r="AK59" i="3"/>
  <c r="AK76" i="3"/>
  <c r="AK69" i="3"/>
  <c r="AK57" i="3"/>
  <c r="AK96" i="3"/>
  <c r="AK73" i="3"/>
  <c r="AK47" i="3"/>
  <c r="AK88" i="3"/>
  <c r="AC97" i="3"/>
  <c r="AC70" i="3"/>
  <c r="AC60" i="3"/>
  <c r="AC78" i="3"/>
  <c r="AC88" i="3"/>
  <c r="AC91" i="3"/>
  <c r="AC77" i="3"/>
  <c r="AC79" i="3"/>
  <c r="AC86" i="3"/>
  <c r="AC90" i="3"/>
  <c r="AC74" i="3"/>
  <c r="AC81" i="3"/>
  <c r="AC71" i="3"/>
  <c r="AC55" i="3"/>
  <c r="AC92" i="3"/>
  <c r="AC57" i="3"/>
  <c r="AC62" i="3"/>
  <c r="AC65" i="3"/>
  <c r="AC93" i="3"/>
  <c r="AC73" i="3"/>
  <c r="AC59" i="3"/>
  <c r="AC80" i="3"/>
  <c r="AC64" i="3"/>
  <c r="AC72" i="3"/>
  <c r="AC94" i="3"/>
  <c r="AC84" i="3"/>
  <c r="AC95" i="3"/>
  <c r="AC61" i="3"/>
  <c r="AC75" i="3"/>
  <c r="AC54" i="3"/>
  <c r="AC85" i="3"/>
  <c r="AC82" i="3"/>
  <c r="AC89" i="3"/>
  <c r="AC63" i="3"/>
  <c r="AC50" i="3"/>
  <c r="AC68" i="3"/>
  <c r="AC69" i="3"/>
  <c r="AC87" i="3"/>
  <c r="AC49" i="3"/>
  <c r="AC76" i="3"/>
  <c r="AC48" i="3"/>
  <c r="AC47" i="3"/>
  <c r="AC56" i="3"/>
  <c r="AC96" i="3"/>
  <c r="AC83" i="3"/>
  <c r="AC67" i="3"/>
  <c r="AC58" i="3"/>
  <c r="AL94" i="3"/>
  <c r="AL69" i="3"/>
  <c r="AL87" i="3"/>
  <c r="AL76" i="3"/>
  <c r="AL74" i="3"/>
  <c r="AL91" i="3"/>
  <c r="AL83" i="3"/>
  <c r="AL82" i="3"/>
  <c r="AL64" i="3"/>
  <c r="AL47" i="3"/>
  <c r="AL78" i="3"/>
  <c r="AL77" i="3"/>
  <c r="AL95" i="3"/>
  <c r="AL54" i="3"/>
  <c r="AL70" i="3"/>
  <c r="AL57" i="3"/>
  <c r="AL63" i="3"/>
  <c r="AL89" i="3"/>
  <c r="AL50" i="3"/>
  <c r="AL72" i="3"/>
  <c r="AL68" i="3"/>
  <c r="AL49" i="3"/>
  <c r="AL86" i="3"/>
  <c r="AL55" i="3"/>
  <c r="AL56" i="3"/>
  <c r="AL96" i="3"/>
  <c r="AL92" i="3"/>
  <c r="AL58" i="3"/>
  <c r="AL75" i="3"/>
  <c r="AL61" i="3"/>
  <c r="AL73" i="3"/>
  <c r="AL66" i="3"/>
  <c r="AL65" i="3"/>
  <c r="AL97" i="3"/>
  <c r="AL81" i="3"/>
  <c r="AL93" i="3"/>
  <c r="AL88" i="3"/>
  <c r="AL79" i="3"/>
  <c r="AL67" i="3"/>
  <c r="AL84" i="3"/>
  <c r="AL59" i="3"/>
  <c r="AL71" i="3"/>
  <c r="AL80" i="3"/>
  <c r="AL48" i="3"/>
  <c r="AL85" i="3"/>
  <c r="AL60" i="3"/>
  <c r="AL90" i="3"/>
  <c r="AL62" i="3"/>
  <c r="CJ72" i="1" l="1"/>
  <c r="CU47" i="1"/>
  <c r="CV47" i="1" s="1"/>
  <c r="CJ86" i="1"/>
  <c r="CA254" i="1"/>
  <c r="CA68" i="1"/>
  <c r="CE63" i="1"/>
  <c r="CA62" i="1"/>
  <c r="CA265" i="1" s="1"/>
  <c r="BL254" i="1"/>
  <c r="BL68" i="1"/>
  <c r="BL62" i="1"/>
  <c r="BL265" i="1" s="1"/>
  <c r="AL68" i="1"/>
  <c r="AL64" i="1"/>
  <c r="AL254" i="1"/>
  <c r="AL62" i="1"/>
  <c r="AL265" i="1" s="1"/>
  <c r="CD64" i="1"/>
  <c r="CD62" i="1"/>
  <c r="CD265" i="1" s="1"/>
  <c r="CD254" i="1"/>
  <c r="CE64" i="1"/>
  <c r="CD68" i="1"/>
  <c r="CF247" i="1"/>
  <c r="CY17" i="1"/>
  <c r="CY28" i="1" s="1"/>
  <c r="CU28" i="1"/>
  <c r="BY60" i="1"/>
  <c r="BY61" i="1"/>
  <c r="CN204" i="1"/>
  <c r="CM205" i="1"/>
  <c r="CM206" i="1" s="1"/>
  <c r="CL62" i="1"/>
  <c r="CL68" i="1"/>
  <c r="CL139" i="1" s="1"/>
  <c r="CL140" i="1" s="1"/>
  <c r="CL149" i="1" s="1"/>
  <c r="CL64" i="1"/>
  <c r="CL63" i="1"/>
  <c r="CH62" i="1"/>
  <c r="CH265" i="1" s="1"/>
  <c r="CH254" i="1"/>
  <c r="CH68" i="1"/>
  <c r="CI64" i="1"/>
  <c r="CH63" i="1"/>
  <c r="CJ64" i="1"/>
  <c r="CI254" i="1"/>
  <c r="CI62" i="1"/>
  <c r="CI265" i="1" s="1"/>
  <c r="CI63" i="1"/>
  <c r="CI68" i="1"/>
  <c r="CB60" i="1"/>
  <c r="CB61" i="1"/>
  <c r="CG60" i="1"/>
  <c r="CG61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I158" i="1"/>
  <c r="I185" i="1" s="1"/>
  <c r="G74" i="1"/>
  <c r="N195" i="1"/>
  <c r="F53" i="1"/>
  <c r="F158" i="1"/>
  <c r="F264" i="1" s="1"/>
  <c r="BS144" i="1"/>
  <c r="BT144" i="1" s="1"/>
  <c r="BS146" i="1"/>
  <c r="BT146" i="1" s="1"/>
  <c r="BS183" i="1"/>
  <c r="BT183" i="1" s="1"/>
  <c r="BS142" i="1"/>
  <c r="BT142" i="1" s="1"/>
  <c r="BS155" i="1"/>
  <c r="BT155" i="1" s="1"/>
  <c r="BS137" i="1"/>
  <c r="BT137" i="1" s="1"/>
  <c r="BS167" i="1"/>
  <c r="BT167" i="1" s="1"/>
  <c r="BS175" i="1"/>
  <c r="BT175" i="1" s="1"/>
  <c r="BS93" i="1"/>
  <c r="BS163" i="1"/>
  <c r="BT163" i="1" s="1"/>
  <c r="BS94" i="1"/>
  <c r="BS153" i="1"/>
  <c r="BS139" i="1"/>
  <c r="BS171" i="1"/>
  <c r="BT171" i="1" s="1"/>
  <c r="BS147" i="1"/>
  <c r="BT147" i="1" s="1"/>
  <c r="BS169" i="1"/>
  <c r="BT169" i="1" s="1"/>
  <c r="BS180" i="1"/>
  <c r="BS145" i="1"/>
  <c r="BT145" i="1" s="1"/>
  <c r="BS166" i="1"/>
  <c r="BT166" i="1" s="1"/>
  <c r="BS138" i="1"/>
  <c r="BT138" i="1" s="1"/>
  <c r="BI162" i="1"/>
  <c r="BJ162" i="1" s="1"/>
  <c r="BI155" i="1"/>
  <c r="BJ155" i="1" s="1"/>
  <c r="BI94" i="1"/>
  <c r="BI146" i="1"/>
  <c r="BJ146" i="1" s="1"/>
  <c r="BI153" i="1"/>
  <c r="BI179" i="1"/>
  <c r="BI169" i="1"/>
  <c r="BJ169" i="1" s="1"/>
  <c r="BI145" i="1"/>
  <c r="BJ145" i="1" s="1"/>
  <c r="BI144" i="1"/>
  <c r="BI167" i="1"/>
  <c r="BJ167" i="1" s="1"/>
  <c r="BI175" i="1"/>
  <c r="BJ175" i="1" s="1"/>
  <c r="BI142" i="1"/>
  <c r="BJ142" i="1" s="1"/>
  <c r="BI180" i="1"/>
  <c r="BI164" i="1"/>
  <c r="BI172" i="1"/>
  <c r="BJ172" i="1" s="1"/>
  <c r="BI138" i="1"/>
  <c r="BJ138" i="1" s="1"/>
  <c r="BI173" i="1"/>
  <c r="BI174" i="1"/>
  <c r="BJ174" i="1" s="1"/>
  <c r="BI183" i="1"/>
  <c r="BJ183" i="1" s="1"/>
  <c r="BI139" i="1"/>
  <c r="BI171" i="1"/>
  <c r="BJ171" i="1" s="1"/>
  <c r="BI170" i="1"/>
  <c r="BJ170" i="1" s="1"/>
  <c r="BI165" i="1"/>
  <c r="AW170" i="1"/>
  <c r="AX170" i="1" s="1"/>
  <c r="AW142" i="1"/>
  <c r="AX142" i="1" s="1"/>
  <c r="AW155" i="1"/>
  <c r="AX155" i="1" s="1"/>
  <c r="AW157" i="1"/>
  <c r="AX157" i="1" s="1"/>
  <c r="AW144" i="1"/>
  <c r="AX144" i="1" s="1"/>
  <c r="AW180" i="1"/>
  <c r="AW138" i="1"/>
  <c r="AX138" i="1" s="1"/>
  <c r="AV94" i="1"/>
  <c r="BN93" i="1"/>
  <c r="AS147" i="1"/>
  <c r="AT147" i="1" s="1"/>
  <c r="AS175" i="1"/>
  <c r="AT175" i="1" s="1"/>
  <c r="AS139" i="1"/>
  <c r="AS171" i="1"/>
  <c r="AT171" i="1" s="1"/>
  <c r="AS93" i="1"/>
  <c r="AS138" i="1"/>
  <c r="AT138" i="1" s="1"/>
  <c r="AS163" i="1"/>
  <c r="AT163" i="1" s="1"/>
  <c r="AS184" i="1"/>
  <c r="AT184" i="1" s="1"/>
  <c r="AS162" i="1"/>
  <c r="AT162" i="1" s="1"/>
  <c r="AS180" i="1"/>
  <c r="AS153" i="1"/>
  <c r="AS157" i="1"/>
  <c r="AT157" i="1" s="1"/>
  <c r="AS169" i="1"/>
  <c r="AT169" i="1" s="1"/>
  <c r="AS151" i="1"/>
  <c r="BK167" i="1"/>
  <c r="BL167" i="1" s="1"/>
  <c r="BK166" i="1"/>
  <c r="BL166" i="1" s="1"/>
  <c r="BK157" i="1"/>
  <c r="BL157" i="1" s="1"/>
  <c r="BK175" i="1"/>
  <c r="BL175" i="1" s="1"/>
  <c r="BK155" i="1"/>
  <c r="BL155" i="1" s="1"/>
  <c r="BK180" i="1"/>
  <c r="BK151" i="1"/>
  <c r="BK137" i="1"/>
  <c r="BL137" i="1" s="1"/>
  <c r="BK179" i="1"/>
  <c r="BK169" i="1"/>
  <c r="BL169" i="1" s="1"/>
  <c r="BK160" i="1"/>
  <c r="BL160" i="1" s="1"/>
  <c r="BK144" i="1"/>
  <c r="BL144" i="1" s="1"/>
  <c r="BK163" i="1"/>
  <c r="BL163" i="1" s="1"/>
  <c r="BK165" i="1"/>
  <c r="BK147" i="1"/>
  <c r="BL147" i="1" s="1"/>
  <c r="BK172" i="1"/>
  <c r="BL172" i="1" s="1"/>
  <c r="BK153" i="1"/>
  <c r="AU139" i="1"/>
  <c r="AU147" i="1"/>
  <c r="AV147" i="1" s="1"/>
  <c r="AU157" i="1"/>
  <c r="AV157" i="1" s="1"/>
  <c r="AU153" i="1"/>
  <c r="AU162" i="1"/>
  <c r="AV162" i="1" s="1"/>
  <c r="AU93" i="1"/>
  <c r="AU184" i="1"/>
  <c r="AV184" i="1" s="1"/>
  <c r="AU170" i="1"/>
  <c r="AV170" i="1" s="1"/>
  <c r="AU169" i="1"/>
  <c r="AV169" i="1" s="1"/>
  <c r="AU173" i="1"/>
  <c r="AU144" i="1"/>
  <c r="AV144" i="1" s="1"/>
  <c r="AU183" i="1"/>
  <c r="AV183" i="1" s="1"/>
  <c r="AU171" i="1"/>
  <c r="AV171" i="1" s="1"/>
  <c r="AU164" i="1"/>
  <c r="AU166" i="1"/>
  <c r="AV166" i="1" s="1"/>
  <c r="AU137" i="1"/>
  <c r="AV137" i="1" s="1"/>
  <c r="BQ153" i="1"/>
  <c r="BG163" i="1"/>
  <c r="BH163" i="1" s="1"/>
  <c r="BG153" i="1"/>
  <c r="BG167" i="1"/>
  <c r="BH167" i="1" s="1"/>
  <c r="BG160" i="1"/>
  <c r="BH160" i="1" s="1"/>
  <c r="BG180" i="1"/>
  <c r="BG183" i="1"/>
  <c r="BH183" i="1" s="1"/>
  <c r="BE170" i="1"/>
  <c r="BF170" i="1" s="1"/>
  <c r="BE166" i="1"/>
  <c r="BF166" i="1" s="1"/>
  <c r="BE180" i="1"/>
  <c r="BE145" i="1"/>
  <c r="BF145" i="1" s="1"/>
  <c r="BE94" i="1"/>
  <c r="BE137" i="1"/>
  <c r="BF137" i="1" s="1"/>
  <c r="BE179" i="1"/>
  <c r="AR94" i="1"/>
  <c r="AQ145" i="1"/>
  <c r="AR145" i="1" s="1"/>
  <c r="AQ165" i="1"/>
  <c r="AQ172" i="1"/>
  <c r="AR172" i="1" s="1"/>
  <c r="AQ146" i="1"/>
  <c r="AR146" i="1" s="1"/>
  <c r="AQ138" i="1"/>
  <c r="AR138" i="1" s="1"/>
  <c r="AQ174" i="1"/>
  <c r="AR174" i="1" s="1"/>
  <c r="BA184" i="1"/>
  <c r="BB184" i="1" s="1"/>
  <c r="AP94" i="1"/>
  <c r="BW166" i="1"/>
  <c r="BX166" i="1" s="1"/>
  <c r="BW145" i="1"/>
  <c r="BX145" i="1" s="1"/>
  <c r="BW165" i="1"/>
  <c r="BW183" i="1"/>
  <c r="BX183" i="1" s="1"/>
  <c r="AZ94" i="1"/>
  <c r="AY137" i="1"/>
  <c r="AZ137" i="1" s="1"/>
  <c r="AY157" i="1"/>
  <c r="AZ157" i="1" s="1"/>
  <c r="BU138" i="1"/>
  <c r="BV138" i="1" s="1"/>
  <c r="BU173" i="1"/>
  <c r="BU147" i="1"/>
  <c r="BV147" i="1" s="1"/>
  <c r="BU183" i="1"/>
  <c r="BV183" i="1" s="1"/>
  <c r="BU146" i="1"/>
  <c r="BV146" i="1" s="1"/>
  <c r="BO155" i="1"/>
  <c r="BP155" i="1" s="1"/>
  <c r="BO144" i="1"/>
  <c r="BP144" i="1" s="1"/>
  <c r="BO162" i="1"/>
  <c r="BP162" i="1" s="1"/>
  <c r="BO157" i="1"/>
  <c r="BP157" i="1" s="1"/>
  <c r="BO165" i="1"/>
  <c r="BO146" i="1"/>
  <c r="BP146" i="1" s="1"/>
  <c r="BO138" i="1"/>
  <c r="BP138" i="1" s="1"/>
  <c r="BS157" i="1"/>
  <c r="BT157" i="1" s="1"/>
  <c r="AO139" i="1"/>
  <c r="AW171" i="1"/>
  <c r="AX171" i="1" s="1"/>
  <c r="BW173" i="1"/>
  <c r="BQ144" i="1"/>
  <c r="BR144" i="1" s="1"/>
  <c r="BQ166" i="1"/>
  <c r="BR166" i="1" s="1"/>
  <c r="BE139" i="1"/>
  <c r="AQ160" i="1"/>
  <c r="AR160" i="1" s="1"/>
  <c r="BI160" i="1"/>
  <c r="BJ160" i="1" s="1"/>
  <c r="BG138" i="1"/>
  <c r="BH138" i="1" s="1"/>
  <c r="AO153" i="1"/>
  <c r="BH52" i="1"/>
  <c r="BH214" i="1" s="1"/>
  <c r="BU153" i="1"/>
  <c r="AO179" i="1"/>
  <c r="BS165" i="1"/>
  <c r="AU174" i="1"/>
  <c r="AV174" i="1" s="1"/>
  <c r="AO40" i="1"/>
  <c r="BW147" i="1"/>
  <c r="BX147" i="1" s="1"/>
  <c r="AO167" i="1"/>
  <c r="AP167" i="1" s="1"/>
  <c r="BS173" i="1"/>
  <c r="BQ147" i="1"/>
  <c r="BR147" i="1" s="1"/>
  <c r="BF55" i="1"/>
  <c r="BK138" i="1"/>
  <c r="BL138" i="1" s="1"/>
  <c r="AX35" i="1"/>
  <c r="AW162" i="1"/>
  <c r="AX162" i="1" s="1"/>
  <c r="BI93" i="1"/>
  <c r="AW151" i="1"/>
  <c r="BI166" i="1"/>
  <c r="BJ166" i="1" s="1"/>
  <c r="BA166" i="1"/>
  <c r="BB166" i="1" s="1"/>
  <c r="BO184" i="1"/>
  <c r="BP184" i="1" s="1"/>
  <c r="BM162" i="1"/>
  <c r="BN162" i="1" s="1"/>
  <c r="BN59" i="1"/>
  <c r="BM142" i="1"/>
  <c r="BN142" i="1" s="1"/>
  <c r="AW179" i="1"/>
  <c r="BC157" i="1"/>
  <c r="BD157" i="1" s="1"/>
  <c r="BI184" i="1"/>
  <c r="BJ184" i="1" s="1"/>
  <c r="BC93" i="1"/>
  <c r="BW164" i="1"/>
  <c r="BU155" i="1"/>
  <c r="BV155" i="1" s="1"/>
  <c r="AU151" i="1"/>
  <c r="AW137" i="1"/>
  <c r="AX137" i="1" s="1"/>
  <c r="BG147" i="1"/>
  <c r="BH147" i="1" s="1"/>
  <c r="BU172" i="1"/>
  <c r="BV172" i="1" s="1"/>
  <c r="BU164" i="1"/>
  <c r="AR93" i="1"/>
  <c r="BS162" i="1"/>
  <c r="BT162" i="1" s="1"/>
  <c r="BS184" i="1"/>
  <c r="BT184" i="1" s="1"/>
  <c r="BS179" i="1"/>
  <c r="BS164" i="1"/>
  <c r="BS160" i="1"/>
  <c r="BT160" i="1" s="1"/>
  <c r="AO144" i="1"/>
  <c r="AP144" i="1" s="1"/>
  <c r="AO157" i="1"/>
  <c r="AP157" i="1" s="1"/>
  <c r="AW163" i="1"/>
  <c r="AX163" i="1" s="1"/>
  <c r="AW184" i="1"/>
  <c r="AX184" i="1" s="1"/>
  <c r="BW184" i="1"/>
  <c r="BX184" i="1" s="1"/>
  <c r="BW157" i="1"/>
  <c r="BX157" i="1" s="1"/>
  <c r="BQ180" i="1"/>
  <c r="BQ137" i="1"/>
  <c r="BF94" i="1"/>
  <c r="BF93" i="1"/>
  <c r="BE171" i="1"/>
  <c r="BF171" i="1" s="1"/>
  <c r="AQ167" i="1"/>
  <c r="AR167" i="1" s="1"/>
  <c r="AQ144" i="1"/>
  <c r="AR144" i="1" s="1"/>
  <c r="AQ142" i="1"/>
  <c r="AR142" i="1" s="1"/>
  <c r="AV93" i="1"/>
  <c r="BU151" i="1"/>
  <c r="BI147" i="1"/>
  <c r="BJ147" i="1" s="1"/>
  <c r="AY180" i="1"/>
  <c r="BG94" i="1"/>
  <c r="BI137" i="1"/>
  <c r="BA157" i="1"/>
  <c r="BB157" i="1" s="1"/>
  <c r="BG155" i="1"/>
  <c r="BH155" i="1" s="1"/>
  <c r="AS183" i="1"/>
  <c r="AT183" i="1" s="1"/>
  <c r="BR94" i="1"/>
  <c r="BA145" i="1"/>
  <c r="BB145" i="1" s="1"/>
  <c r="BE157" i="1"/>
  <c r="BF157" i="1" s="1"/>
  <c r="AW153" i="1"/>
  <c r="AO94" i="1"/>
  <c r="AU94" i="1"/>
  <c r="BS174" i="1"/>
  <c r="BT174" i="1" s="1"/>
  <c r="BO172" i="1"/>
  <c r="BP172" i="1" s="1"/>
  <c r="BE164" i="1"/>
  <c r="BW153" i="1"/>
  <c r="AO160" i="1"/>
  <c r="AP160" i="1" s="1"/>
  <c r="BC42" i="1"/>
  <c r="BC20" i="1" s="1"/>
  <c r="AQ163" i="1"/>
  <c r="AR163" i="1" s="1"/>
  <c r="BG93" i="1"/>
  <c r="BK142" i="1"/>
  <c r="BL142" i="1" s="1"/>
  <c r="AW164" i="1"/>
  <c r="BS172" i="1"/>
  <c r="BT172" i="1" s="1"/>
  <c r="AY151" i="1"/>
  <c r="AO183" i="1"/>
  <c r="AP183" i="1" s="1"/>
  <c r="BG166" i="1"/>
  <c r="BH166" i="1" s="1"/>
  <c r="BM138" i="1"/>
  <c r="BN138" i="1" s="1"/>
  <c r="BS151" i="1"/>
  <c r="BQ174" i="1"/>
  <c r="BR174" i="1" s="1"/>
  <c r="BN40" i="1"/>
  <c r="BE162" i="1"/>
  <c r="BF162" i="1" s="1"/>
  <c r="BE34" i="1"/>
  <c r="BI151" i="1"/>
  <c r="AW169" i="1"/>
  <c r="AX169" i="1" s="1"/>
  <c r="BI163" i="1"/>
  <c r="BJ163" i="1" s="1"/>
  <c r="AW165" i="1"/>
  <c r="BA169" i="1"/>
  <c r="BB169" i="1" s="1"/>
  <c r="BG157" i="1"/>
  <c r="BH157" i="1" s="1"/>
  <c r="AS170" i="1"/>
  <c r="AT170" i="1" s="1"/>
  <c r="BU179" i="1"/>
  <c r="BC147" i="1"/>
  <c r="BD147" i="1" s="1"/>
  <c r="BW93" i="1"/>
  <c r="AX28" i="1"/>
  <c r="AW93" i="1"/>
  <c r="BA160" i="1"/>
  <c r="BB160" i="1" s="1"/>
  <c r="BU157" i="1"/>
  <c r="BV157" i="1" s="1"/>
  <c r="BA174" i="1"/>
  <c r="BB174" i="1" s="1"/>
  <c r="BC174" i="1"/>
  <c r="BD174" i="1" s="1"/>
  <c r="BG179" i="1"/>
  <c r="BR41" i="1"/>
  <c r="BG172" i="1"/>
  <c r="BH172" i="1" s="1"/>
  <c r="BQ160" i="1"/>
  <c r="BR160" i="1" s="1"/>
  <c r="BD43" i="1"/>
  <c r="BD22" i="1" s="1"/>
  <c r="BA171" i="1"/>
  <c r="BB171" i="1" s="1"/>
  <c r="AS165" i="1"/>
  <c r="AX93" i="1"/>
  <c r="BM145" i="1"/>
  <c r="BN145" i="1" s="1"/>
  <c r="AV41" i="1"/>
  <c r="BM146" i="1"/>
  <c r="BN146" i="1" s="1"/>
  <c r="BK93" i="1"/>
  <c r="BR93" i="1"/>
  <c r="BG165" i="1"/>
  <c r="BG175" i="1"/>
  <c r="BH175" i="1" s="1"/>
  <c r="AU165" i="1"/>
  <c r="BQ169" i="1"/>
  <c r="BR169" i="1" s="1"/>
  <c r="AS174" i="1"/>
  <c r="AT174" i="1" s="1"/>
  <c r="BW151" i="1"/>
  <c r="BW172" i="1"/>
  <c r="BX172" i="1" s="1"/>
  <c r="BI157" i="1"/>
  <c r="BJ157" i="1" s="1"/>
  <c r="BC145" i="1"/>
  <c r="BD145" i="1" s="1"/>
  <c r="AP67" i="1"/>
  <c r="AY160" i="1"/>
  <c r="AZ160" i="1" s="1"/>
  <c r="AO147" i="1"/>
  <c r="AP147" i="1" s="1"/>
  <c r="AO170" i="1"/>
  <c r="AP170" i="1" s="1"/>
  <c r="BW137" i="1"/>
  <c r="BX137" i="1" s="1"/>
  <c r="BG174" i="1"/>
  <c r="BH174" i="1" s="1"/>
  <c r="AQ180" i="1"/>
  <c r="AQ169" i="1"/>
  <c r="AR169" i="1" s="1"/>
  <c r="AO137" i="1"/>
  <c r="AP137" i="1" s="1"/>
  <c r="BO163" i="1"/>
  <c r="BP163" i="1" s="1"/>
  <c r="AO151" i="1"/>
  <c r="BS66" i="1"/>
  <c r="AW166" i="1"/>
  <c r="AX166" i="1" s="1"/>
  <c r="AW160" i="1"/>
  <c r="AY162" i="1"/>
  <c r="AZ162" i="1" s="1"/>
  <c r="AW71" i="1"/>
  <c r="AO175" i="1"/>
  <c r="AP175" i="1" s="1"/>
  <c r="AY139" i="1"/>
  <c r="BN34" i="1"/>
  <c r="BF56" i="1"/>
  <c r="BE175" i="1"/>
  <c r="BF175" i="1" s="1"/>
  <c r="AW175" i="1"/>
  <c r="AX175" i="1" s="1"/>
  <c r="BU160" i="1"/>
  <c r="BV160" i="1" s="1"/>
  <c r="BA172" i="1"/>
  <c r="BB172" i="1" s="1"/>
  <c r="AY166" i="1"/>
  <c r="AZ166" i="1" s="1"/>
  <c r="BN94" i="1"/>
  <c r="AW139" i="1"/>
  <c r="AW167" i="1"/>
  <c r="AX167" i="1" s="1"/>
  <c r="BG142" i="1"/>
  <c r="BH142" i="1" s="1"/>
  <c r="AU175" i="1"/>
  <c r="AV175" i="1" s="1"/>
  <c r="BU28" i="1"/>
  <c r="BU251" i="1" s="1"/>
  <c r="AN94" i="1"/>
  <c r="AY146" i="1"/>
  <c r="AZ146" i="1" s="1"/>
  <c r="AY65" i="1"/>
  <c r="AQ93" i="1"/>
  <c r="BT93" i="1"/>
  <c r="BU171" i="1"/>
  <c r="BV171" i="1" s="1"/>
  <c r="BU174" i="1"/>
  <c r="BV174" i="1" s="1"/>
  <c r="BQ163" i="1"/>
  <c r="BR163" i="1" s="1"/>
  <c r="BQ173" i="1"/>
  <c r="BE147" i="1"/>
  <c r="BF147" i="1" s="1"/>
  <c r="BP94" i="1"/>
  <c r="AU163" i="1"/>
  <c r="AV163" i="1" s="1"/>
  <c r="BG173" i="1"/>
  <c r="AO165" i="1"/>
  <c r="AO173" i="1"/>
  <c r="AO172" i="1"/>
  <c r="AP172" i="1" s="1"/>
  <c r="AO166" i="1"/>
  <c r="AP166" i="1" s="1"/>
  <c r="AO180" i="1"/>
  <c r="AO146" i="1"/>
  <c r="AP146" i="1" s="1"/>
  <c r="AW146" i="1"/>
  <c r="AX146" i="1" s="1"/>
  <c r="BW179" i="1"/>
  <c r="BW167" i="1"/>
  <c r="BX167" i="1" s="1"/>
  <c r="BQ167" i="1"/>
  <c r="BR167" i="1" s="1"/>
  <c r="BQ142" i="1"/>
  <c r="BR142" i="1" s="1"/>
  <c r="BQ146" i="1"/>
  <c r="BR146" i="1" s="1"/>
  <c r="BG184" i="1"/>
  <c r="BH184" i="1" s="1"/>
  <c r="BE142" i="1"/>
  <c r="BF142" i="1" s="1"/>
  <c r="AT94" i="1"/>
  <c r="AQ137" i="1"/>
  <c r="AQ179" i="1"/>
  <c r="BU180" i="1"/>
  <c r="BU167" i="1"/>
  <c r="BV167" i="1" s="1"/>
  <c r="AO164" i="1"/>
  <c r="AW172" i="1"/>
  <c r="AX172" i="1" s="1"/>
  <c r="BA147" i="1"/>
  <c r="BB147" i="1" s="1"/>
  <c r="AS146" i="1"/>
  <c r="AT146" i="1" s="1"/>
  <c r="AW145" i="1"/>
  <c r="AX145" i="1" s="1"/>
  <c r="BC162" i="1"/>
  <c r="BD162" i="1" s="1"/>
  <c r="BA175" i="1"/>
  <c r="BB175" i="1" s="1"/>
  <c r="AS155" i="1"/>
  <c r="AT155" i="1" s="1"/>
  <c r="BC171" i="1"/>
  <c r="BD171" i="1" s="1"/>
  <c r="AY164" i="1"/>
  <c r="BB71" i="1"/>
  <c r="AZ59" i="1"/>
  <c r="AY173" i="1"/>
  <c r="BE155" i="1"/>
  <c r="BF155" i="1" s="1"/>
  <c r="BE160" i="1"/>
  <c r="BF160" i="1" s="1"/>
  <c r="BA162" i="1"/>
  <c r="BB162" i="1" s="1"/>
  <c r="BG162" i="1"/>
  <c r="BH162" i="1" s="1"/>
  <c r="BQ183" i="1"/>
  <c r="BR183" i="1" s="1"/>
  <c r="BM167" i="1"/>
  <c r="BN167" i="1" s="1"/>
  <c r="AO142" i="1"/>
  <c r="AP142" i="1" s="1"/>
  <c r="BG139" i="1"/>
  <c r="AW94" i="1"/>
  <c r="BB93" i="1"/>
  <c r="BA151" i="1"/>
  <c r="BE163" i="1"/>
  <c r="BF163" i="1" s="1"/>
  <c r="AQ94" i="1"/>
  <c r="BA33" i="1"/>
  <c r="BA164" i="1"/>
  <c r="BS71" i="1"/>
  <c r="BW162" i="1"/>
  <c r="BX162" i="1" s="1"/>
  <c r="BG171" i="1"/>
  <c r="BH171" i="1" s="1"/>
  <c r="AQ151" i="1"/>
  <c r="BC66" i="1"/>
  <c r="AQ40" i="1"/>
  <c r="AY142" i="1"/>
  <c r="AZ142" i="1" s="1"/>
  <c r="BC139" i="1"/>
  <c r="BW163" i="1"/>
  <c r="BX163" i="1" s="1"/>
  <c r="BA180" i="1"/>
  <c r="AW174" i="1"/>
  <c r="AX174" i="1" s="1"/>
  <c r="BD59" i="1"/>
  <c r="BC184" i="1"/>
  <c r="BD184" i="1" s="1"/>
  <c r="AS41" i="1"/>
  <c r="BO43" i="1"/>
  <c r="BO22" i="1" s="1"/>
  <c r="AT93" i="1"/>
  <c r="AU146" i="1"/>
  <c r="AV146" i="1" s="1"/>
  <c r="AY175" i="1"/>
  <c r="AZ175" i="1" s="1"/>
  <c r="BC169" i="1"/>
  <c r="BD169" i="1" s="1"/>
  <c r="BQ151" i="1"/>
  <c r="AU155" i="1"/>
  <c r="AV155" i="1" s="1"/>
  <c r="BE184" i="1"/>
  <c r="BF184" i="1" s="1"/>
  <c r="BM151" i="1"/>
  <c r="BW138" i="1"/>
  <c r="BX138" i="1" s="1"/>
  <c r="BO160" i="1"/>
  <c r="BP160" i="1" s="1"/>
  <c r="BU162" i="1"/>
  <c r="BK171" i="1"/>
  <c r="BL171" i="1" s="1"/>
  <c r="BR42" i="1"/>
  <c r="BR20" i="1" s="1"/>
  <c r="BQ164" i="1"/>
  <c r="AU167" i="1"/>
  <c r="AV167" i="1" s="1"/>
  <c r="BA163" i="1"/>
  <c r="BB163" i="1" s="1"/>
  <c r="AS167" i="1"/>
  <c r="AT167" i="1" s="1"/>
  <c r="BG151" i="1"/>
  <c r="BK94" i="1"/>
  <c r="AY184" i="1"/>
  <c r="AZ184" i="1" s="1"/>
  <c r="BM183" i="1"/>
  <c r="BN183" i="1" s="1"/>
  <c r="AP35" i="1"/>
  <c r="AW173" i="1"/>
  <c r="BO169" i="1"/>
  <c r="BP169" i="1" s="1"/>
  <c r="BE172" i="1"/>
  <c r="BF172" i="1" s="1"/>
  <c r="BK170" i="1"/>
  <c r="BL170" i="1" s="1"/>
  <c r="AW183" i="1"/>
  <c r="AX183" i="1" s="1"/>
  <c r="BC146" i="1"/>
  <c r="BD146" i="1" s="1"/>
  <c r="AQ183" i="1"/>
  <c r="AR183" i="1" s="1"/>
  <c r="AW147" i="1"/>
  <c r="AX147" i="1" s="1"/>
  <c r="BO173" i="1"/>
  <c r="BO147" i="1"/>
  <c r="BP147" i="1" s="1"/>
  <c r="BT41" i="1"/>
  <c r="BO137" i="1"/>
  <c r="BP137" i="1" s="1"/>
  <c r="BK162" i="1"/>
  <c r="BL162" i="1" s="1"/>
  <c r="BA155" i="1"/>
  <c r="BB155" i="1" s="1"/>
  <c r="AO184" i="1"/>
  <c r="AP184" i="1" s="1"/>
  <c r="BW180" i="1"/>
  <c r="BQ145" i="1"/>
  <c r="BR145" i="1" s="1"/>
  <c r="BG145" i="1"/>
  <c r="BH145" i="1" s="1"/>
  <c r="AO169" i="1"/>
  <c r="AP169" i="1" s="1"/>
  <c r="AO145" i="1"/>
  <c r="AP145" i="1" s="1"/>
  <c r="AO155" i="1"/>
  <c r="AP155" i="1" s="1"/>
  <c r="AO171" i="1"/>
  <c r="AP171" i="1" s="1"/>
  <c r="AO138" i="1"/>
  <c r="AP138" i="1" s="1"/>
  <c r="AO163" i="1"/>
  <c r="AP163" i="1" s="1"/>
  <c r="AO162" i="1"/>
  <c r="BW139" i="1"/>
  <c r="BX139" i="1" s="1"/>
  <c r="BW170" i="1"/>
  <c r="BX170" i="1" s="1"/>
  <c r="BW142" i="1"/>
  <c r="BX142" i="1" s="1"/>
  <c r="BQ94" i="1"/>
  <c r="BQ139" i="1"/>
  <c r="BQ93" i="1"/>
  <c r="BQ179" i="1"/>
  <c r="BQ181" i="1" s="1"/>
  <c r="BG169" i="1"/>
  <c r="BH169" i="1" s="1"/>
  <c r="BE174" i="1"/>
  <c r="BF174" i="1" s="1"/>
  <c r="BE173" i="1"/>
  <c r="AQ171" i="1"/>
  <c r="AR171" i="1" s="1"/>
  <c r="AQ147" i="1"/>
  <c r="AR147" i="1" s="1"/>
  <c r="AY172" i="1"/>
  <c r="AZ172" i="1" s="1"/>
  <c r="AN93" i="1"/>
  <c r="BE144" i="1"/>
  <c r="BF144" i="1" s="1"/>
  <c r="BQ170" i="1"/>
  <c r="BR170" i="1" s="1"/>
  <c r="BC170" i="1"/>
  <c r="BD170" i="1" s="1"/>
  <c r="BA139" i="1"/>
  <c r="BE93" i="1"/>
  <c r="BC179" i="1"/>
  <c r="BT71" i="1"/>
  <c r="BU166" i="1"/>
  <c r="BV166" i="1" s="1"/>
  <c r="BT94" i="1"/>
  <c r="AS164" i="1"/>
  <c r="AY93" i="1"/>
  <c r="BE169" i="1"/>
  <c r="BF169" i="1" s="1"/>
  <c r="AO93" i="1"/>
  <c r="AS145" i="1"/>
  <c r="AT145" i="1" s="1"/>
  <c r="BC166" i="1"/>
  <c r="BD166" i="1" s="1"/>
  <c r="BQ162" i="1"/>
  <c r="BR162" i="1" s="1"/>
  <c r="BC137" i="1"/>
  <c r="BD137" i="1" s="1"/>
  <c r="AT34" i="1"/>
  <c r="BA167" i="1"/>
  <c r="BB167" i="1" s="1"/>
  <c r="AU55" i="1"/>
  <c r="BE138" i="1"/>
  <c r="BF138" i="1" s="1"/>
  <c r="AO174" i="1"/>
  <c r="AP174" i="1" s="1"/>
  <c r="BC144" i="1"/>
  <c r="BD144" i="1" s="1"/>
  <c r="BU170" i="1"/>
  <c r="BV170" i="1" s="1"/>
  <c r="BO93" i="1"/>
  <c r="BW144" i="1"/>
  <c r="BX144" i="1" s="1"/>
  <c r="BC59" i="1"/>
  <c r="BA144" i="1"/>
  <c r="BB144" i="1" s="1"/>
  <c r="BO174" i="1"/>
  <c r="BP174" i="1" s="1"/>
  <c r="BW146" i="1"/>
  <c r="BX146" i="1" s="1"/>
  <c r="BC173" i="1"/>
  <c r="BK174" i="1"/>
  <c r="BL174" i="1" s="1"/>
  <c r="BO171" i="1"/>
  <c r="BP171" i="1" s="1"/>
  <c r="BI28" i="1"/>
  <c r="BI251" i="1" s="1"/>
  <c r="BA59" i="1"/>
  <c r="BW160" i="1"/>
  <c r="BX160" i="1" s="1"/>
  <c r="BY222" i="1" s="1"/>
  <c r="AY171" i="1"/>
  <c r="AZ171" i="1" s="1"/>
  <c r="BK65" i="1"/>
  <c r="BS44" i="1"/>
  <c r="BC160" i="1"/>
  <c r="BD160" i="1" s="1"/>
  <c r="BU145" i="1"/>
  <c r="BV145" i="1" s="1"/>
  <c r="BB94" i="1"/>
  <c r="BH44" i="1"/>
  <c r="BA137" i="1"/>
  <c r="BB137" i="1" s="1"/>
  <c r="BH40" i="1"/>
  <c r="BW155" i="1"/>
  <c r="BX155" i="1" s="1"/>
  <c r="BQ157" i="1"/>
  <c r="BR157" i="1" s="1"/>
  <c r="AS166" i="1"/>
  <c r="AT166" i="1" s="1"/>
  <c r="BO180" i="1"/>
  <c r="BA173" i="1"/>
  <c r="AR42" i="1"/>
  <c r="AQ164" i="1"/>
  <c r="BQ138" i="1"/>
  <c r="BR138" i="1" s="1"/>
  <c r="AN42" i="1"/>
  <c r="AY179" i="1"/>
  <c r="BA146" i="1"/>
  <c r="BB146" i="1" s="1"/>
  <c r="BW94" i="1"/>
  <c r="AY183" i="1"/>
  <c r="AZ183" i="1" s="1"/>
  <c r="AZ93" i="1"/>
  <c r="BC183" i="1"/>
  <c r="BD183" i="1" s="1"/>
  <c r="BE165" i="1"/>
  <c r="BM56" i="1"/>
  <c r="BF40" i="1"/>
  <c r="BG170" i="1"/>
  <c r="BH170" i="1" s="1"/>
  <c r="BU169" i="1"/>
  <c r="BV169" i="1" s="1"/>
  <c r="BW175" i="1"/>
  <c r="BX175" i="1" s="1"/>
  <c r="AO59" i="1"/>
  <c r="BU184" i="1"/>
  <c r="BV184" i="1" s="1"/>
  <c r="AQ166" i="1"/>
  <c r="AR166" i="1" s="1"/>
  <c r="BG44" i="1"/>
  <c r="BA153" i="1"/>
  <c r="BO167" i="1"/>
  <c r="BP167" i="1" s="1"/>
  <c r="BO145" i="1"/>
  <c r="BP145" i="1" s="1"/>
  <c r="BA43" i="1"/>
  <c r="BA94" i="1"/>
  <c r="BM174" i="1"/>
  <c r="BN174" i="1" s="1"/>
  <c r="AS144" i="1"/>
  <c r="AT144" i="1" s="1"/>
  <c r="BW171" i="1"/>
  <c r="BX171" i="1" s="1"/>
  <c r="BG164" i="1"/>
  <c r="AX94" i="1"/>
  <c r="BU137" i="1"/>
  <c r="BV137" i="1" s="1"/>
  <c r="BC175" i="1"/>
  <c r="BD175" i="1" s="1"/>
  <c r="AU160" i="1"/>
  <c r="AV160" i="1" s="1"/>
  <c r="BM164" i="1"/>
  <c r="BU71" i="1"/>
  <c r="BE153" i="1"/>
  <c r="AU138" i="1"/>
  <c r="AV138" i="1" s="1"/>
  <c r="BC172" i="1"/>
  <c r="BD172" i="1" s="1"/>
  <c r="AY147" i="1"/>
  <c r="AZ147" i="1" s="1"/>
  <c r="BK164" i="1"/>
  <c r="AQ139" i="1"/>
  <c r="BV59" i="1"/>
  <c r="BG137" i="1"/>
  <c r="BH137" i="1" s="1"/>
  <c r="BG34" i="1"/>
  <c r="AW29" i="1"/>
  <c r="BE167" i="1"/>
  <c r="BF167" i="1" s="1"/>
  <c r="BW28" i="1"/>
  <c r="BW251" i="1" s="1"/>
  <c r="AV52" i="1"/>
  <c r="AV214" i="1" s="1"/>
  <c r="BD93" i="1"/>
  <c r="AS173" i="1"/>
  <c r="BM155" i="1"/>
  <c r="BN155" i="1" s="1"/>
  <c r="AN71" i="1"/>
  <c r="BA42" i="1"/>
  <c r="AI44" i="1"/>
  <c r="AP41" i="1"/>
  <c r="BT42" i="1"/>
  <c r="BT20" i="1" s="1"/>
  <c r="BQ34" i="1"/>
  <c r="AS172" i="1"/>
  <c r="AT172" i="1" s="1"/>
  <c r="BM179" i="1"/>
  <c r="BU59" i="1"/>
  <c r="AI71" i="1"/>
  <c r="BQ172" i="1"/>
  <c r="BR172" i="1" s="1"/>
  <c r="BO170" i="1"/>
  <c r="BP170" i="1" s="1"/>
  <c r="BG56" i="1"/>
  <c r="AZ55" i="1"/>
  <c r="BJ94" i="1"/>
  <c r="BW43" i="1"/>
  <c r="BW22" i="1" s="1"/>
  <c r="AV55" i="1"/>
  <c r="BN55" i="1"/>
  <c r="AQ52" i="1"/>
  <c r="AQ214" i="1" s="1"/>
  <c r="BD44" i="1"/>
  <c r="BW42" i="1"/>
  <c r="BW20" i="1" s="1"/>
  <c r="BM71" i="1"/>
  <c r="AW42" i="1"/>
  <c r="AW66" i="1"/>
  <c r="BH33" i="1"/>
  <c r="AP65" i="1"/>
  <c r="BC43" i="1"/>
  <c r="BC22" i="1" s="1"/>
  <c r="BG52" i="1"/>
  <c r="BG214" i="1" s="1"/>
  <c r="AZ42" i="1"/>
  <c r="AZ34" i="1"/>
  <c r="BN41" i="1"/>
  <c r="BC28" i="1"/>
  <c r="BC251" i="1" s="1"/>
  <c r="BD65" i="1"/>
  <c r="BB43" i="1"/>
  <c r="BB22" i="1" s="1"/>
  <c r="AY66" i="1"/>
  <c r="AP42" i="1"/>
  <c r="AI34" i="1"/>
  <c r="AV56" i="1"/>
  <c r="BA29" i="1"/>
  <c r="BM67" i="1"/>
  <c r="BF33" i="1"/>
  <c r="AY59" i="1"/>
  <c r="BU139" i="1"/>
  <c r="BU142" i="1"/>
  <c r="BV142" i="1" s="1"/>
  <c r="BK184" i="1"/>
  <c r="BL184" i="1" s="1"/>
  <c r="BF42" i="1"/>
  <c r="BF20" i="1" s="1"/>
  <c r="AS94" i="1"/>
  <c r="AJ94" i="1"/>
  <c r="BM153" i="1"/>
  <c r="BM184" i="1"/>
  <c r="BN184" i="1" s="1"/>
  <c r="AN67" i="1"/>
  <c r="AV44" i="1"/>
  <c r="AS71" i="1"/>
  <c r="AS160" i="1"/>
  <c r="AT160" i="1" s="1"/>
  <c r="AU222" i="1" s="1"/>
  <c r="BE146" i="1"/>
  <c r="BF146" i="1" s="1"/>
  <c r="AU179" i="1"/>
  <c r="BE59" i="1"/>
  <c r="AW34" i="1"/>
  <c r="BR44" i="1"/>
  <c r="BD56" i="1"/>
  <c r="BT43" i="1"/>
  <c r="BT22" i="1" s="1"/>
  <c r="BT34" i="1"/>
  <c r="BR29" i="1"/>
  <c r="AU172" i="1"/>
  <c r="AV172" i="1" s="1"/>
  <c r="AQ155" i="1"/>
  <c r="AR155" i="1" s="1"/>
  <c r="BQ41" i="1"/>
  <c r="AN56" i="1"/>
  <c r="BW65" i="1"/>
  <c r="AQ184" i="1"/>
  <c r="AR184" i="1" s="1"/>
  <c r="AJ93" i="1"/>
  <c r="AO56" i="1"/>
  <c r="BM94" i="1"/>
  <c r="BC65" i="1"/>
  <c r="AS65" i="1"/>
  <c r="BE66" i="1"/>
  <c r="AN52" i="1"/>
  <c r="AN214" i="1" s="1"/>
  <c r="BS67" i="1"/>
  <c r="BC33" i="1"/>
  <c r="BG65" i="1"/>
  <c r="BF65" i="1"/>
  <c r="BP52" i="1"/>
  <c r="AS56" i="1"/>
  <c r="BE40" i="1"/>
  <c r="BQ43" i="1"/>
  <c r="BQ22" i="1" s="1"/>
  <c r="AI33" i="1"/>
  <c r="BO55" i="1"/>
  <c r="BV94" i="1"/>
  <c r="BK173" i="1"/>
  <c r="BV66" i="1"/>
  <c r="AS142" i="1"/>
  <c r="AT142" i="1" s="1"/>
  <c r="BE33" i="1"/>
  <c r="BO151" i="1"/>
  <c r="BF43" i="1"/>
  <c r="BF22" i="1" s="1"/>
  <c r="AR52" i="1"/>
  <c r="AR214" i="1" s="1"/>
  <c r="BC151" i="1"/>
  <c r="AZ71" i="1"/>
  <c r="AR43" i="1"/>
  <c r="BK67" i="1"/>
  <c r="BA183" i="1"/>
  <c r="BB183" i="1" s="1"/>
  <c r="BO153" i="1"/>
  <c r="AR40" i="1"/>
  <c r="BO164" i="1"/>
  <c r="AQ28" i="1"/>
  <c r="AU145" i="1"/>
  <c r="AV145" i="1" s="1"/>
  <c r="AZ44" i="1"/>
  <c r="AP34" i="1"/>
  <c r="BF59" i="1"/>
  <c r="BV35" i="1"/>
  <c r="BI44" i="1"/>
  <c r="AO71" i="1"/>
  <c r="AS67" i="1"/>
  <c r="AM66" i="1"/>
  <c r="AS35" i="1"/>
  <c r="BM28" i="1"/>
  <c r="BW44" i="1"/>
  <c r="BO41" i="1"/>
  <c r="BM172" i="1"/>
  <c r="BN172" i="1" s="1"/>
  <c r="BT40" i="1"/>
  <c r="AY28" i="1"/>
  <c r="BK29" i="1"/>
  <c r="BV41" i="1"/>
  <c r="AN66" i="1"/>
  <c r="BN66" i="1"/>
  <c r="BK43" i="1"/>
  <c r="BK22" i="1" s="1"/>
  <c r="BN33" i="1"/>
  <c r="AV65" i="1"/>
  <c r="BO33" i="1"/>
  <c r="BH34" i="1"/>
  <c r="BG40" i="1"/>
  <c r="BB56" i="1"/>
  <c r="BS65" i="1"/>
  <c r="BU34" i="1"/>
  <c r="BH42" i="1"/>
  <c r="BH20" i="1" s="1"/>
  <c r="AR35" i="1"/>
  <c r="AU44" i="1"/>
  <c r="AS43" i="1"/>
  <c r="BP56" i="1"/>
  <c r="BV33" i="1"/>
  <c r="AM93" i="1"/>
  <c r="AK94" i="1"/>
  <c r="BC44" i="1"/>
  <c r="BK139" i="1"/>
  <c r="BM42" i="1"/>
  <c r="BM20" i="1" s="1"/>
  <c r="AO42" i="1"/>
  <c r="BW59" i="1"/>
  <c r="BD55" i="1"/>
  <c r="AV35" i="1"/>
  <c r="AS44" i="1"/>
  <c r="BK145" i="1"/>
  <c r="BL145" i="1" s="1"/>
  <c r="AS179" i="1"/>
  <c r="BA93" i="1"/>
  <c r="BM165" i="1"/>
  <c r="AY55" i="1"/>
  <c r="BI71" i="1"/>
  <c r="BM52" i="1"/>
  <c r="BM214" i="1" s="1"/>
  <c r="BT33" i="1"/>
  <c r="BU55" i="1"/>
  <c r="AM67" i="1"/>
  <c r="BK183" i="1"/>
  <c r="BL183" i="1" s="1"/>
  <c r="AU142" i="1"/>
  <c r="AV142" i="1" s="1"/>
  <c r="AQ43" i="1"/>
  <c r="AY29" i="1"/>
  <c r="AS137" i="1"/>
  <c r="AT137" i="1" s="1"/>
  <c r="BJ65" i="1"/>
  <c r="AY35" i="1"/>
  <c r="BC41" i="1"/>
  <c r="BO142" i="1"/>
  <c r="BP142" i="1" s="1"/>
  <c r="BO179" i="1"/>
  <c r="AT35" i="1"/>
  <c r="AN29" i="1"/>
  <c r="AZ65" i="1"/>
  <c r="BK40" i="1"/>
  <c r="AX44" i="1"/>
  <c r="BU29" i="1"/>
  <c r="AQ44" i="1"/>
  <c r="AT41" i="1"/>
  <c r="BJ29" i="1"/>
  <c r="BJ30" i="1" s="1"/>
  <c r="AO33" i="1"/>
  <c r="BR67" i="1"/>
  <c r="AX43" i="1"/>
  <c r="BQ65" i="1"/>
  <c r="BN67" i="1"/>
  <c r="BV42" i="1"/>
  <c r="BV20" i="1" s="1"/>
  <c r="AX29" i="1"/>
  <c r="BT59" i="1"/>
  <c r="AW65" i="1"/>
  <c r="AU180" i="1"/>
  <c r="BS40" i="1"/>
  <c r="BK146" i="1"/>
  <c r="BL146" i="1" s="1"/>
  <c r="AM94" i="1"/>
  <c r="BE151" i="1"/>
  <c r="AY174" i="1"/>
  <c r="AZ174" i="1" s="1"/>
  <c r="BO183" i="1"/>
  <c r="BP183" i="1" s="1"/>
  <c r="BC142" i="1"/>
  <c r="BD142" i="1" s="1"/>
  <c r="AY94" i="1"/>
  <c r="AQ157" i="1"/>
  <c r="AR157" i="1" s="1"/>
  <c r="BC180" i="1"/>
  <c r="AY169" i="1"/>
  <c r="AZ169" i="1" s="1"/>
  <c r="BU165" i="1"/>
  <c r="AY153" i="1"/>
  <c r="BS33" i="1"/>
  <c r="BU93" i="1"/>
  <c r="BQ165" i="1"/>
  <c r="AY155" i="1"/>
  <c r="AZ155" i="1" s="1"/>
  <c r="AR34" i="1"/>
  <c r="BW169" i="1"/>
  <c r="BX169" i="1" s="1"/>
  <c r="AY56" i="1"/>
  <c r="AY272" i="1" s="1"/>
  <c r="BB65" i="1"/>
  <c r="BA142" i="1"/>
  <c r="BB142" i="1" s="1"/>
  <c r="BA165" i="1"/>
  <c r="BC35" i="1"/>
  <c r="BF71" i="1"/>
  <c r="BT67" i="1"/>
  <c r="AO52" i="1"/>
  <c r="AO214" i="1" s="1"/>
  <c r="BK66" i="1"/>
  <c r="AO66" i="1"/>
  <c r="BQ155" i="1"/>
  <c r="BR155" i="1" s="1"/>
  <c r="BQ175" i="1"/>
  <c r="BR175" i="1" s="1"/>
  <c r="BU94" i="1"/>
  <c r="BO139" i="1"/>
  <c r="BA179" i="1"/>
  <c r="AW59" i="1"/>
  <c r="BW55" i="1"/>
  <c r="BC153" i="1"/>
  <c r="AM71" i="1"/>
  <c r="BI43" i="1"/>
  <c r="BI22" i="1" s="1"/>
  <c r="BS56" i="1"/>
  <c r="AI59" i="1"/>
  <c r="BE183" i="1"/>
  <c r="BF183" i="1" s="1"/>
  <c r="BT65" i="1"/>
  <c r="BV29" i="1"/>
  <c r="BR71" i="1"/>
  <c r="BU41" i="1"/>
  <c r="BC167" i="1"/>
  <c r="BD167" i="1" s="1"/>
  <c r="BQ184" i="1"/>
  <c r="BR184" i="1" s="1"/>
  <c r="BU175" i="1"/>
  <c r="BV175" i="1" s="1"/>
  <c r="AN41" i="1"/>
  <c r="BH59" i="1"/>
  <c r="BM166" i="1"/>
  <c r="BN166" i="1" s="1"/>
  <c r="AY40" i="1"/>
  <c r="BQ40" i="1"/>
  <c r="BB59" i="1"/>
  <c r="AV34" i="1"/>
  <c r="AP93" i="1"/>
  <c r="BF29" i="1"/>
  <c r="BP43" i="1"/>
  <c r="BP22" i="1" s="1"/>
  <c r="AI67" i="1"/>
  <c r="BN43" i="1"/>
  <c r="BN22" i="1" s="1"/>
  <c r="BV55" i="1"/>
  <c r="AU41" i="1"/>
  <c r="AU59" i="1"/>
  <c r="AV71" i="1"/>
  <c r="AI65" i="1"/>
  <c r="BS28" i="1"/>
  <c r="AS29" i="1"/>
  <c r="BU42" i="1"/>
  <c r="BU20" i="1" s="1"/>
  <c r="BE42" i="1"/>
  <c r="BE20" i="1" s="1"/>
  <c r="BP29" i="1"/>
  <c r="BV43" i="1"/>
  <c r="BV22" i="1" s="1"/>
  <c r="BG71" i="1"/>
  <c r="BU56" i="1"/>
  <c r="BH35" i="1"/>
  <c r="BS29" i="1"/>
  <c r="BH41" i="1"/>
  <c r="BS55" i="1"/>
  <c r="BO175" i="1"/>
  <c r="BP175" i="1" s="1"/>
  <c r="BC165" i="1"/>
  <c r="BO94" i="1"/>
  <c r="AP44" i="1"/>
  <c r="AQ170" i="1"/>
  <c r="AR170" i="1" s="1"/>
  <c r="AQ42" i="1"/>
  <c r="AQ162" i="1"/>
  <c r="AR162" i="1" s="1"/>
  <c r="AY145" i="1"/>
  <c r="AZ145" i="1" s="1"/>
  <c r="BG146" i="1"/>
  <c r="BH146" i="1" s="1"/>
  <c r="BA138" i="1"/>
  <c r="BB138" i="1" s="1"/>
  <c r="BG144" i="1"/>
  <c r="BH144" i="1" s="1"/>
  <c r="BG35" i="1"/>
  <c r="BC138" i="1"/>
  <c r="BD138" i="1" s="1"/>
  <c r="BR66" i="1"/>
  <c r="AI29" i="1"/>
  <c r="BD71" i="1"/>
  <c r="AQ153" i="1"/>
  <c r="BJ59" i="1"/>
  <c r="BU40" i="1"/>
  <c r="BO71" i="1"/>
  <c r="BE41" i="1"/>
  <c r="AQ175" i="1"/>
  <c r="AR175" i="1" s="1"/>
  <c r="BO67" i="1"/>
  <c r="AY34" i="1"/>
  <c r="BC52" i="1"/>
  <c r="BC214" i="1" s="1"/>
  <c r="BO42" i="1"/>
  <c r="BO20" i="1" s="1"/>
  <c r="BH67" i="1"/>
  <c r="BF35" i="1"/>
  <c r="BB34" i="1"/>
  <c r="BG66" i="1"/>
  <c r="AV33" i="1"/>
  <c r="BD94" i="1"/>
  <c r="BK33" i="1"/>
  <c r="BQ29" i="1"/>
  <c r="BS43" i="1"/>
  <c r="BS22" i="1" s="1"/>
  <c r="BM29" i="1"/>
  <c r="BP67" i="1"/>
  <c r="BU43" i="1"/>
  <c r="BU22" i="1" s="1"/>
  <c r="BI35" i="1"/>
  <c r="AP28" i="1"/>
  <c r="AP251" i="1" s="1"/>
  <c r="BE43" i="1"/>
  <c r="BE22" i="1" s="1"/>
  <c r="BI55" i="1"/>
  <c r="AS34" i="1"/>
  <c r="BA41" i="1"/>
  <c r="AI40" i="1"/>
  <c r="BO66" i="1"/>
  <c r="AI93" i="1"/>
  <c r="BM173" i="1"/>
  <c r="BN28" i="1"/>
  <c r="BN251" i="1" s="1"/>
  <c r="AZ40" i="1"/>
  <c r="BW35" i="1"/>
  <c r="AY138" i="1"/>
  <c r="AZ138" i="1" s="1"/>
  <c r="BM59" i="1"/>
  <c r="AR66" i="1"/>
  <c r="AX71" i="1"/>
  <c r="BO65" i="1"/>
  <c r="BV65" i="1"/>
  <c r="BG59" i="1"/>
  <c r="AX52" i="1"/>
  <c r="AX214" i="1" s="1"/>
  <c r="BN65" i="1"/>
  <c r="BE71" i="1"/>
  <c r="BD41" i="1"/>
  <c r="BN52" i="1"/>
  <c r="AM65" i="1"/>
  <c r="AR44" i="1"/>
  <c r="BJ93" i="1"/>
  <c r="BA52" i="1"/>
  <c r="BA214" i="1" s="1"/>
  <c r="BF41" i="1"/>
  <c r="AN65" i="1"/>
  <c r="AU42" i="1"/>
  <c r="BO56" i="1"/>
  <c r="AW33" i="1"/>
  <c r="AY44" i="1"/>
  <c r="BS59" i="1"/>
  <c r="BN56" i="1"/>
  <c r="AO67" i="1"/>
  <c r="BO35" i="1"/>
  <c r="BR35" i="1"/>
  <c r="AI56" i="1"/>
  <c r="AT28" i="1"/>
  <c r="AT251" i="1" s="1"/>
  <c r="BA44" i="1"/>
  <c r="AT59" i="1"/>
  <c r="BA170" i="1"/>
  <c r="BB170" i="1" s="1"/>
  <c r="AT52" i="1"/>
  <c r="AT214" i="1" s="1"/>
  <c r="AP29" i="1"/>
  <c r="AZ43" i="1"/>
  <c r="AR65" i="1"/>
  <c r="AT56" i="1"/>
  <c r="BM93" i="1"/>
  <c r="BR34" i="1"/>
  <c r="BP35" i="1"/>
  <c r="BO166" i="1"/>
  <c r="BP166" i="1" s="1"/>
  <c r="BI52" i="1"/>
  <c r="BI214" i="1" s="1"/>
  <c r="BS35" i="1"/>
  <c r="BE65" i="1"/>
  <c r="BS52" i="1"/>
  <c r="BS214" i="1" s="1"/>
  <c r="BR28" i="1"/>
  <c r="BR251" i="1" s="1"/>
  <c r="AI41" i="1"/>
  <c r="BF67" i="1"/>
  <c r="AR41" i="1"/>
  <c r="BR43" i="1"/>
  <c r="BR22" i="1" s="1"/>
  <c r="AV42" i="1"/>
  <c r="BB35" i="1"/>
  <c r="AU56" i="1"/>
  <c r="BB40" i="1"/>
  <c r="BM44" i="1"/>
  <c r="BT29" i="1"/>
  <c r="BG41" i="1"/>
  <c r="AW44" i="1"/>
  <c r="AT71" i="1"/>
  <c r="AX55" i="1"/>
  <c r="BT44" i="1"/>
  <c r="AR29" i="1"/>
  <c r="BT66" i="1"/>
  <c r="BU163" i="1"/>
  <c r="BV163" i="1" s="1"/>
  <c r="AP52" i="1"/>
  <c r="AP214" i="1" s="1"/>
  <c r="BG55" i="1"/>
  <c r="AY167" i="1"/>
  <c r="AZ167" i="1" s="1"/>
  <c r="AS55" i="1"/>
  <c r="AY165" i="1"/>
  <c r="BM144" i="1"/>
  <c r="BN144" i="1" s="1"/>
  <c r="BM169" i="1"/>
  <c r="BN169" i="1" s="1"/>
  <c r="BW174" i="1"/>
  <c r="BX174" i="1" s="1"/>
  <c r="BC164" i="1"/>
  <c r="AZ67" i="1"/>
  <c r="AY163" i="1"/>
  <c r="AZ163" i="1" s="1"/>
  <c r="BM147" i="1"/>
  <c r="BN147" i="1" s="1"/>
  <c r="BM175" i="1"/>
  <c r="BN175" i="1" s="1"/>
  <c r="BH66" i="1"/>
  <c r="BN71" i="1"/>
  <c r="BO28" i="1"/>
  <c r="BO251" i="1" s="1"/>
  <c r="BB29" i="1"/>
  <c r="BJ55" i="1"/>
  <c r="AZ28" i="1"/>
  <c r="AZ251" i="1" s="1"/>
  <c r="AY52" i="1"/>
  <c r="AY214" i="1" s="1"/>
  <c r="BI59" i="1"/>
  <c r="BB44" i="1"/>
  <c r="BD52" i="1"/>
  <c r="BD214" i="1" s="1"/>
  <c r="BG42" i="1"/>
  <c r="BG20" i="1" s="1"/>
  <c r="AN28" i="1"/>
  <c r="AN118" i="1" s="1"/>
  <c r="AT44" i="1"/>
  <c r="BP28" i="1"/>
  <c r="BP251" i="1" s="1"/>
  <c r="AZ33" i="1"/>
  <c r="AX65" i="1"/>
  <c r="BJ71" i="1"/>
  <c r="BP44" i="1"/>
  <c r="BM40" i="1"/>
  <c r="AU71" i="1"/>
  <c r="BP33" i="1"/>
  <c r="AZ41" i="1"/>
  <c r="BN35" i="1"/>
  <c r="BE28" i="1"/>
  <c r="BE251" i="1" s="1"/>
  <c r="AV29" i="1"/>
  <c r="BV56" i="1"/>
  <c r="BM160" i="1"/>
  <c r="BN160" i="1" s="1"/>
  <c r="BK34" i="1"/>
  <c r="AV40" i="1"/>
  <c r="BM43" i="1"/>
  <c r="BM22" i="1" s="1"/>
  <c r="BR40" i="1"/>
  <c r="BM66" i="1"/>
  <c r="BE52" i="1"/>
  <c r="BE214" i="1" s="1"/>
  <c r="BB55" i="1"/>
  <c r="AX67" i="1"/>
  <c r="BP34" i="1"/>
  <c r="BR56" i="1"/>
  <c r="AP40" i="1"/>
  <c r="BO52" i="1"/>
  <c r="BO214" i="1" s="1"/>
  <c r="AK93" i="1"/>
  <c r="BC56" i="1"/>
  <c r="AQ29" i="1"/>
  <c r="AY170" i="1"/>
  <c r="AZ170" i="1" s="1"/>
  <c r="BG67" i="1"/>
  <c r="BM139" i="1"/>
  <c r="BP93" i="1"/>
  <c r="BI40" i="1"/>
  <c r="BQ56" i="1"/>
  <c r="BB42" i="1"/>
  <c r="BB20" i="1" s="1"/>
  <c r="AY144" i="1"/>
  <c r="AZ144" i="1" s="1"/>
  <c r="AR33" i="1"/>
  <c r="AT43" i="1"/>
  <c r="AR56" i="1"/>
  <c r="BQ59" i="1"/>
  <c r="BV44" i="1"/>
  <c r="AV66" i="1"/>
  <c r="BB52" i="1"/>
  <c r="BB214" i="1" s="1"/>
  <c r="BA40" i="1"/>
  <c r="AU40" i="1"/>
  <c r="BO59" i="1"/>
  <c r="BD28" i="1"/>
  <c r="BD251" i="1" s="1"/>
  <c r="AW52" i="1"/>
  <c r="AW214" i="1" s="1"/>
  <c r="BJ56" i="1"/>
  <c r="BJ272" i="1" s="1"/>
  <c r="AO29" i="1"/>
  <c r="BW52" i="1"/>
  <c r="BW214" i="1" s="1"/>
  <c r="BQ42" i="1"/>
  <c r="BQ20" i="1" s="1"/>
  <c r="BK35" i="1"/>
  <c r="BM55" i="1"/>
  <c r="BK59" i="1"/>
  <c r="BB33" i="1"/>
  <c r="BW67" i="1"/>
  <c r="AP56" i="1"/>
  <c r="AP272" i="1" s="1"/>
  <c r="AW28" i="1"/>
  <c r="BW40" i="1"/>
  <c r="AQ59" i="1"/>
  <c r="BE56" i="1"/>
  <c r="BJ52" i="1"/>
  <c r="BJ273" i="1" s="1"/>
  <c r="BD29" i="1"/>
  <c r="BG33" i="1"/>
  <c r="BU144" i="1"/>
  <c r="BE29" i="1"/>
  <c r="AP71" i="1"/>
  <c r="AO35" i="1"/>
  <c r="BI29" i="1"/>
  <c r="BR52" i="1"/>
  <c r="BR214" i="1" s="1"/>
  <c r="AO43" i="1"/>
  <c r="BB66" i="1"/>
  <c r="BS42" i="1"/>
  <c r="BS20" i="1" s="1"/>
  <c r="BI41" i="1"/>
  <c r="BK42" i="1"/>
  <c r="BK20" i="1" s="1"/>
  <c r="AU67" i="1"/>
  <c r="AX34" i="1"/>
  <c r="AS28" i="1"/>
  <c r="AS251" i="1" s="1"/>
  <c r="BS41" i="1"/>
  <c r="BP41" i="1"/>
  <c r="AT29" i="1"/>
  <c r="BG29" i="1"/>
  <c r="BD42" i="1"/>
  <c r="BD20" i="1" s="1"/>
  <c r="AY43" i="1"/>
  <c r="AO65" i="1"/>
  <c r="AR71" i="1"/>
  <c r="BD66" i="1"/>
  <c r="AT67" i="1"/>
  <c r="BN42" i="1"/>
  <c r="BN20" i="1" s="1"/>
  <c r="BA55" i="1"/>
  <c r="BQ71" i="1"/>
  <c r="AQ66" i="1"/>
  <c r="BG28" i="1"/>
  <c r="BG251" i="1" s="1"/>
  <c r="AT55" i="1"/>
  <c r="AS33" i="1"/>
  <c r="BW34" i="1"/>
  <c r="AZ29" i="1"/>
  <c r="BU33" i="1"/>
  <c r="BM41" i="1"/>
  <c r="BV93" i="1"/>
  <c r="BH94" i="1"/>
  <c r="BW56" i="1"/>
  <c r="BM163" i="1"/>
  <c r="BN163" i="1" s="1"/>
  <c r="AW40" i="1"/>
  <c r="AV28" i="1"/>
  <c r="AV251" i="1" s="1"/>
  <c r="AT65" i="1"/>
  <c r="AZ56" i="1"/>
  <c r="BW66" i="1"/>
  <c r="BH65" i="1"/>
  <c r="BM35" i="1"/>
  <c r="AX56" i="1"/>
  <c r="BQ66" i="1"/>
  <c r="BP65" i="1"/>
  <c r="BT35" i="1"/>
  <c r="BP42" i="1"/>
  <c r="BP20" i="1" s="1"/>
  <c r="BF52" i="1"/>
  <c r="BF214" i="1" s="1"/>
  <c r="BW71" i="1"/>
  <c r="BV71" i="1"/>
  <c r="BK71" i="1"/>
  <c r="AI28" i="1"/>
  <c r="AI200" i="1" s="1"/>
  <c r="BJ67" i="1"/>
  <c r="AP55" i="1"/>
  <c r="BB67" i="1"/>
  <c r="BI42" i="1"/>
  <c r="BI20" i="1" s="1"/>
  <c r="AX59" i="1"/>
  <c r="BM180" i="1"/>
  <c r="AW55" i="1"/>
  <c r="BD40" i="1"/>
  <c r="BU52" i="1"/>
  <c r="BU214" i="1" s="1"/>
  <c r="AR55" i="1"/>
  <c r="BA35" i="1"/>
  <c r="AN34" i="1"/>
  <c r="BV34" i="1"/>
  <c r="BB41" i="1"/>
  <c r="AV43" i="1"/>
  <c r="AX41" i="1"/>
  <c r="BS34" i="1"/>
  <c r="AT40" i="1"/>
  <c r="BQ28" i="1"/>
  <c r="BQ251" i="1" s="1"/>
  <c r="BA34" i="1"/>
  <c r="BV52" i="1"/>
  <c r="BV214" i="1" s="1"/>
  <c r="AU43" i="1"/>
  <c r="BP40" i="1"/>
  <c r="AW41" i="1"/>
  <c r="BA71" i="1"/>
  <c r="AQ35" i="1"/>
  <c r="BC155" i="1"/>
  <c r="BD155" i="1" s="1"/>
  <c r="AP59" i="1"/>
  <c r="BC163" i="1"/>
  <c r="BD163" i="1" s="1"/>
  <c r="BQ52" i="1"/>
  <c r="BQ214" i="1" s="1"/>
  <c r="BC94" i="1"/>
  <c r="BM137" i="1"/>
  <c r="BN137" i="1" s="1"/>
  <c r="BM157" i="1"/>
  <c r="BN157" i="1" s="1"/>
  <c r="AQ41" i="1"/>
  <c r="BP59" i="1"/>
  <c r="AT42" i="1"/>
  <c r="BT52" i="1"/>
  <c r="BT214" i="1" s="1"/>
  <c r="AN55" i="1"/>
  <c r="AU28" i="1"/>
  <c r="AZ52" i="1"/>
  <c r="BV40" i="1"/>
  <c r="BD33" i="1"/>
  <c r="BQ35" i="1"/>
  <c r="AU33" i="1"/>
  <c r="AQ65" i="1"/>
  <c r="BW33" i="1"/>
  <c r="AU29" i="1"/>
  <c r="BM65" i="1"/>
  <c r="AI35" i="1"/>
  <c r="BE55" i="1"/>
  <c r="BM33" i="1"/>
  <c r="AX66" i="1"/>
  <c r="BI33" i="1"/>
  <c r="BO40" i="1"/>
  <c r="AI52" i="1"/>
  <c r="AI214" i="1" s="1"/>
  <c r="AT33" i="1"/>
  <c r="AP33" i="1"/>
  <c r="AV59" i="1"/>
  <c r="AO28" i="1"/>
  <c r="AO251" i="1" s="1"/>
  <c r="BN29" i="1"/>
  <c r="BR33" i="1"/>
  <c r="BW41" i="1"/>
  <c r="BI56" i="1"/>
  <c r="BU35" i="1"/>
  <c r="BP71" i="1"/>
  <c r="BH71" i="1"/>
  <c r="AN33" i="1"/>
  <c r="BH56" i="1"/>
  <c r="AI42" i="1"/>
  <c r="BO29" i="1"/>
  <c r="AN40" i="1"/>
  <c r="BT28" i="1"/>
  <c r="AX42" i="1"/>
  <c r="AX33" i="1"/>
  <c r="BM170" i="1"/>
  <c r="BN170" i="1" s="1"/>
  <c r="AU65" i="1"/>
  <c r="BC40" i="1"/>
  <c r="BH55" i="1"/>
  <c r="AS59" i="1"/>
  <c r="AU35" i="1"/>
  <c r="BK44" i="1"/>
  <c r="BA28" i="1"/>
  <c r="BE67" i="1"/>
  <c r="BV67" i="1"/>
  <c r="AY71" i="1"/>
  <c r="AZ66" i="1"/>
  <c r="BQ55" i="1"/>
  <c r="AU66" i="1"/>
  <c r="AS52" i="1"/>
  <c r="AY33" i="1"/>
  <c r="BK55" i="1"/>
  <c r="BD67" i="1"/>
  <c r="AS42" i="1"/>
  <c r="BK28" i="1"/>
  <c r="AQ67" i="1"/>
  <c r="AI55" i="1"/>
  <c r="AU52" i="1"/>
  <c r="AU214" i="1" s="1"/>
  <c r="BJ66" i="1"/>
  <c r="BH43" i="1"/>
  <c r="BH22" i="1" s="1"/>
  <c r="AS66" i="1"/>
  <c r="BR65" i="1"/>
  <c r="AU34" i="1"/>
  <c r="AQ56" i="1"/>
  <c r="AQ272" i="1" s="1"/>
  <c r="AS40" i="1"/>
  <c r="AR67" i="1"/>
  <c r="BF44" i="1"/>
  <c r="AQ55" i="1"/>
  <c r="BC55" i="1"/>
  <c r="BD35" i="1"/>
  <c r="BG43" i="1"/>
  <c r="BG22" i="1" s="1"/>
  <c r="BR55" i="1"/>
  <c r="AI43" i="1"/>
  <c r="BM34" i="1"/>
  <c r="BF66" i="1"/>
  <c r="BA66" i="1"/>
  <c r="AQ71" i="1"/>
  <c r="AO55" i="1"/>
  <c r="AP66" i="1"/>
  <c r="BF34" i="1"/>
  <c r="BH28" i="1"/>
  <c r="BH251" i="1" s="1"/>
  <c r="BN44" i="1"/>
  <c r="BU66" i="1"/>
  <c r="AO44" i="1"/>
  <c r="AN44" i="1"/>
  <c r="AW67" i="1"/>
  <c r="BO44" i="1"/>
  <c r="AR59" i="1"/>
  <c r="BB28" i="1"/>
  <c r="BB251" i="1" s="1"/>
  <c r="BW29" i="1"/>
  <c r="AX40" i="1"/>
  <c r="BI34" i="1"/>
  <c r="BA56" i="1"/>
  <c r="BV28" i="1"/>
  <c r="BV251" i="1" s="1"/>
  <c r="BA65" i="1"/>
  <c r="AI66" i="1"/>
  <c r="BK41" i="1"/>
  <c r="AN43" i="1"/>
  <c r="BC67" i="1"/>
  <c r="AQ34" i="1"/>
  <c r="BU65" i="1"/>
  <c r="BT56" i="1"/>
  <c r="AW35" i="1"/>
  <c r="AN59" i="1"/>
  <c r="AO41" i="1"/>
  <c r="BP55" i="1"/>
  <c r="AZ35" i="1"/>
  <c r="BP66" i="1"/>
  <c r="BT55" i="1"/>
  <c r="AR28" i="1"/>
  <c r="AR251" i="1" s="1"/>
  <c r="AQ33" i="1"/>
  <c r="BU67" i="1"/>
  <c r="AW56" i="1"/>
  <c r="BF28" i="1"/>
  <c r="BF251" i="1" s="1"/>
  <c r="BK52" i="1"/>
  <c r="BR59" i="1"/>
  <c r="BQ67" i="1"/>
  <c r="BC34" i="1"/>
  <c r="BH29" i="1"/>
  <c r="BQ44" i="1"/>
  <c r="BO34" i="1"/>
  <c r="BE44" i="1"/>
  <c r="BI66" i="1"/>
  <c r="BE35" i="1"/>
  <c r="BK56" i="1"/>
  <c r="AV67" i="1"/>
  <c r="BI67" i="1"/>
  <c r="BC71" i="1"/>
  <c r="AY67" i="1"/>
  <c r="BU44" i="1"/>
  <c r="AY41" i="1"/>
  <c r="BD34" i="1"/>
  <c r="BI65" i="1"/>
  <c r="BA67" i="1"/>
  <c r="BC29" i="1"/>
  <c r="AW43" i="1"/>
  <c r="BQ33" i="1"/>
  <c r="AY42" i="1"/>
  <c r="AN35" i="1"/>
  <c r="AO34" i="1"/>
  <c r="AP43" i="1"/>
  <c r="AT66" i="1"/>
  <c r="BH93" i="1"/>
  <c r="M53" i="1"/>
  <c r="M158" i="1"/>
  <c r="M264" i="1" s="1"/>
  <c r="H217" i="1"/>
  <c r="U158" i="1"/>
  <c r="U266" i="1" s="1"/>
  <c r="CS37" i="1"/>
  <c r="CT37" i="1" s="1"/>
  <c r="CU37" i="1" s="1"/>
  <c r="J53" i="1"/>
  <c r="N269" i="1"/>
  <c r="N271" i="1" s="1"/>
  <c r="N268" i="1"/>
  <c r="CQ85" i="1"/>
  <c r="CR83" i="1"/>
  <c r="CO269" i="1"/>
  <c r="CO226" i="1"/>
  <c r="V83" i="1"/>
  <c r="W85" i="1"/>
  <c r="BZ213" i="1"/>
  <c r="BZ215" i="1" s="1"/>
  <c r="BZ72" i="1"/>
  <c r="BZ139" i="1"/>
  <c r="BZ140" i="1" s="1"/>
  <c r="CQ203" i="1"/>
  <c r="Y115" i="1"/>
  <c r="Y114" i="1"/>
  <c r="Y116" i="1"/>
  <c r="CQ199" i="1"/>
  <c r="CO201" i="1"/>
  <c r="CN202" i="1"/>
  <c r="CE124" i="1"/>
  <c r="CE122" i="1"/>
  <c r="CE123" i="1"/>
  <c r="CR160" i="1"/>
  <c r="CR222" i="1" s="1"/>
  <c r="CQ144" i="1"/>
  <c r="CP148" i="1"/>
  <c r="X74" i="1"/>
  <c r="X213" i="1"/>
  <c r="X215" i="1" s="1"/>
  <c r="X72" i="1"/>
  <c r="X86" i="1"/>
  <c r="CJ227" i="1"/>
  <c r="CJ225" i="1" s="1"/>
  <c r="CJ149" i="1"/>
  <c r="CJ75" i="1" s="1"/>
  <c r="CJ112" i="1"/>
  <c r="CC85" i="1"/>
  <c r="CB83" i="1"/>
  <c r="AJ149" i="1"/>
  <c r="AJ227" i="1"/>
  <c r="AJ225" i="1" s="1"/>
  <c r="CE114" i="1"/>
  <c r="CE116" i="1"/>
  <c r="CE115" i="1"/>
  <c r="Y72" i="1"/>
  <c r="Y227" i="1"/>
  <c r="Y225" i="1" s="1"/>
  <c r="Y74" i="1"/>
  <c r="Y86" i="1"/>
  <c r="Y213" i="1"/>
  <c r="Y215" i="1" s="1"/>
  <c r="Y219" i="1" s="1"/>
  <c r="Y233" i="1" s="1"/>
  <c r="CF213" i="1"/>
  <c r="CF215" i="1" s="1"/>
  <c r="CF139" i="1"/>
  <c r="CF140" i="1" s="1"/>
  <c r="CF86" i="1"/>
  <c r="CF72" i="1"/>
  <c r="N149" i="1"/>
  <c r="N75" i="1" s="1"/>
  <c r="Z227" i="1"/>
  <c r="Z225" i="1" s="1"/>
  <c r="Z72" i="1"/>
  <c r="Z213" i="1"/>
  <c r="Z215" i="1" s="1"/>
  <c r="Z219" i="1" s="1"/>
  <c r="Z233" i="1" s="1"/>
  <c r="Z86" i="1"/>
  <c r="Z74" i="1"/>
  <c r="CD127" i="1"/>
  <c r="CD128" i="1"/>
  <c r="CD119" i="1"/>
  <c r="X128" i="1"/>
  <c r="X131" i="1" s="1"/>
  <c r="X134" i="1" s="1"/>
  <c r="X127" i="1"/>
  <c r="X130" i="1" s="1"/>
  <c r="X133" i="1" s="1"/>
  <c r="X112" i="1"/>
  <c r="X119" i="1"/>
  <c r="Y123" i="1"/>
  <c r="Y122" i="1"/>
  <c r="Y124" i="1"/>
  <c r="BM171" i="1"/>
  <c r="BN171" i="1" s="1"/>
  <c r="AQ173" i="1"/>
  <c r="V158" i="1"/>
  <c r="V266" i="1" s="1"/>
  <c r="BQ171" i="1"/>
  <c r="BR171" i="1" s="1"/>
  <c r="N226" i="1"/>
  <c r="M226" i="1"/>
  <c r="D158" i="1"/>
  <c r="D223" i="1" s="1"/>
  <c r="D221" i="1" s="1"/>
  <c r="L158" i="1"/>
  <c r="L266" i="1" s="1"/>
  <c r="R74" i="1"/>
  <c r="U149" i="1"/>
  <c r="U75" i="1" s="1"/>
  <c r="W158" i="1"/>
  <c r="X223" i="1" s="1"/>
  <c r="X221" i="1" s="1"/>
  <c r="B158" i="1"/>
  <c r="C223" i="1" s="1"/>
  <c r="C221" i="1" s="1"/>
  <c r="U57" i="1"/>
  <c r="P227" i="1"/>
  <c r="D268" i="1"/>
  <c r="Q227" i="1"/>
  <c r="O268" i="1"/>
  <c r="P195" i="1"/>
  <c r="O195" i="1"/>
  <c r="G268" i="1"/>
  <c r="B188" i="1"/>
  <c r="B129" i="1" s="1"/>
  <c r="B130" i="1" s="1"/>
  <c r="B133" i="1" s="1"/>
  <c r="C268" i="1"/>
  <c r="D226" i="1"/>
  <c r="E149" i="1"/>
  <c r="E75" i="1" s="1"/>
  <c r="F268" i="1"/>
  <c r="G149" i="1"/>
  <c r="G75" i="1" s="1"/>
  <c r="G188" i="1"/>
  <c r="G129" i="1" s="1"/>
  <c r="N227" i="1"/>
  <c r="M227" i="1"/>
  <c r="P149" i="1"/>
  <c r="P75" i="1" s="1"/>
  <c r="R158" i="1"/>
  <c r="R266" i="1" s="1"/>
  <c r="M268" i="1"/>
  <c r="E227" i="1"/>
  <c r="J149" i="1"/>
  <c r="J75" i="1" s="1"/>
  <c r="D188" i="1"/>
  <c r="D129" i="1" s="1"/>
  <c r="P226" i="1"/>
  <c r="J195" i="1"/>
  <c r="R149" i="1"/>
  <c r="R75" i="1" s="1"/>
  <c r="L216" i="1"/>
  <c r="G227" i="1"/>
  <c r="J268" i="1"/>
  <c r="F74" i="1"/>
  <c r="K269" i="1"/>
  <c r="K271" i="1" s="1"/>
  <c r="M149" i="1"/>
  <c r="M75" i="1" s="1"/>
  <c r="J227" i="1"/>
  <c r="D195" i="1"/>
  <c r="L195" i="1"/>
  <c r="P57" i="1"/>
  <c r="P269" i="1"/>
  <c r="P271" i="1" s="1"/>
  <c r="D149" i="1"/>
  <c r="D75" i="1" s="1"/>
  <c r="P74" i="1"/>
  <c r="R227" i="1"/>
  <c r="J188" i="1"/>
  <c r="J129" i="1" s="1"/>
  <c r="O227" i="1"/>
  <c r="O269" i="1"/>
  <c r="O271" i="1" s="1"/>
  <c r="N53" i="1"/>
  <c r="K227" i="1"/>
  <c r="M74" i="1"/>
  <c r="F227" i="1"/>
  <c r="S217" i="1"/>
  <c r="R268" i="1"/>
  <c r="M188" i="1"/>
  <c r="M129" i="1" s="1"/>
  <c r="V226" i="1"/>
  <c r="U268" i="1"/>
  <c r="C128" i="1"/>
  <c r="K216" i="1"/>
  <c r="U74" i="1"/>
  <c r="C53" i="1"/>
  <c r="D229" i="1"/>
  <c r="C86" i="1"/>
  <c r="C88" i="1" s="1"/>
  <c r="L74" i="1"/>
  <c r="J216" i="1"/>
  <c r="O57" i="1"/>
  <c r="U188" i="1"/>
  <c r="U129" i="1" s="1"/>
  <c r="G57" i="1"/>
  <c r="O229" i="1"/>
  <c r="N266" i="1"/>
  <c r="O149" i="1"/>
  <c r="O75" i="1" s="1"/>
  <c r="K177" i="1"/>
  <c r="J177" i="1"/>
  <c r="J185" i="1" s="1"/>
  <c r="O188" i="1"/>
  <c r="O129" i="1" s="1"/>
  <c r="U195" i="1"/>
  <c r="B74" i="1"/>
  <c r="N264" i="1"/>
  <c r="N188" i="1"/>
  <c r="N129" i="1" s="1"/>
  <c r="R188" i="1"/>
  <c r="R129" i="1" s="1"/>
  <c r="C226" i="1"/>
  <c r="C188" i="1"/>
  <c r="C129" i="1" s="1"/>
  <c r="C130" i="1" s="1"/>
  <c r="C133" i="1" s="1"/>
  <c r="B57" i="1"/>
  <c r="P229" i="1"/>
  <c r="S268" i="1"/>
  <c r="W269" i="1"/>
  <c r="W271" i="1" s="1"/>
  <c r="C74" i="1"/>
  <c r="AN226" i="1"/>
  <c r="R205" i="1"/>
  <c r="R204" i="1" s="1"/>
  <c r="O53" i="1"/>
  <c r="R177" i="1"/>
  <c r="H269" i="1"/>
  <c r="H271" i="1" s="1"/>
  <c r="E74" i="1"/>
  <c r="O226" i="1"/>
  <c r="H226" i="1"/>
  <c r="U227" i="1"/>
  <c r="H188" i="1"/>
  <c r="H129" i="1" s="1"/>
  <c r="P53" i="1"/>
  <c r="H149" i="1"/>
  <c r="H75" i="1" s="1"/>
  <c r="G206" i="1"/>
  <c r="N177" i="1"/>
  <c r="N185" i="1" s="1"/>
  <c r="J269" i="1"/>
  <c r="J271" i="1" s="1"/>
  <c r="H74" i="1"/>
  <c r="H57" i="1"/>
  <c r="T195" i="1"/>
  <c r="G177" i="1"/>
  <c r="F177" i="1"/>
  <c r="H216" i="1"/>
  <c r="U269" i="1"/>
  <c r="U271" i="1" s="1"/>
  <c r="H227" i="1"/>
  <c r="G216" i="1"/>
  <c r="T227" i="1"/>
  <c r="U216" i="1"/>
  <c r="F216" i="1"/>
  <c r="O217" i="1"/>
  <c r="D217" i="1"/>
  <c r="U177" i="1"/>
  <c r="C206" i="1"/>
  <c r="C177" i="1"/>
  <c r="C185" i="1" s="1"/>
  <c r="H205" i="1"/>
  <c r="H204" i="1" s="1"/>
  <c r="T188" i="1"/>
  <c r="T129" i="1" s="1"/>
  <c r="E216" i="1"/>
  <c r="E226" i="1"/>
  <c r="I188" i="1"/>
  <c r="I129" i="1" s="1"/>
  <c r="H268" i="1"/>
  <c r="L177" i="1"/>
  <c r="D227" i="1"/>
  <c r="C149" i="1"/>
  <c r="C75" i="1" s="1"/>
  <c r="I227" i="1"/>
  <c r="E158" i="1"/>
  <c r="U206" i="1"/>
  <c r="T53" i="1"/>
  <c r="B149" i="1"/>
  <c r="B75" i="1" s="1"/>
  <c r="I217" i="1"/>
  <c r="B268" i="1"/>
  <c r="M177" i="1"/>
  <c r="T177" i="1"/>
  <c r="T185" i="1" s="1"/>
  <c r="N217" i="1"/>
  <c r="T206" i="1"/>
  <c r="E177" i="1"/>
  <c r="M217" i="1"/>
  <c r="AN222" i="1"/>
  <c r="B89" i="1"/>
  <c r="B105" i="1" s="1"/>
  <c r="Q268" i="1"/>
  <c r="V217" i="1"/>
  <c r="T217" i="1"/>
  <c r="C227" i="1"/>
  <c r="U217" i="1"/>
  <c r="P217" i="1"/>
  <c r="S158" i="1"/>
  <c r="S266" i="1" s="1"/>
  <c r="V177" i="1"/>
  <c r="C269" i="1"/>
  <c r="C271" i="1" s="1"/>
  <c r="G158" i="1"/>
  <c r="G53" i="1"/>
  <c r="D269" i="1"/>
  <c r="D271" i="1" s="1"/>
  <c r="AN269" i="1"/>
  <c r="S226" i="1"/>
  <c r="V216" i="1"/>
  <c r="T216" i="1"/>
  <c r="F188" i="1"/>
  <c r="F129" i="1" s="1"/>
  <c r="F269" i="1"/>
  <c r="F271" i="1" s="1"/>
  <c r="I216" i="1"/>
  <c r="G226" i="1"/>
  <c r="T226" i="1"/>
  <c r="V202" i="1"/>
  <c r="V206" i="1" s="1"/>
  <c r="V269" i="1"/>
  <c r="V271" i="1" s="1"/>
  <c r="G269" i="1"/>
  <c r="G271" i="1" s="1"/>
  <c r="V188" i="1"/>
  <c r="V129" i="1" s="1"/>
  <c r="F149" i="1"/>
  <c r="F75" i="1" s="1"/>
  <c r="Q188" i="1"/>
  <c r="Q129" i="1" s="1"/>
  <c r="S74" i="1"/>
  <c r="S227" i="1"/>
  <c r="S149" i="1"/>
  <c r="S75" i="1" s="1"/>
  <c r="R216" i="1"/>
  <c r="Q216" i="1"/>
  <c r="S188" i="1"/>
  <c r="S129" i="1" s="1"/>
  <c r="D216" i="1"/>
  <c r="D127" i="1"/>
  <c r="T269" i="1"/>
  <c r="T271" i="1" s="1"/>
  <c r="S57" i="1"/>
  <c r="I57" i="1"/>
  <c r="D128" i="1"/>
  <c r="H202" i="1"/>
  <c r="H201" i="1" s="1"/>
  <c r="L149" i="1"/>
  <c r="L75" i="1" s="1"/>
  <c r="D177" i="1"/>
  <c r="E217" i="1"/>
  <c r="V227" i="1"/>
  <c r="O216" i="1"/>
  <c r="P216" i="1"/>
  <c r="E206" i="1"/>
  <c r="K158" i="1"/>
  <c r="J205" i="1"/>
  <c r="J204" i="1" s="1"/>
  <c r="V268" i="1"/>
  <c r="T74" i="1"/>
  <c r="T268" i="1"/>
  <c r="J266" i="1"/>
  <c r="Q74" i="1"/>
  <c r="Q195" i="1"/>
  <c r="I226" i="1"/>
  <c r="J226" i="1"/>
  <c r="R217" i="1"/>
  <c r="Q206" i="1"/>
  <c r="N216" i="1"/>
  <c r="O266" i="1"/>
  <c r="H177" i="1"/>
  <c r="I149" i="1"/>
  <c r="I75" i="1" s="1"/>
  <c r="I269" i="1"/>
  <c r="I271" i="1" s="1"/>
  <c r="Q269" i="1"/>
  <c r="Q271" i="1" s="1"/>
  <c r="T149" i="1"/>
  <c r="T75" i="1" s="1"/>
  <c r="O177" i="1"/>
  <c r="O185" i="1" s="1"/>
  <c r="Q177" i="1"/>
  <c r="R269" i="1"/>
  <c r="R271" i="1" s="1"/>
  <c r="P206" i="1"/>
  <c r="Q217" i="1"/>
  <c r="I205" i="1"/>
  <c r="I204" i="1" s="1"/>
  <c r="Q226" i="1"/>
  <c r="U226" i="1"/>
  <c r="M216" i="1"/>
  <c r="S216" i="1"/>
  <c r="P177" i="1"/>
  <c r="P185" i="1" s="1"/>
  <c r="S177" i="1"/>
  <c r="J217" i="1"/>
  <c r="C217" i="1"/>
  <c r="K217" i="1"/>
  <c r="J264" i="1"/>
  <c r="H53" i="1"/>
  <c r="H158" i="1"/>
  <c r="E57" i="1"/>
  <c r="E188" i="1"/>
  <c r="E129" i="1" s="1"/>
  <c r="F226" i="1"/>
  <c r="T266" i="1"/>
  <c r="I268" i="1"/>
  <c r="I74" i="1"/>
  <c r="I195" i="1"/>
  <c r="D89" i="1"/>
  <c r="D88" i="1"/>
  <c r="K188" i="1"/>
  <c r="K129" i="1" s="1"/>
  <c r="K57" i="1"/>
  <c r="K149" i="1"/>
  <c r="K226" i="1"/>
  <c r="B202" i="1"/>
  <c r="C216" i="1"/>
  <c r="B177" i="1"/>
  <c r="F205" i="1"/>
  <c r="G217" i="1"/>
  <c r="S201" i="1"/>
  <c r="S206" i="1"/>
  <c r="M206" i="1"/>
  <c r="K205" i="1"/>
  <c r="L217" i="1"/>
  <c r="Q57" i="1"/>
  <c r="Q149" i="1"/>
  <c r="Q75" i="1" s="1"/>
  <c r="R226" i="1"/>
  <c r="L269" i="1"/>
  <c r="L271" i="1" s="1"/>
  <c r="L57" i="1"/>
  <c r="L188" i="1"/>
  <c r="L129" i="1" s="1"/>
  <c r="L226" i="1"/>
  <c r="M269" i="1"/>
  <c r="M271" i="1" s="1"/>
  <c r="L229" i="1"/>
  <c r="K268" i="1"/>
  <c r="F217" i="1"/>
  <c r="P264" i="1"/>
  <c r="V195" i="1"/>
  <c r="V74" i="1"/>
  <c r="V149" i="1"/>
  <c r="Q53" i="1"/>
  <c r="Q158" i="1"/>
  <c r="L227" i="1"/>
  <c r="K195" i="1"/>
  <c r="K74" i="1"/>
  <c r="W57" i="1"/>
  <c r="X269" i="1"/>
  <c r="X271" i="1" s="1"/>
  <c r="X226" i="1"/>
  <c r="W226" i="1"/>
  <c r="L268" i="1"/>
  <c r="P266" i="1"/>
  <c r="T264" i="1"/>
  <c r="O264" i="1"/>
  <c r="N206" i="1"/>
  <c r="O201" i="1"/>
  <c r="O206" i="1"/>
  <c r="L201" i="1"/>
  <c r="L206" i="1"/>
  <c r="D201" i="1"/>
  <c r="D206" i="1"/>
  <c r="J201" i="1"/>
  <c r="O223" i="1"/>
  <c r="O221" i="1" s="1"/>
  <c r="P223" i="1"/>
  <c r="P221" i="1" s="1"/>
  <c r="AM65" i="3"/>
  <c r="W97" i="3"/>
  <c r="AN65" i="3"/>
  <c r="AH71" i="3"/>
  <c r="Z69" i="3"/>
  <c r="I264" i="1" l="1"/>
  <c r="J223" i="1"/>
  <c r="J221" i="1" s="1"/>
  <c r="I223" i="1"/>
  <c r="I221" i="1" s="1"/>
  <c r="I266" i="1"/>
  <c r="CQ60" i="1"/>
  <c r="AL72" i="1"/>
  <c r="AL213" i="1"/>
  <c r="AL215" i="1" s="1"/>
  <c r="AL139" i="1"/>
  <c r="AL140" i="1" s="1"/>
  <c r="BL72" i="1"/>
  <c r="BL213" i="1"/>
  <c r="BL215" i="1" s="1"/>
  <c r="BL139" i="1"/>
  <c r="CA213" i="1"/>
  <c r="CA215" i="1" s="1"/>
  <c r="CA72" i="1"/>
  <c r="CD72" i="1"/>
  <c r="CD139" i="1"/>
  <c r="CD140" i="1" s="1"/>
  <c r="CD213" i="1"/>
  <c r="CD215" i="1" s="1"/>
  <c r="AT222" i="1"/>
  <c r="CD86" i="1"/>
  <c r="BS170" i="1"/>
  <c r="BT170" i="1" s="1"/>
  <c r="CB68" i="1"/>
  <c r="CE247" i="1"/>
  <c r="CB63" i="1"/>
  <c r="CF63" i="1"/>
  <c r="Y81" i="1"/>
  <c r="CB64" i="1"/>
  <c r="CB254" i="1"/>
  <c r="CB62" i="1"/>
  <c r="CB265" i="1" s="1"/>
  <c r="CC64" i="1"/>
  <c r="CD247" i="1"/>
  <c r="CC247" i="1"/>
  <c r="BY64" i="1"/>
  <c r="CC63" i="1"/>
  <c r="BY254" i="1"/>
  <c r="BY62" i="1"/>
  <c r="BY265" i="1" s="1"/>
  <c r="BY68" i="1"/>
  <c r="BZ64" i="1"/>
  <c r="CH213" i="1"/>
  <c r="CH215" i="1" s="1"/>
  <c r="CH219" i="1" s="1"/>
  <c r="CH233" i="1" s="1"/>
  <c r="CH86" i="1"/>
  <c r="CH72" i="1"/>
  <c r="CH139" i="1"/>
  <c r="CH140" i="1" s="1"/>
  <c r="CJ247" i="1"/>
  <c r="CG63" i="1"/>
  <c r="CG254" i="1"/>
  <c r="CG68" i="1"/>
  <c r="CG227" i="1" s="1"/>
  <c r="CG225" i="1" s="1"/>
  <c r="CK63" i="1"/>
  <c r="CH64" i="1"/>
  <c r="CG62" i="1"/>
  <c r="CG265" i="1" s="1"/>
  <c r="CG247" i="1"/>
  <c r="CH247" i="1"/>
  <c r="CG64" i="1"/>
  <c r="Z81" i="1"/>
  <c r="CI247" i="1"/>
  <c r="CI72" i="1"/>
  <c r="CI86" i="1"/>
  <c r="CI213" i="1"/>
  <c r="CI215" i="1" s="1"/>
  <c r="CL86" i="1"/>
  <c r="CL72" i="1"/>
  <c r="CO204" i="1"/>
  <c r="CN205" i="1"/>
  <c r="CN206" i="1" s="1"/>
  <c r="BA30" i="1"/>
  <c r="BC272" i="1"/>
  <c r="AY181" i="1"/>
  <c r="AU200" i="1"/>
  <c r="AV200" i="1" s="1"/>
  <c r="BJ36" i="1"/>
  <c r="BJ37" i="1" s="1"/>
  <c r="BJ17" i="1"/>
  <c r="BK273" i="1"/>
  <c r="AZ118" i="1"/>
  <c r="BB272" i="1"/>
  <c r="BM118" i="1"/>
  <c r="AS272" i="1"/>
  <c r="BC203" i="1"/>
  <c r="BD203" i="1" s="1"/>
  <c r="BU181" i="1"/>
  <c r="AS222" i="1"/>
  <c r="BE181" i="1"/>
  <c r="BM154" i="1"/>
  <c r="BN154" i="1" s="1"/>
  <c r="BN158" i="1" s="1"/>
  <c r="BG181" i="1"/>
  <c r="BI154" i="1"/>
  <c r="BJ154" i="1" s="1"/>
  <c r="F266" i="1"/>
  <c r="AS273" i="1"/>
  <c r="AM68" i="1"/>
  <c r="AM213" i="1" s="1"/>
  <c r="AM215" i="1" s="1"/>
  <c r="BW154" i="1"/>
  <c r="BX154" i="1" s="1"/>
  <c r="BX158" i="1" s="1"/>
  <c r="BY223" i="1" s="1"/>
  <c r="BY221" i="1" s="1"/>
  <c r="AN53" i="1"/>
  <c r="BS30" i="1"/>
  <c r="AT272" i="1"/>
  <c r="AQ199" i="1"/>
  <c r="AR199" i="1" s="1"/>
  <c r="AS203" i="1"/>
  <c r="AT203" i="1" s="1"/>
  <c r="BI30" i="1"/>
  <c r="AY273" i="1"/>
  <c r="AV222" i="1"/>
  <c r="AI46" i="1"/>
  <c r="BI181" i="1"/>
  <c r="BW272" i="1"/>
  <c r="BO46" i="1"/>
  <c r="BQ200" i="1"/>
  <c r="BR200" i="1" s="1"/>
  <c r="G223" i="1"/>
  <c r="G221" i="1" s="1"/>
  <c r="BZ118" i="1"/>
  <c r="E223" i="1"/>
  <c r="E221" i="1" s="1"/>
  <c r="BW203" i="1"/>
  <c r="BX203" i="1" s="1"/>
  <c r="BX173" i="1" s="1"/>
  <c r="BX176" i="1" s="1"/>
  <c r="AR30" i="1"/>
  <c r="AR36" i="1" s="1"/>
  <c r="AR37" i="1" s="1"/>
  <c r="BP30" i="1"/>
  <c r="BP17" i="1" s="1"/>
  <c r="AU46" i="1"/>
  <c r="BG199" i="1"/>
  <c r="BH199" i="1" s="1"/>
  <c r="BW200" i="1"/>
  <c r="BX200" i="1" s="1"/>
  <c r="BX165" i="1" s="1"/>
  <c r="AU203" i="1"/>
  <c r="AV203" i="1" s="1"/>
  <c r="F185" i="1"/>
  <c r="F186" i="1" s="1"/>
  <c r="BW30" i="1"/>
  <c r="AY200" i="1"/>
  <c r="AZ200" i="1" s="1"/>
  <c r="AU272" i="1"/>
  <c r="BG46" i="1"/>
  <c r="BE154" i="1"/>
  <c r="BF154" i="1" s="1"/>
  <c r="BG53" i="1" s="1"/>
  <c r="AX272" i="1"/>
  <c r="AQ200" i="1"/>
  <c r="AR200" i="1" s="1"/>
  <c r="AS46" i="1"/>
  <c r="BT273" i="1"/>
  <c r="BO272" i="1"/>
  <c r="BC154" i="1"/>
  <c r="BD154" i="1" s="1"/>
  <c r="BD158" i="1" s="1"/>
  <c r="BK30" i="1"/>
  <c r="BK203" i="1"/>
  <c r="BL203" i="1" s="1"/>
  <c r="BC30" i="1"/>
  <c r="BM181" i="1"/>
  <c r="AY203" i="1"/>
  <c r="AZ203" i="1" s="1"/>
  <c r="BG203" i="1"/>
  <c r="BH203" i="1" s="1"/>
  <c r="AV46" i="1"/>
  <c r="BW199" i="1"/>
  <c r="BX199" i="1" s="1"/>
  <c r="BX164" i="1" s="1"/>
  <c r="BO200" i="1"/>
  <c r="BP200" i="1" s="1"/>
  <c r="BG273" i="1"/>
  <c r="BO30" i="1"/>
  <c r="BO17" i="1" s="1"/>
  <c r="AR272" i="1"/>
  <c r="BO199" i="1"/>
  <c r="BP199" i="1" s="1"/>
  <c r="BX140" i="1"/>
  <c r="AY140" i="1"/>
  <c r="BY118" i="1"/>
  <c r="BQ199" i="1"/>
  <c r="BR199" i="1" s="1"/>
  <c r="BV272" i="1"/>
  <c r="BC181" i="1"/>
  <c r="BI140" i="1"/>
  <c r="BS168" i="1"/>
  <c r="BS202" i="1" s="1"/>
  <c r="BO181" i="1"/>
  <c r="AQ140" i="1"/>
  <c r="BW181" i="1"/>
  <c r="AO181" i="1"/>
  <c r="BV30" i="1"/>
  <c r="AS154" i="1"/>
  <c r="AT53" i="1" s="1"/>
  <c r="BD148" i="1"/>
  <c r="AU154" i="1"/>
  <c r="AU158" i="1" s="1"/>
  <c r="BM222" i="1"/>
  <c r="BI148" i="1"/>
  <c r="BX118" i="1"/>
  <c r="BJ222" i="1"/>
  <c r="AO203" i="1"/>
  <c r="AP203" i="1" s="1"/>
  <c r="AO30" i="1"/>
  <c r="AO31" i="1" s="1"/>
  <c r="BP273" i="1"/>
  <c r="BU168" i="1"/>
  <c r="BU202" i="1" s="1"/>
  <c r="BQ273" i="1"/>
  <c r="AO199" i="1"/>
  <c r="AP199" i="1" s="1"/>
  <c r="AZ273" i="1"/>
  <c r="BR46" i="1"/>
  <c r="BG154" i="1"/>
  <c r="BG158" i="1" s="1"/>
  <c r="BC46" i="1"/>
  <c r="BU203" i="1"/>
  <c r="BV203" i="1" s="1"/>
  <c r="BH30" i="1"/>
  <c r="N223" i="1"/>
  <c r="N221" i="1" s="1"/>
  <c r="AQ30" i="1"/>
  <c r="AQ36" i="1" s="1"/>
  <c r="BA199" i="1"/>
  <c r="BB199" i="1" s="1"/>
  <c r="AI53" i="1"/>
  <c r="BU30" i="1"/>
  <c r="AP148" i="1"/>
  <c r="AW251" i="1"/>
  <c r="U185" i="1"/>
  <c r="U186" i="1" s="1"/>
  <c r="BD273" i="1"/>
  <c r="M225" i="1"/>
  <c r="AO273" i="1"/>
  <c r="AN272" i="1"/>
  <c r="BU272" i="1"/>
  <c r="AQ154" i="1"/>
  <c r="AR154" i="1" s="1"/>
  <c r="AS53" i="1" s="1"/>
  <c r="BA154" i="1"/>
  <c r="BB154" i="1" s="1"/>
  <c r="BC273" i="1"/>
  <c r="BQ272" i="1"/>
  <c r="BP272" i="1"/>
  <c r="AO200" i="1"/>
  <c r="AP200" i="1" s="1"/>
  <c r="BQ154" i="1"/>
  <c r="BQ158" i="1" s="1"/>
  <c r="BQ30" i="1"/>
  <c r="BD46" i="1"/>
  <c r="BU200" i="1"/>
  <c r="BV200" i="1" s="1"/>
  <c r="AO272" i="1"/>
  <c r="BS272" i="1"/>
  <c r="BU199" i="1"/>
  <c r="BV199" i="1" s="1"/>
  <c r="AU199" i="1"/>
  <c r="AV199" i="1" s="1"/>
  <c r="AT30" i="1"/>
  <c r="AT36" i="1" s="1"/>
  <c r="AT37" i="1" s="1"/>
  <c r="BO154" i="1"/>
  <c r="BP53" i="1" s="1"/>
  <c r="BD272" i="1"/>
  <c r="BU140" i="1"/>
  <c r="BC140" i="1"/>
  <c r="BG200" i="1"/>
  <c r="BH200" i="1" s="1"/>
  <c r="BS199" i="1"/>
  <c r="BT199" i="1" s="1"/>
  <c r="AW181" i="1"/>
  <c r="H218" i="1"/>
  <c r="H219" i="1" s="1"/>
  <c r="BN222" i="1"/>
  <c r="BK154" i="1"/>
  <c r="BL154" i="1" s="1"/>
  <c r="BS181" i="1"/>
  <c r="U223" i="1"/>
  <c r="U221" i="1" s="1"/>
  <c r="U264" i="1"/>
  <c r="N186" i="1"/>
  <c r="BB46" i="1"/>
  <c r="BA200" i="1"/>
  <c r="BB200" i="1" s="1"/>
  <c r="BF46" i="1"/>
  <c r="AW200" i="1"/>
  <c r="AX200" i="1" s="1"/>
  <c r="BS46" i="1"/>
  <c r="BU46" i="1"/>
  <c r="AR46" i="1"/>
  <c r="BK46" i="1"/>
  <c r="BN273" i="1"/>
  <c r="BE200" i="1"/>
  <c r="BF200" i="1" s="1"/>
  <c r="BF272" i="1"/>
  <c r="M266" i="1"/>
  <c r="AZ214" i="1"/>
  <c r="BU273" i="1"/>
  <c r="BP46" i="1"/>
  <c r="BM46" i="1"/>
  <c r="AY30" i="1"/>
  <c r="AY36" i="1" s="1"/>
  <c r="AY37" i="1" s="1"/>
  <c r="BN46" i="1"/>
  <c r="AQ273" i="1"/>
  <c r="BS200" i="1"/>
  <c r="BN118" i="1"/>
  <c r="BT46" i="1"/>
  <c r="AY154" i="1"/>
  <c r="AZ53" i="1" s="1"/>
  <c r="BS203" i="1"/>
  <c r="BT203" i="1" s="1"/>
  <c r="BS251" i="1"/>
  <c r="AU148" i="1"/>
  <c r="BC148" i="1"/>
  <c r="BG30" i="1"/>
  <c r="BG17" i="1" s="1"/>
  <c r="BA46" i="1"/>
  <c r="AS200" i="1"/>
  <c r="AT200" i="1" s="1"/>
  <c r="BJ214" i="1"/>
  <c r="AW273" i="1"/>
  <c r="AS30" i="1"/>
  <c r="BR118" i="1"/>
  <c r="BA140" i="1"/>
  <c r="AR137" i="1"/>
  <c r="BO140" i="1"/>
  <c r="BK272" i="1"/>
  <c r="AP118" i="1"/>
  <c r="AT118" i="1"/>
  <c r="BC200" i="1"/>
  <c r="BD200" i="1" s="1"/>
  <c r="BQ203" i="1"/>
  <c r="BR203" i="1" s="1"/>
  <c r="BE222" i="1"/>
  <c r="BW222" i="1"/>
  <c r="BC222" i="1"/>
  <c r="M223" i="1"/>
  <c r="M221" i="1" s="1"/>
  <c r="M185" i="1"/>
  <c r="M186" i="1" s="1"/>
  <c r="N225" i="1"/>
  <c r="V264" i="1"/>
  <c r="V185" i="1"/>
  <c r="V186" i="1" s="1"/>
  <c r="BV222" i="1"/>
  <c r="BD222" i="1"/>
  <c r="BG148" i="1"/>
  <c r="BU148" i="1"/>
  <c r="AQ181" i="1"/>
  <c r="AQ222" i="1"/>
  <c r="BB148" i="1"/>
  <c r="AS181" i="1"/>
  <c r="AW222" i="1"/>
  <c r="BA222" i="1"/>
  <c r="AO148" i="1"/>
  <c r="AO269" i="1" s="1"/>
  <c r="BT148" i="1"/>
  <c r="BA148" i="1"/>
  <c r="BU222" i="1"/>
  <c r="BI222" i="1"/>
  <c r="BB222" i="1"/>
  <c r="BM200" i="1"/>
  <c r="BN200" i="1" s="1"/>
  <c r="AV148" i="1"/>
  <c r="BM203" i="1"/>
  <c r="BN203" i="1" s="1"/>
  <c r="BQ46" i="1"/>
  <c r="BV46" i="1"/>
  <c r="BM272" i="1"/>
  <c r="BS154" i="1"/>
  <c r="BT53" i="1" s="1"/>
  <c r="AV272" i="1"/>
  <c r="BJ137" i="1"/>
  <c r="BQ168" i="1"/>
  <c r="BQ202" i="1" s="1"/>
  <c r="BA168" i="1"/>
  <c r="BA202" i="1" s="1"/>
  <c r="AX46" i="1"/>
  <c r="BN214" i="1"/>
  <c r="BP118" i="1"/>
  <c r="BM251" i="1"/>
  <c r="BI176" i="1"/>
  <c r="BI205" i="1" s="1"/>
  <c r="BE176" i="1"/>
  <c r="BE205" i="1" s="1"/>
  <c r="BE140" i="1"/>
  <c r="AR222" i="1"/>
  <c r="BD118" i="1"/>
  <c r="AZ30" i="1"/>
  <c r="AQ251" i="1"/>
  <c r="BG140" i="1"/>
  <c r="V223" i="1"/>
  <c r="V221" i="1" s="1"/>
  <c r="BO273" i="1"/>
  <c r="BK251" i="1"/>
  <c r="BH118" i="1"/>
  <c r="BR30" i="1"/>
  <c r="AR273" i="1"/>
  <c r="AI223" i="1"/>
  <c r="AI221" i="1" s="1"/>
  <c r="BB273" i="1"/>
  <c r="BO118" i="1"/>
  <c r="AW203" i="1"/>
  <c r="AX203" i="1" s="1"/>
  <c r="BG168" i="1"/>
  <c r="BG202" i="1" s="1"/>
  <c r="AU140" i="1"/>
  <c r="BE272" i="1"/>
  <c r="BC199" i="1"/>
  <c r="AN46" i="1"/>
  <c r="BA181" i="1"/>
  <c r="AZ46" i="1"/>
  <c r="BW46" i="1"/>
  <c r="BG272" i="1"/>
  <c r="BK199" i="1"/>
  <c r="BL199" i="1" s="1"/>
  <c r="BL164" i="1" s="1"/>
  <c r="BA203" i="1"/>
  <c r="BB203" i="1" s="1"/>
  <c r="BI203" i="1"/>
  <c r="BJ203" i="1" s="1"/>
  <c r="BX148" i="1"/>
  <c r="BY269" i="1" s="1"/>
  <c r="BY271" i="1" s="1"/>
  <c r="AS168" i="1"/>
  <c r="AS202" i="1" s="1"/>
  <c r="AO168" i="1"/>
  <c r="AO202" i="1" s="1"/>
  <c r="BO176" i="1"/>
  <c r="BO205" i="1" s="1"/>
  <c r="AQ46" i="1"/>
  <c r="BE199" i="1"/>
  <c r="BF199" i="1" s="1"/>
  <c r="BU154" i="1"/>
  <c r="BV154" i="1" s="1"/>
  <c r="BQ140" i="1"/>
  <c r="AW154" i="1"/>
  <c r="AX154" i="1" s="1"/>
  <c r="BO148" i="1"/>
  <c r="AU168" i="1"/>
  <c r="AU202" i="1" s="1"/>
  <c r="BK200" i="1"/>
  <c r="BL200" i="1" s="1"/>
  <c r="BL165" i="1" s="1"/>
  <c r="BK181" i="1"/>
  <c r="AX148" i="1"/>
  <c r="BB118" i="1"/>
  <c r="BH273" i="1"/>
  <c r="AU251" i="1"/>
  <c r="BK214" i="1"/>
  <c r="AU273" i="1"/>
  <c r="BM273" i="1"/>
  <c r="AU30" i="1"/>
  <c r="AZ272" i="1"/>
  <c r="BC118" i="1"/>
  <c r="AI199" i="1"/>
  <c r="AJ199" i="1" s="1"/>
  <c r="AW30" i="1"/>
  <c r="AS140" i="1"/>
  <c r="AW140" i="1"/>
  <c r="BK168" i="1"/>
  <c r="BK202" i="1" s="1"/>
  <c r="BJ144" i="1"/>
  <c r="BJ148" i="1" s="1"/>
  <c r="BV162" i="1"/>
  <c r="AQ176" i="1"/>
  <c r="AQ205" i="1" s="1"/>
  <c r="BH272" i="1"/>
  <c r="BN30" i="1"/>
  <c r="AT46" i="1"/>
  <c r="BI46" i="1"/>
  <c r="AY46" i="1"/>
  <c r="BN272" i="1"/>
  <c r="BQ222" i="1"/>
  <c r="AW272" i="1"/>
  <c r="BF222" i="1"/>
  <c r="BQ118" i="1"/>
  <c r="BW273" i="1"/>
  <c r="BR222" i="1"/>
  <c r="BA251" i="1"/>
  <c r="BM148" i="1"/>
  <c r="AT148" i="1"/>
  <c r="BH148" i="1"/>
  <c r="BE46" i="1"/>
  <c r="BM199" i="1"/>
  <c r="BN199" i="1" s="1"/>
  <c r="AQ168" i="1"/>
  <c r="AQ202" i="1" s="1"/>
  <c r="AW46" i="1"/>
  <c r="AS214" i="1"/>
  <c r="AV30" i="1"/>
  <c r="BA272" i="1"/>
  <c r="AW199" i="1"/>
  <c r="AX199" i="1" s="1"/>
  <c r="AU176" i="1"/>
  <c r="AU205" i="1" s="1"/>
  <c r="BR272" i="1"/>
  <c r="BR273" i="1"/>
  <c r="AY251" i="1"/>
  <c r="BS118" i="1"/>
  <c r="BP148" i="1"/>
  <c r="BK222" i="1"/>
  <c r="BS148" i="1"/>
  <c r="BG176" i="1"/>
  <c r="BG205" i="1" s="1"/>
  <c r="BA273" i="1"/>
  <c r="AS118" i="1"/>
  <c r="AI202" i="1"/>
  <c r="BD30" i="1"/>
  <c r="BD17" i="1" s="1"/>
  <c r="BB30" i="1"/>
  <c r="BM30" i="1"/>
  <c r="AP46" i="1"/>
  <c r="BF30" i="1"/>
  <c r="BF17" i="1" s="1"/>
  <c r="BH46" i="1"/>
  <c r="AY199" i="1"/>
  <c r="AZ199" i="1" s="1"/>
  <c r="AQ118" i="1"/>
  <c r="AZ222" i="1"/>
  <c r="BK118" i="1"/>
  <c r="BV273" i="1"/>
  <c r="BR137" i="1"/>
  <c r="BW148" i="1"/>
  <c r="BV144" i="1"/>
  <c r="BV148" i="1" s="1"/>
  <c r="BX222" i="1"/>
  <c r="AO46" i="1"/>
  <c r="AU181" i="1"/>
  <c r="AI251" i="1"/>
  <c r="BE273" i="1"/>
  <c r="BI118" i="1"/>
  <c r="AN251" i="1"/>
  <c r="BP214" i="1"/>
  <c r="BT272" i="1"/>
  <c r="BW118" i="1"/>
  <c r="BG118" i="1"/>
  <c r="AU118" i="1"/>
  <c r="AI205" i="1"/>
  <c r="BI200" i="1"/>
  <c r="BJ200" i="1" s="1"/>
  <c r="BJ165" i="1" s="1"/>
  <c r="BN148" i="1"/>
  <c r="BO168" i="1"/>
  <c r="BO202" i="1" s="1"/>
  <c r="BR148" i="1"/>
  <c r="BW176" i="1"/>
  <c r="BW205" i="1" s="1"/>
  <c r="BW168" i="1"/>
  <c r="BW202" i="1" s="1"/>
  <c r="AY148" i="1"/>
  <c r="BK148" i="1"/>
  <c r="AY168" i="1"/>
  <c r="AY202" i="1" s="1"/>
  <c r="BI168" i="1"/>
  <c r="BI202" i="1" s="1"/>
  <c r="AS176" i="1"/>
  <c r="AS205" i="1" s="1"/>
  <c r="BE168" i="1"/>
  <c r="BE202" i="1" s="1"/>
  <c r="BA176" i="1"/>
  <c r="BA205" i="1" s="1"/>
  <c r="AW148" i="1"/>
  <c r="BS140" i="1"/>
  <c r="BM168" i="1"/>
  <c r="BM202" i="1" s="1"/>
  <c r="AY176" i="1"/>
  <c r="AY205" i="1" s="1"/>
  <c r="BK176" i="1"/>
  <c r="BK205" i="1" s="1"/>
  <c r="AI57" i="1"/>
  <c r="BS222" i="1"/>
  <c r="BS273" i="1"/>
  <c r="BT30" i="1"/>
  <c r="BT17" i="1" s="1"/>
  <c r="AX30" i="1"/>
  <c r="AN273" i="1"/>
  <c r="BI273" i="1"/>
  <c r="AW118" i="1"/>
  <c r="AN30" i="1"/>
  <c r="AN173" i="1" s="1"/>
  <c r="AN176" i="1" s="1"/>
  <c r="AR118" i="1"/>
  <c r="BH222" i="1"/>
  <c r="AT273" i="1"/>
  <c r="AL118" i="1"/>
  <c r="AI30" i="1"/>
  <c r="N78" i="1" s="1"/>
  <c r="BU118" i="1"/>
  <c r="BJ47" i="1"/>
  <c r="BJ118" i="1"/>
  <c r="BA36" i="1"/>
  <c r="BA37" i="1" s="1"/>
  <c r="AP273" i="1"/>
  <c r="AP30" i="1"/>
  <c r="AP31" i="1" s="1"/>
  <c r="AI203" i="1"/>
  <c r="AJ203" i="1" s="1"/>
  <c r="BI199" i="1"/>
  <c r="BJ199" i="1" s="1"/>
  <c r="BE203" i="1"/>
  <c r="AW176" i="1"/>
  <c r="AW205" i="1" s="1"/>
  <c r="BU176" i="1"/>
  <c r="BU205" i="1" s="1"/>
  <c r="BQ148" i="1"/>
  <c r="AP162" i="1"/>
  <c r="AZ148" i="1"/>
  <c r="BL148" i="1"/>
  <c r="BE148" i="1"/>
  <c r="AO140" i="1"/>
  <c r="BM140" i="1"/>
  <c r="BM176" i="1"/>
  <c r="BM205" i="1" s="1"/>
  <c r="AR148" i="1"/>
  <c r="BC168" i="1"/>
  <c r="BC202" i="1" s="1"/>
  <c r="AW168" i="1"/>
  <c r="AW202" i="1" s="1"/>
  <c r="AO176" i="1"/>
  <c r="AO205" i="1" s="1"/>
  <c r="BW140" i="1"/>
  <c r="BK140" i="1"/>
  <c r="AO154" i="1"/>
  <c r="AP53" i="1" s="1"/>
  <c r="BA118" i="1"/>
  <c r="BT251" i="1"/>
  <c r="AX251" i="1"/>
  <c r="AV273" i="1"/>
  <c r="BE118" i="1"/>
  <c r="AV118" i="1"/>
  <c r="AY118" i="1"/>
  <c r="BF118" i="1"/>
  <c r="AO118" i="1"/>
  <c r="AX273" i="1"/>
  <c r="AX118" i="1"/>
  <c r="BF273" i="1"/>
  <c r="BL118" i="1"/>
  <c r="BE30" i="1"/>
  <c r="BT118" i="1"/>
  <c r="BV118" i="1"/>
  <c r="BT222" i="1"/>
  <c r="BI272" i="1"/>
  <c r="AS199" i="1"/>
  <c r="AT199" i="1" s="1"/>
  <c r="BO203" i="1"/>
  <c r="BP203" i="1" s="1"/>
  <c r="BF148" i="1"/>
  <c r="AQ148" i="1"/>
  <c r="BC176" i="1"/>
  <c r="BC205" i="1" s="1"/>
  <c r="AS148" i="1"/>
  <c r="BL140" i="1"/>
  <c r="AX160" i="1"/>
  <c r="AY222" i="1" s="1"/>
  <c r="CV37" i="1"/>
  <c r="CW37" i="1" s="1"/>
  <c r="AQ203" i="1"/>
  <c r="AR203" i="1" s="1"/>
  <c r="Z230" i="1"/>
  <c r="Z231" i="1" s="1"/>
  <c r="D185" i="1"/>
  <c r="D264" i="1" s="1"/>
  <c r="Y230" i="1"/>
  <c r="Y231" i="1" s="1"/>
  <c r="Q225" i="1"/>
  <c r="E264" i="1"/>
  <c r="BL222" i="1"/>
  <c r="BQ176" i="1"/>
  <c r="BQ205" i="1" s="1"/>
  <c r="L264" i="1"/>
  <c r="W223" i="1"/>
  <c r="W221" i="1" s="1"/>
  <c r="L185" i="1"/>
  <c r="L186" i="1" s="1"/>
  <c r="L223" i="1"/>
  <c r="L221" i="1" s="1"/>
  <c r="X122" i="1"/>
  <c r="X124" i="1"/>
  <c r="X123" i="1"/>
  <c r="CF112" i="1"/>
  <c r="CF227" i="1"/>
  <c r="CF225" i="1" s="1"/>
  <c r="CF149" i="1"/>
  <c r="CF75" i="1" s="1"/>
  <c r="CF74" i="1"/>
  <c r="CA83" i="1"/>
  <c r="CB85" i="1"/>
  <c r="CR144" i="1"/>
  <c r="CQ148" i="1"/>
  <c r="CR203" i="1"/>
  <c r="X114" i="1"/>
  <c r="X116" i="1"/>
  <c r="X115" i="1"/>
  <c r="CC127" i="1"/>
  <c r="CC119" i="1"/>
  <c r="CC112" i="1"/>
  <c r="CC128" i="1"/>
  <c r="CC86" i="1"/>
  <c r="CF89" i="1" s="1"/>
  <c r="CR199" i="1"/>
  <c r="CS160" i="1"/>
  <c r="BZ149" i="1"/>
  <c r="BZ227" i="1"/>
  <c r="BZ225" i="1" s="1"/>
  <c r="CA227" i="1"/>
  <c r="CA225" i="1" s="1"/>
  <c r="W119" i="1"/>
  <c r="W128" i="1"/>
  <c r="W127" i="1"/>
  <c r="W86" i="1"/>
  <c r="CS83" i="1"/>
  <c r="CR85" i="1"/>
  <c r="CD122" i="1"/>
  <c r="CD124" i="1"/>
  <c r="CD123" i="1"/>
  <c r="Z88" i="1"/>
  <c r="Z89" i="1"/>
  <c r="Y88" i="1"/>
  <c r="Y89" i="1"/>
  <c r="CJ116" i="1"/>
  <c r="CJ115" i="1"/>
  <c r="CJ114" i="1"/>
  <c r="X89" i="1"/>
  <c r="X88" i="1"/>
  <c r="CP226" i="1"/>
  <c r="CP269" i="1"/>
  <c r="CP201" i="1"/>
  <c r="CO202" i="1"/>
  <c r="U83" i="1"/>
  <c r="V85" i="1"/>
  <c r="F223" i="1"/>
  <c r="F221" i="1" s="1"/>
  <c r="R264" i="1"/>
  <c r="B185" i="1"/>
  <c r="B264" i="1" s="1"/>
  <c r="R185" i="1"/>
  <c r="R186" i="1" s="1"/>
  <c r="R225" i="1"/>
  <c r="AJ200" i="1"/>
  <c r="AJ165" i="1" s="1"/>
  <c r="P225" i="1"/>
  <c r="L218" i="1"/>
  <c r="L219" i="1" s="1"/>
  <c r="G218" i="1"/>
  <c r="G219" i="1" s="1"/>
  <c r="B131" i="1"/>
  <c r="B134" i="1" s="1"/>
  <c r="U218" i="1"/>
  <c r="U219" i="1" s="1"/>
  <c r="P186" i="1"/>
  <c r="D225" i="1"/>
  <c r="O225" i="1"/>
  <c r="D131" i="1"/>
  <c r="D134" i="1" s="1"/>
  <c r="D130" i="1"/>
  <c r="D133" i="1" s="1"/>
  <c r="F225" i="1"/>
  <c r="G225" i="1"/>
  <c r="J218" i="1"/>
  <c r="J219" i="1" s="1"/>
  <c r="J233" i="1" s="1"/>
  <c r="J225" i="1"/>
  <c r="K218" i="1"/>
  <c r="K219" i="1" s="1"/>
  <c r="J186" i="1"/>
  <c r="K225" i="1"/>
  <c r="O218" i="1"/>
  <c r="O219" i="1" s="1"/>
  <c r="O233" i="1" s="1"/>
  <c r="S218" i="1"/>
  <c r="S219" i="1" s="1"/>
  <c r="V209" i="1"/>
  <c r="V210" i="1" s="1"/>
  <c r="V201" i="1"/>
  <c r="V225" i="1"/>
  <c r="E225" i="1"/>
  <c r="K185" i="1"/>
  <c r="K186" i="1" s="1"/>
  <c r="I225" i="1"/>
  <c r="U225" i="1"/>
  <c r="AO53" i="1"/>
  <c r="E185" i="1"/>
  <c r="E186" i="1" s="1"/>
  <c r="U209" i="1"/>
  <c r="U210" i="1" s="1"/>
  <c r="H225" i="1"/>
  <c r="F218" i="1"/>
  <c r="F219" i="1" s="1"/>
  <c r="C89" i="1"/>
  <c r="C107" i="1" s="1"/>
  <c r="D218" i="1"/>
  <c r="D219" i="1" s="1"/>
  <c r="D233" i="1" s="1"/>
  <c r="C225" i="1"/>
  <c r="C131" i="1"/>
  <c r="C134" i="1" s="1"/>
  <c r="R206" i="1"/>
  <c r="S209" i="1" s="1"/>
  <c r="S210" i="1" s="1"/>
  <c r="E218" i="1"/>
  <c r="E219" i="1" s="1"/>
  <c r="E266" i="1"/>
  <c r="BG222" i="1"/>
  <c r="V218" i="1"/>
  <c r="V219" i="1" s="1"/>
  <c r="T225" i="1"/>
  <c r="I206" i="1"/>
  <c r="R218" i="1"/>
  <c r="R219" i="1" s="1"/>
  <c r="S223" i="1"/>
  <c r="S221" i="1" s="1"/>
  <c r="S264" i="1"/>
  <c r="I218" i="1"/>
  <c r="I219" i="1" s="1"/>
  <c r="N218" i="1"/>
  <c r="N219" i="1" s="1"/>
  <c r="P218" i="1"/>
  <c r="P219" i="1" s="1"/>
  <c r="P233" i="1" s="1"/>
  <c r="T186" i="1"/>
  <c r="T223" i="1"/>
  <c r="T221" i="1" s="1"/>
  <c r="K223" i="1"/>
  <c r="K221" i="1" s="1"/>
  <c r="S185" i="1"/>
  <c r="S186" i="1" s="1"/>
  <c r="B106" i="1"/>
  <c r="C218" i="1"/>
  <c r="C219" i="1" s="1"/>
  <c r="T218" i="1"/>
  <c r="T219" i="1" s="1"/>
  <c r="AP222" i="1"/>
  <c r="AO222" i="1"/>
  <c r="B107" i="1"/>
  <c r="M218" i="1"/>
  <c r="M219" i="1" s="1"/>
  <c r="BO222" i="1"/>
  <c r="BP222" i="1"/>
  <c r="G264" i="1"/>
  <c r="G266" i="1"/>
  <c r="G185" i="1"/>
  <c r="G186" i="1" s="1"/>
  <c r="Q218" i="1"/>
  <c r="Q219" i="1" s="1"/>
  <c r="S225" i="1"/>
  <c r="J206" i="1"/>
  <c r="H206" i="1"/>
  <c r="Q185" i="1"/>
  <c r="Q186" i="1" s="1"/>
  <c r="K264" i="1"/>
  <c r="K266" i="1"/>
  <c r="Q209" i="1"/>
  <c r="Q210" i="1" s="1"/>
  <c r="N209" i="1"/>
  <c r="N210" i="1" s="1"/>
  <c r="L225" i="1"/>
  <c r="K75" i="1"/>
  <c r="H223" i="1"/>
  <c r="H221" i="1" s="1"/>
  <c r="H266" i="1"/>
  <c r="H264" i="1"/>
  <c r="R223" i="1"/>
  <c r="R221" i="1" s="1"/>
  <c r="B201" i="1"/>
  <c r="B206" i="1"/>
  <c r="C209" i="1" s="1"/>
  <c r="C210" i="1" s="1"/>
  <c r="C109" i="1"/>
  <c r="D107" i="1"/>
  <c r="D106" i="1"/>
  <c r="D105" i="1"/>
  <c r="V75" i="1"/>
  <c r="T209" i="1"/>
  <c r="T210" i="1" s="1"/>
  <c r="H185" i="1"/>
  <c r="H186" i="1" s="1"/>
  <c r="Q266" i="1"/>
  <c r="Q264" i="1"/>
  <c r="K204" i="1"/>
  <c r="K206" i="1"/>
  <c r="L209" i="1" s="1"/>
  <c r="L210" i="1" s="1"/>
  <c r="F204" i="1"/>
  <c r="F206" i="1"/>
  <c r="Q223" i="1"/>
  <c r="Q221" i="1" s="1"/>
  <c r="C264" i="1"/>
  <c r="C186" i="1"/>
  <c r="P209" i="1"/>
  <c r="P210" i="1" s="1"/>
  <c r="O209" i="1"/>
  <c r="O210" i="1" s="1"/>
  <c r="D209" i="1"/>
  <c r="D210" i="1" s="1"/>
  <c r="E209" i="1"/>
  <c r="E210" i="1" s="1"/>
  <c r="M209" i="1"/>
  <c r="M210" i="1" s="1"/>
  <c r="O186" i="1"/>
  <c r="I186" i="1"/>
  <c r="AB148" i="1"/>
  <c r="AB269" i="1" s="1"/>
  <c r="AL227" i="1" l="1"/>
  <c r="AL225" i="1" s="1"/>
  <c r="AL149" i="1"/>
  <c r="BY227" i="1"/>
  <c r="BG188" i="1"/>
  <c r="BA47" i="1"/>
  <c r="CE227" i="1"/>
  <c r="CE225" i="1" s="1"/>
  <c r="CD112" i="1"/>
  <c r="CD227" i="1"/>
  <c r="CD225" i="1" s="1"/>
  <c r="CD149" i="1"/>
  <c r="CD75" i="1" s="1"/>
  <c r="CK89" i="1"/>
  <c r="CK105" i="1" s="1"/>
  <c r="AS204" i="1"/>
  <c r="AT204" i="1" s="1"/>
  <c r="BK47" i="1"/>
  <c r="CL89" i="1"/>
  <c r="CL105" i="1" s="1"/>
  <c r="BP47" i="1"/>
  <c r="BS176" i="1"/>
  <c r="BS205" i="1" s="1"/>
  <c r="BS206" i="1" s="1"/>
  <c r="CI227" i="1"/>
  <c r="CI225" i="1" s="1"/>
  <c r="CH149" i="1"/>
  <c r="CH75" i="1" s="1"/>
  <c r="CH227" i="1"/>
  <c r="CH225" i="1" s="1"/>
  <c r="CH230" i="1" s="1"/>
  <c r="CH74" i="1"/>
  <c r="CH112" i="1"/>
  <c r="CG72" i="1"/>
  <c r="CG213" i="1"/>
  <c r="CG215" i="1" s="1"/>
  <c r="CG86" i="1"/>
  <c r="CI74" i="1"/>
  <c r="CJ74" i="1"/>
  <c r="CG74" i="1"/>
  <c r="BY213" i="1"/>
  <c r="BY215" i="1" s="1"/>
  <c r="BY72" i="1"/>
  <c r="CA74" i="1"/>
  <c r="CB213" i="1"/>
  <c r="CB215" i="1" s="1"/>
  <c r="CC74" i="1"/>
  <c r="CE74" i="1"/>
  <c r="CB139" i="1"/>
  <c r="CB140" i="1" s="1"/>
  <c r="CD74" i="1"/>
  <c r="CB72" i="1"/>
  <c r="CP204" i="1"/>
  <c r="CO205" i="1"/>
  <c r="CO206" i="1" s="1"/>
  <c r="AY188" i="1"/>
  <c r="BO53" i="1"/>
  <c r="BE188" i="1"/>
  <c r="BE36" i="1"/>
  <c r="BE19" i="1" s="1"/>
  <c r="BE21" i="1" s="1"/>
  <c r="BE23" i="1" s="1"/>
  <c r="BE17" i="1"/>
  <c r="BR36" i="1"/>
  <c r="BR19" i="1" s="1"/>
  <c r="BR21" i="1" s="1"/>
  <c r="BR23" i="1" s="1"/>
  <c r="BR17" i="1"/>
  <c r="BL31" i="1"/>
  <c r="BH17" i="1"/>
  <c r="BQ36" i="1"/>
  <c r="BQ48" i="1" s="1"/>
  <c r="BQ54" i="1" s="1"/>
  <c r="BQ58" i="1" s="1"/>
  <c r="BQ17" i="1"/>
  <c r="BY31" i="1"/>
  <c r="BU17" i="1"/>
  <c r="BC36" i="1"/>
  <c r="BC19" i="1" s="1"/>
  <c r="BC21" i="1" s="1"/>
  <c r="BC23" i="1" s="1"/>
  <c r="BC17" i="1"/>
  <c r="BI36" i="1"/>
  <c r="BI17" i="1"/>
  <c r="BI158" i="1"/>
  <c r="BM32" i="1"/>
  <c r="BM17" i="1"/>
  <c r="BS36" i="1"/>
  <c r="BS19" i="1" s="1"/>
  <c r="BS21" i="1" s="1"/>
  <c r="BS23" i="1" s="1"/>
  <c r="BS17" i="1"/>
  <c r="BB32" i="1"/>
  <c r="BB17" i="1"/>
  <c r="CB208" i="1"/>
  <c r="BW17" i="1"/>
  <c r="BM158" i="1"/>
  <c r="BN223" i="1" s="1"/>
  <c r="BN221" i="1" s="1"/>
  <c r="BN36" i="1"/>
  <c r="BN19" i="1" s="1"/>
  <c r="BN21" i="1" s="1"/>
  <c r="BN23" i="1" s="1"/>
  <c r="BN17" i="1"/>
  <c r="BZ31" i="1"/>
  <c r="BV17" i="1"/>
  <c r="BJ48" i="1"/>
  <c r="BJ19" i="1"/>
  <c r="BJ21" i="1" s="1"/>
  <c r="BJ23" i="1" s="1"/>
  <c r="BN53" i="1"/>
  <c r="BK36" i="1"/>
  <c r="BK39" i="1" s="1"/>
  <c r="BK17" i="1"/>
  <c r="BC204" i="1"/>
  <c r="BD204" i="1" s="1"/>
  <c r="BD205" i="1" s="1"/>
  <c r="BU188" i="1"/>
  <c r="AM72" i="1"/>
  <c r="BY53" i="1"/>
  <c r="BW158" i="1"/>
  <c r="BX223" i="1" s="1"/>
  <c r="BX221" i="1" s="1"/>
  <c r="AM227" i="1"/>
  <c r="AM225" i="1" s="1"/>
  <c r="BS47" i="1"/>
  <c r="BS31" i="1"/>
  <c r="BF53" i="1"/>
  <c r="AS158" i="1"/>
  <c r="AW188" i="1"/>
  <c r="AM31" i="1"/>
  <c r="AI47" i="1"/>
  <c r="AO47" i="1"/>
  <c r="AT32" i="1"/>
  <c r="AT154" i="1"/>
  <c r="AT158" i="1" s="1"/>
  <c r="AS36" i="1"/>
  <c r="AS37" i="1" s="1"/>
  <c r="BI47" i="1"/>
  <c r="BC188" i="1"/>
  <c r="BC47" i="1"/>
  <c r="AT48" i="1"/>
  <c r="AT49" i="1" s="1"/>
  <c r="BO36" i="1"/>
  <c r="BL53" i="1"/>
  <c r="BP165" i="1"/>
  <c r="BK158" i="1"/>
  <c r="BJ32" i="1"/>
  <c r="AU204" i="1"/>
  <c r="AV204" i="1" s="1"/>
  <c r="AV205" i="1" s="1"/>
  <c r="G233" i="1"/>
  <c r="AO204" i="1"/>
  <c r="AP204" i="1" s="1"/>
  <c r="AP205" i="1" s="1"/>
  <c r="AU226" i="1"/>
  <c r="BI188" i="1"/>
  <c r="BO47" i="1"/>
  <c r="AU32" i="1"/>
  <c r="AT165" i="1"/>
  <c r="AY204" i="1"/>
  <c r="AZ204" i="1" s="1"/>
  <c r="AZ205" i="1" s="1"/>
  <c r="BX245" i="1"/>
  <c r="BP208" i="1"/>
  <c r="BC158" i="1"/>
  <c r="AS47" i="1"/>
  <c r="BK32" i="1"/>
  <c r="BD53" i="1"/>
  <c r="BC245" i="1"/>
  <c r="BB47" i="1"/>
  <c r="BR165" i="1"/>
  <c r="BU149" i="1"/>
  <c r="BS201" i="1"/>
  <c r="BT201" i="1" s="1"/>
  <c r="AO177" i="1"/>
  <c r="AY208" i="1"/>
  <c r="AU47" i="1"/>
  <c r="BC32" i="1"/>
  <c r="AV245" i="1"/>
  <c r="BM31" i="1"/>
  <c r="BI149" i="1"/>
  <c r="BV32" i="1"/>
  <c r="AV32" i="1"/>
  <c r="BE53" i="1"/>
  <c r="AO149" i="1"/>
  <c r="AN31" i="1"/>
  <c r="BP31" i="1"/>
  <c r="BC31" i="1"/>
  <c r="BK204" i="1"/>
  <c r="BL204" i="1" s="1"/>
  <c r="BL205" i="1" s="1"/>
  <c r="BV165" i="1"/>
  <c r="AU31" i="1"/>
  <c r="BP32" i="1"/>
  <c r="BL245" i="1"/>
  <c r="BV269" i="1"/>
  <c r="BN164" i="1"/>
  <c r="BX32" i="1"/>
  <c r="AZ208" i="1"/>
  <c r="BW31" i="1"/>
  <c r="AY31" i="1"/>
  <c r="BL32" i="1"/>
  <c r="BO31" i="1"/>
  <c r="AR165" i="1"/>
  <c r="BP36" i="1"/>
  <c r="BW188" i="1"/>
  <c r="BK208" i="1"/>
  <c r="CA208" i="1"/>
  <c r="AL245" i="1"/>
  <c r="BE158" i="1"/>
  <c r="BE223" i="1" s="1"/>
  <c r="BE221" i="1" s="1"/>
  <c r="BT31" i="1"/>
  <c r="AQ204" i="1"/>
  <c r="AR204" i="1" s="1"/>
  <c r="AR205" i="1" s="1"/>
  <c r="AN47" i="1"/>
  <c r="BG204" i="1"/>
  <c r="BH204" i="1" s="1"/>
  <c r="BH205" i="1" s="1"/>
  <c r="BR154" i="1"/>
  <c r="BR158" i="1" s="1"/>
  <c r="BH154" i="1"/>
  <c r="BH158" i="1" s="1"/>
  <c r="BH223" i="1" s="1"/>
  <c r="BH221" i="1" s="1"/>
  <c r="BF158" i="1"/>
  <c r="BG223" i="1" s="1"/>
  <c r="BG221" i="1" s="1"/>
  <c r="BW201" i="1"/>
  <c r="BX201" i="1" s="1"/>
  <c r="BX202" i="1" s="1"/>
  <c r="BV53" i="1"/>
  <c r="BG149" i="1"/>
  <c r="BJ245" i="1"/>
  <c r="BI208" i="1"/>
  <c r="AR164" i="1"/>
  <c r="AR168" i="1" s="1"/>
  <c r="AI204" i="1"/>
  <c r="AJ204" i="1" s="1"/>
  <c r="AJ205" i="1" s="1"/>
  <c r="BH32" i="1"/>
  <c r="AO226" i="1"/>
  <c r="AZ32" i="1"/>
  <c r="AQ226" i="1"/>
  <c r="AQ158" i="1"/>
  <c r="BW204" i="1"/>
  <c r="BX204" i="1" s="1"/>
  <c r="BX205" i="1" s="1"/>
  <c r="AV31" i="1"/>
  <c r="BM188" i="1"/>
  <c r="AO245" i="1"/>
  <c r="CA31" i="1"/>
  <c r="BQ47" i="1"/>
  <c r="BA158" i="1"/>
  <c r="BU31" i="1"/>
  <c r="X78" i="1"/>
  <c r="AV154" i="1"/>
  <c r="AV158" i="1" s="1"/>
  <c r="BN165" i="1"/>
  <c r="BZ245" i="1"/>
  <c r="BS188" i="1"/>
  <c r="AP269" i="1"/>
  <c r="BY245" i="1"/>
  <c r="BK245" i="1"/>
  <c r="BU206" i="1"/>
  <c r="BW32" i="1"/>
  <c r="BZ208" i="1"/>
  <c r="BW36" i="1"/>
  <c r="AS32" i="1"/>
  <c r="BR245" i="1"/>
  <c r="BQ31" i="1"/>
  <c r="BH164" i="1"/>
  <c r="AV165" i="1"/>
  <c r="BW47" i="1"/>
  <c r="AZ31" i="1"/>
  <c r="AT245" i="1"/>
  <c r="BO201" i="1"/>
  <c r="BP201" i="1" s="1"/>
  <c r="BP202" i="1" s="1"/>
  <c r="BQ201" i="1"/>
  <c r="BR201" i="1" s="1"/>
  <c r="BR202" i="1" s="1"/>
  <c r="BT47" i="1"/>
  <c r="AR48" i="1"/>
  <c r="AR49" i="1" s="1"/>
  <c r="BH165" i="1"/>
  <c r="BU36" i="1"/>
  <c r="BU47" i="1"/>
  <c r="BV36" i="1"/>
  <c r="AR158" i="1"/>
  <c r="BV31" i="1"/>
  <c r="BV47" i="1"/>
  <c r="BO158" i="1"/>
  <c r="BO223" i="1" s="1"/>
  <c r="BO221" i="1" s="1"/>
  <c r="AU149" i="1"/>
  <c r="AO201" i="1"/>
  <c r="AP201" i="1" s="1"/>
  <c r="AP202" i="1" s="1"/>
  <c r="BC206" i="1"/>
  <c r="BM206" i="1"/>
  <c r="BU201" i="1"/>
  <c r="BV201" i="1" s="1"/>
  <c r="BV202" i="1" s="1"/>
  <c r="AT31" i="1"/>
  <c r="AR245" i="1"/>
  <c r="AP47" i="1"/>
  <c r="BF36" i="1"/>
  <c r="N230" i="1"/>
  <c r="N231" i="1" s="1"/>
  <c r="AS245" i="1"/>
  <c r="BS269" i="1"/>
  <c r="AP165" i="1"/>
  <c r="BC177" i="1"/>
  <c r="BA204" i="1"/>
  <c r="BB204" i="1" s="1"/>
  <c r="BB205" i="1" s="1"/>
  <c r="AO188" i="1"/>
  <c r="AQ47" i="1"/>
  <c r="AU269" i="1"/>
  <c r="AR32" i="1"/>
  <c r="AS208" i="1"/>
  <c r="BQ32" i="1"/>
  <c r="BA32" i="1"/>
  <c r="BI31" i="1"/>
  <c r="BX269" i="1"/>
  <c r="AT208" i="1"/>
  <c r="AN165" i="1"/>
  <c r="AP36" i="1"/>
  <c r="AP48" i="1" s="1"/>
  <c r="AP49" i="1" s="1"/>
  <c r="BP154" i="1"/>
  <c r="BP158" i="1" s="1"/>
  <c r="BM36" i="1"/>
  <c r="BF165" i="1"/>
  <c r="BB165" i="1"/>
  <c r="BH53" i="1"/>
  <c r="BW208" i="1"/>
  <c r="BH36" i="1"/>
  <c r="BH19" i="1" s="1"/>
  <c r="BH21" i="1" s="1"/>
  <c r="BH23" i="1" s="1"/>
  <c r="AS31" i="1"/>
  <c r="AQ31" i="1"/>
  <c r="BL208" i="1"/>
  <c r="AQ32" i="1"/>
  <c r="U233" i="1"/>
  <c r="BT200" i="1"/>
  <c r="U78" i="1"/>
  <c r="AQ206" i="1"/>
  <c r="AT47" i="1"/>
  <c r="BA269" i="1"/>
  <c r="BC208" i="1"/>
  <c r="AQ245" i="1"/>
  <c r="AP245" i="1"/>
  <c r="AP208" i="1"/>
  <c r="AP32" i="1"/>
  <c r="AR47" i="1"/>
  <c r="AQ208" i="1"/>
  <c r="BF164" i="1"/>
  <c r="BC149" i="1"/>
  <c r="BI32" i="1"/>
  <c r="BK31" i="1"/>
  <c r="BS32" i="1"/>
  <c r="AO36" i="1"/>
  <c r="AO38" i="1" s="1"/>
  <c r="BG36" i="1"/>
  <c r="AR31" i="1"/>
  <c r="AU208" i="1"/>
  <c r="AV208" i="1"/>
  <c r="BC269" i="1"/>
  <c r="AU36" i="1"/>
  <c r="AU39" i="1" s="1"/>
  <c r="AW206" i="1"/>
  <c r="AZ269" i="1"/>
  <c r="BH47" i="1"/>
  <c r="AW31" i="1"/>
  <c r="BO149" i="1"/>
  <c r="AV226" i="1"/>
  <c r="BT269" i="1"/>
  <c r="BM47" i="1"/>
  <c r="L233" i="1"/>
  <c r="BA201" i="1"/>
  <c r="BB201" i="1" s="1"/>
  <c r="BB202" i="1" s="1"/>
  <c r="BL149" i="1"/>
  <c r="AY201" i="1"/>
  <c r="AZ201" i="1" s="1"/>
  <c r="AZ202" i="1" s="1"/>
  <c r="BI206" i="1"/>
  <c r="BM201" i="1"/>
  <c r="BN201" i="1" s="1"/>
  <c r="BN202" i="1" s="1"/>
  <c r="BK149" i="1"/>
  <c r="M233" i="1"/>
  <c r="BO177" i="1"/>
  <c r="BG226" i="1"/>
  <c r="BM204" i="1"/>
  <c r="BN204" i="1" s="1"/>
  <c r="BN205" i="1" s="1"/>
  <c r="BW206" i="1"/>
  <c r="BC201" i="1"/>
  <c r="BD201" i="1" s="1"/>
  <c r="BE177" i="1"/>
  <c r="BA149" i="1"/>
  <c r="AW204" i="1"/>
  <c r="AX204" i="1" s="1"/>
  <c r="AX205" i="1" s="1"/>
  <c r="BE201" i="1"/>
  <c r="BF201" i="1" s="1"/>
  <c r="BF202" i="1" s="1"/>
  <c r="BB269" i="1"/>
  <c r="BJ226" i="1"/>
  <c r="BJ269" i="1"/>
  <c r="BT226" i="1"/>
  <c r="V78" i="1"/>
  <c r="BG269" i="1"/>
  <c r="BI204" i="1"/>
  <c r="BJ204" i="1" s="1"/>
  <c r="BJ205" i="1" s="1"/>
  <c r="AY158" i="1"/>
  <c r="BS149" i="1"/>
  <c r="BV226" i="1"/>
  <c r="AW149" i="1"/>
  <c r="AZ154" i="1"/>
  <c r="AZ158" i="1" s="1"/>
  <c r="BA208" i="1"/>
  <c r="AW269" i="1"/>
  <c r="BS208" i="1"/>
  <c r="BD199" i="1"/>
  <c r="BD164" i="1" s="1"/>
  <c r="BS158" i="1"/>
  <c r="BW149" i="1"/>
  <c r="BU158" i="1"/>
  <c r="BG47" i="1"/>
  <c r="AV36" i="1"/>
  <c r="AV38" i="1" s="1"/>
  <c r="AR208" i="1"/>
  <c r="BB36" i="1"/>
  <c r="BB19" i="1" s="1"/>
  <c r="BB21" i="1" s="1"/>
  <c r="BB23" i="1" s="1"/>
  <c r="AP226" i="1"/>
  <c r="BI245" i="1"/>
  <c r="AW226" i="1"/>
  <c r="BT154" i="1"/>
  <c r="BT158" i="1" s="1"/>
  <c r="S78" i="1"/>
  <c r="AY48" i="1"/>
  <c r="AY54" i="1" s="1"/>
  <c r="AY58" i="1" s="1"/>
  <c r="AX47" i="1"/>
  <c r="BG31" i="1"/>
  <c r="BG208" i="1"/>
  <c r="AV47" i="1"/>
  <c r="BO245" i="1"/>
  <c r="BD226" i="1"/>
  <c r="BO32" i="1"/>
  <c r="BR32" i="1"/>
  <c r="BQ208" i="1"/>
  <c r="BR47" i="1"/>
  <c r="BS245" i="1"/>
  <c r="BD269" i="1"/>
  <c r="AZ165" i="1"/>
  <c r="BM177" i="1"/>
  <c r="AW158" i="1"/>
  <c r="BU208" i="1"/>
  <c r="AI201" i="1"/>
  <c r="AJ201" i="1" s="1"/>
  <c r="AJ202" i="1" s="1"/>
  <c r="AW47" i="1"/>
  <c r="BO204" i="1"/>
  <c r="BP204" i="1" s="1"/>
  <c r="BP205" i="1" s="1"/>
  <c r="BU226" i="1"/>
  <c r="BE47" i="1"/>
  <c r="BN47" i="1"/>
  <c r="BG177" i="1"/>
  <c r="BG185" i="1" s="1"/>
  <c r="BH269" i="1"/>
  <c r="BN208" i="1"/>
  <c r="BG206" i="1"/>
  <c r="BN31" i="1"/>
  <c r="BG32" i="1"/>
  <c r="AU177" i="1"/>
  <c r="AU185" i="1" s="1"/>
  <c r="BP226" i="1"/>
  <c r="AX226" i="1"/>
  <c r="BI226" i="1"/>
  <c r="BF47" i="1"/>
  <c r="AV269" i="1"/>
  <c r="AZ36" i="1"/>
  <c r="AZ48" i="1" s="1"/>
  <c r="AZ54" i="1" s="1"/>
  <c r="AZ58" i="1" s="1"/>
  <c r="BU204" i="1"/>
  <c r="BV204" i="1" s="1"/>
  <c r="BV205" i="1" s="1"/>
  <c r="AT226" i="1"/>
  <c r="BB245" i="1"/>
  <c r="BU269" i="1"/>
  <c r="BM208" i="1"/>
  <c r="BH226" i="1"/>
  <c r="BV208" i="1"/>
  <c r="AU245" i="1"/>
  <c r="BG245" i="1"/>
  <c r="AT205" i="1"/>
  <c r="BE206" i="1"/>
  <c r="BQ204" i="1"/>
  <c r="BR204" i="1" s="1"/>
  <c r="BR205" i="1" s="1"/>
  <c r="BM245" i="1"/>
  <c r="AQ177" i="1"/>
  <c r="AU206" i="1"/>
  <c r="AO206" i="1"/>
  <c r="AZ47" i="1"/>
  <c r="BA226" i="1"/>
  <c r="D186" i="1"/>
  <c r="E230" i="1"/>
  <c r="E231" i="1" s="1"/>
  <c r="BN269" i="1"/>
  <c r="BB226" i="1"/>
  <c r="AT269" i="1"/>
  <c r="BE269" i="1"/>
  <c r="AS188" i="1"/>
  <c r="BM269" i="1"/>
  <c r="BQ269" i="1"/>
  <c r="BK188" i="1"/>
  <c r="BC226" i="1"/>
  <c r="BP269" i="1"/>
  <c r="BS226" i="1"/>
  <c r="AS149" i="1"/>
  <c r="BM226" i="1"/>
  <c r="BO188" i="1"/>
  <c r="BW269" i="1"/>
  <c r="BX226" i="1"/>
  <c r="BA188" i="1"/>
  <c r="AX269" i="1"/>
  <c r="BO269" i="1"/>
  <c r="AY226" i="1"/>
  <c r="BM149" i="1"/>
  <c r="AY269" i="1"/>
  <c r="AS201" i="1"/>
  <c r="AT201" i="1" s="1"/>
  <c r="AT202" i="1" s="1"/>
  <c r="AS206" i="1"/>
  <c r="BK206" i="1"/>
  <c r="BK201" i="1"/>
  <c r="BL201" i="1" s="1"/>
  <c r="BL202" i="1" s="1"/>
  <c r="BV158" i="1"/>
  <c r="BW53" i="1"/>
  <c r="AR269" i="1"/>
  <c r="BW245" i="1"/>
  <c r="BH208" i="1"/>
  <c r="BX208" i="1"/>
  <c r="BO206" i="1"/>
  <c r="BL226" i="1"/>
  <c r="AU188" i="1"/>
  <c r="BY208" i="1"/>
  <c r="BD245" i="1"/>
  <c r="BA206" i="1"/>
  <c r="AY47" i="1"/>
  <c r="AW36" i="1"/>
  <c r="AW32" i="1"/>
  <c r="BP245" i="1"/>
  <c r="BT36" i="1"/>
  <c r="BB208" i="1"/>
  <c r="BU245" i="1"/>
  <c r="BR269" i="1"/>
  <c r="BK177" i="1"/>
  <c r="BN245" i="1"/>
  <c r="BU32" i="1"/>
  <c r="V233" i="1"/>
  <c r="BW226" i="1"/>
  <c r="AS226" i="1"/>
  <c r="AU201" i="1"/>
  <c r="AV201" i="1" s="1"/>
  <c r="AV202" i="1" s="1"/>
  <c r="BW177" i="1"/>
  <c r="T78" i="1"/>
  <c r="BU177" i="1"/>
  <c r="BO208" i="1"/>
  <c r="AN32" i="1"/>
  <c r="AW208" i="1"/>
  <c r="BX31" i="1"/>
  <c r="BN32" i="1"/>
  <c r="BH245" i="1"/>
  <c r="BF208" i="1"/>
  <c r="BH31" i="1"/>
  <c r="BF32" i="1"/>
  <c r="AN164" i="1"/>
  <c r="AN168" i="1" s="1"/>
  <c r="AN177" i="1" s="1"/>
  <c r="BD165" i="1"/>
  <c r="AI206" i="1"/>
  <c r="BD47" i="1"/>
  <c r="BK269" i="1"/>
  <c r="BX149" i="1"/>
  <c r="BJ31" i="1"/>
  <c r="AW177" i="1"/>
  <c r="BD32" i="1"/>
  <c r="BB31" i="1"/>
  <c r="BF245" i="1"/>
  <c r="BD208" i="1"/>
  <c r="AX173" i="1"/>
  <c r="AX176" i="1" s="1"/>
  <c r="AQ149" i="1"/>
  <c r="BD36" i="1"/>
  <c r="BD19" i="1" s="1"/>
  <c r="BD21" i="1" s="1"/>
  <c r="BD23" i="1" s="1"/>
  <c r="AX31" i="1"/>
  <c r="BT208" i="1"/>
  <c r="BE32" i="1"/>
  <c r="BT32" i="1"/>
  <c r="BA48" i="1"/>
  <c r="BA49" i="1" s="1"/>
  <c r="BD31" i="1"/>
  <c r="BT245" i="1"/>
  <c r="BJ208" i="1"/>
  <c r="BI201" i="1"/>
  <c r="BJ201" i="1" s="1"/>
  <c r="BJ202" i="1" s="1"/>
  <c r="BQ206" i="1"/>
  <c r="BL269" i="1"/>
  <c r="AY149" i="1"/>
  <c r="W78" i="1"/>
  <c r="AZ226" i="1"/>
  <c r="AO32" i="1"/>
  <c r="BQ245" i="1"/>
  <c r="BR208" i="1"/>
  <c r="BV245" i="1"/>
  <c r="BA31" i="1"/>
  <c r="AW245" i="1"/>
  <c r="BE208" i="1"/>
  <c r="AY206" i="1"/>
  <c r="BI177" i="1"/>
  <c r="BE204" i="1"/>
  <c r="BF204" i="1" s="1"/>
  <c r="BF31" i="1"/>
  <c r="AN245" i="1"/>
  <c r="AO208" i="1"/>
  <c r="BE245" i="1"/>
  <c r="BR31" i="1"/>
  <c r="AR226" i="1"/>
  <c r="BE31" i="1"/>
  <c r="BK226" i="1"/>
  <c r="AS177" i="1"/>
  <c r="B186" i="1"/>
  <c r="AN208" i="1"/>
  <c r="AN36" i="1"/>
  <c r="AN39" i="1" s="1"/>
  <c r="BI269" i="1"/>
  <c r="F233" i="1"/>
  <c r="BY226" i="1"/>
  <c r="BY225" i="1" s="1"/>
  <c r="R78" i="1"/>
  <c r="BO226" i="1"/>
  <c r="AX36" i="1"/>
  <c r="BA245" i="1"/>
  <c r="AY32" i="1"/>
  <c r="AQ269" i="1"/>
  <c r="AS269" i="1"/>
  <c r="BF226" i="1"/>
  <c r="AQ188" i="1"/>
  <c r="AJ32" i="1"/>
  <c r="AI36" i="1"/>
  <c r="AX32" i="1"/>
  <c r="BN226" i="1"/>
  <c r="AY245" i="1"/>
  <c r="BQ226" i="1"/>
  <c r="BF203" i="1"/>
  <c r="BF173" i="1" s="1"/>
  <c r="BF176" i="1" s="1"/>
  <c r="BE149" i="1"/>
  <c r="BQ188" i="1"/>
  <c r="AY177" i="1"/>
  <c r="AX222" i="1"/>
  <c r="AP154" i="1"/>
  <c r="AO158" i="1"/>
  <c r="AO223" i="1" s="1"/>
  <c r="AO221" i="1" s="1"/>
  <c r="AZ245" i="1"/>
  <c r="AX208" i="1"/>
  <c r="AX245" i="1"/>
  <c r="BR226" i="1"/>
  <c r="BF269" i="1"/>
  <c r="BE226" i="1"/>
  <c r="AX165" i="1"/>
  <c r="AX164" i="1"/>
  <c r="BQ149" i="1"/>
  <c r="BA177" i="1"/>
  <c r="CX37" i="1"/>
  <c r="CY37" i="1" s="1"/>
  <c r="CZ37" i="1" s="1"/>
  <c r="CR60" i="1"/>
  <c r="S233" i="1"/>
  <c r="AQ201" i="1"/>
  <c r="AR201" i="1" s="1"/>
  <c r="AR202" i="1" s="1"/>
  <c r="CW47" i="1"/>
  <c r="CX47" i="1" s="1"/>
  <c r="BQ177" i="1"/>
  <c r="BQ185" i="1" s="1"/>
  <c r="BG201" i="1"/>
  <c r="BH201" i="1" s="1"/>
  <c r="BH202" i="1" s="1"/>
  <c r="L230" i="1"/>
  <c r="L231" i="1" s="1"/>
  <c r="V119" i="1"/>
  <c r="V86" i="1"/>
  <c r="V127" i="1"/>
  <c r="V130" i="1" s="1"/>
  <c r="V133" i="1" s="1"/>
  <c r="V128" i="1"/>
  <c r="V131" i="1" s="1"/>
  <c r="V134" i="1" s="1"/>
  <c r="V112" i="1"/>
  <c r="Z106" i="1"/>
  <c r="Z105" i="1"/>
  <c r="Z107" i="1"/>
  <c r="Z90" i="1"/>
  <c r="AC160" i="1"/>
  <c r="CT160" i="1"/>
  <c r="CR148" i="1"/>
  <c r="CS144" i="1"/>
  <c r="T83" i="1"/>
  <c r="U85" i="1"/>
  <c r="CS199" i="1"/>
  <c r="CC115" i="1"/>
  <c r="CC114" i="1"/>
  <c r="CC116" i="1"/>
  <c r="CB119" i="1"/>
  <c r="CB127" i="1"/>
  <c r="CB128" i="1"/>
  <c r="CB86" i="1"/>
  <c r="CE89" i="1" s="1"/>
  <c r="CQ201" i="1"/>
  <c r="CP202" i="1"/>
  <c r="X105" i="1"/>
  <c r="X107" i="1"/>
  <c r="X106" i="1"/>
  <c r="Y105" i="1"/>
  <c r="Y106" i="1"/>
  <c r="Y107" i="1"/>
  <c r="Y90" i="1"/>
  <c r="CT83" i="1"/>
  <c r="CS85" i="1"/>
  <c r="W123" i="1"/>
  <c r="W124" i="1"/>
  <c r="W122" i="1"/>
  <c r="CC122" i="1"/>
  <c r="CC124" i="1"/>
  <c r="CC123" i="1"/>
  <c r="CS203" i="1"/>
  <c r="BZ83" i="1"/>
  <c r="CA85" i="1"/>
  <c r="CF115" i="1"/>
  <c r="CF114" i="1"/>
  <c r="CF116" i="1"/>
  <c r="CS222" i="1"/>
  <c r="CF107" i="1"/>
  <c r="CF106" i="1"/>
  <c r="CF105" i="1"/>
  <c r="CQ269" i="1"/>
  <c r="CQ226" i="1"/>
  <c r="AW201" i="1"/>
  <c r="AX201" i="1" s="1"/>
  <c r="AX202" i="1" s="1"/>
  <c r="AT173" i="1"/>
  <c r="AT176" i="1" s="1"/>
  <c r="BJ173" i="1"/>
  <c r="BJ176" i="1" s="1"/>
  <c r="BR164" i="1"/>
  <c r="BL158" i="1"/>
  <c r="BM53" i="1"/>
  <c r="BJ158" i="1"/>
  <c r="BK53" i="1"/>
  <c r="BB158" i="1"/>
  <c r="BC53" i="1"/>
  <c r="D230" i="1"/>
  <c r="D231" i="1" s="1"/>
  <c r="AY53" i="1"/>
  <c r="AX158" i="1"/>
  <c r="BP173" i="1"/>
  <c r="BP176" i="1" s="1"/>
  <c r="AV173" i="1"/>
  <c r="AV176" i="1" s="1"/>
  <c r="BV173" i="1"/>
  <c r="BV176" i="1" s="1"/>
  <c r="AZ173" i="1"/>
  <c r="AZ176" i="1" s="1"/>
  <c r="AJ164" i="1"/>
  <c r="AJ168" i="1" s="1"/>
  <c r="BD173" i="1"/>
  <c r="BD176" i="1" s="1"/>
  <c r="BX168" i="1"/>
  <c r="BX177" i="1" s="1"/>
  <c r="G230" i="1"/>
  <c r="G231" i="1" s="1"/>
  <c r="AP164" i="1"/>
  <c r="AP168" i="1" s="1"/>
  <c r="AV164" i="1"/>
  <c r="AV168" i="1" s="1"/>
  <c r="AP173" i="1"/>
  <c r="AP176" i="1" s="1"/>
  <c r="BT164" i="1"/>
  <c r="AR173" i="1"/>
  <c r="AR176" i="1" s="1"/>
  <c r="BB164" i="1"/>
  <c r="BL173" i="1"/>
  <c r="BL176" i="1" s="1"/>
  <c r="BL168" i="1"/>
  <c r="BJ164" i="1"/>
  <c r="BJ168" i="1" s="1"/>
  <c r="AJ173" i="1"/>
  <c r="AJ176" i="1" s="1"/>
  <c r="AJ217" i="1" s="1"/>
  <c r="BV164" i="1"/>
  <c r="BP164" i="1"/>
  <c r="BH173" i="1"/>
  <c r="BH176" i="1" s="1"/>
  <c r="AZ164" i="1"/>
  <c r="AT164" i="1"/>
  <c r="AT168" i="1" s="1"/>
  <c r="BR173" i="1"/>
  <c r="BR176" i="1" s="1"/>
  <c r="BT173" i="1"/>
  <c r="BT176" i="1" s="1"/>
  <c r="BB173" i="1"/>
  <c r="BB176" i="1" s="1"/>
  <c r="BN173" i="1"/>
  <c r="BN176" i="1" s="1"/>
  <c r="F230" i="1"/>
  <c r="F231" i="1" s="1"/>
  <c r="I230" i="1"/>
  <c r="I231" i="1" s="1"/>
  <c r="M230" i="1"/>
  <c r="M231" i="1" s="1"/>
  <c r="O230" i="1"/>
  <c r="O231" i="1" s="1"/>
  <c r="AN223" i="1"/>
  <c r="AN221" i="1" s="1"/>
  <c r="AM75" i="1"/>
  <c r="I233" i="1"/>
  <c r="C230" i="1"/>
  <c r="C231" i="1" s="1"/>
  <c r="U230" i="1"/>
  <c r="U231" i="1" s="1"/>
  <c r="J230" i="1"/>
  <c r="J231" i="1" s="1"/>
  <c r="I209" i="1"/>
  <c r="I210" i="1" s="1"/>
  <c r="J209" i="1"/>
  <c r="J210" i="1" s="1"/>
  <c r="K230" i="1"/>
  <c r="K231" i="1" s="1"/>
  <c r="S230" i="1"/>
  <c r="S231" i="1" s="1"/>
  <c r="V230" i="1"/>
  <c r="V231" i="1" s="1"/>
  <c r="E233" i="1"/>
  <c r="AM74" i="1"/>
  <c r="C233" i="1"/>
  <c r="B109" i="1"/>
  <c r="P230" i="1"/>
  <c r="P231" i="1" s="1"/>
  <c r="C106" i="1"/>
  <c r="C90" i="1"/>
  <c r="D90" i="1"/>
  <c r="C105" i="1"/>
  <c r="R209" i="1"/>
  <c r="R210" i="1" s="1"/>
  <c r="T233" i="1"/>
  <c r="AX53" i="1"/>
  <c r="H209" i="1"/>
  <c r="H210" i="1" s="1"/>
  <c r="K233" i="1"/>
  <c r="R230" i="1"/>
  <c r="R231" i="1" s="1"/>
  <c r="N233" i="1"/>
  <c r="T230" i="1"/>
  <c r="T231" i="1" s="1"/>
  <c r="AR53" i="1"/>
  <c r="K209" i="1"/>
  <c r="K210" i="1" s="1"/>
  <c r="BR53" i="1"/>
  <c r="BB53" i="1"/>
  <c r="BX53" i="1"/>
  <c r="Q233" i="1"/>
  <c r="AV53" i="1"/>
  <c r="AQ48" i="1"/>
  <c r="AQ38" i="1"/>
  <c r="AQ37" i="1"/>
  <c r="AR39" i="1"/>
  <c r="BJ53" i="1"/>
  <c r="Q230" i="1"/>
  <c r="Q231" i="1" s="1"/>
  <c r="F209" i="1"/>
  <c r="F210" i="1" s="1"/>
  <c r="G209" i="1"/>
  <c r="G210" i="1" s="1"/>
  <c r="R233" i="1"/>
  <c r="H233" i="1"/>
  <c r="H230" i="1"/>
  <c r="H231" i="1" s="1"/>
  <c r="AB226" i="1"/>
  <c r="BC18" i="1" l="1"/>
  <c r="BR18" i="1"/>
  <c r="CL107" i="1"/>
  <c r="CD115" i="1"/>
  <c r="CD114" i="1"/>
  <c r="CD116" i="1"/>
  <c r="CK106" i="1"/>
  <c r="CK107" i="1"/>
  <c r="BI185" i="1"/>
  <c r="BI186" i="1" s="1"/>
  <c r="BS177" i="1"/>
  <c r="BS204" i="1"/>
  <c r="BT204" i="1" s="1"/>
  <c r="BT205" i="1" s="1"/>
  <c r="BS37" i="1"/>
  <c r="BR37" i="1"/>
  <c r="CL106" i="1"/>
  <c r="CJ89" i="1"/>
  <c r="CJ90" i="1" s="1"/>
  <c r="CI89" i="1"/>
  <c r="CI90" i="1" s="1"/>
  <c r="CG89" i="1"/>
  <c r="CH89" i="1"/>
  <c r="BH18" i="1"/>
  <c r="BS48" i="1"/>
  <c r="BS49" i="1" s="1"/>
  <c r="BE48" i="1"/>
  <c r="BE49" i="1" s="1"/>
  <c r="CB149" i="1"/>
  <c r="CB75" i="1" s="1"/>
  <c r="CB74" i="1"/>
  <c r="CB227" i="1"/>
  <c r="CB225" i="1" s="1"/>
  <c r="CC227" i="1"/>
  <c r="CC225" i="1" s="1"/>
  <c r="CB112" i="1"/>
  <c r="CH116" i="1"/>
  <c r="CH115" i="1"/>
  <c r="CH114" i="1"/>
  <c r="CQ204" i="1"/>
  <c r="CP205" i="1"/>
  <c r="CP206" i="1" s="1"/>
  <c r="CH180" i="1"/>
  <c r="CH181" i="1" s="1"/>
  <c r="CH231" i="1" s="1"/>
  <c r="BS18" i="1"/>
  <c r="BN48" i="1"/>
  <c r="BN50" i="1" s="1"/>
  <c r="BR39" i="1"/>
  <c r="BR38" i="1"/>
  <c r="BW185" i="1"/>
  <c r="BW186" i="1" s="1"/>
  <c r="BN18" i="1"/>
  <c r="BE38" i="1"/>
  <c r="BV48" i="1"/>
  <c r="BV54" i="1" s="1"/>
  <c r="BV58" i="1" s="1"/>
  <c r="BV61" i="1" s="1"/>
  <c r="BV19" i="1"/>
  <c r="BV21" i="1" s="1"/>
  <c r="BV23" i="1" s="1"/>
  <c r="BW38" i="1"/>
  <c r="BW19" i="1"/>
  <c r="BW21" i="1" s="1"/>
  <c r="BW23" i="1" s="1"/>
  <c r="BI37" i="1"/>
  <c r="BI19" i="1"/>
  <c r="BI21" i="1" s="1"/>
  <c r="BI23" i="1" s="1"/>
  <c r="BI48" i="1"/>
  <c r="BJ270" i="1" s="1"/>
  <c r="BJ271" i="1" s="1"/>
  <c r="BF39" i="1"/>
  <c r="BF19" i="1"/>
  <c r="BK48" i="1"/>
  <c r="BK51" i="1" s="1"/>
  <c r="BI38" i="1"/>
  <c r="BM185" i="1"/>
  <c r="BM186" i="1" s="1"/>
  <c r="BR48" i="1"/>
  <c r="BR252" i="1" s="1"/>
  <c r="BR253" i="1" s="1"/>
  <c r="BL39" i="1"/>
  <c r="BE37" i="1"/>
  <c r="BJ39" i="1"/>
  <c r="BP38" i="1"/>
  <c r="BP19" i="1"/>
  <c r="BJ49" i="1"/>
  <c r="BJ54" i="1"/>
  <c r="BJ58" i="1" s="1"/>
  <c r="BJ252" i="1"/>
  <c r="BJ253" i="1" s="1"/>
  <c r="BE18" i="1"/>
  <c r="BN38" i="1"/>
  <c r="BD18" i="1"/>
  <c r="BK37" i="1"/>
  <c r="BK19" i="1"/>
  <c r="BK21" i="1" s="1"/>
  <c r="BK23" i="1" s="1"/>
  <c r="BU37" i="1"/>
  <c r="BU19" i="1"/>
  <c r="BU21" i="1" s="1"/>
  <c r="BU23" i="1" s="1"/>
  <c r="BO37" i="1"/>
  <c r="BO19" i="1"/>
  <c r="BM223" i="1"/>
  <c r="BM221" i="1" s="1"/>
  <c r="BG38" i="1"/>
  <c r="BG19" i="1"/>
  <c r="BM37" i="1"/>
  <c r="BM19" i="1"/>
  <c r="BM21" i="1" s="1"/>
  <c r="BM23" i="1" s="1"/>
  <c r="BC48" i="1"/>
  <c r="BC49" i="1" s="1"/>
  <c r="BT39" i="1"/>
  <c r="BT19" i="1"/>
  <c r="BJ18" i="1"/>
  <c r="BN37" i="1"/>
  <c r="BS39" i="1"/>
  <c r="BC37" i="1"/>
  <c r="BC38" i="1"/>
  <c r="BB18" i="1"/>
  <c r="BQ37" i="1"/>
  <c r="BQ19" i="1"/>
  <c r="BQ21" i="1" s="1"/>
  <c r="BQ23" i="1" s="1"/>
  <c r="AS185" i="1"/>
  <c r="AS186" i="1" s="1"/>
  <c r="AT223" i="1"/>
  <c r="AT221" i="1" s="1"/>
  <c r="AS223" i="1"/>
  <c r="AS221" i="1" s="1"/>
  <c r="BF168" i="1"/>
  <c r="BF177" i="1" s="1"/>
  <c r="BK223" i="1"/>
  <c r="BK221" i="1" s="1"/>
  <c r="BE185" i="1"/>
  <c r="BE186" i="1" s="1"/>
  <c r="AS39" i="1"/>
  <c r="AT39" i="1"/>
  <c r="AT252" i="1"/>
  <c r="AT253" i="1" s="1"/>
  <c r="AU53" i="1"/>
  <c r="AT54" i="1"/>
  <c r="AT58" i="1" s="1"/>
  <c r="AT61" i="1" s="1"/>
  <c r="BK185" i="1"/>
  <c r="BK186" i="1" s="1"/>
  <c r="BP168" i="1"/>
  <c r="BP177" i="1" s="1"/>
  <c r="AW53" i="1"/>
  <c r="BQ39" i="1"/>
  <c r="BO48" i="1"/>
  <c r="BO252" i="1" s="1"/>
  <c r="BO253" i="1" s="1"/>
  <c r="BO39" i="1"/>
  <c r="BO38" i="1"/>
  <c r="BS38" i="1"/>
  <c r="AS48" i="1"/>
  <c r="AS252" i="1" s="1"/>
  <c r="AS253" i="1" s="1"/>
  <c r="BO185" i="1"/>
  <c r="BO186" i="1" s="1"/>
  <c r="AR177" i="1"/>
  <c r="BC185" i="1"/>
  <c r="BC186" i="1" s="1"/>
  <c r="BS53" i="1"/>
  <c r="AV48" i="1"/>
  <c r="AZ50" i="1" s="1"/>
  <c r="BT202" i="1"/>
  <c r="BI53" i="1"/>
  <c r="AR252" i="1"/>
  <c r="AR253" i="1" s="1"/>
  <c r="BC223" i="1"/>
  <c r="BC221" i="1" s="1"/>
  <c r="BW48" i="1"/>
  <c r="BZ132" i="1" s="1"/>
  <c r="AP38" i="1"/>
  <c r="BQ53" i="1"/>
  <c r="BU48" i="1"/>
  <c r="BU50" i="1" s="1"/>
  <c r="BZ38" i="1"/>
  <c r="BV168" i="1"/>
  <c r="BV177" i="1" s="1"/>
  <c r="BV37" i="1"/>
  <c r="BF48" i="1"/>
  <c r="BJ50" i="1" s="1"/>
  <c r="AX168" i="1"/>
  <c r="AX177" i="1" s="1"/>
  <c r="AZ168" i="1"/>
  <c r="AZ177" i="1" s="1"/>
  <c r="BR168" i="1"/>
  <c r="BR177" i="1" s="1"/>
  <c r="BU39" i="1"/>
  <c r="AV37" i="1"/>
  <c r="AT206" i="1"/>
  <c r="BQ252" i="1"/>
  <c r="BQ253" i="1" s="1"/>
  <c r="AO37" i="1"/>
  <c r="BG39" i="1"/>
  <c r="BN168" i="1"/>
  <c r="BN177" i="1" s="1"/>
  <c r="AS38" i="1"/>
  <c r="BG48" i="1"/>
  <c r="BK38" i="1"/>
  <c r="BM38" i="1"/>
  <c r="AO48" i="1"/>
  <c r="AR246" i="1" s="1"/>
  <c r="BX39" i="1"/>
  <c r="BV38" i="1"/>
  <c r="X79" i="1"/>
  <c r="BP39" i="1"/>
  <c r="BP37" i="1"/>
  <c r="CA38" i="1"/>
  <c r="BQ49" i="1"/>
  <c r="AU38" i="1"/>
  <c r="BP48" i="1"/>
  <c r="BF223" i="1"/>
  <c r="BF221" i="1" s="1"/>
  <c r="BW37" i="1"/>
  <c r="AU37" i="1"/>
  <c r="V79" i="1"/>
  <c r="BW39" i="1"/>
  <c r="BH168" i="1"/>
  <c r="BH177" i="1" s="1"/>
  <c r="BA185" i="1"/>
  <c r="BA186" i="1" s="1"/>
  <c r="BD168" i="1"/>
  <c r="BD177" i="1" s="1"/>
  <c r="BG186" i="1"/>
  <c r="AZ206" i="1"/>
  <c r="AQ39" i="1"/>
  <c r="BG37" i="1"/>
  <c r="BA54" i="1"/>
  <c r="BA58" i="1" s="1"/>
  <c r="BA61" i="1" s="1"/>
  <c r="AU186" i="1"/>
  <c r="BU38" i="1"/>
  <c r="AR54" i="1"/>
  <c r="AR58" i="1" s="1"/>
  <c r="AR61" i="1" s="1"/>
  <c r="BV39" i="1"/>
  <c r="AP39" i="1"/>
  <c r="BB168" i="1"/>
  <c r="BB177" i="1" s="1"/>
  <c r="AV39" i="1"/>
  <c r="BY38" i="1"/>
  <c r="BH38" i="1"/>
  <c r="AW39" i="1"/>
  <c r="BA252" i="1"/>
  <c r="BA253" i="1" s="1"/>
  <c r="BP223" i="1"/>
  <c r="BP221" i="1" s="1"/>
  <c r="AQ185" i="1"/>
  <c r="AQ186" i="1" s="1"/>
  <c r="BF38" i="1"/>
  <c r="AT177" i="1"/>
  <c r="BS185" i="1"/>
  <c r="BS186" i="1" s="1"/>
  <c r="BD202" i="1"/>
  <c r="BD206" i="1" s="1"/>
  <c r="AY38" i="1"/>
  <c r="AU48" i="1"/>
  <c r="AU51" i="1" s="1"/>
  <c r="T79" i="1"/>
  <c r="AY252" i="1"/>
  <c r="AY253" i="1" s="1"/>
  <c r="BI39" i="1"/>
  <c r="AR38" i="1"/>
  <c r="BE252" i="1"/>
  <c r="BE253" i="1" s="1"/>
  <c r="AY49" i="1"/>
  <c r="BL38" i="1"/>
  <c r="BT165" i="1"/>
  <c r="BT168" i="1" s="1"/>
  <c r="BT177" i="1" s="1"/>
  <c r="BH37" i="1"/>
  <c r="BC39" i="1"/>
  <c r="BB48" i="1"/>
  <c r="BB49" i="1" s="1"/>
  <c r="BH39" i="1"/>
  <c r="BH48" i="1"/>
  <c r="BJ38" i="1"/>
  <c r="U79" i="1"/>
  <c r="BM48" i="1"/>
  <c r="BM270" i="1" s="1"/>
  <c r="BM271" i="1" s="1"/>
  <c r="AY185" i="1"/>
  <c r="AY186" i="1" s="1"/>
  <c r="BV223" i="1"/>
  <c r="BV221" i="1" s="1"/>
  <c r="BQ38" i="1"/>
  <c r="BM39" i="1"/>
  <c r="AP37" i="1"/>
  <c r="AT38" i="1"/>
  <c r="BN39" i="1"/>
  <c r="BF37" i="1"/>
  <c r="BB37" i="1"/>
  <c r="AZ252" i="1"/>
  <c r="AZ253" i="1" s="1"/>
  <c r="BU185" i="1"/>
  <c r="BU186" i="1" s="1"/>
  <c r="BA53" i="1"/>
  <c r="BU223" i="1"/>
  <c r="BU221" i="1" s="1"/>
  <c r="AZ223" i="1"/>
  <c r="AZ221" i="1" s="1"/>
  <c r="AZ51" i="1"/>
  <c r="R79" i="1"/>
  <c r="AP54" i="1"/>
  <c r="AP58" i="1" s="1"/>
  <c r="AP60" i="1" s="1"/>
  <c r="BA51" i="1"/>
  <c r="AN38" i="1"/>
  <c r="BA39" i="1"/>
  <c r="AY223" i="1"/>
  <c r="AY221" i="1" s="1"/>
  <c r="AP50" i="1"/>
  <c r="BT37" i="1"/>
  <c r="BX38" i="1"/>
  <c r="AN48" i="1"/>
  <c r="AN49" i="1" s="1"/>
  <c r="AX38" i="1"/>
  <c r="BU53" i="1"/>
  <c r="BJ206" i="1"/>
  <c r="AW185" i="1"/>
  <c r="AW186" i="1" s="1"/>
  <c r="AV206" i="1"/>
  <c r="AZ49" i="1"/>
  <c r="BR206" i="1"/>
  <c r="BT223" i="1"/>
  <c r="BT221" i="1" s="1"/>
  <c r="AZ270" i="1"/>
  <c r="AZ271" i="1" s="1"/>
  <c r="BA270" i="1"/>
  <c r="BA271" i="1" s="1"/>
  <c r="AR206" i="1"/>
  <c r="AR209" i="1" s="1"/>
  <c r="AP252" i="1"/>
  <c r="AP253" i="1" s="1"/>
  <c r="AT50" i="1"/>
  <c r="AO39" i="1"/>
  <c r="AX48" i="1"/>
  <c r="AX50" i="1" s="1"/>
  <c r="AZ37" i="1"/>
  <c r="BB39" i="1"/>
  <c r="AZ38" i="1"/>
  <c r="AY39" i="1"/>
  <c r="BT48" i="1"/>
  <c r="BT270" i="1" s="1"/>
  <c r="BT271" i="1" s="1"/>
  <c r="AZ39" i="1"/>
  <c r="BJ177" i="1"/>
  <c r="AP206" i="1"/>
  <c r="AP209" i="1" s="1"/>
  <c r="BS223" i="1"/>
  <c r="BS221" i="1" s="1"/>
  <c r="BQ186" i="1"/>
  <c r="BD48" i="1"/>
  <c r="BD37" i="1"/>
  <c r="BE39" i="1"/>
  <c r="BD38" i="1"/>
  <c r="S79" i="1"/>
  <c r="W79" i="1"/>
  <c r="BF205" i="1"/>
  <c r="BF206" i="1" s="1"/>
  <c r="BN206" i="1"/>
  <c r="BH206" i="1"/>
  <c r="AW37" i="1"/>
  <c r="AW48" i="1"/>
  <c r="BA38" i="1"/>
  <c r="AW38" i="1"/>
  <c r="BD39" i="1"/>
  <c r="AX37" i="1"/>
  <c r="AX39" i="1"/>
  <c r="AN37" i="1"/>
  <c r="BB38" i="1"/>
  <c r="BT38" i="1"/>
  <c r="BL177" i="1"/>
  <c r="BP206" i="1"/>
  <c r="AO185" i="1"/>
  <c r="AO186" i="1" s="1"/>
  <c r="AP158" i="1"/>
  <c r="AP223" i="1" s="1"/>
  <c r="AP221" i="1" s="1"/>
  <c r="AQ53" i="1"/>
  <c r="AJ39" i="1"/>
  <c r="AI37" i="1"/>
  <c r="AI48" i="1"/>
  <c r="AM38" i="1"/>
  <c r="N79" i="1"/>
  <c r="DA37" i="1"/>
  <c r="AV177" i="1"/>
  <c r="CS60" i="1"/>
  <c r="CT60" i="1" s="1"/>
  <c r="CY47" i="1"/>
  <c r="CZ47" i="1" s="1"/>
  <c r="DA47" i="1" s="1"/>
  <c r="AX206" i="1"/>
  <c r="BL206" i="1"/>
  <c r="BL223" i="1"/>
  <c r="BL221" i="1" s="1"/>
  <c r="BV206" i="1"/>
  <c r="BZ209" i="1" s="1"/>
  <c r="BY83" i="1"/>
  <c r="BZ85" i="1"/>
  <c r="S83" i="1"/>
  <c r="T85" i="1"/>
  <c r="CU160" i="1"/>
  <c r="CV160" i="1" s="1"/>
  <c r="CT203" i="1"/>
  <c r="CT85" i="1"/>
  <c r="CU83" i="1"/>
  <c r="CB122" i="1"/>
  <c r="CB123" i="1"/>
  <c r="CB124" i="1"/>
  <c r="AC144" i="1"/>
  <c r="CT144" i="1"/>
  <c r="CS148" i="1"/>
  <c r="AC222" i="1"/>
  <c r="V88" i="1"/>
  <c r="V89" i="1"/>
  <c r="CR201" i="1"/>
  <c r="CQ202" i="1"/>
  <c r="CE105" i="1"/>
  <c r="CE107" i="1"/>
  <c r="CE106" i="1"/>
  <c r="CT199" i="1"/>
  <c r="CR269" i="1"/>
  <c r="CR226" i="1"/>
  <c r="V116" i="1"/>
  <c r="V115" i="1"/>
  <c r="V114" i="1"/>
  <c r="V122" i="1"/>
  <c r="V123" i="1"/>
  <c r="V124" i="1"/>
  <c r="CA127" i="1"/>
  <c r="CA128" i="1"/>
  <c r="CA119" i="1"/>
  <c r="CA112" i="1"/>
  <c r="CA86" i="1"/>
  <c r="CD89" i="1" s="1"/>
  <c r="U119" i="1"/>
  <c r="U86" i="1"/>
  <c r="U127" i="1"/>
  <c r="U130" i="1" s="1"/>
  <c r="U133" i="1" s="1"/>
  <c r="U128" i="1"/>
  <c r="U131" i="1" s="1"/>
  <c r="U134" i="1" s="1"/>
  <c r="U112" i="1"/>
  <c r="CT222" i="1"/>
  <c r="BJ223" i="1"/>
  <c r="BJ221" i="1" s="1"/>
  <c r="BX206" i="1"/>
  <c r="CB209" i="1" s="1"/>
  <c r="AP177" i="1"/>
  <c r="BB206" i="1"/>
  <c r="AJ206" i="1"/>
  <c r="AJ177" i="1"/>
  <c r="AJ216" i="1"/>
  <c r="AJ218" i="1" s="1"/>
  <c r="AJ219" i="1" s="1"/>
  <c r="BD223" i="1"/>
  <c r="BD221" i="1" s="1"/>
  <c r="BW223" i="1"/>
  <c r="BW221" i="1" s="1"/>
  <c r="AQ270" i="1"/>
  <c r="AQ271" i="1" s="1"/>
  <c r="AQ51" i="1"/>
  <c r="AX223" i="1"/>
  <c r="AX221" i="1" s="1"/>
  <c r="AW223" i="1"/>
  <c r="AW221" i="1" s="1"/>
  <c r="AZ61" i="1"/>
  <c r="AZ60" i="1"/>
  <c r="AR223" i="1"/>
  <c r="AR221" i="1" s="1"/>
  <c r="BI223" i="1"/>
  <c r="BI221" i="1" s="1"/>
  <c r="BB223" i="1"/>
  <c r="BB221" i="1" s="1"/>
  <c r="BA223" i="1"/>
  <c r="BA221" i="1" s="1"/>
  <c r="BR223" i="1"/>
  <c r="BR221" i="1" s="1"/>
  <c r="BQ223" i="1"/>
  <c r="BQ221" i="1" s="1"/>
  <c r="AV223" i="1"/>
  <c r="AV221" i="1" s="1"/>
  <c r="AU223" i="1"/>
  <c r="AU221" i="1" s="1"/>
  <c r="BN54" i="1"/>
  <c r="BN49" i="1"/>
  <c r="BN252" i="1"/>
  <c r="BN253" i="1" s="1"/>
  <c r="AQ49" i="1"/>
  <c r="AQ252" i="1"/>
  <c r="AQ253" i="1" s="1"/>
  <c r="AQ54" i="1"/>
  <c r="AQ50" i="1"/>
  <c r="AR51" i="1"/>
  <c r="AR270" i="1"/>
  <c r="AR271" i="1" s="1"/>
  <c r="AY60" i="1"/>
  <c r="AY61" i="1"/>
  <c r="BQ60" i="1"/>
  <c r="BQ61" i="1"/>
  <c r="BE50" i="1" l="1"/>
  <c r="CJ105" i="1"/>
  <c r="CJ107" i="1"/>
  <c r="BT206" i="1"/>
  <c r="BV252" i="1"/>
  <c r="BV253" i="1" s="1"/>
  <c r="BR54" i="1"/>
  <c r="BC54" i="1"/>
  <c r="BC58" i="1" s="1"/>
  <c r="BC60" i="1" s="1"/>
  <c r="BQ18" i="1"/>
  <c r="BS270" i="1"/>
  <c r="BS271" i="1" s="1"/>
  <c r="CK90" i="1"/>
  <c r="CG107" i="1"/>
  <c r="CG105" i="1"/>
  <c r="CG106" i="1"/>
  <c r="BS252" i="1"/>
  <c r="BS253" i="1" s="1"/>
  <c r="BS54" i="1"/>
  <c r="BS58" i="1" s="1"/>
  <c r="BS60" i="1" s="1"/>
  <c r="CL90" i="1"/>
  <c r="CH105" i="1"/>
  <c r="CH107" i="1"/>
  <c r="CH106" i="1"/>
  <c r="CI105" i="1"/>
  <c r="CI107" i="1"/>
  <c r="CI106" i="1"/>
  <c r="CI110" i="1"/>
  <c r="CH110" i="1"/>
  <c r="CJ106" i="1"/>
  <c r="CB114" i="1"/>
  <c r="CB115" i="1"/>
  <c r="CB116" i="1"/>
  <c r="BS51" i="1"/>
  <c r="BL51" i="1"/>
  <c r="CH264" i="1"/>
  <c r="CH188" i="1"/>
  <c r="CI229" i="1"/>
  <c r="CH185" i="1"/>
  <c r="CH186" i="1" s="1"/>
  <c r="CH268" i="1"/>
  <c r="CH266" i="1"/>
  <c r="BE54" i="1"/>
  <c r="BE58" i="1" s="1"/>
  <c r="BE61" i="1" s="1"/>
  <c r="BE254" i="1" s="1"/>
  <c r="CR204" i="1"/>
  <c r="CQ205" i="1"/>
  <c r="CQ206" i="1" s="1"/>
  <c r="BK49" i="1"/>
  <c r="BV49" i="1"/>
  <c r="BZ50" i="1"/>
  <c r="BL270" i="1"/>
  <c r="BL271" i="1" s="1"/>
  <c r="BV50" i="1"/>
  <c r="BK252" i="1"/>
  <c r="BK253" i="1" s="1"/>
  <c r="BK54" i="1"/>
  <c r="BK58" i="1" s="1"/>
  <c r="BK61" i="1" s="1"/>
  <c r="BL64" i="1" s="1"/>
  <c r="BI50" i="1"/>
  <c r="BK270" i="1"/>
  <c r="BK271" i="1" s="1"/>
  <c r="BW18" i="1"/>
  <c r="BK132" i="1"/>
  <c r="BG21" i="1"/>
  <c r="BG23" i="1" s="1"/>
  <c r="BG18" i="1"/>
  <c r="BU18" i="1"/>
  <c r="BR49" i="1"/>
  <c r="BR270" i="1"/>
  <c r="BR271" i="1" s="1"/>
  <c r="BL132" i="1"/>
  <c r="BI252" i="1"/>
  <c r="BI253" i="1" s="1"/>
  <c r="BJ51" i="1"/>
  <c r="BI54" i="1"/>
  <c r="BI58" i="1" s="1"/>
  <c r="BI60" i="1" s="1"/>
  <c r="BI18" i="1"/>
  <c r="BV18" i="1"/>
  <c r="BK18" i="1"/>
  <c r="BP21" i="1"/>
  <c r="BP23" i="1" s="1"/>
  <c r="BP18" i="1"/>
  <c r="BC50" i="1"/>
  <c r="BJ60" i="1"/>
  <c r="BJ61" i="1"/>
  <c r="BR50" i="1"/>
  <c r="BT21" i="1"/>
  <c r="BT23" i="1" s="1"/>
  <c r="BT18" i="1"/>
  <c r="BO21" i="1"/>
  <c r="BO23" i="1" s="1"/>
  <c r="BO18" i="1"/>
  <c r="BM18" i="1"/>
  <c r="BC252" i="1"/>
  <c r="BC253" i="1" s="1"/>
  <c r="BR51" i="1"/>
  <c r="BL246" i="1"/>
  <c r="BS132" i="1"/>
  <c r="BI49" i="1"/>
  <c r="BK50" i="1"/>
  <c r="BF21" i="1"/>
  <c r="BF23" i="1" s="1"/>
  <c r="BF18" i="1"/>
  <c r="BU54" i="1"/>
  <c r="BU58" i="1" s="1"/>
  <c r="BU61" i="1" s="1"/>
  <c r="BU68" i="1" s="1"/>
  <c r="BU49" i="1"/>
  <c r="AV54" i="1"/>
  <c r="AV58" i="1" s="1"/>
  <c r="AV50" i="1"/>
  <c r="AT60" i="1"/>
  <c r="BV51" i="1"/>
  <c r="BY246" i="1"/>
  <c r="AO54" i="1"/>
  <c r="AO58" i="1" s="1"/>
  <c r="AO60" i="1" s="1"/>
  <c r="AO252" i="1"/>
  <c r="AO253" i="1" s="1"/>
  <c r="BW49" i="1"/>
  <c r="BX270" i="1"/>
  <c r="BX271" i="1" s="1"/>
  <c r="BX51" i="1"/>
  <c r="BF252" i="1"/>
  <c r="BF253" i="1" s="1"/>
  <c r="BN270" i="1"/>
  <c r="BN271" i="1" s="1"/>
  <c r="BR132" i="1"/>
  <c r="BQ270" i="1"/>
  <c r="BQ271" i="1" s="1"/>
  <c r="CA50" i="1"/>
  <c r="BW252" i="1"/>
  <c r="BW253" i="1" s="1"/>
  <c r="V80" i="1"/>
  <c r="BY132" i="1"/>
  <c r="BW51" i="1"/>
  <c r="AO49" i="1"/>
  <c r="BW50" i="1"/>
  <c r="AS50" i="1"/>
  <c r="BW270" i="1"/>
  <c r="BW271" i="1" s="1"/>
  <c r="BO270" i="1"/>
  <c r="BO271" i="1" s="1"/>
  <c r="BO50" i="1"/>
  <c r="AP51" i="1"/>
  <c r="AO50" i="1"/>
  <c r="BZ246" i="1"/>
  <c r="AP270" i="1"/>
  <c r="AP271" i="1" s="1"/>
  <c r="X80" i="1"/>
  <c r="BO49" i="1"/>
  <c r="BP270" i="1"/>
  <c r="BP271" i="1" s="1"/>
  <c r="BW54" i="1"/>
  <c r="BY75" i="1" s="1"/>
  <c r="AR132" i="1"/>
  <c r="BO51" i="1"/>
  <c r="BS50" i="1"/>
  <c r="BO54" i="1"/>
  <c r="BO58" i="1" s="1"/>
  <c r="BO61" i="1" s="1"/>
  <c r="BO254" i="1" s="1"/>
  <c r="AT270" i="1"/>
  <c r="AT271" i="1" s="1"/>
  <c r="AS54" i="1"/>
  <c r="AS58" i="1" s="1"/>
  <c r="AS61" i="1" s="1"/>
  <c r="AT64" i="1" s="1"/>
  <c r="AT246" i="1"/>
  <c r="AT51" i="1"/>
  <c r="AS246" i="1"/>
  <c r="AT132" i="1"/>
  <c r="AS132" i="1"/>
  <c r="AS49" i="1"/>
  <c r="AS270" i="1"/>
  <c r="AS271" i="1" s="1"/>
  <c r="AS51" i="1"/>
  <c r="AR60" i="1"/>
  <c r="BC270" i="1"/>
  <c r="BC271" i="1" s="1"/>
  <c r="BR246" i="1"/>
  <c r="AV252" i="1"/>
  <c r="AV253" i="1" s="1"/>
  <c r="AW270" i="1"/>
  <c r="AW271" i="1" s="1"/>
  <c r="BV270" i="1"/>
  <c r="BV271" i="1" s="1"/>
  <c r="AV49" i="1"/>
  <c r="BO246" i="1"/>
  <c r="BU252" i="1"/>
  <c r="BU253" i="1" s="1"/>
  <c r="BX132" i="1"/>
  <c r="BX246" i="1"/>
  <c r="BA60" i="1"/>
  <c r="BF246" i="1"/>
  <c r="BF270" i="1"/>
  <c r="BF271" i="1" s="1"/>
  <c r="BF51" i="1"/>
  <c r="BF49" i="1"/>
  <c r="BF54" i="1"/>
  <c r="BF58" i="1" s="1"/>
  <c r="BF60" i="1" s="1"/>
  <c r="AU246" i="1"/>
  <c r="AX209" i="1"/>
  <c r="BM54" i="1"/>
  <c r="BM58" i="1" s="1"/>
  <c r="BM61" i="1" s="1"/>
  <c r="BM51" i="1"/>
  <c r="BY50" i="1"/>
  <c r="BI51" i="1"/>
  <c r="BK246" i="1"/>
  <c r="R80" i="1"/>
  <c r="BI270" i="1"/>
  <c r="BI271" i="1" s="1"/>
  <c r="BL50" i="1"/>
  <c r="BA246" i="1"/>
  <c r="BG270" i="1"/>
  <c r="BG271" i="1" s="1"/>
  <c r="BJ132" i="1"/>
  <c r="BD209" i="1"/>
  <c r="AU270" i="1"/>
  <c r="AU271" i="1" s="1"/>
  <c r="AO246" i="1"/>
  <c r="BG51" i="1"/>
  <c r="AV270" i="1"/>
  <c r="AV271" i="1" s="1"/>
  <c r="BT252" i="1"/>
  <c r="BT253" i="1" s="1"/>
  <c r="BB132" i="1"/>
  <c r="BP54" i="1"/>
  <c r="BP58" i="1" s="1"/>
  <c r="BQ51" i="1"/>
  <c r="BP49" i="1"/>
  <c r="BB252" i="1"/>
  <c r="BB253" i="1" s="1"/>
  <c r="BQ50" i="1"/>
  <c r="AU132" i="1"/>
  <c r="BG49" i="1"/>
  <c r="BT51" i="1"/>
  <c r="AY270" i="1"/>
  <c r="AY271" i="1" s="1"/>
  <c r="AY50" i="1"/>
  <c r="BH51" i="1"/>
  <c r="AY51" i="1"/>
  <c r="W80" i="1"/>
  <c r="BU51" i="1"/>
  <c r="BG252" i="1"/>
  <c r="BG253" i="1" s="1"/>
  <c r="BA132" i="1"/>
  <c r="BG50" i="1"/>
  <c r="BS246" i="1"/>
  <c r="BX50" i="1"/>
  <c r="AX252" i="1"/>
  <c r="AX253" i="1" s="1"/>
  <c r="BQ132" i="1"/>
  <c r="BG54" i="1"/>
  <c r="BG58" i="1" s="1"/>
  <c r="BN246" i="1"/>
  <c r="BP51" i="1"/>
  <c r="BT49" i="1"/>
  <c r="BQ246" i="1"/>
  <c r="BI246" i="1"/>
  <c r="BN132" i="1"/>
  <c r="AU49" i="1"/>
  <c r="BP50" i="1"/>
  <c r="T80" i="1"/>
  <c r="BP252" i="1"/>
  <c r="BP253" i="1" s="1"/>
  <c r="AZ209" i="1"/>
  <c r="BP209" i="1"/>
  <c r="BF50" i="1"/>
  <c r="BP246" i="1"/>
  <c r="BC51" i="1"/>
  <c r="BM252" i="1"/>
  <c r="BM253" i="1" s="1"/>
  <c r="BN51" i="1"/>
  <c r="BB246" i="1"/>
  <c r="BM49" i="1"/>
  <c r="AO270" i="1"/>
  <c r="AO271" i="1" s="1"/>
  <c r="BB51" i="1"/>
  <c r="BO132" i="1"/>
  <c r="AN50" i="1"/>
  <c r="BC246" i="1"/>
  <c r="BM50" i="1"/>
  <c r="BM132" i="1"/>
  <c r="BB54" i="1"/>
  <c r="BB58" i="1" s="1"/>
  <c r="BM246" i="1"/>
  <c r="BB270" i="1"/>
  <c r="BB271" i="1" s="1"/>
  <c r="AO51" i="1"/>
  <c r="BC132" i="1"/>
  <c r="U80" i="1"/>
  <c r="BP132" i="1"/>
  <c r="AN51" i="1"/>
  <c r="BJ209" i="1"/>
  <c r="AV209" i="1"/>
  <c r="BD270" i="1"/>
  <c r="BD271" i="1" s="1"/>
  <c r="BG246" i="1"/>
  <c r="BJ246" i="1"/>
  <c r="BW132" i="1"/>
  <c r="S80" i="1"/>
  <c r="BH50" i="1"/>
  <c r="BF132" i="1"/>
  <c r="BU270" i="1"/>
  <c r="BU271" i="1" s="1"/>
  <c r="BW246" i="1"/>
  <c r="AX49" i="1"/>
  <c r="BH270" i="1"/>
  <c r="BH271" i="1" s="1"/>
  <c r="BG132" i="1"/>
  <c r="AP61" i="1"/>
  <c r="AP63" i="1" s="1"/>
  <c r="BU132" i="1"/>
  <c r="BT54" i="1"/>
  <c r="BT58" i="1" s="1"/>
  <c r="AX54" i="1"/>
  <c r="AX58" i="1" s="1"/>
  <c r="BH252" i="1"/>
  <c r="BH253" i="1" s="1"/>
  <c r="BH132" i="1"/>
  <c r="BH246" i="1"/>
  <c r="AV132" i="1"/>
  <c r="BT132" i="1"/>
  <c r="AV246" i="1"/>
  <c r="BB50" i="1"/>
  <c r="BH54" i="1"/>
  <c r="BH58" i="1" s="1"/>
  <c r="BH61" i="1" s="1"/>
  <c r="BV132" i="1"/>
  <c r="BV246" i="1"/>
  <c r="AU54" i="1"/>
  <c r="AU58" i="1" s="1"/>
  <c r="AU61" i="1" s="1"/>
  <c r="AU62" i="1" s="1"/>
  <c r="AU265" i="1" s="1"/>
  <c r="BT246" i="1"/>
  <c r="BD51" i="1"/>
  <c r="BT50" i="1"/>
  <c r="BE132" i="1"/>
  <c r="BH49" i="1"/>
  <c r="BI132" i="1"/>
  <c r="AZ132" i="1"/>
  <c r="AV51" i="1"/>
  <c r="AU50" i="1"/>
  <c r="AU252" i="1"/>
  <c r="AU253" i="1" s="1"/>
  <c r="BN209" i="1"/>
  <c r="BR209" i="1"/>
  <c r="AN132" i="1"/>
  <c r="AQ132" i="1"/>
  <c r="AO132" i="1"/>
  <c r="AP132" i="1"/>
  <c r="AR50" i="1"/>
  <c r="BE246" i="1"/>
  <c r="AN246" i="1"/>
  <c r="BD132" i="1"/>
  <c r="AN252" i="1"/>
  <c r="AN253" i="1" s="1"/>
  <c r="BD246" i="1"/>
  <c r="AQ246" i="1"/>
  <c r="AT209" i="1"/>
  <c r="AN54" i="1"/>
  <c r="AN58" i="1" s="1"/>
  <c r="AN270" i="1"/>
  <c r="AN271" i="1" s="1"/>
  <c r="AP246" i="1"/>
  <c r="AQ223" i="1"/>
  <c r="AQ221" i="1" s="1"/>
  <c r="BT209" i="1"/>
  <c r="BL209" i="1"/>
  <c r="AW50" i="1"/>
  <c r="AW252" i="1"/>
  <c r="AW253" i="1" s="1"/>
  <c r="AW54" i="1"/>
  <c r="AW58" i="1" s="1"/>
  <c r="BA50" i="1"/>
  <c r="AW49" i="1"/>
  <c r="AZ246" i="1"/>
  <c r="AY246" i="1"/>
  <c r="BB209" i="1"/>
  <c r="BH209" i="1"/>
  <c r="BF209" i="1"/>
  <c r="AX132" i="1"/>
  <c r="AX246" i="1"/>
  <c r="AX51" i="1"/>
  <c r="AW132" i="1"/>
  <c r="AY132" i="1"/>
  <c r="AW246" i="1"/>
  <c r="AX270" i="1"/>
  <c r="AX271" i="1" s="1"/>
  <c r="AW51" i="1"/>
  <c r="BD49" i="1"/>
  <c r="BD54" i="1"/>
  <c r="BD58" i="1" s="1"/>
  <c r="BD50" i="1"/>
  <c r="BE270" i="1"/>
  <c r="BE271" i="1" s="1"/>
  <c r="BD252" i="1"/>
  <c r="BD253" i="1" s="1"/>
  <c r="BE51" i="1"/>
  <c r="N80" i="1"/>
  <c r="AL132" i="1"/>
  <c r="AI49" i="1"/>
  <c r="AL246" i="1"/>
  <c r="AM50" i="1"/>
  <c r="AI252" i="1"/>
  <c r="AI253" i="1" s="1"/>
  <c r="AI54" i="1"/>
  <c r="AJ51" i="1"/>
  <c r="CU60" i="1"/>
  <c r="CV60" i="1" s="1"/>
  <c r="BV209" i="1"/>
  <c r="U116" i="1"/>
  <c r="U115" i="1"/>
  <c r="U114" i="1"/>
  <c r="U124" i="1"/>
  <c r="U122" i="1"/>
  <c r="U123" i="1"/>
  <c r="CV83" i="1"/>
  <c r="CU85" i="1"/>
  <c r="CV222" i="1"/>
  <c r="CW160" i="1"/>
  <c r="CD105" i="1"/>
  <c r="CD107" i="1"/>
  <c r="CD106" i="1"/>
  <c r="CG110" i="1" s="1"/>
  <c r="CH90" i="1"/>
  <c r="BZ109" i="1"/>
  <c r="CS201" i="1"/>
  <c r="CR202" i="1"/>
  <c r="CU222" i="1"/>
  <c r="CA114" i="1"/>
  <c r="CA115" i="1"/>
  <c r="CA116" i="1"/>
  <c r="U109" i="1"/>
  <c r="V106" i="1"/>
  <c r="V105" i="1"/>
  <c r="V107" i="1"/>
  <c r="CS269" i="1"/>
  <c r="CS226" i="1"/>
  <c r="T119" i="1"/>
  <c r="T86" i="1"/>
  <c r="T127" i="1"/>
  <c r="T130" i="1" s="1"/>
  <c r="T133" i="1" s="1"/>
  <c r="T128" i="1"/>
  <c r="T131" i="1" s="1"/>
  <c r="T134" i="1" s="1"/>
  <c r="T112" i="1"/>
  <c r="BZ127" i="1"/>
  <c r="BZ128" i="1"/>
  <c r="BZ86" i="1"/>
  <c r="CC89" i="1" s="1"/>
  <c r="BZ112" i="1"/>
  <c r="BZ119" i="1"/>
  <c r="U89" i="1"/>
  <c r="U88" i="1"/>
  <c r="CA124" i="1"/>
  <c r="CA122" i="1"/>
  <c r="CA123" i="1"/>
  <c r="CU199" i="1"/>
  <c r="CT148" i="1"/>
  <c r="CU144" i="1"/>
  <c r="CU203" i="1"/>
  <c r="R83" i="1"/>
  <c r="S85" i="1"/>
  <c r="BX83" i="1"/>
  <c r="BY85" i="1"/>
  <c r="BC61" i="1"/>
  <c r="BC63" i="1" s="1"/>
  <c r="BX209" i="1"/>
  <c r="AJ233" i="1"/>
  <c r="AJ230" i="1"/>
  <c r="BV60" i="1"/>
  <c r="AZ254" i="1"/>
  <c r="AZ68" i="1"/>
  <c r="AZ139" i="1" s="1"/>
  <c r="AZ140" i="1" s="1"/>
  <c r="AZ62" i="1"/>
  <c r="AZ265" i="1" s="1"/>
  <c r="BR58" i="1"/>
  <c r="AR62" i="1"/>
  <c r="AR265" i="1" s="1"/>
  <c r="AR68" i="1"/>
  <c r="AR139" i="1" s="1"/>
  <c r="AR140" i="1" s="1"/>
  <c r="AR254" i="1"/>
  <c r="BN58" i="1"/>
  <c r="BV62" i="1"/>
  <c r="BV265" i="1" s="1"/>
  <c r="BV68" i="1"/>
  <c r="BV139" i="1" s="1"/>
  <c r="BV140" i="1" s="1"/>
  <c r="BV254" i="1"/>
  <c r="BZ63" i="1"/>
  <c r="AQ58" i="1"/>
  <c r="AZ64" i="1"/>
  <c r="AY68" i="1"/>
  <c r="AY254" i="1"/>
  <c r="AY62" i="1"/>
  <c r="AY265" i="1" s="1"/>
  <c r="BQ62" i="1"/>
  <c r="BQ265" i="1" s="1"/>
  <c r="BQ68" i="1"/>
  <c r="BQ254" i="1"/>
  <c r="AT68" i="1"/>
  <c r="AT254" i="1"/>
  <c r="AT62" i="1"/>
  <c r="AT265" i="1" s="1"/>
  <c r="BA254" i="1"/>
  <c r="BA62" i="1"/>
  <c r="BA265" i="1" s="1"/>
  <c r="BA64" i="1"/>
  <c r="BA68" i="1"/>
  <c r="CL110" i="1" l="1"/>
  <c r="BV64" i="1"/>
  <c r="BE60" i="1"/>
  <c r="BE63" i="1"/>
  <c r="BE62" i="1"/>
  <c r="BE265" i="1" s="1"/>
  <c r="AS60" i="1"/>
  <c r="BU254" i="1"/>
  <c r="BU60" i="1"/>
  <c r="BU62" i="1"/>
  <c r="BU265" i="1" s="1"/>
  <c r="BK60" i="1"/>
  <c r="BE68" i="1"/>
  <c r="BE213" i="1" s="1"/>
  <c r="BE215" i="1" s="1"/>
  <c r="CK110" i="1"/>
  <c r="BS61" i="1"/>
  <c r="BS254" i="1" s="1"/>
  <c r="CJ110" i="1"/>
  <c r="BW58" i="1"/>
  <c r="BW61" i="1" s="1"/>
  <c r="X81" i="1" s="1"/>
  <c r="BY63" i="1"/>
  <c r="CH129" i="1"/>
  <c r="CI57" i="1"/>
  <c r="BK62" i="1"/>
  <c r="BK265" i="1" s="1"/>
  <c r="CS204" i="1"/>
  <c r="CR205" i="1"/>
  <c r="CR206" i="1" s="1"/>
  <c r="BK68" i="1"/>
  <c r="BK213" i="1" s="1"/>
  <c r="BK215" i="1" s="1"/>
  <c r="BI61" i="1"/>
  <c r="BK247" i="1" s="1"/>
  <c r="BU63" i="1"/>
  <c r="BK64" i="1"/>
  <c r="BK254" i="1"/>
  <c r="BL75" i="1"/>
  <c r="BM247" i="1"/>
  <c r="BJ254" i="1"/>
  <c r="BJ62" i="1"/>
  <c r="BJ265" i="1" s="1"/>
  <c r="BJ68" i="1"/>
  <c r="AO61" i="1"/>
  <c r="AP64" i="1" s="1"/>
  <c r="BZ75" i="1"/>
  <c r="BX75" i="1"/>
  <c r="BO68" i="1"/>
  <c r="BO213" i="1" s="1"/>
  <c r="BO215" i="1" s="1"/>
  <c r="BO63" i="1"/>
  <c r="BO62" i="1"/>
  <c r="BO265" i="1" s="1"/>
  <c r="BS63" i="1"/>
  <c r="BO60" i="1"/>
  <c r="AS75" i="1"/>
  <c r="BM64" i="1"/>
  <c r="BM254" i="1"/>
  <c r="BM68" i="1"/>
  <c r="BM213" i="1" s="1"/>
  <c r="BM215" i="1" s="1"/>
  <c r="BM62" i="1"/>
  <c r="BM265" i="1" s="1"/>
  <c r="U81" i="1"/>
  <c r="BM60" i="1"/>
  <c r="BQ63" i="1"/>
  <c r="BF61" i="1"/>
  <c r="BF64" i="1" s="1"/>
  <c r="AP68" i="1"/>
  <c r="AP139" i="1" s="1"/>
  <c r="AP140" i="1" s="1"/>
  <c r="AP149" i="1" s="1"/>
  <c r="AP75" i="1" s="1"/>
  <c r="BH60" i="1"/>
  <c r="AP62" i="1"/>
  <c r="AP265" i="1" s="1"/>
  <c r="BP61" i="1"/>
  <c r="BP60" i="1"/>
  <c r="AU247" i="1"/>
  <c r="AS68" i="1"/>
  <c r="AS254" i="1"/>
  <c r="AS62" i="1"/>
  <c r="AS265" i="1" s="1"/>
  <c r="BC68" i="1"/>
  <c r="BC213" i="1" s="1"/>
  <c r="BC215" i="1" s="1"/>
  <c r="BC254" i="1"/>
  <c r="BC62" i="1"/>
  <c r="BC265" i="1" s="1"/>
  <c r="AS64" i="1"/>
  <c r="AU64" i="1"/>
  <c r="AU68" i="1"/>
  <c r="AU72" i="1" s="1"/>
  <c r="AU60" i="1"/>
  <c r="AY63" i="1"/>
  <c r="AT63" i="1"/>
  <c r="AU254" i="1"/>
  <c r="AP254" i="1"/>
  <c r="BE75" i="1"/>
  <c r="BD60" i="1"/>
  <c r="BD61" i="1"/>
  <c r="AW60" i="1"/>
  <c r="AW61" i="1"/>
  <c r="AI58" i="1"/>
  <c r="AL75" i="1"/>
  <c r="CW60" i="1"/>
  <c r="S86" i="1"/>
  <c r="S119" i="1"/>
  <c r="S128" i="1"/>
  <c r="S131" i="1" s="1"/>
  <c r="S134" i="1" s="1"/>
  <c r="S127" i="1"/>
  <c r="S130" i="1" s="1"/>
  <c r="S133" i="1" s="1"/>
  <c r="S112" i="1"/>
  <c r="CV144" i="1"/>
  <c r="CU148" i="1"/>
  <c r="T109" i="1"/>
  <c r="U106" i="1"/>
  <c r="U105" i="1"/>
  <c r="U107" i="1"/>
  <c r="V90" i="1"/>
  <c r="Q83" i="1"/>
  <c r="R85" i="1"/>
  <c r="CT269" i="1"/>
  <c r="CT226" i="1"/>
  <c r="BZ123" i="1"/>
  <c r="BZ122" i="1"/>
  <c r="BZ124" i="1"/>
  <c r="T89" i="1"/>
  <c r="U90" i="1" s="1"/>
  <c r="T88" i="1"/>
  <c r="AD160" i="1"/>
  <c r="AD222" i="1" s="1"/>
  <c r="CX160" i="1"/>
  <c r="CV85" i="1"/>
  <c r="CW83" i="1"/>
  <c r="BY86" i="1"/>
  <c r="CB89" i="1" s="1"/>
  <c r="BY112" i="1"/>
  <c r="BY128" i="1"/>
  <c r="BY127" i="1"/>
  <c r="BY119" i="1"/>
  <c r="CV203" i="1"/>
  <c r="BZ115" i="1"/>
  <c r="BZ114" i="1"/>
  <c r="BZ116" i="1"/>
  <c r="T116" i="1"/>
  <c r="T114" i="1"/>
  <c r="T115" i="1"/>
  <c r="T122" i="1"/>
  <c r="T123" i="1"/>
  <c r="T124" i="1"/>
  <c r="CW222" i="1"/>
  <c r="BW83" i="1"/>
  <c r="BX85" i="1"/>
  <c r="CV199" i="1"/>
  <c r="CC106" i="1"/>
  <c r="CF110" i="1" s="1"/>
  <c r="CC105" i="1"/>
  <c r="CG90" i="1"/>
  <c r="BY109" i="1"/>
  <c r="CC107" i="1"/>
  <c r="CT201" i="1"/>
  <c r="CS202" i="1"/>
  <c r="AR149" i="1"/>
  <c r="AR75" i="1" s="1"/>
  <c r="AZ149" i="1"/>
  <c r="AZ75" i="1" s="1"/>
  <c r="AJ180" i="1"/>
  <c r="AJ181" i="1" s="1"/>
  <c r="AJ231" i="1" s="1"/>
  <c r="AT139" i="1"/>
  <c r="AT140" i="1" s="1"/>
  <c r="AT227" i="1" s="1"/>
  <c r="AT225" i="1" s="1"/>
  <c r="BV149" i="1"/>
  <c r="BV75" i="1" s="1"/>
  <c r="AZ72" i="1"/>
  <c r="AZ213" i="1"/>
  <c r="AZ215" i="1" s="1"/>
  <c r="BR61" i="1"/>
  <c r="BR60" i="1"/>
  <c r="BU213" i="1"/>
  <c r="BU215" i="1" s="1"/>
  <c r="BU72" i="1"/>
  <c r="BV227" i="1"/>
  <c r="BV225" i="1" s="1"/>
  <c r="BN61" i="1"/>
  <c r="BN60" i="1"/>
  <c r="AQ61" i="1"/>
  <c r="AQ60" i="1"/>
  <c r="AR72" i="1"/>
  <c r="AR213" i="1"/>
  <c r="AR215" i="1" s="1"/>
  <c r="BT61" i="1"/>
  <c r="BT60" i="1"/>
  <c r="AV60" i="1"/>
  <c r="AV61" i="1"/>
  <c r="AN61" i="1"/>
  <c r="AN60" i="1"/>
  <c r="BH68" i="1"/>
  <c r="BH139" i="1" s="1"/>
  <c r="BH140" i="1" s="1"/>
  <c r="BL63" i="1"/>
  <c r="BH254" i="1"/>
  <c r="BH62" i="1"/>
  <c r="BH265" i="1" s="1"/>
  <c r="AX61" i="1"/>
  <c r="R81" i="1" s="1"/>
  <c r="AX60" i="1"/>
  <c r="BV213" i="1"/>
  <c r="BV215" i="1" s="1"/>
  <c r="BV72" i="1"/>
  <c r="BG60" i="1"/>
  <c r="BG61" i="1"/>
  <c r="BB61" i="1"/>
  <c r="BB60" i="1"/>
  <c r="AY213" i="1"/>
  <c r="AY215" i="1" s="1"/>
  <c r="AY72" i="1"/>
  <c r="BS62" i="1"/>
  <c r="BS265" i="1" s="1"/>
  <c r="BS68" i="1"/>
  <c r="BK72" i="1"/>
  <c r="BQ213" i="1"/>
  <c r="BQ215" i="1" s="1"/>
  <c r="BQ72" i="1"/>
  <c r="AT213" i="1"/>
  <c r="AT215" i="1" s="1"/>
  <c r="AT72" i="1"/>
  <c r="BA72" i="1"/>
  <c r="BA213" i="1"/>
  <c r="BA215" i="1" s="1"/>
  <c r="AC148" i="1"/>
  <c r="AC269" i="1" s="1"/>
  <c r="BW60" i="1" l="1"/>
  <c r="BE72" i="1"/>
  <c r="BI254" i="1"/>
  <c r="BI63" i="1"/>
  <c r="BI62" i="1"/>
  <c r="BI265" i="1" s="1"/>
  <c r="AO62" i="1"/>
  <c r="AO265" i="1" s="1"/>
  <c r="BI64" i="1"/>
  <c r="AS63" i="1"/>
  <c r="BJ64" i="1"/>
  <c r="BM63" i="1"/>
  <c r="CT204" i="1"/>
  <c r="CS205" i="1"/>
  <c r="CS206" i="1" s="1"/>
  <c r="AO68" i="1"/>
  <c r="AO213" i="1" s="1"/>
  <c r="AO215" i="1" s="1"/>
  <c r="BI68" i="1"/>
  <c r="BI213" i="1" s="1"/>
  <c r="BI215" i="1" s="1"/>
  <c r="BL247" i="1"/>
  <c r="CH131" i="1"/>
  <c r="CH134" i="1" s="1"/>
  <c r="CH130" i="1"/>
  <c r="CH133" i="1" s="1"/>
  <c r="BO72" i="1"/>
  <c r="AO254" i="1"/>
  <c r="BJ139" i="1"/>
  <c r="BJ140" i="1" s="1"/>
  <c r="BJ149" i="1" s="1"/>
  <c r="BJ75" i="1" s="1"/>
  <c r="BJ213" i="1"/>
  <c r="BJ215" i="1" s="1"/>
  <c r="BJ72" i="1"/>
  <c r="AO63" i="1"/>
  <c r="BM72" i="1"/>
  <c r="BF254" i="1"/>
  <c r="T81" i="1"/>
  <c r="BF68" i="1"/>
  <c r="BF139" i="1" s="1"/>
  <c r="BF140" i="1" s="1"/>
  <c r="BF227" i="1" s="1"/>
  <c r="BF225" i="1" s="1"/>
  <c r="BF247" i="1"/>
  <c r="BC72" i="1"/>
  <c r="BJ63" i="1"/>
  <c r="BF62" i="1"/>
  <c r="BF265" i="1" s="1"/>
  <c r="BI72" i="1"/>
  <c r="V81" i="1"/>
  <c r="AP72" i="1"/>
  <c r="AP213" i="1"/>
  <c r="AP215" i="1" s="1"/>
  <c r="BP62" i="1"/>
  <c r="BP265" i="1" s="1"/>
  <c r="BP63" i="1"/>
  <c r="BP68" i="1"/>
  <c r="BP254" i="1"/>
  <c r="BP64" i="1"/>
  <c r="BQ64" i="1"/>
  <c r="AS72" i="1"/>
  <c r="AS213" i="1"/>
  <c r="AS215" i="1" s="1"/>
  <c r="AS227" i="1"/>
  <c r="AS225" i="1" s="1"/>
  <c r="BH63" i="1"/>
  <c r="AU213" i="1"/>
  <c r="AU215" i="1" s="1"/>
  <c r="S81" i="1"/>
  <c r="AW68" i="1"/>
  <c r="AW254" i="1"/>
  <c r="BA63" i="1"/>
  <c r="AW63" i="1"/>
  <c r="AW62" i="1"/>
  <c r="AW265" i="1" s="1"/>
  <c r="BD254" i="1"/>
  <c r="BD63" i="1"/>
  <c r="BD64" i="1"/>
  <c r="BD68" i="1"/>
  <c r="BD62" i="1"/>
  <c r="BD265" i="1" s="1"/>
  <c r="BE64" i="1"/>
  <c r="AI61" i="1"/>
  <c r="AI60" i="1"/>
  <c r="CX60" i="1"/>
  <c r="CY60" i="1" s="1"/>
  <c r="CZ60" i="1" s="1"/>
  <c r="BY124" i="1"/>
  <c r="BY122" i="1"/>
  <c r="BY123" i="1"/>
  <c r="CB105" i="1"/>
  <c r="BX109" i="1"/>
  <c r="CB106" i="1"/>
  <c r="CE110" i="1" s="1"/>
  <c r="CF90" i="1"/>
  <c r="CB107" i="1"/>
  <c r="CY160" i="1"/>
  <c r="CY222" i="1" s="1"/>
  <c r="CW199" i="1"/>
  <c r="CW85" i="1"/>
  <c r="CX83" i="1"/>
  <c r="R119" i="1"/>
  <c r="R86" i="1"/>
  <c r="R127" i="1"/>
  <c r="R130" i="1" s="1"/>
  <c r="R133" i="1" s="1"/>
  <c r="R128" i="1"/>
  <c r="R131" i="1" s="1"/>
  <c r="R134" i="1" s="1"/>
  <c r="R112" i="1"/>
  <c r="CU269" i="1"/>
  <c r="CU226" i="1"/>
  <c r="CU201" i="1"/>
  <c r="CT202" i="1"/>
  <c r="BX128" i="1"/>
  <c r="BX127" i="1"/>
  <c r="BX86" i="1"/>
  <c r="CA89" i="1" s="1"/>
  <c r="BX119" i="1"/>
  <c r="BX112" i="1"/>
  <c r="CW203" i="1"/>
  <c r="P83" i="1"/>
  <c r="Q85" i="1"/>
  <c r="CW144" i="1"/>
  <c r="CV148" i="1"/>
  <c r="S124" i="1"/>
  <c r="S123" i="1"/>
  <c r="S122" i="1"/>
  <c r="BV83" i="1"/>
  <c r="BW85" i="1"/>
  <c r="BY114" i="1"/>
  <c r="BY115" i="1"/>
  <c r="BY116" i="1"/>
  <c r="CX222" i="1"/>
  <c r="T107" i="1"/>
  <c r="S109" i="1"/>
  <c r="T106" i="1"/>
  <c r="T105" i="1"/>
  <c r="S116" i="1"/>
  <c r="S115" i="1"/>
  <c r="S114" i="1"/>
  <c r="S89" i="1"/>
  <c r="S88" i="1"/>
  <c r="BW63" i="1"/>
  <c r="BS247" i="1"/>
  <c r="W81" i="1"/>
  <c r="AO72" i="1"/>
  <c r="AJ188" i="1"/>
  <c r="AK57" i="1" s="1"/>
  <c r="AJ185" i="1"/>
  <c r="AJ186" i="1" s="1"/>
  <c r="AK229" i="1"/>
  <c r="BH149" i="1"/>
  <c r="BH75" i="1" s="1"/>
  <c r="BS64" i="1"/>
  <c r="AT149" i="1"/>
  <c r="AT75" i="1" s="1"/>
  <c r="BR62" i="1"/>
  <c r="BR265" i="1" s="1"/>
  <c r="BR254" i="1"/>
  <c r="BR68" i="1"/>
  <c r="BR139" i="1" s="1"/>
  <c r="BR140" i="1" s="1"/>
  <c r="BR227" i="1" s="1"/>
  <c r="BR225" i="1" s="1"/>
  <c r="BV63" i="1"/>
  <c r="BR64" i="1"/>
  <c r="BR247" i="1"/>
  <c r="BU75" i="1"/>
  <c r="AN62" i="1"/>
  <c r="AN265" i="1" s="1"/>
  <c r="AQ247" i="1"/>
  <c r="AO64" i="1"/>
  <c r="AN247" i="1"/>
  <c r="AN63" i="1"/>
  <c r="AP247" i="1"/>
  <c r="AR63" i="1"/>
  <c r="AO247" i="1"/>
  <c r="AN68" i="1"/>
  <c r="AN64" i="1"/>
  <c r="AN254" i="1"/>
  <c r="BX63" i="1"/>
  <c r="BT62" i="1"/>
  <c r="BT265" i="1" s="1"/>
  <c r="BT254" i="1"/>
  <c r="BT68" i="1"/>
  <c r="BT139" i="1" s="1"/>
  <c r="BT140" i="1" s="1"/>
  <c r="BU64" i="1"/>
  <c r="BT63" i="1"/>
  <c r="BW247" i="1"/>
  <c r="BV247" i="1"/>
  <c r="AZ63" i="1"/>
  <c r="AV62" i="1"/>
  <c r="AV265" i="1" s="1"/>
  <c r="AV254" i="1"/>
  <c r="AV68" i="1"/>
  <c r="AY247" i="1"/>
  <c r="AW247" i="1"/>
  <c r="AW64" i="1"/>
  <c r="AV63" i="1"/>
  <c r="AV64" i="1"/>
  <c r="AX247" i="1"/>
  <c r="AV247" i="1"/>
  <c r="AR64" i="1"/>
  <c r="AQ63" i="1"/>
  <c r="AQ254" i="1"/>
  <c r="AQ68" i="1"/>
  <c r="AQ62" i="1"/>
  <c r="AQ265" i="1" s="1"/>
  <c r="AQ64" i="1"/>
  <c r="AU63" i="1"/>
  <c r="AT247" i="1"/>
  <c r="AS247" i="1"/>
  <c r="AR247" i="1"/>
  <c r="BN254" i="1"/>
  <c r="BR63" i="1"/>
  <c r="BN68" i="1"/>
  <c r="BN63" i="1"/>
  <c r="BN62" i="1"/>
  <c r="BN265" i="1" s="1"/>
  <c r="BO64" i="1"/>
  <c r="BN247" i="1"/>
  <c r="BQ247" i="1"/>
  <c r="BN64" i="1"/>
  <c r="BO247" i="1"/>
  <c r="BP247" i="1"/>
  <c r="BB62" i="1"/>
  <c r="BB265" i="1" s="1"/>
  <c r="BF63" i="1"/>
  <c r="BB254" i="1"/>
  <c r="BB68" i="1"/>
  <c r="BC64" i="1"/>
  <c r="BD247" i="1"/>
  <c r="BB247" i="1"/>
  <c r="BB64" i="1"/>
  <c r="BC247" i="1"/>
  <c r="BE247" i="1"/>
  <c r="BB63" i="1"/>
  <c r="AX68" i="1"/>
  <c r="AX254" i="1"/>
  <c r="AX62" i="1"/>
  <c r="AX265" i="1" s="1"/>
  <c r="AZ247" i="1"/>
  <c r="AX64" i="1"/>
  <c r="AY64" i="1"/>
  <c r="AX63" i="1"/>
  <c r="BA247" i="1"/>
  <c r="BH72" i="1"/>
  <c r="BH213" i="1"/>
  <c r="BH215" i="1" s="1"/>
  <c r="BT247" i="1"/>
  <c r="BT64" i="1"/>
  <c r="BK63" i="1"/>
  <c r="BG68" i="1"/>
  <c r="BH247" i="1"/>
  <c r="BG63" i="1"/>
  <c r="BG62" i="1"/>
  <c r="BG265" i="1" s="1"/>
  <c r="BH64" i="1"/>
  <c r="BG247" i="1"/>
  <c r="BG254" i="1"/>
  <c r="BJ247" i="1"/>
  <c r="BG64" i="1"/>
  <c r="BI247" i="1"/>
  <c r="BX247" i="1"/>
  <c r="BW254" i="1"/>
  <c r="BW64" i="1"/>
  <c r="BX64" i="1"/>
  <c r="BW68" i="1"/>
  <c r="BY247" i="1"/>
  <c r="CA63" i="1"/>
  <c r="BW62" i="1"/>
  <c r="BW265" i="1" s="1"/>
  <c r="BZ247" i="1"/>
  <c r="BK75" i="1"/>
  <c r="BL227" i="1"/>
  <c r="BL225" i="1" s="1"/>
  <c r="BS213" i="1"/>
  <c r="BS215" i="1" s="1"/>
  <c r="BS72" i="1"/>
  <c r="AY75" i="1"/>
  <c r="AZ227" i="1"/>
  <c r="AZ225" i="1" s="1"/>
  <c r="AU227" i="1"/>
  <c r="AU225" i="1" s="1"/>
  <c r="AU75" i="1"/>
  <c r="BK74" i="1"/>
  <c r="BC75" i="1"/>
  <c r="AU74" i="1"/>
  <c r="BI75" i="1"/>
  <c r="AP227" i="1"/>
  <c r="AP225" i="1" s="1"/>
  <c r="AO75" i="1"/>
  <c r="BQ75" i="1"/>
  <c r="BM74" i="1"/>
  <c r="BM227" i="1"/>
  <c r="BM225" i="1" s="1"/>
  <c r="BM75" i="1"/>
  <c r="AW75" i="1"/>
  <c r="BA227" i="1"/>
  <c r="BA225" i="1" s="1"/>
  <c r="BA75" i="1"/>
  <c r="BO75" i="1"/>
  <c r="AC226" i="1"/>
  <c r="CA246" i="1"/>
  <c r="CB246" i="1"/>
  <c r="BU246" i="1"/>
  <c r="BL74" i="1" l="1"/>
  <c r="BI227" i="1"/>
  <c r="BI225" i="1" s="1"/>
  <c r="CU204" i="1"/>
  <c r="CT205" i="1"/>
  <c r="CT206" i="1" s="1"/>
  <c r="BK227" i="1"/>
  <c r="BK225" i="1" s="1"/>
  <c r="BJ227" i="1"/>
  <c r="BJ225" i="1" s="1"/>
  <c r="BF72" i="1"/>
  <c r="BF213" i="1"/>
  <c r="BF215" i="1" s="1"/>
  <c r="BF149" i="1"/>
  <c r="BF75" i="1" s="1"/>
  <c r="BF74" i="1"/>
  <c r="BI74" i="1"/>
  <c r="BP139" i="1"/>
  <c r="BP140" i="1" s="1"/>
  <c r="BP74" i="1" s="1"/>
  <c r="BP72" i="1"/>
  <c r="BP213" i="1"/>
  <c r="BP215" i="1" s="1"/>
  <c r="BD139" i="1"/>
  <c r="BD140" i="1" s="1"/>
  <c r="BD74" i="1" s="1"/>
  <c r="BD72" i="1"/>
  <c r="BD213" i="1"/>
  <c r="BD215" i="1" s="1"/>
  <c r="AW213" i="1"/>
  <c r="AW215" i="1" s="1"/>
  <c r="AW72" i="1"/>
  <c r="AI254" i="1"/>
  <c r="AL247" i="1"/>
  <c r="AM63" i="1"/>
  <c r="AI68" i="1"/>
  <c r="AJ64" i="1"/>
  <c r="AI62" i="1"/>
  <c r="DA60" i="1"/>
  <c r="S106" i="1"/>
  <c r="S105" i="1"/>
  <c r="R109" i="1"/>
  <c r="S107" i="1"/>
  <c r="T90" i="1"/>
  <c r="Q119" i="1"/>
  <c r="Q86" i="1"/>
  <c r="Q127" i="1"/>
  <c r="Q130" i="1" s="1"/>
  <c r="Q133" i="1" s="1"/>
  <c r="Q128" i="1"/>
  <c r="Q131" i="1" s="1"/>
  <c r="Q134" i="1" s="1"/>
  <c r="Q112" i="1"/>
  <c r="BX115" i="1"/>
  <c r="BX116" i="1"/>
  <c r="BX114" i="1"/>
  <c r="R89" i="1"/>
  <c r="R88" i="1"/>
  <c r="BW128" i="1"/>
  <c r="BW119" i="1"/>
  <c r="BW127" i="1"/>
  <c r="O83" i="1"/>
  <c r="P85" i="1"/>
  <c r="BX123" i="1"/>
  <c r="BX124" i="1"/>
  <c r="BX122" i="1"/>
  <c r="R115" i="1"/>
  <c r="R116" i="1"/>
  <c r="R114" i="1"/>
  <c r="R122" i="1"/>
  <c r="R123" i="1"/>
  <c r="R124" i="1"/>
  <c r="CX199" i="1"/>
  <c r="BU83" i="1"/>
  <c r="BV85" i="1"/>
  <c r="CV269" i="1"/>
  <c r="CV226" i="1"/>
  <c r="CA106" i="1"/>
  <c r="CD110" i="1" s="1"/>
  <c r="CA107" i="1"/>
  <c r="CA105" i="1"/>
  <c r="BW109" i="1"/>
  <c r="CE90" i="1"/>
  <c r="CV201" i="1"/>
  <c r="CU202" i="1"/>
  <c r="CY83" i="1"/>
  <c r="CX85" i="1"/>
  <c r="AD144" i="1"/>
  <c r="CW148" i="1"/>
  <c r="CX144" i="1"/>
  <c r="CX203" i="1"/>
  <c r="CZ160" i="1"/>
  <c r="CZ222" i="1" s="1"/>
  <c r="AY74" i="1"/>
  <c r="BA74" i="1"/>
  <c r="AX139" i="1"/>
  <c r="AX140" i="1" s="1"/>
  <c r="AX74" i="1" s="1"/>
  <c r="BC74" i="1"/>
  <c r="BB139" i="1"/>
  <c r="BB140" i="1" s="1"/>
  <c r="BQ74" i="1"/>
  <c r="BN139" i="1"/>
  <c r="BN140" i="1" s="1"/>
  <c r="BN227" i="1" s="1"/>
  <c r="BN225" i="1" s="1"/>
  <c r="AV139" i="1"/>
  <c r="AV140" i="1" s="1"/>
  <c r="AV227" i="1" s="1"/>
  <c r="AV225" i="1" s="1"/>
  <c r="BT149" i="1"/>
  <c r="BT75" i="1" s="1"/>
  <c r="AO74" i="1"/>
  <c r="AN139" i="1"/>
  <c r="AN140" i="1" s="1"/>
  <c r="AN227" i="1" s="1"/>
  <c r="AN225" i="1" s="1"/>
  <c r="BU227" i="1"/>
  <c r="BU225" i="1" s="1"/>
  <c r="BR149" i="1"/>
  <c r="BR75" i="1" s="1"/>
  <c r="BT74" i="1"/>
  <c r="BR72" i="1"/>
  <c r="BR213" i="1"/>
  <c r="BR215" i="1" s="1"/>
  <c r="BR74" i="1"/>
  <c r="AW74" i="1"/>
  <c r="BV74" i="1"/>
  <c r="BO74" i="1"/>
  <c r="BU74" i="1"/>
  <c r="BX74" i="1"/>
  <c r="BY74" i="1"/>
  <c r="BW213" i="1"/>
  <c r="BW215" i="1" s="1"/>
  <c r="BW72" i="1"/>
  <c r="BZ74" i="1"/>
  <c r="BW86" i="1"/>
  <c r="BN72" i="1"/>
  <c r="BN213" i="1"/>
  <c r="BN215" i="1" s="1"/>
  <c r="AV213" i="1"/>
  <c r="AV215" i="1" s="1"/>
  <c r="AV72" i="1"/>
  <c r="BT213" i="1"/>
  <c r="BT215" i="1" s="1"/>
  <c r="BT72" i="1"/>
  <c r="AX72" i="1"/>
  <c r="AX213" i="1"/>
  <c r="AX215" i="1" s="1"/>
  <c r="AZ74" i="1"/>
  <c r="BB72" i="1"/>
  <c r="BB213" i="1"/>
  <c r="BB215" i="1" s="1"/>
  <c r="BE74" i="1"/>
  <c r="AQ213" i="1"/>
  <c r="AQ215" i="1" s="1"/>
  <c r="AQ72" i="1"/>
  <c r="AS74" i="1"/>
  <c r="AR74" i="1"/>
  <c r="AT74" i="1"/>
  <c r="BG72" i="1"/>
  <c r="BJ74" i="1"/>
  <c r="BH74" i="1"/>
  <c r="BG213" i="1"/>
  <c r="BG215" i="1" s="1"/>
  <c r="AN72" i="1"/>
  <c r="AP74" i="1"/>
  <c r="AN213" i="1"/>
  <c r="AN215" i="1" s="1"/>
  <c r="BT227" i="1"/>
  <c r="BT225" i="1" s="1"/>
  <c r="BS75" i="1"/>
  <c r="BS227" i="1"/>
  <c r="BS225" i="1" s="1"/>
  <c r="BS74" i="1"/>
  <c r="CV204" i="1" l="1"/>
  <c r="CU205" i="1"/>
  <c r="CU206" i="1" s="1"/>
  <c r="BP149" i="1"/>
  <c r="BP75" i="1" s="1"/>
  <c r="BQ227" i="1"/>
  <c r="BQ225" i="1" s="1"/>
  <c r="BP227" i="1"/>
  <c r="BP225" i="1" s="1"/>
  <c r="BE227" i="1"/>
  <c r="BE225" i="1" s="1"/>
  <c r="BD149" i="1"/>
  <c r="BD75" i="1" s="1"/>
  <c r="BD227" i="1"/>
  <c r="BD225" i="1" s="1"/>
  <c r="AL74" i="1"/>
  <c r="N81" i="1"/>
  <c r="AI72" i="1"/>
  <c r="AI227" i="1"/>
  <c r="AI225" i="1" s="1"/>
  <c r="AI213" i="1"/>
  <c r="AI215" i="1" s="1"/>
  <c r="AI219" i="1" s="1"/>
  <c r="AI233" i="1" s="1"/>
  <c r="AV74" i="1"/>
  <c r="CX148" i="1"/>
  <c r="CY144" i="1"/>
  <c r="CY85" i="1"/>
  <c r="CZ83" i="1"/>
  <c r="N83" i="1"/>
  <c r="O85" i="1"/>
  <c r="Q89" i="1"/>
  <c r="R90" i="1" s="1"/>
  <c r="Q88" i="1"/>
  <c r="DA160" i="1"/>
  <c r="AE160" i="1" s="1"/>
  <c r="AE222" i="1" s="1"/>
  <c r="CW269" i="1"/>
  <c r="CW226" i="1"/>
  <c r="CY199" i="1"/>
  <c r="R105" i="1"/>
  <c r="Q109" i="1"/>
  <c r="R106" i="1"/>
  <c r="R107" i="1"/>
  <c r="Q115" i="1"/>
  <c r="Q116" i="1"/>
  <c r="Q114" i="1"/>
  <c r="Q122" i="1"/>
  <c r="Q123" i="1"/>
  <c r="Q124" i="1"/>
  <c r="S90" i="1"/>
  <c r="CY203" i="1"/>
  <c r="CW201" i="1"/>
  <c r="CV202" i="1"/>
  <c r="BV119" i="1"/>
  <c r="BV127" i="1"/>
  <c r="BV128" i="1"/>
  <c r="BV112" i="1"/>
  <c r="BV86" i="1"/>
  <c r="BY89" i="1" s="1"/>
  <c r="BW124" i="1"/>
  <c r="BW122" i="1"/>
  <c r="BW123" i="1"/>
  <c r="BT83" i="1"/>
  <c r="BU85" i="1"/>
  <c r="P119" i="1"/>
  <c r="P86" i="1"/>
  <c r="P128" i="1"/>
  <c r="P131" i="1" s="1"/>
  <c r="P134" i="1" s="1"/>
  <c r="P127" i="1"/>
  <c r="P130" i="1" s="1"/>
  <c r="P133" i="1" s="1"/>
  <c r="P112" i="1"/>
  <c r="AX227" i="1"/>
  <c r="AX225" i="1" s="1"/>
  <c r="BN74" i="1"/>
  <c r="BB149" i="1"/>
  <c r="BB75" i="1" s="1"/>
  <c r="BC227" i="1"/>
  <c r="BC225" i="1" s="1"/>
  <c r="AN149" i="1"/>
  <c r="AN75" i="1" s="1"/>
  <c r="AO227" i="1"/>
  <c r="AO225" i="1" s="1"/>
  <c r="AN74" i="1"/>
  <c r="BN149" i="1"/>
  <c r="BN75" i="1" s="1"/>
  <c r="BO227" i="1"/>
  <c r="BO225" i="1" s="1"/>
  <c r="AX149" i="1"/>
  <c r="AX75" i="1" s="1"/>
  <c r="AY227" i="1"/>
  <c r="AY225" i="1" s="1"/>
  <c r="AV149" i="1"/>
  <c r="AV75" i="1" s="1"/>
  <c r="AW227" i="1"/>
  <c r="AW225" i="1" s="1"/>
  <c r="BB74" i="1"/>
  <c r="BB227" i="1"/>
  <c r="BB225" i="1" s="1"/>
  <c r="BZ89" i="1"/>
  <c r="BV109" i="1" s="1"/>
  <c r="BG227" i="1"/>
  <c r="BG225" i="1" s="1"/>
  <c r="BG75" i="1"/>
  <c r="BG74" i="1"/>
  <c r="BH227" i="1"/>
  <c r="BH225" i="1" s="1"/>
  <c r="AQ75" i="1"/>
  <c r="AQ227" i="1"/>
  <c r="AQ225" i="1" s="1"/>
  <c r="AR227" i="1"/>
  <c r="AR225" i="1" s="1"/>
  <c r="AQ74" i="1"/>
  <c r="BW227" i="1"/>
  <c r="BW225" i="1" s="1"/>
  <c r="BX227" i="1"/>
  <c r="BX225" i="1" s="1"/>
  <c r="BW75" i="1"/>
  <c r="BW74" i="1"/>
  <c r="BW112" i="1"/>
  <c r="CW204" i="1" l="1"/>
  <c r="CV205" i="1"/>
  <c r="CV206" i="1" s="1"/>
  <c r="AI230" i="1"/>
  <c r="AI231" i="1" s="1"/>
  <c r="DA222" i="1"/>
  <c r="BU128" i="1"/>
  <c r="BU127" i="1"/>
  <c r="BU119" i="1"/>
  <c r="BU86" i="1"/>
  <c r="BX89" i="1" s="1"/>
  <c r="CB90" i="1" s="1"/>
  <c r="BU112" i="1"/>
  <c r="CZ203" i="1"/>
  <c r="CZ85" i="1"/>
  <c r="DA83" i="1"/>
  <c r="DA85" i="1" s="1"/>
  <c r="BS83" i="1"/>
  <c r="BT85" i="1"/>
  <c r="BV124" i="1"/>
  <c r="BV122" i="1"/>
  <c r="BV123" i="1"/>
  <c r="Q106" i="1"/>
  <c r="Q107" i="1"/>
  <c r="Q105" i="1"/>
  <c r="P109" i="1"/>
  <c r="P89" i="1"/>
  <c r="P88" i="1"/>
  <c r="BV114" i="1"/>
  <c r="BV116" i="1"/>
  <c r="BV115" i="1"/>
  <c r="O119" i="1"/>
  <c r="O128" i="1"/>
  <c r="O131" i="1" s="1"/>
  <c r="O134" i="1" s="1"/>
  <c r="O86" i="1"/>
  <c r="O127" i="1"/>
  <c r="O130" i="1" s="1"/>
  <c r="O133" i="1" s="1"/>
  <c r="O112" i="1"/>
  <c r="CZ144" i="1"/>
  <c r="CY148" i="1"/>
  <c r="P115" i="1"/>
  <c r="P116" i="1"/>
  <c r="P114" i="1"/>
  <c r="P124" i="1"/>
  <c r="P122" i="1"/>
  <c r="P123" i="1"/>
  <c r="CX201" i="1"/>
  <c r="CW202" i="1"/>
  <c r="CZ199" i="1"/>
  <c r="M83" i="1"/>
  <c r="N85" i="1"/>
  <c r="CX226" i="1"/>
  <c r="CX269" i="1"/>
  <c r="CD90" i="1"/>
  <c r="BZ107" i="1"/>
  <c r="BZ106" i="1"/>
  <c r="CC110" i="1" s="1"/>
  <c r="BZ105" i="1"/>
  <c r="CC90" i="1"/>
  <c r="BY107" i="1"/>
  <c r="BU109" i="1"/>
  <c r="BY106" i="1"/>
  <c r="BY105" i="1"/>
  <c r="BW114" i="1"/>
  <c r="BW116" i="1"/>
  <c r="BW115" i="1"/>
  <c r="AD148" i="1"/>
  <c r="AD269" i="1" s="1"/>
  <c r="BX106" i="1" l="1"/>
  <c r="CX204" i="1"/>
  <c r="CW205" i="1"/>
  <c r="CW206" i="1" s="1"/>
  <c r="BX105" i="1"/>
  <c r="BX107" i="1"/>
  <c r="BT109" i="1"/>
  <c r="DA199" i="1"/>
  <c r="O109" i="1"/>
  <c r="P107" i="1"/>
  <c r="P106" i="1"/>
  <c r="P105" i="1"/>
  <c r="N86" i="1"/>
  <c r="N119" i="1"/>
  <c r="N112" i="1"/>
  <c r="N128" i="1"/>
  <c r="N131" i="1" s="1"/>
  <c r="N134" i="1" s="1"/>
  <c r="N127" i="1"/>
  <c r="N130" i="1" s="1"/>
  <c r="N133" i="1" s="1"/>
  <c r="CY269" i="1"/>
  <c r="CY226" i="1"/>
  <c r="O89" i="1"/>
  <c r="O88" i="1"/>
  <c r="BT119" i="1"/>
  <c r="BT128" i="1"/>
  <c r="BT127" i="1"/>
  <c r="BT112" i="1"/>
  <c r="BT86" i="1"/>
  <c r="BW89" i="1" s="1"/>
  <c r="DA203" i="1"/>
  <c r="BU124" i="1"/>
  <c r="BU122" i="1"/>
  <c r="BU123" i="1"/>
  <c r="L83" i="1"/>
  <c r="M85" i="1"/>
  <c r="CY201" i="1"/>
  <c r="CX202" i="1"/>
  <c r="CZ148" i="1"/>
  <c r="DA144" i="1"/>
  <c r="Q90" i="1"/>
  <c r="BR83" i="1"/>
  <c r="BS85" i="1"/>
  <c r="O114" i="1"/>
  <c r="O116" i="1"/>
  <c r="O115" i="1"/>
  <c r="O123" i="1"/>
  <c r="O122" i="1"/>
  <c r="O124" i="1"/>
  <c r="BU114" i="1"/>
  <c r="BU116" i="1"/>
  <c r="BU115" i="1"/>
  <c r="CB110" i="1"/>
  <c r="CA110" i="1"/>
  <c r="AD226" i="1"/>
  <c r="CA247" i="1"/>
  <c r="CB247" i="1"/>
  <c r="W213" i="1"/>
  <c r="W215" i="1" s="1"/>
  <c r="BU247" i="1"/>
  <c r="CY204" i="1" l="1"/>
  <c r="CX205" i="1"/>
  <c r="CX206" i="1" s="1"/>
  <c r="DA148" i="1"/>
  <c r="AE144" i="1"/>
  <c r="M86" i="1"/>
  <c r="M128" i="1"/>
  <c r="M131" i="1" s="1"/>
  <c r="M134" i="1" s="1"/>
  <c r="M127" i="1"/>
  <c r="M130" i="1" s="1"/>
  <c r="M133" i="1" s="1"/>
  <c r="M119" i="1"/>
  <c r="M112" i="1"/>
  <c r="BT116" i="1"/>
  <c r="BT115" i="1"/>
  <c r="BT114" i="1"/>
  <c r="N89" i="1"/>
  <c r="O90" i="1" s="1"/>
  <c r="N88" i="1"/>
  <c r="BS128" i="1"/>
  <c r="BS127" i="1"/>
  <c r="BS119" i="1"/>
  <c r="BS86" i="1"/>
  <c r="BV89" i="1" s="1"/>
  <c r="BS112" i="1"/>
  <c r="CZ226" i="1"/>
  <c r="CZ269" i="1"/>
  <c r="K83" i="1"/>
  <c r="L85" i="1"/>
  <c r="O106" i="1"/>
  <c r="O107" i="1"/>
  <c r="O105" i="1"/>
  <c r="N109" i="1"/>
  <c r="P90" i="1"/>
  <c r="BQ83" i="1"/>
  <c r="BR85" i="1"/>
  <c r="N114" i="1"/>
  <c r="N116" i="1"/>
  <c r="N115" i="1"/>
  <c r="CZ201" i="1"/>
  <c r="CY202" i="1"/>
  <c r="BW105" i="1"/>
  <c r="BW107" i="1"/>
  <c r="BW106" i="1"/>
  <c r="BZ110" i="1" s="1"/>
  <c r="CA90" i="1"/>
  <c r="BS109" i="1"/>
  <c r="BT123" i="1"/>
  <c r="BT122" i="1"/>
  <c r="BT124" i="1"/>
  <c r="N123" i="1"/>
  <c r="N122" i="1"/>
  <c r="N124" i="1"/>
  <c r="CA109" i="1"/>
  <c r="CZ204" i="1" l="1"/>
  <c r="CY205" i="1"/>
  <c r="CY206" i="1" s="1"/>
  <c r="BP83" i="1"/>
  <c r="BQ85" i="1"/>
  <c r="J83" i="1"/>
  <c r="K85" i="1"/>
  <c r="BR109" i="1"/>
  <c r="BV106" i="1"/>
  <c r="BY110" i="1" s="1"/>
  <c r="BV105" i="1"/>
  <c r="BV107" i="1"/>
  <c r="BZ90" i="1"/>
  <c r="BS123" i="1"/>
  <c r="BS122" i="1"/>
  <c r="BS124" i="1"/>
  <c r="M109" i="1"/>
  <c r="N105" i="1"/>
  <c r="N106" i="1"/>
  <c r="N107" i="1"/>
  <c r="M115" i="1"/>
  <c r="M116" i="1"/>
  <c r="M114" i="1"/>
  <c r="M89" i="1"/>
  <c r="M88" i="1"/>
  <c r="M124" i="1"/>
  <c r="M123" i="1"/>
  <c r="M122" i="1"/>
  <c r="DA201" i="1"/>
  <c r="DA202" i="1" s="1"/>
  <c r="CZ202" i="1"/>
  <c r="BR127" i="1"/>
  <c r="BR128" i="1"/>
  <c r="BR119" i="1"/>
  <c r="BR112" i="1"/>
  <c r="BR86" i="1"/>
  <c r="BU89" i="1" s="1"/>
  <c r="L119" i="1"/>
  <c r="L127" i="1"/>
  <c r="L130" i="1" s="1"/>
  <c r="L133" i="1" s="1"/>
  <c r="L86" i="1"/>
  <c r="L128" i="1"/>
  <c r="L131" i="1" s="1"/>
  <c r="L134" i="1" s="1"/>
  <c r="L112" i="1"/>
  <c r="BS114" i="1"/>
  <c r="BS115" i="1"/>
  <c r="BS116" i="1"/>
  <c r="DA269" i="1"/>
  <c r="DA226" i="1"/>
  <c r="CF109" i="1"/>
  <c r="W109" i="1"/>
  <c r="W89" i="1"/>
  <c r="W88" i="1"/>
  <c r="DA204" i="1" l="1"/>
  <c r="DA205" i="1" s="1"/>
  <c r="DA206" i="1" s="1"/>
  <c r="CZ205" i="1"/>
  <c r="CZ206" i="1" s="1"/>
  <c r="BU106" i="1"/>
  <c r="BX110" i="1" s="1"/>
  <c r="BY90" i="1"/>
  <c r="BU107" i="1"/>
  <c r="BQ109" i="1"/>
  <c r="BU105" i="1"/>
  <c r="L89" i="1"/>
  <c r="M90" i="1" s="1"/>
  <c r="L88" i="1"/>
  <c r="BR115" i="1"/>
  <c r="BR114" i="1"/>
  <c r="BR116" i="1"/>
  <c r="K86" i="1"/>
  <c r="K119" i="1"/>
  <c r="K128" i="1"/>
  <c r="K131" i="1" s="1"/>
  <c r="K134" i="1" s="1"/>
  <c r="K127" i="1"/>
  <c r="K130" i="1" s="1"/>
  <c r="K133" i="1" s="1"/>
  <c r="K112" i="1"/>
  <c r="I83" i="1"/>
  <c r="J85" i="1"/>
  <c r="BR122" i="1"/>
  <c r="BR124" i="1"/>
  <c r="BR123" i="1"/>
  <c r="L115" i="1"/>
  <c r="L114" i="1"/>
  <c r="L116" i="1"/>
  <c r="L122" i="1"/>
  <c r="L123" i="1"/>
  <c r="L124" i="1"/>
  <c r="L109" i="1"/>
  <c r="M105" i="1"/>
  <c r="M107" i="1"/>
  <c r="M106" i="1"/>
  <c r="N90" i="1"/>
  <c r="BQ112" i="1"/>
  <c r="BQ128" i="1"/>
  <c r="BQ127" i="1"/>
  <c r="BQ119" i="1"/>
  <c r="BQ86" i="1"/>
  <c r="BT89" i="1" s="1"/>
  <c r="BO83" i="1"/>
  <c r="BP85" i="1"/>
  <c r="AE148" i="1"/>
  <c r="AE269" i="1" s="1"/>
  <c r="W90" i="1"/>
  <c r="X90" i="1"/>
  <c r="X109" i="1"/>
  <c r="W107" i="1"/>
  <c r="V109" i="1"/>
  <c r="W105" i="1"/>
  <c r="W106" i="1"/>
  <c r="BP119" i="1" l="1"/>
  <c r="BP86" i="1"/>
  <c r="BS89" i="1" s="1"/>
  <c r="BP127" i="1"/>
  <c r="BP112" i="1"/>
  <c r="BP128" i="1"/>
  <c r="K116" i="1"/>
  <c r="K114" i="1"/>
  <c r="K115" i="1"/>
  <c r="K89" i="1"/>
  <c r="L90" i="1" s="1"/>
  <c r="K88" i="1"/>
  <c r="BN83" i="1"/>
  <c r="BO85" i="1"/>
  <c r="L106" i="1"/>
  <c r="L107" i="1"/>
  <c r="K109" i="1"/>
  <c r="L105" i="1"/>
  <c r="BT106" i="1"/>
  <c r="BW110" i="1" s="1"/>
  <c r="BP109" i="1"/>
  <c r="BT105" i="1"/>
  <c r="BT107" i="1"/>
  <c r="BX90" i="1"/>
  <c r="BQ114" i="1"/>
  <c r="BQ115" i="1"/>
  <c r="BQ116" i="1"/>
  <c r="J119" i="1"/>
  <c r="J86" i="1"/>
  <c r="J128" i="1"/>
  <c r="J131" i="1" s="1"/>
  <c r="J134" i="1" s="1"/>
  <c r="J127" i="1"/>
  <c r="J130" i="1" s="1"/>
  <c r="J133" i="1" s="1"/>
  <c r="J112" i="1"/>
  <c r="BQ123" i="1"/>
  <c r="BQ122" i="1"/>
  <c r="BQ124" i="1"/>
  <c r="H83" i="1"/>
  <c r="I85" i="1"/>
  <c r="K123" i="1"/>
  <c r="K124" i="1"/>
  <c r="K122" i="1"/>
  <c r="AE226" i="1"/>
  <c r="W140" i="1"/>
  <c r="I119" i="1" l="1"/>
  <c r="I86" i="1"/>
  <c r="I127" i="1"/>
  <c r="I130" i="1" s="1"/>
  <c r="I133" i="1" s="1"/>
  <c r="I128" i="1"/>
  <c r="I131" i="1" s="1"/>
  <c r="I134" i="1" s="1"/>
  <c r="I112" i="1"/>
  <c r="J89" i="1"/>
  <c r="K90" i="1" s="1"/>
  <c r="J88" i="1"/>
  <c r="BO86" i="1"/>
  <c r="BR89" i="1" s="1"/>
  <c r="BO128" i="1"/>
  <c r="BO112" i="1"/>
  <c r="BO127" i="1"/>
  <c r="BO119" i="1"/>
  <c r="BP115" i="1"/>
  <c r="BP114" i="1"/>
  <c r="BP116" i="1"/>
  <c r="G83" i="1"/>
  <c r="H85" i="1"/>
  <c r="J114" i="1"/>
  <c r="J116" i="1"/>
  <c r="J115" i="1"/>
  <c r="J122" i="1"/>
  <c r="J123" i="1"/>
  <c r="J124" i="1"/>
  <c r="BM83" i="1"/>
  <c r="BN85" i="1"/>
  <c r="BS105" i="1"/>
  <c r="BS106" i="1"/>
  <c r="BV110" i="1" s="1"/>
  <c r="BS107" i="1"/>
  <c r="BW90" i="1"/>
  <c r="BO109" i="1"/>
  <c r="J109" i="1"/>
  <c r="K106" i="1"/>
  <c r="K105" i="1"/>
  <c r="K107" i="1"/>
  <c r="BP124" i="1"/>
  <c r="BP122" i="1"/>
  <c r="BP123" i="1"/>
  <c r="W74" i="1"/>
  <c r="W112" i="1"/>
  <c r="X227" i="1"/>
  <c r="X225" i="1" s="1"/>
  <c r="W227" i="1"/>
  <c r="W225" i="1" s="1"/>
  <c r="W149" i="1"/>
  <c r="W75" i="1" s="1"/>
  <c r="W195" i="1"/>
  <c r="BL83" i="1" l="1"/>
  <c r="BM85" i="1"/>
  <c r="F83" i="1"/>
  <c r="G85" i="1"/>
  <c r="BO123" i="1"/>
  <c r="BO124" i="1"/>
  <c r="BO122" i="1"/>
  <c r="BN109" i="1"/>
  <c r="BV90" i="1"/>
  <c r="BR105" i="1"/>
  <c r="BR107" i="1"/>
  <c r="BR106" i="1"/>
  <c r="BU110" i="1" s="1"/>
  <c r="BO116" i="1"/>
  <c r="BO115" i="1"/>
  <c r="BO114" i="1"/>
  <c r="J105" i="1"/>
  <c r="J107" i="1"/>
  <c r="J106" i="1"/>
  <c r="I109" i="1"/>
  <c r="I89" i="1"/>
  <c r="I88" i="1"/>
  <c r="BN128" i="1"/>
  <c r="BN112" i="1"/>
  <c r="BN127" i="1"/>
  <c r="BN119" i="1"/>
  <c r="BN86" i="1"/>
  <c r="BQ89" i="1" s="1"/>
  <c r="H119" i="1"/>
  <c r="H86" i="1"/>
  <c r="H128" i="1"/>
  <c r="H131" i="1" s="1"/>
  <c r="H134" i="1" s="1"/>
  <c r="H127" i="1"/>
  <c r="H130" i="1" s="1"/>
  <c r="H133" i="1" s="1"/>
  <c r="H112" i="1"/>
  <c r="I114" i="1"/>
  <c r="I115" i="1"/>
  <c r="I116" i="1"/>
  <c r="I123" i="1"/>
  <c r="I124" i="1"/>
  <c r="I122" i="1"/>
  <c r="W115" i="1"/>
  <c r="W114" i="1"/>
  <c r="W116" i="1"/>
  <c r="H88" i="1" l="1"/>
  <c r="H89" i="1"/>
  <c r="I90" i="1" s="1"/>
  <c r="J90" i="1"/>
  <c r="H109" i="1"/>
  <c r="I107" i="1"/>
  <c r="I105" i="1"/>
  <c r="I106" i="1"/>
  <c r="G86" i="1"/>
  <c r="G119" i="1"/>
  <c r="G112" i="1"/>
  <c r="G127" i="1"/>
  <c r="G130" i="1" s="1"/>
  <c r="G133" i="1" s="1"/>
  <c r="G128" i="1"/>
  <c r="G131" i="1" s="1"/>
  <c r="G134" i="1" s="1"/>
  <c r="H116" i="1"/>
  <c r="H115" i="1"/>
  <c r="H114" i="1"/>
  <c r="H122" i="1"/>
  <c r="H123" i="1"/>
  <c r="H124" i="1"/>
  <c r="BN115" i="1"/>
  <c r="BN116" i="1"/>
  <c r="BN114" i="1"/>
  <c r="E83" i="1"/>
  <c r="E85" i="1" s="1"/>
  <c r="F85" i="1"/>
  <c r="BQ107" i="1"/>
  <c r="BQ106" i="1"/>
  <c r="BT110" i="1" s="1"/>
  <c r="BU90" i="1"/>
  <c r="BQ105" i="1"/>
  <c r="BM109" i="1"/>
  <c r="BM119" i="1"/>
  <c r="BM86" i="1"/>
  <c r="BP89" i="1" s="1"/>
  <c r="BM128" i="1"/>
  <c r="BM112" i="1"/>
  <c r="BM127" i="1"/>
  <c r="BN122" i="1"/>
  <c r="BN124" i="1"/>
  <c r="BN123" i="1"/>
  <c r="BK83" i="1"/>
  <c r="BL85" i="1"/>
  <c r="BL119" i="1" l="1"/>
  <c r="BL128" i="1"/>
  <c r="BL112" i="1"/>
  <c r="BL127" i="1"/>
  <c r="BL86" i="1"/>
  <c r="BO89" i="1" s="1"/>
  <c r="F119" i="1"/>
  <c r="F86" i="1"/>
  <c r="F128" i="1"/>
  <c r="F131" i="1" s="1"/>
  <c r="F134" i="1" s="1"/>
  <c r="F127" i="1"/>
  <c r="F130" i="1" s="1"/>
  <c r="F133" i="1" s="1"/>
  <c r="F112" i="1"/>
  <c r="E119" i="1"/>
  <c r="E86" i="1"/>
  <c r="E127" i="1"/>
  <c r="E130" i="1" s="1"/>
  <c r="E133" i="1" s="1"/>
  <c r="E128" i="1"/>
  <c r="E131" i="1" s="1"/>
  <c r="E134" i="1" s="1"/>
  <c r="E112" i="1"/>
  <c r="G114" i="1"/>
  <c r="G116" i="1"/>
  <c r="G115" i="1"/>
  <c r="BT90" i="1"/>
  <c r="BP106" i="1"/>
  <c r="BS110" i="1" s="1"/>
  <c r="BP107" i="1"/>
  <c r="BP105" i="1"/>
  <c r="BL109" i="1"/>
  <c r="BJ83" i="1"/>
  <c r="BK85" i="1"/>
  <c r="BM124" i="1"/>
  <c r="BM122" i="1"/>
  <c r="BM123" i="1"/>
  <c r="G122" i="1"/>
  <c r="G124" i="1"/>
  <c r="G123" i="1"/>
  <c r="G109" i="1"/>
  <c r="H105" i="1"/>
  <c r="H106" i="1"/>
  <c r="H107" i="1"/>
  <c r="BM116" i="1"/>
  <c r="BM114" i="1"/>
  <c r="BM115" i="1"/>
  <c r="G89" i="1"/>
  <c r="H90" i="1" s="1"/>
  <c r="G88" i="1"/>
  <c r="G107" i="1" l="1"/>
  <c r="G105" i="1"/>
  <c r="G106" i="1"/>
  <c r="F109" i="1"/>
  <c r="BI83" i="1"/>
  <c r="BJ85" i="1"/>
  <c r="E88" i="1"/>
  <c r="E89" i="1"/>
  <c r="E115" i="1"/>
  <c r="E114" i="1"/>
  <c r="E116" i="1"/>
  <c r="E124" i="1"/>
  <c r="E122" i="1"/>
  <c r="E123" i="1"/>
  <c r="F89" i="1"/>
  <c r="F88" i="1"/>
  <c r="BL116" i="1"/>
  <c r="BL114" i="1"/>
  <c r="BL115" i="1"/>
  <c r="F114" i="1"/>
  <c r="F116" i="1"/>
  <c r="F115" i="1"/>
  <c r="F124" i="1"/>
  <c r="F122" i="1"/>
  <c r="F123" i="1"/>
  <c r="BK119" i="1"/>
  <c r="BK86" i="1"/>
  <c r="BN89" i="1" s="1"/>
  <c r="BK128" i="1"/>
  <c r="BK112" i="1"/>
  <c r="BK127" i="1"/>
  <c r="BS90" i="1"/>
  <c r="BO106" i="1"/>
  <c r="BR110" i="1" s="1"/>
  <c r="BK109" i="1"/>
  <c r="BO105" i="1"/>
  <c r="BO107" i="1"/>
  <c r="BL122" i="1"/>
  <c r="BL123" i="1"/>
  <c r="BL124" i="1"/>
  <c r="CM107" i="1"/>
  <c r="CN107" i="1" s="1"/>
  <c r="CM106" i="1"/>
  <c r="CN106" i="1" s="1"/>
  <c r="BR90" i="1" l="1"/>
  <c r="BN106" i="1"/>
  <c r="BQ110" i="1" s="1"/>
  <c r="BN105" i="1"/>
  <c r="BJ109" i="1"/>
  <c r="BN107" i="1"/>
  <c r="F107" i="1"/>
  <c r="E109" i="1"/>
  <c r="F105" i="1"/>
  <c r="F106" i="1"/>
  <c r="F90" i="1"/>
  <c r="BK123" i="1"/>
  <c r="BK122" i="1"/>
  <c r="BK124" i="1"/>
  <c r="BJ119" i="1"/>
  <c r="BJ112" i="1"/>
  <c r="BJ128" i="1"/>
  <c r="BJ86" i="1"/>
  <c r="BM89" i="1" s="1"/>
  <c r="BJ127" i="1"/>
  <c r="BK114" i="1"/>
  <c r="BK115" i="1"/>
  <c r="BK116" i="1"/>
  <c r="BI85" i="1"/>
  <c r="BH83" i="1"/>
  <c r="E107" i="1"/>
  <c r="E106" i="1"/>
  <c r="D109" i="1"/>
  <c r="E105" i="1"/>
  <c r="E90" i="1"/>
  <c r="G90" i="1"/>
  <c r="CO106" i="1"/>
  <c r="CO107" i="1"/>
  <c r="BG83" i="1" l="1"/>
  <c r="BH85" i="1"/>
  <c r="BJ114" i="1"/>
  <c r="BJ116" i="1"/>
  <c r="BJ115" i="1"/>
  <c r="BI86" i="1"/>
  <c r="BL89" i="1" s="1"/>
  <c r="BI127" i="1"/>
  <c r="BI112" i="1"/>
  <c r="BI128" i="1"/>
  <c r="BI119" i="1"/>
  <c r="BJ122" i="1"/>
  <c r="BJ124" i="1"/>
  <c r="BJ123" i="1"/>
  <c r="BM105" i="1"/>
  <c r="BQ90" i="1"/>
  <c r="BM107" i="1"/>
  <c r="BM106" i="1"/>
  <c r="BP110" i="1" s="1"/>
  <c r="BI109" i="1"/>
  <c r="CP106" i="1"/>
  <c r="CP107" i="1"/>
  <c r="W200" i="1"/>
  <c r="BI114" i="1" l="1"/>
  <c r="BI116" i="1"/>
  <c r="BI115" i="1"/>
  <c r="BI123" i="1"/>
  <c r="BI122" i="1"/>
  <c r="BI124" i="1"/>
  <c r="BL107" i="1"/>
  <c r="BL106" i="1"/>
  <c r="BO110" i="1" s="1"/>
  <c r="BL105" i="1"/>
  <c r="BP90" i="1"/>
  <c r="BH109" i="1"/>
  <c r="BH128" i="1"/>
  <c r="BH86" i="1"/>
  <c r="BK89" i="1" s="1"/>
  <c r="BH127" i="1"/>
  <c r="BH112" i="1"/>
  <c r="BH119" i="1"/>
  <c r="BF83" i="1"/>
  <c r="BG85" i="1"/>
  <c r="CQ106" i="1"/>
  <c r="CQ107" i="1"/>
  <c r="W203" i="1"/>
  <c r="W176" i="1"/>
  <c r="X217" i="1" s="1"/>
  <c r="BH115" i="1" l="1"/>
  <c r="BH116" i="1"/>
  <c r="BH114" i="1"/>
  <c r="BH123" i="1"/>
  <c r="BH124" i="1"/>
  <c r="BH122" i="1"/>
  <c r="BG127" i="1"/>
  <c r="BG112" i="1"/>
  <c r="BG128" i="1"/>
  <c r="BG119" i="1"/>
  <c r="BG86" i="1"/>
  <c r="BJ89" i="1" s="1"/>
  <c r="BF85" i="1"/>
  <c r="BE83" i="1"/>
  <c r="BK105" i="1"/>
  <c r="BG109" i="1"/>
  <c r="BO90" i="1"/>
  <c r="BK106" i="1"/>
  <c r="BN110" i="1" s="1"/>
  <c r="BK107" i="1"/>
  <c r="CR107" i="1"/>
  <c r="CR106" i="1"/>
  <c r="W205" i="1"/>
  <c r="W204" i="1" s="1"/>
  <c r="W217" i="1"/>
  <c r="W168" i="1"/>
  <c r="X216" i="1" s="1"/>
  <c r="X218" i="1" s="1"/>
  <c r="X219" i="1" s="1"/>
  <c r="X233" i="1" s="1"/>
  <c r="W199" i="1"/>
  <c r="BF127" i="1" l="1"/>
  <c r="BF119" i="1"/>
  <c r="BF112" i="1"/>
  <c r="BF128" i="1"/>
  <c r="BF86" i="1"/>
  <c r="BI89" i="1" s="1"/>
  <c r="BG116" i="1"/>
  <c r="BG114" i="1"/>
  <c r="BG115" i="1"/>
  <c r="BJ106" i="1"/>
  <c r="BM110" i="1" s="1"/>
  <c r="BN90" i="1"/>
  <c r="BF109" i="1"/>
  <c r="BJ107" i="1"/>
  <c r="BJ105" i="1"/>
  <c r="BG122" i="1"/>
  <c r="BG123" i="1"/>
  <c r="BG124" i="1"/>
  <c r="BE85" i="1"/>
  <c r="BD83" i="1"/>
  <c r="CS106" i="1"/>
  <c r="CS107" i="1"/>
  <c r="W202" i="1"/>
  <c r="W177" i="1"/>
  <c r="W216" i="1"/>
  <c r="W218" i="1" s="1"/>
  <c r="W219" i="1" s="1"/>
  <c r="BF116" i="1" l="1"/>
  <c r="BF114" i="1"/>
  <c r="BF115" i="1"/>
  <c r="BC83" i="1"/>
  <c r="BD85" i="1"/>
  <c r="BF123" i="1"/>
  <c r="BF124" i="1"/>
  <c r="BF122" i="1"/>
  <c r="BE128" i="1"/>
  <c r="BE127" i="1"/>
  <c r="BE119" i="1"/>
  <c r="BE112" i="1"/>
  <c r="BE86" i="1"/>
  <c r="BH89" i="1" s="1"/>
  <c r="BM90" i="1"/>
  <c r="BI106" i="1"/>
  <c r="BL110" i="1" s="1"/>
  <c r="BI105" i="1"/>
  <c r="BE109" i="1"/>
  <c r="BI107" i="1"/>
  <c r="CT107" i="1"/>
  <c r="CT106" i="1"/>
  <c r="W201" i="1"/>
  <c r="W206" i="1"/>
  <c r="W230" i="1"/>
  <c r="W233" i="1"/>
  <c r="BE116" i="1" l="1"/>
  <c r="BE114" i="1"/>
  <c r="BE115" i="1"/>
  <c r="BB83" i="1"/>
  <c r="BC85" i="1"/>
  <c r="BE123" i="1"/>
  <c r="BE122" i="1"/>
  <c r="BE124" i="1"/>
  <c r="BH107" i="1"/>
  <c r="BL90" i="1"/>
  <c r="BH106" i="1"/>
  <c r="BK110" i="1" s="1"/>
  <c r="BH105" i="1"/>
  <c r="BD109" i="1"/>
  <c r="BD119" i="1"/>
  <c r="BD86" i="1"/>
  <c r="BG89" i="1" s="1"/>
  <c r="BD128" i="1"/>
  <c r="BD112" i="1"/>
  <c r="BD127" i="1"/>
  <c r="CU106" i="1"/>
  <c r="CU107" i="1"/>
  <c r="W209" i="1"/>
  <c r="W210" i="1" s="1"/>
  <c r="X209" i="1"/>
  <c r="X210" i="1" s="1"/>
  <c r="BG107" i="1" l="1"/>
  <c r="BC109" i="1"/>
  <c r="BK90" i="1"/>
  <c r="BG106" i="1"/>
  <c r="BJ110" i="1" s="1"/>
  <c r="BG105" i="1"/>
  <c r="BA83" i="1"/>
  <c r="BB85" i="1"/>
  <c r="BD122" i="1"/>
  <c r="BD124" i="1"/>
  <c r="BD123" i="1"/>
  <c r="BD114" i="1"/>
  <c r="BD115" i="1"/>
  <c r="BD116" i="1"/>
  <c r="BC127" i="1"/>
  <c r="BC112" i="1"/>
  <c r="BC128" i="1"/>
  <c r="BC119" i="1"/>
  <c r="BC86" i="1"/>
  <c r="BF89" i="1" s="1"/>
  <c r="CV106" i="1"/>
  <c r="CV107" i="1"/>
  <c r="W181" i="1"/>
  <c r="BC114" i="1" l="1"/>
  <c r="BC115" i="1"/>
  <c r="BC116" i="1"/>
  <c r="BB86" i="1"/>
  <c r="BE89" i="1" s="1"/>
  <c r="BB119" i="1"/>
  <c r="BB128" i="1"/>
  <c r="BB112" i="1"/>
  <c r="BB127" i="1"/>
  <c r="BF105" i="1"/>
  <c r="BF106" i="1"/>
  <c r="BI110" i="1" s="1"/>
  <c r="BB109" i="1"/>
  <c r="BF107" i="1"/>
  <c r="BJ90" i="1"/>
  <c r="BA85" i="1"/>
  <c r="AZ83" i="1"/>
  <c r="BC124" i="1"/>
  <c r="BC122" i="1"/>
  <c r="BC123" i="1"/>
  <c r="X229" i="1"/>
  <c r="X230" i="1" s="1"/>
  <c r="X231" i="1" s="1"/>
  <c r="W266" i="1"/>
  <c r="W268" i="1"/>
  <c r="W264" i="1"/>
  <c r="CW107" i="1"/>
  <c r="CW106" i="1"/>
  <c r="W188" i="1"/>
  <c r="W129" i="1" s="1"/>
  <c r="W185" i="1"/>
  <c r="W231" i="1"/>
  <c r="BI90" i="1" l="1"/>
  <c r="BE105" i="1"/>
  <c r="BE107" i="1"/>
  <c r="BE106" i="1"/>
  <c r="BH110" i="1" s="1"/>
  <c r="BA109" i="1"/>
  <c r="AY83" i="1"/>
  <c r="AZ85" i="1"/>
  <c r="BB116" i="1"/>
  <c r="BB115" i="1"/>
  <c r="BB114" i="1"/>
  <c r="BA119" i="1"/>
  <c r="BA86" i="1"/>
  <c r="BD89" i="1" s="1"/>
  <c r="BA128" i="1"/>
  <c r="BA112" i="1"/>
  <c r="BA127" i="1"/>
  <c r="BB123" i="1"/>
  <c r="BB122" i="1"/>
  <c r="BB124" i="1"/>
  <c r="CX107" i="1"/>
  <c r="CX106" i="1"/>
  <c r="W131" i="1"/>
  <c r="W134" i="1" s="1"/>
  <c r="W130" i="1"/>
  <c r="W133" i="1" s="1"/>
  <c r="W186" i="1"/>
  <c r="BD106" i="1" l="1"/>
  <c r="BG110" i="1" s="1"/>
  <c r="BD105" i="1"/>
  <c r="BD107" i="1"/>
  <c r="BH90" i="1"/>
  <c r="AZ109" i="1"/>
  <c r="BA123" i="1"/>
  <c r="BA124" i="1"/>
  <c r="BA122" i="1"/>
  <c r="AZ127" i="1"/>
  <c r="AZ112" i="1"/>
  <c r="AZ128" i="1"/>
  <c r="AZ119" i="1"/>
  <c r="AZ86" i="1"/>
  <c r="BC89" i="1" s="1"/>
  <c r="BA115" i="1"/>
  <c r="BA114" i="1"/>
  <c r="BA116" i="1"/>
  <c r="AY85" i="1"/>
  <c r="AX83" i="1"/>
  <c r="CY107" i="1"/>
  <c r="CY106" i="1"/>
  <c r="C112" i="2"/>
  <c r="C113" i="2"/>
  <c r="C111" i="2"/>
  <c r="AZ124" i="1" l="1"/>
  <c r="AZ122" i="1"/>
  <c r="AZ123" i="1"/>
  <c r="AW83" i="1"/>
  <c r="AX85" i="1"/>
  <c r="AZ116" i="1"/>
  <c r="AZ114" i="1"/>
  <c r="AZ115" i="1"/>
  <c r="AY127" i="1"/>
  <c r="AY112" i="1"/>
  <c r="AY128" i="1"/>
  <c r="AY119" i="1"/>
  <c r="AY86" i="1"/>
  <c r="BB89" i="1" s="1"/>
  <c r="BC107" i="1"/>
  <c r="AY109" i="1"/>
  <c r="BC105" i="1"/>
  <c r="BC106" i="1"/>
  <c r="BF110" i="1" s="1"/>
  <c r="BG90" i="1"/>
  <c r="CZ106" i="1"/>
  <c r="CZ107" i="1"/>
  <c r="B93" i="1"/>
  <c r="B94" i="1"/>
  <c r="AY124" i="1" l="1"/>
  <c r="AY122" i="1"/>
  <c r="AY123" i="1"/>
  <c r="AV83" i="1"/>
  <c r="AW85" i="1"/>
  <c r="AY114" i="1"/>
  <c r="AY115" i="1"/>
  <c r="AY116" i="1"/>
  <c r="BB107" i="1"/>
  <c r="BB105" i="1"/>
  <c r="BB106" i="1"/>
  <c r="BE110" i="1" s="1"/>
  <c r="AX109" i="1"/>
  <c r="BF90" i="1"/>
  <c r="AX86" i="1"/>
  <c r="BA89" i="1" s="1"/>
  <c r="AX127" i="1"/>
  <c r="AX112" i="1"/>
  <c r="AX128" i="1"/>
  <c r="AX119" i="1"/>
  <c r="DA107" i="1"/>
  <c r="DA106" i="1"/>
  <c r="AX114" i="1" l="1"/>
  <c r="AX115" i="1"/>
  <c r="AX116" i="1"/>
  <c r="AU83" i="1"/>
  <c r="AV85" i="1"/>
  <c r="AX123" i="1"/>
  <c r="AX122" i="1"/>
  <c r="AX124" i="1"/>
  <c r="BA105" i="1"/>
  <c r="AW109" i="1"/>
  <c r="BA106" i="1"/>
  <c r="BD110" i="1" s="1"/>
  <c r="BA107" i="1"/>
  <c r="BE90" i="1"/>
  <c r="AW128" i="1"/>
  <c r="AW112" i="1"/>
  <c r="AW127" i="1"/>
  <c r="AW86" i="1"/>
  <c r="AZ89" i="1" s="1"/>
  <c r="AW119" i="1"/>
  <c r="AL216" i="1"/>
  <c r="AK216" i="1"/>
  <c r="AT83" i="1" l="1"/>
  <c r="AU85" i="1"/>
  <c r="AW115" i="1"/>
  <c r="AW114" i="1"/>
  <c r="AW116" i="1"/>
  <c r="AW124" i="1"/>
  <c r="AW123" i="1"/>
  <c r="AW122" i="1"/>
  <c r="AZ107" i="1"/>
  <c r="AZ106" i="1"/>
  <c r="BC110" i="1" s="1"/>
  <c r="AV109" i="1"/>
  <c r="BD90" i="1"/>
  <c r="AZ105" i="1"/>
  <c r="AV119" i="1"/>
  <c r="AV86" i="1"/>
  <c r="AY89" i="1" s="1"/>
  <c r="AV128" i="1"/>
  <c r="AV112" i="1"/>
  <c r="AV127" i="1"/>
  <c r="AN216" i="1"/>
  <c r="AM216" i="1"/>
  <c r="AY106" i="1" l="1"/>
  <c r="BB110" i="1" s="1"/>
  <c r="AU109" i="1"/>
  <c r="AY105" i="1"/>
  <c r="BC90" i="1"/>
  <c r="AY107" i="1"/>
  <c r="AU128" i="1"/>
  <c r="AU112" i="1"/>
  <c r="AU119" i="1"/>
  <c r="AU86" i="1"/>
  <c r="AX89" i="1" s="1"/>
  <c r="AU127" i="1"/>
  <c r="AV123" i="1"/>
  <c r="AV124" i="1"/>
  <c r="AV122" i="1"/>
  <c r="AV114" i="1"/>
  <c r="AV116" i="1"/>
  <c r="AV115" i="1"/>
  <c r="AS83" i="1"/>
  <c r="AT85" i="1"/>
  <c r="AP216" i="1"/>
  <c r="AO216" i="1"/>
  <c r="AU122" i="1" l="1"/>
  <c r="AU124" i="1"/>
  <c r="AU123" i="1"/>
  <c r="AU116" i="1"/>
  <c r="AU115" i="1"/>
  <c r="AU114" i="1"/>
  <c r="AT119" i="1"/>
  <c r="AT86" i="1"/>
  <c r="AW89" i="1" s="1"/>
  <c r="AT127" i="1"/>
  <c r="AT128" i="1"/>
  <c r="AT112" i="1"/>
  <c r="AS85" i="1"/>
  <c r="AR83" i="1"/>
  <c r="AX105" i="1"/>
  <c r="AX107" i="1"/>
  <c r="AT109" i="1"/>
  <c r="BB90" i="1"/>
  <c r="AX106" i="1"/>
  <c r="BA110" i="1" s="1"/>
  <c r="AR216" i="1"/>
  <c r="AQ216" i="1"/>
  <c r="AS127" i="1" l="1"/>
  <c r="AS119" i="1"/>
  <c r="AS86" i="1"/>
  <c r="AV89" i="1" s="1"/>
  <c r="AS128" i="1"/>
  <c r="AS112" i="1"/>
  <c r="AW105" i="1"/>
  <c r="AW106" i="1"/>
  <c r="AZ110" i="1" s="1"/>
  <c r="AW107" i="1"/>
  <c r="AS109" i="1"/>
  <c r="BA90" i="1"/>
  <c r="AT115" i="1"/>
  <c r="AT116" i="1"/>
  <c r="AT114" i="1"/>
  <c r="AT122" i="1"/>
  <c r="AT123" i="1"/>
  <c r="AT124" i="1"/>
  <c r="AQ83" i="1"/>
  <c r="AR85" i="1"/>
  <c r="AT216" i="1"/>
  <c r="AS216" i="1"/>
  <c r="AR119" i="1" l="1"/>
  <c r="AR112" i="1"/>
  <c r="AR127" i="1"/>
  <c r="AR128" i="1"/>
  <c r="AR86" i="1"/>
  <c r="AU89" i="1" s="1"/>
  <c r="AV107" i="1"/>
  <c r="AV105" i="1"/>
  <c r="AR109" i="1"/>
  <c r="AV106" i="1"/>
  <c r="AY110" i="1" s="1"/>
  <c r="AZ90" i="1"/>
  <c r="AS124" i="1"/>
  <c r="AS123" i="1"/>
  <c r="AS122" i="1"/>
  <c r="AQ85" i="1"/>
  <c r="AP83" i="1"/>
  <c r="AS114" i="1"/>
  <c r="AS116" i="1"/>
  <c r="AS115" i="1"/>
  <c r="AV216" i="1"/>
  <c r="AU216" i="1"/>
  <c r="AP85" i="1" l="1"/>
  <c r="AO83" i="1"/>
  <c r="AQ127" i="1"/>
  <c r="AQ119" i="1"/>
  <c r="AQ86" i="1"/>
  <c r="AT89" i="1" s="1"/>
  <c r="AQ128" i="1"/>
  <c r="AQ112" i="1"/>
  <c r="AR114" i="1"/>
  <c r="AR116" i="1"/>
  <c r="AR115" i="1"/>
  <c r="AU106" i="1"/>
  <c r="AX110" i="1" s="1"/>
  <c r="AQ109" i="1"/>
  <c r="AU105" i="1"/>
  <c r="AU107" i="1"/>
  <c r="AY90" i="1"/>
  <c r="AR123" i="1"/>
  <c r="AR124" i="1"/>
  <c r="AR122" i="1"/>
  <c r="AX216" i="1"/>
  <c r="AW216" i="1"/>
  <c r="AQ124" i="1" l="1"/>
  <c r="AQ123" i="1"/>
  <c r="AQ122" i="1"/>
  <c r="AQ116" i="1"/>
  <c r="AQ114" i="1"/>
  <c r="AQ115" i="1"/>
  <c r="AO85" i="1"/>
  <c r="AN83" i="1"/>
  <c r="AT105" i="1"/>
  <c r="AT107" i="1"/>
  <c r="AX90" i="1"/>
  <c r="AP109" i="1"/>
  <c r="AT106" i="1"/>
  <c r="AW110" i="1" s="1"/>
  <c r="AP119" i="1"/>
  <c r="AP112" i="1"/>
  <c r="AP128" i="1"/>
  <c r="AP86" i="1"/>
  <c r="AS89" i="1" s="1"/>
  <c r="AP127" i="1"/>
  <c r="AZ216" i="1"/>
  <c r="AY216" i="1"/>
  <c r="AN85" i="1" l="1"/>
  <c r="AM83" i="1"/>
  <c r="AP114" i="1"/>
  <c r="AP116" i="1"/>
  <c r="AP115" i="1"/>
  <c r="AO128" i="1"/>
  <c r="AO112" i="1"/>
  <c r="AO127" i="1"/>
  <c r="AO119" i="1"/>
  <c r="AO86" i="1"/>
  <c r="AR89" i="1" s="1"/>
  <c r="AP122" i="1"/>
  <c r="AP124" i="1"/>
  <c r="AP123" i="1"/>
  <c r="AS105" i="1"/>
  <c r="AO109" i="1"/>
  <c r="AS106" i="1"/>
  <c r="AV110" i="1" s="1"/>
  <c r="AW90" i="1"/>
  <c r="AS107" i="1"/>
  <c r="BB216" i="1"/>
  <c r="BA216" i="1"/>
  <c r="AO114" i="1" l="1"/>
  <c r="AO115" i="1"/>
  <c r="AO116" i="1"/>
  <c r="AN109" i="1"/>
  <c r="AR105" i="1"/>
  <c r="AV90" i="1"/>
  <c r="AR107" i="1"/>
  <c r="AR106" i="1"/>
  <c r="AU110" i="1" s="1"/>
  <c r="AM85" i="1"/>
  <c r="AL83" i="1"/>
  <c r="AO122" i="1"/>
  <c r="AO124" i="1"/>
  <c r="AO123" i="1"/>
  <c r="AN86" i="1"/>
  <c r="AQ89" i="1" s="1"/>
  <c r="AN127" i="1"/>
  <c r="AN128" i="1"/>
  <c r="AN112" i="1"/>
  <c r="AN119" i="1"/>
  <c r="BD216" i="1"/>
  <c r="BC216" i="1"/>
  <c r="AQ105" i="1" l="1"/>
  <c r="AU90" i="1"/>
  <c r="AM109" i="1"/>
  <c r="AQ106" i="1"/>
  <c r="AT110" i="1" s="1"/>
  <c r="AQ107" i="1"/>
  <c r="AK83" i="1"/>
  <c r="AL85" i="1"/>
  <c r="AN122" i="1"/>
  <c r="AN123" i="1"/>
  <c r="AN124" i="1"/>
  <c r="AN115" i="1"/>
  <c r="AN116" i="1"/>
  <c r="AN114" i="1"/>
  <c r="AM128" i="1"/>
  <c r="AM127" i="1"/>
  <c r="AM86" i="1"/>
  <c r="AP89" i="1" s="1"/>
  <c r="AM119" i="1"/>
  <c r="AM112" i="1"/>
  <c r="BF216" i="1"/>
  <c r="BE216" i="1"/>
  <c r="AL127" i="1" l="1"/>
  <c r="AL86" i="1"/>
  <c r="AO89" i="1" s="1"/>
  <c r="AL112" i="1"/>
  <c r="AL128" i="1"/>
  <c r="AL119" i="1"/>
  <c r="AJ83" i="1"/>
  <c r="AK85" i="1"/>
  <c r="AK86" i="1" s="1"/>
  <c r="AM122" i="1"/>
  <c r="AM123" i="1"/>
  <c r="AM124" i="1"/>
  <c r="AM116" i="1"/>
  <c r="AM115" i="1"/>
  <c r="AM114" i="1"/>
  <c r="AL109" i="1"/>
  <c r="AP105" i="1"/>
  <c r="AT90" i="1"/>
  <c r="AP107" i="1"/>
  <c r="AP106" i="1"/>
  <c r="AS110" i="1" s="1"/>
  <c r="BH216" i="1"/>
  <c r="BG216" i="1"/>
  <c r="AN89" i="1" l="1"/>
  <c r="AN106" i="1" s="1"/>
  <c r="AQ110" i="1" s="1"/>
  <c r="AL116" i="1"/>
  <c r="AL115" i="1"/>
  <c r="AL114" i="1"/>
  <c r="AO107" i="1"/>
  <c r="AO105" i="1"/>
  <c r="AS90" i="1"/>
  <c r="AO106" i="1"/>
  <c r="AR110" i="1" s="1"/>
  <c r="AI83" i="1"/>
  <c r="AI85" i="1" s="1"/>
  <c r="AI86" i="1" s="1"/>
  <c r="AJ85" i="1"/>
  <c r="AJ86" i="1" s="1"/>
  <c r="AM89" i="1" s="1"/>
  <c r="AL122" i="1"/>
  <c r="AL124" i="1"/>
  <c r="AL123" i="1"/>
  <c r="BJ216" i="1"/>
  <c r="BI216" i="1"/>
  <c r="AR90" i="1" l="1"/>
  <c r="AN107" i="1"/>
  <c r="AN105" i="1"/>
  <c r="AL89" i="1"/>
  <c r="AL105" i="1" s="1"/>
  <c r="AM105" i="1"/>
  <c r="AQ90" i="1"/>
  <c r="AM107" i="1"/>
  <c r="AM106" i="1"/>
  <c r="AP110" i="1" s="1"/>
  <c r="BL216" i="1"/>
  <c r="BK216" i="1"/>
  <c r="AL106" i="1" l="1"/>
  <c r="AO110" i="1" s="1"/>
  <c r="AL107" i="1"/>
  <c r="AP90" i="1"/>
  <c r="BN216" i="1"/>
  <c r="BM216" i="1"/>
  <c r="BP216" i="1" l="1"/>
  <c r="BO216" i="1"/>
  <c r="BR216" i="1" l="1"/>
  <c r="BQ216" i="1"/>
  <c r="BT216" i="1" l="1"/>
  <c r="BS216" i="1"/>
  <c r="BV216" i="1" l="1"/>
  <c r="BU216" i="1"/>
  <c r="BX216" i="1" l="1"/>
  <c r="BW216" i="1"/>
  <c r="BZ216" i="1" l="1"/>
  <c r="BY216" i="1"/>
  <c r="AL217" i="1" l="1"/>
  <c r="AL218" i="1" s="1"/>
  <c r="AL219" i="1" s="1"/>
  <c r="AL233" i="1" s="1"/>
  <c r="AK217" i="1"/>
  <c r="AK218" i="1" s="1"/>
  <c r="AK219" i="1" s="1"/>
  <c r="AK233" i="1" l="1"/>
  <c r="AK230" i="1"/>
  <c r="AN217" i="1"/>
  <c r="AN218" i="1" s="1"/>
  <c r="AN219" i="1" s="1"/>
  <c r="AN233" i="1" s="1"/>
  <c r="AM217" i="1"/>
  <c r="AM218" i="1" s="1"/>
  <c r="AM219" i="1" s="1"/>
  <c r="AN209" i="1"/>
  <c r="AP217" i="1" l="1"/>
  <c r="AP218" i="1" s="1"/>
  <c r="AP219" i="1" s="1"/>
  <c r="AP233" i="1" s="1"/>
  <c r="AO217" i="1"/>
  <c r="AO218" i="1" s="1"/>
  <c r="AO219" i="1" s="1"/>
  <c r="AM233" i="1"/>
  <c r="AL229" i="1" l="1"/>
  <c r="AL230" i="1" s="1"/>
  <c r="AK231" i="1"/>
  <c r="AO209" i="1"/>
  <c r="AO233" i="1"/>
  <c r="AL57" i="1"/>
  <c r="AL180" i="1" l="1"/>
  <c r="AL181" i="1" s="1"/>
  <c r="AN229" i="1"/>
  <c r="AN230" i="1" s="1"/>
  <c r="AM268" i="1"/>
  <c r="AM266" i="1"/>
  <c r="AM264" i="1"/>
  <c r="AR217" i="1"/>
  <c r="AR218" i="1" s="1"/>
  <c r="AR219" i="1" s="1"/>
  <c r="AR233" i="1" s="1"/>
  <c r="AQ217" i="1"/>
  <c r="AQ218" i="1" s="1"/>
  <c r="AQ219" i="1" s="1"/>
  <c r="AL185" i="1" l="1"/>
  <c r="AL186" i="1" s="1"/>
  <c r="AL188" i="1"/>
  <c r="AM229" i="1"/>
  <c r="AM230" i="1" s="1"/>
  <c r="AM231" i="1" s="1"/>
  <c r="AL268" i="1"/>
  <c r="AL266" i="1"/>
  <c r="AL264" i="1"/>
  <c r="AL231" i="1"/>
  <c r="AN180" i="1"/>
  <c r="AN181" i="1" s="1"/>
  <c r="AO266" i="1"/>
  <c r="AO268" i="1"/>
  <c r="AO264" i="1"/>
  <c r="AM129" i="1"/>
  <c r="AM130" i="1" s="1"/>
  <c r="AM133" i="1" s="1"/>
  <c r="AN57" i="1"/>
  <c r="AQ209" i="1"/>
  <c r="AQ233" i="1"/>
  <c r="AP229" i="1"/>
  <c r="AP230" i="1" s="1"/>
  <c r="AM57" i="1" l="1"/>
  <c r="AL129" i="1"/>
  <c r="AP180" i="1"/>
  <c r="AP181" i="1" s="1"/>
  <c r="AN185" i="1"/>
  <c r="AN186" i="1" s="1"/>
  <c r="AN188" i="1"/>
  <c r="AO229" i="1"/>
  <c r="AO230" i="1" s="1"/>
  <c r="AO231" i="1" s="1"/>
  <c r="AN268" i="1"/>
  <c r="AN266" i="1"/>
  <c r="AN264" i="1"/>
  <c r="AN231" i="1"/>
  <c r="AM131" i="1"/>
  <c r="AM134" i="1" s="1"/>
  <c r="AO129" i="1"/>
  <c r="AO131" i="1" s="1"/>
  <c r="AO134" i="1" s="1"/>
  <c r="AP57" i="1"/>
  <c r="AT217" i="1"/>
  <c r="AT218" i="1" s="1"/>
  <c r="AT219" i="1" s="1"/>
  <c r="AT233" i="1" s="1"/>
  <c r="AS217" i="1"/>
  <c r="AS218" i="1" s="1"/>
  <c r="AS219" i="1" s="1"/>
  <c r="AL130" i="1" l="1"/>
  <c r="AL133" i="1" s="1"/>
  <c r="AL131" i="1"/>
  <c r="AL134" i="1" s="1"/>
  <c r="AP185" i="1"/>
  <c r="AP186" i="1" s="1"/>
  <c r="AP188" i="1"/>
  <c r="AQ229" i="1"/>
  <c r="AQ230" i="1" s="1"/>
  <c r="AQ231" i="1" s="1"/>
  <c r="AP266" i="1"/>
  <c r="AP268" i="1"/>
  <c r="AP264" i="1"/>
  <c r="AO57" i="1"/>
  <c r="AN129" i="1"/>
  <c r="AP231" i="1"/>
  <c r="AQ266" i="1"/>
  <c r="AQ268" i="1"/>
  <c r="AQ264" i="1"/>
  <c r="AO130" i="1"/>
  <c r="AO133" i="1" s="1"/>
  <c r="AS209" i="1"/>
  <c r="AS233" i="1"/>
  <c r="AR229" i="1"/>
  <c r="AR230" i="1" s="1"/>
  <c r="AP129" i="1" l="1"/>
  <c r="AQ57" i="1"/>
  <c r="AN130" i="1"/>
  <c r="AN133" i="1" s="1"/>
  <c r="AN131" i="1"/>
  <c r="AN134" i="1" s="1"/>
  <c r="AR180" i="1"/>
  <c r="AR181" i="1" s="1"/>
  <c r="AQ129" i="1"/>
  <c r="AQ130" i="1" s="1"/>
  <c r="AQ133" i="1" s="1"/>
  <c r="AR57" i="1"/>
  <c r="AV217" i="1"/>
  <c r="AV218" i="1" s="1"/>
  <c r="AV219" i="1" s="1"/>
  <c r="AV233" i="1" s="1"/>
  <c r="AU217" i="1"/>
  <c r="AU218" i="1" s="1"/>
  <c r="AU219" i="1" s="1"/>
  <c r="AP131" i="1" l="1"/>
  <c r="AP134" i="1" s="1"/>
  <c r="AP130" i="1"/>
  <c r="AP133" i="1" s="1"/>
  <c r="AR188" i="1"/>
  <c r="AR185" i="1"/>
  <c r="AR186" i="1" s="1"/>
  <c r="AS229" i="1"/>
  <c r="AS230" i="1" s="1"/>
  <c r="AS231" i="1" s="1"/>
  <c r="AR268" i="1"/>
  <c r="AR264" i="1"/>
  <c r="AR266" i="1"/>
  <c r="AR231" i="1"/>
  <c r="AS268" i="1"/>
  <c r="AS266" i="1"/>
  <c r="AS264" i="1"/>
  <c r="AQ131" i="1"/>
  <c r="AQ134" i="1" s="1"/>
  <c r="AU209" i="1"/>
  <c r="AU233" i="1"/>
  <c r="AT229" i="1"/>
  <c r="AT230" i="1" s="1"/>
  <c r="AT180" i="1" l="1"/>
  <c r="AT181" i="1" s="1"/>
  <c r="AS57" i="1"/>
  <c r="AR129" i="1"/>
  <c r="AS129" i="1"/>
  <c r="AS130" i="1" s="1"/>
  <c r="AS133" i="1" s="1"/>
  <c r="AT57" i="1"/>
  <c r="AW209" i="1"/>
  <c r="AX217" i="1"/>
  <c r="AX218" i="1" s="1"/>
  <c r="AX219" i="1" s="1"/>
  <c r="AX233" i="1" s="1"/>
  <c r="AW217" i="1"/>
  <c r="AW218" i="1" s="1"/>
  <c r="AW219" i="1" s="1"/>
  <c r="AR131" i="1" l="1"/>
  <c r="AR134" i="1" s="1"/>
  <c r="AR130" i="1"/>
  <c r="AR133" i="1" s="1"/>
  <c r="AT185" i="1"/>
  <c r="AT186" i="1" s="1"/>
  <c r="AT188" i="1"/>
  <c r="AU229" i="1"/>
  <c r="AU230" i="1" s="1"/>
  <c r="AU231" i="1" s="1"/>
  <c r="AT268" i="1"/>
  <c r="AT266" i="1"/>
  <c r="AT264" i="1"/>
  <c r="AT231" i="1"/>
  <c r="AU268" i="1"/>
  <c r="AU266" i="1"/>
  <c r="AU264" i="1"/>
  <c r="AS131" i="1"/>
  <c r="AS134" i="1" s="1"/>
  <c r="AW233" i="1"/>
  <c r="AV229" i="1"/>
  <c r="AV230" i="1" s="1"/>
  <c r="AU57" i="1" l="1"/>
  <c r="AT129" i="1"/>
  <c r="AV180" i="1"/>
  <c r="AV181" i="1" s="1"/>
  <c r="AU129" i="1"/>
  <c r="AU131" i="1" s="1"/>
  <c r="AU134" i="1" s="1"/>
  <c r="AV57" i="1"/>
  <c r="AZ217" i="1"/>
  <c r="AZ218" i="1" s="1"/>
  <c r="AZ219" i="1" s="1"/>
  <c r="AZ233" i="1" s="1"/>
  <c r="AY217" i="1"/>
  <c r="AY218" i="1" s="1"/>
  <c r="AY219" i="1" s="1"/>
  <c r="AT131" i="1" l="1"/>
  <c r="AT134" i="1" s="1"/>
  <c r="AT130" i="1"/>
  <c r="AT133" i="1" s="1"/>
  <c r="AV188" i="1"/>
  <c r="AV185" i="1"/>
  <c r="AV186" i="1" s="1"/>
  <c r="AW229" i="1"/>
  <c r="AW230" i="1" s="1"/>
  <c r="AW231" i="1" s="1"/>
  <c r="AV264" i="1"/>
  <c r="AV268" i="1"/>
  <c r="AV266" i="1"/>
  <c r="AV231" i="1"/>
  <c r="AW266" i="1"/>
  <c r="AW268" i="1"/>
  <c r="AW264" i="1"/>
  <c r="AU130" i="1"/>
  <c r="AU133" i="1" s="1"/>
  <c r="AY209" i="1"/>
  <c r="AY233" i="1"/>
  <c r="AX229" i="1"/>
  <c r="AX230" i="1" s="1"/>
  <c r="AX180" i="1" l="1"/>
  <c r="AX181" i="1" s="1"/>
  <c r="AV129" i="1"/>
  <c r="AW57" i="1"/>
  <c r="AW129" i="1"/>
  <c r="AW131" i="1" s="1"/>
  <c r="AW134" i="1" s="1"/>
  <c r="AX57" i="1"/>
  <c r="BB217" i="1"/>
  <c r="BB218" i="1" s="1"/>
  <c r="BB219" i="1" s="1"/>
  <c r="BB233" i="1" s="1"/>
  <c r="BA217" i="1"/>
  <c r="BA218" i="1" s="1"/>
  <c r="BA219" i="1" s="1"/>
  <c r="AX185" i="1" l="1"/>
  <c r="AX186" i="1" s="1"/>
  <c r="AX188" i="1"/>
  <c r="AY229" i="1"/>
  <c r="AY230" i="1" s="1"/>
  <c r="AY231" i="1" s="1"/>
  <c r="AX268" i="1"/>
  <c r="AX264" i="1"/>
  <c r="AX266" i="1"/>
  <c r="AV130" i="1"/>
  <c r="AV133" i="1" s="1"/>
  <c r="AV131" i="1"/>
  <c r="AV134" i="1" s="1"/>
  <c r="AX231" i="1"/>
  <c r="AY266" i="1"/>
  <c r="AY268" i="1"/>
  <c r="AY264" i="1"/>
  <c r="AW130" i="1"/>
  <c r="AW133" i="1" s="1"/>
  <c r="BA209" i="1"/>
  <c r="BA233" i="1"/>
  <c r="AZ229" i="1"/>
  <c r="AZ230" i="1" s="1"/>
  <c r="AY57" i="1" l="1"/>
  <c r="AX129" i="1"/>
  <c r="AZ180" i="1"/>
  <c r="AZ181" i="1" s="1"/>
  <c r="AY129" i="1"/>
  <c r="AY131" i="1" s="1"/>
  <c r="AY134" i="1" s="1"/>
  <c r="AZ57" i="1"/>
  <c r="BD217" i="1"/>
  <c r="BD218" i="1" s="1"/>
  <c r="BD219" i="1" s="1"/>
  <c r="BD233" i="1" s="1"/>
  <c r="BC217" i="1"/>
  <c r="BC218" i="1" s="1"/>
  <c r="BC219" i="1" s="1"/>
  <c r="AX131" i="1" l="1"/>
  <c r="AX134" i="1" s="1"/>
  <c r="AX130" i="1"/>
  <c r="AX133" i="1" s="1"/>
  <c r="AZ188" i="1"/>
  <c r="AZ185" i="1"/>
  <c r="AZ186" i="1" s="1"/>
  <c r="BA229" i="1"/>
  <c r="BA230" i="1" s="1"/>
  <c r="BA231" i="1" s="1"/>
  <c r="AZ264" i="1"/>
  <c r="AZ268" i="1"/>
  <c r="AZ266" i="1"/>
  <c r="AZ231" i="1"/>
  <c r="BA268" i="1"/>
  <c r="BA266" i="1"/>
  <c r="BA264" i="1"/>
  <c r="AY130" i="1"/>
  <c r="AY133" i="1" s="1"/>
  <c r="BC209" i="1"/>
  <c r="BC233" i="1"/>
  <c r="BB229" i="1"/>
  <c r="BB230" i="1" s="1"/>
  <c r="BB180" i="1" l="1"/>
  <c r="BB181" i="1" s="1"/>
  <c r="AZ129" i="1"/>
  <c r="BA57" i="1"/>
  <c r="BA129" i="1"/>
  <c r="BA130" i="1" s="1"/>
  <c r="BA133" i="1" s="1"/>
  <c r="BB57" i="1"/>
  <c r="BF217" i="1"/>
  <c r="BF218" i="1" s="1"/>
  <c r="BF219" i="1" s="1"/>
  <c r="BF233" i="1" s="1"/>
  <c r="BE217" i="1"/>
  <c r="BE218" i="1" s="1"/>
  <c r="BE219" i="1" s="1"/>
  <c r="BB185" i="1" l="1"/>
  <c r="BB186" i="1" s="1"/>
  <c r="BB188" i="1"/>
  <c r="BC229" i="1"/>
  <c r="BC230" i="1" s="1"/>
  <c r="BC231" i="1" s="1"/>
  <c r="BB264" i="1"/>
  <c r="BB268" i="1"/>
  <c r="BB266" i="1"/>
  <c r="AZ130" i="1"/>
  <c r="AZ133" i="1" s="1"/>
  <c r="AZ131" i="1"/>
  <c r="AZ134" i="1" s="1"/>
  <c r="BB231" i="1"/>
  <c r="BC268" i="1"/>
  <c r="BC266" i="1"/>
  <c r="BC264" i="1"/>
  <c r="BA131" i="1"/>
  <c r="BA134" i="1" s="1"/>
  <c r="BE209" i="1"/>
  <c r="BE233" i="1"/>
  <c r="BD229" i="1"/>
  <c r="BD230" i="1" s="1"/>
  <c r="BB129" i="1" l="1"/>
  <c r="BC57" i="1"/>
  <c r="BD180" i="1"/>
  <c r="BD181" i="1" s="1"/>
  <c r="BC129" i="1"/>
  <c r="BC130" i="1" s="1"/>
  <c r="BC133" i="1" s="1"/>
  <c r="BD57" i="1"/>
  <c r="BG209" i="1"/>
  <c r="BH217" i="1"/>
  <c r="BH218" i="1" s="1"/>
  <c r="BH219" i="1" s="1"/>
  <c r="BH233" i="1" s="1"/>
  <c r="BG217" i="1"/>
  <c r="BG218" i="1" s="1"/>
  <c r="BG219" i="1" s="1"/>
  <c r="BB131" i="1" l="1"/>
  <c r="BB134" i="1" s="1"/>
  <c r="BB130" i="1"/>
  <c r="BB133" i="1" s="1"/>
  <c r="BD188" i="1"/>
  <c r="BD185" i="1"/>
  <c r="BD186" i="1" s="1"/>
  <c r="BE229" i="1"/>
  <c r="BE230" i="1" s="1"/>
  <c r="BE231" i="1" s="1"/>
  <c r="BD268" i="1"/>
  <c r="BD266" i="1"/>
  <c r="BD264" i="1"/>
  <c r="BD231" i="1"/>
  <c r="BE266" i="1"/>
  <c r="BE268" i="1"/>
  <c r="BE264" i="1"/>
  <c r="BC131" i="1"/>
  <c r="BC134" i="1" s="1"/>
  <c r="BG233" i="1"/>
  <c r="BF229" i="1"/>
  <c r="BF230" i="1" s="1"/>
  <c r="BF180" i="1" l="1"/>
  <c r="BF181" i="1" s="1"/>
  <c r="BD129" i="1"/>
  <c r="BE57" i="1"/>
  <c r="BE129" i="1"/>
  <c r="BE130" i="1" s="1"/>
  <c r="BE133" i="1" s="1"/>
  <c r="BF57" i="1"/>
  <c r="BJ217" i="1"/>
  <c r="BJ218" i="1" s="1"/>
  <c r="BJ219" i="1" s="1"/>
  <c r="BJ233" i="1" s="1"/>
  <c r="BI217" i="1"/>
  <c r="BI218" i="1" s="1"/>
  <c r="BI219" i="1" s="1"/>
  <c r="BD131" i="1" l="1"/>
  <c r="BD134" i="1" s="1"/>
  <c r="BD130" i="1"/>
  <c r="BD133" i="1" s="1"/>
  <c r="BF185" i="1"/>
  <c r="BF186" i="1" s="1"/>
  <c r="BF188" i="1"/>
  <c r="BG229" i="1"/>
  <c r="BG230" i="1" s="1"/>
  <c r="BG231" i="1" s="1"/>
  <c r="BF268" i="1"/>
  <c r="BF266" i="1"/>
  <c r="BF264" i="1"/>
  <c r="BF231" i="1"/>
  <c r="BG266" i="1"/>
  <c r="BG268" i="1"/>
  <c r="BG264" i="1"/>
  <c r="BE131" i="1"/>
  <c r="BE134" i="1" s="1"/>
  <c r="BI209" i="1"/>
  <c r="BI233" i="1"/>
  <c r="BH229" i="1"/>
  <c r="BH230" i="1" s="1"/>
  <c r="BG57" i="1" l="1"/>
  <c r="BF129" i="1"/>
  <c r="BH180" i="1"/>
  <c r="BH181" i="1" s="1"/>
  <c r="BG129" i="1"/>
  <c r="BG130" i="1" s="1"/>
  <c r="BG133" i="1" s="1"/>
  <c r="BH57" i="1"/>
  <c r="BL217" i="1"/>
  <c r="BL218" i="1" s="1"/>
  <c r="BL219" i="1" s="1"/>
  <c r="BL233" i="1" s="1"/>
  <c r="BK217" i="1"/>
  <c r="BK218" i="1" s="1"/>
  <c r="BK219" i="1" s="1"/>
  <c r="BF130" i="1" l="1"/>
  <c r="BF133" i="1" s="1"/>
  <c r="BF131" i="1"/>
  <c r="BF134" i="1" s="1"/>
  <c r="BH188" i="1"/>
  <c r="BH185" i="1"/>
  <c r="BH186" i="1" s="1"/>
  <c r="BH268" i="1"/>
  <c r="BI229" i="1"/>
  <c r="BI230" i="1" s="1"/>
  <c r="BI231" i="1" s="1"/>
  <c r="BH266" i="1"/>
  <c r="BH264" i="1"/>
  <c r="BH231" i="1"/>
  <c r="BI268" i="1"/>
  <c r="BI266" i="1"/>
  <c r="BI264" i="1"/>
  <c r="BG131" i="1"/>
  <c r="BG134" i="1" s="1"/>
  <c r="BK209" i="1"/>
  <c r="BK233" i="1"/>
  <c r="BJ229" i="1"/>
  <c r="BJ230" i="1" s="1"/>
  <c r="BJ180" i="1" l="1"/>
  <c r="BJ181" i="1" s="1"/>
  <c r="BH129" i="1"/>
  <c r="BI57" i="1"/>
  <c r="BI129" i="1"/>
  <c r="BI131" i="1" s="1"/>
  <c r="BI134" i="1" s="1"/>
  <c r="BJ57" i="1"/>
  <c r="BN217" i="1"/>
  <c r="BN218" i="1" s="1"/>
  <c r="BN219" i="1" s="1"/>
  <c r="BN233" i="1" s="1"/>
  <c r="BM217" i="1"/>
  <c r="BM218" i="1" s="1"/>
  <c r="BM219" i="1" s="1"/>
  <c r="BH130" i="1" l="1"/>
  <c r="BH133" i="1" s="1"/>
  <c r="BH131" i="1"/>
  <c r="BH134" i="1" s="1"/>
  <c r="BJ185" i="1"/>
  <c r="BJ186" i="1" s="1"/>
  <c r="BJ188" i="1"/>
  <c r="BK229" i="1"/>
  <c r="BK230" i="1" s="1"/>
  <c r="BK231" i="1" s="1"/>
  <c r="BJ266" i="1"/>
  <c r="BJ268" i="1"/>
  <c r="BJ264" i="1"/>
  <c r="BJ231" i="1"/>
  <c r="BK268" i="1"/>
  <c r="BK266" i="1"/>
  <c r="BK264" i="1"/>
  <c r="BI130" i="1"/>
  <c r="BI133" i="1" s="1"/>
  <c r="BM209" i="1"/>
  <c r="BM233" i="1"/>
  <c r="BL229" i="1"/>
  <c r="BL230" i="1" s="1"/>
  <c r="BJ129" i="1" l="1"/>
  <c r="BK57" i="1"/>
  <c r="BL180" i="1"/>
  <c r="BL181" i="1" s="1"/>
  <c r="BK129" i="1"/>
  <c r="BK131" i="1" s="1"/>
  <c r="BK134" i="1" s="1"/>
  <c r="BL57" i="1"/>
  <c r="BP217" i="1"/>
  <c r="BP218" i="1" s="1"/>
  <c r="BP219" i="1" s="1"/>
  <c r="BP233" i="1" s="1"/>
  <c r="BO217" i="1"/>
  <c r="BO218" i="1" s="1"/>
  <c r="BO219" i="1" s="1"/>
  <c r="BJ131" i="1" l="1"/>
  <c r="BJ134" i="1" s="1"/>
  <c r="BJ130" i="1"/>
  <c r="BJ133" i="1" s="1"/>
  <c r="BL188" i="1"/>
  <c r="BL185" i="1"/>
  <c r="BL186" i="1" s="1"/>
  <c r="BM229" i="1"/>
  <c r="BM230" i="1" s="1"/>
  <c r="BM231" i="1" s="1"/>
  <c r="BL266" i="1"/>
  <c r="BL268" i="1"/>
  <c r="BL264" i="1"/>
  <c r="BL231" i="1"/>
  <c r="BM266" i="1"/>
  <c r="BM268" i="1"/>
  <c r="BM264" i="1"/>
  <c r="BK130" i="1"/>
  <c r="BK133" i="1" s="1"/>
  <c r="BO209" i="1"/>
  <c r="BO233" i="1"/>
  <c r="BN229" i="1"/>
  <c r="BN230" i="1" s="1"/>
  <c r="BN180" i="1" l="1"/>
  <c r="BN181" i="1" s="1"/>
  <c r="BL129" i="1"/>
  <c r="BM57" i="1"/>
  <c r="BM129" i="1"/>
  <c r="BM130" i="1" s="1"/>
  <c r="BM133" i="1" s="1"/>
  <c r="BN57" i="1"/>
  <c r="BR217" i="1"/>
  <c r="BR218" i="1" s="1"/>
  <c r="BR219" i="1" s="1"/>
  <c r="BR233" i="1" s="1"/>
  <c r="BQ217" i="1"/>
  <c r="BQ218" i="1" s="1"/>
  <c r="BQ219" i="1" s="1"/>
  <c r="BN185" i="1" l="1"/>
  <c r="BN186" i="1" s="1"/>
  <c r="BN188" i="1"/>
  <c r="BO229" i="1"/>
  <c r="BO230" i="1" s="1"/>
  <c r="BO231" i="1" s="1"/>
  <c r="BN264" i="1"/>
  <c r="BN268" i="1"/>
  <c r="BN266" i="1"/>
  <c r="BL130" i="1"/>
  <c r="BL133" i="1" s="1"/>
  <c r="BL131" i="1"/>
  <c r="BL134" i="1" s="1"/>
  <c r="BN231" i="1"/>
  <c r="BO266" i="1"/>
  <c r="BO268" i="1"/>
  <c r="BO264" i="1"/>
  <c r="BM131" i="1"/>
  <c r="BM134" i="1" s="1"/>
  <c r="BQ209" i="1"/>
  <c r="BQ233" i="1"/>
  <c r="BP229" i="1"/>
  <c r="BP230" i="1" s="1"/>
  <c r="BN129" i="1" l="1"/>
  <c r="BO57" i="1"/>
  <c r="BP180" i="1"/>
  <c r="BP181" i="1" s="1"/>
  <c r="BO129" i="1"/>
  <c r="BO130" i="1" s="1"/>
  <c r="BO133" i="1" s="1"/>
  <c r="BP57" i="1"/>
  <c r="BT217" i="1"/>
  <c r="BT218" i="1" s="1"/>
  <c r="BT219" i="1" s="1"/>
  <c r="BT233" i="1" s="1"/>
  <c r="BS217" i="1"/>
  <c r="BS218" i="1" s="1"/>
  <c r="BS219" i="1" s="1"/>
  <c r="BN131" i="1" l="1"/>
  <c r="BN134" i="1" s="1"/>
  <c r="BN130" i="1"/>
  <c r="BN133" i="1" s="1"/>
  <c r="BP185" i="1"/>
  <c r="BP186" i="1" s="1"/>
  <c r="BP188" i="1"/>
  <c r="BQ229" i="1"/>
  <c r="BQ230" i="1" s="1"/>
  <c r="BQ231" i="1" s="1"/>
  <c r="BP268" i="1"/>
  <c r="BP266" i="1"/>
  <c r="BP264" i="1"/>
  <c r="BP231" i="1"/>
  <c r="BQ268" i="1"/>
  <c r="BQ266" i="1"/>
  <c r="BQ264" i="1"/>
  <c r="BO131" i="1"/>
  <c r="BO134" i="1" s="1"/>
  <c r="BS209" i="1"/>
  <c r="BS233" i="1"/>
  <c r="BR229" i="1"/>
  <c r="BR230" i="1" s="1"/>
  <c r="BR180" i="1" l="1"/>
  <c r="BR181" i="1" s="1"/>
  <c r="BP129" i="1"/>
  <c r="BQ57" i="1"/>
  <c r="BQ129" i="1"/>
  <c r="BQ130" i="1" s="1"/>
  <c r="BQ133" i="1" s="1"/>
  <c r="BR57" i="1"/>
  <c r="BV217" i="1"/>
  <c r="BV218" i="1" s="1"/>
  <c r="BV219" i="1" s="1"/>
  <c r="BV233" i="1" s="1"/>
  <c r="BU217" i="1"/>
  <c r="BU218" i="1" s="1"/>
  <c r="BU219" i="1" s="1"/>
  <c r="BR185" i="1" l="1"/>
  <c r="BR186" i="1" s="1"/>
  <c r="BR188" i="1"/>
  <c r="BS229" i="1"/>
  <c r="BS230" i="1" s="1"/>
  <c r="BS231" i="1" s="1"/>
  <c r="BR264" i="1"/>
  <c r="BR266" i="1"/>
  <c r="BR268" i="1"/>
  <c r="BP131" i="1"/>
  <c r="BP134" i="1" s="1"/>
  <c r="BP130" i="1"/>
  <c r="BP133" i="1" s="1"/>
  <c r="BR231" i="1"/>
  <c r="BS268" i="1"/>
  <c r="BS266" i="1"/>
  <c r="BS264" i="1"/>
  <c r="BQ131" i="1"/>
  <c r="BQ134" i="1" s="1"/>
  <c r="BU209" i="1"/>
  <c r="BU233" i="1"/>
  <c r="BT229" i="1"/>
  <c r="BT230" i="1" s="1"/>
  <c r="BS57" i="1" l="1"/>
  <c r="BR129" i="1"/>
  <c r="BT180" i="1"/>
  <c r="BT181" i="1" s="1"/>
  <c r="BS129" i="1"/>
  <c r="BS131" i="1" s="1"/>
  <c r="BS134" i="1" s="1"/>
  <c r="BT57" i="1"/>
  <c r="BX217" i="1"/>
  <c r="BX218" i="1" s="1"/>
  <c r="BX219" i="1" s="1"/>
  <c r="BX233" i="1" s="1"/>
  <c r="BW217" i="1"/>
  <c r="BW218" i="1" s="1"/>
  <c r="BW219" i="1" s="1"/>
  <c r="BR131" i="1" l="1"/>
  <c r="BR134" i="1" s="1"/>
  <c r="BR130" i="1"/>
  <c r="BR133" i="1" s="1"/>
  <c r="BT185" i="1"/>
  <c r="BT186" i="1" s="1"/>
  <c r="BT188" i="1"/>
  <c r="BU229" i="1"/>
  <c r="BU230" i="1" s="1"/>
  <c r="BU231" i="1" s="1"/>
  <c r="BT266" i="1"/>
  <c r="BT268" i="1"/>
  <c r="BT264" i="1"/>
  <c r="BT231" i="1"/>
  <c r="BU266" i="1"/>
  <c r="BU268" i="1"/>
  <c r="BU264" i="1"/>
  <c r="BS130" i="1"/>
  <c r="BS133" i="1" s="1"/>
  <c r="BW209" i="1"/>
  <c r="BW233" i="1"/>
  <c r="BV229" i="1"/>
  <c r="BV230" i="1" s="1"/>
  <c r="BV180" i="1" l="1"/>
  <c r="BV181" i="1" s="1"/>
  <c r="BU57" i="1"/>
  <c r="BT129" i="1"/>
  <c r="BU129" i="1"/>
  <c r="BU131" i="1" s="1"/>
  <c r="BU134" i="1" s="1"/>
  <c r="BV57" i="1"/>
  <c r="BZ217" i="1"/>
  <c r="BZ218" i="1" s="1"/>
  <c r="BZ219" i="1" s="1"/>
  <c r="BZ233" i="1" s="1"/>
  <c r="BY217" i="1"/>
  <c r="BY218" i="1" s="1"/>
  <c r="BY219" i="1" s="1"/>
  <c r="BT130" i="1" l="1"/>
  <c r="BT133" i="1" s="1"/>
  <c r="BT131" i="1"/>
  <c r="BT134" i="1" s="1"/>
  <c r="BV185" i="1"/>
  <c r="BV186" i="1" s="1"/>
  <c r="BV188" i="1"/>
  <c r="BW229" i="1"/>
  <c r="BW230" i="1" s="1"/>
  <c r="BW231" i="1" s="1"/>
  <c r="BV268" i="1"/>
  <c r="BV264" i="1"/>
  <c r="BV266" i="1"/>
  <c r="BV231" i="1"/>
  <c r="BW266" i="1"/>
  <c r="BW268" i="1"/>
  <c r="BW264" i="1"/>
  <c r="BU130" i="1"/>
  <c r="BU133" i="1" s="1"/>
  <c r="BY209" i="1"/>
  <c r="BY233" i="1"/>
  <c r="BX229" i="1"/>
  <c r="BX230" i="1" s="1"/>
  <c r="BV129" i="1" l="1"/>
  <c r="BW57" i="1"/>
  <c r="BX180" i="1"/>
  <c r="BX181" i="1" s="1"/>
  <c r="BW129" i="1"/>
  <c r="BW131" i="1" s="1"/>
  <c r="BW134" i="1" s="1"/>
  <c r="BX57" i="1"/>
  <c r="BV130" i="1" l="1"/>
  <c r="BV133" i="1" s="1"/>
  <c r="BV131" i="1"/>
  <c r="BV134" i="1" s="1"/>
  <c r="BX185" i="1"/>
  <c r="BX186" i="1" s="1"/>
  <c r="BX188" i="1"/>
  <c r="BY229" i="1"/>
  <c r="BY230" i="1" s="1"/>
  <c r="BY231" i="1" s="1"/>
  <c r="BX266" i="1"/>
  <c r="BX268" i="1"/>
  <c r="BX264" i="1"/>
  <c r="BX231" i="1"/>
  <c r="BY268" i="1"/>
  <c r="BY266" i="1"/>
  <c r="BY264" i="1"/>
  <c r="BW130" i="1"/>
  <c r="BW133" i="1" s="1"/>
  <c r="BZ229" i="1"/>
  <c r="BZ230" i="1" s="1"/>
  <c r="BY57" i="1" l="1"/>
  <c r="BX129" i="1"/>
  <c r="BZ180" i="1"/>
  <c r="BZ181" i="1" s="1"/>
  <c r="BZ231" i="1" s="1"/>
  <c r="BY129" i="1"/>
  <c r="BY130" i="1" s="1"/>
  <c r="BY133" i="1" s="1"/>
  <c r="BZ57" i="1"/>
  <c r="BX130" i="1" l="1"/>
  <c r="BX133" i="1" s="1"/>
  <c r="BX131" i="1"/>
  <c r="BX134" i="1" s="1"/>
  <c r="BZ188" i="1"/>
  <c r="BZ185" i="1"/>
  <c r="BZ186" i="1" s="1"/>
  <c r="BZ268" i="1"/>
  <c r="CA229" i="1"/>
  <c r="BZ266" i="1"/>
  <c r="BZ264" i="1"/>
  <c r="BY131" i="1"/>
  <c r="BY134" i="1" s="1"/>
  <c r="CB217" i="1"/>
  <c r="CA217" i="1"/>
  <c r="BZ129" i="1" l="1"/>
  <c r="CA57" i="1"/>
  <c r="CA216" i="1"/>
  <c r="CA218" i="1" s="1"/>
  <c r="CA219" i="1" s="1"/>
  <c r="CA233" i="1" s="1"/>
  <c r="CB216" i="1"/>
  <c r="CB218" i="1" s="1"/>
  <c r="CB219" i="1" s="1"/>
  <c r="CB233" i="1" s="1"/>
  <c r="BZ131" i="1" l="1"/>
  <c r="BZ134" i="1" s="1"/>
  <c r="BZ130" i="1"/>
  <c r="BZ133" i="1" s="1"/>
  <c r="CA209" i="1"/>
  <c r="CA230" i="1"/>
  <c r="CA268" i="1" l="1"/>
  <c r="CA266" i="1"/>
  <c r="CA264" i="1"/>
  <c r="CB229" i="1"/>
  <c r="CB230" i="1" s="1"/>
  <c r="CA231" i="1"/>
  <c r="CB180" i="1" l="1"/>
  <c r="CB181" i="1" s="1"/>
  <c r="CA129" i="1"/>
  <c r="CA130" i="1" s="1"/>
  <c r="CA133" i="1" s="1"/>
  <c r="CB57" i="1"/>
  <c r="CB188" i="1" l="1"/>
  <c r="CB185" i="1"/>
  <c r="CB186" i="1" s="1"/>
  <c r="CC229" i="1"/>
  <c r="CB268" i="1"/>
  <c r="CB266" i="1"/>
  <c r="CB264" i="1"/>
  <c r="CB231" i="1"/>
  <c r="CA131" i="1"/>
  <c r="CA134" i="1" s="1"/>
  <c r="CB129" i="1" l="1"/>
  <c r="CC57" i="1"/>
  <c r="CE109" i="1"/>
  <c r="CD109" i="1"/>
  <c r="CC109" i="1"/>
  <c r="CB109" i="1"/>
  <c r="Y109" i="1"/>
  <c r="CB130" i="1" l="1"/>
  <c r="CB133" i="1" s="1"/>
  <c r="CB131" i="1"/>
  <c r="CB134" i="1" s="1"/>
  <c r="AA229" i="1"/>
  <c r="CJ217" i="1" l="1"/>
  <c r="CI217" i="1"/>
  <c r="CJ216" i="1" l="1"/>
  <c r="CJ218" i="1" s="1"/>
  <c r="CJ219" i="1" s="1"/>
  <c r="CI216" i="1"/>
  <c r="CI218" i="1" s="1"/>
  <c r="CI219" i="1" s="1"/>
  <c r="CI233" i="1" s="1"/>
  <c r="CI230" i="1" l="1"/>
  <c r="CI268" i="1" l="1"/>
  <c r="CI266" i="1"/>
  <c r="CI264" i="1"/>
  <c r="CI231" i="1"/>
  <c r="CJ229" i="1"/>
  <c r="CI129" i="1" l="1"/>
  <c r="CI131" i="1" s="1"/>
  <c r="CI134" i="1" s="1"/>
  <c r="CJ57" i="1"/>
  <c r="CI130" i="1" l="1"/>
  <c r="CI133" i="1" s="1"/>
  <c r="AA28" i="1" l="1"/>
  <c r="CK251" i="1" l="1"/>
  <c r="CL251" i="1"/>
  <c r="CN30" i="1"/>
  <c r="CM30" i="1"/>
  <c r="CN251" i="1"/>
  <c r="CM251" i="1"/>
  <c r="CM118" i="1"/>
  <c r="CM119" i="1" s="1"/>
  <c r="CM122" i="1" s="1"/>
  <c r="CN118" i="1"/>
  <c r="CN119" i="1" s="1"/>
  <c r="CN122" i="1" s="1"/>
  <c r="CM166" i="1" l="1"/>
  <c r="CN32" i="1"/>
  <c r="CM32" i="1"/>
  <c r="CM31" i="1"/>
  <c r="CN46" i="1"/>
  <c r="CN42" i="1" s="1"/>
  <c r="CN31" i="1"/>
  <c r="CN165" i="1"/>
  <c r="CN36" i="1"/>
  <c r="CN35" i="1" s="1"/>
  <c r="CN164" i="1"/>
  <c r="CN173" i="1"/>
  <c r="CM46" i="1"/>
  <c r="CM42" i="1" s="1"/>
  <c r="CM173" i="1"/>
  <c r="CN172" i="1"/>
  <c r="CN166" i="1"/>
  <c r="CM165" i="1"/>
  <c r="CM36" i="1"/>
  <c r="CM35" i="1" s="1"/>
  <c r="CM172" i="1"/>
  <c r="CM164" i="1"/>
  <c r="AA164" i="1"/>
  <c r="AA173" i="1"/>
  <c r="AA165" i="1"/>
  <c r="CM245" i="1"/>
  <c r="AA42" i="1"/>
  <c r="AA20" i="1" s="1"/>
  <c r="AA172" i="1"/>
  <c r="AA35" i="1"/>
  <c r="CK245" i="1"/>
  <c r="AA166" i="1"/>
  <c r="AA30" i="1"/>
  <c r="CL245" i="1"/>
  <c r="CN245" i="1"/>
  <c r="AA78" i="1" l="1"/>
  <c r="AA17" i="1"/>
  <c r="CM176" i="1"/>
  <c r="AA200" i="1"/>
  <c r="AA203" i="1"/>
  <c r="CN48" i="1"/>
  <c r="CN50" i="1" s="1"/>
  <c r="CN38" i="1"/>
  <c r="CO30" i="1"/>
  <c r="AB28" i="1"/>
  <c r="CK217" i="1"/>
  <c r="CN168" i="1"/>
  <c r="CM168" i="1"/>
  <c r="CN176" i="1"/>
  <c r="CR30" i="1"/>
  <c r="CM38" i="1"/>
  <c r="CR251" i="1"/>
  <c r="CQ30" i="1"/>
  <c r="CQ251" i="1"/>
  <c r="CM48" i="1"/>
  <c r="CR118" i="1"/>
  <c r="CR119" i="1" s="1"/>
  <c r="CR122" i="1" s="1"/>
  <c r="CN39" i="1"/>
  <c r="CO118" i="1"/>
  <c r="CO119" i="1" s="1"/>
  <c r="CO122" i="1" s="1"/>
  <c r="CO251" i="1"/>
  <c r="AA118" i="1"/>
  <c r="AA119" i="1" s="1"/>
  <c r="AA122" i="1" s="1"/>
  <c r="AA208" i="1"/>
  <c r="CK216" i="1"/>
  <c r="AA36" i="1"/>
  <c r="AA46" i="1"/>
  <c r="AA47" i="1" s="1"/>
  <c r="CM39" i="1"/>
  <c r="CP251" i="1"/>
  <c r="CP30" i="1"/>
  <c r="CQ118" i="1"/>
  <c r="CQ119" i="1" s="1"/>
  <c r="CQ122" i="1" s="1"/>
  <c r="CP118" i="1"/>
  <c r="CP119" i="1" s="1"/>
  <c r="CP122" i="1" s="1"/>
  <c r="AA176" i="1"/>
  <c r="AA31" i="1"/>
  <c r="CN49" i="1" l="1"/>
  <c r="CN252" i="1"/>
  <c r="CN253" i="1" s="1"/>
  <c r="CR165" i="1"/>
  <c r="CR31" i="1"/>
  <c r="AA79" i="1"/>
  <c r="AA19" i="1"/>
  <c r="AA21" i="1" s="1"/>
  <c r="AA23" i="1" s="1"/>
  <c r="CO245" i="1"/>
  <c r="CP32" i="1"/>
  <c r="CO31" i="1"/>
  <c r="CO32" i="1"/>
  <c r="CQ32" i="1"/>
  <c r="CP31" i="1"/>
  <c r="CR32" i="1"/>
  <c r="CQ31" i="1"/>
  <c r="CM177" i="1"/>
  <c r="CO165" i="1"/>
  <c r="AB165" i="1" s="1"/>
  <c r="CO164" i="1"/>
  <c r="AB164" i="1" s="1"/>
  <c r="AC28" i="1"/>
  <c r="CO166" i="1"/>
  <c r="AB166" i="1" s="1"/>
  <c r="CO172" i="1"/>
  <c r="AB172" i="1" s="1"/>
  <c r="CO46" i="1"/>
  <c r="CO42" i="1" s="1"/>
  <c r="AB42" i="1" s="1"/>
  <c r="AB20" i="1" s="1"/>
  <c r="CO173" i="1"/>
  <c r="AB173" i="1" s="1"/>
  <c r="CO36" i="1"/>
  <c r="CN270" i="1"/>
  <c r="CN271" i="1" s="1"/>
  <c r="CN177" i="1"/>
  <c r="CN217" i="1"/>
  <c r="CN216" i="1"/>
  <c r="CR46" i="1"/>
  <c r="CR42" i="1" s="1"/>
  <c r="CR164" i="1"/>
  <c r="CR166" i="1"/>
  <c r="CR36" i="1"/>
  <c r="CR173" i="1"/>
  <c r="CR172" i="1"/>
  <c r="CK218" i="1"/>
  <c r="CQ46" i="1"/>
  <c r="CQ42" i="1" s="1"/>
  <c r="CQ166" i="1"/>
  <c r="CQ165" i="1"/>
  <c r="CQ172" i="1"/>
  <c r="CQ173" i="1"/>
  <c r="CQ164" i="1"/>
  <c r="CN51" i="1"/>
  <c r="CM50" i="1"/>
  <c r="CM252" i="1"/>
  <c r="CM253" i="1" s="1"/>
  <c r="CM49" i="1"/>
  <c r="CQ36" i="1"/>
  <c r="CQ35" i="1" s="1"/>
  <c r="CK270" i="1"/>
  <c r="CK271" i="1" s="1"/>
  <c r="AA38" i="1"/>
  <c r="CL270" i="1"/>
  <c r="CL271" i="1" s="1"/>
  <c r="CS118" i="1"/>
  <c r="CS119" i="1" s="1"/>
  <c r="CS122" i="1" s="1"/>
  <c r="CM270" i="1"/>
  <c r="CM271" i="1" s="1"/>
  <c r="CK252" i="1"/>
  <c r="CK253" i="1" s="1"/>
  <c r="CK246" i="1"/>
  <c r="CN246" i="1"/>
  <c r="CL246" i="1"/>
  <c r="CR245" i="1"/>
  <c r="CP245" i="1"/>
  <c r="AB30" i="1"/>
  <c r="CM132" i="1"/>
  <c r="CN132" i="1"/>
  <c r="AA48" i="1"/>
  <c r="AA37" i="1"/>
  <c r="CM217" i="1"/>
  <c r="CL217" i="1"/>
  <c r="CP165" i="1"/>
  <c r="AB200" i="1" s="1"/>
  <c r="CP164" i="1"/>
  <c r="CP172" i="1"/>
  <c r="CP36" i="1"/>
  <c r="CP35" i="1" s="1"/>
  <c r="CP173" i="1"/>
  <c r="CP166" i="1"/>
  <c r="CP46" i="1"/>
  <c r="CP42" i="1" s="1"/>
  <c r="CU30" i="1"/>
  <c r="CU31" i="1" s="1"/>
  <c r="CU251" i="1"/>
  <c r="CL252" i="1"/>
  <c r="CL253" i="1" s="1"/>
  <c r="CM216" i="1"/>
  <c r="CL216" i="1"/>
  <c r="AA217" i="1"/>
  <c r="AA205" i="1"/>
  <c r="AA204" i="1" s="1"/>
  <c r="AA199" i="1"/>
  <c r="AA168" i="1"/>
  <c r="CQ245" i="1"/>
  <c r="CM246" i="1"/>
  <c r="CM51" i="1"/>
  <c r="AB78" i="1" l="1"/>
  <c r="AB17" i="1"/>
  <c r="AA18" i="1"/>
  <c r="CO168" i="1"/>
  <c r="CO216" i="1" s="1"/>
  <c r="CS251" i="1"/>
  <c r="CS30" i="1"/>
  <c r="CO48" i="1"/>
  <c r="CO132" i="1" s="1"/>
  <c r="CO35" i="1"/>
  <c r="AB35" i="1" s="1"/>
  <c r="AB36" i="1" s="1"/>
  <c r="AB203" i="1"/>
  <c r="CO176" i="1"/>
  <c r="CO39" i="1"/>
  <c r="CO38" i="1"/>
  <c r="CN218" i="1"/>
  <c r="AA270" i="1"/>
  <c r="AA271" i="1" s="1"/>
  <c r="AA80" i="1"/>
  <c r="CR39" i="1"/>
  <c r="CR176" i="1"/>
  <c r="CR48" i="1"/>
  <c r="CR252" i="1" s="1"/>
  <c r="CR253" i="1" s="1"/>
  <c r="CR35" i="1"/>
  <c r="CR168" i="1"/>
  <c r="CR38" i="1"/>
  <c r="CQ48" i="1"/>
  <c r="CQ50" i="1" s="1"/>
  <c r="CV30" i="1"/>
  <c r="CV32" i="1" s="1"/>
  <c r="CQ38" i="1"/>
  <c r="CV251" i="1"/>
  <c r="CQ176" i="1"/>
  <c r="CQ168" i="1"/>
  <c r="AB118" i="1"/>
  <c r="AB119" i="1" s="1"/>
  <c r="AB122" i="1" s="1"/>
  <c r="AB208" i="1"/>
  <c r="AA50" i="1"/>
  <c r="CL218" i="1"/>
  <c r="CQ39" i="1"/>
  <c r="CM218" i="1"/>
  <c r="AA132" i="1"/>
  <c r="AA49" i="1"/>
  <c r="CV118" i="1"/>
  <c r="CV119" i="1" s="1"/>
  <c r="CV122" i="1" s="1"/>
  <c r="AB31" i="1"/>
  <c r="CP168" i="1"/>
  <c r="AD28" i="1"/>
  <c r="AA216" i="1"/>
  <c r="AA218" i="1" s="1"/>
  <c r="AA202" i="1"/>
  <c r="AA177" i="1"/>
  <c r="AB46" i="1"/>
  <c r="AB47" i="1" s="1"/>
  <c r="CT118" i="1"/>
  <c r="CT119" i="1" s="1"/>
  <c r="CT122" i="1" s="1"/>
  <c r="CU46" i="1"/>
  <c r="CU42" i="1" s="1"/>
  <c r="CU164" i="1"/>
  <c r="CU36" i="1"/>
  <c r="CU35" i="1" s="1"/>
  <c r="CU172" i="1"/>
  <c r="CU165" i="1"/>
  <c r="CU173" i="1"/>
  <c r="CU166" i="1"/>
  <c r="CP38" i="1"/>
  <c r="CP48" i="1"/>
  <c r="CP39" i="1"/>
  <c r="CT251" i="1"/>
  <c r="CT30" i="1"/>
  <c r="AB176" i="1"/>
  <c r="CP176" i="1"/>
  <c r="CU118" i="1"/>
  <c r="CU119" i="1" s="1"/>
  <c r="CU122" i="1" s="1"/>
  <c r="CS245" i="1" l="1"/>
  <c r="CT32" i="1"/>
  <c r="CS32" i="1"/>
  <c r="CS31" i="1"/>
  <c r="CO177" i="1"/>
  <c r="AB79" i="1"/>
  <c r="AB19" i="1"/>
  <c r="AB21" i="1" s="1"/>
  <c r="AB23" i="1" s="1"/>
  <c r="CS172" i="1"/>
  <c r="AC172" i="1" s="1"/>
  <c r="CU32" i="1"/>
  <c r="CT31" i="1"/>
  <c r="CV36" i="1"/>
  <c r="CV35" i="1" s="1"/>
  <c r="CV31" i="1"/>
  <c r="CO246" i="1"/>
  <c r="CS166" i="1"/>
  <c r="AC166" i="1" s="1"/>
  <c r="CS173" i="1"/>
  <c r="AC173" i="1" s="1"/>
  <c r="CO50" i="1"/>
  <c r="CS165" i="1"/>
  <c r="AC165" i="1" s="1"/>
  <c r="CO217" i="1"/>
  <c r="CO218" i="1" s="1"/>
  <c r="CO49" i="1"/>
  <c r="CO51" i="1"/>
  <c r="CS36" i="1"/>
  <c r="CS35" i="1" s="1"/>
  <c r="AC35" i="1" s="1"/>
  <c r="CO270" i="1"/>
  <c r="CO271" i="1" s="1"/>
  <c r="CO252" i="1"/>
  <c r="CO253" i="1" s="1"/>
  <c r="CS46" i="1"/>
  <c r="CS42" i="1" s="1"/>
  <c r="AC42" i="1" s="1"/>
  <c r="AC20" i="1" s="1"/>
  <c r="CS164" i="1"/>
  <c r="AC164" i="1" s="1"/>
  <c r="CQ49" i="1"/>
  <c r="CR50" i="1"/>
  <c r="CV166" i="1"/>
  <c r="CR217" i="1"/>
  <c r="CR216" i="1"/>
  <c r="CZ251" i="1"/>
  <c r="CR49" i="1"/>
  <c r="CV173" i="1"/>
  <c r="CV164" i="1"/>
  <c r="CR177" i="1"/>
  <c r="CQ217" i="1"/>
  <c r="CR270" i="1"/>
  <c r="CR271" i="1" s="1"/>
  <c r="CR51" i="1"/>
  <c r="CQ252" i="1"/>
  <c r="CQ253" i="1" s="1"/>
  <c r="CQ177" i="1"/>
  <c r="CV46" i="1"/>
  <c r="CV42" i="1" s="1"/>
  <c r="CV172" i="1"/>
  <c r="CV165" i="1"/>
  <c r="AB38" i="1"/>
  <c r="CP132" i="1"/>
  <c r="CP270" i="1"/>
  <c r="CP271" i="1" s="1"/>
  <c r="CQ270" i="1"/>
  <c r="CQ271" i="1" s="1"/>
  <c r="CV245" i="1"/>
  <c r="CP217" i="1"/>
  <c r="CP252" i="1"/>
  <c r="CP253" i="1" s="1"/>
  <c r="CP50" i="1"/>
  <c r="CP51" i="1"/>
  <c r="CP49" i="1"/>
  <c r="CT245" i="1"/>
  <c r="CP246" i="1"/>
  <c r="CU245" i="1"/>
  <c r="CR246" i="1"/>
  <c r="CQ246" i="1"/>
  <c r="AC30" i="1"/>
  <c r="CW251" i="1"/>
  <c r="CW30" i="1"/>
  <c r="CW31" i="1" s="1"/>
  <c r="CQ132" i="1"/>
  <c r="CU176" i="1"/>
  <c r="CW118" i="1"/>
  <c r="CW119" i="1" s="1"/>
  <c r="CW122" i="1" s="1"/>
  <c r="CU48" i="1"/>
  <c r="CU38" i="1"/>
  <c r="CT164" i="1"/>
  <c r="CT173" i="1"/>
  <c r="CT36" i="1"/>
  <c r="CT35" i="1" s="1"/>
  <c r="CT165" i="1"/>
  <c r="AC200" i="1" s="1"/>
  <c r="CT172" i="1"/>
  <c r="CT46" i="1"/>
  <c r="CT42" i="1" s="1"/>
  <c r="CT166" i="1"/>
  <c r="AB37" i="1"/>
  <c r="AB48" i="1"/>
  <c r="CU168" i="1"/>
  <c r="CQ51" i="1"/>
  <c r="AA201" i="1"/>
  <c r="AA206" i="1"/>
  <c r="AA209" i="1" s="1"/>
  <c r="AA210" i="1" s="1"/>
  <c r="CQ216" i="1"/>
  <c r="CP177" i="1"/>
  <c r="CP216" i="1"/>
  <c r="CY30" i="1"/>
  <c r="CY251" i="1"/>
  <c r="AB205" i="1"/>
  <c r="AB204" i="1" s="1"/>
  <c r="AB217" i="1"/>
  <c r="CR132" i="1"/>
  <c r="AB168" i="1"/>
  <c r="AB199" i="1"/>
  <c r="AC203" i="1" l="1"/>
  <c r="CW32" i="1"/>
  <c r="CS176" i="1"/>
  <c r="CS217" i="1" s="1"/>
  <c r="CY31" i="1"/>
  <c r="CV39" i="1"/>
  <c r="AB18" i="1"/>
  <c r="CW245" i="1"/>
  <c r="CV38" i="1"/>
  <c r="AC78" i="1"/>
  <c r="AC17" i="1"/>
  <c r="CS39" i="1"/>
  <c r="CR218" i="1"/>
  <c r="CS38" i="1"/>
  <c r="CS48" i="1"/>
  <c r="CS270" i="1" s="1"/>
  <c r="CS271" i="1" s="1"/>
  <c r="CS168" i="1"/>
  <c r="CS177" i="1" s="1"/>
  <c r="CZ30" i="1"/>
  <c r="CV168" i="1"/>
  <c r="CV216" i="1" s="1"/>
  <c r="AB270" i="1"/>
  <c r="AB271" i="1" s="1"/>
  <c r="AB80" i="1"/>
  <c r="CQ218" i="1"/>
  <c r="CV176" i="1"/>
  <c r="CV217" i="1" s="1"/>
  <c r="CV48" i="1"/>
  <c r="CV270" i="1" s="1"/>
  <c r="CV271" i="1" s="1"/>
  <c r="CX118" i="1"/>
  <c r="CX119" i="1" s="1"/>
  <c r="CX122" i="1" s="1"/>
  <c r="CP218" i="1"/>
  <c r="AC118" i="1"/>
  <c r="AC119" i="1" s="1"/>
  <c r="AC122" i="1" s="1"/>
  <c r="AC208" i="1"/>
  <c r="AB50" i="1"/>
  <c r="CT168" i="1"/>
  <c r="CU49" i="1"/>
  <c r="CU50" i="1"/>
  <c r="CU252" i="1"/>
  <c r="CU253" i="1" s="1"/>
  <c r="CY118" i="1"/>
  <c r="CY119" i="1" s="1"/>
  <c r="CY122" i="1" s="1"/>
  <c r="AC46" i="1"/>
  <c r="AC47" i="1" s="1"/>
  <c r="AB177" i="1"/>
  <c r="AB202" i="1"/>
  <c r="AB216" i="1"/>
  <c r="AB218" i="1" s="1"/>
  <c r="AB132" i="1"/>
  <c r="AB49" i="1"/>
  <c r="CW36" i="1"/>
  <c r="CW35" i="1" s="1"/>
  <c r="AD35" i="1" s="1"/>
  <c r="CW172" i="1"/>
  <c r="AD172" i="1" s="1"/>
  <c r="CW164" i="1"/>
  <c r="AD164" i="1" s="1"/>
  <c r="CW166" i="1"/>
  <c r="AD166" i="1" s="1"/>
  <c r="CW165" i="1"/>
  <c r="AD165" i="1" s="1"/>
  <c r="CW173" i="1"/>
  <c r="AD173" i="1" s="1"/>
  <c r="AE28" i="1"/>
  <c r="CW46" i="1"/>
  <c r="CW42" i="1" s="1"/>
  <c r="AD42" i="1" s="1"/>
  <c r="AD20" i="1" s="1"/>
  <c r="CT176" i="1"/>
  <c r="AC176" i="1"/>
  <c r="CT39" i="1"/>
  <c r="CT38" i="1"/>
  <c r="CT48" i="1"/>
  <c r="AC31" i="1"/>
  <c r="AC36" i="1"/>
  <c r="CX251" i="1"/>
  <c r="CX30" i="1"/>
  <c r="CX32" i="1" s="1"/>
  <c r="CZ118" i="1"/>
  <c r="CZ119" i="1" s="1"/>
  <c r="CZ122" i="1" s="1"/>
  <c r="CY165" i="1"/>
  <c r="CY36" i="1"/>
  <c r="CY35" i="1" s="1"/>
  <c r="CY173" i="1"/>
  <c r="CY166" i="1"/>
  <c r="CY172" i="1"/>
  <c r="CY46" i="1"/>
  <c r="CY42" i="1" s="1"/>
  <c r="CY164" i="1"/>
  <c r="CU177" i="1"/>
  <c r="CU39" i="1"/>
  <c r="CS246" i="1" l="1"/>
  <c r="CS132" i="1"/>
  <c r="CZ164" i="1"/>
  <c r="CZ31" i="1"/>
  <c r="AC79" i="1"/>
  <c r="AC19" i="1"/>
  <c r="AC21" i="1" s="1"/>
  <c r="AC23" i="1" s="1"/>
  <c r="CS50" i="1"/>
  <c r="CY32" i="1"/>
  <c r="CX31" i="1"/>
  <c r="CZ46" i="1"/>
  <c r="CZ42" i="1" s="1"/>
  <c r="CS49" i="1"/>
  <c r="CS51" i="1"/>
  <c r="CZ32" i="1"/>
  <c r="CZ36" i="1"/>
  <c r="CZ35" i="1" s="1"/>
  <c r="CZ165" i="1"/>
  <c r="CZ172" i="1"/>
  <c r="CZ166" i="1"/>
  <c r="CT216" i="1"/>
  <c r="CZ245" i="1"/>
  <c r="CZ173" i="1"/>
  <c r="CS216" i="1"/>
  <c r="CS218" i="1" s="1"/>
  <c r="CS252" i="1"/>
  <c r="CS253" i="1" s="1"/>
  <c r="CV177" i="1"/>
  <c r="CV51" i="1"/>
  <c r="CV50" i="1"/>
  <c r="CV49" i="1"/>
  <c r="CV252" i="1"/>
  <c r="CV253" i="1" s="1"/>
  <c r="AC38" i="1"/>
  <c r="CU132" i="1"/>
  <c r="CT270" i="1"/>
  <c r="CT271" i="1" s="1"/>
  <c r="CU270" i="1"/>
  <c r="CU271" i="1" s="1"/>
  <c r="CV218" i="1"/>
  <c r="CW176" i="1"/>
  <c r="CW217" i="1" s="1"/>
  <c r="CX245" i="1"/>
  <c r="CY245" i="1"/>
  <c r="CU217" i="1"/>
  <c r="CT217" i="1"/>
  <c r="CV246" i="1"/>
  <c r="AC48" i="1"/>
  <c r="AC37" i="1"/>
  <c r="CW168" i="1"/>
  <c r="CT246" i="1"/>
  <c r="AC199" i="1"/>
  <c r="AC168" i="1"/>
  <c r="DA251" i="1"/>
  <c r="DA30" i="1"/>
  <c r="CT177" i="1"/>
  <c r="CU216" i="1"/>
  <c r="CY168" i="1"/>
  <c r="CY176" i="1"/>
  <c r="CX164" i="1"/>
  <c r="CX165" i="1"/>
  <c r="AD200" i="1" s="1"/>
  <c r="CX36" i="1"/>
  <c r="CY39" i="1" s="1"/>
  <c r="CX173" i="1"/>
  <c r="AD203" i="1" s="1"/>
  <c r="CX172" i="1"/>
  <c r="CX46" i="1"/>
  <c r="CX42" i="1" s="1"/>
  <c r="CX166" i="1"/>
  <c r="CT50" i="1"/>
  <c r="CT49" i="1"/>
  <c r="CT252" i="1"/>
  <c r="CT253" i="1" s="1"/>
  <c r="CT51" i="1"/>
  <c r="CW39" i="1"/>
  <c r="CW38" i="1"/>
  <c r="CW48" i="1"/>
  <c r="CU246" i="1"/>
  <c r="CU51" i="1"/>
  <c r="CY38" i="1"/>
  <c r="CY48" i="1"/>
  <c r="AD30" i="1"/>
  <c r="DA118" i="1"/>
  <c r="DA119" i="1" s="1"/>
  <c r="DA122" i="1" s="1"/>
  <c r="AC205" i="1"/>
  <c r="AC204" i="1" s="1"/>
  <c r="AC217" i="1"/>
  <c r="AB201" i="1"/>
  <c r="AB206" i="1"/>
  <c r="AB209" i="1" s="1"/>
  <c r="AB210" i="1" s="1"/>
  <c r="CT132" i="1"/>
  <c r="CV132" i="1"/>
  <c r="CZ176" i="1" l="1"/>
  <c r="DA245" i="1"/>
  <c r="DA31" i="1"/>
  <c r="AC18" i="1"/>
  <c r="AD78" i="1"/>
  <c r="AD17" i="1"/>
  <c r="DA32" i="1"/>
  <c r="CZ168" i="1"/>
  <c r="CZ177" i="1" s="1"/>
  <c r="CZ48" i="1"/>
  <c r="CZ270" i="1" s="1"/>
  <c r="CZ271" i="1" s="1"/>
  <c r="CZ39" i="1"/>
  <c r="CZ38" i="1"/>
  <c r="CT218" i="1"/>
  <c r="AC270" i="1"/>
  <c r="AC271" i="1" s="1"/>
  <c r="AC80" i="1"/>
  <c r="CZ217" i="1"/>
  <c r="CW246" i="1"/>
  <c r="CW270" i="1"/>
  <c r="CW271" i="1" s="1"/>
  <c r="AD118" i="1"/>
  <c r="AD119" i="1" s="1"/>
  <c r="AD122" i="1" s="1"/>
  <c r="AD208" i="1"/>
  <c r="CU218" i="1"/>
  <c r="AC50" i="1"/>
  <c r="AD46" i="1"/>
  <c r="AD47" i="1" s="1"/>
  <c r="AD176" i="1"/>
  <c r="CX176" i="1"/>
  <c r="CY50" i="1"/>
  <c r="CY49" i="1"/>
  <c r="CY252" i="1"/>
  <c r="CY253" i="1" s="1"/>
  <c r="CY177" i="1"/>
  <c r="DA172" i="1"/>
  <c r="AE172" i="1" s="1"/>
  <c r="DA173" i="1"/>
  <c r="AE173" i="1" s="1"/>
  <c r="DA165" i="1"/>
  <c r="AE165" i="1" s="1"/>
  <c r="DA36" i="1"/>
  <c r="DA164" i="1"/>
  <c r="AE164" i="1" s="1"/>
  <c r="DA46" i="1"/>
  <c r="DA42" i="1" s="1"/>
  <c r="AE42" i="1" s="1"/>
  <c r="AE20" i="1" s="1"/>
  <c r="DA166" i="1"/>
  <c r="AE166" i="1" s="1"/>
  <c r="CX39" i="1"/>
  <c r="CX48" i="1"/>
  <c r="CY270" i="1" s="1"/>
  <c r="CY271" i="1" s="1"/>
  <c r="CX38" i="1"/>
  <c r="AC202" i="1"/>
  <c r="AC177" i="1"/>
  <c r="AC216" i="1"/>
  <c r="AC218" i="1" s="1"/>
  <c r="AC49" i="1"/>
  <c r="AC132" i="1"/>
  <c r="CW177" i="1"/>
  <c r="CW216" i="1"/>
  <c r="CW218" i="1" s="1"/>
  <c r="CX168" i="1"/>
  <c r="AD31" i="1"/>
  <c r="CW50" i="1"/>
  <c r="CW252" i="1"/>
  <c r="CW253" i="1" s="1"/>
  <c r="CW51" i="1"/>
  <c r="CW49" i="1"/>
  <c r="CW132" i="1"/>
  <c r="CX35" i="1"/>
  <c r="CZ252" i="1" l="1"/>
  <c r="CZ253" i="1" s="1"/>
  <c r="CZ49" i="1"/>
  <c r="CZ216" i="1"/>
  <c r="CZ218" i="1" s="1"/>
  <c r="CZ51" i="1"/>
  <c r="CZ50" i="1"/>
  <c r="AD36" i="1"/>
  <c r="CZ132" i="1"/>
  <c r="CX270" i="1"/>
  <c r="CX271" i="1" s="1"/>
  <c r="CY246" i="1"/>
  <c r="CY51" i="1"/>
  <c r="CZ246" i="1"/>
  <c r="CX246" i="1"/>
  <c r="CY132" i="1"/>
  <c r="CX132" i="1"/>
  <c r="DA168" i="1"/>
  <c r="DA216" i="1" s="1"/>
  <c r="CY216" i="1"/>
  <c r="CX177" i="1"/>
  <c r="CY217" i="1"/>
  <c r="CX217" i="1"/>
  <c r="AD205" i="1"/>
  <c r="AD204" i="1" s="1"/>
  <c r="AD217" i="1"/>
  <c r="DA39" i="1"/>
  <c r="DA38" i="1"/>
  <c r="DA48" i="1"/>
  <c r="DA270" i="1" s="1"/>
  <c r="DA271" i="1" s="1"/>
  <c r="CX216" i="1"/>
  <c r="CX50" i="1"/>
  <c r="CX49" i="1"/>
  <c r="CX252" i="1"/>
  <c r="CX253" i="1" s="1"/>
  <c r="CX51" i="1"/>
  <c r="AD199" i="1"/>
  <c r="AD168" i="1"/>
  <c r="AC201" i="1"/>
  <c r="AC206" i="1"/>
  <c r="AC209" i="1" s="1"/>
  <c r="AC210" i="1" s="1"/>
  <c r="DA35" i="1"/>
  <c r="AE35" i="1" s="1"/>
  <c r="AE200" i="1"/>
  <c r="AE203" i="1"/>
  <c r="AE30" i="1"/>
  <c r="DA176" i="1"/>
  <c r="AD79" i="1" l="1"/>
  <c r="AD19" i="1"/>
  <c r="AE78" i="1"/>
  <c r="AE17" i="1"/>
  <c r="AD38" i="1"/>
  <c r="AD48" i="1"/>
  <c r="AD270" i="1" s="1"/>
  <c r="AD271" i="1" s="1"/>
  <c r="AD37" i="1"/>
  <c r="AE118" i="1"/>
  <c r="AE119" i="1" s="1"/>
  <c r="AE122" i="1" s="1"/>
  <c r="AE208" i="1"/>
  <c r="DA177" i="1"/>
  <c r="AE46" i="1"/>
  <c r="AE47" i="1" s="1"/>
  <c r="CX218" i="1"/>
  <c r="CY218" i="1"/>
  <c r="AD177" i="1"/>
  <c r="AD202" i="1"/>
  <c r="AD216" i="1"/>
  <c r="AD218" i="1" s="1"/>
  <c r="DA49" i="1"/>
  <c r="DA50" i="1"/>
  <c r="DA51" i="1"/>
  <c r="DA252" i="1"/>
  <c r="DA253" i="1" s="1"/>
  <c r="AE31" i="1"/>
  <c r="AE36" i="1"/>
  <c r="AE19" i="1" s="1"/>
  <c r="AE21" i="1" s="1"/>
  <c r="AE23" i="1" s="1"/>
  <c r="DA132" i="1"/>
  <c r="DA246" i="1"/>
  <c r="AE176" i="1"/>
  <c r="DA217" i="1"/>
  <c r="DA218" i="1" s="1"/>
  <c r="AE18" i="1" l="1"/>
  <c r="AD21" i="1"/>
  <c r="AD23" i="1" s="1"/>
  <c r="AD18" i="1"/>
  <c r="AD50" i="1"/>
  <c r="AD132" i="1"/>
  <c r="AD80" i="1"/>
  <c r="AD49" i="1"/>
  <c r="AE38" i="1"/>
  <c r="AE79" i="1"/>
  <c r="AE48" i="1"/>
  <c r="AE80" i="1" s="1"/>
  <c r="AE37" i="1"/>
  <c r="AD206" i="1"/>
  <c r="AD209" i="1" s="1"/>
  <c r="AD210" i="1" s="1"/>
  <c r="AD201" i="1"/>
  <c r="AE168" i="1"/>
  <c r="AE199" i="1"/>
  <c r="AE205" i="1"/>
  <c r="AE204" i="1" s="1"/>
  <c r="AE217" i="1"/>
  <c r="AE50" i="1" l="1"/>
  <c r="AE270" i="1"/>
  <c r="AE271" i="1" s="1"/>
  <c r="AE177" i="1"/>
  <c r="AE202" i="1"/>
  <c r="AE216" i="1"/>
  <c r="AE218" i="1" s="1"/>
  <c r="AE49" i="1"/>
  <c r="AE132" i="1"/>
  <c r="AE206" i="1" l="1"/>
  <c r="AE209" i="1" s="1"/>
  <c r="AE210" i="1" s="1"/>
  <c r="AE201" i="1"/>
  <c r="CG268" i="1" l="1"/>
  <c r="CE217" i="1"/>
  <c r="CF57" i="1"/>
  <c r="CE129" i="1"/>
  <c r="CE130" i="1" s="1"/>
  <c r="CE133" i="1" s="1"/>
  <c r="CE203" i="1"/>
  <c r="CE205" i="1"/>
  <c r="CE204" i="1" s="1"/>
  <c r="CF204" i="1" s="1"/>
  <c r="CE264" i="1"/>
  <c r="CE268" i="1"/>
  <c r="CE266" i="1"/>
  <c r="CE202" i="1"/>
  <c r="CE200" i="1"/>
  <c r="CE199" i="1"/>
  <c r="CE216" i="1"/>
  <c r="CF229" i="1"/>
  <c r="CE206" i="1" l="1"/>
  <c r="CI209" i="1" s="1"/>
  <c r="CF200" i="1"/>
  <c r="CF165" i="1" s="1"/>
  <c r="CE218" i="1"/>
  <c r="CE219" i="1" s="1"/>
  <c r="CE233" i="1" s="1"/>
  <c r="CF203" i="1"/>
  <c r="CF205" i="1" s="1"/>
  <c r="CF199" i="1"/>
  <c r="CE131" i="1"/>
  <c r="CE134" i="1" s="1"/>
  <c r="CE201" i="1"/>
  <c r="CF201" i="1" s="1"/>
  <c r="CE209" i="1" l="1"/>
  <c r="CF173" i="1"/>
  <c r="CF176" i="1" s="1"/>
  <c r="CF202" i="1"/>
  <c r="CF206" i="1" s="1"/>
  <c r="CF164" i="1"/>
  <c r="CF168" i="1" s="1"/>
  <c r="CF217" i="1" l="1"/>
  <c r="CG217" i="1"/>
  <c r="CF216" i="1"/>
  <c r="CF177" i="1"/>
  <c r="CG216" i="1"/>
  <c r="CF209" i="1"/>
  <c r="CJ209" i="1"/>
  <c r="CF218" i="1" l="1"/>
  <c r="CF219" i="1" s="1"/>
  <c r="CF233" i="1" s="1"/>
  <c r="CG218" i="1"/>
  <c r="CG219" i="1" s="1"/>
  <c r="CG233" i="1" s="1"/>
  <c r="CF230" i="1" l="1"/>
  <c r="CF180" i="1" s="1"/>
  <c r="CF181" i="1" s="1"/>
  <c r="CF185" i="1" s="1"/>
  <c r="CF186" i="1" s="1"/>
  <c r="CF231" i="1" l="1"/>
  <c r="CF264" i="1"/>
  <c r="CF188" i="1"/>
  <c r="CG229" i="1"/>
  <c r="CG230" i="1" s="1"/>
  <c r="CG231" i="1" s="1"/>
  <c r="CF268" i="1"/>
  <c r="CF266" i="1"/>
  <c r="CG57" i="1"/>
  <c r="CF129" i="1"/>
  <c r="CF131" i="1" l="1"/>
  <c r="CF134" i="1" s="1"/>
  <c r="CF130" i="1"/>
  <c r="CF133" i="1" s="1"/>
  <c r="CD57" i="1" l="1"/>
  <c r="CD229" i="1"/>
  <c r="CC209" i="1"/>
  <c r="CG209" i="1"/>
  <c r="CD216" i="1"/>
  <c r="CD217" i="1"/>
  <c r="CC217" i="1"/>
  <c r="CC129" i="1"/>
  <c r="CC130" i="1" s="1"/>
  <c r="CC133" i="1" s="1"/>
  <c r="CC268" i="1"/>
  <c r="CC264" i="1"/>
  <c r="CC216" i="1"/>
  <c r="CC266" i="1"/>
  <c r="CD218" i="1" l="1"/>
  <c r="CD219" i="1" s="1"/>
  <c r="CD230" i="1" s="1"/>
  <c r="CC218" i="1"/>
  <c r="CC219" i="1" s="1"/>
  <c r="CC230" i="1" s="1"/>
  <c r="CC231" i="1" s="1"/>
  <c r="CC131" i="1"/>
  <c r="CC134" i="1" s="1"/>
  <c r="CD233" i="1" l="1"/>
  <c r="CC233" i="1"/>
  <c r="CD180" i="1"/>
  <c r="CD181" i="1" s="1"/>
  <c r="CD231" i="1" s="1"/>
  <c r="CD185" i="1" l="1"/>
  <c r="CD186" i="1" s="1"/>
  <c r="CD188" i="1"/>
  <c r="CE229" i="1"/>
  <c r="CE230" i="1" s="1"/>
  <c r="CE231" i="1" s="1"/>
  <c r="CD264" i="1"/>
  <c r="CD268" i="1"/>
  <c r="CD266" i="1"/>
  <c r="CD129" i="1" l="1"/>
  <c r="CE57" i="1"/>
  <c r="CD130" i="1" l="1"/>
  <c r="CD133" i="1" s="1"/>
  <c r="CD131" i="1"/>
  <c r="CD134" i="1" s="1"/>
  <c r="CJ158" i="1" l="1"/>
  <c r="AA152" i="1" l="1"/>
  <c r="AA52" i="1"/>
  <c r="CJ223" i="1"/>
  <c r="CJ221" i="1" s="1"/>
  <c r="CK214" i="1"/>
  <c r="CK273" i="1"/>
  <c r="CJ230" i="1" l="1"/>
  <c r="CJ233" i="1"/>
  <c r="CJ180" i="1" l="1"/>
  <c r="CJ181" i="1" s="1"/>
  <c r="CJ185" i="1" l="1"/>
  <c r="CJ186" i="1" s="1"/>
  <c r="CJ268" i="1"/>
  <c r="CJ188" i="1"/>
  <c r="CK57" i="1" s="1"/>
  <c r="CJ264" i="1"/>
  <c r="CK229" i="1"/>
  <c r="CJ266" i="1"/>
  <c r="CJ231" i="1"/>
  <c r="CJ129" i="1" l="1"/>
  <c r="AA56" i="1"/>
  <c r="CJ130" i="1" l="1"/>
  <c r="CJ133" i="1" s="1"/>
  <c r="CJ131" i="1"/>
  <c r="CJ134" i="1" s="1"/>
  <c r="CK272" i="1"/>
  <c r="CK254" i="1" l="1"/>
  <c r="AA59" i="1"/>
  <c r="CK247" i="1"/>
  <c r="CK265" i="1" l="1"/>
  <c r="CK213" i="1" l="1"/>
  <c r="CK215" i="1" s="1"/>
  <c r="CK219" i="1" s="1"/>
  <c r="AA139" i="1"/>
  <c r="CK74" i="1" l="1"/>
  <c r="CK112" i="1"/>
  <c r="CK227" i="1"/>
  <c r="CK225" i="1" s="1"/>
  <c r="CK75" i="1"/>
  <c r="AA99" i="1"/>
  <c r="AA98" i="1"/>
  <c r="CG109" i="1"/>
  <c r="CK116" i="1" l="1"/>
  <c r="CK114" i="1"/>
  <c r="CK115" i="1"/>
  <c r="CM52" i="1"/>
  <c r="CM214" i="1" s="1"/>
  <c r="CK223" i="1"/>
  <c r="CK221" i="1" s="1"/>
  <c r="AA151" i="1"/>
  <c r="CM273" i="1" l="1"/>
  <c r="CL214" i="1"/>
  <c r="CK230" i="1"/>
  <c r="CK233" i="1"/>
  <c r="CL223" i="1"/>
  <c r="CL221" i="1" s="1"/>
  <c r="AA154" i="1"/>
  <c r="AA158" i="1" s="1"/>
  <c r="CM152" i="1"/>
  <c r="CM154" i="1" s="1"/>
  <c r="CL273" i="1"/>
  <c r="CM54" i="1"/>
  <c r="CM158" i="1" l="1"/>
  <c r="CM223" i="1" s="1"/>
  <c r="CM221" i="1" s="1"/>
  <c r="CN52" i="1"/>
  <c r="CN152" i="1" s="1"/>
  <c r="CN154" i="1" s="1"/>
  <c r="AA223" i="1"/>
  <c r="AA221" i="1" s="1"/>
  <c r="AA273" i="1"/>
  <c r="AA53" i="1"/>
  <c r="AA54" i="1"/>
  <c r="AA214" i="1"/>
  <c r="CN54" i="1" l="1"/>
  <c r="CN214" i="1"/>
  <c r="CN273" i="1"/>
  <c r="CN158" i="1"/>
  <c r="CO52" i="1"/>
  <c r="CK231" i="1"/>
  <c r="AA180" i="1"/>
  <c r="CK268" i="1"/>
  <c r="CO152" i="1"/>
  <c r="AB152" i="1" l="1"/>
  <c r="CO154" i="1"/>
  <c r="CO54" i="1"/>
  <c r="CO214" i="1"/>
  <c r="AB52" i="1"/>
  <c r="CO273" i="1"/>
  <c r="CN223" i="1"/>
  <c r="CN221" i="1" s="1"/>
  <c r="CK264" i="1"/>
  <c r="CK129" i="1"/>
  <c r="CK266" i="1"/>
  <c r="CL229" i="1"/>
  <c r="AB151" i="1"/>
  <c r="AB54" i="1" l="1"/>
  <c r="AB273" i="1"/>
  <c r="AB214" i="1"/>
  <c r="CO158" i="1"/>
  <c r="CP52" i="1"/>
  <c r="CK131" i="1"/>
  <c r="CK134" i="1" s="1"/>
  <c r="CK130" i="1"/>
  <c r="CK133" i="1" s="1"/>
  <c r="CL57" i="1"/>
  <c r="CN57" i="1" s="1"/>
  <c r="CO57" i="1" s="1"/>
  <c r="CP57" i="1" s="1"/>
  <c r="CQ57" i="1" s="1"/>
  <c r="CR57" i="1" s="1"/>
  <c r="CS57" i="1" s="1"/>
  <c r="CU57" i="1" s="1"/>
  <c r="CV57" i="1" s="1"/>
  <c r="CW57" i="1" s="1"/>
  <c r="CX57" i="1" s="1"/>
  <c r="CY57" i="1" s="1"/>
  <c r="CZ57" i="1" s="1"/>
  <c r="DA57" i="1" s="1"/>
  <c r="CL272" i="1"/>
  <c r="CP273" i="1" l="1"/>
  <c r="CP54" i="1"/>
  <c r="CP214" i="1"/>
  <c r="CP152" i="1"/>
  <c r="CO223" i="1"/>
  <c r="CO221" i="1" s="1"/>
  <c r="AA57" i="1"/>
  <c r="AA272" i="1"/>
  <c r="AA58" i="1"/>
  <c r="AB154" i="1"/>
  <c r="CP154" i="1" l="1"/>
  <c r="AA60" i="1"/>
  <c r="AA61" i="1"/>
  <c r="AA81" i="1" s="1"/>
  <c r="AB158" i="1"/>
  <c r="AB53" i="1"/>
  <c r="CQ52" i="1" l="1"/>
  <c r="CP158" i="1"/>
  <c r="CL247" i="1"/>
  <c r="CL213" i="1"/>
  <c r="CL215" i="1" s="1"/>
  <c r="CL219" i="1" s="1"/>
  <c r="CL233" i="1" s="1"/>
  <c r="CL254" i="1"/>
  <c r="CL265" i="1"/>
  <c r="AB223" i="1"/>
  <c r="AB221" i="1" s="1"/>
  <c r="AC151" i="1"/>
  <c r="AA62" i="1"/>
  <c r="AA265" i="1" s="1"/>
  <c r="AA63" i="1"/>
  <c r="AA68" i="1"/>
  <c r="CP223" i="1" l="1"/>
  <c r="CP221" i="1" s="1"/>
  <c r="CQ54" i="1"/>
  <c r="CQ214" i="1"/>
  <c r="CQ273" i="1"/>
  <c r="CQ152" i="1"/>
  <c r="AA140" i="1"/>
  <c r="AA74" i="1" s="1"/>
  <c r="AA213" i="1"/>
  <c r="AA215" i="1" s="1"/>
  <c r="AA219" i="1" s="1"/>
  <c r="AA233" i="1" s="1"/>
  <c r="AA86" i="1"/>
  <c r="AA71" i="1"/>
  <c r="AA72" i="1" s="1"/>
  <c r="CQ154" i="1" l="1"/>
  <c r="CL74" i="1"/>
  <c r="CL112" i="1"/>
  <c r="CH109" i="1"/>
  <c r="CL227" i="1"/>
  <c r="CL225" i="1" s="1"/>
  <c r="CL230" i="1" s="1"/>
  <c r="CL180" i="1" s="1"/>
  <c r="CL181" i="1" s="1"/>
  <c r="CL75" i="1"/>
  <c r="AA89" i="1"/>
  <c r="AA88" i="1"/>
  <c r="AA227" i="1"/>
  <c r="AA225" i="1" s="1"/>
  <c r="AA230" i="1" s="1"/>
  <c r="AA149" i="1"/>
  <c r="AA75" i="1" s="1"/>
  <c r="AA195" i="1"/>
  <c r="AA112" i="1"/>
  <c r="AA114" i="1" s="1"/>
  <c r="CQ158" i="1" l="1"/>
  <c r="CR52" i="1"/>
  <c r="CL185" i="1"/>
  <c r="CL186" i="1" s="1"/>
  <c r="CL188" i="1"/>
  <c r="CL114" i="1"/>
  <c r="CL115" i="1"/>
  <c r="CM115" i="1" s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CL116" i="1"/>
  <c r="CM116" i="1" s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Z109" i="1"/>
  <c r="AA105" i="1"/>
  <c r="AA90" i="1"/>
  <c r="CR214" i="1" l="1"/>
  <c r="CR54" i="1"/>
  <c r="CR273" i="1"/>
  <c r="CR152" i="1"/>
  <c r="CQ223" i="1"/>
  <c r="CQ221" i="1" s="1"/>
  <c r="AA181" i="1"/>
  <c r="AD151" i="1"/>
  <c r="AA106" i="1"/>
  <c r="AA127" i="1"/>
  <c r="AA101" i="1"/>
  <c r="AA115" i="1"/>
  <c r="AA123" i="1"/>
  <c r="AA128" i="1"/>
  <c r="AA116" i="1"/>
  <c r="AA124" i="1"/>
  <c r="AA107" i="1"/>
  <c r="AA102" i="1"/>
  <c r="CR154" i="1" l="1"/>
  <c r="AA264" i="1"/>
  <c r="AA188" i="1"/>
  <c r="AA129" i="1" s="1"/>
  <c r="AA131" i="1" s="1"/>
  <c r="AA134" i="1" s="1"/>
  <c r="AA185" i="1"/>
  <c r="AA186" i="1" s="1"/>
  <c r="AA266" i="1"/>
  <c r="AA268" i="1"/>
  <c r="AB229" i="1"/>
  <c r="AA231" i="1"/>
  <c r="CM229" i="1"/>
  <c r="CL129" i="1"/>
  <c r="CL266" i="1"/>
  <c r="CL264" i="1"/>
  <c r="CL268" i="1"/>
  <c r="CL231" i="1"/>
  <c r="CR158" i="1" l="1"/>
  <c r="CS52" i="1"/>
  <c r="CL131" i="1"/>
  <c r="CL134" i="1" s="1"/>
  <c r="CL130" i="1"/>
  <c r="CL133" i="1" s="1"/>
  <c r="AA130" i="1"/>
  <c r="AA133" i="1" s="1"/>
  <c r="CM56" i="1"/>
  <c r="CS54" i="1" l="1"/>
  <c r="CS273" i="1"/>
  <c r="CS214" i="1"/>
  <c r="AC52" i="1"/>
  <c r="CS152" i="1"/>
  <c r="CR223" i="1"/>
  <c r="CR221" i="1" s="1"/>
  <c r="CM272" i="1"/>
  <c r="CM58" i="1"/>
  <c r="AC152" i="1" l="1"/>
  <c r="AC154" i="1" s="1"/>
  <c r="AC158" i="1" s="1"/>
  <c r="CS154" i="1"/>
  <c r="AC54" i="1"/>
  <c r="AC214" i="1"/>
  <c r="AC273" i="1"/>
  <c r="AC53" i="1"/>
  <c r="AC223" i="1"/>
  <c r="AC221" i="1" s="1"/>
  <c r="CM59" i="1"/>
  <c r="AE151" i="1"/>
  <c r="CS158" i="1" l="1"/>
  <c r="CT52" i="1"/>
  <c r="CM61" i="1"/>
  <c r="CM68" i="1" s="1"/>
  <c r="CT273" i="1" l="1"/>
  <c r="CT54" i="1"/>
  <c r="CT214" i="1"/>
  <c r="CT152" i="1"/>
  <c r="CS223" i="1"/>
  <c r="CS221" i="1" s="1"/>
  <c r="CM62" i="1"/>
  <c r="CM265" i="1" s="1"/>
  <c r="CM247" i="1"/>
  <c r="CM63" i="1"/>
  <c r="CM64" i="1"/>
  <c r="CM254" i="1"/>
  <c r="CM213" i="1"/>
  <c r="CM215" i="1" s="1"/>
  <c r="CM219" i="1" s="1"/>
  <c r="CM233" i="1" s="1"/>
  <c r="CM86" i="1"/>
  <c r="CM139" i="1"/>
  <c r="CT154" i="1" l="1"/>
  <c r="CM140" i="1"/>
  <c r="CM89" i="1"/>
  <c r="CU52" i="1" l="1"/>
  <c r="CT158" i="1"/>
  <c r="CM99" i="1"/>
  <c r="CI109" i="1"/>
  <c r="CM98" i="1"/>
  <c r="CM90" i="1"/>
  <c r="CM105" i="1"/>
  <c r="CM112" i="1"/>
  <c r="CM114" i="1" s="1"/>
  <c r="CM227" i="1"/>
  <c r="CM225" i="1" s="1"/>
  <c r="CM230" i="1" s="1"/>
  <c r="CM149" i="1"/>
  <c r="CM75" i="1" s="1"/>
  <c r="CM74" i="1"/>
  <c r="CT223" i="1" l="1"/>
  <c r="CT221" i="1" s="1"/>
  <c r="CU54" i="1"/>
  <c r="CU214" i="1"/>
  <c r="CU273" i="1"/>
  <c r="CU152" i="1"/>
  <c r="CM180" i="1"/>
  <c r="CM181" i="1" s="1"/>
  <c r="CM231" i="1" s="1"/>
  <c r="CM127" i="1"/>
  <c r="CM101" i="1"/>
  <c r="CM128" i="1"/>
  <c r="CM102" i="1"/>
  <c r="CU154" i="1" l="1"/>
  <c r="CM266" i="1"/>
  <c r="CM185" i="1"/>
  <c r="CM186" i="1" s="1"/>
  <c r="CN229" i="1"/>
  <c r="CM188" i="1"/>
  <c r="CM264" i="1"/>
  <c r="CM268" i="1"/>
  <c r="CU158" i="1" l="1"/>
  <c r="CV52" i="1"/>
  <c r="CM129" i="1"/>
  <c r="CN56" i="1"/>
  <c r="CV54" i="1" l="1"/>
  <c r="CV273" i="1"/>
  <c r="CV214" i="1"/>
  <c r="CV152" i="1"/>
  <c r="CU223" i="1"/>
  <c r="CU221" i="1" s="1"/>
  <c r="CN272" i="1"/>
  <c r="CN58" i="1"/>
  <c r="CM130" i="1"/>
  <c r="CM133" i="1" s="1"/>
  <c r="CM131" i="1"/>
  <c r="CM134" i="1" s="1"/>
  <c r="CV154" i="1" l="1"/>
  <c r="CN59" i="1"/>
  <c r="CV158" i="1" l="1"/>
  <c r="CW52" i="1"/>
  <c r="CN61" i="1"/>
  <c r="CN254" i="1" s="1"/>
  <c r="CW54" i="1" l="1"/>
  <c r="CW273" i="1"/>
  <c r="CW214" i="1"/>
  <c r="AD52" i="1"/>
  <c r="CW152" i="1"/>
  <c r="CV223" i="1"/>
  <c r="CV221" i="1" s="1"/>
  <c r="CN247" i="1"/>
  <c r="CN63" i="1"/>
  <c r="CN64" i="1"/>
  <c r="CN68" i="1"/>
  <c r="CN86" i="1" s="1"/>
  <c r="CN62" i="1"/>
  <c r="CN265" i="1" s="1"/>
  <c r="AD152" i="1" l="1"/>
  <c r="AD154" i="1" s="1"/>
  <c r="AD158" i="1" s="1"/>
  <c r="AD223" i="1" s="1"/>
  <c r="AD221" i="1" s="1"/>
  <c r="CW154" i="1"/>
  <c r="AD54" i="1"/>
  <c r="AD273" i="1"/>
  <c r="AD214" i="1"/>
  <c r="CN139" i="1"/>
  <c r="CN140" i="1" s="1"/>
  <c r="CN213" i="1"/>
  <c r="CN215" i="1" s="1"/>
  <c r="CN219" i="1" s="1"/>
  <c r="CN233" i="1" s="1"/>
  <c r="CN89" i="1"/>
  <c r="AD53" i="1" l="1"/>
  <c r="CW158" i="1"/>
  <c r="CX52" i="1"/>
  <c r="CN105" i="1"/>
  <c r="CN98" i="1"/>
  <c r="CJ109" i="1"/>
  <c r="CN99" i="1"/>
  <c r="CN90" i="1"/>
  <c r="CN112" i="1"/>
  <c r="CN114" i="1" s="1"/>
  <c r="CN227" i="1"/>
  <c r="CN225" i="1" s="1"/>
  <c r="CN230" i="1" s="1"/>
  <c r="CN149" i="1"/>
  <c r="CN75" i="1" s="1"/>
  <c r="CN74" i="1"/>
  <c r="CX273" i="1" l="1"/>
  <c r="CX54" i="1"/>
  <c r="CX214" i="1"/>
  <c r="CX152" i="1"/>
  <c r="CW223" i="1"/>
  <c r="CW221" i="1" s="1"/>
  <c r="CN180" i="1"/>
  <c r="CN181" i="1" s="1"/>
  <c r="CN127" i="1"/>
  <c r="CN101" i="1"/>
  <c r="CN128" i="1"/>
  <c r="CN102" i="1"/>
  <c r="CX154" i="1" l="1"/>
  <c r="CN264" i="1"/>
  <c r="CN268" i="1"/>
  <c r="CN188" i="1"/>
  <c r="CN266" i="1"/>
  <c r="CO229" i="1"/>
  <c r="CN185" i="1"/>
  <c r="CN186" i="1" s="1"/>
  <c r="CN231" i="1"/>
  <c r="CY52" i="1" l="1"/>
  <c r="CX158" i="1"/>
  <c r="CO56" i="1"/>
  <c r="AB56" i="1" s="1"/>
  <c r="CN129" i="1"/>
  <c r="CX223" i="1" l="1"/>
  <c r="CX221" i="1" s="1"/>
  <c r="CY54" i="1"/>
  <c r="CY273" i="1"/>
  <c r="CY214" i="1"/>
  <c r="CY152" i="1"/>
  <c r="CN130" i="1"/>
  <c r="CN133" i="1" s="1"/>
  <c r="CN131" i="1"/>
  <c r="CN134" i="1" s="1"/>
  <c r="CO272" i="1"/>
  <c r="CO58" i="1"/>
  <c r="CY154" i="1" l="1"/>
  <c r="CO59" i="1"/>
  <c r="AB59" i="1" s="1"/>
  <c r="CZ52" i="1" l="1"/>
  <c r="CY158" i="1"/>
  <c r="CO61" i="1"/>
  <c r="CY223" i="1" l="1"/>
  <c r="CY221" i="1" s="1"/>
  <c r="CZ54" i="1"/>
  <c r="CZ214" i="1"/>
  <c r="CZ273" i="1"/>
  <c r="CZ152" i="1"/>
  <c r="CO63" i="1"/>
  <c r="CO68" i="1"/>
  <c r="CO62" i="1"/>
  <c r="CO265" i="1" s="1"/>
  <c r="CO64" i="1"/>
  <c r="CO254" i="1"/>
  <c r="CO247" i="1"/>
  <c r="CZ154" i="1" l="1"/>
  <c r="CO86" i="1"/>
  <c r="CO213" i="1"/>
  <c r="CO215" i="1" s="1"/>
  <c r="CO219" i="1" s="1"/>
  <c r="CO233" i="1" s="1"/>
  <c r="CO139" i="1"/>
  <c r="AB139" i="1" s="1"/>
  <c r="DA52" i="1" l="1"/>
  <c r="CZ158" i="1"/>
  <c r="CO140" i="1"/>
  <c r="CO89" i="1"/>
  <c r="CZ223" i="1" l="1"/>
  <c r="CZ221" i="1" s="1"/>
  <c r="DA54" i="1"/>
  <c r="DA214" i="1"/>
  <c r="DA273" i="1"/>
  <c r="AE52" i="1"/>
  <c r="DA152" i="1"/>
  <c r="CK109" i="1"/>
  <c r="CO92" i="1"/>
  <c r="CO99" i="1"/>
  <c r="AB99" i="1" s="1"/>
  <c r="CO105" i="1"/>
  <c r="CO98" i="1"/>
  <c r="AB98" i="1" s="1"/>
  <c r="CO90" i="1"/>
  <c r="CO227" i="1"/>
  <c r="CO225" i="1" s="1"/>
  <c r="CO230" i="1" s="1"/>
  <c r="CO149" i="1"/>
  <c r="CO75" i="1" s="1"/>
  <c r="CO112" i="1"/>
  <c r="CO114" i="1" s="1"/>
  <c r="CO74" i="1"/>
  <c r="AE152" i="1" l="1"/>
  <c r="AE154" i="1" s="1"/>
  <c r="AE158" i="1" s="1"/>
  <c r="AE223" i="1" s="1"/>
  <c r="AE221" i="1" s="1"/>
  <c r="DA154" i="1"/>
  <c r="DA158" i="1" s="1"/>
  <c r="DA223" i="1" s="1"/>
  <c r="DA221" i="1" s="1"/>
  <c r="AE214" i="1"/>
  <c r="AE273" i="1"/>
  <c r="AE54" i="1"/>
  <c r="CO127" i="1"/>
  <c r="CO101" i="1"/>
  <c r="CO180" i="1"/>
  <c r="CO102" i="1"/>
  <c r="CO128" i="1"/>
  <c r="AE53" i="1" l="1"/>
  <c r="CO181" i="1"/>
  <c r="CO231" i="1" s="1"/>
  <c r="AB180" i="1"/>
  <c r="CO185" i="1" l="1"/>
  <c r="CO186" i="1" s="1"/>
  <c r="CO266" i="1"/>
  <c r="CO264" i="1"/>
  <c r="CO188" i="1"/>
  <c r="CP56" i="1" s="1"/>
  <c r="CP229" i="1"/>
  <c r="CO268" i="1"/>
  <c r="CO129" i="1" l="1"/>
  <c r="CO131" i="1" s="1"/>
  <c r="CO134" i="1" s="1"/>
  <c r="CP272" i="1"/>
  <c r="CP58" i="1"/>
  <c r="CO130" i="1" l="1"/>
  <c r="CO133" i="1" s="1"/>
  <c r="CP59" i="1"/>
  <c r="AB57" i="1"/>
  <c r="AB272" i="1"/>
  <c r="AB58" i="1"/>
  <c r="AB61" i="1" s="1"/>
  <c r="AB81" i="1" s="1"/>
  <c r="CP61" i="1" l="1"/>
  <c r="CP64" i="1" s="1"/>
  <c r="AB68" i="1"/>
  <c r="AB62" i="1"/>
  <c r="AB265" i="1" s="1"/>
  <c r="AB63" i="1"/>
  <c r="AB60" i="1"/>
  <c r="CP247" i="1" l="1"/>
  <c r="CP63" i="1"/>
  <c r="CP254" i="1"/>
  <c r="CP68" i="1"/>
  <c r="CP86" i="1" s="1"/>
  <c r="CP62" i="1"/>
  <c r="CP265" i="1" s="1"/>
  <c r="AB86" i="1"/>
  <c r="AB71" i="1"/>
  <c r="AB72" i="1" s="1"/>
  <c r="AB213" i="1"/>
  <c r="AB215" i="1" s="1"/>
  <c r="AB219" i="1" s="1"/>
  <c r="AB233" i="1" s="1"/>
  <c r="CP213" i="1" l="1"/>
  <c r="CP215" i="1" s="1"/>
  <c r="CP219" i="1" s="1"/>
  <c r="CP233" i="1" s="1"/>
  <c r="CP139" i="1"/>
  <c r="CP140" i="1" s="1"/>
  <c r="CP89" i="1"/>
  <c r="CL109" i="1" s="1"/>
  <c r="AB140" i="1"/>
  <c r="AB89" i="1"/>
  <c r="AB88" i="1"/>
  <c r="AB105" i="1" l="1"/>
  <c r="AB90" i="1"/>
  <c r="AA109" i="1"/>
  <c r="CP105" i="1"/>
  <c r="CP99" i="1"/>
  <c r="CP98" i="1"/>
  <c r="CP90" i="1"/>
  <c r="CP112" i="1"/>
  <c r="CP114" i="1" s="1"/>
  <c r="CP149" i="1"/>
  <c r="CP75" i="1" s="1"/>
  <c r="CP227" i="1"/>
  <c r="CP225" i="1" s="1"/>
  <c r="CP230" i="1" s="1"/>
  <c r="CP74" i="1"/>
  <c r="AB195" i="1"/>
  <c r="AB149" i="1"/>
  <c r="AB75" i="1" s="1"/>
  <c r="AB112" i="1"/>
  <c r="AB114" i="1" s="1"/>
  <c r="AB227" i="1"/>
  <c r="AB225" i="1" s="1"/>
  <c r="AB230" i="1" s="1"/>
  <c r="AB74" i="1"/>
  <c r="CP180" i="1" l="1"/>
  <c r="CP101" i="1"/>
  <c r="CP127" i="1"/>
  <c r="CP128" i="1"/>
  <c r="CP102" i="1"/>
  <c r="AB127" i="1" l="1"/>
  <c r="AB106" i="1"/>
  <c r="AB115" i="1"/>
  <c r="AB123" i="1"/>
  <c r="AB101" i="1"/>
  <c r="CP181" i="1"/>
  <c r="AB181" i="1"/>
  <c r="AB128" i="1"/>
  <c r="AB124" i="1"/>
  <c r="AB107" i="1"/>
  <c r="AB116" i="1"/>
  <c r="AB102" i="1"/>
  <c r="AB266" i="1" l="1"/>
  <c r="AC229" i="1"/>
  <c r="AB185" i="1"/>
  <c r="AB186" i="1" s="1"/>
  <c r="AB268" i="1"/>
  <c r="AB188" i="1"/>
  <c r="AB129" i="1" s="1"/>
  <c r="AB130" i="1" s="1"/>
  <c r="AB133" i="1" s="1"/>
  <c r="AB264" i="1"/>
  <c r="AB231" i="1"/>
  <c r="CP188" i="1"/>
  <c r="CP268" i="1"/>
  <c r="CP264" i="1"/>
  <c r="CP185" i="1"/>
  <c r="CP186" i="1" s="1"/>
  <c r="CQ229" i="1"/>
  <c r="CP266" i="1"/>
  <c r="CP231" i="1"/>
  <c r="AB131" i="1" l="1"/>
  <c r="AB134" i="1" s="1"/>
  <c r="CQ56" i="1"/>
  <c r="CP129" i="1"/>
  <c r="CP131" i="1" l="1"/>
  <c r="CP134" i="1" s="1"/>
  <c r="CP130" i="1"/>
  <c r="CP133" i="1" s="1"/>
  <c r="CQ272" i="1"/>
  <c r="CQ58" i="1"/>
  <c r="CQ59" i="1" l="1"/>
  <c r="CQ61" i="1" l="1"/>
  <c r="CQ254" i="1" s="1"/>
  <c r="CQ247" i="1" l="1"/>
  <c r="CQ63" i="1"/>
  <c r="CQ62" i="1"/>
  <c r="CQ265" i="1" s="1"/>
  <c r="CQ64" i="1"/>
  <c r="CQ68" i="1"/>
  <c r="CQ86" i="1" s="1"/>
  <c r="CQ213" i="1" l="1"/>
  <c r="CQ215" i="1" s="1"/>
  <c r="CQ219" i="1" s="1"/>
  <c r="CQ233" i="1" s="1"/>
  <c r="CQ139" i="1"/>
  <c r="CQ140" i="1" s="1"/>
  <c r="CQ89" i="1"/>
  <c r="CQ98" i="1" l="1"/>
  <c r="CQ105" i="1"/>
  <c r="CQ99" i="1"/>
  <c r="CQ90" i="1"/>
  <c r="CQ227" i="1"/>
  <c r="CQ225" i="1" s="1"/>
  <c r="CQ230" i="1" s="1"/>
  <c r="CQ112" i="1"/>
  <c r="CQ114" i="1" s="1"/>
  <c r="CQ149" i="1"/>
  <c r="CQ75" i="1" s="1"/>
  <c r="CQ74" i="1"/>
  <c r="CQ128" i="1" l="1"/>
  <c r="CQ102" i="1"/>
  <c r="CQ180" i="1"/>
  <c r="CQ181" i="1" s="1"/>
  <c r="CQ231" i="1" s="1"/>
  <c r="CQ101" i="1"/>
  <c r="CQ127" i="1"/>
  <c r="CQ188" i="1" l="1"/>
  <c r="CQ185" i="1"/>
  <c r="CQ186" i="1" s="1"/>
  <c r="CQ266" i="1"/>
  <c r="CR229" i="1"/>
  <c r="CQ268" i="1"/>
  <c r="CQ264" i="1"/>
  <c r="CR56" i="1" l="1"/>
  <c r="CQ129" i="1"/>
  <c r="CQ130" i="1" l="1"/>
  <c r="CQ133" i="1" s="1"/>
  <c r="CQ131" i="1"/>
  <c r="CQ134" i="1" s="1"/>
  <c r="CR272" i="1"/>
  <c r="CR58" i="1"/>
  <c r="CR59" i="1" l="1"/>
  <c r="CR61" i="1" l="1"/>
  <c r="CR64" i="1" l="1"/>
  <c r="CR63" i="1"/>
  <c r="CR68" i="1"/>
  <c r="CR62" i="1"/>
  <c r="CR265" i="1" s="1"/>
  <c r="CR254" i="1"/>
  <c r="CR247" i="1"/>
  <c r="CR86" i="1" l="1"/>
  <c r="CR213" i="1"/>
  <c r="CR215" i="1" s="1"/>
  <c r="CR219" i="1" s="1"/>
  <c r="CR233" i="1" s="1"/>
  <c r="CR139" i="1"/>
  <c r="CR140" i="1" l="1"/>
  <c r="CR89" i="1"/>
  <c r="CR105" i="1" l="1"/>
  <c r="CR99" i="1"/>
  <c r="CR98" i="1"/>
  <c r="CR90" i="1"/>
  <c r="CR149" i="1"/>
  <c r="CR75" i="1" s="1"/>
  <c r="CR227" i="1"/>
  <c r="CR225" i="1" s="1"/>
  <c r="CR230" i="1" s="1"/>
  <c r="CR112" i="1"/>
  <c r="CR114" i="1" s="1"/>
  <c r="CR74" i="1"/>
  <c r="CR101" i="1" l="1"/>
  <c r="CR127" i="1"/>
  <c r="CR128" i="1"/>
  <c r="CR102" i="1"/>
  <c r="CR180" i="1"/>
  <c r="CR181" i="1" s="1"/>
  <c r="CR268" i="1" l="1"/>
  <c r="CR188" i="1"/>
  <c r="CR266" i="1"/>
  <c r="CS229" i="1"/>
  <c r="CR185" i="1"/>
  <c r="CR186" i="1" s="1"/>
  <c r="CR264" i="1"/>
  <c r="CR231" i="1"/>
  <c r="CS56" i="1" l="1"/>
  <c r="AC56" i="1" s="1"/>
  <c r="CR129" i="1"/>
  <c r="CR131" i="1" l="1"/>
  <c r="CR134" i="1" s="1"/>
  <c r="CR130" i="1"/>
  <c r="CR133" i="1" s="1"/>
  <c r="CS272" i="1"/>
  <c r="CS58" i="1"/>
  <c r="CS59" i="1" l="1"/>
  <c r="AC59" i="1" s="1"/>
  <c r="CS61" i="1" l="1"/>
  <c r="CS254" i="1" l="1"/>
  <c r="CS63" i="1"/>
  <c r="CS64" i="1"/>
  <c r="CS68" i="1"/>
  <c r="CS62" i="1"/>
  <c r="CS265" i="1" s="1"/>
  <c r="CS247" i="1"/>
  <c r="CS86" i="1" l="1"/>
  <c r="CS213" i="1"/>
  <c r="CS215" i="1" s="1"/>
  <c r="CS219" i="1" s="1"/>
  <c r="CS233" i="1" s="1"/>
  <c r="CS139" i="1"/>
  <c r="AC139" i="1" s="1"/>
  <c r="CS140" i="1" l="1"/>
  <c r="CS89" i="1"/>
  <c r="CS92" i="1" s="1"/>
  <c r="CS105" i="1" l="1"/>
  <c r="CS99" i="1"/>
  <c r="AC99" i="1" s="1"/>
  <c r="CS98" i="1"/>
  <c r="AC98" i="1" s="1"/>
  <c r="CS90" i="1"/>
  <c r="CS149" i="1"/>
  <c r="CS75" i="1" s="1"/>
  <c r="CS227" i="1"/>
  <c r="CS225" i="1" s="1"/>
  <c r="CS230" i="1" s="1"/>
  <c r="CS112" i="1"/>
  <c r="CS114" i="1" s="1"/>
  <c r="CS74" i="1"/>
  <c r="CS180" i="1" l="1"/>
  <c r="CS128" i="1"/>
  <c r="CS102" i="1"/>
  <c r="CS101" i="1"/>
  <c r="CS127" i="1"/>
  <c r="CS181" i="1" l="1"/>
  <c r="CS268" i="1" s="1"/>
  <c r="AC180" i="1"/>
  <c r="CS231" i="1" l="1"/>
  <c r="CT229" i="1"/>
  <c r="CS185" i="1"/>
  <c r="CS186" i="1" s="1"/>
  <c r="CS264" i="1"/>
  <c r="CS266" i="1"/>
  <c r="CS188" i="1"/>
  <c r="CT56" i="1" s="1"/>
  <c r="CS129" i="1" l="1"/>
  <c r="CS131" i="1" s="1"/>
  <c r="CS134" i="1" s="1"/>
  <c r="CT272" i="1"/>
  <c r="CT58" i="1"/>
  <c r="CS130" i="1" l="1"/>
  <c r="CS133" i="1" s="1"/>
  <c r="CT59" i="1"/>
  <c r="CT61" i="1" s="1"/>
  <c r="AC272" i="1"/>
  <c r="AC57" i="1"/>
  <c r="AC58" i="1"/>
  <c r="AC61" i="1" s="1"/>
  <c r="AC81" i="1" s="1"/>
  <c r="CT63" i="1" l="1"/>
  <c r="CT68" i="1"/>
  <c r="CT62" i="1"/>
  <c r="CT265" i="1" s="1"/>
  <c r="CT64" i="1"/>
  <c r="CT254" i="1"/>
  <c r="CT247" i="1"/>
  <c r="AC68" i="1"/>
  <c r="AC62" i="1"/>
  <c r="AC265" i="1" s="1"/>
  <c r="AC63" i="1"/>
  <c r="AC60" i="1"/>
  <c r="CT86" i="1" l="1"/>
  <c r="CT213" i="1"/>
  <c r="CT215" i="1" s="1"/>
  <c r="CT219" i="1" s="1"/>
  <c r="CT233" i="1" s="1"/>
  <c r="CT139" i="1"/>
  <c r="AC71" i="1"/>
  <c r="AC72" i="1" s="1"/>
  <c r="AC86" i="1"/>
  <c r="AC213" i="1"/>
  <c r="AC215" i="1" s="1"/>
  <c r="AC219" i="1" s="1"/>
  <c r="AC233" i="1" s="1"/>
  <c r="CT140" i="1" l="1"/>
  <c r="AC140" i="1"/>
  <c r="AC89" i="1"/>
  <c r="AC88" i="1"/>
  <c r="CT89" i="1"/>
  <c r="AC90" i="1" l="1"/>
  <c r="AC105" i="1"/>
  <c r="AB109" i="1"/>
  <c r="AC149" i="1"/>
  <c r="AC75" i="1" s="1"/>
  <c r="AC195" i="1"/>
  <c r="AC227" i="1"/>
  <c r="AC225" i="1" s="1"/>
  <c r="AC230" i="1" s="1"/>
  <c r="AC112" i="1"/>
  <c r="AC114" i="1" s="1"/>
  <c r="AC74" i="1"/>
  <c r="CT149" i="1"/>
  <c r="CT75" i="1" s="1"/>
  <c r="CT227" i="1"/>
  <c r="CT225" i="1" s="1"/>
  <c r="CT230" i="1" s="1"/>
  <c r="CT112" i="1"/>
  <c r="CT114" i="1" s="1"/>
  <c r="CT74" i="1"/>
  <c r="CT98" i="1"/>
  <c r="CT105" i="1"/>
  <c r="CT99" i="1"/>
  <c r="CT90" i="1"/>
  <c r="CT128" i="1" l="1"/>
  <c r="CT102" i="1"/>
  <c r="CT180" i="1"/>
  <c r="CT127" i="1"/>
  <c r="CT101" i="1"/>
  <c r="AC124" i="1" l="1"/>
  <c r="AC107" i="1"/>
  <c r="AC128" i="1"/>
  <c r="AC116" i="1"/>
  <c r="AC102" i="1"/>
  <c r="AC127" i="1"/>
  <c r="AC101" i="1"/>
  <c r="AC106" i="1"/>
  <c r="AC123" i="1"/>
  <c r="AC115" i="1"/>
  <c r="CT181" i="1"/>
  <c r="AC181" i="1"/>
  <c r="AD229" i="1" l="1"/>
  <c r="AC266" i="1"/>
  <c r="AC264" i="1"/>
  <c r="AC188" i="1"/>
  <c r="AC129" i="1" s="1"/>
  <c r="AC131" i="1" s="1"/>
  <c r="AC134" i="1" s="1"/>
  <c r="AC268" i="1"/>
  <c r="AC185" i="1"/>
  <c r="AC186" i="1" s="1"/>
  <c r="AC231" i="1"/>
  <c r="CU229" i="1"/>
  <c r="CT188" i="1"/>
  <c r="CT266" i="1"/>
  <c r="CT185" i="1"/>
  <c r="CT186" i="1" s="1"/>
  <c r="CT268" i="1"/>
  <c r="CT264" i="1"/>
  <c r="CT231" i="1"/>
  <c r="AC130" i="1" l="1"/>
  <c r="AC133" i="1" s="1"/>
  <c r="CU56" i="1"/>
  <c r="CT129" i="1"/>
  <c r="CT130" i="1" l="1"/>
  <c r="CT133" i="1" s="1"/>
  <c r="CT131" i="1"/>
  <c r="CT134" i="1" s="1"/>
  <c r="CU272" i="1"/>
  <c r="CU58" i="1"/>
  <c r="CU59" i="1" l="1"/>
  <c r="CU61" i="1" l="1"/>
  <c r="CU68" i="1" l="1"/>
  <c r="CU254" i="1"/>
  <c r="CU63" i="1"/>
  <c r="CU64" i="1"/>
  <c r="CU62" i="1"/>
  <c r="CU265" i="1" s="1"/>
  <c r="CU247" i="1"/>
  <c r="CU86" i="1" l="1"/>
  <c r="CU213" i="1"/>
  <c r="CU215" i="1" s="1"/>
  <c r="CU219" i="1" s="1"/>
  <c r="CU233" i="1" s="1"/>
  <c r="CU139" i="1"/>
  <c r="CU140" i="1" l="1"/>
  <c r="CU89" i="1"/>
  <c r="CU99" i="1" l="1"/>
  <c r="CU105" i="1"/>
  <c r="CU98" i="1"/>
  <c r="CU90" i="1"/>
  <c r="CU227" i="1"/>
  <c r="CU225" i="1" s="1"/>
  <c r="CU230" i="1" s="1"/>
  <c r="CU149" i="1"/>
  <c r="CU75" i="1" s="1"/>
  <c r="CU112" i="1"/>
  <c r="CU114" i="1" s="1"/>
  <c r="CU74" i="1"/>
  <c r="CU101" i="1" l="1"/>
  <c r="CU127" i="1"/>
  <c r="CU180" i="1"/>
  <c r="CU181" i="1" s="1"/>
  <c r="CU128" i="1"/>
  <c r="CU102" i="1"/>
  <c r="CV229" i="1" l="1"/>
  <c r="CU268" i="1"/>
  <c r="CU266" i="1"/>
  <c r="CU188" i="1"/>
  <c r="CU185" i="1"/>
  <c r="CU186" i="1" s="1"/>
  <c r="CU264" i="1"/>
  <c r="CU231" i="1"/>
  <c r="CU129" i="1" l="1"/>
  <c r="CV56" i="1"/>
  <c r="CV272" i="1" l="1"/>
  <c r="CV58" i="1"/>
  <c r="CU131" i="1"/>
  <c r="CU134" i="1" s="1"/>
  <c r="CU130" i="1"/>
  <c r="CU133" i="1" s="1"/>
  <c r="CV59" i="1" l="1"/>
  <c r="CV61" i="1" l="1"/>
  <c r="CV68" i="1" l="1"/>
  <c r="CV62" i="1"/>
  <c r="CV265" i="1" s="1"/>
  <c r="CV64" i="1"/>
  <c r="CV63" i="1"/>
  <c r="CV254" i="1"/>
  <c r="CV247" i="1"/>
  <c r="CV86" i="1" l="1"/>
  <c r="CV213" i="1"/>
  <c r="CV215" i="1" s="1"/>
  <c r="CV219" i="1" s="1"/>
  <c r="CV233" i="1" s="1"/>
  <c r="CV139" i="1"/>
  <c r="CV140" i="1" l="1"/>
  <c r="CV89" i="1"/>
  <c r="CV227" i="1" l="1"/>
  <c r="CV225" i="1" s="1"/>
  <c r="CV230" i="1" s="1"/>
  <c r="CV149" i="1"/>
  <c r="CV75" i="1" s="1"/>
  <c r="CV112" i="1"/>
  <c r="CV114" i="1" s="1"/>
  <c r="CV74" i="1"/>
  <c r="CV99" i="1"/>
  <c r="CV98" i="1"/>
  <c r="CV105" i="1"/>
  <c r="CV90" i="1"/>
  <c r="CV127" i="1" l="1"/>
  <c r="CV101" i="1"/>
  <c r="CV128" i="1"/>
  <c r="CV102" i="1"/>
  <c r="CV180" i="1"/>
  <c r="CV181" i="1" s="1"/>
  <c r="CV231" i="1" s="1"/>
  <c r="CW229" i="1" l="1"/>
  <c r="CV268" i="1"/>
  <c r="CV264" i="1"/>
  <c r="CV188" i="1"/>
  <c r="CV185" i="1"/>
  <c r="CV186" i="1" s="1"/>
  <c r="CV266" i="1"/>
  <c r="CV129" i="1" l="1"/>
  <c r="CW56" i="1"/>
  <c r="AD56" i="1" s="1"/>
  <c r="CW272" i="1" l="1"/>
  <c r="CW58" i="1"/>
  <c r="CV131" i="1"/>
  <c r="CV134" i="1" s="1"/>
  <c r="CV130" i="1"/>
  <c r="CV133" i="1" s="1"/>
  <c r="CW59" i="1" l="1"/>
  <c r="AD59" i="1" s="1"/>
  <c r="CW61" i="1" l="1"/>
  <c r="CW68" i="1" l="1"/>
  <c r="CW62" i="1"/>
  <c r="CW265" i="1" s="1"/>
  <c r="CW254" i="1"/>
  <c r="CW63" i="1"/>
  <c r="CW64" i="1"/>
  <c r="CW247" i="1"/>
  <c r="CW86" i="1" l="1"/>
  <c r="CW213" i="1"/>
  <c r="CW215" i="1" s="1"/>
  <c r="CW219" i="1" s="1"/>
  <c r="CW233" i="1" s="1"/>
  <c r="CW139" i="1"/>
  <c r="AD139" i="1" s="1"/>
  <c r="CW140" i="1" l="1"/>
  <c r="CW89" i="1"/>
  <c r="CW92" i="1" s="1"/>
  <c r="CW98" i="1" l="1"/>
  <c r="AD98" i="1" s="1"/>
  <c r="CW105" i="1"/>
  <c r="CW99" i="1"/>
  <c r="AD99" i="1" s="1"/>
  <c r="CW90" i="1"/>
  <c r="CW112" i="1"/>
  <c r="CW114" i="1" s="1"/>
  <c r="CW149" i="1"/>
  <c r="CW75" i="1" s="1"/>
  <c r="CW227" i="1"/>
  <c r="CW225" i="1" s="1"/>
  <c r="CW230" i="1" s="1"/>
  <c r="CW74" i="1"/>
  <c r="CW180" i="1" l="1"/>
  <c r="CW128" i="1"/>
  <c r="CW102" i="1"/>
  <c r="CW127" i="1"/>
  <c r="CW101" i="1"/>
  <c r="CW181" i="1" l="1"/>
  <c r="CW231" i="1" s="1"/>
  <c r="AD180" i="1"/>
  <c r="CW264" i="1" l="1"/>
  <c r="CW268" i="1"/>
  <c r="CW188" i="1"/>
  <c r="CX56" i="1" s="1"/>
  <c r="CW185" i="1"/>
  <c r="CW186" i="1" s="1"/>
  <c r="CX229" i="1"/>
  <c r="CW266" i="1"/>
  <c r="CW129" i="1" l="1"/>
  <c r="CW131" i="1" s="1"/>
  <c r="CW134" i="1" s="1"/>
  <c r="CX272" i="1"/>
  <c r="CX58" i="1"/>
  <c r="CW130" i="1" l="1"/>
  <c r="CW133" i="1" s="1"/>
  <c r="AD272" i="1"/>
  <c r="AD57" i="1"/>
  <c r="AD58" i="1"/>
  <c r="AD61" i="1" s="1"/>
  <c r="AD81" i="1" s="1"/>
  <c r="CX59" i="1"/>
  <c r="CX61" i="1" s="1"/>
  <c r="AD68" i="1" l="1"/>
  <c r="AD62" i="1"/>
  <c r="AD265" i="1" s="1"/>
  <c r="AD63" i="1"/>
  <c r="CX62" i="1"/>
  <c r="CX265" i="1" s="1"/>
  <c r="CX64" i="1"/>
  <c r="CX254" i="1"/>
  <c r="CX68" i="1"/>
  <c r="CX63" i="1"/>
  <c r="CX247" i="1"/>
  <c r="AD60" i="1"/>
  <c r="AD86" i="1" l="1"/>
  <c r="AD213" i="1"/>
  <c r="AD215" i="1" s="1"/>
  <c r="AD219" i="1" s="1"/>
  <c r="AD233" i="1" s="1"/>
  <c r="AD71" i="1"/>
  <c r="AD72" i="1" s="1"/>
  <c r="CX86" i="1"/>
  <c r="CX213" i="1"/>
  <c r="CX215" i="1" s="1"/>
  <c r="CX219" i="1" s="1"/>
  <c r="CX233" i="1" s="1"/>
  <c r="CX139" i="1"/>
  <c r="AD140" i="1" l="1"/>
  <c r="CX140" i="1"/>
  <c r="CX89" i="1"/>
  <c r="AD89" i="1"/>
  <c r="AD88" i="1"/>
  <c r="CX112" i="1" l="1"/>
  <c r="CX114" i="1" s="1"/>
  <c r="CX149" i="1"/>
  <c r="CX75" i="1" s="1"/>
  <c r="CX227" i="1"/>
  <c r="CX225" i="1" s="1"/>
  <c r="CX230" i="1" s="1"/>
  <c r="CX74" i="1"/>
  <c r="AD227" i="1"/>
  <c r="AD225" i="1" s="1"/>
  <c r="AD230" i="1" s="1"/>
  <c r="AD195" i="1"/>
  <c r="AD112" i="1"/>
  <c r="AD114" i="1" s="1"/>
  <c r="AD149" i="1"/>
  <c r="AD75" i="1" s="1"/>
  <c r="AD74" i="1"/>
  <c r="AD90" i="1"/>
  <c r="AD105" i="1"/>
  <c r="AC109" i="1"/>
  <c r="CX99" i="1"/>
  <c r="CX98" i="1"/>
  <c r="CX105" i="1"/>
  <c r="CX90" i="1"/>
  <c r="CX180" i="1" l="1"/>
  <c r="CX127" i="1"/>
  <c r="CX101" i="1"/>
  <c r="CX128" i="1"/>
  <c r="CX102" i="1"/>
  <c r="AD107" i="1" l="1"/>
  <c r="AD128" i="1"/>
  <c r="AD116" i="1"/>
  <c r="AD124" i="1"/>
  <c r="AD102" i="1"/>
  <c r="AD115" i="1"/>
  <c r="AD101" i="1"/>
  <c r="AD106" i="1"/>
  <c r="AD123" i="1"/>
  <c r="AD127" i="1"/>
  <c r="CX181" i="1"/>
  <c r="AD181" i="1"/>
  <c r="AE229" i="1" l="1"/>
  <c r="AD266" i="1"/>
  <c r="AD268" i="1"/>
  <c r="AD264" i="1"/>
  <c r="AD185" i="1"/>
  <c r="AD186" i="1" s="1"/>
  <c r="AD188" i="1"/>
  <c r="AD129" i="1" s="1"/>
  <c r="AD130" i="1" s="1"/>
  <c r="AD133" i="1" s="1"/>
  <c r="AD231" i="1"/>
  <c r="CX185" i="1"/>
  <c r="CX186" i="1" s="1"/>
  <c r="CX268" i="1"/>
  <c r="CY229" i="1"/>
  <c r="CX264" i="1"/>
  <c r="CX188" i="1"/>
  <c r="CX266" i="1"/>
  <c r="CX231" i="1"/>
  <c r="CX129" i="1" l="1"/>
  <c r="CY56" i="1"/>
  <c r="AD131" i="1"/>
  <c r="AD134" i="1" s="1"/>
  <c r="CY272" i="1" l="1"/>
  <c r="CY58" i="1"/>
  <c r="CX131" i="1"/>
  <c r="CX134" i="1" s="1"/>
  <c r="CX130" i="1"/>
  <c r="CX133" i="1" s="1"/>
  <c r="CY59" i="1" l="1"/>
  <c r="CY61" i="1" s="1"/>
  <c r="CY68" i="1" l="1"/>
  <c r="CY62" i="1"/>
  <c r="CY265" i="1" s="1"/>
  <c r="CY254" i="1"/>
  <c r="CY64" i="1"/>
  <c r="CY63" i="1"/>
  <c r="CY247" i="1"/>
  <c r="CY86" i="1" l="1"/>
  <c r="CY213" i="1"/>
  <c r="CY215" i="1" s="1"/>
  <c r="CY219" i="1" s="1"/>
  <c r="CY233" i="1" s="1"/>
  <c r="CY139" i="1"/>
  <c r="CY140" i="1" l="1"/>
  <c r="CY89" i="1"/>
  <c r="CY99" i="1" l="1"/>
  <c r="CY98" i="1"/>
  <c r="CY105" i="1"/>
  <c r="CY90" i="1"/>
  <c r="CY112" i="1"/>
  <c r="CY114" i="1" s="1"/>
  <c r="CY227" i="1"/>
  <c r="CY225" i="1" s="1"/>
  <c r="CY230" i="1" s="1"/>
  <c r="CY149" i="1"/>
  <c r="CY75" i="1" s="1"/>
  <c r="CY74" i="1"/>
  <c r="CY180" i="1" l="1"/>
  <c r="CY181" i="1" s="1"/>
  <c r="CY101" i="1"/>
  <c r="CY127" i="1"/>
  <c r="CY128" i="1"/>
  <c r="CY102" i="1"/>
  <c r="CZ229" i="1" l="1"/>
  <c r="CY188" i="1"/>
  <c r="CY185" i="1"/>
  <c r="CY186" i="1" s="1"/>
  <c r="CY266" i="1"/>
  <c r="CY264" i="1"/>
  <c r="CY268" i="1"/>
  <c r="CY231" i="1"/>
  <c r="CZ56" i="1" l="1"/>
  <c r="CY129" i="1"/>
  <c r="CY131" i="1" l="1"/>
  <c r="CY134" i="1" s="1"/>
  <c r="CY130" i="1"/>
  <c r="CY133" i="1" s="1"/>
  <c r="CZ272" i="1"/>
  <c r="CZ58" i="1"/>
  <c r="CZ59" i="1" l="1"/>
  <c r="CZ61" i="1" l="1"/>
  <c r="CZ68" i="1" l="1"/>
  <c r="CZ62" i="1"/>
  <c r="CZ265" i="1" s="1"/>
  <c r="CZ254" i="1"/>
  <c r="CZ63" i="1"/>
  <c r="CZ64" i="1"/>
  <c r="CZ247" i="1"/>
  <c r="CZ213" i="1" l="1"/>
  <c r="CZ215" i="1" s="1"/>
  <c r="CZ219" i="1" s="1"/>
  <c r="CZ233" i="1" s="1"/>
  <c r="CZ86" i="1"/>
  <c r="CZ139" i="1"/>
  <c r="CZ89" i="1" l="1"/>
  <c r="CZ140" i="1"/>
  <c r="CZ227" i="1" l="1"/>
  <c r="CZ225" i="1" s="1"/>
  <c r="CZ230" i="1" s="1"/>
  <c r="CZ112" i="1"/>
  <c r="CZ114" i="1" s="1"/>
  <c r="CZ149" i="1"/>
  <c r="CZ75" i="1" s="1"/>
  <c r="CZ74" i="1"/>
  <c r="CZ98" i="1"/>
  <c r="CZ105" i="1"/>
  <c r="CZ99" i="1"/>
  <c r="CZ90" i="1"/>
  <c r="CZ128" i="1" l="1"/>
  <c r="CZ102" i="1"/>
  <c r="CZ127" i="1"/>
  <c r="CZ101" i="1"/>
  <c r="CZ180" i="1"/>
  <c r="CZ181" i="1" s="1"/>
  <c r="CZ231" i="1" s="1"/>
  <c r="CZ264" i="1" l="1"/>
  <c r="CZ266" i="1"/>
  <c r="DA229" i="1"/>
  <c r="CZ188" i="1"/>
  <c r="CZ185" i="1"/>
  <c r="CZ186" i="1" s="1"/>
  <c r="CZ268" i="1"/>
  <c r="CZ129" i="1" l="1"/>
  <c r="DA56" i="1"/>
  <c r="AE56" i="1" s="1"/>
  <c r="DA272" i="1" l="1"/>
  <c r="DA58" i="1"/>
  <c r="CZ130" i="1"/>
  <c r="CZ133" i="1" s="1"/>
  <c r="CZ131" i="1"/>
  <c r="CZ134" i="1" s="1"/>
  <c r="DA59" i="1" l="1"/>
  <c r="AE59" i="1" s="1"/>
  <c r="DA61" i="1" l="1"/>
  <c r="DA64" i="1" l="1"/>
  <c r="DA68" i="1"/>
  <c r="DA63" i="1"/>
  <c r="DA62" i="1"/>
  <c r="DA265" i="1" s="1"/>
  <c r="DA254" i="1"/>
  <c r="DA247" i="1"/>
  <c r="DA86" i="1" l="1"/>
  <c r="DA213" i="1"/>
  <c r="DA215" i="1" s="1"/>
  <c r="DA219" i="1" s="1"/>
  <c r="DA233" i="1" s="1"/>
  <c r="DA139" i="1"/>
  <c r="AE139" i="1" s="1"/>
  <c r="DA140" i="1" l="1"/>
  <c r="DA89" i="1"/>
  <c r="DA98" i="1" l="1"/>
  <c r="AE98" i="1" s="1"/>
  <c r="DA99" i="1"/>
  <c r="AE99" i="1" s="1"/>
  <c r="DA105" i="1"/>
  <c r="DA90" i="1"/>
  <c r="DA112" i="1"/>
  <c r="DA114" i="1" s="1"/>
  <c r="DA227" i="1"/>
  <c r="DA225" i="1" s="1"/>
  <c r="DA230" i="1" s="1"/>
  <c r="DA149" i="1"/>
  <c r="DA75" i="1" s="1"/>
  <c r="DA74" i="1"/>
  <c r="DA180" i="1" l="1"/>
  <c r="DA128" i="1"/>
  <c r="DA102" i="1"/>
  <c r="DA127" i="1"/>
  <c r="DA101" i="1"/>
  <c r="DA181" i="1" l="1"/>
  <c r="DA185" i="1" s="1"/>
  <c r="DA186" i="1" s="1"/>
  <c r="AE180" i="1"/>
  <c r="DA268" i="1" l="1"/>
  <c r="DA266" i="1"/>
  <c r="DA264" i="1"/>
  <c r="DA231" i="1"/>
  <c r="DA188" i="1"/>
  <c r="DA129" i="1" s="1"/>
  <c r="DA130" i="1" l="1"/>
  <c r="DA133" i="1" s="1"/>
  <c r="DA131" i="1"/>
  <c r="DA134" i="1" s="1"/>
  <c r="AE272" i="1" l="1"/>
  <c r="AE57" i="1"/>
  <c r="AE58" i="1"/>
  <c r="AE60" i="1" l="1"/>
  <c r="AE61" i="1"/>
  <c r="AE81" i="1" s="1"/>
  <c r="AE62" i="1" l="1"/>
  <c r="AE265" i="1" s="1"/>
  <c r="AE68" i="1"/>
  <c r="AE63" i="1"/>
  <c r="AE71" i="1" l="1"/>
  <c r="AE72" i="1" s="1"/>
  <c r="AE86" i="1"/>
  <c r="AE213" i="1"/>
  <c r="AE215" i="1" s="1"/>
  <c r="AE219" i="1" s="1"/>
  <c r="AE233" i="1" s="1"/>
  <c r="AE140" i="1" l="1"/>
  <c r="AE88" i="1"/>
  <c r="AE89" i="1"/>
  <c r="AE90" i="1" l="1"/>
  <c r="AE105" i="1"/>
  <c r="AD109" i="1"/>
  <c r="AE195" i="1"/>
  <c r="AE227" i="1"/>
  <c r="AE225" i="1" s="1"/>
  <c r="AE230" i="1" s="1"/>
  <c r="AE112" i="1"/>
  <c r="AE114" i="1" s="1"/>
  <c r="AE149" i="1"/>
  <c r="AE75" i="1" s="1"/>
  <c r="AE74" i="1"/>
  <c r="AE128" i="1" l="1"/>
  <c r="AE107" i="1"/>
  <c r="AE116" i="1"/>
  <c r="AE124" i="1"/>
  <c r="AE102" i="1"/>
  <c r="AE101" i="1"/>
  <c r="AE106" i="1"/>
  <c r="AE127" i="1"/>
  <c r="AE123" i="1"/>
  <c r="AE115" i="1"/>
  <c r="AE181" i="1" l="1"/>
  <c r="AE185" i="1" l="1"/>
  <c r="AE186" i="1" s="1"/>
  <c r="AE266" i="1"/>
  <c r="AE264" i="1"/>
  <c r="AE268" i="1"/>
  <c r="AE188" i="1"/>
  <c r="AE129" i="1" s="1"/>
  <c r="AE231" i="1"/>
  <c r="AE131" i="1" l="1"/>
  <c r="AE134" i="1" s="1"/>
  <c r="AE130" i="1"/>
  <c r="AE1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<sst xmlns="http://schemas.openxmlformats.org/spreadsheetml/2006/main" count="681" uniqueCount="541">
  <si>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</si>
  <si>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</si>
  <si>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</si>
  <si>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</si>
  <si>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</si>
  <si>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</si>
  <si>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</si>
  <si>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</si>
  <si>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</si>
  <si>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</si>
  <si>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</si>
  <si>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</si>
  <si>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</si>
  <si>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</si>
  <si>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</si>
  <si>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</si>
  <si>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</si>
  <si>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</si>
  <si>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</si>
  <si>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</si>
  <si>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</si>
  <si>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</si>
  <si>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</si>
  <si>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</si>
  <si>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</si>
  <si>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</si>
  <si>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</si>
  <si>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</si>
  <si>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</si>
  <si>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</si>
  <si>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</si>
  <si>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</si>
  <si>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</si>
  <si>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</si>
  <si>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</si>
  <si>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</si>
  <si>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</si>
  <si>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</si>
  <si>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</si>
  <si>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</si>
  <si>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</si>
  <si>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</si>
  <si>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</si>
  <si>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</si>
  <si>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</si>
  <si>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</si>
  <si>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</si>
  <si>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</si>
  <si>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</si>
  <si>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</si>
  <si>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</si>
  <si>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</si>
  <si>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</si>
  <si>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</si>
  <si>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</si>
  <si>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</si>
  <si>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</si>
  <si>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</si>
  <si>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</si>
  <si>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</si>
  <si>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</si>
  <si>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</si>
  <si>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</si>
  <si>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</si>
  <si>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</si>
  <si>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</si>
  <si>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</si>
  <si>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</si>
  <si>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</si>
  <si>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</si>
  <si>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</si>
  <si>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</si>
  <si>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</si>
  <si>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</si>
  <si>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</si>
  <si>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</si>
  <si>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</si>
  <si>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</si>
  <si>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</si>
  <si>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</si>
  <si>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</si>
  <si>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</si>
  <si>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</si>
  <si>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</si>
  <si>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</si>
  <si>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</si>
  <si>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</si>
  <si>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</si>
  <si>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</si>
  <si>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</si>
  <si>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</si>
  <si>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</si>
  <si>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</si>
  <si>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</si>
  <si>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</si>
  <si>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</si>
  <si>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</si>
  <si>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</si>
  <si>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</si>
  <si>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</si>
  <si>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</si>
  <si>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</si>
  <si>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</si>
  <si>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</si>
  <si>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</si>
  <si>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</si>
  <si>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</si>
  <si>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</si>
  <si>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</si>
  <si>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</si>
  <si>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</si>
  <si>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</si>
  <si>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</si>
  <si>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</si>
  <si>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</si>
  <si>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</si>
  <si>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</si>
  <si>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</si>
  <si>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</si>
  <si>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</si>
  <si>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</si>
  <si>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</si>
  <si>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</si>
  <si>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</si>
  <si>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</si>
  <si>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</si>
  <si>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</si>
  <si>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</si>
  <si>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</si>
  <si>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</si>
  <si>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</si>
  <si>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</si>
  <si>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</si>
  <si>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</si>
  <si>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</si>
  <si>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</si>
  <si>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</si>
  <si>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</si>
  <si>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</si>
  <si>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</si>
  <si>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</si>
  <si>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</si>
  <si>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</si>
  <si>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</si>
  <si>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</si>
  <si>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</si>
  <si>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</si>
  <si>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</si>
  <si>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</si>
  <si>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</si>
  <si>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</si>
  <si>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</si>
  <si>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</si>
  <si>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</si>
  <si>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</si>
  <si>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</si>
  <si>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</si>
  <si>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</si>
  <si>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</si>
  <si>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</si>
  <si>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</si>
  <si>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</si>
  <si>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</si>
  <si>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</si>
  <si>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</si>
  <si>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</si>
  <si>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</si>
  <si>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</si>
  <si>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</si>
  <si>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</si>
  <si>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</si>
  <si>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</si>
  <si>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</si>
  <si>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</si>
  <si>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</si>
  <si>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</si>
  <si>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</si>
  <si>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</si>
  <si>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</si>
  <si>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</si>
  <si>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</si>
  <si>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</si>
  <si>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</si>
  <si>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</si>
  <si>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</si>
  <si>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</si>
  <si>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</si>
  <si>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</si>
  <si>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</si>
  <si>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</si>
  <si>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</si>
  <si>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</si>
  <si>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</si>
  <si>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</si>
  <si>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</si>
  <si>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</si>
  <si>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</si>
  <si>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</si>
  <si>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</si>
  <si>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</si>
  <si>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</si>
  <si>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</si>
  <si>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</si>
  <si>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</si>
  <si>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</si>
  <si>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</si>
  <si>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</si>
  <si>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</si>
  <si>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</si>
  <si>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</si>
  <si>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</si>
  <si>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</si>
  <si>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</si>
  <si>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</si>
  <si>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</si>
  <si>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</si>
  <si>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</si>
  <si>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</si>
  <si>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</si>
  <si>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</si>
  <si>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</si>
  <si>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</si>
  <si>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</si>
  <si>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</si>
  <si>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</si>
  <si>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</si>
  <si>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</si>
  <si>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</si>
  <si>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</si>
  <si>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</si>
  <si>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</si>
  <si>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</si>
  <si>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</si>
  <si>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</si>
  <si>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</si>
  <si>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</si>
  <si>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</si>
  <si>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</si>
  <si>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</si>
  <si>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</si>
  <si>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</si>
  <si>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</si>
  <si>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</si>
  <si>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</si>
  <si>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</si>
  <si>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</si>
  <si>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</si>
  <si>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</si>
  <si>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</si>
  <si>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</si>
  <si>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</si>
  <si>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</si>
  <si>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</si>
  <si>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</si>
  <si>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</si>
  <si>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</si>
  <si>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</si>
  <si>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</si>
  <si>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</si>
  <si>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</si>
  <si>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</si>
  <si>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</si>
  <si>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</si>
  <si>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</si>
  <si>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</si>
  <si>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</si>
  <si>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</si>
  <si>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</si>
  <si>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</si>
  <si>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</si>
  <si>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</si>
  <si>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</si>
  <si>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</si>
  <si>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</si>
  <si>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</si>
  <si>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</si>
  <si>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</si>
  <si>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</si>
  <si>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</si>
  <si>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</si>
  <si>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</si>
  <si>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</si>
  <si>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</si>
  <si>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</si>
  <si>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</si>
  <si>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</si>
  <si>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</si>
  <si>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</si>
  <si>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</si>
  <si>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</si>
  <si>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</si>
  <si>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</si>
  <si>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</si>
  <si>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</si>
  <si>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</si>
  <si>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</si>
  <si>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</si>
  <si>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</si>
  <si>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</si>
  <si>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</si>
  <si>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</si>
  <si>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</si>
  <si>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</si>
  <si>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</si>
  <si>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</si>
  <si>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</si>
  <si>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</si>
  <si>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</si>
  <si>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</si>
  <si>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</si>
  <si>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</si>
  <si>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</si>
  <si>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</si>
  <si>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</si>
  <si>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</si>
  <si>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</si>
  <si>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</si>
  <si>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</si>
  <si>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</si>
  <si>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</si>
  <si>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</si>
  <si>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</si>
  <si>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</si>
  <si>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</si>
  <si>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</si>
  <si>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</si>
  <si>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</si>
  <si>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</si>
  <si>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</si>
  <si>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</si>
  <si>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</si>
  <si>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</si>
  <si>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</si>
  <si>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</si>
  <si>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</si>
  <si>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</si>
  <si>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</si>
  <si>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</si>
  <si>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</si>
  <si>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</si>
  <si>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</si>
  <si>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</si>
  <si>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</si>
  <si>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</si>
  <si>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</si>
  <si>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</si>
  <si>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</si>
  <si>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</si>
  <si>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</si>
  <si>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</si>
  <si>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</si>
  <si>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</si>
  <si>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</si>
  <si>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</si>
  <si>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</si>
  <si>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</si>
  <si>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</si>
  <si>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</si>
  <si>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</si>
  <si>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</si>
  <si>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</si>
  <si>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</si>
  <si>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</si>
  <si>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</si>
  <si>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</si>
  <si>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</si>
  <si>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</si>
  <si>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</si>
  <si>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</si>
  <si>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</si>
  <si>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</si>
  <si>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</si>
  <si>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</si>
  <si>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</si>
  <si>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</si>
  <si>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</si>
  <si>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</si>
  <si>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</si>
  <si>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</si>
  <si>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</si>
  <si>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</si>
  <si>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</si>
  <si>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</si>
  <si>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</si>
  <si>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</si>
  <si>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</si>
  <si>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</si>
  <si>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</si>
  <si>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</si>
  <si>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</si>
  <si>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</si>
  <si>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</si>
  <si>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</si>
  <si>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</si>
  <si>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</si>
  <si>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</si>
  <si>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</si>
  <si>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</si>
  <si>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</si>
  <si>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</si>
  <si>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</si>
  <si>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</si>
  <si>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</si>
  <si>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</si>
  <si>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</si>
  <si>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</si>
  <si>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</si>
  <si>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</si>
  <si>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</si>
  <si>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</si>
  <si>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</si>
  <si>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</si>
  <si>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</si>
  <si>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</si>
  <si>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</si>
  <si>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</si>
  <si>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</si>
  <si>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</si>
  <si>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</si>
  <si>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</si>
  <si>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</si>
  <si>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</si>
  <si>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</si>
  <si>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</si>
  <si>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</si>
  <si>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</si>
  <si>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</si>
  <si>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</si>
  <si>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</si>
  <si>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</si>
  <si>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</si>
  <si>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</si>
  <si>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</si>
  <si>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</si>
  <si>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</si>
  <si>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</si>
  <si>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</si>
  <si>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</si>
  <si>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</si>
  <si>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</si>
  <si>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</si>
  <si>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</si>
  <si>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</si>
  <si>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</si>
  <si>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</si>
  <si>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</si>
  <si>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</si>
  <si>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</si>
  <si>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</si>
  <si>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</si>
  <si>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</si>
  <si>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</si>
  <si>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</si>
  <si>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</si>
  <si>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</si>
  <si>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</si>
  <si>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</si>
  <si>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</si>
  <si>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</si>
  <si>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</si>
  <si>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</si>
  <si>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</si>
  <si>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</si>
  <si>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</si>
  <si>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</si>
  <si>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</si>
  <si>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</si>
  <si>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</si>
  <si>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</si>
  <si>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</si>
  <si>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</si>
  <si>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</si>
  <si>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</si>
  <si>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</si>
  <si>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</si>
  <si>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</si>
  <si>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</si>
  <si>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</si>
  <si>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</si>
  <si>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</si>
  <si>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</si>
  <si>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</si>
  <si>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</si>
  <si>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</si>
  <si>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</si>
  <si>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</si>
  <si>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</si>
  <si>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</si>
  <si>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</si>
  <si>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</si>
  <si>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</si>
  <si>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</si>
  <si>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</si>
  <si>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</si>
  <si>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</si>
  <si>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</si>
  <si>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</si>
  <si>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</si>
  <si>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</si>
  <si>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</si>
  <si>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</si>
  <si>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</si>
  <si>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</si>
  <si>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</si>
  <si>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</si>
  <si>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</si>
  <si>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</si>
  <si>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</si>
  <si>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</si>
  <si>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</si>
  <si>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</si>
  <si>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</si>
  <si>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</si>
  <si>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</si>
  <si>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</si>
  <si>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</si>
  <si>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Varun Beverages Ltd.</t>
  </si>
  <si>
    <t>DATE</t>
  </si>
  <si>
    <t>ADJHIGH</t>
  </si>
  <si>
    <t>ADJCLOSE</t>
  </si>
  <si>
    <t>ADJLOW</t>
  </si>
  <si>
    <t>ADJOPEN</t>
  </si>
  <si>
    <t>CLOSE</t>
  </si>
  <si>
    <t>VOLUME</t>
  </si>
  <si>
    <t>Volume Mn Units - CSD</t>
  </si>
  <si>
    <t>Volume Mn Units - Juice</t>
  </si>
  <si>
    <t>Volume Mn Units - Water</t>
  </si>
  <si>
    <t>Total Volume Mn Units</t>
  </si>
  <si>
    <t>Volume Growth YoY% - CSD</t>
  </si>
  <si>
    <t>Volume Growth YoY% - Juice</t>
  </si>
  <si>
    <t>Volume Growth YoY% - Water</t>
  </si>
  <si>
    <t>Total Volume Growth YoY%</t>
  </si>
  <si>
    <t xml:space="preserve">Volume Growth % Y-o-Y </t>
  </si>
  <si>
    <t xml:space="preserve">Volume </t>
  </si>
  <si>
    <t>Realisation</t>
  </si>
  <si>
    <t>RM</t>
  </si>
  <si>
    <t>GP</t>
  </si>
  <si>
    <t>VC</t>
  </si>
  <si>
    <t>Contribution</t>
  </si>
  <si>
    <t>FC</t>
  </si>
  <si>
    <t>Unit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</si>
</sst>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4" fillId="0" borderId="0"/>
  </cellStyleXfs>
  <cellXfs count="191">
    <xf numFmtId="0" fontId="0" fillId="0" borderId="0" xfId="0"/>
    <xf numFmtId="0" fontId="5" fillId="0" borderId="0" xfId="0" applyFont="1"/>
    <xf numFmtId="0" fontId="2" fillId="0" borderId="0" xfId="0" applyFont="1"/>
    <xf numFmtId="164" fontId="4" fillId="3" borderId="0" xfId="2" applyFont="1" applyFill="1" applyBorder="1"/>
    <xf numFmtId="164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164" fontId="4" fillId="6" borderId="0" xfId="2" applyFont="1" applyFill="1" applyBorder="1"/>
    <xf numFmtId="166" fontId="4" fillId="6" borderId="0" xfId="2" applyNumberFormat="1" applyFont="1" applyFill="1" applyBorder="1"/>
    <xf numFmtId="166" fontId="4" fillId="7" borderId="0" xfId="2" applyNumberFormat="1" applyFont="1" applyFill="1" applyBorder="1"/>
    <xf numFmtId="164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164" fontId="5" fillId="7" borderId="0" xfId="2" applyFont="1" applyFill="1"/>
    <xf numFmtId="164" fontId="5" fillId="0" borderId="0" xfId="2" applyFont="1"/>
    <xf numFmtId="164" fontId="2" fillId="0" borderId="0" xfId="2" applyFont="1"/>
    <xf numFmtId="164" fontId="2" fillId="7" borderId="0" xfId="2" applyFont="1" applyFill="1"/>
    <xf numFmtId="164" fontId="5" fillId="0" borderId="0" xfId="2" applyFont="1" applyBorder="1"/>
    <xf numFmtId="164" fontId="5" fillId="0" borderId="1" xfId="2" applyFont="1" applyBorder="1"/>
    <xf numFmtId="164" fontId="5" fillId="7" borderId="1" xfId="2" applyFont="1" applyFill="1" applyBorder="1"/>
    <xf numFmtId="164" fontId="7" fillId="0" borderId="0" xfId="2" applyFont="1"/>
    <xf numFmtId="164" fontId="7" fillId="3" borderId="0" xfId="2" applyFont="1" applyFill="1"/>
    <xf numFmtId="164" fontId="7" fillId="7" borderId="0" xfId="2" applyFont="1" applyFill="1"/>
    <xf numFmtId="164" fontId="4" fillId="0" borderId="1" xfId="2" applyFont="1" applyBorder="1"/>
    <xf numFmtId="164" fontId="4" fillId="7" borderId="1" xfId="2" applyFont="1" applyFill="1" applyBorder="1"/>
    <xf numFmtId="164" fontId="5" fillId="0" borderId="0" xfId="2" applyFont="1" applyAlignment="1">
      <alignment vertical="center" wrapText="1"/>
    </xf>
    <xf numFmtId="164" fontId="5" fillId="0" borderId="1" xfId="2" applyFont="1" applyBorder="1" applyAlignment="1">
      <alignment vertical="center" wrapText="1"/>
    </xf>
    <xf numFmtId="164" fontId="5" fillId="0" borderId="4" xfId="2" applyFont="1" applyBorder="1"/>
    <xf numFmtId="164" fontId="4" fillId="0" borderId="0" xfId="2" applyFont="1" applyBorder="1"/>
    <xf numFmtId="164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164" fontId="4" fillId="3" borderId="0" xfId="2" applyFont="1" applyFill="1"/>
    <xf numFmtId="164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164" fontId="9" fillId="3" borderId="0" xfId="2" applyFont="1" applyFill="1" applyBorder="1"/>
    <xf numFmtId="164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164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164" fontId="7" fillId="4" borderId="0" xfId="2" applyFont="1" applyFill="1"/>
    <xf numFmtId="164" fontId="13" fillId="4" borderId="0" xfId="2" applyFont="1" applyFill="1"/>
    <xf numFmtId="164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164" fontId="9" fillId="7" borderId="0" xfId="2" applyFont="1" applyFill="1"/>
    <xf numFmtId="164" fontId="9" fillId="7" borderId="0" xfId="2" applyFont="1" applyFill="1" applyAlignment="1">
      <alignment horizontal="center"/>
    </xf>
    <xf numFmtId="164" fontId="7" fillId="7" borderId="0" xfId="2" applyFont="1" applyFill="1" applyBorder="1"/>
    <xf numFmtId="164" fontId="2" fillId="0" borderId="0" xfId="2" applyFont="1" applyBorder="1"/>
    <xf numFmtId="164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10" fillId="8" borderId="0" xfId="2" applyFont="1" applyFill="1"/>
    <xf numFmtId="164" fontId="9" fillId="8" borderId="0" xfId="2" applyFont="1" applyFill="1"/>
    <xf numFmtId="164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164" fontId="7" fillId="0" borderId="0" xfId="2" applyFont="1" applyBorder="1"/>
    <xf numFmtId="164" fontId="7" fillId="8" borderId="0" xfId="2" applyFont="1" applyFill="1"/>
    <xf numFmtId="164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164" fontId="16" fillId="3" borderId="0" xfId="2" applyFont="1" applyFill="1" applyBorder="1"/>
    <xf numFmtId="164" fontId="17" fillId="6" borderId="0" xfId="2" applyFont="1" applyFill="1" applyBorder="1"/>
    <xf numFmtId="164" fontId="17" fillId="7" borderId="0" xfId="2" applyFont="1" applyFill="1" applyBorder="1"/>
    <xf numFmtId="164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164" fontId="9" fillId="4" borderId="0" xfId="2" applyFont="1" applyFill="1" applyAlignment="1">
      <alignment horizontal="center"/>
    </xf>
    <xf numFmtId="164" fontId="18" fillId="2" borderId="0" xfId="2" applyFont="1" applyFill="1"/>
    <xf numFmtId="164" fontId="18" fillId="7" borderId="0" xfId="2" applyFont="1" applyFill="1"/>
    <xf numFmtId="164" fontId="4" fillId="0" borderId="0" xfId="2" applyFont="1"/>
    <xf numFmtId="164" fontId="18" fillId="2" borderId="0" xfId="2" applyFont="1" applyFill="1" applyAlignment="1">
      <alignment horizontal="center"/>
    </xf>
    <xf numFmtId="164" fontId="18" fillId="7" borderId="0" xfId="2" applyFont="1" applyFill="1" applyAlignment="1">
      <alignment horizontal="center"/>
    </xf>
    <xf numFmtId="164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164" fontId="2" fillId="0" borderId="0" xfId="0" applyNumberFormat="1" applyFont="1"/>
    <xf numFmtId="164" fontId="7" fillId="3" borderId="0" xfId="0" applyNumberFormat="1" applyFont="1" applyFill="1"/>
    <xf numFmtId="164" fontId="2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4" fontId="0" fillId="0" borderId="0" xfId="0" applyNumberFormat="1"/>
    <xf numFmtId="164" fontId="18" fillId="0" borderId="0" xfId="2" applyFont="1" applyFill="1" applyAlignment="1">
      <alignment horizontal="center"/>
    </xf>
    <xf numFmtId="164" fontId="18" fillId="0" borderId="0" xfId="2" applyFont="1" applyFill="1"/>
    <xf numFmtId="164" fontId="5" fillId="0" borderId="0" xfId="2" applyFont="1" applyFill="1" applyBorder="1"/>
    <xf numFmtId="164" fontId="7" fillId="0" borderId="0" xfId="2" applyFont="1" applyFill="1" applyBorder="1"/>
    <xf numFmtId="164" fontId="5" fillId="0" borderId="1" xfId="2" applyFont="1" applyFill="1" applyBorder="1"/>
    <xf numFmtId="167" fontId="9" fillId="0" borderId="0" xfId="1" applyNumberFormat="1" applyFont="1" applyFill="1" applyBorder="1"/>
    <xf numFmtId="164" fontId="2" fillId="0" borderId="0" xfId="2" applyFont="1" applyFill="1"/>
    <xf numFmtId="164" fontId="4" fillId="0" borderId="1" xfId="2" applyFont="1" applyFill="1" applyBorder="1"/>
    <xf numFmtId="167" fontId="4" fillId="0" borderId="0" xfId="1" applyNumberFormat="1" applyFont="1" applyFill="1"/>
    <xf numFmtId="164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164" fontId="2" fillId="0" borderId="0" xfId="2" applyFont="1" applyFill="1" applyBorder="1"/>
    <xf numFmtId="164" fontId="9" fillId="0" borderId="0" xfId="2" applyFont="1" applyFill="1" applyBorder="1"/>
    <xf numFmtId="2" fontId="9" fillId="0" borderId="0" xfId="2" applyNumberFormat="1" applyFont="1" applyFill="1" applyBorder="1"/>
    <xf numFmtId="164" fontId="4" fillId="0" borderId="0" xfId="2" applyFont="1" applyFill="1" applyBorder="1"/>
    <xf numFmtId="9" fontId="16" fillId="0" borderId="0" xfId="1" applyFont="1" applyFill="1" applyBorder="1"/>
    <xf numFmtId="164" fontId="11" fillId="0" borderId="0" xfId="2" applyFont="1" applyFill="1" applyBorder="1"/>
    <xf numFmtId="164" fontId="17" fillId="0" borderId="0" xfId="2" applyFont="1" applyFill="1" applyBorder="1"/>
    <xf numFmtId="164" fontId="4" fillId="0" borderId="0" xfId="2" applyFont="1" applyFill="1"/>
    <xf numFmtId="164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164" fontId="9" fillId="0" borderId="0" xfId="2" applyFont="1" applyFill="1" applyAlignment="1">
      <alignment horizontal="center"/>
    </xf>
    <xf numFmtId="164" fontId="9" fillId="0" borderId="0" xfId="2" applyFont="1" applyFill="1"/>
    <xf numFmtId="164" fontId="19" fillId="3" borderId="0" xfId="2" applyFont="1" applyFill="1" applyBorder="1"/>
    <xf numFmtId="164" fontId="19" fillId="7" borderId="0" xfId="2" applyFont="1" applyFill="1" applyBorder="1"/>
    <xf numFmtId="164" fontId="19" fillId="0" borderId="0" xfId="2" applyFont="1" applyFill="1" applyBorder="1"/>
    <xf numFmtId="164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164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164" fontId="20" fillId="2" borderId="0" xfId="2" applyFont="1" applyFill="1" applyAlignment="1">
      <alignment horizontal="left"/>
    </xf>
    <xf numFmtId="164" fontId="20" fillId="2" borderId="0" xfId="2" applyFont="1" applyFill="1" applyAlignment="1">
      <alignment horizontal="center"/>
    </xf>
    <xf numFmtId="164" fontId="20" fillId="7" borderId="0" xfId="2" applyFont="1" applyFill="1" applyAlignment="1">
      <alignment horizontal="center"/>
    </xf>
    <xf numFmtId="164" fontId="7" fillId="0" borderId="0" xfId="2" applyFont="1" applyAlignment="1">
      <alignment horizontal="center"/>
    </xf>
    <xf numFmtId="164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164" fontId="5" fillId="3" borderId="0" xfId="2" applyFont="1" applyFill="1"/>
    <xf numFmtId="164" fontId="4" fillId="6" borderId="0" xfId="2" applyFont="1" applyFill="1"/>
    <xf numFmtId="164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4" fontId="18" fillId="2" borderId="0" xfId="2" applyFont="1" applyFill="1" applyAlignment="1">
      <alignment horizontal="left"/>
    </xf>
    <xf numFmtId="164" fontId="9" fillId="2" borderId="0" xfId="2" applyFont="1" applyFill="1" applyAlignment="1">
      <alignment horizontal="left"/>
    </xf>
    <xf numFmtId="164" fontId="9" fillId="2" borderId="0" xfId="2" applyFont="1" applyFill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164" fontId="9" fillId="0" borderId="0" xfId="2" applyFont="1" applyAlignment="1">
      <alignment horizontal="center"/>
    </xf>
    <xf numFmtId="9" fontId="9" fillId="7" borderId="0" xfId="2" applyNumberFormat="1" applyFont="1" applyFill="1" applyAlignment="1">
      <alignment horizontal="center"/>
    </xf>
    <xf numFmtId="0" fontId="21" fillId="0" borderId="0" xfId="0" applyFont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cheeta%20Kadge\Downloads\Varun%20Beverages%20Ltd.xlsx" TargetMode="External"/><Relationship Id="rId1" Type="http://schemas.openxmlformats.org/officeDocument/2006/relationships/externalLinkPath" Target="file:///C:\Users\Rucheeta%20Kadge\Downloads\Varun%20Beverages%20L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QTR Raw"/>
      <sheetName val="Annual Raw"/>
      <sheetName val="QTR Share Price"/>
      <sheetName val="QTR No. of Shares"/>
      <sheetName val="Share price Daily"/>
      <sheetName val="Sheet2"/>
    </sheetNames>
    <sheetDataSet>
      <sheetData sheetId="0" refreshError="1"/>
      <sheetData sheetId="1" refreshError="1"/>
      <sheetData sheetId="2">
        <row r="1">
          <cell r="A1">
            <v>209550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74"/>
  <sheetViews>
    <sheetView tabSelected="1" zoomScaleNormal="100" workbookViewId="0">
      <pane xSplit="1" ySplit="1" topLeftCell="CK76" activePane="bottomRight" state="frozen"/>
      <selection pane="topRight" activeCell="B1" sqref="B1"/>
      <selection pane="bottomLeft" activeCell="A2" sqref="A2"/>
      <selection pane="bottomRight" activeCell="CM98" sqref="CM98"/>
    </sheetView>
  </sheetViews>
  <sheetFormatPr defaultColWidth="11.140625" defaultRowHeight="15" outlineLevelRow="1" x14ac:dyDescent="0.25"/>
  <cols>
    <col min="1" max="1" width="35.85546875" style="2" customWidth="1"/>
    <col min="2" max="26" width="11.140625" style="2"/>
    <col min="27" max="31" width="11.140625" style="18"/>
    <col min="32" max="34" width="11.140625" style="2"/>
    <col min="35" max="53" width="0" style="2" hidden="1" customWidth="1"/>
    <col min="54" max="90" width="11.140625" style="2"/>
    <col min="91" max="105" width="11.140625" style="23"/>
    <col min="107" max="107" width="11.140625" style="2"/>
    <col min="108" max="108" width="11.140625" style="122"/>
    <col min="109" max="16384" width="11.140625" style="2"/>
  </cols>
  <sheetData>
    <row r="1" spans="1:108" s="80" customFormat="1" x14ac:dyDescent="0.25">
      <c r="A1" s="77" t="str">
        <f>+'Annual Raw'!C4</f>
        <v>Varun Beverages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ref="CK1:CL1" si="12">EOMONTH(CJ1,3)</f>
        <v>46022</v>
      </c>
      <c r="CL1" s="78">
        <f t="shared" si="12"/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B1"/>
      <c r="DD1" s="147" t="s">
        <v>445</v>
      </c>
    </row>
    <row r="2" spans="1:108" s="108" customFormat="1" x14ac:dyDescent="0.25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/>
      <c r="DD2" s="116"/>
    </row>
    <row r="3" spans="1:108" s="157" customFormat="1" x14ac:dyDescent="0.25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B3"/>
      <c r="DD3" s="158"/>
    </row>
    <row r="4" spans="1:108" s="150" customFormat="1" x14ac:dyDescent="0.25">
      <c r="A4" s="150" t="s">
        <v>533</v>
      </c>
      <c r="DB4"/>
    </row>
    <row r="5" spans="1:108" s="157" customFormat="1" x14ac:dyDescent="0.25">
      <c r="A5" s="154" t="s">
        <v>524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>
        <f>SUM(BB5:BE5)</f>
        <v>220</v>
      </c>
      <c r="T5" s="155">
        <f>SUM(BF5:BI5)</f>
        <v>257</v>
      </c>
      <c r="U5" s="155">
        <f>SUM(BJ5:BM5)</f>
        <v>347</v>
      </c>
      <c r="V5" s="155">
        <f>SUM(BN5:BQ5)</f>
        <v>309</v>
      </c>
      <c r="W5" s="155">
        <f>SUM(BR5:BU5)</f>
        <v>400</v>
      </c>
      <c r="X5" s="155">
        <f>SUM(BV5:BY5)</f>
        <v>562</v>
      </c>
      <c r="Y5" s="155">
        <f>SUM(BZ5:CC5)</f>
        <v>657</v>
      </c>
      <c r="Z5" s="155">
        <f>SUM(CD5:CG5)</f>
        <v>833</v>
      </c>
      <c r="AA5" s="156">
        <f>SUM(CH5:CK5)</f>
        <v>897</v>
      </c>
      <c r="AB5" s="156">
        <f>SUM(CL5:CO5)</f>
        <v>977.51589884530063</v>
      </c>
      <c r="AC5" s="156">
        <f>SUM(CP5:CS5)</f>
        <v>1060.1003938688264</v>
      </c>
      <c r="AD5" s="156">
        <f>SUM(CT5:CW5)</f>
        <v>1143.3609328470134</v>
      </c>
      <c r="AE5" s="156">
        <f>SUM(CX5:DA5)</f>
        <v>1233.5061165001134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>
        <v>51</v>
      </c>
      <c r="BC5" s="155">
        <v>92</v>
      </c>
      <c r="BD5" s="155">
        <v>53</v>
      </c>
      <c r="BE5" s="155">
        <v>24</v>
      </c>
      <c r="BF5" s="155">
        <v>60</v>
      </c>
      <c r="BG5" s="155">
        <v>107</v>
      </c>
      <c r="BH5" s="155">
        <v>59</v>
      </c>
      <c r="BI5" s="155">
        <v>31</v>
      </c>
      <c r="BJ5" s="155">
        <v>64</v>
      </c>
      <c r="BK5" s="155">
        <v>145</v>
      </c>
      <c r="BL5" s="155">
        <v>86</v>
      </c>
      <c r="BM5" s="155">
        <v>52</v>
      </c>
      <c r="BN5" s="155">
        <v>76</v>
      </c>
      <c r="BO5" s="155">
        <v>89</v>
      </c>
      <c r="BP5" s="155">
        <v>89</v>
      </c>
      <c r="BQ5" s="155">
        <v>55</v>
      </c>
      <c r="BR5" s="155">
        <v>106</v>
      </c>
      <c r="BS5" s="155">
        <v>118</v>
      </c>
      <c r="BT5" s="155">
        <v>108</v>
      </c>
      <c r="BU5" s="155">
        <v>68</v>
      </c>
      <c r="BV5" s="155">
        <v>126</v>
      </c>
      <c r="BW5" s="155">
        <v>218</v>
      </c>
      <c r="BX5" s="155">
        <v>133</v>
      </c>
      <c r="BY5" s="155">
        <v>85</v>
      </c>
      <c r="BZ5" s="155">
        <v>160</v>
      </c>
      <c r="CA5" s="155">
        <v>232</v>
      </c>
      <c r="CB5" s="155">
        <v>159</v>
      </c>
      <c r="CC5" s="155">
        <v>106</v>
      </c>
      <c r="CD5" s="155">
        <v>169</v>
      </c>
      <c r="CE5" s="155">
        <v>306</v>
      </c>
      <c r="CF5" s="155">
        <v>200</v>
      </c>
      <c r="CG5" s="155">
        <v>158</v>
      </c>
      <c r="CH5" s="155">
        <v>234</v>
      </c>
      <c r="CI5" s="155">
        <v>291</v>
      </c>
      <c r="CJ5" s="155">
        <v>202</v>
      </c>
      <c r="CK5" s="155">
        <v>170</v>
      </c>
      <c r="CL5" s="155">
        <v>268</v>
      </c>
      <c r="CM5" s="156">
        <f>+CI5*(1+CM11)</f>
        <v>305.58286808618288</v>
      </c>
      <c r="CN5" s="156">
        <f t="shared" ref="CN5:DA5" si="28">+CJ5*(1+CN11)</f>
        <v>217.62962916618937</v>
      </c>
      <c r="CO5" s="156">
        <f t="shared" si="28"/>
        <v>186.30340159292842</v>
      </c>
      <c r="CP5" s="156">
        <f t="shared" si="28"/>
        <v>295.17236884735576</v>
      </c>
      <c r="CQ5" s="156">
        <f t="shared" si="28"/>
        <v>328.40966516173552</v>
      </c>
      <c r="CR5" s="156">
        <f t="shared" si="28"/>
        <v>235.11704974700339</v>
      </c>
      <c r="CS5" s="156">
        <f t="shared" si="28"/>
        <v>201.40131011273158</v>
      </c>
      <c r="CT5" s="156">
        <f t="shared" si="28"/>
        <v>318.0839049335566</v>
      </c>
      <c r="CU5" s="156">
        <f t="shared" si="28"/>
        <v>354.16629971003107</v>
      </c>
      <c r="CV5" s="156">
        <f t="shared" si="28"/>
        <v>253.77609416732363</v>
      </c>
      <c r="CW5" s="156">
        <f t="shared" si="28"/>
        <v>217.33463403610196</v>
      </c>
      <c r="CX5" s="156">
        <f t="shared" si="28"/>
        <v>343.09501855120453</v>
      </c>
      <c r="CY5" s="156">
        <f t="shared" si="28"/>
        <v>382.10399100731814</v>
      </c>
      <c r="CZ5" s="156">
        <f t="shared" si="28"/>
        <v>273.82354940328992</v>
      </c>
      <c r="DA5" s="156">
        <f t="shared" si="28"/>
        <v>234.48355753830094</v>
      </c>
      <c r="DB5"/>
      <c r="DD5" s="158"/>
    </row>
    <row r="6" spans="1:108" s="157" customFormat="1" x14ac:dyDescent="0.25">
      <c r="A6" s="154" t="s">
        <v>525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>
        <f t="shared" ref="S6:S7" si="29">SUM(BB6:BE6)</f>
        <v>14</v>
      </c>
      <c r="T6" s="155">
        <f t="shared" ref="T6:T7" si="30">SUM(BF6:BI6)</f>
        <v>22</v>
      </c>
      <c r="U6" s="155">
        <f t="shared" ref="U6:U7" si="31">SUM(BJ6:BM6)</f>
        <v>23</v>
      </c>
      <c r="V6" s="155">
        <f t="shared" ref="V6:V7" si="32">SUM(BN6:BQ6)</f>
        <v>26</v>
      </c>
      <c r="W6" s="155">
        <f t="shared" ref="W6:W7" si="33">SUM(BR6:BU6)</f>
        <v>36</v>
      </c>
      <c r="X6" s="155">
        <f t="shared" ref="X6:X7" si="34">SUM(BV6:BY6)</f>
        <v>57</v>
      </c>
      <c r="Y6" s="155">
        <f t="shared" ref="Y6:Y7" si="35">SUM(BZ6:CC6)</f>
        <v>58</v>
      </c>
      <c r="Z6" s="155">
        <f t="shared" ref="Z6:Z7" si="36">SUM(CD6:CG6)</f>
        <v>69.3</v>
      </c>
      <c r="AA6" s="156">
        <f t="shared" ref="AA6:AA7" si="37">SUM(CH6:CK6)</f>
        <v>72</v>
      </c>
      <c r="AB6" s="156">
        <f t="shared" ref="AB6:AB7" si="38">SUM(CL6:CO6)</f>
        <v>84.464503422289823</v>
      </c>
      <c r="AC6" s="156">
        <f t="shared" ref="AC6:AC7" si="39">SUM(CP6:CS6)</f>
        <v>99.771826329973152</v>
      </c>
      <c r="AD6" s="156">
        <f t="shared" ref="AD6:AD7" si="40">SUM(CT6:CW6)</f>
        <v>116.72322074224182</v>
      </c>
      <c r="AE6" s="156">
        <f t="shared" ref="AE6:AE7" si="41">SUM(CX6:DA6)</f>
        <v>136.0149956479537</v>
      </c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>
        <v>3</v>
      </c>
      <c r="BC6" s="155">
        <v>7</v>
      </c>
      <c r="BD6" s="155">
        <v>3</v>
      </c>
      <c r="BE6" s="155">
        <v>1</v>
      </c>
      <c r="BF6" s="155">
        <v>5</v>
      </c>
      <c r="BG6" s="155">
        <v>10</v>
      </c>
      <c r="BH6" s="155">
        <v>4</v>
      </c>
      <c r="BI6" s="155">
        <v>3</v>
      </c>
      <c r="BJ6" s="155">
        <v>6</v>
      </c>
      <c r="BK6" s="155">
        <v>5</v>
      </c>
      <c r="BL6" s="155">
        <v>7</v>
      </c>
      <c r="BM6" s="155">
        <v>5</v>
      </c>
      <c r="BN6" s="155">
        <v>8</v>
      </c>
      <c r="BO6" s="155">
        <v>8</v>
      </c>
      <c r="BP6" s="155">
        <v>6</v>
      </c>
      <c r="BQ6" s="155">
        <v>4</v>
      </c>
      <c r="BR6" s="155">
        <v>11</v>
      </c>
      <c r="BS6" s="155">
        <v>11</v>
      </c>
      <c r="BT6" s="155">
        <v>8</v>
      </c>
      <c r="BU6" s="155">
        <v>6</v>
      </c>
      <c r="BV6" s="155">
        <v>13</v>
      </c>
      <c r="BW6" s="155">
        <v>26</v>
      </c>
      <c r="BX6" s="155">
        <v>11</v>
      </c>
      <c r="BY6" s="155">
        <v>7</v>
      </c>
      <c r="BZ6" s="155">
        <v>16</v>
      </c>
      <c r="CA6" s="155">
        <v>23</v>
      </c>
      <c r="CB6" s="155">
        <v>11</v>
      </c>
      <c r="CC6" s="155">
        <v>8</v>
      </c>
      <c r="CD6" s="155">
        <v>18</v>
      </c>
      <c r="CE6" s="155">
        <v>32</v>
      </c>
      <c r="CF6" s="155">
        <v>11.3</v>
      </c>
      <c r="CG6" s="155">
        <v>8</v>
      </c>
      <c r="CH6" s="155">
        <v>22</v>
      </c>
      <c r="CI6" s="155">
        <v>28</v>
      </c>
      <c r="CJ6" s="155">
        <v>12</v>
      </c>
      <c r="CK6" s="155">
        <v>10</v>
      </c>
      <c r="CL6" s="155">
        <v>27</v>
      </c>
      <c r="CM6" s="156">
        <f t="shared" ref="CM6:DA6" si="42">+CI6*(1+CM12)</f>
        <v>31.189491150442475</v>
      </c>
      <c r="CN6" s="156">
        <f t="shared" si="42"/>
        <v>14.155329092920354</v>
      </c>
      <c r="CO6" s="156">
        <f t="shared" si="42"/>
        <v>12.119683178926991</v>
      </c>
      <c r="CP6" s="156">
        <f t="shared" si="42"/>
        <v>32.440759343456165</v>
      </c>
      <c r="CQ6" s="156">
        <f t="shared" si="42"/>
        <v>36.371462408449709</v>
      </c>
      <c r="CR6" s="156">
        <f t="shared" si="42"/>
        <v>16.680920986971522</v>
      </c>
      <c r="CS6" s="156">
        <f t="shared" si="42"/>
        <v>14.278683591095749</v>
      </c>
      <c r="CT6" s="156">
        <f t="shared" si="42"/>
        <v>37.961863545274596</v>
      </c>
      <c r="CU6" s="156">
        <f t="shared" si="42"/>
        <v>42.545855519145377</v>
      </c>
      <c r="CV6" s="156">
        <f t="shared" si="42"/>
        <v>19.527433848461911</v>
      </c>
      <c r="CW6" s="156">
        <f t="shared" si="42"/>
        <v>16.688067829359941</v>
      </c>
      <c r="CX6" s="156">
        <f t="shared" si="42"/>
        <v>44.280119438997069</v>
      </c>
      <c r="CY6" s="156">
        <f t="shared" si="42"/>
        <v>49.587932253310598</v>
      </c>
      <c r="CZ6" s="156">
        <f t="shared" si="42"/>
        <v>22.739268340708442</v>
      </c>
      <c r="DA6" s="156">
        <f t="shared" si="42"/>
        <v>19.407675614937602</v>
      </c>
      <c r="DB6"/>
      <c r="DD6" s="158"/>
    </row>
    <row r="7" spans="1:108" s="157" customFormat="1" x14ac:dyDescent="0.25">
      <c r="A7" s="154" t="s">
        <v>526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>
        <f t="shared" si="29"/>
        <v>44</v>
      </c>
      <c r="T7" s="155">
        <f t="shared" si="30"/>
        <v>61</v>
      </c>
      <c r="U7" s="155">
        <f t="shared" si="31"/>
        <v>111</v>
      </c>
      <c r="V7" s="155">
        <f t="shared" si="32"/>
        <v>90</v>
      </c>
      <c r="W7" s="155">
        <f t="shared" si="33"/>
        <v>132</v>
      </c>
      <c r="X7" s="155">
        <f t="shared" si="34"/>
        <v>182</v>
      </c>
      <c r="Y7" s="155">
        <f t="shared" si="35"/>
        <v>199</v>
      </c>
      <c r="Z7" s="155">
        <f t="shared" si="36"/>
        <v>221</v>
      </c>
      <c r="AA7" s="156">
        <f t="shared" si="37"/>
        <v>244</v>
      </c>
      <c r="AB7" s="156">
        <f t="shared" si="38"/>
        <v>288.286308744331</v>
      </c>
      <c r="AC7" s="156">
        <f t="shared" si="39"/>
        <v>339.71224754023791</v>
      </c>
      <c r="AD7" s="156">
        <f t="shared" si="40"/>
        <v>399.71924861409497</v>
      </c>
      <c r="AE7" s="156">
        <f t="shared" si="41"/>
        <v>475.15726876881655</v>
      </c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v>13</v>
      </c>
      <c r="BC7" s="155">
        <v>13</v>
      </c>
      <c r="BD7" s="155">
        <v>10</v>
      </c>
      <c r="BE7" s="155">
        <v>8</v>
      </c>
      <c r="BF7" s="155">
        <v>15</v>
      </c>
      <c r="BG7" s="155">
        <v>19</v>
      </c>
      <c r="BH7" s="155">
        <v>15</v>
      </c>
      <c r="BI7" s="155">
        <v>12</v>
      </c>
      <c r="BJ7" s="155">
        <v>20</v>
      </c>
      <c r="BK7" s="155">
        <v>35</v>
      </c>
      <c r="BL7" s="155">
        <v>31</v>
      </c>
      <c r="BM7" s="155">
        <v>25</v>
      </c>
      <c r="BN7" s="155">
        <v>30</v>
      </c>
      <c r="BO7" s="155">
        <v>8</v>
      </c>
      <c r="BP7" s="155">
        <v>24</v>
      </c>
      <c r="BQ7" s="155">
        <v>28</v>
      </c>
      <c r="BR7" s="155">
        <v>34</v>
      </c>
      <c r="BS7" s="155">
        <v>23</v>
      </c>
      <c r="BT7" s="155">
        <v>37</v>
      </c>
      <c r="BU7" s="155">
        <v>38</v>
      </c>
      <c r="BV7" s="155">
        <v>41</v>
      </c>
      <c r="BW7" s="155">
        <v>55</v>
      </c>
      <c r="BX7" s="155">
        <v>46</v>
      </c>
      <c r="BY7" s="155">
        <v>40</v>
      </c>
      <c r="BZ7" s="155">
        <v>48</v>
      </c>
      <c r="CA7" s="155">
        <v>59</v>
      </c>
      <c r="CB7" s="155">
        <v>50</v>
      </c>
      <c r="CC7" s="155">
        <v>42</v>
      </c>
      <c r="CD7" s="155">
        <v>53</v>
      </c>
      <c r="CE7" s="155">
        <v>63</v>
      </c>
      <c r="CF7" s="155">
        <v>56</v>
      </c>
      <c r="CG7" s="155">
        <v>49</v>
      </c>
      <c r="CH7" s="155">
        <v>56</v>
      </c>
      <c r="CI7" s="155">
        <v>71</v>
      </c>
      <c r="CJ7" s="155">
        <v>60</v>
      </c>
      <c r="CK7" s="155">
        <v>57</v>
      </c>
      <c r="CL7" s="155">
        <v>68</v>
      </c>
      <c r="CM7" s="156">
        <f t="shared" ref="CM7:DA7" si="43">+CI7*(1+CM13)</f>
        <v>82.245691609977314</v>
      </c>
      <c r="CN7" s="156">
        <f t="shared" si="43"/>
        <v>70.021598639455775</v>
      </c>
      <c r="CO7" s="156">
        <f t="shared" si="43"/>
        <v>68.019018494897949</v>
      </c>
      <c r="CP7" s="156">
        <f t="shared" si="43"/>
        <v>81.707445854591839</v>
      </c>
      <c r="CQ7" s="156">
        <f t="shared" si="43"/>
        <v>96.167709636021925</v>
      </c>
      <c r="CR7" s="156">
        <f t="shared" si="43"/>
        <v>82.053490207265611</v>
      </c>
      <c r="CS7" s="156">
        <f t="shared" si="43"/>
        <v>79.783601842358578</v>
      </c>
      <c r="CT7" s="156">
        <f t="shared" si="43"/>
        <v>95.448723495158234</v>
      </c>
      <c r="CU7" s="156">
        <f t="shared" si="43"/>
        <v>113.22620478710184</v>
      </c>
      <c r="CV7" s="156">
        <f t="shared" si="43"/>
        <v>96.781367962646257</v>
      </c>
      <c r="CW7" s="156">
        <f t="shared" si="43"/>
        <v>94.262952369188682</v>
      </c>
      <c r="CX7" s="156">
        <f t="shared" si="43"/>
        <v>112.98252611462669</v>
      </c>
      <c r="CY7" s="156">
        <f t="shared" si="43"/>
        <v>134.48265893894393</v>
      </c>
      <c r="CZ7" s="156">
        <f t="shared" si="43"/>
        <v>115.21104014538506</v>
      </c>
      <c r="DA7" s="156">
        <f t="shared" si="43"/>
        <v>112.4810435698609</v>
      </c>
      <c r="DB7"/>
      <c r="DD7" s="158"/>
    </row>
    <row r="8" spans="1:108" s="108" customFormat="1" x14ac:dyDescent="0.25">
      <c r="A8" s="183" t="s">
        <v>527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>
        <f>SUM(S5:S7)</f>
        <v>278</v>
      </c>
      <c r="T8" s="106">
        <f t="shared" ref="T8:AE8" si="44">SUM(T5:T7)</f>
        <v>340</v>
      </c>
      <c r="U8" s="106">
        <f t="shared" si="44"/>
        <v>481</v>
      </c>
      <c r="V8" s="106">
        <f t="shared" si="44"/>
        <v>425</v>
      </c>
      <c r="W8" s="106">
        <f t="shared" si="44"/>
        <v>568</v>
      </c>
      <c r="X8" s="106">
        <f t="shared" si="44"/>
        <v>801</v>
      </c>
      <c r="Y8" s="106">
        <f t="shared" si="44"/>
        <v>914</v>
      </c>
      <c r="Z8" s="106">
        <f t="shared" si="44"/>
        <v>1123.3</v>
      </c>
      <c r="AA8" s="107">
        <f t="shared" si="44"/>
        <v>1213</v>
      </c>
      <c r="AB8" s="107">
        <f t="shared" si="44"/>
        <v>1350.2667110119214</v>
      </c>
      <c r="AC8" s="107">
        <f t="shared" si="44"/>
        <v>1499.5844677390376</v>
      </c>
      <c r="AD8" s="107">
        <f t="shared" si="44"/>
        <v>1659.8034022033503</v>
      </c>
      <c r="AE8" s="107">
        <f t="shared" si="44"/>
        <v>1844.6783809168835</v>
      </c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>
        <f>SUM(BB5:BB7)</f>
        <v>67</v>
      </c>
      <c r="BC8" s="106">
        <f t="shared" ref="BC8:CL8" si="45">SUM(BC5:BC7)</f>
        <v>112</v>
      </c>
      <c r="BD8" s="106">
        <f t="shared" si="45"/>
        <v>66</v>
      </c>
      <c r="BE8" s="106">
        <f t="shared" si="45"/>
        <v>33</v>
      </c>
      <c r="BF8" s="106">
        <f t="shared" si="45"/>
        <v>80</v>
      </c>
      <c r="BG8" s="106">
        <f t="shared" si="45"/>
        <v>136</v>
      </c>
      <c r="BH8" s="106">
        <f t="shared" si="45"/>
        <v>78</v>
      </c>
      <c r="BI8" s="106">
        <f t="shared" si="45"/>
        <v>46</v>
      </c>
      <c r="BJ8" s="106">
        <f t="shared" si="45"/>
        <v>90</v>
      </c>
      <c r="BK8" s="106">
        <f t="shared" si="45"/>
        <v>185</v>
      </c>
      <c r="BL8" s="106">
        <f t="shared" si="45"/>
        <v>124</v>
      </c>
      <c r="BM8" s="106">
        <f t="shared" si="45"/>
        <v>82</v>
      </c>
      <c r="BN8" s="106">
        <f t="shared" si="45"/>
        <v>114</v>
      </c>
      <c r="BO8" s="106">
        <f t="shared" si="45"/>
        <v>105</v>
      </c>
      <c r="BP8" s="106">
        <f t="shared" si="45"/>
        <v>119</v>
      </c>
      <c r="BQ8" s="106">
        <f t="shared" si="45"/>
        <v>87</v>
      </c>
      <c r="BR8" s="106">
        <f t="shared" si="45"/>
        <v>151</v>
      </c>
      <c r="BS8" s="106">
        <f t="shared" si="45"/>
        <v>152</v>
      </c>
      <c r="BT8" s="106">
        <f t="shared" si="45"/>
        <v>153</v>
      </c>
      <c r="BU8" s="106">
        <f t="shared" si="45"/>
        <v>112</v>
      </c>
      <c r="BV8" s="106">
        <f t="shared" si="45"/>
        <v>180</v>
      </c>
      <c r="BW8" s="106">
        <f t="shared" si="45"/>
        <v>299</v>
      </c>
      <c r="BX8" s="106">
        <f t="shared" si="45"/>
        <v>190</v>
      </c>
      <c r="BY8" s="106">
        <f t="shared" si="45"/>
        <v>132</v>
      </c>
      <c r="BZ8" s="106">
        <f t="shared" si="45"/>
        <v>224</v>
      </c>
      <c r="CA8" s="106">
        <f t="shared" si="45"/>
        <v>314</v>
      </c>
      <c r="CB8" s="106">
        <f t="shared" si="45"/>
        <v>220</v>
      </c>
      <c r="CC8" s="106">
        <f t="shared" si="45"/>
        <v>156</v>
      </c>
      <c r="CD8" s="106">
        <f t="shared" si="45"/>
        <v>240</v>
      </c>
      <c r="CE8" s="106">
        <f t="shared" si="45"/>
        <v>401</v>
      </c>
      <c r="CF8" s="106">
        <f t="shared" si="45"/>
        <v>267.3</v>
      </c>
      <c r="CG8" s="106">
        <f t="shared" si="45"/>
        <v>215</v>
      </c>
      <c r="CH8" s="106">
        <f t="shared" si="45"/>
        <v>312</v>
      </c>
      <c r="CI8" s="106">
        <f t="shared" si="45"/>
        <v>390</v>
      </c>
      <c r="CJ8" s="106">
        <f t="shared" si="45"/>
        <v>274</v>
      </c>
      <c r="CK8" s="106">
        <f t="shared" si="45"/>
        <v>237</v>
      </c>
      <c r="CL8" s="106">
        <f t="shared" si="45"/>
        <v>363</v>
      </c>
      <c r="CM8" s="107">
        <f t="shared" ref="CM8" si="46">SUM(CM5:CM7)</f>
        <v>419.01805084660265</v>
      </c>
      <c r="CN8" s="107">
        <f t="shared" ref="CN8" si="47">SUM(CN5:CN7)</f>
        <v>301.80655689856547</v>
      </c>
      <c r="CO8" s="107">
        <f t="shared" ref="CO8" si="48">SUM(CO5:CO7)</f>
        <v>266.44210326675341</v>
      </c>
      <c r="CP8" s="107">
        <f t="shared" ref="CP8" si="49">SUM(CP5:CP7)</f>
        <v>409.32057404540376</v>
      </c>
      <c r="CQ8" s="107">
        <f t="shared" ref="CQ8" si="50">SUM(CQ5:CQ7)</f>
        <v>460.94883720620714</v>
      </c>
      <c r="CR8" s="107">
        <f t="shared" ref="CR8" si="51">SUM(CR5:CR7)</f>
        <v>333.85146094124053</v>
      </c>
      <c r="CS8" s="107">
        <f t="shared" ref="CS8" si="52">SUM(CS5:CS7)</f>
        <v>295.4635955461859</v>
      </c>
      <c r="CT8" s="107">
        <f t="shared" ref="CT8" si="53">SUM(CT5:CT7)</f>
        <v>451.4944919739894</v>
      </c>
      <c r="CU8" s="107">
        <f t="shared" ref="CU8" si="54">SUM(CU5:CU7)</f>
        <v>509.9383600162783</v>
      </c>
      <c r="CV8" s="107">
        <f t="shared" ref="CV8" si="55">SUM(CV5:CV7)</f>
        <v>370.0848959784318</v>
      </c>
      <c r="CW8" s="107">
        <f t="shared" ref="CW8" si="56">SUM(CW5:CW7)</f>
        <v>328.28565423465056</v>
      </c>
      <c r="CX8" s="107">
        <f t="shared" ref="CX8" si="57">SUM(CX5:CX7)</f>
        <v>500.3576641048283</v>
      </c>
      <c r="CY8" s="107">
        <f t="shared" ref="CY8" si="58">SUM(CY5:CY7)</f>
        <v>566.17458219957268</v>
      </c>
      <c r="CZ8" s="107">
        <f t="shared" ref="CZ8" si="59">SUM(CZ5:CZ7)</f>
        <v>411.77385788938341</v>
      </c>
      <c r="DA8" s="107">
        <f t="shared" ref="DA8" si="60">SUM(DA5:DA7)</f>
        <v>366.37227672309945</v>
      </c>
      <c r="DB8" s="171"/>
      <c r="DD8" s="116"/>
    </row>
    <row r="9" spans="1:108" s="157" customFormat="1" x14ac:dyDescent="0.25">
      <c r="A9" s="183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6"/>
      <c r="AB9" s="156"/>
      <c r="AC9" s="156"/>
      <c r="AD9" s="156"/>
      <c r="AE9" s="156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/>
      <c r="DD9" s="158"/>
    </row>
    <row r="10" spans="1:108" s="150" customFormat="1" x14ac:dyDescent="0.25">
      <c r="A10" s="150" t="s">
        <v>532</v>
      </c>
      <c r="DB10"/>
    </row>
    <row r="11" spans="1:108" s="188" customFormat="1" x14ac:dyDescent="0.25">
      <c r="A11" s="184" t="s">
        <v>528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6">
        <f>T5/S5-1</f>
        <v>0.16818181818181821</v>
      </c>
      <c r="U11" s="186">
        <f t="shared" ref="U11:AE11" si="61">U5/T5-1</f>
        <v>0.35019455252918297</v>
      </c>
      <c r="V11" s="186">
        <f t="shared" si="61"/>
        <v>-0.10951008645533145</v>
      </c>
      <c r="W11" s="186">
        <f t="shared" si="61"/>
        <v>0.2944983818770226</v>
      </c>
      <c r="X11" s="186">
        <f t="shared" si="61"/>
        <v>0.40500000000000003</v>
      </c>
      <c r="Y11" s="186">
        <f t="shared" si="61"/>
        <v>0.16903914590747338</v>
      </c>
      <c r="Z11" s="186">
        <f t="shared" si="61"/>
        <v>0.26788432267884321</v>
      </c>
      <c r="AA11" s="187">
        <f t="shared" si="61"/>
        <v>7.6830732292917148E-2</v>
      </c>
      <c r="AB11" s="187">
        <f t="shared" si="61"/>
        <v>8.9761314208807841E-2</v>
      </c>
      <c r="AC11" s="187">
        <f t="shared" si="61"/>
        <v>8.4484042787518199E-2</v>
      </c>
      <c r="AD11" s="187">
        <f t="shared" si="61"/>
        <v>7.8540239641198939E-2</v>
      </c>
      <c r="AE11" s="187">
        <f t="shared" si="61"/>
        <v>7.8842280738624648E-2</v>
      </c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6">
        <f>BF5/BB5-1</f>
        <v>0.17647058823529416</v>
      </c>
      <c r="BG11" s="186">
        <f t="shared" ref="BG11:CL11" si="62">BG5/BC5-1</f>
        <v>0.16304347826086962</v>
      </c>
      <c r="BH11" s="186">
        <f t="shared" si="62"/>
        <v>0.1132075471698113</v>
      </c>
      <c r="BI11" s="186">
        <f t="shared" si="62"/>
        <v>0.29166666666666674</v>
      </c>
      <c r="BJ11" s="186">
        <f t="shared" si="62"/>
        <v>6.6666666666666652E-2</v>
      </c>
      <c r="BK11" s="186">
        <f t="shared" si="62"/>
        <v>0.35514018691588789</v>
      </c>
      <c r="BL11" s="186">
        <f t="shared" si="62"/>
        <v>0.45762711864406769</v>
      </c>
      <c r="BM11" s="186">
        <f t="shared" si="62"/>
        <v>0.67741935483870974</v>
      </c>
      <c r="BN11" s="186">
        <f t="shared" si="62"/>
        <v>0.1875</v>
      </c>
      <c r="BO11" s="186">
        <f t="shared" si="62"/>
        <v>-0.38620689655172413</v>
      </c>
      <c r="BP11" s="186">
        <f t="shared" si="62"/>
        <v>3.488372093023262E-2</v>
      </c>
      <c r="BQ11" s="186">
        <f t="shared" si="62"/>
        <v>5.7692307692307709E-2</v>
      </c>
      <c r="BR11" s="186">
        <f t="shared" si="62"/>
        <v>0.39473684210526305</v>
      </c>
      <c r="BS11" s="186">
        <f t="shared" si="62"/>
        <v>0.32584269662921339</v>
      </c>
      <c r="BT11" s="186">
        <f t="shared" si="62"/>
        <v>0.21348314606741581</v>
      </c>
      <c r="BU11" s="186">
        <f t="shared" si="62"/>
        <v>0.23636363636363633</v>
      </c>
      <c r="BV11" s="186">
        <f t="shared" si="62"/>
        <v>0.18867924528301883</v>
      </c>
      <c r="BW11" s="186">
        <f t="shared" si="62"/>
        <v>0.84745762711864403</v>
      </c>
      <c r="BX11" s="186">
        <f t="shared" si="62"/>
        <v>0.2314814814814814</v>
      </c>
      <c r="BY11" s="186">
        <f t="shared" si="62"/>
        <v>0.25</v>
      </c>
      <c r="BZ11" s="186">
        <f t="shared" si="62"/>
        <v>0.26984126984126977</v>
      </c>
      <c r="CA11" s="186">
        <f t="shared" si="62"/>
        <v>6.4220183486238591E-2</v>
      </c>
      <c r="CB11" s="186">
        <f t="shared" si="62"/>
        <v>0.19548872180451138</v>
      </c>
      <c r="CC11" s="186">
        <f t="shared" si="62"/>
        <v>0.24705882352941178</v>
      </c>
      <c r="CD11" s="186">
        <f t="shared" si="62"/>
        <v>5.6249999999999911E-2</v>
      </c>
      <c r="CE11" s="186">
        <f t="shared" si="62"/>
        <v>0.31896551724137923</v>
      </c>
      <c r="CF11" s="186">
        <f t="shared" si="62"/>
        <v>0.25786163522012573</v>
      </c>
      <c r="CG11" s="186">
        <f t="shared" si="62"/>
        <v>0.49056603773584895</v>
      </c>
      <c r="CH11" s="186">
        <f t="shared" si="62"/>
        <v>0.38461538461538458</v>
      </c>
      <c r="CI11" s="186">
        <f t="shared" si="62"/>
        <v>-4.9019607843137303E-2</v>
      </c>
      <c r="CJ11" s="186">
        <f t="shared" si="62"/>
        <v>1.0000000000000009E-2</v>
      </c>
      <c r="CK11" s="186">
        <f t="shared" si="62"/>
        <v>7.5949367088607556E-2</v>
      </c>
      <c r="CL11" s="186">
        <f t="shared" si="62"/>
        <v>0.14529914529914523</v>
      </c>
      <c r="CM11" s="189">
        <f>+AVERAGE(CI11:CL11)*1.1</f>
        <v>5.0112948749769265E-2</v>
      </c>
      <c r="CN11" s="189">
        <f t="shared" ref="CN11:CP13" si="63">+AVERAGE(CJ11:CM11)*1.1</f>
        <v>7.7374401812818558E-2</v>
      </c>
      <c r="CO11" s="189">
        <f t="shared" si="63"/>
        <v>9.5902362311343664E-2</v>
      </c>
      <c r="CP11" s="189">
        <f t="shared" si="63"/>
        <v>0.1013894359975961</v>
      </c>
      <c r="CQ11" s="189">
        <f>+AVERAGE(CM11:CP11)*0.92</f>
        <v>7.4699204240451345E-2</v>
      </c>
      <c r="CR11" s="189">
        <f t="shared" ref="CR11:CT11" si="64">+AVERAGE(CN11:CQ11)*0.92</f>
        <v>8.0354043003308215E-2</v>
      </c>
      <c r="CS11" s="189">
        <f t="shared" si="64"/>
        <v>8.1039360477120861E-2</v>
      </c>
      <c r="CT11" s="189">
        <f t="shared" si="64"/>
        <v>7.7620870055249605E-2</v>
      </c>
      <c r="CU11" s="189">
        <f>+AVERAGE(CQ11:CT11)</f>
        <v>7.8428369444032503E-2</v>
      </c>
      <c r="CV11" s="189">
        <f t="shared" ref="CV11:DA11" si="65">+AVERAGE(CR11:CU11)</f>
        <v>7.9360660744927786E-2</v>
      </c>
      <c r="CW11" s="189">
        <f t="shared" si="65"/>
        <v>7.9112315180332682E-2</v>
      </c>
      <c r="CX11" s="189">
        <f t="shared" si="65"/>
        <v>7.8630553856135654E-2</v>
      </c>
      <c r="CY11" s="189">
        <f t="shared" si="65"/>
        <v>7.8882974806357156E-2</v>
      </c>
      <c r="CZ11" s="189">
        <f t="shared" si="65"/>
        <v>7.8996626146938323E-2</v>
      </c>
      <c r="DA11" s="189">
        <f t="shared" si="65"/>
        <v>7.8905617497440947E-2</v>
      </c>
      <c r="DB11" s="190"/>
      <c r="DD11" s="141"/>
    </row>
    <row r="12" spans="1:108" s="188" customFormat="1" x14ac:dyDescent="0.25">
      <c r="A12" s="184" t="s">
        <v>529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6">
        <f t="shared" ref="T12:AE12" si="66">T6/S6-1</f>
        <v>0.5714285714285714</v>
      </c>
      <c r="U12" s="186">
        <f t="shared" si="66"/>
        <v>4.5454545454545414E-2</v>
      </c>
      <c r="V12" s="186">
        <f t="shared" si="66"/>
        <v>0.13043478260869557</v>
      </c>
      <c r="W12" s="186">
        <f t="shared" si="66"/>
        <v>0.38461538461538458</v>
      </c>
      <c r="X12" s="186">
        <f t="shared" si="66"/>
        <v>0.58333333333333326</v>
      </c>
      <c r="Y12" s="186">
        <f t="shared" si="66"/>
        <v>1.7543859649122862E-2</v>
      </c>
      <c r="Z12" s="186">
        <f t="shared" si="66"/>
        <v>0.19482758620689644</v>
      </c>
      <c r="AA12" s="187">
        <f t="shared" si="66"/>
        <v>3.8961038961039085E-2</v>
      </c>
      <c r="AB12" s="187">
        <f t="shared" si="66"/>
        <v>0.17311810308735875</v>
      </c>
      <c r="AC12" s="187">
        <f t="shared" si="66"/>
        <v>0.18122788020374236</v>
      </c>
      <c r="AD12" s="187">
        <f t="shared" si="66"/>
        <v>0.16990161487277677</v>
      </c>
      <c r="AE12" s="187">
        <f t="shared" si="66"/>
        <v>0.16527795226207487</v>
      </c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6">
        <f t="shared" ref="BF12:CL12" si="67">BF6/BB6-1</f>
        <v>0.66666666666666674</v>
      </c>
      <c r="BG12" s="186">
        <f t="shared" si="67"/>
        <v>0.4285714285714286</v>
      </c>
      <c r="BH12" s="186">
        <f t="shared" si="67"/>
        <v>0.33333333333333326</v>
      </c>
      <c r="BI12" s="186">
        <f t="shared" si="67"/>
        <v>2</v>
      </c>
      <c r="BJ12" s="186">
        <f t="shared" si="67"/>
        <v>0.19999999999999996</v>
      </c>
      <c r="BK12" s="186">
        <f t="shared" si="67"/>
        <v>-0.5</v>
      </c>
      <c r="BL12" s="186">
        <f t="shared" si="67"/>
        <v>0.75</v>
      </c>
      <c r="BM12" s="186">
        <f t="shared" si="67"/>
        <v>0.66666666666666674</v>
      </c>
      <c r="BN12" s="186">
        <f t="shared" si="67"/>
        <v>0.33333333333333326</v>
      </c>
      <c r="BO12" s="186">
        <f t="shared" si="67"/>
        <v>0.60000000000000009</v>
      </c>
      <c r="BP12" s="186">
        <f t="shared" si="67"/>
        <v>-0.1428571428571429</v>
      </c>
      <c r="BQ12" s="186">
        <f t="shared" si="67"/>
        <v>-0.19999999999999996</v>
      </c>
      <c r="BR12" s="186">
        <f t="shared" si="67"/>
        <v>0.375</v>
      </c>
      <c r="BS12" s="186">
        <f t="shared" si="67"/>
        <v>0.375</v>
      </c>
      <c r="BT12" s="186">
        <f t="shared" si="67"/>
        <v>0.33333333333333326</v>
      </c>
      <c r="BU12" s="186">
        <f t="shared" si="67"/>
        <v>0.5</v>
      </c>
      <c r="BV12" s="186">
        <f t="shared" si="67"/>
        <v>0.18181818181818188</v>
      </c>
      <c r="BW12" s="186">
        <f t="shared" si="67"/>
        <v>1.3636363636363638</v>
      </c>
      <c r="BX12" s="186">
        <f t="shared" si="67"/>
        <v>0.375</v>
      </c>
      <c r="BY12" s="186">
        <f t="shared" si="67"/>
        <v>0.16666666666666674</v>
      </c>
      <c r="BZ12" s="186">
        <f t="shared" si="67"/>
        <v>0.23076923076923084</v>
      </c>
      <c r="CA12" s="186">
        <f t="shared" si="67"/>
        <v>-0.11538461538461542</v>
      </c>
      <c r="CB12" s="186">
        <f t="shared" si="67"/>
        <v>0</v>
      </c>
      <c r="CC12" s="186">
        <f t="shared" si="67"/>
        <v>0.14285714285714279</v>
      </c>
      <c r="CD12" s="186">
        <f t="shared" si="67"/>
        <v>0.125</v>
      </c>
      <c r="CE12" s="186">
        <f t="shared" si="67"/>
        <v>0.39130434782608692</v>
      </c>
      <c r="CF12" s="186">
        <f t="shared" si="67"/>
        <v>2.7272727272727337E-2</v>
      </c>
      <c r="CG12" s="186">
        <f t="shared" si="67"/>
        <v>0</v>
      </c>
      <c r="CH12" s="186">
        <f t="shared" si="67"/>
        <v>0.22222222222222232</v>
      </c>
      <c r="CI12" s="186">
        <f t="shared" si="67"/>
        <v>-0.125</v>
      </c>
      <c r="CJ12" s="186">
        <f t="shared" si="67"/>
        <v>6.1946902654867131E-2</v>
      </c>
      <c r="CK12" s="186">
        <f t="shared" si="67"/>
        <v>0.25</v>
      </c>
      <c r="CL12" s="186">
        <f t="shared" si="67"/>
        <v>0.22727272727272729</v>
      </c>
      <c r="CM12" s="189">
        <f>+AVERAGE(CI12:CL12)*1.1</f>
        <v>0.11391039823008847</v>
      </c>
      <c r="CN12" s="189">
        <f t="shared" si="63"/>
        <v>0.1796107577433628</v>
      </c>
      <c r="CO12" s="189">
        <f t="shared" si="63"/>
        <v>0.2119683178926991</v>
      </c>
      <c r="CP12" s="189">
        <f t="shared" si="63"/>
        <v>0.20150960531319137</v>
      </c>
      <c r="CQ12" s="189">
        <f>+AVERAGE(CM12:CP12)*0.94</f>
        <v>0.16614478360714532</v>
      </c>
      <c r="CR12" s="189">
        <f t="shared" ref="CR12:CT13" si="68">+AVERAGE(CN12:CQ12)*0.94</f>
        <v>0.17841986417075367</v>
      </c>
      <c r="CS12" s="189">
        <f t="shared" si="68"/>
        <v>0.17814000418119053</v>
      </c>
      <c r="CT12" s="189">
        <f t="shared" si="68"/>
        <v>0.17019035045898601</v>
      </c>
      <c r="CU12" s="189">
        <f>+AVERAGE(CQ12:CT12)*0.98</f>
        <v>0.16975927559242848</v>
      </c>
      <c r="CV12" s="189">
        <f t="shared" ref="CV12:DA12" si="69">+AVERAGE(CR12:CU12)*0.98</f>
        <v>0.1706448261288229</v>
      </c>
      <c r="CW12" s="189">
        <f t="shared" si="69"/>
        <v>0.16873994180854984</v>
      </c>
      <c r="CX12" s="189">
        <f t="shared" si="69"/>
        <v>0.16643692652725287</v>
      </c>
      <c r="CY12" s="189">
        <f t="shared" si="69"/>
        <v>0.16551733766397822</v>
      </c>
      <c r="CZ12" s="189">
        <f t="shared" si="69"/>
        <v>0.16447806287150793</v>
      </c>
      <c r="DA12" s="189">
        <f t="shared" si="69"/>
        <v>0.16296720587346578</v>
      </c>
      <c r="DB12" s="190"/>
      <c r="DD12" s="141"/>
    </row>
    <row r="13" spans="1:108" s="188" customFormat="1" x14ac:dyDescent="0.25">
      <c r="A13" s="184" t="s">
        <v>530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6">
        <f t="shared" ref="T13:AE13" si="70">T7/S7-1</f>
        <v>0.38636363636363646</v>
      </c>
      <c r="U13" s="186">
        <f t="shared" si="70"/>
        <v>0.81967213114754101</v>
      </c>
      <c r="V13" s="186">
        <f t="shared" si="70"/>
        <v>-0.18918918918918914</v>
      </c>
      <c r="W13" s="186">
        <f t="shared" si="70"/>
        <v>0.46666666666666656</v>
      </c>
      <c r="X13" s="186">
        <f t="shared" si="70"/>
        <v>0.3787878787878789</v>
      </c>
      <c r="Y13" s="186">
        <f t="shared" si="70"/>
        <v>9.3406593406593297E-2</v>
      </c>
      <c r="Z13" s="186">
        <f t="shared" si="70"/>
        <v>0.11055276381909551</v>
      </c>
      <c r="AA13" s="187">
        <f t="shared" si="70"/>
        <v>0.10407239819004532</v>
      </c>
      <c r="AB13" s="187">
        <f t="shared" si="70"/>
        <v>0.18150126534561872</v>
      </c>
      <c r="AC13" s="187">
        <f t="shared" si="70"/>
        <v>0.17838495008625066</v>
      </c>
      <c r="AD13" s="187">
        <f t="shared" si="70"/>
        <v>0.17664067606732203</v>
      </c>
      <c r="AE13" s="187">
        <f t="shared" si="70"/>
        <v>0.18872751416470424</v>
      </c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6">
        <f t="shared" ref="BF13:CL13" si="71">BF7/BB7-1</f>
        <v>0.15384615384615374</v>
      </c>
      <c r="BG13" s="186">
        <f t="shared" si="71"/>
        <v>0.46153846153846145</v>
      </c>
      <c r="BH13" s="186">
        <f t="shared" si="71"/>
        <v>0.5</v>
      </c>
      <c r="BI13" s="186">
        <f t="shared" si="71"/>
        <v>0.5</v>
      </c>
      <c r="BJ13" s="186">
        <f t="shared" si="71"/>
        <v>0.33333333333333326</v>
      </c>
      <c r="BK13" s="186">
        <f t="shared" si="71"/>
        <v>0.84210526315789469</v>
      </c>
      <c r="BL13" s="186">
        <f t="shared" si="71"/>
        <v>1.0666666666666669</v>
      </c>
      <c r="BM13" s="186">
        <f t="shared" si="71"/>
        <v>1.0833333333333335</v>
      </c>
      <c r="BN13" s="186">
        <f t="shared" si="71"/>
        <v>0.5</v>
      </c>
      <c r="BO13" s="186">
        <f t="shared" si="71"/>
        <v>-0.77142857142857146</v>
      </c>
      <c r="BP13" s="186">
        <f t="shared" si="71"/>
        <v>-0.22580645161290325</v>
      </c>
      <c r="BQ13" s="186">
        <f t="shared" si="71"/>
        <v>0.12000000000000011</v>
      </c>
      <c r="BR13" s="186">
        <f t="shared" si="71"/>
        <v>0.1333333333333333</v>
      </c>
      <c r="BS13" s="186">
        <f t="shared" si="71"/>
        <v>1.875</v>
      </c>
      <c r="BT13" s="186">
        <f t="shared" si="71"/>
        <v>0.54166666666666674</v>
      </c>
      <c r="BU13" s="186">
        <f t="shared" si="71"/>
        <v>0.35714285714285721</v>
      </c>
      <c r="BV13" s="186">
        <f t="shared" si="71"/>
        <v>0.20588235294117641</v>
      </c>
      <c r="BW13" s="186">
        <f t="shared" si="71"/>
        <v>1.3913043478260869</v>
      </c>
      <c r="BX13" s="186">
        <f t="shared" si="71"/>
        <v>0.2432432432432432</v>
      </c>
      <c r="BY13" s="186">
        <f t="shared" si="71"/>
        <v>5.2631578947368363E-2</v>
      </c>
      <c r="BZ13" s="186">
        <f t="shared" si="71"/>
        <v>0.1707317073170731</v>
      </c>
      <c r="CA13" s="186">
        <f t="shared" si="71"/>
        <v>7.2727272727272751E-2</v>
      </c>
      <c r="CB13" s="186">
        <f t="shared" si="71"/>
        <v>8.6956521739130377E-2</v>
      </c>
      <c r="CC13" s="186">
        <f t="shared" si="71"/>
        <v>5.0000000000000044E-2</v>
      </c>
      <c r="CD13" s="186">
        <f t="shared" si="71"/>
        <v>0.10416666666666674</v>
      </c>
      <c r="CE13" s="186">
        <f t="shared" si="71"/>
        <v>6.7796610169491567E-2</v>
      </c>
      <c r="CF13" s="186">
        <f t="shared" si="71"/>
        <v>0.12000000000000011</v>
      </c>
      <c r="CG13" s="186">
        <f t="shared" si="71"/>
        <v>0.16666666666666674</v>
      </c>
      <c r="CH13" s="186">
        <f t="shared" si="71"/>
        <v>5.6603773584905648E-2</v>
      </c>
      <c r="CI13" s="186">
        <f t="shared" si="71"/>
        <v>0.12698412698412698</v>
      </c>
      <c r="CJ13" s="186">
        <f t="shared" si="71"/>
        <v>7.1428571428571397E-2</v>
      </c>
      <c r="CK13" s="186">
        <f t="shared" si="71"/>
        <v>0.16326530612244894</v>
      </c>
      <c r="CL13" s="186">
        <f t="shared" si="71"/>
        <v>0.21428571428571419</v>
      </c>
      <c r="CM13" s="189">
        <f>+AVERAGE(CI13:CL13)*1.1</f>
        <v>0.15839002267573693</v>
      </c>
      <c r="CN13" s="189">
        <f t="shared" si="63"/>
        <v>0.16702664399092965</v>
      </c>
      <c r="CO13" s="189">
        <f t="shared" si="63"/>
        <v>0.19331611394557816</v>
      </c>
      <c r="CP13" s="189">
        <f t="shared" si="63"/>
        <v>0.2015800860969387</v>
      </c>
      <c r="CQ13" s="189">
        <f>+AVERAGE(CM13:CP13)*0.94</f>
        <v>0.16927352367665807</v>
      </c>
      <c r="CR13" s="189">
        <f t="shared" si="68"/>
        <v>0.17183114641187455</v>
      </c>
      <c r="CS13" s="189">
        <f t="shared" si="68"/>
        <v>0.17296020448079663</v>
      </c>
      <c r="CT13" s="189">
        <f t="shared" si="68"/>
        <v>0.16817656575657294</v>
      </c>
      <c r="CU13" s="189">
        <f t="shared" ref="CU13:DA13" si="72">+AVERAGE(CQ13:CT13)*1.04</f>
        <v>0.17738277448473458</v>
      </c>
      <c r="CV13" s="189">
        <f t="shared" si="72"/>
        <v>0.17949117969483447</v>
      </c>
      <c r="CW13" s="189">
        <f t="shared" si="72"/>
        <v>0.18148278834840406</v>
      </c>
      <c r="CX13" s="189">
        <f t="shared" si="72"/>
        <v>0.18369866015398195</v>
      </c>
      <c r="CY13" s="189">
        <f t="shared" si="72"/>
        <v>0.18773440469730832</v>
      </c>
      <c r="CZ13" s="189">
        <f t="shared" si="72"/>
        <v>0.1904258285525775</v>
      </c>
      <c r="DA13" s="189">
        <f t="shared" si="72"/>
        <v>0.19326883725559066</v>
      </c>
      <c r="DB13" s="190"/>
      <c r="DD13" s="141"/>
    </row>
    <row r="14" spans="1:108" s="188" customFormat="1" x14ac:dyDescent="0.25">
      <c r="A14" s="184" t="s">
        <v>531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6">
        <f t="shared" ref="T14:AE14" si="73">T8/S8-1</f>
        <v>0.2230215827338129</v>
      </c>
      <c r="U14" s="186">
        <f t="shared" si="73"/>
        <v>0.41470588235294126</v>
      </c>
      <c r="V14" s="186">
        <f t="shared" si="73"/>
        <v>-0.11642411642411643</v>
      </c>
      <c r="W14" s="186">
        <f t="shared" si="73"/>
        <v>0.33647058823529408</v>
      </c>
      <c r="X14" s="186">
        <f t="shared" si="73"/>
        <v>0.41021126760563376</v>
      </c>
      <c r="Y14" s="186">
        <f t="shared" si="73"/>
        <v>0.14107365792759041</v>
      </c>
      <c r="Z14" s="186">
        <f t="shared" si="73"/>
        <v>0.22899343544857764</v>
      </c>
      <c r="AA14" s="187">
        <f t="shared" si="73"/>
        <v>7.9854001602421398E-2</v>
      </c>
      <c r="AB14" s="187">
        <f t="shared" si="73"/>
        <v>0.11316299341460967</v>
      </c>
      <c r="AC14" s="187">
        <f t="shared" si="73"/>
        <v>0.11058389835828364</v>
      </c>
      <c r="AD14" s="187">
        <f t="shared" si="73"/>
        <v>0.10684222056919479</v>
      </c>
      <c r="AE14" s="187">
        <f t="shared" si="73"/>
        <v>0.11138366053962545</v>
      </c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6">
        <f t="shared" ref="BF14:CL14" si="74">BF8/BB8-1</f>
        <v>0.19402985074626855</v>
      </c>
      <c r="BG14" s="186">
        <f t="shared" si="74"/>
        <v>0.21428571428571419</v>
      </c>
      <c r="BH14" s="186">
        <f t="shared" si="74"/>
        <v>0.18181818181818188</v>
      </c>
      <c r="BI14" s="186">
        <f t="shared" si="74"/>
        <v>0.39393939393939403</v>
      </c>
      <c r="BJ14" s="186">
        <f t="shared" si="74"/>
        <v>0.125</v>
      </c>
      <c r="BK14" s="186">
        <f t="shared" si="74"/>
        <v>0.36029411764705888</v>
      </c>
      <c r="BL14" s="186">
        <f t="shared" si="74"/>
        <v>0.58974358974358965</v>
      </c>
      <c r="BM14" s="186">
        <f t="shared" si="74"/>
        <v>0.78260869565217384</v>
      </c>
      <c r="BN14" s="186">
        <f t="shared" si="74"/>
        <v>0.26666666666666661</v>
      </c>
      <c r="BO14" s="186">
        <f t="shared" si="74"/>
        <v>-0.43243243243243246</v>
      </c>
      <c r="BP14" s="186">
        <f t="shared" si="74"/>
        <v>-4.0322580645161255E-2</v>
      </c>
      <c r="BQ14" s="186">
        <f t="shared" si="74"/>
        <v>6.0975609756097615E-2</v>
      </c>
      <c r="BR14" s="186">
        <f t="shared" si="74"/>
        <v>0.32456140350877183</v>
      </c>
      <c r="BS14" s="186">
        <f t="shared" si="74"/>
        <v>0.44761904761904758</v>
      </c>
      <c r="BT14" s="186">
        <f t="shared" si="74"/>
        <v>0.28571428571428581</v>
      </c>
      <c r="BU14" s="186">
        <f t="shared" si="74"/>
        <v>0.28735632183908044</v>
      </c>
      <c r="BV14" s="186">
        <f t="shared" si="74"/>
        <v>0.19205298013245042</v>
      </c>
      <c r="BW14" s="186">
        <f t="shared" si="74"/>
        <v>0.96710526315789469</v>
      </c>
      <c r="BX14" s="186">
        <f t="shared" si="74"/>
        <v>0.24183006535947715</v>
      </c>
      <c r="BY14" s="186">
        <f t="shared" si="74"/>
        <v>0.1785714285714286</v>
      </c>
      <c r="BZ14" s="186">
        <f t="shared" si="74"/>
        <v>0.24444444444444446</v>
      </c>
      <c r="CA14" s="186">
        <f t="shared" si="74"/>
        <v>5.0167224080267525E-2</v>
      </c>
      <c r="CB14" s="186">
        <f t="shared" si="74"/>
        <v>0.15789473684210531</v>
      </c>
      <c r="CC14" s="186">
        <f t="shared" si="74"/>
        <v>0.18181818181818188</v>
      </c>
      <c r="CD14" s="186">
        <f t="shared" si="74"/>
        <v>7.1428571428571397E-2</v>
      </c>
      <c r="CE14" s="186">
        <f t="shared" si="74"/>
        <v>0.27707006369426757</v>
      </c>
      <c r="CF14" s="186">
        <f t="shared" si="74"/>
        <v>0.21500000000000008</v>
      </c>
      <c r="CG14" s="186">
        <f t="shared" si="74"/>
        <v>0.37820512820512819</v>
      </c>
      <c r="CH14" s="186">
        <f t="shared" si="74"/>
        <v>0.30000000000000004</v>
      </c>
      <c r="CI14" s="186">
        <f t="shared" si="74"/>
        <v>-2.7431421446383997E-2</v>
      </c>
      <c r="CJ14" s="186">
        <f t="shared" si="74"/>
        <v>2.5065469509913951E-2</v>
      </c>
      <c r="CK14" s="186">
        <f t="shared" si="74"/>
        <v>0.10232558139534875</v>
      </c>
      <c r="CL14" s="186">
        <f t="shared" si="74"/>
        <v>0.16346153846153855</v>
      </c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190"/>
      <c r="DD14" s="141"/>
    </row>
    <row r="15" spans="1:108" s="157" customFormat="1" x14ac:dyDescent="0.25">
      <c r="A15" s="154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6"/>
      <c r="AB15" s="156"/>
      <c r="AC15" s="156"/>
      <c r="AD15" s="156"/>
      <c r="AE15" s="156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/>
      <c r="DD15" s="158"/>
    </row>
    <row r="16" spans="1:108" s="150" customFormat="1" x14ac:dyDescent="0.25">
      <c r="A16" s="150" t="s">
        <v>540</v>
      </c>
      <c r="DB16"/>
    </row>
    <row r="17" spans="1:108" s="157" customFormat="1" x14ac:dyDescent="0.25">
      <c r="A17" s="183" t="s">
        <v>534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06">
        <f t="shared" ref="S17:AE17" si="75">+S30/S8</f>
        <v>14.401223021582735</v>
      </c>
      <c r="T17" s="106">
        <f t="shared" si="75"/>
        <v>15.015455882352942</v>
      </c>
      <c r="U17" s="106">
        <f t="shared" si="75"/>
        <v>14.822407484407483</v>
      </c>
      <c r="V17" s="106">
        <f t="shared" si="75"/>
        <v>15.176804705882352</v>
      </c>
      <c r="W17" s="106">
        <f t="shared" si="75"/>
        <v>15.533855633802816</v>
      </c>
      <c r="X17" s="106">
        <f t="shared" si="75"/>
        <v>16.44587016229713</v>
      </c>
      <c r="Y17" s="106">
        <f t="shared" si="75"/>
        <v>17.552057986870899</v>
      </c>
      <c r="Z17" s="106">
        <f t="shared" si="75"/>
        <v>17.811492922638656</v>
      </c>
      <c r="AA17" s="107">
        <f t="shared" si="75"/>
        <v>17.877476504534208</v>
      </c>
      <c r="AB17" s="107">
        <f t="shared" si="75"/>
        <v>18.47071723814469</v>
      </c>
      <c r="AC17" s="107">
        <f t="shared" si="75"/>
        <v>19.314118371818061</v>
      </c>
      <c r="AD17" s="107">
        <f t="shared" si="75"/>
        <v>18.734827880269972</v>
      </c>
      <c r="AE17" s="107">
        <f t="shared" si="75"/>
        <v>20.233643339048154</v>
      </c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06">
        <f t="shared" ref="BB17:CK17" si="76">+BB30/BB8</f>
        <v>13.122343283582088</v>
      </c>
      <c r="BC17" s="106">
        <f t="shared" si="76"/>
        <v>14.583883928571428</v>
      </c>
      <c r="BD17" s="106">
        <f t="shared" si="76"/>
        <v>14.597696969696969</v>
      </c>
      <c r="BE17" s="106">
        <f t="shared" si="76"/>
        <v>15.984848484848484</v>
      </c>
      <c r="BF17" s="106">
        <f t="shared" si="76"/>
        <v>13.684625</v>
      </c>
      <c r="BG17" s="106">
        <f t="shared" si="76"/>
        <v>15.140669117647061</v>
      </c>
      <c r="BH17" s="106">
        <f t="shared" si="76"/>
        <v>14.945346153846154</v>
      </c>
      <c r="BI17" s="106">
        <f t="shared" si="76"/>
        <v>17.078630434782607</v>
      </c>
      <c r="BJ17" s="106">
        <f t="shared" si="76"/>
        <v>15.101611111111112</v>
      </c>
      <c r="BK17" s="106">
        <f t="shared" si="76"/>
        <v>15.191643243243242</v>
      </c>
      <c r="BL17" s="106">
        <f t="shared" si="76"/>
        <v>14.030112903225806</v>
      </c>
      <c r="BM17" s="106">
        <f t="shared" si="76"/>
        <v>14.881036585365855</v>
      </c>
      <c r="BN17" s="106">
        <f t="shared" si="76"/>
        <v>14.705561403508773</v>
      </c>
      <c r="BO17" s="106">
        <f t="shared" si="76"/>
        <v>15.620790476190477</v>
      </c>
      <c r="BP17" s="106">
        <f t="shared" si="76"/>
        <v>15.148184873949578</v>
      </c>
      <c r="BQ17" s="106">
        <f t="shared" si="76"/>
        <v>15.297597701149424</v>
      </c>
      <c r="BR17" s="106">
        <f t="shared" si="76"/>
        <v>14.840344370860926</v>
      </c>
      <c r="BS17" s="106">
        <f t="shared" si="76"/>
        <v>16.117401315789472</v>
      </c>
      <c r="BT17" s="106">
        <f t="shared" si="76"/>
        <v>15.674235294117649</v>
      </c>
      <c r="BU17" s="106">
        <f t="shared" si="76"/>
        <v>15.485133928571429</v>
      </c>
      <c r="BV17" s="106">
        <f t="shared" si="76"/>
        <v>15.708177777777776</v>
      </c>
      <c r="BW17" s="106">
        <f t="shared" si="76"/>
        <v>16.571287625418059</v>
      </c>
      <c r="BX17" s="106">
        <f t="shared" si="76"/>
        <v>16.719052631578947</v>
      </c>
      <c r="BY17" s="106">
        <f t="shared" si="76"/>
        <v>16.774507575757578</v>
      </c>
      <c r="BZ17" s="106">
        <f t="shared" si="76"/>
        <v>17.379352678571429</v>
      </c>
      <c r="CA17" s="106">
        <f t="shared" si="76"/>
        <v>17.870707006369425</v>
      </c>
      <c r="CB17" s="106">
        <f t="shared" si="76"/>
        <v>17.593250000000001</v>
      </c>
      <c r="CC17" s="106">
        <f t="shared" si="76"/>
        <v>17.100570512820511</v>
      </c>
      <c r="CD17" s="106">
        <f t="shared" si="76"/>
        <v>17.988804166666664</v>
      </c>
      <c r="CE17" s="106">
        <f t="shared" si="76"/>
        <v>17.947286783042394</v>
      </c>
      <c r="CF17" s="106">
        <f t="shared" si="76"/>
        <v>17.974870931537598</v>
      </c>
      <c r="CG17" s="106">
        <f t="shared" si="76"/>
        <v>17.157172093023256</v>
      </c>
      <c r="CH17" s="106">
        <f t="shared" si="76"/>
        <v>17.842740384615382</v>
      </c>
      <c r="CI17" s="106">
        <f t="shared" si="76"/>
        <v>17.993258974358973</v>
      </c>
      <c r="CJ17" s="106">
        <f t="shared" si="76"/>
        <v>17.870985401459855</v>
      </c>
      <c r="CK17" s="106">
        <f t="shared" si="76"/>
        <v>17.740181434599155</v>
      </c>
      <c r="CL17" s="106">
        <f>+CL30/CL8</f>
        <v>18.110716253443528</v>
      </c>
      <c r="CM17" s="107">
        <f>+CI17*1.04</f>
        <v>18.712989333333333</v>
      </c>
      <c r="CN17" s="107">
        <f t="shared" ref="CN17:CP17" si="77">+CJ17*1.04</f>
        <v>18.585824817518251</v>
      </c>
      <c r="CO17" s="107">
        <f t="shared" si="77"/>
        <v>18.449788691983123</v>
      </c>
      <c r="CP17" s="107">
        <f>+CL17*1.05</f>
        <v>19.016252066115705</v>
      </c>
      <c r="CQ17" s="107">
        <f t="shared" ref="CQ17:CS17" si="78">+CM17*1.05</f>
        <v>19.648638800000001</v>
      </c>
      <c r="CR17" s="107">
        <f>+CN17*1.04</f>
        <v>19.32925781021898</v>
      </c>
      <c r="CS17" s="107">
        <f>+CO17*1.04</f>
        <v>19.187780239662448</v>
      </c>
      <c r="CT17" s="107">
        <f>+CP17*0.97</f>
        <v>18.445764504132232</v>
      </c>
      <c r="CU17" s="107">
        <f t="shared" ref="CU17:CW17" si="79">+CQ17*0.97</f>
        <v>19.059179636</v>
      </c>
      <c r="CV17" s="107">
        <f t="shared" si="79"/>
        <v>18.749380075912409</v>
      </c>
      <c r="CW17" s="107">
        <f t="shared" si="79"/>
        <v>18.612146832472575</v>
      </c>
      <c r="CX17" s="107">
        <f t="shared" ref="CU17:DA17" si="80">+CT17*1.08</f>
        <v>19.921425664462813</v>
      </c>
      <c r="CY17" s="107">
        <f t="shared" si="80"/>
        <v>20.583914006880001</v>
      </c>
      <c r="CZ17" s="107">
        <f t="shared" si="80"/>
        <v>20.249330481985403</v>
      </c>
      <c r="DA17" s="107">
        <f t="shared" si="80"/>
        <v>20.101118579070384</v>
      </c>
      <c r="DB17"/>
      <c r="DD17" s="158"/>
    </row>
    <row r="18" spans="1:108" s="157" customFormat="1" x14ac:dyDescent="0.25">
      <c r="A18" s="154" t="s">
        <v>535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>
        <f t="shared" ref="S18" si="81">S17-S19</f>
        <v>6.5109928057553956</v>
      </c>
      <c r="T18" s="155">
        <f t="shared" ref="T18" si="82">T17-T19</f>
        <v>6.6002911764705896</v>
      </c>
      <c r="U18" s="155">
        <f t="shared" ref="U18" si="83">U17-U19</f>
        <v>6.6931975051975048</v>
      </c>
      <c r="V18" s="155">
        <f t="shared" ref="V18" si="84">V17-V19</f>
        <v>6.5033811764705884</v>
      </c>
      <c r="W18" s="155">
        <f t="shared" ref="W18" si="85">W17-W19</f>
        <v>7.1032746478873232</v>
      </c>
      <c r="X18" s="155">
        <f t="shared" ref="X18" si="86">X17-X19</f>
        <v>7.8166741573033729</v>
      </c>
      <c r="Y18" s="155">
        <f t="shared" ref="Y18" si="87">Y17-Y19</f>
        <v>8.1016280087527335</v>
      </c>
      <c r="Z18" s="155">
        <f t="shared" ref="Z18" si="88">Z17-Z19</f>
        <v>7.9272892370693526</v>
      </c>
      <c r="AA18" s="156">
        <f t="shared" ref="AA18" si="89">AA17-AA19</f>
        <v>8.009422093981863</v>
      </c>
      <c r="AB18" s="156">
        <f t="shared" ref="AB18" si="90">AB17-AB19</f>
        <v>8.2318103357172046</v>
      </c>
      <c r="AC18" s="156">
        <f t="shared" ref="AC18" si="91">AC17-AC19</f>
        <v>8.5980641916768228</v>
      </c>
      <c r="AD18" s="156">
        <f t="shared" ref="AD18" si="92">AD17-AD19</f>
        <v>8.3392068020017156</v>
      </c>
      <c r="AE18" s="156">
        <f t="shared" ref="AE18" si="93">AE17-AE19</f>
        <v>9.0063499063252426</v>
      </c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ref="BB18:CK18" si="94">BB17-BB19</f>
        <v>5.9717313432835821</v>
      </c>
      <c r="BC18" s="155">
        <f t="shared" si="94"/>
        <v>6.9906517857142862</v>
      </c>
      <c r="BD18" s="155">
        <f t="shared" si="94"/>
        <v>6.5943030303030312</v>
      </c>
      <c r="BE18" s="155">
        <f t="shared" si="94"/>
        <v>5.8113030303030282</v>
      </c>
      <c r="BF18" s="155">
        <f t="shared" si="94"/>
        <v>6.1449500000000006</v>
      </c>
      <c r="BG18" s="155">
        <f t="shared" si="94"/>
        <v>7.0503308823529398</v>
      </c>
      <c r="BH18" s="155">
        <f t="shared" si="94"/>
        <v>6.7524871794871792</v>
      </c>
      <c r="BI18" s="155">
        <f t="shared" si="94"/>
        <v>5.8035652173913039</v>
      </c>
      <c r="BJ18" s="155">
        <f t="shared" si="94"/>
        <v>6.6535555555555561</v>
      </c>
      <c r="BK18" s="155">
        <f t="shared" si="94"/>
        <v>7.1865783783783765</v>
      </c>
      <c r="BL18" s="155">
        <f t="shared" si="94"/>
        <v>6.0254193548387107</v>
      </c>
      <c r="BM18" s="155">
        <f t="shared" si="94"/>
        <v>6.6334024390243922</v>
      </c>
      <c r="BN18" s="155">
        <f t="shared" si="94"/>
        <v>6.0655964912280709</v>
      </c>
      <c r="BO18" s="155">
        <f t="shared" si="94"/>
        <v>7.0578761904761915</v>
      </c>
      <c r="BP18" s="155">
        <f t="shared" si="94"/>
        <v>6.7310336134453781</v>
      </c>
      <c r="BQ18" s="155">
        <f t="shared" si="94"/>
        <v>6.0964252873563236</v>
      </c>
      <c r="BR18" s="155">
        <f t="shared" si="94"/>
        <v>6.5573642384105941</v>
      </c>
      <c r="BS18" s="155">
        <f t="shared" si="94"/>
        <v>7.4890592105263156</v>
      </c>
      <c r="BT18" s="155">
        <f t="shared" si="94"/>
        <v>7.4009869281045759</v>
      </c>
      <c r="BU18" s="155">
        <f t="shared" si="94"/>
        <v>6.9090178571428567</v>
      </c>
      <c r="BV18" s="155">
        <f t="shared" si="94"/>
        <v>7.6121222222222222</v>
      </c>
      <c r="BW18" s="155">
        <f t="shared" si="94"/>
        <v>8.2001304347826061</v>
      </c>
      <c r="BX18" s="155">
        <f t="shared" si="94"/>
        <v>7.7436736842105258</v>
      </c>
      <c r="BY18" s="155">
        <f t="shared" si="94"/>
        <v>7.3320984848484887</v>
      </c>
      <c r="BZ18" s="155">
        <f t="shared" si="94"/>
        <v>8.266589285714284</v>
      </c>
      <c r="CA18" s="155">
        <f t="shared" si="94"/>
        <v>8.49227070063694</v>
      </c>
      <c r="CB18" s="155">
        <f t="shared" si="94"/>
        <v>7.862290909090909</v>
      </c>
      <c r="CC18" s="155">
        <f t="shared" si="94"/>
        <v>7.4159935897435894</v>
      </c>
      <c r="CD18" s="155">
        <f t="shared" si="94"/>
        <v>7.8647875000000038</v>
      </c>
      <c r="CE18" s="155">
        <f t="shared" si="94"/>
        <v>8.1311197007481315</v>
      </c>
      <c r="CF18" s="155">
        <f t="shared" si="94"/>
        <v>7.9924953236064358</v>
      </c>
      <c r="CG18" s="155">
        <f t="shared" si="94"/>
        <v>7.5358232558139537</v>
      </c>
      <c r="CH18" s="155">
        <f t="shared" si="94"/>
        <v>8.1059711538461539</v>
      </c>
      <c r="CI18" s="155">
        <f t="shared" si="94"/>
        <v>8.1823128205128182</v>
      </c>
      <c r="CJ18" s="155">
        <f t="shared" si="94"/>
        <v>7.7343357664233547</v>
      </c>
      <c r="CK18" s="155">
        <f t="shared" si="94"/>
        <v>7.9158481012658228</v>
      </c>
      <c r="CL18" s="155">
        <f>CL17-CL19</f>
        <v>8.1147245179063354</v>
      </c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/>
      <c r="DD18" s="158"/>
    </row>
    <row r="19" spans="1:108" s="108" customFormat="1" x14ac:dyDescent="0.25">
      <c r="A19" s="183" t="s">
        <v>536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>
        <f t="shared" ref="S19:AE19" si="95">+S36/S8</f>
        <v>7.8902302158273399</v>
      </c>
      <c r="T19" s="106">
        <f t="shared" si="95"/>
        <v>8.4151647058823524</v>
      </c>
      <c r="U19" s="106">
        <f t="shared" si="95"/>
        <v>8.1292099792099783</v>
      </c>
      <c r="V19" s="106">
        <f t="shared" si="95"/>
        <v>8.6734235294117639</v>
      </c>
      <c r="W19" s="106">
        <f t="shared" si="95"/>
        <v>8.4305809859154923</v>
      </c>
      <c r="X19" s="106">
        <f t="shared" si="95"/>
        <v>8.6291960049937568</v>
      </c>
      <c r="Y19" s="106">
        <f t="shared" si="95"/>
        <v>9.4504299781181658</v>
      </c>
      <c r="Z19" s="106">
        <f t="shared" si="95"/>
        <v>9.8842036855693038</v>
      </c>
      <c r="AA19" s="107">
        <f t="shared" si="95"/>
        <v>9.8680544105523449</v>
      </c>
      <c r="AB19" s="107">
        <f t="shared" si="95"/>
        <v>10.238906902427486</v>
      </c>
      <c r="AC19" s="107">
        <f t="shared" si="95"/>
        <v>10.716054180141239</v>
      </c>
      <c r="AD19" s="107">
        <f t="shared" si="95"/>
        <v>10.395621078268256</v>
      </c>
      <c r="AE19" s="107">
        <f t="shared" si="95"/>
        <v>11.227293432722911</v>
      </c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>
        <f t="shared" ref="BB19:CK19" si="96">+BB36/BB8</f>
        <v>7.1506119402985062</v>
      </c>
      <c r="BC19" s="106">
        <f t="shared" si="96"/>
        <v>7.5932321428571417</v>
      </c>
      <c r="BD19" s="106">
        <f t="shared" si="96"/>
        <v>8.0033939393939377</v>
      </c>
      <c r="BE19" s="106">
        <f t="shared" si="96"/>
        <v>10.173545454545456</v>
      </c>
      <c r="BF19" s="106">
        <f t="shared" si="96"/>
        <v>7.5396749999999999</v>
      </c>
      <c r="BG19" s="106">
        <f t="shared" si="96"/>
        <v>8.0903382352941211</v>
      </c>
      <c r="BH19" s="106">
        <f t="shared" si="96"/>
        <v>8.192858974358975</v>
      </c>
      <c r="BI19" s="106">
        <f t="shared" si="96"/>
        <v>11.275065217391303</v>
      </c>
      <c r="BJ19" s="106">
        <f t="shared" si="96"/>
        <v>8.4480555555555554</v>
      </c>
      <c r="BK19" s="106">
        <f t="shared" si="96"/>
        <v>8.005064864864865</v>
      </c>
      <c r="BL19" s="106">
        <f t="shared" si="96"/>
        <v>8.0046935483870953</v>
      </c>
      <c r="BM19" s="106">
        <f t="shared" si="96"/>
        <v>8.2476341463414631</v>
      </c>
      <c r="BN19" s="106">
        <f t="shared" si="96"/>
        <v>8.6399649122807016</v>
      </c>
      <c r="BO19" s="106">
        <f t="shared" si="96"/>
        <v>8.5629142857142853</v>
      </c>
      <c r="BP19" s="106">
        <f t="shared" si="96"/>
        <v>8.4171512605042</v>
      </c>
      <c r="BQ19" s="106">
        <f t="shared" si="96"/>
        <v>9.2011724137931008</v>
      </c>
      <c r="BR19" s="106">
        <f t="shared" si="96"/>
        <v>8.2829801324503318</v>
      </c>
      <c r="BS19" s="106">
        <f t="shared" si="96"/>
        <v>8.6283421052631564</v>
      </c>
      <c r="BT19" s="106">
        <f t="shared" si="96"/>
        <v>8.2732483660130729</v>
      </c>
      <c r="BU19" s="106">
        <f t="shared" si="96"/>
        <v>8.5761160714285722</v>
      </c>
      <c r="BV19" s="106">
        <f t="shared" si="96"/>
        <v>8.0960555555555533</v>
      </c>
      <c r="BW19" s="106">
        <f t="shared" si="96"/>
        <v>8.3711571906354525</v>
      </c>
      <c r="BX19" s="106">
        <f t="shared" si="96"/>
        <v>8.9753789473684211</v>
      </c>
      <c r="BY19" s="106">
        <f t="shared" si="96"/>
        <v>9.4424090909090896</v>
      </c>
      <c r="BZ19" s="106">
        <f t="shared" si="96"/>
        <v>9.1127633928571452</v>
      </c>
      <c r="CA19" s="106">
        <f t="shared" si="96"/>
        <v>9.3784363057324853</v>
      </c>
      <c r="CB19" s="106">
        <f t="shared" si="96"/>
        <v>9.7309590909090922</v>
      </c>
      <c r="CC19" s="106">
        <f t="shared" si="96"/>
        <v>9.6845769230769214</v>
      </c>
      <c r="CD19" s="106">
        <f t="shared" si="96"/>
        <v>10.124016666666661</v>
      </c>
      <c r="CE19" s="106">
        <f t="shared" si="96"/>
        <v>9.8161670822942622</v>
      </c>
      <c r="CF19" s="106">
        <f t="shared" si="96"/>
        <v>9.9823756079311625</v>
      </c>
      <c r="CG19" s="106">
        <f t="shared" si="96"/>
        <v>9.6213488372093021</v>
      </c>
      <c r="CH19" s="106">
        <f t="shared" si="96"/>
        <v>9.7367692307692284</v>
      </c>
      <c r="CI19" s="106">
        <f t="shared" si="96"/>
        <v>9.8109461538461549</v>
      </c>
      <c r="CJ19" s="106">
        <f t="shared" si="96"/>
        <v>10.1366496350365</v>
      </c>
      <c r="CK19" s="106">
        <f t="shared" si="96"/>
        <v>9.8243333333333318</v>
      </c>
      <c r="CL19" s="106">
        <f>+CL36/CL8</f>
        <v>9.9959917355371921</v>
      </c>
      <c r="CM19" s="107"/>
      <c r="CN19" s="107"/>
      <c r="CO19" s="107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07"/>
      <c r="DA19" s="107"/>
      <c r="DB19" s="171"/>
      <c r="DD19" s="116"/>
    </row>
    <row r="20" spans="1:108" s="157" customFormat="1" x14ac:dyDescent="0.25">
      <c r="A20" s="154" t="s">
        <v>537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>
        <f t="shared" ref="S20:AE20" si="97">+S42/S8</f>
        <v>1.5667877697841728</v>
      </c>
      <c r="T20" s="155">
        <f t="shared" si="97"/>
        <v>1.8364617647058825</v>
      </c>
      <c r="U20" s="155">
        <f t="shared" si="97"/>
        <v>1.7132307692307691</v>
      </c>
      <c r="V20" s="155">
        <f t="shared" si="97"/>
        <v>2.0541670588235292</v>
      </c>
      <c r="W20" s="155">
        <f t="shared" si="97"/>
        <v>1.8911161971830985</v>
      </c>
      <c r="X20" s="155">
        <f t="shared" si="97"/>
        <v>1.912565543071161</v>
      </c>
      <c r="Y20" s="155">
        <f t="shared" si="97"/>
        <v>2.0002407002188183</v>
      </c>
      <c r="Z20" s="155">
        <f t="shared" si="97"/>
        <v>2.1126876168432296</v>
      </c>
      <c r="AA20" s="156">
        <f t="shared" si="97"/>
        <v>3.8910453421269575</v>
      </c>
      <c r="AB20" s="156">
        <f t="shared" si="97"/>
        <v>4.2035970627429018</v>
      </c>
      <c r="AC20" s="156">
        <f t="shared" si="97"/>
        <v>4.3897723156563933</v>
      </c>
      <c r="AD20" s="156">
        <f t="shared" si="97"/>
        <v>4.3533073642964153</v>
      </c>
      <c r="AE20" s="156">
        <f t="shared" si="97"/>
        <v>4.9048080695933631</v>
      </c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ref="BB20:CK20" si="98">+BB42/BB8</f>
        <v>3.46055223880597</v>
      </c>
      <c r="BC20" s="155">
        <f t="shared" si="98"/>
        <v>2.2573571428571428</v>
      </c>
      <c r="BD20" s="155">
        <f t="shared" si="98"/>
        <v>3.3761060606060607</v>
      </c>
      <c r="BE20" s="155">
        <f t="shared" si="98"/>
        <v>5.9801212121212117</v>
      </c>
      <c r="BF20" s="155">
        <f t="shared" si="98"/>
        <v>3.6482374999999996</v>
      </c>
      <c r="BG20" s="155">
        <f t="shared" si="98"/>
        <v>2.7526691176470588</v>
      </c>
      <c r="BH20" s="155">
        <f t="shared" si="98"/>
        <v>3.579333333333333</v>
      </c>
      <c r="BI20" s="155">
        <f t="shared" si="98"/>
        <v>7.0914782608695655</v>
      </c>
      <c r="BJ20" s="155">
        <f t="shared" si="98"/>
        <v>4.2620666666666667</v>
      </c>
      <c r="BK20" s="155">
        <f t="shared" si="98"/>
        <v>2.6697027027027027</v>
      </c>
      <c r="BL20" s="155">
        <f t="shared" si="98"/>
        <v>3.5263870967741933</v>
      </c>
      <c r="BM20" s="155">
        <f t="shared" si="98"/>
        <v>4.1088902439024384</v>
      </c>
      <c r="BN20" s="155">
        <f t="shared" si="98"/>
        <v>4.2513596491228069</v>
      </c>
      <c r="BO20" s="155">
        <f t="shared" si="98"/>
        <v>3.067790476190476</v>
      </c>
      <c r="BP20" s="155">
        <f t="shared" si="98"/>
        <v>3.2881008403361345</v>
      </c>
      <c r="BQ20" s="155">
        <f t="shared" si="98"/>
        <v>4.5579770114942528</v>
      </c>
      <c r="BR20" s="155">
        <f t="shared" si="98"/>
        <v>4.1766423841059606</v>
      </c>
      <c r="BS20" s="155">
        <f t="shared" si="98"/>
        <v>3.2727631578947367</v>
      </c>
      <c r="BT20" s="155">
        <f t="shared" si="98"/>
        <v>3.3002875816993464</v>
      </c>
      <c r="BU20" s="155">
        <f t="shared" si="98"/>
        <v>4.4031160714285713</v>
      </c>
      <c r="BV20" s="155">
        <f t="shared" si="98"/>
        <v>3.6179444444444444</v>
      </c>
      <c r="BW20" s="155">
        <f t="shared" si="98"/>
        <v>3.1502408026755853</v>
      </c>
      <c r="BX20" s="155">
        <f t="shared" si="98"/>
        <v>3.6585684210526317</v>
      </c>
      <c r="BY20" s="155">
        <f t="shared" si="98"/>
        <v>4.6890833333333326</v>
      </c>
      <c r="BZ20" s="155">
        <f t="shared" si="98"/>
        <v>4.0361562500000003</v>
      </c>
      <c r="CA20" s="155">
        <f t="shared" si="98"/>
        <v>3.4051114649681526</v>
      </c>
      <c r="CB20" s="155">
        <f t="shared" si="98"/>
        <v>4.0323590909090914</v>
      </c>
      <c r="CC20" s="155">
        <f t="shared" si="98"/>
        <v>4.6230641025641024</v>
      </c>
      <c r="CD20" s="155">
        <f t="shared" si="98"/>
        <v>4.3638791666666661</v>
      </c>
      <c r="CE20" s="155">
        <f t="shared" si="98"/>
        <v>3.6054239401496262</v>
      </c>
      <c r="CF20" s="155">
        <f t="shared" si="98"/>
        <v>3.7565544332210994</v>
      </c>
      <c r="CG20" s="155">
        <f t="shared" si="98"/>
        <v>4.6957953488372093</v>
      </c>
      <c r="CH20" s="155">
        <f t="shared" si="98"/>
        <v>4.0461730769230764</v>
      </c>
      <c r="CI20" s="155">
        <f t="shared" si="98"/>
        <v>3.2765076923076921</v>
      </c>
      <c r="CJ20" s="155">
        <f t="shared" si="98"/>
        <v>3.9297299270072994</v>
      </c>
      <c r="CK20" s="155">
        <f t="shared" si="98"/>
        <v>4.6533670886075944</v>
      </c>
      <c r="CL20" s="155">
        <f>+CL42/CL8</f>
        <v>4.0780853994490363</v>
      </c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/>
      <c r="DD20" s="158"/>
    </row>
    <row r="21" spans="1:108" s="157" customFormat="1" x14ac:dyDescent="0.25">
      <c r="A21" s="154" t="s">
        <v>538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>
        <f t="shared" ref="S21" si="99">+S19-S20</f>
        <v>6.3234424460431669</v>
      </c>
      <c r="T21" s="155">
        <f t="shared" ref="T21" si="100">+T19-T20</f>
        <v>6.5787029411764699</v>
      </c>
      <c r="U21" s="155">
        <f t="shared" ref="U21" si="101">+U19-U20</f>
        <v>6.4159792099792092</v>
      </c>
      <c r="V21" s="155">
        <f t="shared" ref="V21" si="102">+V19-V20</f>
        <v>6.6192564705882351</v>
      </c>
      <c r="W21" s="155">
        <f t="shared" ref="W21" si="103">+W19-W20</f>
        <v>6.5394647887323938</v>
      </c>
      <c r="X21" s="155">
        <f t="shared" ref="X21" si="104">+X19-X20</f>
        <v>6.7166304619225956</v>
      </c>
      <c r="Y21" s="155">
        <f t="shared" ref="Y21" si="105">+Y19-Y20</f>
        <v>7.4501892778993479</v>
      </c>
      <c r="Z21" s="155">
        <f t="shared" ref="Z21" si="106">+Z19-Z20</f>
        <v>7.7715160687260738</v>
      </c>
      <c r="AA21" s="156">
        <f t="shared" ref="AA21" si="107">+AA19-AA20</f>
        <v>5.9770090684253869</v>
      </c>
      <c r="AB21" s="156">
        <f t="shared" ref="AB21" si="108">+AB19-AB20</f>
        <v>6.0353098396845839</v>
      </c>
      <c r="AC21" s="156">
        <f t="shared" ref="AC21" si="109">+AC19-AC20</f>
        <v>6.3262818644848453</v>
      </c>
      <c r="AD21" s="156">
        <f t="shared" ref="AD21" si="110">+AD19-AD20</f>
        <v>6.0423137139718408</v>
      </c>
      <c r="AE21" s="156">
        <f t="shared" ref="AE21" si="111">+AE19-AE20</f>
        <v>6.3224853631295481</v>
      </c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ref="BB21:CK21" si="112">+BB19-BB20</f>
        <v>3.6900597014925363</v>
      </c>
      <c r="BC21" s="155">
        <f t="shared" si="112"/>
        <v>5.3358749999999988</v>
      </c>
      <c r="BD21" s="155">
        <f t="shared" si="112"/>
        <v>4.6272878787878771</v>
      </c>
      <c r="BE21" s="155">
        <f t="shared" si="112"/>
        <v>4.1934242424242445</v>
      </c>
      <c r="BF21" s="155">
        <f t="shared" si="112"/>
        <v>3.8914375000000003</v>
      </c>
      <c r="BG21" s="155">
        <f t="shared" si="112"/>
        <v>5.3376691176470619</v>
      </c>
      <c r="BH21" s="155">
        <f t="shared" si="112"/>
        <v>4.6135256410256424</v>
      </c>
      <c r="BI21" s="155">
        <f t="shared" si="112"/>
        <v>4.1835869565217374</v>
      </c>
      <c r="BJ21" s="155">
        <f t="shared" si="112"/>
        <v>4.1859888888888888</v>
      </c>
      <c r="BK21" s="155">
        <f t="shared" si="112"/>
        <v>5.3353621621621627</v>
      </c>
      <c r="BL21" s="155">
        <f t="shared" si="112"/>
        <v>4.4783064516129016</v>
      </c>
      <c r="BM21" s="155">
        <f t="shared" si="112"/>
        <v>4.1387439024390247</v>
      </c>
      <c r="BN21" s="155">
        <f t="shared" si="112"/>
        <v>4.3886052631578947</v>
      </c>
      <c r="BO21" s="155">
        <f t="shared" si="112"/>
        <v>5.4951238095238093</v>
      </c>
      <c r="BP21" s="155">
        <f t="shared" si="112"/>
        <v>5.1290504201680651</v>
      </c>
      <c r="BQ21" s="155">
        <f t="shared" si="112"/>
        <v>4.643195402298848</v>
      </c>
      <c r="BR21" s="155">
        <f t="shared" si="112"/>
        <v>4.1063377483443713</v>
      </c>
      <c r="BS21" s="155">
        <f t="shared" si="112"/>
        <v>5.3555789473684197</v>
      </c>
      <c r="BT21" s="155">
        <f t="shared" si="112"/>
        <v>4.9729607843137265</v>
      </c>
      <c r="BU21" s="155">
        <f t="shared" si="112"/>
        <v>4.1730000000000009</v>
      </c>
      <c r="BV21" s="155">
        <f t="shared" si="112"/>
        <v>4.4781111111111089</v>
      </c>
      <c r="BW21" s="155">
        <f t="shared" si="112"/>
        <v>5.2209163879598677</v>
      </c>
      <c r="BX21" s="155">
        <f t="shared" si="112"/>
        <v>5.3168105263157894</v>
      </c>
      <c r="BY21" s="155">
        <f t="shared" si="112"/>
        <v>4.753325757575757</v>
      </c>
      <c r="BZ21" s="155">
        <f t="shared" si="112"/>
        <v>5.0766071428571449</v>
      </c>
      <c r="CA21" s="155">
        <f t="shared" si="112"/>
        <v>5.9733248407643327</v>
      </c>
      <c r="CB21" s="155">
        <f t="shared" si="112"/>
        <v>5.6986000000000008</v>
      </c>
      <c r="CC21" s="155">
        <f t="shared" si="112"/>
        <v>5.061512820512819</v>
      </c>
      <c r="CD21" s="155">
        <f t="shared" si="112"/>
        <v>5.7601374999999946</v>
      </c>
      <c r="CE21" s="155">
        <f t="shared" si="112"/>
        <v>6.2107431421446364</v>
      </c>
      <c r="CF21" s="155">
        <f t="shared" si="112"/>
        <v>6.2258211747100631</v>
      </c>
      <c r="CG21" s="155">
        <f t="shared" si="112"/>
        <v>4.9255534883720928</v>
      </c>
      <c r="CH21" s="155">
        <f t="shared" si="112"/>
        <v>5.690596153846152</v>
      </c>
      <c r="CI21" s="155">
        <f t="shared" si="112"/>
        <v>6.5344384615384623</v>
      </c>
      <c r="CJ21" s="155">
        <f t="shared" si="112"/>
        <v>6.2069197080292007</v>
      </c>
      <c r="CK21" s="155">
        <f t="shared" si="112"/>
        <v>5.1709662447257374</v>
      </c>
      <c r="CL21" s="155">
        <f>+CL19-CL20</f>
        <v>5.9179063360881559</v>
      </c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/>
      <c r="DD21" s="158"/>
    </row>
    <row r="22" spans="1:108" s="157" customFormat="1" x14ac:dyDescent="0.25">
      <c r="A22" s="154" t="s">
        <v>539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>
        <f t="shared" ref="S22:AE22" si="113">+S43/S8</f>
        <v>1.6649064748201439</v>
      </c>
      <c r="T22" s="155">
        <f t="shared" si="113"/>
        <v>1.7145617647058824</v>
      </c>
      <c r="U22" s="155">
        <f t="shared" si="113"/>
        <v>1.6856860706860708</v>
      </c>
      <c r="V22" s="155">
        <f t="shared" si="113"/>
        <v>2.0934964705882351</v>
      </c>
      <c r="W22" s="155">
        <f t="shared" si="113"/>
        <v>1.7741179577464787</v>
      </c>
      <c r="X22" s="155">
        <f t="shared" si="113"/>
        <v>1.5189038701622972</v>
      </c>
      <c r="Y22" s="155">
        <f t="shared" si="113"/>
        <v>1.582699124726477</v>
      </c>
      <c r="Z22" s="155">
        <f t="shared" si="113"/>
        <v>1.678114484109321</v>
      </c>
      <c r="AA22" s="156">
        <f t="shared" si="113"/>
        <v>1.8142976092333059</v>
      </c>
      <c r="AB22" s="156">
        <f t="shared" si="113"/>
        <v>1.7972455739365216</v>
      </c>
      <c r="AC22" s="156">
        <f t="shared" si="113"/>
        <v>1.7315691024827782</v>
      </c>
      <c r="AD22" s="156">
        <f t="shared" si="113"/>
        <v>1.6739322960627392</v>
      </c>
      <c r="AE22" s="156">
        <f t="shared" si="113"/>
        <v>1.6116014841512696</v>
      </c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ref="BB22:CK22" si="114">+BB43/BB8</f>
        <v>1.6417611940298509</v>
      </c>
      <c r="BC22" s="155">
        <f t="shared" si="114"/>
        <v>1.0456964285714285</v>
      </c>
      <c r="BD22" s="155">
        <f t="shared" si="114"/>
        <v>1.8175757575757574</v>
      </c>
      <c r="BE22" s="155">
        <f t="shared" si="114"/>
        <v>3.5081212121212122</v>
      </c>
      <c r="BF22" s="155">
        <f t="shared" si="114"/>
        <v>1.7327625000000002</v>
      </c>
      <c r="BG22" s="155">
        <f t="shared" si="114"/>
        <v>1.1107720588235295</v>
      </c>
      <c r="BH22" s="155">
        <f t="shared" si="114"/>
        <v>1.9053076923076924</v>
      </c>
      <c r="BI22" s="155">
        <f t="shared" si="114"/>
        <v>3.1445869565217395</v>
      </c>
      <c r="BJ22" s="155">
        <f t="shared" si="114"/>
        <v>1.7596000000000001</v>
      </c>
      <c r="BK22" s="155">
        <f t="shared" si="114"/>
        <v>1.0765621621621622</v>
      </c>
      <c r="BL22" s="155">
        <f t="shared" si="114"/>
        <v>1.8519999999999999</v>
      </c>
      <c r="BM22" s="155">
        <f t="shared" si="114"/>
        <v>2.7273048780487805</v>
      </c>
      <c r="BN22" s="155">
        <f t="shared" si="114"/>
        <v>2.010043859649123</v>
      </c>
      <c r="BO22" s="155">
        <f t="shared" si="114"/>
        <v>1.8980095238095238</v>
      </c>
      <c r="BP22" s="155">
        <f t="shared" si="114"/>
        <v>1.9291344537815127</v>
      </c>
      <c r="BQ22" s="155">
        <f t="shared" si="114"/>
        <v>2.6635977011494254</v>
      </c>
      <c r="BR22" s="155">
        <f t="shared" si="114"/>
        <v>1.5790397350993377</v>
      </c>
      <c r="BS22" s="155">
        <f t="shared" si="114"/>
        <v>1.6003157894736841</v>
      </c>
      <c r="BT22" s="155">
        <f t="shared" si="114"/>
        <v>1.7399215686274512</v>
      </c>
      <c r="BU22" s="155">
        <f t="shared" si="114"/>
        <v>2.3197142857142858</v>
      </c>
      <c r="BV22" s="155">
        <f t="shared" si="114"/>
        <v>1.5281277777777778</v>
      </c>
      <c r="BW22" s="155">
        <f t="shared" si="114"/>
        <v>1.0382508361204015</v>
      </c>
      <c r="BX22" s="155">
        <f t="shared" si="114"/>
        <v>1.6379368421052634</v>
      </c>
      <c r="BY22" s="155">
        <f t="shared" si="114"/>
        <v>2.4237424242424246</v>
      </c>
      <c r="BZ22" s="155">
        <f t="shared" si="114"/>
        <v>1.5139375000000002</v>
      </c>
      <c r="CA22" s="155">
        <f t="shared" si="114"/>
        <v>1.1611592356687899</v>
      </c>
      <c r="CB22" s="155">
        <f t="shared" si="114"/>
        <v>1.6888727272727273</v>
      </c>
      <c r="CC22" s="155">
        <f t="shared" si="114"/>
        <v>2.3801858974358976</v>
      </c>
      <c r="CD22" s="155">
        <f t="shared" si="114"/>
        <v>1.6403000000000001</v>
      </c>
      <c r="CE22" s="155">
        <f t="shared" si="114"/>
        <v>1.2451147132169575</v>
      </c>
      <c r="CF22" s="155">
        <f t="shared" si="114"/>
        <v>1.9193415637860081</v>
      </c>
      <c r="CG22" s="155">
        <f t="shared" si="114"/>
        <v>2.2280139534883721</v>
      </c>
      <c r="CH22" s="155">
        <f t="shared" si="114"/>
        <v>1.6394294871794872</v>
      </c>
      <c r="CI22" s="155">
        <f t="shared" si="114"/>
        <v>1.4093794871794871</v>
      </c>
      <c r="CJ22" s="155">
        <f t="shared" si="114"/>
        <v>2.0194160583941607</v>
      </c>
      <c r="CK22" s="155">
        <f t="shared" si="114"/>
        <v>2.4736835443037974</v>
      </c>
      <c r="CL22" s="155">
        <f>+CL43/CL8</f>
        <v>1.7059862258953169</v>
      </c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/>
      <c r="DD22" s="158"/>
    </row>
    <row r="23" spans="1:108" s="108" customFormat="1" x14ac:dyDescent="0.25">
      <c r="A23" s="183" t="s">
        <v>13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>
        <f t="shared" ref="S23:T23" si="115">S21-S22</f>
        <v>4.6585359712230225</v>
      </c>
      <c r="T23" s="106">
        <f t="shared" si="115"/>
        <v>4.8641411764705875</v>
      </c>
      <c r="U23" s="106">
        <f t="shared" ref="U23" si="116">U21-U22</f>
        <v>4.7302931392931384</v>
      </c>
      <c r="V23" s="106">
        <f t="shared" ref="V23" si="117">V21-V22</f>
        <v>4.52576</v>
      </c>
      <c r="W23" s="106">
        <f t="shared" ref="W23" si="118">W21-W22</f>
        <v>4.7653468309859148</v>
      </c>
      <c r="X23" s="106">
        <f t="shared" ref="X23" si="119">X21-X22</f>
        <v>5.1977265917602988</v>
      </c>
      <c r="Y23" s="106">
        <f t="shared" ref="Y23" si="120">Y21-Y22</f>
        <v>5.8674901531728709</v>
      </c>
      <c r="Z23" s="106">
        <f t="shared" ref="Z23" si="121">Z21-Z22</f>
        <v>6.0934015846167533</v>
      </c>
      <c r="AA23" s="107">
        <f t="shared" ref="AA23" si="122">AA21-AA22</f>
        <v>4.1627114591920815</v>
      </c>
      <c r="AB23" s="107">
        <f t="shared" ref="AB23" si="123">AB21-AB22</f>
        <v>4.2380642657480623</v>
      </c>
      <c r="AC23" s="107">
        <f t="shared" ref="AC23" si="124">AC21-AC22</f>
        <v>4.5947127620020671</v>
      </c>
      <c r="AD23" s="107">
        <f t="shared" ref="AD23" si="125">AD21-AD22</f>
        <v>4.3683814179091014</v>
      </c>
      <c r="AE23" s="107">
        <f t="shared" ref="AE23" si="126">AE21-AE22</f>
        <v>4.7108838789782785</v>
      </c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>
        <f t="shared" ref="BB23:CK23" si="127">BB21-BB22</f>
        <v>2.0482985074626852</v>
      </c>
      <c r="BC23" s="106">
        <f t="shared" si="127"/>
        <v>4.2901785714285703</v>
      </c>
      <c r="BD23" s="106">
        <f t="shared" si="127"/>
        <v>2.8097121212121197</v>
      </c>
      <c r="BE23" s="106">
        <f t="shared" si="127"/>
        <v>0.6853030303030323</v>
      </c>
      <c r="BF23" s="106">
        <f t="shared" si="127"/>
        <v>2.1586750000000001</v>
      </c>
      <c r="BG23" s="106">
        <f t="shared" si="127"/>
        <v>4.2268970588235319</v>
      </c>
      <c r="BH23" s="106">
        <f t="shared" si="127"/>
        <v>2.7082179487179499</v>
      </c>
      <c r="BI23" s="106">
        <f t="shared" si="127"/>
        <v>1.0389999999999979</v>
      </c>
      <c r="BJ23" s="106">
        <f t="shared" si="127"/>
        <v>2.4263888888888889</v>
      </c>
      <c r="BK23" s="106">
        <f t="shared" si="127"/>
        <v>4.2588000000000008</v>
      </c>
      <c r="BL23" s="106">
        <f t="shared" si="127"/>
        <v>2.6263064516129018</v>
      </c>
      <c r="BM23" s="106">
        <f t="shared" si="127"/>
        <v>1.4114390243902442</v>
      </c>
      <c r="BN23" s="106">
        <f t="shared" si="127"/>
        <v>2.3785614035087717</v>
      </c>
      <c r="BO23" s="106">
        <f t="shared" si="127"/>
        <v>3.5971142857142855</v>
      </c>
      <c r="BP23" s="106">
        <f t="shared" si="127"/>
        <v>3.1999159663865524</v>
      </c>
      <c r="BQ23" s="106">
        <f t="shared" si="127"/>
        <v>1.9795977011494226</v>
      </c>
      <c r="BR23" s="106">
        <f t="shared" si="127"/>
        <v>2.5272980132450336</v>
      </c>
      <c r="BS23" s="106">
        <f t="shared" si="127"/>
        <v>3.7552631578947357</v>
      </c>
      <c r="BT23" s="106">
        <f t="shared" si="127"/>
        <v>3.2330392156862753</v>
      </c>
      <c r="BU23" s="106">
        <f t="shared" si="127"/>
        <v>1.8532857142857151</v>
      </c>
      <c r="BV23" s="106">
        <f t="shared" si="127"/>
        <v>2.9499833333333312</v>
      </c>
      <c r="BW23" s="106">
        <f t="shared" si="127"/>
        <v>4.1826655518394666</v>
      </c>
      <c r="BX23" s="106">
        <f t="shared" si="127"/>
        <v>3.6788736842105259</v>
      </c>
      <c r="BY23" s="106">
        <f t="shared" si="127"/>
        <v>2.3295833333333325</v>
      </c>
      <c r="BZ23" s="106">
        <f t="shared" si="127"/>
        <v>3.5626696428571449</v>
      </c>
      <c r="CA23" s="106">
        <f t="shared" si="127"/>
        <v>4.8121656050955428</v>
      </c>
      <c r="CB23" s="106">
        <f t="shared" si="127"/>
        <v>4.0097272727272735</v>
      </c>
      <c r="CC23" s="106">
        <f t="shared" si="127"/>
        <v>2.6813269230769214</v>
      </c>
      <c r="CD23" s="106">
        <f t="shared" si="127"/>
        <v>4.1198374999999947</v>
      </c>
      <c r="CE23" s="106">
        <f t="shared" si="127"/>
        <v>4.9656284289276789</v>
      </c>
      <c r="CF23" s="106">
        <f t="shared" si="127"/>
        <v>4.3064796109240548</v>
      </c>
      <c r="CG23" s="106">
        <f t="shared" si="127"/>
        <v>2.6975395348837208</v>
      </c>
      <c r="CH23" s="106">
        <f t="shared" si="127"/>
        <v>4.0511666666666653</v>
      </c>
      <c r="CI23" s="106">
        <f t="shared" si="127"/>
        <v>5.125058974358975</v>
      </c>
      <c r="CJ23" s="106">
        <f t="shared" si="127"/>
        <v>4.1875036496350404</v>
      </c>
      <c r="CK23" s="106">
        <f t="shared" si="127"/>
        <v>2.69728270042194</v>
      </c>
      <c r="CL23" s="106">
        <f>CL21-CL22</f>
        <v>4.211920110192839</v>
      </c>
      <c r="CM23" s="107"/>
      <c r="CN23" s="107"/>
      <c r="CO23" s="107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7"/>
      <c r="DA23" s="107"/>
      <c r="DB23" s="171"/>
      <c r="DD23" s="116"/>
    </row>
    <row r="24" spans="1:108" s="157" customFormat="1" x14ac:dyDescent="0.25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6"/>
      <c r="AB24" s="156"/>
      <c r="AC24" s="156"/>
      <c r="AD24" s="156"/>
      <c r="AE24" s="156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  <c r="CJ24" s="155"/>
      <c r="CK24" s="155"/>
      <c r="CL24" s="155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/>
      <c r="DD24" s="158"/>
    </row>
    <row r="25" spans="1:108" s="157" customFormat="1" x14ac:dyDescent="0.25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6"/>
      <c r="AB25" s="156"/>
      <c r="AC25" s="156"/>
      <c r="AD25" s="156"/>
      <c r="AE25" s="156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/>
      <c r="DD25" s="158"/>
    </row>
    <row r="26" spans="1:108" s="105" customFormat="1" x14ac:dyDescent="0.25">
      <c r="A26" s="150" t="s">
        <v>501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4"/>
      <c r="AB26" s="104"/>
      <c r="AC26" s="104"/>
      <c r="AD26" s="104"/>
      <c r="AE26" s="104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/>
      <c r="DD26" s="117"/>
    </row>
    <row r="27" spans="1:108" s="105" customFormat="1" x14ac:dyDescent="0.25">
      <c r="A27" s="150" t="s">
        <v>486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04"/>
      <c r="AB27" s="104"/>
      <c r="AC27" s="104"/>
      <c r="AD27" s="104"/>
      <c r="AE27" s="104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59"/>
      <c r="CK27" s="159"/>
      <c r="CL27" s="159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/>
      <c r="DD27" s="117"/>
    </row>
    <row r="28" spans="1:108" s="24" customFormat="1" outlineLevel="1" x14ac:dyDescent="0.25">
      <c r="A28" s="24" t="s">
        <v>430</v>
      </c>
      <c r="B28" s="24">
        <f>'Annual Raw'!C6</f>
        <v>0</v>
      </c>
      <c r="C28" s="24">
        <f>'Annual Raw'!D6</f>
        <v>0</v>
      </c>
      <c r="D28" s="24">
        <f>'Annual Raw'!E6</f>
        <v>0</v>
      </c>
      <c r="E28" s="24">
        <f>'Annual Raw'!F6</f>
        <v>0</v>
      </c>
      <c r="F28" s="24">
        <f>'Annual Raw'!G6</f>
        <v>340.68526329999997</v>
      </c>
      <c r="G28" s="24">
        <f>'Annual Raw'!H6</f>
        <v>367.68239340000002</v>
      </c>
      <c r="H28" s="24">
        <f>'Annual Raw'!I6</f>
        <v>373.99352290000002</v>
      </c>
      <c r="I28" s="24">
        <f>'Annual Raw'!J6</f>
        <v>425.89375039999999</v>
      </c>
      <c r="J28" s="24">
        <f>'Annual Raw'!K6</f>
        <v>513.43037919999995</v>
      </c>
      <c r="K28" s="24">
        <f>'Annual Raw'!L6</f>
        <v>826.05039360000001</v>
      </c>
      <c r="L28" s="24">
        <f>'Annual Raw'!M6</f>
        <v>1046.6193853</v>
      </c>
      <c r="M28" s="24">
        <f>'Annual Raw'!N6</f>
        <v>1237.9639999999999</v>
      </c>
      <c r="N28" s="24">
        <f>'Annual Raw'!O6</f>
        <v>1986.1179999999999</v>
      </c>
      <c r="O28" s="24">
        <f>'Annual Raw'!P6</f>
        <v>2351.1729999999998</v>
      </c>
      <c r="P28" s="24">
        <f>'Annual Raw'!Q6</f>
        <v>2811.0740000000001</v>
      </c>
      <c r="Q28" s="24">
        <f>'Annual Raw'!R6</f>
        <v>3905.8939999999998</v>
      </c>
      <c r="R28" s="24">
        <f>'Annual Raw'!S6</f>
        <v>4531.4610000000002</v>
      </c>
      <c r="S28" s="24">
        <f>'Annual Raw'!T6</f>
        <v>4516.3770000000004</v>
      </c>
      <c r="T28" s="24">
        <f>'Annual Raw'!U6</f>
        <v>6175.3360000000002</v>
      </c>
      <c r="U28" s="24">
        <f>'Annual Raw'!V6</f>
        <v>8630.9089999999997</v>
      </c>
      <c r="V28" s="24">
        <f>'Annual Raw'!W6</f>
        <v>7660.2860000000001</v>
      </c>
      <c r="W28" s="24">
        <f>'Annual Raw'!X6</f>
        <v>9310.3230000000003</v>
      </c>
      <c r="X28" s="24">
        <f>'Annual Raw'!Y6</f>
        <v>13771.664000000001</v>
      </c>
      <c r="Y28" s="24">
        <f>'Annual Raw'!Z6</f>
        <v>16653.773000000001</v>
      </c>
      <c r="Z28" s="24">
        <f>'Annual Raw'!AA6</f>
        <v>21234.143</v>
      </c>
      <c r="AA28" s="16">
        <f>SUM(CH28:CK28)</f>
        <v>22225.583999999995</v>
      </c>
      <c r="AB28" s="16">
        <f>+SUM(CL28:CO28)</f>
        <v>25087.741615180836</v>
      </c>
      <c r="AC28" s="16">
        <f>+SUM(CP28:CS28)</f>
        <v>28963.151918451556</v>
      </c>
      <c r="AD28" s="16">
        <f>+SUM(CT28:CW28)</f>
        <v>31096.131055366281</v>
      </c>
      <c r="AE28" s="16">
        <f>+SUM(CX28:DA28)</f>
        <v>37324.564434725035</v>
      </c>
      <c r="AI28" s="24">
        <f>'QTR Raw'!C6+'QTR Raw'!C8</f>
        <v>0</v>
      </c>
      <c r="AJ28" s="24">
        <f>'QTR Raw'!D6+'QTR Raw'!D8</f>
        <v>0</v>
      </c>
      <c r="AK28" s="24">
        <f>'QTR Raw'!E6+'QTR Raw'!E8</f>
        <v>0</v>
      </c>
      <c r="AL28" s="24">
        <f>'QTR Raw'!F6+'QTR Raw'!F8</f>
        <v>0</v>
      </c>
      <c r="AM28" s="24">
        <f>'QTR Raw'!G6+'QTR Raw'!G8</f>
        <v>0</v>
      </c>
      <c r="AN28" s="24">
        <f>'QTR Raw'!H6+'QTR Raw'!H8</f>
        <v>0</v>
      </c>
      <c r="AO28" s="24">
        <f>'QTR Raw'!I6+'QTR Raw'!I8</f>
        <v>0</v>
      </c>
      <c r="AP28" s="24">
        <f>'QTR Raw'!J6+'QTR Raw'!J8</f>
        <v>0</v>
      </c>
      <c r="AQ28" s="24">
        <f>'QTR Raw'!K6+'QTR Raw'!K8</f>
        <v>0</v>
      </c>
      <c r="AR28" s="24">
        <f>'QTR Raw'!L6+'QTR Raw'!L8</f>
        <v>0</v>
      </c>
      <c r="AS28" s="24">
        <f>'QTR Raw'!M6+'QTR Raw'!M8</f>
        <v>0</v>
      </c>
      <c r="AT28" s="24">
        <f>'QTR Raw'!N6+'QTR Raw'!N8</f>
        <v>0</v>
      </c>
      <c r="AU28" s="24">
        <f>'QTR Raw'!O6+'QTR Raw'!O8</f>
        <v>0</v>
      </c>
      <c r="AV28" s="24">
        <f>'QTR Raw'!P6+'QTR Raw'!P8</f>
        <v>0</v>
      </c>
      <c r="AW28" s="24">
        <f>'QTR Raw'!Q6+'QTR Raw'!Q8</f>
        <v>390.85699999999997</v>
      </c>
      <c r="AX28" s="24">
        <f>'QTR Raw'!R6+'QTR Raw'!R8</f>
        <v>1032.6889999999999</v>
      </c>
      <c r="AY28" s="24">
        <f>'QTR Raw'!S6+'QTR Raw'!S8</f>
        <v>1978.134</v>
      </c>
      <c r="AZ28" s="24">
        <f>'QTR Raw'!T6+'QTR Raw'!T8</f>
        <v>1032.7950000000001</v>
      </c>
      <c r="BA28" s="24">
        <f>'QTR Raw'!U6+'QTR Raw'!U8</f>
        <v>487.84300000000002</v>
      </c>
      <c r="BB28" s="24">
        <f>'QTR Raw'!V6+'QTR Raw'!V8</f>
        <v>1050.8869999999999</v>
      </c>
      <c r="BC28" s="24">
        <f>'QTR Raw'!W6+'QTR Raw'!W8</f>
        <v>1934.0070000000001</v>
      </c>
      <c r="BD28" s="24">
        <f>'QTR Raw'!X6+'QTR Raw'!X8</f>
        <v>988.02</v>
      </c>
      <c r="BE28" s="24">
        <f>'QTR Raw'!Y6+'QTR Raw'!Y8</f>
        <v>543.46299999999997</v>
      </c>
      <c r="BF28" s="24">
        <f>'QTR Raw'!Z6+'QTR Raw'!Z8</f>
        <v>1122.373</v>
      </c>
      <c r="BG28" s="24">
        <f>'QTR Raw'!AA6+'QTR Raw'!AA8</f>
        <v>2097.1460000000002</v>
      </c>
      <c r="BH28" s="24">
        <f>'QTR Raw'!AB6+'QTR Raw'!AB8</f>
        <v>1204.471</v>
      </c>
      <c r="BI28" s="24">
        <f>'QTR Raw'!AC6+'QTR Raw'!AC8</f>
        <v>804.13699999999994</v>
      </c>
      <c r="BJ28" s="24">
        <f>'QTR Raw'!AD6+'QTR Raw'!AD8</f>
        <v>1380.607</v>
      </c>
      <c r="BK28" s="24">
        <f>'QTR Raw'!AE6+'QTR Raw'!AE8</f>
        <v>2851.4589999999998</v>
      </c>
      <c r="BL28" s="24">
        <f>'QTR Raw'!AF6+'QTR Raw'!AF8</f>
        <v>1776.857</v>
      </c>
      <c r="BM28" s="24">
        <f>'QTR Raw'!AG6+'QTR Raw'!AG8</f>
        <v>1239.5350000000001</v>
      </c>
      <c r="BN28" s="24">
        <f>'QTR Raw'!AH6+'QTR Raw'!AH8</f>
        <v>1699.248</v>
      </c>
      <c r="BO28" s="24">
        <f>'QTR Raw'!AI6+'QTR Raw'!AI8</f>
        <v>1665.69</v>
      </c>
      <c r="BP28" s="24">
        <f>'QTR Raw'!AJ6+'QTR Raw'!AJ8</f>
        <v>1839.5139999999999</v>
      </c>
      <c r="BQ28" s="24">
        <f>'QTR Raw'!AK6+'QTR Raw'!AK8</f>
        <v>1351.3389999999999</v>
      </c>
      <c r="BR28" s="24">
        <f>'QTR Raw'!AL6+'QTR Raw'!AL8</f>
        <v>2269.877</v>
      </c>
      <c r="BS28" s="24">
        <f>'QTR Raw'!AM6+'QTR Raw'!AM8</f>
        <v>2483.0439999999999</v>
      </c>
      <c r="BT28" s="24">
        <f>'QTR Raw'!AN6+'QTR Raw'!AN8</f>
        <v>2440.4340000000002</v>
      </c>
      <c r="BU28" s="24">
        <f>'QTR Raw'!AO6+'QTR Raw'!AO8</f>
        <v>1764.9359999999999</v>
      </c>
      <c r="BV28" s="24">
        <f>'QTR Raw'!AP6+'QTR Raw'!AP8</f>
        <v>2867.4769999999999</v>
      </c>
      <c r="BW28" s="24">
        <f>'QTR Raw'!AQ6+'QTR Raw'!AQ8</f>
        <v>5017.5749999999998</v>
      </c>
      <c r="BX28" s="24">
        <f>'QTR Raw'!AR6+'QTR Raw'!AR8</f>
        <v>3248.3049999999998</v>
      </c>
      <c r="BY28" s="24">
        <f>'QTR Raw'!AS6+'QTR Raw'!AS8</f>
        <v>2257.201</v>
      </c>
      <c r="BZ28" s="24">
        <f>'QTR Raw'!AT6+'QTR Raw'!AT8</f>
        <v>3952.5909999999999</v>
      </c>
      <c r="CA28" s="24">
        <f>'QTR Raw'!AU6+'QTR Raw'!AU8</f>
        <v>5699.7340000000004</v>
      </c>
      <c r="CB28" s="24">
        <f>'QTR Raw'!AV6+'QTR Raw'!AV8</f>
        <v>3937.7559999999999</v>
      </c>
      <c r="CC28" s="24">
        <f>'QTR Raw'!AW6+'QTR Raw'!AW8</f>
        <v>2730.982</v>
      </c>
      <c r="CD28" s="24">
        <f>'QTR Raw'!AX6+'QTR Raw'!AX8</f>
        <v>4397.9799999999996</v>
      </c>
      <c r="CE28" s="24">
        <f>'QTR Raw'!AY6+'QTR Raw'!AY8</f>
        <v>7333.6719999999996</v>
      </c>
      <c r="CF28" s="24">
        <f>'QTR Raw'!AZ6+'QTR Raw'!AZ8</f>
        <v>4932.0609999999997</v>
      </c>
      <c r="CG28" s="24">
        <f>'QTR Raw'!BA6+'QTR Raw'!BA8</f>
        <v>3817.6149999999998</v>
      </c>
      <c r="CH28" s="24">
        <f>'QTR Raw'!BB6+'QTR Raw'!BB8</f>
        <v>5680.0259999999998</v>
      </c>
      <c r="CI28" s="24">
        <f>'QTR Raw'!BC6+'QTR Raw'!BC8</f>
        <v>7163.0209999999997</v>
      </c>
      <c r="CJ28" s="24">
        <f>'QTR Raw'!BD6+'QTR Raw'!BD8</f>
        <v>5047.7420000000002</v>
      </c>
      <c r="CK28" s="24">
        <f>'QTR Raw'!BE6+'QTR Raw'!BE8</f>
        <v>4334.7950000000001</v>
      </c>
      <c r="CL28" s="24">
        <f>'QTR Raw'!BF6+'QTR Raw'!BF8</f>
        <v>6721.5370000000003</v>
      </c>
      <c r="CM28" s="16">
        <f>CM8*CM17</f>
        <v>7841.0803159665993</v>
      </c>
      <c r="CN28" s="16">
        <f t="shared" ref="CN28:DA28" si="128">CN8*CN17</f>
        <v>5609.3237952950922</v>
      </c>
      <c r="CO28" s="16">
        <f t="shared" si="128"/>
        <v>4915.8005039191466</v>
      </c>
      <c r="CP28" s="16">
        <f t="shared" si="128"/>
        <v>7783.7432118945753</v>
      </c>
      <c r="CQ28" s="16">
        <f t="shared" si="128"/>
        <v>9057.0172075447663</v>
      </c>
      <c r="CR28" s="16">
        <f t="shared" si="128"/>
        <v>6453.1009588514908</v>
      </c>
      <c r="CS28" s="16">
        <f t="shared" si="128"/>
        <v>5669.2905401607231</v>
      </c>
      <c r="CT28" s="16">
        <f t="shared" si="128"/>
        <v>8328.1610738650288</v>
      </c>
      <c r="CU28" s="16">
        <f t="shared" si="128"/>
        <v>9719.0068068374876</v>
      </c>
      <c r="CV28" s="16">
        <f t="shared" si="128"/>
        <v>6938.8623750541256</v>
      </c>
      <c r="CW28" s="16">
        <f t="shared" si="128"/>
        <v>6110.1007996096387</v>
      </c>
      <c r="CX28" s="16">
        <f t="shared" si="128"/>
        <v>9967.8380111085899</v>
      </c>
      <c r="CY28" s="16">
        <f t="shared" si="128"/>
        <v>11654.088912877216</v>
      </c>
      <c r="CZ28" s="16">
        <f t="shared" si="128"/>
        <v>8338.1449322442168</v>
      </c>
      <c r="DA28" s="16">
        <f t="shared" si="128"/>
        <v>7364.4925784950101</v>
      </c>
      <c r="DB28"/>
      <c r="DD28" s="118"/>
    </row>
    <row r="29" spans="1:108" s="91" customFormat="1" outlineLevel="1" x14ac:dyDescent="0.25">
      <c r="A29" s="91" t="s">
        <v>109</v>
      </c>
      <c r="B29" s="91">
        <f>'Annual Raw'!C7+'Annual Raw'!C8+'Annual Raw'!C9</f>
        <v>0</v>
      </c>
      <c r="C29" s="91">
        <f>'Annual Raw'!D7+'Annual Raw'!D8+'Annual Raw'!D9</f>
        <v>0</v>
      </c>
      <c r="D29" s="91">
        <f>'Annual Raw'!E7+'Annual Raw'!E8+'Annual Raw'!E9</f>
        <v>0</v>
      </c>
      <c r="E29" s="91">
        <f>'Annual Raw'!F7+'Annual Raw'!F8+'Annual Raw'!F9</f>
        <v>0</v>
      </c>
      <c r="F29" s="91">
        <f>'Annual Raw'!G7+'Annual Raw'!G8+'Annual Raw'!G9</f>
        <v>57.193838200000002</v>
      </c>
      <c r="G29" s="91">
        <f>'Annual Raw'!H7+'Annual Raw'!H8+'Annual Raw'!H9</f>
        <v>60.750737600000001</v>
      </c>
      <c r="H29" s="91">
        <f>'Annual Raw'!I7+'Annual Raw'!I8+'Annual Raw'!I9</f>
        <v>46.140744300000001</v>
      </c>
      <c r="I29" s="91">
        <f>'Annual Raw'!J7+'Annual Raw'!J8+'Annual Raw'!J9</f>
        <v>53.163080600000001</v>
      </c>
      <c r="J29" s="91">
        <f>'Annual Raw'!K7+'Annual Raw'!K8+'Annual Raw'!K9</f>
        <v>53.585175599999999</v>
      </c>
      <c r="K29" s="91">
        <f>'Annual Raw'!L7+'Annual Raw'!L8+'Annual Raw'!L9</f>
        <v>54.458274299999999</v>
      </c>
      <c r="L29" s="91">
        <f>'Annual Raw'!M7+'Annual Raw'!M8+'Annual Raw'!M9</f>
        <v>81.091828399999997</v>
      </c>
      <c r="M29" s="91">
        <f>'Annual Raw'!N7+'Annual Raw'!N8+'Annual Raw'!N9</f>
        <v>98.36</v>
      </c>
      <c r="N29" s="91">
        <f>'Annual Raw'!O7+'Annual Raw'!O8+'Annual Raw'!O9</f>
        <v>186.124</v>
      </c>
      <c r="O29" s="91">
        <f>'Annual Raw'!P7+'Annual Raw'!P8+'Annual Raw'!P9</f>
        <v>236.024</v>
      </c>
      <c r="P29" s="91">
        <f>'Annual Raw'!Q7+'Annual Raw'!Q8+'Annual Raw'!Q9</f>
        <v>308.66699999999997</v>
      </c>
      <c r="Q29" s="91">
        <f>'Annual Raw'!R7+'Annual Raw'!R8+'Annual Raw'!R9</f>
        <v>511.745</v>
      </c>
      <c r="R29" s="91">
        <f>'Annual Raw'!S7+'Annual Raw'!S8+'Annual Raw'!S9</f>
        <v>670.27800000000002</v>
      </c>
      <c r="S29" s="91">
        <f>'Annual Raw'!T7+'Annual Raw'!T8+'Annual Raw'!T9</f>
        <v>512.83699999999999</v>
      </c>
      <c r="T29" s="91">
        <f>'Annual Raw'!U7+'Annual Raw'!U8+'Annual Raw'!U9</f>
        <v>1070.0809999999999</v>
      </c>
      <c r="U29" s="91">
        <f>'Annual Raw'!V7+'Annual Raw'!V8+'Annual Raw'!V9</f>
        <v>1501.3310000000001</v>
      </c>
      <c r="V29" s="91">
        <f>'Annual Raw'!W7+'Annual Raw'!W8+'Annual Raw'!W9</f>
        <v>1210.1439999999998</v>
      </c>
      <c r="W29" s="91">
        <f>'Annual Raw'!X7+'Annual Raw'!X8+'Annual Raw'!X9</f>
        <v>487.09299999999996</v>
      </c>
      <c r="X29" s="91">
        <f>'Annual Raw'!Y7+'Annual Raw'!Y8+'Annual Raw'!Y9</f>
        <v>598.52199999999993</v>
      </c>
      <c r="Y29" s="91">
        <f>'Annual Raw'!Z7+'Annual Raw'!Z8+'Annual Raw'!Z9</f>
        <v>611.19200000000001</v>
      </c>
      <c r="Z29" s="91">
        <f>'Annual Raw'!AA7+'Annual Raw'!AA8+'Annual Raw'!AA9</f>
        <v>1226.4929999999999</v>
      </c>
      <c r="AA29" s="75">
        <f>SUM(CH29:CK29)</f>
        <v>540.20499999999993</v>
      </c>
      <c r="AB29" s="75">
        <f>+SUM(CL29:CO29)</f>
        <v>147.34700000000001</v>
      </c>
      <c r="AC29" s="75">
        <f>+SUM(CP29:CS29)</f>
        <v>0</v>
      </c>
      <c r="AD29" s="75">
        <f>+SUM(CT29:CW29)</f>
        <v>0</v>
      </c>
      <c r="AE29" s="75">
        <f>+SUM(CX29:DA29)</f>
        <v>0</v>
      </c>
      <c r="AI29" s="91">
        <f>'QTR Raw'!C21+'QTR Raw'!C20+'QTR Raw'!C19+'QTR Raw'!C13+'QTR Raw'!C7</f>
        <v>0</v>
      </c>
      <c r="AJ29" s="91">
        <f>'QTR Raw'!D21+'QTR Raw'!D20+'QTR Raw'!D19+'QTR Raw'!D13+'QTR Raw'!D7</f>
        <v>0</v>
      </c>
      <c r="AK29" s="91">
        <f>'QTR Raw'!E21+'QTR Raw'!E20+'QTR Raw'!E19+'QTR Raw'!E13+'QTR Raw'!E7</f>
        <v>0</v>
      </c>
      <c r="AL29" s="91">
        <f>'QTR Raw'!F21+'QTR Raw'!F20+'QTR Raw'!F19+'QTR Raw'!F13+'QTR Raw'!F7</f>
        <v>0</v>
      </c>
      <c r="AM29" s="91">
        <f>'QTR Raw'!G21+'QTR Raw'!G20+'QTR Raw'!G19+'QTR Raw'!G13+'QTR Raw'!G7</f>
        <v>0</v>
      </c>
      <c r="AN29" s="91">
        <f>'QTR Raw'!H21+'QTR Raw'!H20+'QTR Raw'!H19+'QTR Raw'!H13+'QTR Raw'!H7</f>
        <v>0</v>
      </c>
      <c r="AO29" s="91">
        <f>'QTR Raw'!I21+'QTR Raw'!I20+'QTR Raw'!I19+'QTR Raw'!I13+'QTR Raw'!I7</f>
        <v>0</v>
      </c>
      <c r="AP29" s="91">
        <f>'QTR Raw'!J21+'QTR Raw'!J20+'QTR Raw'!J19+'QTR Raw'!J13+'QTR Raw'!J7</f>
        <v>0</v>
      </c>
      <c r="AQ29" s="91">
        <f>'QTR Raw'!K21+'QTR Raw'!K20+'QTR Raw'!K19+'QTR Raw'!K13+'QTR Raw'!K7</f>
        <v>0</v>
      </c>
      <c r="AR29" s="91">
        <f>'QTR Raw'!L21+'QTR Raw'!L20+'QTR Raw'!L19+'QTR Raw'!L13+'QTR Raw'!L7</f>
        <v>0</v>
      </c>
      <c r="AS29" s="91">
        <f>'QTR Raw'!M21+'QTR Raw'!M20+'QTR Raw'!M19+'QTR Raw'!M13+'QTR Raw'!M7</f>
        <v>0</v>
      </c>
      <c r="AT29" s="91">
        <f>'QTR Raw'!N21+'QTR Raw'!N20+'QTR Raw'!N19+'QTR Raw'!N13+'QTR Raw'!N7</f>
        <v>0</v>
      </c>
      <c r="AU29" s="91">
        <f>'QTR Raw'!O21+'QTR Raw'!O20+'QTR Raw'!O19+'QTR Raw'!O13+'QTR Raw'!O7</f>
        <v>0</v>
      </c>
      <c r="AV29" s="91">
        <f>'QTR Raw'!P21+'QTR Raw'!P20+'QTR Raw'!P19+'QTR Raw'!P13+'QTR Raw'!P7</f>
        <v>0</v>
      </c>
      <c r="AW29" s="91">
        <f>'QTR Raw'!Q21+'QTR Raw'!Q20+'QTR Raw'!Q19+'QTR Raw'!Q13+'QTR Raw'!Q7</f>
        <v>0</v>
      </c>
      <c r="AX29" s="91">
        <f>'QTR Raw'!R21+'QTR Raw'!R20+'QTR Raw'!R19+'QTR Raw'!R13+'QTR Raw'!R7</f>
        <v>163.66900000000001</v>
      </c>
      <c r="AY29" s="91">
        <f>'QTR Raw'!S21+'QTR Raw'!S20+'QTR Raw'!S19+'QTR Raw'!S13+'QTR Raw'!S7</f>
        <v>317.66800000000001</v>
      </c>
      <c r="AZ29" s="91">
        <f>'QTR Raw'!T21+'QTR Raw'!T20+'QTR Raw'!T19+'QTR Raw'!T13+'QTR Raw'!T7</f>
        <v>135.34200000000001</v>
      </c>
      <c r="BA29" s="91">
        <f>'QTR Raw'!U21+'QTR Raw'!U20+'QTR Raw'!U19+'QTR Raw'!U13+'QTR Raw'!U7</f>
        <v>53.598999999999997</v>
      </c>
      <c r="BB29" s="91">
        <f>'QTR Raw'!V21+'QTR Raw'!V20+'QTR Raw'!V19+'QTR Raw'!V13+'QTR Raw'!V7</f>
        <v>171.69</v>
      </c>
      <c r="BC29" s="91">
        <f>'QTR Raw'!W21+'QTR Raw'!W20+'QTR Raw'!W19+'QTR Raw'!W13+'QTR Raw'!W7</f>
        <v>300.61200000000002</v>
      </c>
      <c r="BD29" s="91">
        <f>'QTR Raw'!X21+'QTR Raw'!X20+'QTR Raw'!X19+'QTR Raw'!X13+'QTR Raw'!X7</f>
        <v>24.571999999999999</v>
      </c>
      <c r="BE29" s="91">
        <f>'QTR Raw'!Y21+'QTR Raw'!Y20+'QTR Raw'!Y19+'QTR Raw'!Y13+'QTR Raw'!Y7</f>
        <v>15.962999999999999</v>
      </c>
      <c r="BF29" s="91">
        <f>'QTR Raw'!Z21+'QTR Raw'!Z20+'QTR Raw'!Z19+'QTR Raw'!Z13+'QTR Raw'!Z7</f>
        <v>27.603000000000002</v>
      </c>
      <c r="BG29" s="91">
        <f>'QTR Raw'!AA21+'QTR Raw'!AA20+'QTR Raw'!AA19+'QTR Raw'!AA13+'QTR Raw'!AA7</f>
        <v>38.015000000000001</v>
      </c>
      <c r="BH29" s="91">
        <f>'QTR Raw'!AB21+'QTR Raw'!AB20+'QTR Raw'!AB19+'QTR Raw'!AB13+'QTR Raw'!AB7</f>
        <v>38.734000000000002</v>
      </c>
      <c r="BI29" s="91">
        <f>'QTR Raw'!AC21+'QTR Raw'!AC20+'QTR Raw'!AC19+'QTR Raw'!AC13+'QTR Raw'!AC7</f>
        <v>18.52</v>
      </c>
      <c r="BJ29" s="91">
        <f>'QTR Raw'!AD21+'QTR Raw'!AD20+'QTR Raw'!AD19+'QTR Raw'!AD13+'QTR Raw'!AD7</f>
        <v>21.462</v>
      </c>
      <c r="BK29" s="91">
        <f>'QTR Raw'!AE21+'QTR Raw'!AE20+'QTR Raw'!AE19+'QTR Raw'!AE13+'QTR Raw'!AE7</f>
        <v>41.005000000000003</v>
      </c>
      <c r="BL29" s="91">
        <f>'QTR Raw'!AF21+'QTR Raw'!AF20+'QTR Raw'!AF19+'QTR Raw'!AF13+'QTR Raw'!AF7</f>
        <v>37.122999999999998</v>
      </c>
      <c r="BM29" s="91">
        <f>'QTR Raw'!AG21+'QTR Raw'!AG20+'QTR Raw'!AG19+'QTR Raw'!AG13+'QTR Raw'!AG7</f>
        <v>19.29</v>
      </c>
      <c r="BN29" s="91">
        <f>'QTR Raw'!AH21+'QTR Raw'!AH20+'QTR Raw'!AH19+'QTR Raw'!AH13+'QTR Raw'!AH7</f>
        <v>22.814</v>
      </c>
      <c r="BO29" s="91">
        <f>'QTR Raw'!AI21+'QTR Raw'!AI20+'QTR Raw'!AI19+'QTR Raw'!AI13+'QTR Raw'!AI7</f>
        <v>25.507000000000001</v>
      </c>
      <c r="BP29" s="91">
        <f>'QTR Raw'!AJ21+'QTR Raw'!AJ20+'QTR Raw'!AJ19+'QTR Raw'!AJ13+'QTR Raw'!AJ7</f>
        <v>36.880000000000003</v>
      </c>
      <c r="BQ29" s="91">
        <f>'QTR Raw'!AK21+'QTR Raw'!AK20+'QTR Raw'!AK19+'QTR Raw'!AK13+'QTR Raw'!AK7</f>
        <v>20.448</v>
      </c>
      <c r="BR29" s="91">
        <f>'QTR Raw'!AL21+'QTR Raw'!AL20+'QTR Raw'!AL19+'QTR Raw'!AL13+'QTR Raw'!AL7</f>
        <v>28.984999999999999</v>
      </c>
      <c r="BS29" s="91">
        <f>'QTR Raw'!AM21+'QTR Raw'!AM20+'QTR Raw'!AM19+'QTR Raw'!AM13+'QTR Raw'!AM7</f>
        <v>33.198999999999998</v>
      </c>
      <c r="BT29" s="91">
        <f>'QTR Raw'!AN21+'QTR Raw'!AN20+'QTR Raw'!AN19+'QTR Raw'!AN13+'QTR Raw'!AN7</f>
        <v>42.276000000000003</v>
      </c>
      <c r="BU29" s="91">
        <f>'QTR Raw'!AO21+'QTR Raw'!AO20+'QTR Raw'!AO19+'QTR Raw'!AO13+'QTR Raw'!AO7</f>
        <v>30.600999999999999</v>
      </c>
      <c r="BV29" s="91">
        <f>'QTR Raw'!AP21+'QTR Raw'!AP20+'QTR Raw'!AP19+'QTR Raw'!AP13+'QTR Raw'!AP7</f>
        <v>40.005000000000003</v>
      </c>
      <c r="BW29" s="91">
        <f>'QTR Raw'!AQ21+'QTR Raw'!AQ20+'QTR Raw'!AQ19+'QTR Raw'!AQ13+'QTR Raw'!AQ7</f>
        <v>62.76</v>
      </c>
      <c r="BX29" s="91">
        <f>'QTR Raw'!AR21+'QTR Raw'!AR20+'QTR Raw'!AR19+'QTR Raw'!AR13+'QTR Raw'!AR7</f>
        <v>71.685000000000002</v>
      </c>
      <c r="BY29" s="91">
        <f>'QTR Raw'!AS21+'QTR Raw'!AS20+'QTR Raw'!AS19+'QTR Raw'!AS13+'QTR Raw'!AS7</f>
        <v>42.966000000000001</v>
      </c>
      <c r="BZ29" s="91">
        <f>'QTR Raw'!AT21+'QTR Raw'!AT20+'QTR Raw'!AT19+'QTR Raw'!AT13+'QTR Raw'!AT7</f>
        <v>59.616</v>
      </c>
      <c r="CA29" s="91">
        <f>'QTR Raw'!AU21+'QTR Raw'!AU20+'QTR Raw'!AU19+'QTR Raw'!AU13+'QTR Raw'!AU7</f>
        <v>88.331999999999994</v>
      </c>
      <c r="CB29" s="91">
        <f>'QTR Raw'!AV21+'QTR Raw'!AV20+'QTR Raw'!AV19+'QTR Raw'!AV13+'QTR Raw'!AV7</f>
        <v>67.241</v>
      </c>
      <c r="CC29" s="91">
        <f>'QTR Raw'!AW21+'QTR Raw'!AW20+'QTR Raw'!AW19+'QTR Raw'!AW13+'QTR Raw'!AW7</f>
        <v>63.292999999999999</v>
      </c>
      <c r="CD29" s="91">
        <f>'QTR Raw'!AX21+'QTR Raw'!AX20+'QTR Raw'!AX19+'QTR Raw'!AX13+'QTR Raw'!AX7</f>
        <v>80.667000000000002</v>
      </c>
      <c r="CE29" s="91">
        <f>'QTR Raw'!AY21+'QTR Raw'!AY20+'QTR Raw'!AY19+'QTR Raw'!AY13+'QTR Raw'!AY7</f>
        <v>136.81</v>
      </c>
      <c r="CF29" s="91">
        <f>'QTR Raw'!AZ21+'QTR Raw'!AZ20+'QTR Raw'!AZ19+'QTR Raw'!AZ13+'QTR Raw'!AZ7</f>
        <v>127.378</v>
      </c>
      <c r="CG29" s="91">
        <f>'QTR Raw'!BA21+'QTR Raw'!BA20+'QTR Raw'!BA19+'QTR Raw'!BA13+'QTR Raw'!BA7</f>
        <v>128.82300000000001</v>
      </c>
      <c r="CH29" s="91">
        <f>'QTR Raw'!BB21+'QTR Raw'!BB20+'QTR Raw'!BB19+'QTR Raw'!BB13+'QTR Raw'!BB7</f>
        <v>113.09099999999999</v>
      </c>
      <c r="CI29" s="91">
        <f>'QTR Raw'!BC21+'QTR Raw'!BC20+'QTR Raw'!BC19+'QTR Raw'!BC13+'QTR Raw'!BC7</f>
        <v>145.65</v>
      </c>
      <c r="CJ29" s="91">
        <f>'QTR Raw'!BD21+'QTR Raw'!BD20+'QTR Raw'!BD19+'QTR Raw'!BD13+'QTR Raw'!BD7</f>
        <v>151.09200000000001</v>
      </c>
      <c r="CK29" s="91">
        <f>'QTR Raw'!BE21+'QTR Raw'!BE20+'QTR Raw'!BE19+'QTR Raw'!BE13+'QTR Raw'!BE7</f>
        <v>130.37200000000001</v>
      </c>
      <c r="CL29" s="91">
        <f>'QTR Raw'!BF21+'QTR Raw'!BF20+'QTR Raw'!BF19+'QTR Raw'!BF13+'QTR Raw'!BF7</f>
        <v>147.34700000000001</v>
      </c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/>
      <c r="DD29" s="119"/>
    </row>
    <row r="30" spans="1:108" s="25" customFormat="1" x14ac:dyDescent="0.25">
      <c r="A30" s="25" t="s">
        <v>431</v>
      </c>
      <c r="B30" s="25">
        <f>+B28-B29</f>
        <v>0</v>
      </c>
      <c r="C30" s="25">
        <f>+C28-C29</f>
        <v>0</v>
      </c>
      <c r="D30" s="25">
        <f t="shared" ref="D30:U30" si="129">+D28-D29</f>
        <v>0</v>
      </c>
      <c r="E30" s="25">
        <f t="shared" si="129"/>
        <v>0</v>
      </c>
      <c r="F30" s="25">
        <f t="shared" si="129"/>
        <v>283.49142509999996</v>
      </c>
      <c r="G30" s="25">
        <f t="shared" si="129"/>
        <v>306.93165580000004</v>
      </c>
      <c r="H30" s="25">
        <f t="shared" si="129"/>
        <v>327.85277860000002</v>
      </c>
      <c r="I30" s="25">
        <f t="shared" si="129"/>
        <v>372.73066979999999</v>
      </c>
      <c r="J30" s="25">
        <f t="shared" si="129"/>
        <v>459.84520359999993</v>
      </c>
      <c r="K30" s="25">
        <f t="shared" si="129"/>
        <v>771.59211930000004</v>
      </c>
      <c r="L30" s="25">
        <f t="shared" si="129"/>
        <v>965.52755690000004</v>
      </c>
      <c r="M30" s="25">
        <f t="shared" si="129"/>
        <v>1139.604</v>
      </c>
      <c r="N30" s="25">
        <f t="shared" si="129"/>
        <v>1799.9939999999999</v>
      </c>
      <c r="O30" s="25">
        <f t="shared" si="129"/>
        <v>2115.1489999999999</v>
      </c>
      <c r="P30" s="25">
        <f t="shared" si="129"/>
        <v>2502.4070000000002</v>
      </c>
      <c r="Q30" s="25">
        <f t="shared" si="129"/>
        <v>3394.1489999999999</v>
      </c>
      <c r="R30" s="25">
        <f t="shared" si="129"/>
        <v>3861.183</v>
      </c>
      <c r="S30" s="25">
        <f t="shared" si="129"/>
        <v>4003.5400000000004</v>
      </c>
      <c r="T30" s="25">
        <f t="shared" si="129"/>
        <v>5105.2550000000001</v>
      </c>
      <c r="U30" s="25">
        <f t="shared" si="129"/>
        <v>7129.5779999999995</v>
      </c>
      <c r="V30" s="25">
        <f>+V28-V29</f>
        <v>6450.1419999999998</v>
      </c>
      <c r="W30" s="25">
        <f>+W28-W29</f>
        <v>8823.23</v>
      </c>
      <c r="X30" s="25">
        <f>+X28-X29</f>
        <v>13173.142</v>
      </c>
      <c r="Y30" s="25">
        <f>+Y28-Y29</f>
        <v>16042.581000000002</v>
      </c>
      <c r="Z30" s="25">
        <f>+Z28-Z29</f>
        <v>20007.650000000001</v>
      </c>
      <c r="AA30" s="26">
        <f t="shared" ref="AA30" si="130">+AA28-AA29</f>
        <v>21685.378999999994</v>
      </c>
      <c r="AB30" s="26">
        <f t="shared" ref="AB30:AD30" si="131">+AB28-AB29</f>
        <v>24940.394615180834</v>
      </c>
      <c r="AC30" s="26">
        <f t="shared" si="131"/>
        <v>28963.151918451556</v>
      </c>
      <c r="AD30" s="26">
        <f t="shared" si="131"/>
        <v>31096.131055366281</v>
      </c>
      <c r="AE30" s="26">
        <f t="shared" ref="AE30" si="132">+AE28-AE29</f>
        <v>37324.564434725035</v>
      </c>
      <c r="AI30" s="25">
        <f t="shared" ref="AI30" si="133">+AI28-AI29</f>
        <v>0</v>
      </c>
      <c r="AJ30" s="25">
        <f t="shared" ref="AJ30" si="134">+AJ28-AJ29</f>
        <v>0</v>
      </c>
      <c r="AK30" s="25">
        <f t="shared" ref="AK30:AM30" si="135">+AK28-AK29</f>
        <v>0</v>
      </c>
      <c r="AL30" s="25">
        <f t="shared" si="135"/>
        <v>0</v>
      </c>
      <c r="AM30" s="25">
        <f t="shared" si="135"/>
        <v>0</v>
      </c>
      <c r="AN30" s="25">
        <f t="shared" ref="AN30:AO30" si="136">+AN28-AN29</f>
        <v>0</v>
      </c>
      <c r="AO30" s="25">
        <f t="shared" si="136"/>
        <v>0</v>
      </c>
      <c r="AP30" s="25">
        <f t="shared" ref="AP30:AW30" si="137">+AP28-AP29</f>
        <v>0</v>
      </c>
      <c r="AQ30" s="25">
        <f t="shared" si="137"/>
        <v>0</v>
      </c>
      <c r="AR30" s="25">
        <f t="shared" si="137"/>
        <v>0</v>
      </c>
      <c r="AS30" s="25">
        <f t="shared" si="137"/>
        <v>0</v>
      </c>
      <c r="AT30" s="25">
        <f t="shared" si="137"/>
        <v>0</v>
      </c>
      <c r="AU30" s="25">
        <f t="shared" si="137"/>
        <v>0</v>
      </c>
      <c r="AV30" s="25">
        <f t="shared" si="137"/>
        <v>0</v>
      </c>
      <c r="AW30" s="25">
        <f t="shared" si="137"/>
        <v>390.85699999999997</v>
      </c>
      <c r="AX30" s="25">
        <f t="shared" ref="AX30:CF30" si="138">+AX28-AX29</f>
        <v>869.01999999999987</v>
      </c>
      <c r="AY30" s="25">
        <f t="shared" si="138"/>
        <v>1660.4659999999999</v>
      </c>
      <c r="AZ30" s="25">
        <f t="shared" si="138"/>
        <v>897.45300000000009</v>
      </c>
      <c r="BA30" s="25">
        <f t="shared" si="138"/>
        <v>434.24400000000003</v>
      </c>
      <c r="BB30" s="25">
        <f t="shared" si="138"/>
        <v>879.19699999999989</v>
      </c>
      <c r="BC30" s="25">
        <f t="shared" si="138"/>
        <v>1633.395</v>
      </c>
      <c r="BD30" s="25">
        <f t="shared" si="138"/>
        <v>963.44799999999998</v>
      </c>
      <c r="BE30" s="25">
        <f t="shared" si="138"/>
        <v>527.5</v>
      </c>
      <c r="BF30" s="25">
        <f t="shared" si="138"/>
        <v>1094.77</v>
      </c>
      <c r="BG30" s="25">
        <f t="shared" si="138"/>
        <v>2059.1310000000003</v>
      </c>
      <c r="BH30" s="25">
        <f t="shared" si="138"/>
        <v>1165.7370000000001</v>
      </c>
      <c r="BI30" s="25">
        <f t="shared" si="138"/>
        <v>785.61699999999996</v>
      </c>
      <c r="BJ30" s="25">
        <f t="shared" si="138"/>
        <v>1359.145</v>
      </c>
      <c r="BK30" s="25">
        <f t="shared" si="138"/>
        <v>2810.4539999999997</v>
      </c>
      <c r="BL30" s="25">
        <f t="shared" si="138"/>
        <v>1739.7339999999999</v>
      </c>
      <c r="BM30" s="25">
        <f t="shared" si="138"/>
        <v>1220.2450000000001</v>
      </c>
      <c r="BN30" s="25">
        <f t="shared" si="138"/>
        <v>1676.434</v>
      </c>
      <c r="BO30" s="25">
        <f t="shared" si="138"/>
        <v>1640.183</v>
      </c>
      <c r="BP30" s="25">
        <f t="shared" si="138"/>
        <v>1802.6339999999998</v>
      </c>
      <c r="BQ30" s="25">
        <f t="shared" si="138"/>
        <v>1330.8909999999998</v>
      </c>
      <c r="BR30" s="25">
        <f t="shared" si="138"/>
        <v>2240.8919999999998</v>
      </c>
      <c r="BS30" s="25">
        <f t="shared" si="138"/>
        <v>2449.8449999999998</v>
      </c>
      <c r="BT30" s="25">
        <f t="shared" si="138"/>
        <v>2398.1580000000004</v>
      </c>
      <c r="BU30" s="25">
        <f t="shared" si="138"/>
        <v>1734.335</v>
      </c>
      <c r="BV30" s="25">
        <f t="shared" si="138"/>
        <v>2827.4719999999998</v>
      </c>
      <c r="BW30" s="25">
        <f t="shared" si="138"/>
        <v>4954.8149999999996</v>
      </c>
      <c r="BX30" s="25">
        <f t="shared" si="138"/>
        <v>3176.62</v>
      </c>
      <c r="BY30" s="25">
        <f t="shared" si="138"/>
        <v>2214.2350000000001</v>
      </c>
      <c r="BZ30" s="25">
        <f t="shared" si="138"/>
        <v>3892.9749999999999</v>
      </c>
      <c r="CA30" s="25">
        <f t="shared" si="138"/>
        <v>5611.402</v>
      </c>
      <c r="CB30" s="25">
        <f t="shared" si="138"/>
        <v>3870.5149999999999</v>
      </c>
      <c r="CC30" s="25">
        <f t="shared" si="138"/>
        <v>2667.6889999999999</v>
      </c>
      <c r="CD30" s="25">
        <f t="shared" si="138"/>
        <v>4317.3129999999992</v>
      </c>
      <c r="CE30" s="25">
        <f t="shared" si="138"/>
        <v>7196.8619999999992</v>
      </c>
      <c r="CF30" s="25">
        <f t="shared" si="138"/>
        <v>4804.683</v>
      </c>
      <c r="CG30" s="25">
        <f t="shared" ref="CG30:CH30" si="139">+CG28-CG29</f>
        <v>3688.7919999999999</v>
      </c>
      <c r="CH30" s="25">
        <f t="shared" si="139"/>
        <v>5566.9349999999995</v>
      </c>
      <c r="CI30" s="25">
        <f t="shared" ref="CI30:CJ30" si="140">+CI28-CI29</f>
        <v>7017.3710000000001</v>
      </c>
      <c r="CJ30" s="25">
        <f t="shared" si="140"/>
        <v>4896.6500000000005</v>
      </c>
      <c r="CK30" s="25">
        <f t="shared" ref="CK30:CL30" si="141">+CK28-CK29</f>
        <v>4204.4229999999998</v>
      </c>
      <c r="CL30" s="25">
        <f t="shared" si="141"/>
        <v>6574.1900000000005</v>
      </c>
      <c r="CM30" s="26">
        <f t="shared" ref="CM30:DA30" si="142">+CM28-CM29</f>
        <v>7841.0803159665993</v>
      </c>
      <c r="CN30" s="26">
        <f t="shared" si="142"/>
        <v>5609.3237952950922</v>
      </c>
      <c r="CO30" s="26">
        <f t="shared" si="142"/>
        <v>4915.8005039191466</v>
      </c>
      <c r="CP30" s="26">
        <f t="shared" si="142"/>
        <v>7783.7432118945753</v>
      </c>
      <c r="CQ30" s="26">
        <f t="shared" si="142"/>
        <v>9057.0172075447663</v>
      </c>
      <c r="CR30" s="26">
        <f t="shared" si="142"/>
        <v>6453.1009588514908</v>
      </c>
      <c r="CS30" s="26">
        <f t="shared" si="142"/>
        <v>5669.2905401607231</v>
      </c>
      <c r="CT30" s="26">
        <f t="shared" si="142"/>
        <v>8328.1610738650288</v>
      </c>
      <c r="CU30" s="26">
        <f t="shared" si="142"/>
        <v>9719.0068068374876</v>
      </c>
      <c r="CV30" s="26">
        <f t="shared" si="142"/>
        <v>6938.8623750541256</v>
      </c>
      <c r="CW30" s="26">
        <f t="shared" si="142"/>
        <v>6110.1007996096387</v>
      </c>
      <c r="CX30" s="26">
        <f t="shared" si="142"/>
        <v>9967.8380111085899</v>
      </c>
      <c r="CY30" s="26">
        <f t="shared" si="142"/>
        <v>11654.088912877216</v>
      </c>
      <c r="CZ30" s="26">
        <f t="shared" si="142"/>
        <v>8338.1449322442168</v>
      </c>
      <c r="DA30" s="26">
        <f t="shared" si="142"/>
        <v>7364.4925784950101</v>
      </c>
      <c r="DB30"/>
      <c r="DD30" s="120"/>
    </row>
    <row r="31" spans="1:108" s="38" customFormat="1" x14ac:dyDescent="0.25">
      <c r="A31" s="38" t="s">
        <v>484</v>
      </c>
      <c r="C31" s="38" t="e">
        <f t="shared" ref="C31" si="143">C30/B30-1</f>
        <v>#DIV/0!</v>
      </c>
      <c r="D31" s="38" t="e">
        <f t="shared" ref="D31" si="144">D30/C30-1</f>
        <v>#DIV/0!</v>
      </c>
      <c r="E31" s="38" t="e">
        <f t="shared" ref="E31" si="145">E30/D30-1</f>
        <v>#DIV/0!</v>
      </c>
      <c r="F31" s="38" t="e">
        <f t="shared" ref="F31:R31" si="146">F30/E30-1</f>
        <v>#DIV/0!</v>
      </c>
      <c r="G31" s="38">
        <f t="shared" si="146"/>
        <v>8.2684090680103184E-2</v>
      </c>
      <c r="H31" s="38">
        <f t="shared" si="146"/>
        <v>6.8162154032207045E-2</v>
      </c>
      <c r="I31" s="38">
        <f t="shared" si="146"/>
        <v>0.13688427894873412</v>
      </c>
      <c r="J31" s="38">
        <f t="shared" si="146"/>
        <v>0.23371978980625308</v>
      </c>
      <c r="K31" s="38">
        <f>K30/J30-1</f>
        <v>0.67793882215019408</v>
      </c>
      <c r="L31" s="38">
        <f t="shared" si="146"/>
        <v>0.2513445028131458</v>
      </c>
      <c r="M31" s="38">
        <f t="shared" si="146"/>
        <v>0.18029153270249876</v>
      </c>
      <c r="N31" s="38">
        <f t="shared" si="146"/>
        <v>0.579490770478166</v>
      </c>
      <c r="O31" s="38">
        <f t="shared" si="146"/>
        <v>0.17508669473342686</v>
      </c>
      <c r="P31" s="38">
        <f t="shared" si="146"/>
        <v>0.18308781083507597</v>
      </c>
      <c r="Q31" s="38">
        <f t="shared" si="146"/>
        <v>0.35635370265508359</v>
      </c>
      <c r="R31" s="38">
        <f t="shared" si="146"/>
        <v>0.13759973413070559</v>
      </c>
      <c r="S31" s="38">
        <f t="shared" ref="S31:Z31" si="147">S30/R30-1</f>
        <v>3.686875240049492E-2</v>
      </c>
      <c r="T31" s="38">
        <f t="shared" si="147"/>
        <v>0.27518521108818694</v>
      </c>
      <c r="U31" s="38">
        <f t="shared" si="147"/>
        <v>0.39651750989911361</v>
      </c>
      <c r="V31" s="38">
        <f t="shared" si="147"/>
        <v>-9.5298206990652168E-2</v>
      </c>
      <c r="W31" s="38">
        <f t="shared" si="147"/>
        <v>0.36791252037552047</v>
      </c>
      <c r="X31" s="38">
        <f t="shared" si="147"/>
        <v>0.49300675602925459</v>
      </c>
      <c r="Y31" s="38">
        <f t="shared" si="147"/>
        <v>0.21782495019031933</v>
      </c>
      <c r="Z31" s="38">
        <f t="shared" si="147"/>
        <v>0.24715904504393649</v>
      </c>
      <c r="AA31" s="39">
        <f t="shared" ref="AA31" si="148">AA30/Z30-1</f>
        <v>8.3854375701293948E-2</v>
      </c>
      <c r="AB31" s="39">
        <f t="shared" ref="AB31" si="149">AB30/AA30-1</f>
        <v>0.15010185504163154</v>
      </c>
      <c r="AC31" s="39">
        <f t="shared" ref="AC31" si="150">AC30/AB30-1</f>
        <v>0.16129485380404263</v>
      </c>
      <c r="AD31" s="39">
        <f t="shared" ref="AD31" si="151">AD30/AC30-1</f>
        <v>7.3644579254368514E-2</v>
      </c>
      <c r="AE31" s="39">
        <f t="shared" ref="AE31" si="152">AE30/AD30-1</f>
        <v>0.20029608726143788</v>
      </c>
      <c r="AM31" s="38" t="e">
        <f t="shared" ref="AM31:CI31" si="153">+IF(AI30&lt;0,1-AM30/AI30,AM30/AI30-1)</f>
        <v>#DIV/0!</v>
      </c>
      <c r="AN31" s="38" t="e">
        <f t="shared" si="153"/>
        <v>#DIV/0!</v>
      </c>
      <c r="AO31" s="38" t="e">
        <f t="shared" si="153"/>
        <v>#DIV/0!</v>
      </c>
      <c r="AP31" s="38" t="e">
        <f t="shared" si="153"/>
        <v>#DIV/0!</v>
      </c>
      <c r="AQ31" s="38" t="e">
        <f t="shared" si="153"/>
        <v>#DIV/0!</v>
      </c>
      <c r="AR31" s="38" t="e">
        <f t="shared" si="153"/>
        <v>#DIV/0!</v>
      </c>
      <c r="AS31" s="38" t="e">
        <f t="shared" si="153"/>
        <v>#DIV/0!</v>
      </c>
      <c r="AT31" s="38" t="e">
        <f t="shared" si="153"/>
        <v>#DIV/0!</v>
      </c>
      <c r="AU31" s="38" t="e">
        <f t="shared" si="153"/>
        <v>#DIV/0!</v>
      </c>
      <c r="AV31" s="38" t="e">
        <f t="shared" si="153"/>
        <v>#DIV/0!</v>
      </c>
      <c r="AW31" s="38" t="e">
        <f t="shared" si="153"/>
        <v>#DIV/0!</v>
      </c>
      <c r="AX31" s="38" t="e">
        <f t="shared" si="153"/>
        <v>#DIV/0!</v>
      </c>
      <c r="AY31" s="38" t="e">
        <f t="shared" si="153"/>
        <v>#DIV/0!</v>
      </c>
      <c r="AZ31" s="38" t="e">
        <f t="shared" si="153"/>
        <v>#DIV/0!</v>
      </c>
      <c r="BA31" s="38">
        <f t="shared" si="153"/>
        <v>0.11100479203391544</v>
      </c>
      <c r="BB31" s="38">
        <f t="shared" si="153"/>
        <v>1.1710892729741573E-2</v>
      </c>
      <c r="BC31" s="38">
        <f t="shared" si="153"/>
        <v>-1.6303254628519892E-2</v>
      </c>
      <c r="BD31" s="38">
        <f t="shared" si="153"/>
        <v>7.3535884330432788E-2</v>
      </c>
      <c r="BE31" s="38">
        <f t="shared" si="153"/>
        <v>0.21475483829367814</v>
      </c>
      <c r="BF31" s="38">
        <f t="shared" si="153"/>
        <v>0.24519305684619042</v>
      </c>
      <c r="BG31" s="38">
        <f t="shared" si="153"/>
        <v>0.26064485320452202</v>
      </c>
      <c r="BH31" s="38">
        <f t="shared" si="153"/>
        <v>0.2099635891091165</v>
      </c>
      <c r="BI31" s="38">
        <f t="shared" si="153"/>
        <v>0.48932132701421804</v>
      </c>
      <c r="BJ31" s="38">
        <f t="shared" si="153"/>
        <v>0.24148907989806068</v>
      </c>
      <c r="BK31" s="38">
        <f t="shared" si="153"/>
        <v>0.36487382298649251</v>
      </c>
      <c r="BL31" s="38">
        <f t="shared" si="153"/>
        <v>0.49238979289496676</v>
      </c>
      <c r="BM31" s="38">
        <f t="shared" si="153"/>
        <v>0.55323140919812097</v>
      </c>
      <c r="BN31" s="38">
        <f t="shared" si="153"/>
        <v>0.23344749824338096</v>
      </c>
      <c r="BO31" s="38">
        <f t="shared" si="153"/>
        <v>-0.41639927214606598</v>
      </c>
      <c r="BP31" s="38">
        <f t="shared" si="153"/>
        <v>3.6154952423761211E-2</v>
      </c>
      <c r="BQ31" s="38">
        <f t="shared" si="153"/>
        <v>9.0675233252338394E-2</v>
      </c>
      <c r="BR31" s="38">
        <f t="shared" si="153"/>
        <v>0.33670159397864752</v>
      </c>
      <c r="BS31" s="38">
        <f t="shared" si="153"/>
        <v>0.4936412583230041</v>
      </c>
      <c r="BT31" s="38">
        <f t="shared" si="153"/>
        <v>0.33036323513258958</v>
      </c>
      <c r="BU31" s="38">
        <f t="shared" si="153"/>
        <v>0.30313827353254341</v>
      </c>
      <c r="BV31" s="38">
        <f t="shared" si="153"/>
        <v>0.26176183412676735</v>
      </c>
      <c r="BW31" s="38">
        <f t="shared" si="153"/>
        <v>1.0225014235594498</v>
      </c>
      <c r="BX31" s="38">
        <f t="shared" si="153"/>
        <v>0.32460830353963299</v>
      </c>
      <c r="BY31" s="38">
        <f t="shared" si="153"/>
        <v>0.27670548077505219</v>
      </c>
      <c r="BZ31" s="38">
        <f t="shared" si="153"/>
        <v>0.37683945234470939</v>
      </c>
      <c r="CA31" s="38">
        <f t="shared" si="153"/>
        <v>0.13251493749009802</v>
      </c>
      <c r="CB31" s="38">
        <f t="shared" si="153"/>
        <v>0.21843815124251553</v>
      </c>
      <c r="CC31" s="38">
        <f t="shared" si="153"/>
        <v>0.20479036777939097</v>
      </c>
      <c r="CD31" s="38">
        <f t="shared" si="153"/>
        <v>0.10900095685176492</v>
      </c>
      <c r="CE31" s="38">
        <f t="shared" si="153"/>
        <v>0.28254258026781875</v>
      </c>
      <c r="CF31" s="38">
        <f t="shared" si="153"/>
        <v>0.24135496180740801</v>
      </c>
      <c r="CG31" s="38">
        <f t="shared" si="153"/>
        <v>0.38276688174671047</v>
      </c>
      <c r="CH31" s="38">
        <f t="shared" si="153"/>
        <v>0.28944438357839708</v>
      </c>
      <c r="CI31" s="38">
        <f t="shared" si="153"/>
        <v>-2.494017531529702E-2</v>
      </c>
      <c r="CJ31" s="38">
        <f>+IF(CF30&lt;0,1-CJ30/CF30,CJ30/CF30-1)</f>
        <v>1.9141117114282125E-2</v>
      </c>
      <c r="CK31" s="38">
        <f t="shared" ref="CK31:CL31" si="154">+IF(CG30&lt;0,1-CK30/CG30,CK30/CG30-1)</f>
        <v>0.13978315936490859</v>
      </c>
      <c r="CL31" s="38">
        <f t="shared" si="154"/>
        <v>0.18093529024499144</v>
      </c>
      <c r="CM31" s="39">
        <f t="shared" ref="CM31" si="155">+IF(CI30&lt;0,1-CM30/CI30,CM30/CI30-1)</f>
        <v>0.11738146892427359</v>
      </c>
      <c r="CN31" s="39">
        <f t="shared" ref="CN31" si="156">+IF(CJ30&lt;0,1-CN30/CJ30,CN30/CJ30-1)</f>
        <v>0.14554313567338717</v>
      </c>
      <c r="CO31" s="39">
        <f t="shared" ref="CO31" si="157">+IF(CK30&lt;0,1-CO30/CK30,CO30/CK30-1)</f>
        <v>0.16919741517900233</v>
      </c>
      <c r="CP31" s="39">
        <f t="shared" ref="CP31" si="158">+IF(CL30&lt;0,1-CP30/CL30,CP30/CL30-1)</f>
        <v>0.18398513153629192</v>
      </c>
      <c r="CQ31" s="39">
        <f t="shared" ref="CQ31" si="159">+IF(CM30&lt;0,1-CQ30/CM30,CQ30/CM30-1)</f>
        <v>0.15507262297800772</v>
      </c>
      <c r="CR31" s="39">
        <f t="shared" ref="CR31" si="160">+IF(CN30&lt;0,1-CR30/CN30,CR30/CN30-1)</f>
        <v>0.15042404295935463</v>
      </c>
      <c r="CS31" s="39">
        <f t="shared" ref="CS31" si="161">+IF(CO30&lt;0,1-CS30/CO30,CS30/CO30-1)</f>
        <v>0.153279213759967</v>
      </c>
      <c r="CT31" s="39">
        <f t="shared" ref="CT31" si="162">+IF(CP30&lt;0,1-CT30/CP30,CT30/CP30-1)</f>
        <v>6.994293711263655E-2</v>
      </c>
      <c r="CU31" s="39">
        <f t="shared" ref="CU31" si="163">+IF(CQ30&lt;0,1-CU30/CQ30,CU30/CQ30-1)</f>
        <v>7.3091348301874026E-2</v>
      </c>
      <c r="CV31" s="39">
        <f t="shared" ref="CV31" si="164">+IF(CR30&lt;0,1-CV30/CR30,CV30/CR30-1)</f>
        <v>7.5275657284787023E-2</v>
      </c>
      <c r="CW31" s="39">
        <f t="shared" ref="CW31" si="165">+IF(CS30&lt;0,1-CW30/CS30,CW30/CS30-1)</f>
        <v>7.7754042825333602E-2</v>
      </c>
      <c r="CX31" s="39">
        <f t="shared" ref="CX31" si="166">+IF(CT30&lt;0,1-CX30/CT30,CX30/CT30-1)</f>
        <v>0.19688343233287164</v>
      </c>
      <c r="CY31" s="39">
        <f t="shared" ref="CY31" si="167">+IF(CU30&lt;0,1-CY30/CU30,CY30/CU30-1)</f>
        <v>0.19910286560128387</v>
      </c>
      <c r="CZ31" s="39">
        <f t="shared" ref="CZ31" si="168">+IF(CV30&lt;0,1-CZ30/CV30,CZ30/CV30-1)</f>
        <v>0.20165878519519942</v>
      </c>
      <c r="DA31" s="39">
        <f t="shared" ref="DA31" si="169">+IF(CW30&lt;0,1-DA30/CW30,DA30/CW30-1)</f>
        <v>0.20529804990541423</v>
      </c>
      <c r="DB31"/>
      <c r="DD31" s="121"/>
    </row>
    <row r="32" spans="1:108" s="38" customFormat="1" x14ac:dyDescent="0.25">
      <c r="A32" s="38" t="s">
        <v>446</v>
      </c>
      <c r="AA32" s="39"/>
      <c r="AB32" s="39"/>
      <c r="AC32" s="39"/>
      <c r="AD32" s="39"/>
      <c r="AE32" s="39"/>
      <c r="AJ32" s="38" t="e">
        <f t="shared" ref="AJ32:AL32" si="170">+IF(AI30&lt;0,1-AJ30/AI30,AJ30/AI30-1)</f>
        <v>#DIV/0!</v>
      </c>
      <c r="AK32" s="38" t="e">
        <f t="shared" si="170"/>
        <v>#DIV/0!</v>
      </c>
      <c r="AL32" s="38" t="e">
        <f t="shared" si="170"/>
        <v>#DIV/0!</v>
      </c>
      <c r="AM32" s="38" t="e">
        <f t="shared" ref="AM32:CI32" si="171">+IF(AL30&lt;0,1-AM30/AL30,AM30/AL30-1)</f>
        <v>#DIV/0!</v>
      </c>
      <c r="AN32" s="38" t="e">
        <f t="shared" si="171"/>
        <v>#DIV/0!</v>
      </c>
      <c r="AO32" s="38" t="e">
        <f t="shared" si="171"/>
        <v>#DIV/0!</v>
      </c>
      <c r="AP32" s="38" t="e">
        <f t="shared" si="171"/>
        <v>#DIV/0!</v>
      </c>
      <c r="AQ32" s="38" t="e">
        <f t="shared" si="171"/>
        <v>#DIV/0!</v>
      </c>
      <c r="AR32" s="38" t="e">
        <f t="shared" si="171"/>
        <v>#DIV/0!</v>
      </c>
      <c r="AS32" s="38" t="e">
        <f t="shared" si="171"/>
        <v>#DIV/0!</v>
      </c>
      <c r="AT32" s="38" t="e">
        <f t="shared" si="171"/>
        <v>#DIV/0!</v>
      </c>
      <c r="AU32" s="38" t="e">
        <f t="shared" si="171"/>
        <v>#DIV/0!</v>
      </c>
      <c r="AV32" s="38" t="e">
        <f t="shared" si="171"/>
        <v>#DIV/0!</v>
      </c>
      <c r="AW32" s="38" t="e">
        <f t="shared" si="171"/>
        <v>#DIV/0!</v>
      </c>
      <c r="AX32" s="38">
        <f t="shared" si="171"/>
        <v>1.2233706956764236</v>
      </c>
      <c r="AY32" s="38">
        <f t="shared" si="171"/>
        <v>0.91073393017421944</v>
      </c>
      <c r="AZ32" s="38">
        <f t="shared" si="171"/>
        <v>-0.45951738849214607</v>
      </c>
      <c r="BA32" s="38">
        <f t="shared" si="171"/>
        <v>-0.51613733532563821</v>
      </c>
      <c r="BB32" s="38">
        <f t="shared" si="171"/>
        <v>1.0246612503569419</v>
      </c>
      <c r="BC32" s="38">
        <f t="shared" si="171"/>
        <v>0.8578259479957282</v>
      </c>
      <c r="BD32" s="38">
        <f t="shared" si="171"/>
        <v>-0.41015614716587234</v>
      </c>
      <c r="BE32" s="38">
        <f t="shared" si="171"/>
        <v>-0.45248731638863748</v>
      </c>
      <c r="BF32" s="38">
        <f t="shared" si="171"/>
        <v>1.0753933649289098</v>
      </c>
      <c r="BG32" s="38">
        <f t="shared" si="171"/>
        <v>0.88088000219224161</v>
      </c>
      <c r="BH32" s="38">
        <f t="shared" si="171"/>
        <v>-0.43386943327063698</v>
      </c>
      <c r="BI32" s="38">
        <f t="shared" si="171"/>
        <v>-0.32607697962748039</v>
      </c>
      <c r="BJ32" s="38">
        <f t="shared" si="171"/>
        <v>0.73003511889381212</v>
      </c>
      <c r="BK32" s="38">
        <f t="shared" si="171"/>
        <v>1.0678102777849308</v>
      </c>
      <c r="BL32" s="38">
        <f t="shared" si="171"/>
        <v>-0.38097759294405809</v>
      </c>
      <c r="BM32" s="38">
        <f t="shared" si="171"/>
        <v>-0.2986025449867622</v>
      </c>
      <c r="BN32" s="38">
        <f t="shared" si="171"/>
        <v>0.37385033333469897</v>
      </c>
      <c r="BO32" s="38">
        <f t="shared" si="171"/>
        <v>-2.1623875440369256E-2</v>
      </c>
      <c r="BP32" s="38">
        <f t="shared" si="171"/>
        <v>9.9044435895262684E-2</v>
      </c>
      <c r="BQ32" s="38">
        <f t="shared" si="171"/>
        <v>-0.26169649523974359</v>
      </c>
      <c r="BR32" s="38">
        <f t="shared" si="171"/>
        <v>0.68375321495148755</v>
      </c>
      <c r="BS32" s="38">
        <f t="shared" si="171"/>
        <v>9.3245457612415095E-2</v>
      </c>
      <c r="BT32" s="38">
        <f t="shared" si="171"/>
        <v>-2.1098069469700942E-2</v>
      </c>
      <c r="BU32" s="38">
        <f t="shared" si="171"/>
        <v>-0.27680536478413853</v>
      </c>
      <c r="BV32" s="38">
        <f t="shared" si="171"/>
        <v>0.63029172564700575</v>
      </c>
      <c r="BW32" s="38">
        <f t="shared" si="171"/>
        <v>0.75238340114420232</v>
      </c>
      <c r="BX32" s="38">
        <f t="shared" si="171"/>
        <v>-0.3588822186095747</v>
      </c>
      <c r="BY32" s="38">
        <f t="shared" si="171"/>
        <v>-0.30295880527101127</v>
      </c>
      <c r="BZ32" s="38">
        <f t="shared" si="171"/>
        <v>0.75815800942537703</v>
      </c>
      <c r="CA32" s="38">
        <f t="shared" si="171"/>
        <v>0.44141742497704195</v>
      </c>
      <c r="CB32" s="38">
        <f t="shared" si="171"/>
        <v>-0.31024100572370328</v>
      </c>
      <c r="CC32" s="38">
        <f t="shared" si="171"/>
        <v>-0.31076639671981632</v>
      </c>
      <c r="CD32" s="38">
        <f t="shared" si="171"/>
        <v>0.61837193166069926</v>
      </c>
      <c r="CE32" s="38">
        <f t="shared" si="171"/>
        <v>0.66697712211275872</v>
      </c>
      <c r="CF32" s="38">
        <f t="shared" si="171"/>
        <v>-0.33239195082523454</v>
      </c>
      <c r="CG32" s="38">
        <f t="shared" si="171"/>
        <v>-0.23225070207545429</v>
      </c>
      <c r="CH32" s="38">
        <f t="shared" si="171"/>
        <v>0.5091485234190487</v>
      </c>
      <c r="CI32" s="38">
        <f t="shared" si="171"/>
        <v>0.26054480607371944</v>
      </c>
      <c r="CJ32" s="38">
        <f>+IF(CI30&lt;0,1-CJ30/CI30,CJ30/CI30-1)</f>
        <v>-0.30221018669242361</v>
      </c>
      <c r="CK32" s="38">
        <f t="shared" ref="CK32:CL32" si="172">+IF(CJ30&lt;0,1-CK30/CJ30,CK30/CJ30-1)</f>
        <v>-0.14136746551213597</v>
      </c>
      <c r="CL32" s="38">
        <f t="shared" si="172"/>
        <v>0.56363667499678338</v>
      </c>
      <c r="CM32" s="39">
        <f t="shared" ref="CM32:DA32" si="173">+IF(CL30&lt;0,1-CM30/CL30,CM30/CL30-1)</f>
        <v>0.19270667807997621</v>
      </c>
      <c r="CN32" s="39">
        <f t="shared" si="173"/>
        <v>-0.28462360169006762</v>
      </c>
      <c r="CO32" s="39">
        <f t="shared" si="173"/>
        <v>-0.12363759281602693</v>
      </c>
      <c r="CP32" s="39">
        <f t="shared" si="173"/>
        <v>0.58341316041791091</v>
      </c>
      <c r="CQ32" s="39">
        <f t="shared" si="173"/>
        <v>0.1635811923631374</v>
      </c>
      <c r="CR32" s="39">
        <f t="shared" si="173"/>
        <v>-0.28750262796499215</v>
      </c>
      <c r="CS32" s="39">
        <f t="shared" si="173"/>
        <v>-0.12146259971582229</v>
      </c>
      <c r="CT32" s="39">
        <f t="shared" si="173"/>
        <v>0.46899528518941058</v>
      </c>
      <c r="CU32" s="39">
        <f t="shared" si="173"/>
        <v>0.16700514322869342</v>
      </c>
      <c r="CV32" s="39">
        <f t="shared" si="173"/>
        <v>-0.28605231862040503</v>
      </c>
      <c r="CW32" s="39">
        <f t="shared" si="173"/>
        <v>-0.11943767301452235</v>
      </c>
      <c r="CX32" s="39">
        <f t="shared" si="173"/>
        <v>0.63137046965664023</v>
      </c>
      <c r="CY32" s="39">
        <f t="shared" si="173"/>
        <v>0.1691691718795385</v>
      </c>
      <c r="CZ32" s="39">
        <f t="shared" si="173"/>
        <v>-0.28453052018240899</v>
      </c>
      <c r="DA32" s="39">
        <f t="shared" si="173"/>
        <v>-0.11677085990482383</v>
      </c>
      <c r="DB32"/>
      <c r="DD32" s="121"/>
    </row>
    <row r="33" spans="1:108" s="22" customFormat="1" outlineLevel="1" x14ac:dyDescent="0.25">
      <c r="A33" s="22" t="s">
        <v>2</v>
      </c>
      <c r="B33" s="22">
        <f>'Annual Raw'!C11</f>
        <v>0</v>
      </c>
      <c r="C33" s="22">
        <f>'Annual Raw'!D11</f>
        <v>0</v>
      </c>
      <c r="D33" s="22">
        <f>'Annual Raw'!E11</f>
        <v>0</v>
      </c>
      <c r="E33" s="22">
        <f>'Annual Raw'!F11</f>
        <v>0</v>
      </c>
      <c r="F33" s="22">
        <f>'Annual Raw'!G11</f>
        <v>-7.2403228999999998</v>
      </c>
      <c r="G33" s="22">
        <f>'Annual Raw'!H11</f>
        <v>2.2733899000000002</v>
      </c>
      <c r="H33" s="22">
        <f>'Annual Raw'!I11</f>
        <v>-3.1626000000000001E-2</v>
      </c>
      <c r="I33" s="22">
        <f>'Annual Raw'!J11</f>
        <v>-2.1219877999999999</v>
      </c>
      <c r="J33" s="22">
        <f>'Annual Raw'!K11</f>
        <v>-11.5000103</v>
      </c>
      <c r="K33" s="22">
        <f>'Annual Raw'!L11</f>
        <v>-17.142855399999998</v>
      </c>
      <c r="L33" s="22">
        <f>'Annual Raw'!M11</f>
        <v>-8.8457708000000004</v>
      </c>
      <c r="M33" s="22">
        <f>'Annual Raw'!N11</f>
        <v>-31.2</v>
      </c>
      <c r="N33" s="22">
        <f>'Annual Raw'!O11</f>
        <v>3.3130000000000002</v>
      </c>
      <c r="O33" s="22">
        <f>'Annual Raw'!P11</f>
        <v>-8.4540000000000006</v>
      </c>
      <c r="P33" s="22">
        <f>'Annual Raw'!Q11</f>
        <v>0.19400000000000001</v>
      </c>
      <c r="Q33" s="22">
        <f>'Annual Raw'!R11</f>
        <v>-28.984999999999999</v>
      </c>
      <c r="R33" s="22">
        <f>'Annual Raw'!S11</f>
        <v>-31.855</v>
      </c>
      <c r="S33" s="22">
        <f>'Annual Raw'!T11</f>
        <v>-73.221999999999994</v>
      </c>
      <c r="T33" s="22">
        <f>'Annual Raw'!U11</f>
        <v>-62.396999999999998</v>
      </c>
      <c r="U33" s="22">
        <f>'Annual Raw'!V11</f>
        <v>-143.86099999999999</v>
      </c>
      <c r="V33" s="22">
        <f>'Annual Raw'!W11</f>
        <v>-17.158999999999999</v>
      </c>
      <c r="W33" s="22">
        <f>'Annual Raw'!X11</f>
        <v>-99.721999999999994</v>
      </c>
      <c r="X33" s="22">
        <f>'Annual Raw'!Y11</f>
        <v>-344.50700000000001</v>
      </c>
      <c r="Y33" s="22">
        <f>'Annual Raw'!Z11</f>
        <v>-84.269000000000005</v>
      </c>
      <c r="Z33" s="22">
        <f>'Annual Raw'!AA11</f>
        <v>-74.94</v>
      </c>
      <c r="AA33" s="75">
        <f t="shared" ref="AA33:AA35" si="174">SUM(CH33:CK33)</f>
        <v>8.9139999999999873</v>
      </c>
      <c r="AB33" s="75">
        <f t="shared" ref="AB33:AB35" si="175">+SUM(CL33:CO33)</f>
        <v>-271.76799999999997</v>
      </c>
      <c r="AC33" s="75">
        <f t="shared" ref="AC33:AC35" si="176">+SUM(CP33:CS33)</f>
        <v>0</v>
      </c>
      <c r="AD33" s="75">
        <f t="shared" ref="AD33:AD35" si="177">+SUM(CT33:CW33)</f>
        <v>0</v>
      </c>
      <c r="AE33" s="75">
        <f t="shared" ref="AE33:AE35" si="178">+SUM(CX33:DA33)</f>
        <v>0</v>
      </c>
      <c r="AI33" s="22">
        <f>'QTR Raw'!C10</f>
        <v>0</v>
      </c>
      <c r="AJ33" s="22">
        <f>'QTR Raw'!D10</f>
        <v>0</v>
      </c>
      <c r="AK33" s="22">
        <f>'QTR Raw'!E10</f>
        <v>0</v>
      </c>
      <c r="AL33" s="22">
        <f>'QTR Raw'!F10</f>
        <v>0</v>
      </c>
      <c r="AM33" s="22">
        <f>'QTR Raw'!G10</f>
        <v>0</v>
      </c>
      <c r="AN33" s="22">
        <f>'QTR Raw'!H10</f>
        <v>0</v>
      </c>
      <c r="AO33" s="22">
        <f>'QTR Raw'!I10</f>
        <v>0</v>
      </c>
      <c r="AP33" s="22">
        <f>'QTR Raw'!J10</f>
        <v>0</v>
      </c>
      <c r="AQ33" s="22">
        <f>'QTR Raw'!K10</f>
        <v>0</v>
      </c>
      <c r="AR33" s="22">
        <f>'QTR Raw'!L10</f>
        <v>0</v>
      </c>
      <c r="AS33" s="22">
        <f>'QTR Raw'!M10</f>
        <v>0</v>
      </c>
      <c r="AT33" s="22">
        <f>'QTR Raw'!N10</f>
        <v>0</v>
      </c>
      <c r="AU33" s="22">
        <f>'QTR Raw'!O10</f>
        <v>0</v>
      </c>
      <c r="AV33" s="22">
        <f>'QTR Raw'!P10</f>
        <v>0</v>
      </c>
      <c r="AW33" s="22">
        <f>'QTR Raw'!Q10</f>
        <v>-4.2720000000000002</v>
      </c>
      <c r="AX33" s="22">
        <f>'QTR Raw'!R10</f>
        <v>-115.229</v>
      </c>
      <c r="AY33" s="22">
        <f>'QTR Raw'!S10</f>
        <v>40.618000000000002</v>
      </c>
      <c r="AZ33" s="22">
        <f>'QTR Raw'!T10</f>
        <v>69.849999999999994</v>
      </c>
      <c r="BA33" s="22">
        <f>'QTR Raw'!U10</f>
        <v>-27.094000000000001</v>
      </c>
      <c r="BB33" s="22">
        <f>'QTR Raw'!V10</f>
        <v>-83.302000000000007</v>
      </c>
      <c r="BC33" s="22">
        <f>'QTR Raw'!W10</f>
        <v>41.651000000000003</v>
      </c>
      <c r="BD33" s="22">
        <f>'QTR Raw'!X10</f>
        <v>31.379000000000001</v>
      </c>
      <c r="BE33" s="22">
        <f>'QTR Raw'!Y10</f>
        <v>-62.95</v>
      </c>
      <c r="BF33" s="22">
        <f>'QTR Raw'!Z10</f>
        <v>-127.21299999999999</v>
      </c>
      <c r="BG33" s="22">
        <f>'QTR Raw'!AA10</f>
        <v>86.128</v>
      </c>
      <c r="BH33" s="22">
        <f>'QTR Raw'!AB10</f>
        <v>12.266999999999999</v>
      </c>
      <c r="BI33" s="22">
        <f>'QTR Raw'!AC10</f>
        <v>-33.579000000000001</v>
      </c>
      <c r="BJ33" s="22">
        <f>'QTR Raw'!AD10</f>
        <v>-80.739000000000004</v>
      </c>
      <c r="BK33" s="22">
        <f>'QTR Raw'!AE10</f>
        <v>-15.231</v>
      </c>
      <c r="BL33" s="22">
        <f>'QTR Raw'!AF10</f>
        <v>21.015999999999998</v>
      </c>
      <c r="BM33" s="22">
        <f>'QTR Raw'!AG10</f>
        <v>-68.906999999999996</v>
      </c>
      <c r="BN33" s="22">
        <f>'QTR Raw'!AH10</f>
        <v>-108.19</v>
      </c>
      <c r="BO33" s="22">
        <f>'QTR Raw'!AI10</f>
        <v>103.256</v>
      </c>
      <c r="BP33" s="22">
        <f>'QTR Raw'!AJ10</f>
        <v>22.748999999999999</v>
      </c>
      <c r="BQ33" s="22">
        <f>'QTR Raw'!AK10</f>
        <v>-34.973999999999997</v>
      </c>
      <c r="BR33" s="22">
        <f>'QTR Raw'!AL10</f>
        <v>-160.721</v>
      </c>
      <c r="BS33" s="22">
        <f>'QTR Raw'!AM10</f>
        <v>112.875</v>
      </c>
      <c r="BT33" s="22">
        <f>'QTR Raw'!AN10</f>
        <v>14.679</v>
      </c>
      <c r="BU33" s="22">
        <f>'QTR Raw'!AO10</f>
        <v>-66.555000000000007</v>
      </c>
      <c r="BV33" s="22">
        <f>'QTR Raw'!AP10</f>
        <v>-143.60599999999999</v>
      </c>
      <c r="BW33" s="22">
        <f>'QTR Raw'!AQ10</f>
        <v>89.605000000000004</v>
      </c>
      <c r="BX33" s="22">
        <f>'QTR Raw'!AR10</f>
        <v>-28.087</v>
      </c>
      <c r="BY33" s="22">
        <f>'QTR Raw'!AS10</f>
        <v>-262.41899999999998</v>
      </c>
      <c r="BZ33" s="22">
        <f>'QTR Raw'!AT10</f>
        <v>-234.32499999999999</v>
      </c>
      <c r="CA33" s="22">
        <f>'QTR Raw'!AU10</f>
        <v>318.88200000000001</v>
      </c>
      <c r="CB33" s="22">
        <f>'QTR Raw'!AV10</f>
        <v>-14.842000000000001</v>
      </c>
      <c r="CC33" s="22">
        <f>'QTR Raw'!AW10</f>
        <v>-153.98400000000001</v>
      </c>
      <c r="CD33" s="22">
        <f>'QTR Raw'!AX10</f>
        <v>-278.58800000000002</v>
      </c>
      <c r="CE33" s="22">
        <f>'QTR Raw'!AY10</f>
        <v>228.23599999999999</v>
      </c>
      <c r="CF33" s="22">
        <f>'QTR Raw'!AZ10</f>
        <v>205.06700000000001</v>
      </c>
      <c r="CG33" s="22">
        <f>'QTR Raw'!BA10</f>
        <v>-229.655</v>
      </c>
      <c r="CH33" s="22">
        <f>'QTR Raw'!BB10</f>
        <v>-213.19200000000001</v>
      </c>
      <c r="CI33" s="22">
        <f>'QTR Raw'!BC10</f>
        <v>246.57499999999999</v>
      </c>
      <c r="CJ33" s="22">
        <f>'QTR Raw'!BD10</f>
        <v>131.78399999999999</v>
      </c>
      <c r="CK33" s="22">
        <f>'QTR Raw'!BE10</f>
        <v>-156.25299999999999</v>
      </c>
      <c r="CL33" s="22">
        <f>'QTR Raw'!BF10</f>
        <v>-271.76799999999997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/>
      <c r="DD33" s="122"/>
    </row>
    <row r="34" spans="1:108" s="22" customFormat="1" outlineLevel="1" x14ac:dyDescent="0.25">
      <c r="A34" s="22" t="s">
        <v>3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75">
        <f t="shared" si="174"/>
        <v>369.45300000000003</v>
      </c>
      <c r="AB34" s="75">
        <f t="shared" si="175"/>
        <v>65.210999999999999</v>
      </c>
      <c r="AC34" s="75">
        <f t="shared" si="176"/>
        <v>0</v>
      </c>
      <c r="AD34" s="75">
        <f t="shared" si="177"/>
        <v>0</v>
      </c>
      <c r="AE34" s="75">
        <f t="shared" si="178"/>
        <v>0</v>
      </c>
      <c r="AI34" s="22">
        <f>'QTR Raw'!C12</f>
        <v>0</v>
      </c>
      <c r="AJ34" s="22">
        <f>'QTR Raw'!D12</f>
        <v>0</v>
      </c>
      <c r="AK34" s="22">
        <f>'QTR Raw'!E12</f>
        <v>0</v>
      </c>
      <c r="AL34" s="22">
        <f>'QTR Raw'!F12</f>
        <v>0</v>
      </c>
      <c r="AM34" s="22">
        <f>'QTR Raw'!G12</f>
        <v>0</v>
      </c>
      <c r="AN34" s="22">
        <f>'QTR Raw'!H12</f>
        <v>0</v>
      </c>
      <c r="AO34" s="22">
        <f>'QTR Raw'!I12</f>
        <v>0</v>
      </c>
      <c r="AP34" s="22">
        <f>'QTR Raw'!J12</f>
        <v>0</v>
      </c>
      <c r="AQ34" s="22">
        <f>'QTR Raw'!K12</f>
        <v>0</v>
      </c>
      <c r="AR34" s="22">
        <f>'QTR Raw'!L12</f>
        <v>0</v>
      </c>
      <c r="AS34" s="22">
        <f>'QTR Raw'!M12</f>
        <v>0</v>
      </c>
      <c r="AT34" s="22">
        <f>'QTR Raw'!N12</f>
        <v>0</v>
      </c>
      <c r="AU34" s="22">
        <f>'QTR Raw'!O12</f>
        <v>0</v>
      </c>
      <c r="AV34" s="22">
        <f>'QTR Raw'!P12</f>
        <v>0</v>
      </c>
      <c r="AW34" s="22">
        <f>'QTR Raw'!Q12</f>
        <v>48.628999999999998</v>
      </c>
      <c r="AX34" s="22">
        <f>'QTR Raw'!R12</f>
        <v>33.89</v>
      </c>
      <c r="AY34" s="22">
        <f>'QTR Raw'!S12</f>
        <v>34.478000000000002</v>
      </c>
      <c r="AZ34" s="22">
        <f>'QTR Raw'!T12</f>
        <v>9.9830000000000005</v>
      </c>
      <c r="BA34" s="22">
        <f>'QTR Raw'!U12</f>
        <v>14.488</v>
      </c>
      <c r="BB34" s="22">
        <f>'QTR Raw'!V12</f>
        <v>7.0190000000000001</v>
      </c>
      <c r="BC34" s="22">
        <f>'QTR Raw'!W12</f>
        <v>11.068</v>
      </c>
      <c r="BD34" s="22">
        <f>'QTR Raw'!X12</f>
        <v>3.464</v>
      </c>
      <c r="BE34" s="22">
        <f>'QTR Raw'!Y12</f>
        <v>6.218</v>
      </c>
      <c r="BF34" s="22">
        <f>'QTR Raw'!Z12</f>
        <v>39.984999999999999</v>
      </c>
      <c r="BG34" s="22">
        <f>'QTR Raw'!AA12</f>
        <v>56.322000000000003</v>
      </c>
      <c r="BH34" s="22">
        <f>'QTR Raw'!AB12</f>
        <v>61.902000000000001</v>
      </c>
      <c r="BI34" s="22">
        <f>'QTR Raw'!AC12</f>
        <v>36.009</v>
      </c>
      <c r="BJ34" s="22">
        <f>'QTR Raw'!AD12</f>
        <v>89.738</v>
      </c>
      <c r="BK34" s="22">
        <f>'QTR Raw'!AE12</f>
        <v>233.50700000000001</v>
      </c>
      <c r="BL34" s="22">
        <f>'QTR Raw'!AF12</f>
        <v>58.466000000000001</v>
      </c>
      <c r="BM34" s="22">
        <f>'QTR Raw'!AG12</f>
        <v>42.021999999999998</v>
      </c>
      <c r="BN34" s="22">
        <f>'QTR Raw'!AH12</f>
        <v>45.014000000000003</v>
      </c>
      <c r="BO34" s="22">
        <f>'QTR Raw'!AI12</f>
        <v>14.882999999999999</v>
      </c>
      <c r="BP34" s="22">
        <f>'QTR Raw'!AJ12</f>
        <v>16.350999999999999</v>
      </c>
      <c r="BQ34" s="22">
        <f>'QTR Raw'!AK12</f>
        <v>16.338999999999999</v>
      </c>
      <c r="BR34" s="22">
        <f>'QTR Raw'!AL12</f>
        <v>57.889000000000003</v>
      </c>
      <c r="BS34" s="22">
        <f>'QTR Raw'!AM12</f>
        <v>28.702000000000002</v>
      </c>
      <c r="BT34" s="22">
        <f>'QTR Raw'!AN12</f>
        <v>36.274000000000001</v>
      </c>
      <c r="BU34" s="22">
        <f>'QTR Raw'!AO12</f>
        <v>42.603999999999999</v>
      </c>
      <c r="BV34" s="22">
        <f>'QTR Raw'!AP12</f>
        <v>59.395000000000003</v>
      </c>
      <c r="BW34" s="22">
        <f>'QTR Raw'!AQ12</f>
        <v>49.472999999999999</v>
      </c>
      <c r="BX34" s="22">
        <f>'QTR Raw'!AR12</f>
        <v>37.341999999999999</v>
      </c>
      <c r="BY34" s="22">
        <f>'QTR Raw'!AS12</f>
        <v>42.360999999999997</v>
      </c>
      <c r="BZ34" s="22">
        <f>'QTR Raw'!AT12</f>
        <v>121.73</v>
      </c>
      <c r="CA34" s="22">
        <f>'QTR Raw'!AU12</f>
        <v>128.96600000000001</v>
      </c>
      <c r="CB34" s="22">
        <f>'QTR Raw'!AV12</f>
        <v>109.81</v>
      </c>
      <c r="CC34" s="22">
        <f>'QTR Raw'!AW12</f>
        <v>102.19</v>
      </c>
      <c r="CD34" s="22">
        <f>'QTR Raw'!AX12</f>
        <v>235.215</v>
      </c>
      <c r="CE34" s="22">
        <f>'QTR Raw'!AY12</f>
        <v>160.01599999999999</v>
      </c>
      <c r="CF34" s="22">
        <f>'QTR Raw'!AZ12</f>
        <v>146.32</v>
      </c>
      <c r="CG34" s="22">
        <f>'QTR Raw'!BA12</f>
        <v>144.37</v>
      </c>
      <c r="CH34" s="22">
        <f>'QTR Raw'!BB12</f>
        <v>71.183999999999997</v>
      </c>
      <c r="CI34" s="22">
        <f>'QTR Raw'!BC12</f>
        <v>99.123000000000005</v>
      </c>
      <c r="CJ34" s="22">
        <f>'QTR Raw'!BD12</f>
        <v>88.908000000000001</v>
      </c>
      <c r="CK34" s="22">
        <f>'QTR Raw'!BE12</f>
        <v>110.238</v>
      </c>
      <c r="CL34" s="22">
        <f>'QTR Raw'!BF12</f>
        <v>65.210999999999999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/>
      <c r="DD34" s="122"/>
    </row>
    <row r="35" spans="1:108" s="22" customFormat="1" outlineLevel="1" x14ac:dyDescent="0.25">
      <c r="A35" s="22" t="s">
        <v>4</v>
      </c>
      <c r="B35" s="22">
        <f>'Annual Raw'!C12</f>
        <v>0</v>
      </c>
      <c r="C35" s="22">
        <f>'Annual Raw'!D12</f>
        <v>0</v>
      </c>
      <c r="D35" s="22">
        <f>'Annual Raw'!E12</f>
        <v>0</v>
      </c>
      <c r="E35" s="22">
        <f>'Annual Raw'!F12</f>
        <v>0</v>
      </c>
      <c r="F35" s="22">
        <f>'Annual Raw'!G12</f>
        <v>146.19764979999999</v>
      </c>
      <c r="G35" s="22">
        <f>'Annual Raw'!H12</f>
        <v>156.13787429999999</v>
      </c>
      <c r="H35" s="22">
        <f>'Annual Raw'!I12</f>
        <v>175.91753610000001</v>
      </c>
      <c r="I35" s="22">
        <f>'Annual Raw'!J12</f>
        <v>209.33044179999999</v>
      </c>
      <c r="J35" s="22">
        <f>'Annual Raw'!K12</f>
        <v>270.02375949999998</v>
      </c>
      <c r="K35" s="22">
        <f>'Annual Raw'!L12</f>
        <v>490.8718068</v>
      </c>
      <c r="L35" s="22">
        <f>'Annual Raw'!M12</f>
        <v>603.70977040000002</v>
      </c>
      <c r="M35" s="22">
        <f>'Annual Raw'!N12</f>
        <v>735.77</v>
      </c>
      <c r="N35" s="22">
        <f>'Annual Raw'!O12</f>
        <v>1024.471</v>
      </c>
      <c r="O35" s="22">
        <f>'Annual Raw'!P12</f>
        <v>1207.663</v>
      </c>
      <c r="P35" s="22">
        <f>'Annual Raw'!Q12</f>
        <v>1375.923</v>
      </c>
      <c r="Q35" s="22">
        <f>'Annual Raw'!R12</f>
        <v>1745.4590000000001</v>
      </c>
      <c r="R35" s="22">
        <f>'Annual Raw'!S12</f>
        <v>1769.7380000000001</v>
      </c>
      <c r="S35" s="22">
        <f>'Annual Raw'!T12</f>
        <v>1883.278</v>
      </c>
      <c r="T35" s="22">
        <f>'Annual Raw'!U12</f>
        <v>2306.4960000000001</v>
      </c>
      <c r="U35" s="22">
        <f>'Annual Raw'!V12</f>
        <v>3363.2890000000002</v>
      </c>
      <c r="V35" s="22">
        <f>'Annual Raw'!W12</f>
        <v>2781.096</v>
      </c>
      <c r="W35" s="22">
        <f>'Annual Raw'!X12</f>
        <v>4134.3819999999996</v>
      </c>
      <c r="X35" s="22">
        <f>'Annual Raw'!Y12</f>
        <v>6605.6629999999996</v>
      </c>
      <c r="Y35" s="22">
        <f>'Annual Raw'!Z12</f>
        <v>7489.1570000000002</v>
      </c>
      <c r="Z35" s="22">
        <f>'Annual Raw'!AA12</f>
        <v>8979.6640000000007</v>
      </c>
      <c r="AA35" s="23">
        <f t="shared" si="174"/>
        <v>9337.0619999999999</v>
      </c>
      <c r="AB35" s="23">
        <f t="shared" si="175"/>
        <v>11321.696467682814</v>
      </c>
      <c r="AC35" s="23">
        <f t="shared" si="176"/>
        <v>12893.523514461769</v>
      </c>
      <c r="AD35" s="23">
        <f t="shared" si="177"/>
        <v>13841.443821639768</v>
      </c>
      <c r="AE35" s="23">
        <f t="shared" si="178"/>
        <v>16613.818963170976</v>
      </c>
      <c r="AI35" s="22">
        <f>'QTR Raw'!C11</f>
        <v>0</v>
      </c>
      <c r="AJ35" s="22">
        <f>'QTR Raw'!D11</f>
        <v>0</v>
      </c>
      <c r="AK35" s="22">
        <f>'QTR Raw'!E11</f>
        <v>0</v>
      </c>
      <c r="AL35" s="22">
        <f>'QTR Raw'!F11</f>
        <v>0</v>
      </c>
      <c r="AM35" s="22">
        <f>'QTR Raw'!G11</f>
        <v>0</v>
      </c>
      <c r="AN35" s="22">
        <f>'QTR Raw'!H11</f>
        <v>0</v>
      </c>
      <c r="AO35" s="22">
        <f>'QTR Raw'!I11</f>
        <v>0</v>
      </c>
      <c r="AP35" s="22">
        <f>'QTR Raw'!J11</f>
        <v>0</v>
      </c>
      <c r="AQ35" s="22">
        <f>'QTR Raw'!K11</f>
        <v>0</v>
      </c>
      <c r="AR35" s="22">
        <f>'QTR Raw'!L11</f>
        <v>0</v>
      </c>
      <c r="AS35" s="22">
        <f>'QTR Raw'!M11</f>
        <v>0</v>
      </c>
      <c r="AT35" s="22">
        <f>'QTR Raw'!N11</f>
        <v>0</v>
      </c>
      <c r="AU35" s="22">
        <f>'QTR Raw'!O11</f>
        <v>0</v>
      </c>
      <c r="AV35" s="22">
        <f>'QTR Raw'!P11</f>
        <v>0</v>
      </c>
      <c r="AW35" s="22">
        <f>'QTR Raw'!Q11</f>
        <v>138.44</v>
      </c>
      <c r="AX35" s="22">
        <f>'QTR Raw'!R11</f>
        <v>503.35300000000001</v>
      </c>
      <c r="AY35" s="22">
        <f>'QTR Raw'!S11</f>
        <v>700.76199999999994</v>
      </c>
      <c r="AZ35" s="22">
        <f>'QTR Raw'!T11</f>
        <v>284.69099999999997</v>
      </c>
      <c r="BA35" s="22">
        <f>'QTR Raw'!U11</f>
        <v>188.09299999999999</v>
      </c>
      <c r="BB35" s="22">
        <f>'QTR Raw'!V11</f>
        <v>476.38900000000001</v>
      </c>
      <c r="BC35" s="22">
        <f>'QTR Raw'!W11</f>
        <v>730.23400000000004</v>
      </c>
      <c r="BD35" s="22">
        <f>'QTR Raw'!X11</f>
        <v>400.38099999999997</v>
      </c>
      <c r="BE35" s="22">
        <f>'QTR Raw'!Y11</f>
        <v>248.505</v>
      </c>
      <c r="BF35" s="22">
        <f>'QTR Raw'!Z11</f>
        <v>578.82399999999996</v>
      </c>
      <c r="BG35" s="22">
        <f>'QTR Raw'!AA11</f>
        <v>816.39499999999998</v>
      </c>
      <c r="BH35" s="22">
        <f>'QTR Raw'!AB11</f>
        <v>452.52499999999998</v>
      </c>
      <c r="BI35" s="22">
        <f>'QTR Raw'!AC11</f>
        <v>264.53399999999999</v>
      </c>
      <c r="BJ35" s="22">
        <f>'QTR Raw'!AD11</f>
        <v>589.82100000000003</v>
      </c>
      <c r="BK35" s="22">
        <f>'QTR Raw'!AE11</f>
        <v>1111.241</v>
      </c>
      <c r="BL35" s="22">
        <f>'QTR Raw'!AF11</f>
        <v>667.67</v>
      </c>
      <c r="BM35" s="22">
        <f>'QTR Raw'!AG11</f>
        <v>570.82399999999996</v>
      </c>
      <c r="BN35" s="22">
        <f>'QTR Raw'!AH11</f>
        <v>754.654</v>
      </c>
      <c r="BO35" s="22">
        <f>'QTR Raw'!AI11</f>
        <v>622.93799999999999</v>
      </c>
      <c r="BP35" s="22">
        <f>'QTR Raw'!AJ11</f>
        <v>761.89300000000003</v>
      </c>
      <c r="BQ35" s="22">
        <f>'QTR Raw'!AK11</f>
        <v>549.024</v>
      </c>
      <c r="BR35" s="22">
        <f>'QTR Raw'!AL11</f>
        <v>1092.9939999999999</v>
      </c>
      <c r="BS35" s="22">
        <f>'QTR Raw'!AM11</f>
        <v>996.76</v>
      </c>
      <c r="BT35" s="22">
        <f>'QTR Raw'!AN11</f>
        <v>1081.3979999999999</v>
      </c>
      <c r="BU35" s="22">
        <f>'QTR Raw'!AO11</f>
        <v>797.76099999999997</v>
      </c>
      <c r="BV35" s="22">
        <f>'QTR Raw'!AP11</f>
        <v>1454.393</v>
      </c>
      <c r="BW35" s="22">
        <f>'QTR Raw'!AQ11</f>
        <v>2312.761</v>
      </c>
      <c r="BX35" s="22">
        <f>'QTR Raw'!AR11</f>
        <v>1462.0429999999999</v>
      </c>
      <c r="BY35" s="22">
        <f>'QTR Raw'!AS11</f>
        <v>1187.895</v>
      </c>
      <c r="BZ35" s="22">
        <f>'QTR Raw'!AT11</f>
        <v>1964.3109999999999</v>
      </c>
      <c r="CA35" s="22">
        <f>'QTR Raw'!AU11</f>
        <v>2218.7249999999999</v>
      </c>
      <c r="CB35" s="22">
        <f>'QTR Raw'!AV11</f>
        <v>1634.7360000000001</v>
      </c>
      <c r="CC35" s="22">
        <f>'QTR Raw'!AW11</f>
        <v>1208.6890000000001</v>
      </c>
      <c r="CD35" s="22">
        <f>'QTR Raw'!AX11</f>
        <v>1930.922</v>
      </c>
      <c r="CE35" s="22">
        <f>'QTR Raw'!AY11</f>
        <v>2872.3270000000002</v>
      </c>
      <c r="CF35" s="22">
        <f>'QTR Raw'!AZ11</f>
        <v>1785.0070000000001</v>
      </c>
      <c r="CG35" s="22">
        <f>'QTR Raw'!BA11</f>
        <v>1705.4870000000001</v>
      </c>
      <c r="CH35" s="22">
        <f>'QTR Raw'!BB11</f>
        <v>2671.0709999999999</v>
      </c>
      <c r="CI35" s="22">
        <f>'QTR Raw'!BC11</f>
        <v>2845.404</v>
      </c>
      <c r="CJ35" s="22">
        <f>'QTR Raw'!BD11</f>
        <v>1898.5160000000001</v>
      </c>
      <c r="CK35" s="22">
        <f>'QTR Raw'!BE11</f>
        <v>1922.0709999999999</v>
      </c>
      <c r="CL35" s="22">
        <f>'QTR Raw'!BF11</f>
        <v>3152.2020000000002</v>
      </c>
      <c r="CM35" s="23">
        <f t="shared" ref="CM35:DA35" si="179">+CM30-CM36</f>
        <v>3492.8145020950178</v>
      </c>
      <c r="CN35" s="23">
        <f t="shared" si="179"/>
        <v>2485.645808831759</v>
      </c>
      <c r="CO35" s="23">
        <f t="shared" si="179"/>
        <v>2191.0341567560381</v>
      </c>
      <c r="CP35" s="23">
        <f t="shared" si="179"/>
        <v>3468.3441925432317</v>
      </c>
      <c r="CQ35" s="23">
        <f t="shared" si="179"/>
        <v>4030.0986813326199</v>
      </c>
      <c r="CR35" s="23">
        <f t="shared" si="179"/>
        <v>2870.6588584493538</v>
      </c>
      <c r="CS35" s="23">
        <f t="shared" si="179"/>
        <v>2524.4217821365633</v>
      </c>
      <c r="CT35" s="23">
        <f t="shared" si="179"/>
        <v>3707.4630667186057</v>
      </c>
      <c r="CU35" s="23">
        <f t="shared" si="179"/>
        <v>4325.6168763330943</v>
      </c>
      <c r="CV35" s="23">
        <f t="shared" si="179"/>
        <v>3088.4342104052485</v>
      </c>
      <c r="CW35" s="23">
        <f t="shared" si="179"/>
        <v>2719.9296681828191</v>
      </c>
      <c r="CX35" s="23">
        <f t="shared" si="179"/>
        <v>4436.8964081321865</v>
      </c>
      <c r="CY35" s="23">
        <f t="shared" si="179"/>
        <v>5187.3349756637936</v>
      </c>
      <c r="CZ35" s="23">
        <f t="shared" si="179"/>
        <v>3711.4648873205524</v>
      </c>
      <c r="DA35" s="23">
        <f t="shared" si="179"/>
        <v>3278.1226920544445</v>
      </c>
      <c r="DB35"/>
      <c r="DD35" s="122"/>
    </row>
    <row r="36" spans="1:108" s="30" customFormat="1" x14ac:dyDescent="0.25">
      <c r="A36" s="30" t="s">
        <v>5</v>
      </c>
      <c r="B36" s="30">
        <f t="shared" ref="B36:T36" si="180">B30-B33-B35-B34</f>
        <v>0</v>
      </c>
      <c r="C36" s="30">
        <f t="shared" si="180"/>
        <v>0</v>
      </c>
      <c r="D36" s="30">
        <f t="shared" si="180"/>
        <v>0</v>
      </c>
      <c r="E36" s="30">
        <f t="shared" si="180"/>
        <v>0</v>
      </c>
      <c r="F36" s="30">
        <f t="shared" si="180"/>
        <v>144.53409819999999</v>
      </c>
      <c r="G36" s="30">
        <f t="shared" si="180"/>
        <v>148.52039160000007</v>
      </c>
      <c r="H36" s="30">
        <f t="shared" si="180"/>
        <v>151.96686850000003</v>
      </c>
      <c r="I36" s="30">
        <f t="shared" si="180"/>
        <v>165.5222158</v>
      </c>
      <c r="J36" s="30">
        <f t="shared" si="180"/>
        <v>201.32145439999994</v>
      </c>
      <c r="K36" s="30">
        <f t="shared" si="180"/>
        <v>297.86316790000006</v>
      </c>
      <c r="L36" s="30">
        <f t="shared" si="180"/>
        <v>370.66355729999998</v>
      </c>
      <c r="M36" s="30">
        <f t="shared" si="180"/>
        <v>435.03400000000011</v>
      </c>
      <c r="N36" s="30">
        <f t="shared" si="180"/>
        <v>772.20999999999981</v>
      </c>
      <c r="O36" s="30">
        <f t="shared" si="180"/>
        <v>915.94</v>
      </c>
      <c r="P36" s="30">
        <f t="shared" si="180"/>
        <v>1126.2900000000002</v>
      </c>
      <c r="Q36" s="30">
        <f t="shared" si="180"/>
        <v>1677.675</v>
      </c>
      <c r="R36" s="30">
        <f t="shared" si="180"/>
        <v>2123.3000000000002</v>
      </c>
      <c r="S36" s="30">
        <f t="shared" si="180"/>
        <v>2193.4840000000004</v>
      </c>
      <c r="T36" s="30">
        <f t="shared" si="180"/>
        <v>2861.1559999999999</v>
      </c>
      <c r="U36" s="30">
        <f t="shared" ref="U36:Z36" si="181">U30-U33-U35-U34</f>
        <v>3910.1499999999992</v>
      </c>
      <c r="V36" s="30">
        <f t="shared" si="181"/>
        <v>3686.2049999999995</v>
      </c>
      <c r="W36" s="30">
        <f t="shared" si="181"/>
        <v>4788.57</v>
      </c>
      <c r="X36" s="30">
        <f t="shared" si="181"/>
        <v>6911.9859999999999</v>
      </c>
      <c r="Y36" s="30">
        <f t="shared" si="181"/>
        <v>8637.6930000000029</v>
      </c>
      <c r="Z36" s="30">
        <f t="shared" si="181"/>
        <v>11102.925999999999</v>
      </c>
      <c r="AA36" s="31">
        <f t="shared" ref="AA36:AD36" si="182">AA30-AA33-AA35-AA34</f>
        <v>11969.949999999993</v>
      </c>
      <c r="AB36" s="31">
        <f t="shared" si="182"/>
        <v>13825.255147498021</v>
      </c>
      <c r="AC36" s="31">
        <f t="shared" si="182"/>
        <v>16069.628403989787</v>
      </c>
      <c r="AD36" s="31">
        <f t="shared" si="182"/>
        <v>17254.687233726512</v>
      </c>
      <c r="AE36" s="31">
        <f t="shared" ref="AE36" si="183">AE30-AE33-AE35-AE34</f>
        <v>20710.745471554059</v>
      </c>
      <c r="AI36" s="30">
        <f t="shared" ref="AI36" si="184">AI30-AI33-AI35-AI34</f>
        <v>0</v>
      </c>
      <c r="AJ36" s="30">
        <f t="shared" ref="AJ36" si="185">AJ30-AJ33-AJ35-AJ34</f>
        <v>0</v>
      </c>
      <c r="AK36" s="30">
        <f t="shared" ref="AK36:AM36" si="186">AK30-AK33-AK35-AK34</f>
        <v>0</v>
      </c>
      <c r="AL36" s="30">
        <f t="shared" si="186"/>
        <v>0</v>
      </c>
      <c r="AM36" s="30">
        <f t="shared" si="186"/>
        <v>0</v>
      </c>
      <c r="AN36" s="30">
        <f t="shared" ref="AN36:AO36" si="187">AN30-AN33-AN35-AN34</f>
        <v>0</v>
      </c>
      <c r="AO36" s="30">
        <f t="shared" si="187"/>
        <v>0</v>
      </c>
      <c r="AP36" s="30">
        <f t="shared" ref="AP36:CD36" si="188">AP30-AP33-AP35-AP34</f>
        <v>0</v>
      </c>
      <c r="AQ36" s="30">
        <f t="shared" si="188"/>
        <v>0</v>
      </c>
      <c r="AR36" s="30">
        <f t="shared" si="188"/>
        <v>0</v>
      </c>
      <c r="AS36" s="30">
        <f t="shared" si="188"/>
        <v>0</v>
      </c>
      <c r="AT36" s="30">
        <f t="shared" si="188"/>
        <v>0</v>
      </c>
      <c r="AU36" s="30">
        <f t="shared" si="188"/>
        <v>0</v>
      </c>
      <c r="AV36" s="30">
        <f t="shared" si="188"/>
        <v>0</v>
      </c>
      <c r="AW36" s="30">
        <f t="shared" si="188"/>
        <v>208.05999999999997</v>
      </c>
      <c r="AX36" s="30">
        <f t="shared" si="188"/>
        <v>447.00599999999991</v>
      </c>
      <c r="AY36" s="30">
        <f t="shared" si="188"/>
        <v>884.60800000000006</v>
      </c>
      <c r="AZ36" s="30">
        <f t="shared" si="188"/>
        <v>532.92900000000009</v>
      </c>
      <c r="BA36" s="30">
        <f t="shared" si="188"/>
        <v>258.75700000000001</v>
      </c>
      <c r="BB36" s="30">
        <f t="shared" si="188"/>
        <v>479.09099999999989</v>
      </c>
      <c r="BC36" s="30">
        <f t="shared" si="188"/>
        <v>850.44199999999989</v>
      </c>
      <c r="BD36" s="30">
        <f t="shared" si="188"/>
        <v>528.22399999999993</v>
      </c>
      <c r="BE36" s="30">
        <f t="shared" si="188"/>
        <v>335.72700000000003</v>
      </c>
      <c r="BF36" s="30">
        <f t="shared" si="188"/>
        <v>603.17399999999998</v>
      </c>
      <c r="BG36" s="30">
        <f t="shared" si="188"/>
        <v>1100.2860000000005</v>
      </c>
      <c r="BH36" s="30">
        <f t="shared" si="188"/>
        <v>639.04300000000001</v>
      </c>
      <c r="BI36" s="30">
        <f t="shared" si="188"/>
        <v>518.65299999999991</v>
      </c>
      <c r="BJ36" s="30">
        <f t="shared" si="188"/>
        <v>760.32500000000005</v>
      </c>
      <c r="BK36" s="30">
        <f t="shared" si="188"/>
        <v>1480.9369999999999</v>
      </c>
      <c r="BL36" s="30">
        <f t="shared" si="188"/>
        <v>992.58199999999977</v>
      </c>
      <c r="BM36" s="30">
        <f t="shared" si="188"/>
        <v>676.30600000000004</v>
      </c>
      <c r="BN36" s="30">
        <f t="shared" si="188"/>
        <v>984.95600000000002</v>
      </c>
      <c r="BO36" s="30">
        <f t="shared" si="188"/>
        <v>899.10599999999988</v>
      </c>
      <c r="BP36" s="30">
        <f t="shared" si="188"/>
        <v>1001.6409999999997</v>
      </c>
      <c r="BQ36" s="30">
        <f t="shared" si="188"/>
        <v>800.50199999999973</v>
      </c>
      <c r="BR36" s="30">
        <f t="shared" si="188"/>
        <v>1250.73</v>
      </c>
      <c r="BS36" s="30">
        <f t="shared" si="188"/>
        <v>1311.5079999999998</v>
      </c>
      <c r="BT36" s="30">
        <f t="shared" si="188"/>
        <v>1265.8070000000002</v>
      </c>
      <c r="BU36" s="30">
        <f t="shared" si="188"/>
        <v>960.52500000000009</v>
      </c>
      <c r="BV36" s="30">
        <f t="shared" si="188"/>
        <v>1457.2899999999995</v>
      </c>
      <c r="BW36" s="30">
        <f t="shared" si="188"/>
        <v>2502.9760000000001</v>
      </c>
      <c r="BX36" s="30">
        <f t="shared" si="188"/>
        <v>1705.3219999999999</v>
      </c>
      <c r="BY36" s="30">
        <f t="shared" si="188"/>
        <v>1246.3979999999999</v>
      </c>
      <c r="BZ36" s="30">
        <f t="shared" si="188"/>
        <v>2041.2590000000005</v>
      </c>
      <c r="CA36" s="30">
        <f t="shared" si="188"/>
        <v>2944.8290000000006</v>
      </c>
      <c r="CB36" s="30">
        <f t="shared" si="188"/>
        <v>2140.8110000000001</v>
      </c>
      <c r="CC36" s="30">
        <f t="shared" si="188"/>
        <v>1510.7939999999996</v>
      </c>
      <c r="CD36" s="30">
        <f t="shared" si="188"/>
        <v>2429.7639999999988</v>
      </c>
      <c r="CE36" s="30">
        <f t="shared" ref="CE36:CF36" si="189">CE30-CE33-CE35-CE34</f>
        <v>3936.282999999999</v>
      </c>
      <c r="CF36" s="30">
        <f t="shared" si="189"/>
        <v>2668.2889999999998</v>
      </c>
      <c r="CG36" s="30">
        <f t="shared" ref="CG36:CH36" si="190">CG30-CG33-CG35-CG34</f>
        <v>2068.59</v>
      </c>
      <c r="CH36" s="30">
        <f t="shared" si="190"/>
        <v>3037.8719999999994</v>
      </c>
      <c r="CI36" s="30">
        <f t="shared" ref="CI36:CJ36" si="191">CI30-CI33-CI35-CI34</f>
        <v>3826.2690000000002</v>
      </c>
      <c r="CJ36" s="30">
        <f t="shared" si="191"/>
        <v>2777.4420000000009</v>
      </c>
      <c r="CK36" s="30">
        <f t="shared" ref="CK36:CL36" si="192">CK30-CK33-CK35-CK34</f>
        <v>2328.3669999999997</v>
      </c>
      <c r="CL36" s="30">
        <f t="shared" si="192"/>
        <v>3628.5450000000005</v>
      </c>
      <c r="CM36" s="31">
        <f t="shared" ref="CM36:DA36" si="193">+CM37*CM30</f>
        <v>4348.2658138715815</v>
      </c>
      <c r="CN36" s="31">
        <f t="shared" si="193"/>
        <v>3123.6779864633331</v>
      </c>
      <c r="CO36" s="31">
        <f t="shared" si="193"/>
        <v>2724.7663471631085</v>
      </c>
      <c r="CP36" s="31">
        <f t="shared" si="193"/>
        <v>4315.3990193513437</v>
      </c>
      <c r="CQ36" s="31">
        <f t="shared" si="193"/>
        <v>5026.9185262121464</v>
      </c>
      <c r="CR36" s="31">
        <f t="shared" si="193"/>
        <v>3582.4421004021369</v>
      </c>
      <c r="CS36" s="31">
        <f t="shared" si="193"/>
        <v>3144.8687580241599</v>
      </c>
      <c r="CT36" s="31">
        <f t="shared" si="193"/>
        <v>4620.6980071464232</v>
      </c>
      <c r="CU36" s="31">
        <f t="shared" si="193"/>
        <v>5393.3899305043933</v>
      </c>
      <c r="CV36" s="31">
        <f t="shared" si="193"/>
        <v>3850.4281646488771</v>
      </c>
      <c r="CW36" s="31">
        <f t="shared" si="193"/>
        <v>3390.1711314268196</v>
      </c>
      <c r="CX36" s="31">
        <f t="shared" si="193"/>
        <v>5530.9416029764034</v>
      </c>
      <c r="CY36" s="31">
        <f t="shared" si="193"/>
        <v>6466.7539372134224</v>
      </c>
      <c r="CZ36" s="31">
        <f t="shared" si="193"/>
        <v>4626.6800449236644</v>
      </c>
      <c r="DA36" s="31">
        <f t="shared" si="193"/>
        <v>4086.3698864405656</v>
      </c>
      <c r="DB36"/>
      <c r="DD36" s="123"/>
    </row>
    <row r="37" spans="1:108" s="40" customFormat="1" x14ac:dyDescent="0.25">
      <c r="A37" s="40" t="s">
        <v>6</v>
      </c>
      <c r="B37" s="40" t="e">
        <f>B36/B30</f>
        <v>#DIV/0!</v>
      </c>
      <c r="C37" s="40" t="e">
        <f t="shared" ref="C37:U37" si="194">C36/C30</f>
        <v>#DIV/0!</v>
      </c>
      <c r="D37" s="40" t="e">
        <f t="shared" si="194"/>
        <v>#DIV/0!</v>
      </c>
      <c r="E37" s="40" t="e">
        <f t="shared" si="194"/>
        <v>#DIV/0!</v>
      </c>
      <c r="F37" s="40">
        <f t="shared" si="194"/>
        <v>0.50983587298633959</v>
      </c>
      <c r="G37" s="40">
        <f t="shared" si="194"/>
        <v>0.48388750001328484</v>
      </c>
      <c r="H37" s="40">
        <f t="shared" si="194"/>
        <v>0.46352167320017956</v>
      </c>
      <c r="I37" s="40">
        <f t="shared" si="194"/>
        <v>0.44407994622180136</v>
      </c>
      <c r="J37" s="40">
        <f t="shared" si="194"/>
        <v>0.43780266233921844</v>
      </c>
      <c r="K37" s="40">
        <f t="shared" si="194"/>
        <v>0.38603707898186673</v>
      </c>
      <c r="L37" s="40">
        <f t="shared" si="194"/>
        <v>0.38389743995508741</v>
      </c>
      <c r="M37" s="40">
        <f t="shared" si="194"/>
        <v>0.38174137682914422</v>
      </c>
      <c r="N37" s="40">
        <f t="shared" si="194"/>
        <v>0.4290069855788407</v>
      </c>
      <c r="O37" s="40">
        <f t="shared" si="194"/>
        <v>0.43303805074725238</v>
      </c>
      <c r="P37" s="40">
        <f t="shared" si="194"/>
        <v>0.45008266041455292</v>
      </c>
      <c r="Q37" s="40">
        <f t="shared" si="194"/>
        <v>0.49428442888040569</v>
      </c>
      <c r="R37" s="40">
        <f t="shared" si="194"/>
        <v>0.54990918586350357</v>
      </c>
      <c r="S37" s="40">
        <f t="shared" si="194"/>
        <v>0.54788612078310694</v>
      </c>
      <c r="T37" s="40">
        <f t="shared" si="194"/>
        <v>0.56043351409479059</v>
      </c>
      <c r="U37" s="40">
        <f t="shared" si="194"/>
        <v>0.54844059494124331</v>
      </c>
      <c r="V37" s="40">
        <f>V36/V30</f>
        <v>0.57149206947691999</v>
      </c>
      <c r="W37" s="40">
        <f>W36/W30</f>
        <v>0.54272301640102316</v>
      </c>
      <c r="X37" s="40">
        <f>X36/X30</f>
        <v>0.52470291446034667</v>
      </c>
      <c r="Y37" s="40">
        <f>Y36/Y30</f>
        <v>0.53842290090353928</v>
      </c>
      <c r="Z37" s="40">
        <f>Z36/Z30</f>
        <v>0.55493403773056804</v>
      </c>
      <c r="AA37" s="41">
        <f t="shared" ref="AA37:AD37" si="195">AA36/AA30</f>
        <v>0.55198251319471969</v>
      </c>
      <c r="AB37" s="41">
        <f t="shared" si="195"/>
        <v>0.55433185243519767</v>
      </c>
      <c r="AC37" s="41">
        <f t="shared" si="195"/>
        <v>0.55483009754032708</v>
      </c>
      <c r="AD37" s="41">
        <f t="shared" si="195"/>
        <v>0.55488212353507105</v>
      </c>
      <c r="AE37" s="41">
        <f t="shared" ref="AE37" si="196">AE36/AE30</f>
        <v>0.55488244230616524</v>
      </c>
      <c r="AI37" s="40" t="e">
        <f t="shared" ref="AI37" si="197">AI36/AI30</f>
        <v>#DIV/0!</v>
      </c>
      <c r="AJ37" s="40" t="e">
        <f t="shared" ref="AJ37" si="198">AJ36/AJ30</f>
        <v>#DIV/0!</v>
      </c>
      <c r="AK37" s="40" t="e">
        <f t="shared" ref="AK37:AM37" si="199">AK36/AK30</f>
        <v>#DIV/0!</v>
      </c>
      <c r="AL37" s="40" t="e">
        <f t="shared" si="199"/>
        <v>#DIV/0!</v>
      </c>
      <c r="AM37" s="40" t="e">
        <f t="shared" si="199"/>
        <v>#DIV/0!</v>
      </c>
      <c r="AN37" s="40" t="e">
        <f t="shared" ref="AN37:AO37" si="200">AN36/AN30</f>
        <v>#DIV/0!</v>
      </c>
      <c r="AO37" s="40" t="e">
        <f t="shared" si="200"/>
        <v>#DIV/0!</v>
      </c>
      <c r="AP37" s="40" t="e">
        <f t="shared" ref="AP37:CD37" si="201">AP36/AP30</f>
        <v>#DIV/0!</v>
      </c>
      <c r="AQ37" s="40" t="e">
        <f t="shared" si="201"/>
        <v>#DIV/0!</v>
      </c>
      <c r="AR37" s="40" t="e">
        <f t="shared" si="201"/>
        <v>#DIV/0!</v>
      </c>
      <c r="AS37" s="40" t="e">
        <f t="shared" si="201"/>
        <v>#DIV/0!</v>
      </c>
      <c r="AT37" s="40" t="e">
        <f t="shared" si="201"/>
        <v>#DIV/0!</v>
      </c>
      <c r="AU37" s="40" t="e">
        <f t="shared" si="201"/>
        <v>#DIV/0!</v>
      </c>
      <c r="AV37" s="40" t="e">
        <f t="shared" si="201"/>
        <v>#DIV/0!</v>
      </c>
      <c r="AW37" s="40">
        <f t="shared" si="201"/>
        <v>0.53231744602245834</v>
      </c>
      <c r="AX37" s="40">
        <f t="shared" si="201"/>
        <v>0.51437941589376535</v>
      </c>
      <c r="AY37" s="40">
        <f t="shared" si="201"/>
        <v>0.53274683131121026</v>
      </c>
      <c r="AZ37" s="40">
        <f t="shared" si="201"/>
        <v>0.59382385484253775</v>
      </c>
      <c r="BA37" s="40">
        <f t="shared" si="201"/>
        <v>0.5958792752461749</v>
      </c>
      <c r="BB37" s="40">
        <f t="shared" si="201"/>
        <v>0.54491882934086444</v>
      </c>
      <c r="BC37" s="40">
        <f t="shared" si="201"/>
        <v>0.52065911797207653</v>
      </c>
      <c r="BD37" s="40">
        <f t="shared" si="201"/>
        <v>0.54826415125673611</v>
      </c>
      <c r="BE37" s="40">
        <f t="shared" si="201"/>
        <v>0.63644928909952614</v>
      </c>
      <c r="BF37" s="40">
        <f t="shared" si="201"/>
        <v>0.55095956228248855</v>
      </c>
      <c r="BG37" s="40">
        <f t="shared" si="201"/>
        <v>0.53434482798811744</v>
      </c>
      <c r="BH37" s="40">
        <f t="shared" si="201"/>
        <v>0.5481879703569501</v>
      </c>
      <c r="BI37" s="40">
        <f t="shared" si="201"/>
        <v>0.66018556115766325</v>
      </c>
      <c r="BJ37" s="40">
        <f t="shared" si="201"/>
        <v>0.55941419053890507</v>
      </c>
      <c r="BK37" s="40">
        <f t="shared" si="201"/>
        <v>0.52693870812331389</v>
      </c>
      <c r="BL37" s="40">
        <f t="shared" si="201"/>
        <v>0.57053664525726333</v>
      </c>
      <c r="BM37" s="40">
        <f t="shared" si="201"/>
        <v>0.5542378784588341</v>
      </c>
      <c r="BN37" s="40">
        <f t="shared" si="201"/>
        <v>0.58753043662917837</v>
      </c>
      <c r="BO37" s="40">
        <f t="shared" si="201"/>
        <v>0.54817419763526376</v>
      </c>
      <c r="BP37" s="40">
        <f t="shared" si="201"/>
        <v>0.55565411503388917</v>
      </c>
      <c r="BQ37" s="40">
        <f t="shared" si="201"/>
        <v>0.60147825779872266</v>
      </c>
      <c r="BR37" s="40">
        <f t="shared" si="201"/>
        <v>0.55813934808103205</v>
      </c>
      <c r="BS37" s="40">
        <f t="shared" si="201"/>
        <v>0.53534325641009939</v>
      </c>
      <c r="BT37" s="40">
        <f t="shared" si="201"/>
        <v>0.52782468878197353</v>
      </c>
      <c r="BU37" s="40">
        <f t="shared" si="201"/>
        <v>0.55382898920912049</v>
      </c>
      <c r="BV37" s="40">
        <f t="shared" si="201"/>
        <v>0.51540386606834643</v>
      </c>
      <c r="BW37" s="40">
        <f t="shared" si="201"/>
        <v>0.50516033393779591</v>
      </c>
      <c r="BX37" s="40">
        <f t="shared" si="201"/>
        <v>0.53683537848404905</v>
      </c>
      <c r="BY37" s="40">
        <f t="shared" si="201"/>
        <v>0.56290231163358895</v>
      </c>
      <c r="BZ37" s="40">
        <f t="shared" si="201"/>
        <v>0.52434423544975262</v>
      </c>
      <c r="CA37" s="40">
        <f t="shared" si="201"/>
        <v>0.52479380375884688</v>
      </c>
      <c r="CB37" s="40">
        <f t="shared" si="201"/>
        <v>0.55310753220178721</v>
      </c>
      <c r="CC37" s="40">
        <f t="shared" si="201"/>
        <v>0.566330632993576</v>
      </c>
      <c r="CD37" s="40">
        <f t="shared" si="201"/>
        <v>0.56279542391297532</v>
      </c>
      <c r="CE37" s="40">
        <f t="shared" ref="CE37:CF37" si="202">CE36/CE30</f>
        <v>0.54694434880090792</v>
      </c>
      <c r="CF37" s="40">
        <f t="shared" si="202"/>
        <v>0.55535172663836507</v>
      </c>
      <c r="CG37" s="40">
        <f t="shared" ref="CG37:CH37" si="203">CG36/CG30</f>
        <v>0.56077707824133216</v>
      </c>
      <c r="CH37" s="40">
        <f t="shared" si="203"/>
        <v>0.54569920431979169</v>
      </c>
      <c r="CI37" s="40">
        <f t="shared" ref="CI37:CJ37" si="204">CI36/CI30</f>
        <v>0.54525676353722785</v>
      </c>
      <c r="CJ37" s="40">
        <f t="shared" si="204"/>
        <v>0.56721268622425547</v>
      </c>
      <c r="CK37" s="40">
        <f t="shared" ref="CK37:CL37" si="205">CK36/CK30</f>
        <v>0.55378990172967846</v>
      </c>
      <c r="CL37" s="40">
        <f t="shared" si="205"/>
        <v>0.55193795737573759</v>
      </c>
      <c r="CM37" s="41">
        <f t="shared" ref="CM37:DA37" si="206">AVERAGE(CI37:CL37)</f>
        <v>0.55454932721672479</v>
      </c>
      <c r="CN37" s="41">
        <f t="shared" si="206"/>
        <v>0.55687246813659907</v>
      </c>
      <c r="CO37" s="41">
        <f t="shared" si="206"/>
        <v>0.55428741361468492</v>
      </c>
      <c r="CP37" s="41">
        <f t="shared" si="206"/>
        <v>0.55441179158593656</v>
      </c>
      <c r="CQ37" s="41">
        <f t="shared" si="206"/>
        <v>0.55503025013848628</v>
      </c>
      <c r="CR37" s="41">
        <f t="shared" si="206"/>
        <v>0.55515048086892671</v>
      </c>
      <c r="CS37" s="41">
        <f t="shared" si="206"/>
        <v>0.55471998405200862</v>
      </c>
      <c r="CT37" s="41">
        <f t="shared" si="206"/>
        <v>0.55482812666133952</v>
      </c>
      <c r="CU37" s="41">
        <f t="shared" si="206"/>
        <v>0.55493221043019036</v>
      </c>
      <c r="CV37" s="41">
        <f t="shared" si="206"/>
        <v>0.55490770050311633</v>
      </c>
      <c r="CW37" s="41">
        <f t="shared" si="206"/>
        <v>0.55484700541166365</v>
      </c>
      <c r="CX37" s="41">
        <f t="shared" si="206"/>
        <v>0.55487876075157749</v>
      </c>
      <c r="CY37" s="41">
        <f t="shared" si="206"/>
        <v>0.55489141927413699</v>
      </c>
      <c r="CZ37" s="41">
        <f t="shared" si="206"/>
        <v>0.55488122148512364</v>
      </c>
      <c r="DA37" s="41">
        <f t="shared" si="206"/>
        <v>0.55487460173062542</v>
      </c>
      <c r="DB37"/>
      <c r="DD37" s="124"/>
    </row>
    <row r="38" spans="1:108" s="38" customFormat="1" x14ac:dyDescent="0.25">
      <c r="A38" s="38" t="s">
        <v>447</v>
      </c>
      <c r="C38" s="38" t="e">
        <f t="shared" ref="C38:AE38" si="207">+IF(B36&lt;0,1-C36/B36,C36/B36-1)</f>
        <v>#DIV/0!</v>
      </c>
      <c r="D38" s="38" t="e">
        <f t="shared" si="207"/>
        <v>#DIV/0!</v>
      </c>
      <c r="E38" s="38" t="e">
        <f t="shared" si="207"/>
        <v>#DIV/0!</v>
      </c>
      <c r="F38" s="38" t="e">
        <f t="shared" si="207"/>
        <v>#DIV/0!</v>
      </c>
      <c r="G38" s="38">
        <f t="shared" si="207"/>
        <v>2.7580297311462276E-2</v>
      </c>
      <c r="H38" s="38">
        <f t="shared" si="207"/>
        <v>2.3205412151633187E-2</v>
      </c>
      <c r="I38" s="38">
        <f t="shared" si="207"/>
        <v>8.9199359266917799E-2</v>
      </c>
      <c r="J38" s="38">
        <f t="shared" si="207"/>
        <v>0.21628056649057936</v>
      </c>
      <c r="K38" s="38">
        <f t="shared" si="207"/>
        <v>0.47954011552183662</v>
      </c>
      <c r="L38" s="38">
        <f t="shared" si="207"/>
        <v>0.2444088334696044</v>
      </c>
      <c r="M38" s="38">
        <f t="shared" si="207"/>
        <v>0.17366272306047414</v>
      </c>
      <c r="N38" s="38">
        <f t="shared" si="207"/>
        <v>0.77505666223789316</v>
      </c>
      <c r="O38" s="38">
        <f t="shared" si="207"/>
        <v>0.18612812576889737</v>
      </c>
      <c r="P38" s="38">
        <f t="shared" si="207"/>
        <v>0.22965478088084379</v>
      </c>
      <c r="Q38" s="38">
        <f t="shared" si="207"/>
        <v>0.48955863942679034</v>
      </c>
      <c r="R38" s="38">
        <f t="shared" si="207"/>
        <v>0.26562057609489331</v>
      </c>
      <c r="S38" s="38">
        <f t="shared" si="207"/>
        <v>3.3054208072340385E-2</v>
      </c>
      <c r="T38" s="38">
        <f t="shared" si="207"/>
        <v>0.30438881705998289</v>
      </c>
      <c r="U38" s="38">
        <f t="shared" si="207"/>
        <v>0.36663292739018738</v>
      </c>
      <c r="V38" s="38">
        <f t="shared" si="207"/>
        <v>-5.7272738897484743E-2</v>
      </c>
      <c r="W38" s="38">
        <f t="shared" si="207"/>
        <v>0.29905146349701117</v>
      </c>
      <c r="X38" s="38">
        <f t="shared" si="207"/>
        <v>0.4434342611677391</v>
      </c>
      <c r="Y38" s="38">
        <f t="shared" si="207"/>
        <v>0.24966876379668634</v>
      </c>
      <c r="Z38" s="38">
        <f t="shared" si="207"/>
        <v>0.28540410037726449</v>
      </c>
      <c r="AA38" s="39">
        <f t="shared" si="207"/>
        <v>7.8089685547755083E-2</v>
      </c>
      <c r="AB38" s="39">
        <f t="shared" si="207"/>
        <v>0.15499690036282754</v>
      </c>
      <c r="AC38" s="39">
        <f t="shared" si="207"/>
        <v>0.16233864999576042</v>
      </c>
      <c r="AD38" s="39">
        <f t="shared" si="207"/>
        <v>7.3745254087051348E-2</v>
      </c>
      <c r="AE38" s="39">
        <f t="shared" si="207"/>
        <v>0.20029677681275126</v>
      </c>
      <c r="AM38" s="38" t="e">
        <f>+IF(AI36&lt;0,1-AM36/AI36,AM36/AI36-1)</f>
        <v>#DIV/0!</v>
      </c>
      <c r="AN38" s="38" t="e">
        <f t="shared" ref="AN38" si="208">+IF(AJ36&lt;0,1-AN36/AJ36,AN36/AJ36-1)</f>
        <v>#DIV/0!</v>
      </c>
      <c r="AO38" s="38" t="e">
        <f t="shared" ref="AO38" si="209">+IF(AK36&lt;0,1-AO36/AK36,AO36/AK36-1)</f>
        <v>#DIV/0!</v>
      </c>
      <c r="AP38" s="38" t="e">
        <f t="shared" ref="AP38" si="210">+IF(AL36&lt;0,1-AP36/AL36,AP36/AL36-1)</f>
        <v>#DIV/0!</v>
      </c>
      <c r="AQ38" s="38" t="e">
        <f t="shared" ref="AQ38" si="211">+IF(AM36&lt;0,1-AQ36/AM36,AQ36/AM36-1)</f>
        <v>#DIV/0!</v>
      </c>
      <c r="AR38" s="38" t="e">
        <f t="shared" ref="AR38" si="212">+IF(AN36&lt;0,1-AR36/AN36,AR36/AN36-1)</f>
        <v>#DIV/0!</v>
      </c>
      <c r="AS38" s="38" t="e">
        <f t="shared" ref="AS38" si="213">+IF(AO36&lt;0,1-AS36/AO36,AS36/AO36-1)</f>
        <v>#DIV/0!</v>
      </c>
      <c r="AT38" s="38" t="e">
        <f t="shared" ref="AT38" si="214">+IF(AP36&lt;0,1-AT36/AP36,AT36/AP36-1)</f>
        <v>#DIV/0!</v>
      </c>
      <c r="AU38" s="38" t="e">
        <f t="shared" ref="AU38" si="215">+IF(AQ36&lt;0,1-AU36/AQ36,AU36/AQ36-1)</f>
        <v>#DIV/0!</v>
      </c>
      <c r="AV38" s="38" t="e">
        <f t="shared" ref="AV38" si="216">+IF(AR36&lt;0,1-AV36/AR36,AV36/AR36-1)</f>
        <v>#DIV/0!</v>
      </c>
      <c r="AW38" s="38" t="e">
        <f t="shared" ref="AW38" si="217">+IF(AS36&lt;0,1-AW36/AS36,AW36/AS36-1)</f>
        <v>#DIV/0!</v>
      </c>
      <c r="AX38" s="38" t="e">
        <f t="shared" ref="AX38" si="218">+IF(AT36&lt;0,1-AX36/AT36,AX36/AT36-1)</f>
        <v>#DIV/0!</v>
      </c>
      <c r="AY38" s="38" t="e">
        <f t="shared" ref="AY38" si="219">+IF(AU36&lt;0,1-AY36/AU36,AY36/AU36-1)</f>
        <v>#DIV/0!</v>
      </c>
      <c r="AZ38" s="38" t="e">
        <f t="shared" ref="AZ38" si="220">+IF(AV36&lt;0,1-AZ36/AV36,AZ36/AV36-1)</f>
        <v>#DIV/0!</v>
      </c>
      <c r="BA38" s="38">
        <f t="shared" ref="BA38" si="221">+IF(AW36&lt;0,1-BA36/AW36,BA36/AW36-1)</f>
        <v>0.2436652888589832</v>
      </c>
      <c r="BB38" s="38">
        <f t="shared" ref="BB38" si="222">+IF(AX36&lt;0,1-BB36/AX36,BB36/AX36-1)</f>
        <v>7.1777560032751264E-2</v>
      </c>
      <c r="BC38" s="38">
        <f t="shared" ref="BC38" si="223">+IF(AY36&lt;0,1-BC36/AY36,BC36/AY36-1)</f>
        <v>-3.8622757198668922E-2</v>
      </c>
      <c r="BD38" s="38">
        <f t="shared" ref="BD38" si="224">+IF(AZ36&lt;0,1-BD36/AZ36,BD36/AZ36-1)</f>
        <v>-8.8285681582352948E-3</v>
      </c>
      <c r="BE38" s="38">
        <f t="shared" ref="BE38" si="225">+IF(BA36&lt;0,1-BE36/BA36,BE36/BA36-1)</f>
        <v>0.29746055179183561</v>
      </c>
      <c r="BF38" s="38">
        <f t="shared" ref="BF38" si="226">+IF(BB36&lt;0,1-BF36/BB36,BF36/BB36-1)</f>
        <v>0.25899672504806004</v>
      </c>
      <c r="BG38" s="38">
        <f t="shared" ref="BG38" si="227">+IF(BC36&lt;0,1-BG36/BC36,BG36/BC36-1)</f>
        <v>0.29378135134436056</v>
      </c>
      <c r="BH38" s="38">
        <f t="shared" ref="BH38" si="228">+IF(BD36&lt;0,1-BH36/BD36,BH36/BD36-1)</f>
        <v>0.20979546556006556</v>
      </c>
      <c r="BI38" s="38">
        <f t="shared" ref="BI38" si="229">+IF(BE36&lt;0,1-BI36/BE36,BI36/BE36-1)</f>
        <v>0.54486532212184269</v>
      </c>
      <c r="BJ38" s="38">
        <f t="shared" ref="BJ38" si="230">+IF(BF36&lt;0,1-BJ36/BF36,BJ36/BF36-1)</f>
        <v>0.26054007632955023</v>
      </c>
      <c r="BK38" s="38">
        <f t="shared" ref="BK38" si="231">+IF(BG36&lt;0,1-BK36/BG36,BK36/BG36-1)</f>
        <v>0.34595641496847107</v>
      </c>
      <c r="BL38" s="38">
        <f t="shared" ref="BL38" si="232">+IF(BH36&lt;0,1-BL36/BH36,BL36/BH36-1)</f>
        <v>0.55323194213847859</v>
      </c>
      <c r="BM38" s="38">
        <f t="shared" ref="BM38" si="233">+IF(BI36&lt;0,1-BM36/BI36,BM36/BI36-1)</f>
        <v>0.3039662356141779</v>
      </c>
      <c r="BN38" s="38">
        <f t="shared" ref="BN38" si="234">+IF(BJ36&lt;0,1-BN36/BJ36,BN36/BJ36-1)</f>
        <v>0.29544076546213782</v>
      </c>
      <c r="BO38" s="38">
        <f t="shared" ref="BO38" si="235">+IF(BK36&lt;0,1-BO36/BK36,BO36/BK36-1)</f>
        <v>-0.39288031833899761</v>
      </c>
      <c r="BP38" s="38">
        <f t="shared" ref="BP38" si="236">+IF(BL36&lt;0,1-BP36/BL36,BP36/BL36-1)</f>
        <v>9.1267018745051498E-3</v>
      </c>
      <c r="BQ38" s="38">
        <f t="shared" ref="BQ38" si="237">+IF(BM36&lt;0,1-BQ36/BM36,BQ36/BM36-1)</f>
        <v>0.18363876706697813</v>
      </c>
      <c r="BR38" s="38">
        <f t="shared" ref="BR38" si="238">+IF(BN36&lt;0,1-BR36/BN36,BR36/BN36-1)</f>
        <v>0.26983337326743539</v>
      </c>
      <c r="BS38" s="38">
        <f t="shared" ref="BS38" si="239">+IF(BO36&lt;0,1-BS36/BO36,BS36/BO36-1)</f>
        <v>0.45868006664397742</v>
      </c>
      <c r="BT38" s="38">
        <f t="shared" ref="BT38" si="240">+IF(BP36&lt;0,1-BT36/BP36,BT36/BP36-1)</f>
        <v>0.26373321379616099</v>
      </c>
      <c r="BU38" s="38">
        <f t="shared" ref="BU38" si="241">+IF(BQ36&lt;0,1-BU36/BQ36,BU36/BQ36-1)</f>
        <v>0.1999033106725534</v>
      </c>
      <c r="BV38" s="38">
        <f t="shared" ref="BV38" si="242">+IF(BR36&lt;0,1-BV36/BR36,BV36/BR36-1)</f>
        <v>0.16515155149392724</v>
      </c>
      <c r="BW38" s="38">
        <f t="shared" ref="BW38" si="243">+IF(BS36&lt;0,1-BW36/BS36,BW36/BS36-1)</f>
        <v>0.90847177447640459</v>
      </c>
      <c r="BX38" s="38">
        <f t="shared" ref="BX38" si="244">+IF(BT36&lt;0,1-BX36/BT36,BX36/BT36-1)</f>
        <v>0.3472211798481124</v>
      </c>
      <c r="BY38" s="38">
        <f t="shared" ref="BY38" si="245">+IF(BU36&lt;0,1-BY36/BU36,BY36/BU36-1)</f>
        <v>0.29762161318029179</v>
      </c>
      <c r="BZ38" s="38">
        <f t="shared" ref="BZ38" si="246">+IF(BV36&lt;0,1-BZ36/BV36,BZ36/BV36-1)</f>
        <v>0.40072257409300915</v>
      </c>
      <c r="CA38" s="38">
        <f t="shared" ref="CA38" si="247">+IF(BW36&lt;0,1-CA36/BW36,CA36/BW36-1)</f>
        <v>0.17653105742923647</v>
      </c>
      <c r="CB38" s="38">
        <f t="shared" ref="CB38" si="248">+IF(BX36&lt;0,1-CB36/BX36,CB36/BX36-1)</f>
        <v>0.25537053999186088</v>
      </c>
      <c r="CC38" s="38">
        <f t="shared" ref="CC38" si="249">+IF(BY36&lt;0,1-CC36/BY36,CC36/BY36-1)</f>
        <v>0.21212806824144437</v>
      </c>
      <c r="CD38" s="38">
        <f t="shared" ref="CD38" si="250">+IF(BZ36&lt;0,1-CD36/BZ36,CD36/BZ36-1)</f>
        <v>0.19032616635125588</v>
      </c>
      <c r="CE38" s="38">
        <f t="shared" ref="CE38" si="251">+IF(CA36&lt;0,1-CE36/CA36,CE36/CA36-1)</f>
        <v>0.33667625522568478</v>
      </c>
      <c r="CF38" s="38">
        <f t="shared" ref="CF38" si="252">+IF(CB36&lt;0,1-CF36/CB36,CF36/CB36-1)</f>
        <v>0.24639167119376704</v>
      </c>
      <c r="CG38" s="38">
        <f t="shared" ref="CG38" si="253">+IF(CC36&lt;0,1-CG36/CC36,CG36/CC36-1)</f>
        <v>0.36920718509604922</v>
      </c>
      <c r="CH38" s="38">
        <f t="shared" ref="CH38:CJ38" si="254">+IF(CD36&lt;0,1-CH36/CD36,CH36/CD36-1)</f>
        <v>0.25027451225715791</v>
      </c>
      <c r="CI38" s="38">
        <f t="shared" si="254"/>
        <v>-2.7948701859088598E-2</v>
      </c>
      <c r="CJ38" s="38">
        <f t="shared" si="254"/>
        <v>4.0907487907045015E-2</v>
      </c>
      <c r="CK38" s="38">
        <f t="shared" ref="CK38" si="255">+IF(CG36&lt;0,1-CK36/CG36,CK36/CG36-1)</f>
        <v>0.12558167640760121</v>
      </c>
      <c r="CL38" s="38">
        <f t="shared" ref="CL38" si="256">+IF(CH36&lt;0,1-CL36/CH36,CL36/CH36-1)</f>
        <v>0.19443643445148484</v>
      </c>
      <c r="CM38" s="39">
        <f t="shared" ref="CM38" si="257">+CM36/CI36-1</f>
        <v>0.13642449442827487</v>
      </c>
      <c r="CN38" s="39">
        <f t="shared" ref="CN38" si="258">+CN36/CJ36-1</f>
        <v>0.12466002403050447</v>
      </c>
      <c r="CO38" s="39">
        <f t="shared" ref="CO38" si="259">+CO36/CK36-1</f>
        <v>0.17024779476908436</v>
      </c>
      <c r="CP38" s="39">
        <f t="shared" ref="CP38" si="260">+CP36/CL36-1</f>
        <v>0.18929185647452162</v>
      </c>
      <c r="CQ38" s="39">
        <f t="shared" ref="CQ38" si="261">+CQ36/CM36-1</f>
        <v>0.15607433891818823</v>
      </c>
      <c r="CR38" s="39">
        <f t="shared" ref="CR38" si="262">+CR36/CN36-1</f>
        <v>0.14686664756318946</v>
      </c>
      <c r="CS38" s="39">
        <f t="shared" ref="CS38" si="263">+CS36/CO36-1</f>
        <v>0.15417924230400204</v>
      </c>
      <c r="CT38" s="39">
        <f t="shared" ref="CT38" si="264">+CT36/CP36-1</f>
        <v>7.0746409874507865E-2</v>
      </c>
      <c r="CU38" s="39">
        <f t="shared" ref="CU38" si="265">+CU36/CQ36-1</f>
        <v>7.2901799060663963E-2</v>
      </c>
      <c r="CV38" s="39">
        <f t="shared" ref="CV38" si="266">+CV36/CR36-1</f>
        <v>7.4805413942812482E-2</v>
      </c>
      <c r="CW38" s="39">
        <f t="shared" ref="CW38" si="267">+CW36/CS36-1</f>
        <v>7.8000830011353717E-2</v>
      </c>
      <c r="CX38" s="39">
        <f t="shared" ref="CX38" si="268">+CX36/CT36-1</f>
        <v>0.19699266094044399</v>
      </c>
      <c r="CY38" s="39">
        <f t="shared" ref="CY38" si="269">+CY36/CU36-1</f>
        <v>0.19901472367836881</v>
      </c>
      <c r="CZ38" s="39">
        <f t="shared" ref="CZ38" si="270">+CZ36/CV36-1</f>
        <v>0.20160144458780582</v>
      </c>
      <c r="DA38" s="39">
        <f t="shared" ref="DA38" si="271">+DA36/CW36-1</f>
        <v>0.20535799758307105</v>
      </c>
      <c r="DB38"/>
      <c r="DD38" s="121"/>
    </row>
    <row r="39" spans="1:108" s="38" customFormat="1" x14ac:dyDescent="0.25">
      <c r="A39" s="38" t="s">
        <v>448</v>
      </c>
      <c r="AA39" s="39"/>
      <c r="AB39" s="39"/>
      <c r="AC39" s="39"/>
      <c r="AD39" s="39"/>
      <c r="AE39" s="39"/>
      <c r="AJ39" s="38" t="e">
        <f>+IF(AI36&lt;0,1-AJ36/AI36,AJ36/AI36-1)</f>
        <v>#DIV/0!</v>
      </c>
      <c r="AK39" s="38" t="e">
        <f t="shared" ref="AK39" si="272">+IF(AJ36&lt;0,1-AK36/AJ36,AK36/AJ36-1)</f>
        <v>#DIV/0!</v>
      </c>
      <c r="AL39" s="38" t="e">
        <f t="shared" ref="AL39" si="273">+IF(AK36&lt;0,1-AL36/AK36,AL36/AK36-1)</f>
        <v>#DIV/0!</v>
      </c>
      <c r="AM39" s="38" t="e">
        <f t="shared" ref="AM39" si="274">+IF(AL36&lt;0,1-AM36/AL36,AM36/AL36-1)</f>
        <v>#DIV/0!</v>
      </c>
      <c r="AN39" s="38" t="e">
        <f t="shared" ref="AN39" si="275">+IF(AM36&lt;0,1-AN36/AM36,AN36/AM36-1)</f>
        <v>#DIV/0!</v>
      </c>
      <c r="AO39" s="38" t="e">
        <f t="shared" ref="AO39" si="276">+IF(AN36&lt;0,1-AO36/AN36,AO36/AN36-1)</f>
        <v>#DIV/0!</v>
      </c>
      <c r="AP39" s="38" t="e">
        <f t="shared" ref="AP39" si="277">+IF(AO36&lt;0,1-AP36/AO36,AP36/AO36-1)</f>
        <v>#DIV/0!</v>
      </c>
      <c r="AQ39" s="38" t="e">
        <f t="shared" ref="AQ39" si="278">+IF(AP36&lt;0,1-AQ36/AP36,AQ36/AP36-1)</f>
        <v>#DIV/0!</v>
      </c>
      <c r="AR39" s="38" t="e">
        <f t="shared" ref="AR39" si="279">+IF(AQ36&lt;0,1-AR36/AQ36,AR36/AQ36-1)</f>
        <v>#DIV/0!</v>
      </c>
      <c r="AS39" s="38" t="e">
        <f t="shared" ref="AS39" si="280">+IF(AR36&lt;0,1-AS36/AR36,AS36/AR36-1)</f>
        <v>#DIV/0!</v>
      </c>
      <c r="AT39" s="38" t="e">
        <f t="shared" ref="AT39" si="281">+IF(AS36&lt;0,1-AT36/AS36,AT36/AS36-1)</f>
        <v>#DIV/0!</v>
      </c>
      <c r="AU39" s="38" t="e">
        <f t="shared" ref="AU39" si="282">+IF(AT36&lt;0,1-AU36/AT36,AU36/AT36-1)</f>
        <v>#DIV/0!</v>
      </c>
      <c r="AV39" s="38" t="e">
        <f t="shared" ref="AV39" si="283">+IF(AU36&lt;0,1-AV36/AU36,AV36/AU36-1)</f>
        <v>#DIV/0!</v>
      </c>
      <c r="AW39" s="38" t="e">
        <f t="shared" ref="AW39" si="284">+IF(AV36&lt;0,1-AW36/AV36,AW36/AV36-1)</f>
        <v>#DIV/0!</v>
      </c>
      <c r="AX39" s="38">
        <f t="shared" ref="AX39" si="285">+IF(AW36&lt;0,1-AX36/AW36,AX36/AW36-1)</f>
        <v>1.1484475632029221</v>
      </c>
      <c r="AY39" s="38">
        <f t="shared" ref="AY39" si="286">+IF(AX36&lt;0,1-AY36/AX36,AY36/AX36-1)</f>
        <v>0.97896225106598167</v>
      </c>
      <c r="AZ39" s="38">
        <f t="shared" ref="AZ39" si="287">+IF(AY36&lt;0,1-AZ36/AY36,AZ36/AY36-1)</f>
        <v>-0.39755349262046003</v>
      </c>
      <c r="BA39" s="38">
        <f t="shared" ref="BA39" si="288">+IF(AZ36&lt;0,1-BA36/AZ36,BA36/AZ36-1)</f>
        <v>-0.51446252690320859</v>
      </c>
      <c r="BB39" s="38">
        <f t="shared" ref="BB39" si="289">+IF(BA36&lt;0,1-BB36/BA36,BB36/BA36-1)</f>
        <v>0.85150933114852889</v>
      </c>
      <c r="BC39" s="38">
        <f t="shared" ref="BC39" si="290">+IF(BB36&lt;0,1-BC36/BB36,BC36/BB36-1)</f>
        <v>0.77511579219814197</v>
      </c>
      <c r="BD39" s="38">
        <f t="shared" ref="BD39" si="291">+IF(BC36&lt;0,1-BD36/BC36,BD36/BC36-1)</f>
        <v>-0.37888298084995797</v>
      </c>
      <c r="BE39" s="38">
        <f t="shared" ref="BE39" si="292">+IF(BD36&lt;0,1-BE36/BD36,BE36/BD36-1)</f>
        <v>-0.3644230477979038</v>
      </c>
      <c r="BF39" s="38">
        <f t="shared" ref="BF39" si="293">+IF(BE36&lt;0,1-BF36/BE36,BF36/BE36-1)</f>
        <v>0.7966204684163023</v>
      </c>
      <c r="BG39" s="38">
        <f t="shared" ref="BG39" si="294">+IF(BF36&lt;0,1-BG36/BF36,BG36/BF36-1)</f>
        <v>0.82416019258124606</v>
      </c>
      <c r="BH39" s="38">
        <f t="shared" ref="BH39" si="295">+IF(BG36&lt;0,1-BH36/BG36,BH36/BG36-1)</f>
        <v>-0.41920282544720222</v>
      </c>
      <c r="BI39" s="38">
        <f t="shared" ref="BI39" si="296">+IF(BH36&lt;0,1-BI36/BH36,BI36/BH36-1)</f>
        <v>-0.18839107853462145</v>
      </c>
      <c r="BJ39" s="38">
        <f t="shared" ref="BJ39" si="297">+IF(BI36&lt;0,1-BJ36/BI36,BJ36/BI36-1)</f>
        <v>0.46596086400734249</v>
      </c>
      <c r="BK39" s="38">
        <f t="shared" ref="BK39" si="298">+IF(BJ36&lt;0,1-BK36/BJ36,BK36/BJ36-1)</f>
        <v>0.94776838851806766</v>
      </c>
      <c r="BL39" s="38">
        <f t="shared" ref="BL39" si="299">+IF(BK36&lt;0,1-BL36/BK36,BL36/BK36-1)</f>
        <v>-0.32976082034549759</v>
      </c>
      <c r="BM39" s="38">
        <f t="shared" ref="BM39" si="300">+IF(BL36&lt;0,1-BM36/BL36,BM36/BL36-1)</f>
        <v>-0.31863966906512486</v>
      </c>
      <c r="BN39" s="38">
        <f t="shared" ref="BN39" si="301">+IF(BM36&lt;0,1-BN36/BM36,BN36/BM36-1)</f>
        <v>0.4563762557185651</v>
      </c>
      <c r="BO39" s="38">
        <f t="shared" ref="BO39" si="302">+IF(BN36&lt;0,1-BO36/BN36,BO36/BN36-1)</f>
        <v>-8.7161253903727864E-2</v>
      </c>
      <c r="BP39" s="38">
        <f t="shared" ref="BP39" si="303">+IF(BO36&lt;0,1-BP36/BO36,BP36/BO36-1)</f>
        <v>0.11404105856261659</v>
      </c>
      <c r="BQ39" s="38">
        <f t="shared" ref="BQ39" si="304">+IF(BP36&lt;0,1-BQ36/BP36,BQ36/BP36-1)</f>
        <v>-0.20080947165701091</v>
      </c>
      <c r="BR39" s="38">
        <f t="shared" ref="BR39" si="305">+IF(BQ36&lt;0,1-BR36/BQ36,BR36/BQ36-1)</f>
        <v>0.5624320738736448</v>
      </c>
      <c r="BS39" s="38">
        <f t="shared" ref="BS39" si="306">+IF(BR36&lt;0,1-BS36/BR36,BS36/BR36-1)</f>
        <v>4.8594021091682205E-2</v>
      </c>
      <c r="BT39" s="38">
        <f t="shared" ref="BT39" si="307">+IF(BS36&lt;0,1-BT36/BS36,BT36/BS36-1)</f>
        <v>-3.4846146573257353E-2</v>
      </c>
      <c r="BU39" s="38">
        <f t="shared" ref="BU39" si="308">+IF(BT36&lt;0,1-BU36/BT36,BU36/BT36-1)</f>
        <v>-0.24117578746206969</v>
      </c>
      <c r="BV39" s="38">
        <f t="shared" ref="BV39" si="309">+IF(BU36&lt;0,1-BV36/BU36,BV36/BU36-1)</f>
        <v>0.51718070846672326</v>
      </c>
      <c r="BW39" s="38">
        <f t="shared" ref="BW39" si="310">+IF(BV36&lt;0,1-BW36/BV36,BW36/BV36-1)</f>
        <v>0.71755518805454033</v>
      </c>
      <c r="BX39" s="38">
        <f t="shared" ref="BX39" si="311">+IF(BW36&lt;0,1-BX36/BW36,BX36/BW36-1)</f>
        <v>-0.3186822406607176</v>
      </c>
      <c r="BY39" s="38">
        <f t="shared" ref="BY39" si="312">+IF(BX36&lt;0,1-BY36/BX36,BY36/BX36-1)</f>
        <v>-0.26911281271220333</v>
      </c>
      <c r="BZ39" s="38">
        <f t="shared" ref="BZ39" si="313">+IF(BY36&lt;0,1-BZ36/BY36,BZ36/BY36-1)</f>
        <v>0.63772647260345461</v>
      </c>
      <c r="CA39" s="38">
        <f t="shared" ref="CA39" si="314">+IF(BZ36&lt;0,1-CA36/BZ36,CA36/BZ36-1)</f>
        <v>0.44265328407615101</v>
      </c>
      <c r="CB39" s="38">
        <f t="shared" ref="CB39" si="315">+IF(CA36&lt;0,1-CB36/CA36,CB36/CA36-1)</f>
        <v>-0.27302705861698606</v>
      </c>
      <c r="CC39" s="38">
        <f t="shared" ref="CC39" si="316">+IF(CB36&lt;0,1-CC36/CB36,CC36/CB36-1)</f>
        <v>-0.29428894003253925</v>
      </c>
      <c r="CD39" s="38">
        <f t="shared" ref="CD39" si="317">+IF(CC36&lt;0,1-CD36/CC36,CD36/CC36-1)</f>
        <v>0.60826955892067303</v>
      </c>
      <c r="CE39" s="38">
        <f t="shared" ref="CE39" si="318">+IF(CD36&lt;0,1-CE36/CD36,CE36/CD36-1)</f>
        <v>0.62002688326932209</v>
      </c>
      <c r="CF39" s="38">
        <f t="shared" ref="CF39" si="319">+IF(CE36&lt;0,1-CF36/CE36,CF36/CE36-1)</f>
        <v>-0.32212978589191876</v>
      </c>
      <c r="CG39" s="38">
        <f t="shared" ref="CG39" si="320">+IF(CF36&lt;0,1-CG36/CF36,CG36/CF36-1)</f>
        <v>-0.22475039247997486</v>
      </c>
      <c r="CH39" s="38">
        <f t="shared" ref="CH39:CJ39" si="321">+IF(CG36&lt;0,1-CH36/CG36,CH36/CG36-1)</f>
        <v>0.46857134569924397</v>
      </c>
      <c r="CI39" s="38">
        <f t="shared" si="321"/>
        <v>0.259522784370112</v>
      </c>
      <c r="CJ39" s="38">
        <f t="shared" si="321"/>
        <v>-0.27411219650265028</v>
      </c>
      <c r="CK39" s="38">
        <f t="shared" ref="CK39" si="322">+IF(CJ36&lt;0,1-CK36/CJ36,CK36/CJ36-1)</f>
        <v>-0.16168654466952004</v>
      </c>
      <c r="CL39" s="38">
        <f t="shared" ref="CL39" si="323">+IF(CK36&lt;0,1-CL36/CK36,CL36/CK36-1)</f>
        <v>0.55840767370436062</v>
      </c>
      <c r="CM39" s="39">
        <f t="shared" ref="CM39" si="324">+CM36/CL36-1</f>
        <v>0.19834970046439571</v>
      </c>
      <c r="CN39" s="39">
        <f t="shared" ref="CN39" si="325">+CN36/CM36-1</f>
        <v>-0.28162671736894285</v>
      </c>
      <c r="CO39" s="39">
        <f t="shared" ref="CO39" si="326">+CO36/CN36-1</f>
        <v>-0.12770574976964166</v>
      </c>
      <c r="CP39" s="39">
        <f t="shared" ref="CP39" si="327">+CP36/CO36-1</f>
        <v>0.58376846654918602</v>
      </c>
      <c r="CQ39" s="39">
        <f t="shared" ref="CQ39" si="328">+CQ36/CP36-1</f>
        <v>0.16487919278615237</v>
      </c>
      <c r="CR39" s="39">
        <f t="shared" ref="CR39" si="329">+CR36/CQ36-1</f>
        <v>-0.28734828668457513</v>
      </c>
      <c r="CS39" s="39">
        <f t="shared" ref="CS39" si="330">+CS36/CR36-1</f>
        <v>-0.12214387005134253</v>
      </c>
      <c r="CT39" s="39">
        <f t="shared" ref="CT39" si="331">+CT36/CS36-1</f>
        <v>0.46928166568371799</v>
      </c>
      <c r="CU39" s="39">
        <f t="shared" ref="CU39" si="332">+CU36/CT36-1</f>
        <v>0.16722406921268518</v>
      </c>
      <c r="CV39" s="39">
        <f t="shared" ref="CV39" si="333">+CV36/CU36-1</f>
        <v>-0.28608385185144913</v>
      </c>
      <c r="CW39" s="39">
        <f t="shared" ref="CW39" si="334">+CW36/CV36-1</f>
        <v>-0.11953398779068736</v>
      </c>
      <c r="CX39" s="39">
        <f t="shared" ref="CX39" si="335">+CX36/CW36-1</f>
        <v>0.63146383723956689</v>
      </c>
      <c r="CY39" s="39">
        <f t="shared" ref="CY39" si="336">+CY36/CX36-1</f>
        <v>0.1691958442904955</v>
      </c>
      <c r="CZ39" s="39">
        <f t="shared" ref="CZ39" si="337">+CZ36/CY36-1</f>
        <v>-0.28454366907343021</v>
      </c>
      <c r="DA39" s="39">
        <f t="shared" ref="DA39" si="338">+DA36/CZ36-1</f>
        <v>-0.11678139686272893</v>
      </c>
      <c r="DB39"/>
      <c r="DD39" s="121"/>
    </row>
    <row r="40" spans="1:108" s="22" customFormat="1" outlineLevel="1" x14ac:dyDescent="0.25">
      <c r="A40" s="22" t="s">
        <v>7</v>
      </c>
      <c r="B40" s="22">
        <f>'Annual Raw'!C13</f>
        <v>0</v>
      </c>
      <c r="C40" s="22">
        <f>'Annual Raw'!D13</f>
        <v>0</v>
      </c>
      <c r="D40" s="22">
        <f>'Annual Raw'!E13</f>
        <v>0</v>
      </c>
      <c r="E40" s="22">
        <f>'Annual Raw'!F13</f>
        <v>0</v>
      </c>
      <c r="F40" s="22">
        <f>'Annual Raw'!G13</f>
        <v>16.275856999999998</v>
      </c>
      <c r="G40" s="22">
        <f>'Annual Raw'!H13</f>
        <v>17.007646000000001</v>
      </c>
      <c r="H40" s="22">
        <f>'Annual Raw'!I13</f>
        <v>15.3166622</v>
      </c>
      <c r="I40" s="22">
        <f>'Annual Raw'!J13</f>
        <v>14.8364698</v>
      </c>
      <c r="J40" s="22">
        <f>'Annual Raw'!K13</f>
        <v>21.461026</v>
      </c>
      <c r="K40" s="22">
        <f>'Annual Raw'!L13</f>
        <v>30.7346459</v>
      </c>
      <c r="L40" s="22">
        <f>'Annual Raw'!M13</f>
        <v>40.687784000000001</v>
      </c>
      <c r="M40" s="22">
        <f>'Annual Raw'!N13</f>
        <v>43.405999999999999</v>
      </c>
      <c r="N40" s="22">
        <f>'Annual Raw'!O13</f>
        <v>83.534999999999997</v>
      </c>
      <c r="O40" s="22">
        <f>'Annual Raw'!P13</f>
        <v>100.92400000000001</v>
      </c>
      <c r="P40" s="22">
        <f>'Annual Raw'!Q13</f>
        <v>113.623</v>
      </c>
      <c r="Q40" s="22">
        <f>'Annual Raw'!R13</f>
        <v>131.15299999999999</v>
      </c>
      <c r="R40" s="22">
        <f>'Annual Raw'!S13</f>
        <v>156.215</v>
      </c>
      <c r="S40" s="22">
        <f>'Annual Raw'!T13</f>
        <v>160.03800000000001</v>
      </c>
      <c r="T40" s="22">
        <f>'Annual Raw'!U13</f>
        <v>194.79599999999999</v>
      </c>
      <c r="U40" s="22">
        <f>'Annual Raw'!V13</f>
        <v>279.06200000000001</v>
      </c>
      <c r="V40" s="22">
        <f>'Annual Raw'!W13</f>
        <v>267</v>
      </c>
      <c r="W40" s="22">
        <f>'Annual Raw'!X13</f>
        <v>329.92500000000001</v>
      </c>
      <c r="X40" s="22">
        <f>'Annual Raw'!Y13</f>
        <v>479.22</v>
      </c>
      <c r="Y40" s="22">
        <f>'Annual Raw'!Z13</f>
        <v>550.28499999999997</v>
      </c>
      <c r="Z40" s="22">
        <f>'Annual Raw'!AA13</f>
        <v>629.50800000000004</v>
      </c>
      <c r="AA40" s="75">
        <f t="shared" ref="AA40:AA45" si="339">SUM(CH40:CK40)</f>
        <v>0</v>
      </c>
      <c r="AB40" s="75">
        <f t="shared" ref="AB40:AB45" si="340">+SUM(CL40:CO40)</f>
        <v>0</v>
      </c>
      <c r="AC40" s="75">
        <f t="shared" ref="AC40:AC45" si="341">+SUM(CP40:CS40)</f>
        <v>0</v>
      </c>
      <c r="AD40" s="75">
        <f t="shared" ref="AD40:AD45" si="342">+SUM(CT40:CW40)</f>
        <v>0</v>
      </c>
      <c r="AE40" s="75">
        <f t="shared" ref="AE40:AE45" si="343">+SUM(CX40:DA40)</f>
        <v>0</v>
      </c>
      <c r="AI40" s="22">
        <f>'QTR Raw'!C15</f>
        <v>0</v>
      </c>
      <c r="AJ40" s="22">
        <f>'QTR Raw'!D15</f>
        <v>0</v>
      </c>
      <c r="AK40" s="22">
        <f>'QTR Raw'!E15</f>
        <v>0</v>
      </c>
      <c r="AL40" s="22">
        <f>'QTR Raw'!F15</f>
        <v>0</v>
      </c>
      <c r="AM40" s="22">
        <f>'QTR Raw'!G15</f>
        <v>0</v>
      </c>
      <c r="AN40" s="22">
        <f>'QTR Raw'!H15</f>
        <v>0</v>
      </c>
      <c r="AO40" s="22">
        <f>'QTR Raw'!I15</f>
        <v>0</v>
      </c>
      <c r="AP40" s="22">
        <f>'QTR Raw'!J15</f>
        <v>0</v>
      </c>
      <c r="AQ40" s="22">
        <f>'QTR Raw'!K15</f>
        <v>0</v>
      </c>
      <c r="AR40" s="22">
        <f>'QTR Raw'!L15</f>
        <v>0</v>
      </c>
      <c r="AS40" s="22">
        <f>'QTR Raw'!M15</f>
        <v>0</v>
      </c>
      <c r="AT40" s="22">
        <f>'QTR Raw'!N15</f>
        <v>0</v>
      </c>
      <c r="AU40" s="22">
        <f>'QTR Raw'!O15</f>
        <v>0</v>
      </c>
      <c r="AV40" s="22">
        <f>'QTR Raw'!P15</f>
        <v>0</v>
      </c>
      <c r="AW40" s="22">
        <f>'QTR Raw'!Q15</f>
        <v>0</v>
      </c>
      <c r="AX40" s="22">
        <f>'QTR Raw'!R15</f>
        <v>0</v>
      </c>
      <c r="AY40" s="22">
        <f>'QTR Raw'!S15</f>
        <v>0</v>
      </c>
      <c r="AZ40" s="22">
        <f>'QTR Raw'!T15</f>
        <v>0</v>
      </c>
      <c r="BA40" s="22">
        <f>'QTR Raw'!U15</f>
        <v>0</v>
      </c>
      <c r="BB40" s="22">
        <f>'QTR Raw'!V15</f>
        <v>0</v>
      </c>
      <c r="BC40" s="22">
        <f>'QTR Raw'!W15</f>
        <v>0</v>
      </c>
      <c r="BD40" s="22">
        <f>'QTR Raw'!X15</f>
        <v>0</v>
      </c>
      <c r="BE40" s="22">
        <f>'QTR Raw'!Y15</f>
        <v>0</v>
      </c>
      <c r="BF40" s="22">
        <f>'QTR Raw'!Z15</f>
        <v>0</v>
      </c>
      <c r="BG40" s="22">
        <f>'QTR Raw'!AA15</f>
        <v>0</v>
      </c>
      <c r="BH40" s="22">
        <f>'QTR Raw'!AB15</f>
        <v>0</v>
      </c>
      <c r="BI40" s="22">
        <f>'QTR Raw'!AC15</f>
        <v>0</v>
      </c>
      <c r="BJ40" s="22">
        <f>'QTR Raw'!AD15</f>
        <v>0</v>
      </c>
      <c r="BK40" s="22">
        <f>'QTR Raw'!AE15</f>
        <v>0</v>
      </c>
      <c r="BL40" s="22">
        <f>'QTR Raw'!AF15</f>
        <v>0</v>
      </c>
      <c r="BM40" s="22">
        <f>'QTR Raw'!AG15</f>
        <v>0</v>
      </c>
      <c r="BN40" s="22">
        <f>'QTR Raw'!AH15</f>
        <v>0</v>
      </c>
      <c r="BO40" s="22">
        <f>'QTR Raw'!AI15</f>
        <v>0</v>
      </c>
      <c r="BP40" s="22">
        <f>'QTR Raw'!AJ15</f>
        <v>0</v>
      </c>
      <c r="BQ40" s="22">
        <f>'QTR Raw'!AK15</f>
        <v>0</v>
      </c>
      <c r="BR40" s="22">
        <f>'QTR Raw'!AL15</f>
        <v>0</v>
      </c>
      <c r="BS40" s="22">
        <f>'QTR Raw'!AM15</f>
        <v>0</v>
      </c>
      <c r="BT40" s="22">
        <f>'QTR Raw'!AN15</f>
        <v>0</v>
      </c>
      <c r="BU40" s="22">
        <f>'QTR Raw'!AO15</f>
        <v>0</v>
      </c>
      <c r="BV40" s="22">
        <f>'QTR Raw'!AP15</f>
        <v>0</v>
      </c>
      <c r="BW40" s="22">
        <f>'QTR Raw'!AQ15</f>
        <v>0</v>
      </c>
      <c r="BX40" s="22">
        <f>'QTR Raw'!AR15</f>
        <v>0</v>
      </c>
      <c r="BY40" s="22">
        <f>'QTR Raw'!AS15</f>
        <v>0</v>
      </c>
      <c r="BZ40" s="22">
        <f>'QTR Raw'!AT15</f>
        <v>0</v>
      </c>
      <c r="CA40" s="22">
        <f>'QTR Raw'!AU15</f>
        <v>0</v>
      </c>
      <c r="CB40" s="22">
        <f>'QTR Raw'!AV15</f>
        <v>0</v>
      </c>
      <c r="CC40" s="22">
        <f>'QTR Raw'!AW15</f>
        <v>0</v>
      </c>
      <c r="CD40" s="22">
        <f>'QTR Raw'!AX15</f>
        <v>0</v>
      </c>
      <c r="CE40" s="22">
        <f>'QTR Raw'!AY15</f>
        <v>0</v>
      </c>
      <c r="CF40" s="22">
        <f>'QTR Raw'!AZ15</f>
        <v>0</v>
      </c>
      <c r="CG40" s="22">
        <f>'QTR Raw'!BA15</f>
        <v>0</v>
      </c>
      <c r="CH40" s="22">
        <f>'QTR Raw'!BB15</f>
        <v>0</v>
      </c>
      <c r="CI40" s="22">
        <f>'QTR Raw'!BC15</f>
        <v>0</v>
      </c>
      <c r="CJ40" s="22">
        <f>'QTR Raw'!BD15</f>
        <v>0</v>
      </c>
      <c r="CK40" s="22">
        <f>'QTR Raw'!BE15</f>
        <v>0</v>
      </c>
      <c r="CL40" s="22">
        <f>'QTR Raw'!BF15</f>
        <v>0</v>
      </c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/>
      <c r="DD40" s="122"/>
    </row>
    <row r="41" spans="1:108" s="22" customFormat="1" outlineLevel="1" x14ac:dyDescent="0.25">
      <c r="A41" s="22" t="s">
        <v>11</v>
      </c>
      <c r="B41" s="22">
        <f>('Annual Raw'!C18)</f>
        <v>0</v>
      </c>
      <c r="C41" s="22">
        <f>('Annual Raw'!D18)</f>
        <v>0</v>
      </c>
      <c r="D41" s="22">
        <f>('Annual Raw'!E18)</f>
        <v>0</v>
      </c>
      <c r="E41" s="22">
        <f>('Annual Raw'!F18)</f>
        <v>0</v>
      </c>
      <c r="F41" s="22">
        <f>('Annual Raw'!G18)</f>
        <v>2.9303384000000001</v>
      </c>
      <c r="G41" s="22">
        <f>('Annual Raw'!H18)</f>
        <v>4.3703567000000003</v>
      </c>
      <c r="H41" s="22">
        <f>('Annual Raw'!I18)</f>
        <v>2.9705898999999998</v>
      </c>
      <c r="I41" s="22">
        <f>('Annual Raw'!J18)</f>
        <v>4.6175069000000004</v>
      </c>
      <c r="J41" s="22">
        <f>('Annual Raw'!K18)</f>
        <v>8.7109044000000004</v>
      </c>
      <c r="K41" s="22">
        <f>('Annual Raw'!L18)</f>
        <v>12.277279</v>
      </c>
      <c r="L41" s="22">
        <f>('Annual Raw'!M18)</f>
        <v>14.6565458</v>
      </c>
      <c r="M41" s="22">
        <f>('Annual Raw'!N18)</f>
        <v>46.122</v>
      </c>
      <c r="N41" s="22">
        <f>('Annual Raw'!O18)</f>
        <v>46.106999999999999</v>
      </c>
      <c r="O41" s="22">
        <f>('Annual Raw'!P18)</f>
        <v>49.923000000000002</v>
      </c>
      <c r="P41" s="22">
        <f>('Annual Raw'!Q18)</f>
        <v>59.905000000000001</v>
      </c>
      <c r="Q41" s="22">
        <f>('Annual Raw'!R18)</f>
        <v>82.358999999999995</v>
      </c>
      <c r="R41" s="22">
        <f>('Annual Raw'!S18)</f>
        <v>111.35899999999999</v>
      </c>
      <c r="S41" s="22">
        <f>('Annual Raw'!T18)</f>
        <v>115.279</v>
      </c>
      <c r="T41" s="22">
        <f>('Annual Raw'!U18)</f>
        <v>153.64400000000001</v>
      </c>
      <c r="U41" s="22">
        <f>('Annual Raw'!V18)</f>
        <v>167.506</v>
      </c>
      <c r="V41" s="22">
        <f>('Annual Raw'!W18)</f>
        <v>157.35900000000001</v>
      </c>
      <c r="W41" s="22">
        <f>('Annual Raw'!X18)</f>
        <v>316.31799999999998</v>
      </c>
      <c r="X41" s="22">
        <f>('Annual Raw'!Y18)</f>
        <v>417.995</v>
      </c>
      <c r="Y41" s="22">
        <f>('Annual Raw'!Z18)</f>
        <v>509.54899999999998</v>
      </c>
      <c r="Z41" s="22">
        <f>('Annual Raw'!AA18)</f>
        <v>669.55200000000002</v>
      </c>
      <c r="AA41" s="75">
        <f t="shared" si="339"/>
        <v>0</v>
      </c>
      <c r="AB41" s="75">
        <f t="shared" si="340"/>
        <v>0</v>
      </c>
      <c r="AC41" s="75">
        <f t="shared" si="341"/>
        <v>0</v>
      </c>
      <c r="AD41" s="75">
        <f t="shared" si="342"/>
        <v>0</v>
      </c>
      <c r="AE41" s="75">
        <f t="shared" si="343"/>
        <v>0</v>
      </c>
      <c r="AI41" s="22">
        <f>'QTR Raw'!C18</f>
        <v>0</v>
      </c>
      <c r="AJ41" s="22">
        <f>'QTR Raw'!D18</f>
        <v>0</v>
      </c>
      <c r="AK41" s="22">
        <f>'QTR Raw'!E18</f>
        <v>0</v>
      </c>
      <c r="AL41" s="22">
        <f>'QTR Raw'!F18</f>
        <v>0</v>
      </c>
      <c r="AM41" s="22">
        <f>'QTR Raw'!G18</f>
        <v>0</v>
      </c>
      <c r="AN41" s="22">
        <f>'QTR Raw'!H18</f>
        <v>0</v>
      </c>
      <c r="AO41" s="22">
        <f>'QTR Raw'!I18</f>
        <v>0</v>
      </c>
      <c r="AP41" s="22">
        <f>'QTR Raw'!J18</f>
        <v>0</v>
      </c>
      <c r="AQ41" s="22">
        <f>'QTR Raw'!K18</f>
        <v>0</v>
      </c>
      <c r="AR41" s="22">
        <f>'QTR Raw'!L18</f>
        <v>0</v>
      </c>
      <c r="AS41" s="22">
        <f>'QTR Raw'!M18</f>
        <v>0</v>
      </c>
      <c r="AT41" s="22">
        <f>'QTR Raw'!N18</f>
        <v>0</v>
      </c>
      <c r="AU41" s="22">
        <f>'QTR Raw'!O18</f>
        <v>0</v>
      </c>
      <c r="AV41" s="22">
        <f>'QTR Raw'!P18</f>
        <v>0</v>
      </c>
      <c r="AW41" s="22">
        <f>'QTR Raw'!Q18</f>
        <v>0</v>
      </c>
      <c r="AX41" s="22">
        <f>'QTR Raw'!R18</f>
        <v>0</v>
      </c>
      <c r="AY41" s="22">
        <f>'QTR Raw'!S18</f>
        <v>0</v>
      </c>
      <c r="AZ41" s="22">
        <f>'QTR Raw'!T18</f>
        <v>0</v>
      </c>
      <c r="BA41" s="22">
        <f>'QTR Raw'!U18</f>
        <v>0</v>
      </c>
      <c r="BB41" s="22">
        <f>'QTR Raw'!V18</f>
        <v>0</v>
      </c>
      <c r="BC41" s="22">
        <f>'QTR Raw'!W18</f>
        <v>0</v>
      </c>
      <c r="BD41" s="22">
        <f>'QTR Raw'!X18</f>
        <v>0</v>
      </c>
      <c r="BE41" s="22">
        <f>'QTR Raw'!Y18</f>
        <v>0</v>
      </c>
      <c r="BF41" s="22">
        <f>'QTR Raw'!Z18</f>
        <v>0</v>
      </c>
      <c r="BG41" s="22">
        <f>'QTR Raw'!AA18</f>
        <v>0</v>
      </c>
      <c r="BH41" s="22">
        <f>'QTR Raw'!AB18</f>
        <v>0</v>
      </c>
      <c r="BI41" s="22">
        <f>'QTR Raw'!AC18</f>
        <v>0</v>
      </c>
      <c r="BJ41" s="22">
        <f>'QTR Raw'!AD18</f>
        <v>0</v>
      </c>
      <c r="BK41" s="22">
        <f>'QTR Raw'!AE18</f>
        <v>0</v>
      </c>
      <c r="BL41" s="22">
        <f>'QTR Raw'!AF18</f>
        <v>0</v>
      </c>
      <c r="BM41" s="22">
        <f>'QTR Raw'!AG18</f>
        <v>0</v>
      </c>
      <c r="BN41" s="22">
        <f>'QTR Raw'!AH18</f>
        <v>0</v>
      </c>
      <c r="BO41" s="22">
        <f>'QTR Raw'!AI18</f>
        <v>0</v>
      </c>
      <c r="BP41" s="22">
        <f>'QTR Raw'!AJ18</f>
        <v>0</v>
      </c>
      <c r="BQ41" s="22">
        <f>'QTR Raw'!AK18</f>
        <v>0</v>
      </c>
      <c r="BR41" s="22">
        <f>'QTR Raw'!AL18</f>
        <v>0</v>
      </c>
      <c r="BS41" s="22">
        <f>'QTR Raw'!AM18</f>
        <v>0</v>
      </c>
      <c r="BT41" s="22">
        <f>'QTR Raw'!AN18</f>
        <v>0</v>
      </c>
      <c r="BU41" s="22">
        <f>'QTR Raw'!AO18</f>
        <v>0</v>
      </c>
      <c r="BV41" s="22">
        <f>'QTR Raw'!AP18</f>
        <v>0</v>
      </c>
      <c r="BW41" s="22">
        <f>'QTR Raw'!AQ18</f>
        <v>0</v>
      </c>
      <c r="BX41" s="22">
        <f>'QTR Raw'!AR18</f>
        <v>0</v>
      </c>
      <c r="BY41" s="22">
        <f>'QTR Raw'!AS18</f>
        <v>0</v>
      </c>
      <c r="BZ41" s="22">
        <f>'QTR Raw'!AT18</f>
        <v>0</v>
      </c>
      <c r="CA41" s="22">
        <f>'QTR Raw'!AU18</f>
        <v>0</v>
      </c>
      <c r="CB41" s="22">
        <f>'QTR Raw'!AV18</f>
        <v>0</v>
      </c>
      <c r="CC41" s="22">
        <f>'QTR Raw'!AW18</f>
        <v>0</v>
      </c>
      <c r="CD41" s="22">
        <f>'QTR Raw'!AX18</f>
        <v>0</v>
      </c>
      <c r="CE41" s="22">
        <f>'QTR Raw'!AY18</f>
        <v>0</v>
      </c>
      <c r="CF41" s="22">
        <f>'QTR Raw'!AZ18</f>
        <v>0</v>
      </c>
      <c r="CG41" s="22">
        <f>'QTR Raw'!BA18</f>
        <v>0</v>
      </c>
      <c r="CH41" s="22">
        <f>'QTR Raw'!BB18</f>
        <v>0</v>
      </c>
      <c r="CI41" s="22">
        <f>'QTR Raw'!BC18</f>
        <v>0</v>
      </c>
      <c r="CJ41" s="22">
        <f>'QTR Raw'!BD18</f>
        <v>0</v>
      </c>
      <c r="CK41" s="22">
        <f>'QTR Raw'!BE18</f>
        <v>0</v>
      </c>
      <c r="CL41" s="22">
        <f>'QTR Raw'!BF18</f>
        <v>0</v>
      </c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/>
      <c r="DD41" s="122"/>
    </row>
    <row r="42" spans="1:108" s="22" customFormat="1" outlineLevel="1" x14ac:dyDescent="0.25">
      <c r="A42" s="22" t="s">
        <v>9</v>
      </c>
      <c r="B42" s="22">
        <f>'Annual Raw'!C15+'Annual Raw'!C16</f>
        <v>0</v>
      </c>
      <c r="C42" s="22">
        <f>'Annual Raw'!D15+'Annual Raw'!D16</f>
        <v>0</v>
      </c>
      <c r="D42" s="22">
        <f>'Annual Raw'!E15+'Annual Raw'!E16</f>
        <v>0</v>
      </c>
      <c r="E42" s="22">
        <f>'Annual Raw'!F15+'Annual Raw'!F16</f>
        <v>0</v>
      </c>
      <c r="F42" s="22">
        <f>'Annual Raw'!G15+'Annual Raw'!G16</f>
        <v>41.620309300000002</v>
      </c>
      <c r="G42" s="22">
        <f>'Annual Raw'!H15+'Annual Raw'!H16</f>
        <v>43.679927900000003</v>
      </c>
      <c r="H42" s="22">
        <f>'Annual Raw'!I15+'Annual Raw'!I16</f>
        <v>46.400612299999999</v>
      </c>
      <c r="I42" s="22">
        <f>'Annual Raw'!J15+'Annual Raw'!J16</f>
        <v>51.546875499999999</v>
      </c>
      <c r="J42" s="22">
        <f>'Annual Raw'!K15+'Annual Raw'!K16</f>
        <v>57.9513715</v>
      </c>
      <c r="K42" s="22">
        <f>'Annual Raw'!L15+'Annual Raw'!L16</f>
        <v>92.905751499999994</v>
      </c>
      <c r="L42" s="22">
        <f>'Annual Raw'!M15+'Annual Raw'!M16</f>
        <v>96.008182399999995</v>
      </c>
      <c r="M42" s="22">
        <f>'Annual Raw'!N15+'Annual Raw'!N16</f>
        <v>96.820999999999998</v>
      </c>
      <c r="N42" s="22">
        <f>'Annual Raw'!O15+'Annual Raw'!O16</f>
        <v>194.21700000000001</v>
      </c>
      <c r="O42" s="22">
        <f>'Annual Raw'!P15+'Annual Raw'!P16</f>
        <v>217.51499999999999</v>
      </c>
      <c r="P42" s="22">
        <f>'Annual Raw'!Q15+'Annual Raw'!Q16</f>
        <v>266.54500000000002</v>
      </c>
      <c r="Q42" s="22">
        <f>'Annual Raw'!R15+'Annual Raw'!R16</f>
        <v>370.90600000000001</v>
      </c>
      <c r="R42" s="22">
        <f>'Annual Raw'!S15+'Annual Raw'!S16</f>
        <v>459.34100000000001</v>
      </c>
      <c r="S42" s="22">
        <f>'Annual Raw'!T15+'Annual Raw'!T16</f>
        <v>435.56700000000001</v>
      </c>
      <c r="T42" s="22">
        <f>'Annual Raw'!U15+'Annual Raw'!U16</f>
        <v>624.39700000000005</v>
      </c>
      <c r="U42" s="22">
        <f>'Annual Raw'!V15+'Annual Raw'!V16</f>
        <v>824.06399999999996</v>
      </c>
      <c r="V42" s="22">
        <f>'Annual Raw'!W15+'Annual Raw'!W16</f>
        <v>873.02099999999996</v>
      </c>
      <c r="W42" s="22">
        <f>'Annual Raw'!X15+'Annual Raw'!X16</f>
        <v>1074.154</v>
      </c>
      <c r="X42" s="22">
        <f>'Annual Raw'!Y15+'Annual Raw'!Y16</f>
        <v>1531.9649999999999</v>
      </c>
      <c r="Y42" s="22">
        <f>'Annual Raw'!Z15+'Annual Raw'!Z16</f>
        <v>1828.22</v>
      </c>
      <c r="Z42" s="22">
        <f>'Annual Raw'!AA15+'Annual Raw'!AA16</f>
        <v>2373.1819999999998</v>
      </c>
      <c r="AA42" s="75">
        <f t="shared" si="339"/>
        <v>4719.8379999999997</v>
      </c>
      <c r="AB42" s="75">
        <f t="shared" si="340"/>
        <v>5675.9771803292315</v>
      </c>
      <c r="AC42" s="75">
        <f t="shared" si="341"/>
        <v>6582.8343814691552</v>
      </c>
      <c r="AD42" s="75">
        <f t="shared" si="342"/>
        <v>7225.6343740960892</v>
      </c>
      <c r="AE42" s="75">
        <f t="shared" si="343"/>
        <v>9047.7934085255492</v>
      </c>
      <c r="AI42" s="22">
        <f>'QTR Raw'!C14</f>
        <v>0</v>
      </c>
      <c r="AJ42" s="22">
        <f>'QTR Raw'!D14</f>
        <v>0</v>
      </c>
      <c r="AK42" s="22">
        <f>'QTR Raw'!E14</f>
        <v>0</v>
      </c>
      <c r="AL42" s="22">
        <f>'QTR Raw'!F14</f>
        <v>0</v>
      </c>
      <c r="AM42" s="22">
        <f>'QTR Raw'!G14</f>
        <v>0</v>
      </c>
      <c r="AN42" s="22">
        <f>'QTR Raw'!H14</f>
        <v>0</v>
      </c>
      <c r="AO42" s="22">
        <f>'QTR Raw'!I14</f>
        <v>0</v>
      </c>
      <c r="AP42" s="22">
        <f>'QTR Raw'!J14</f>
        <v>0</v>
      </c>
      <c r="AQ42" s="22">
        <f>'QTR Raw'!K14</f>
        <v>0</v>
      </c>
      <c r="AR42" s="22">
        <f>'QTR Raw'!L14</f>
        <v>0</v>
      </c>
      <c r="AS42" s="22">
        <f>'QTR Raw'!M14</f>
        <v>0</v>
      </c>
      <c r="AT42" s="22">
        <f>'QTR Raw'!N14</f>
        <v>0</v>
      </c>
      <c r="AU42" s="22">
        <f>'QTR Raw'!O14</f>
        <v>0</v>
      </c>
      <c r="AV42" s="22">
        <f>'QTR Raw'!P14</f>
        <v>0</v>
      </c>
      <c r="AW42" s="22">
        <f>'QTR Raw'!Q14</f>
        <v>122.41200000000001</v>
      </c>
      <c r="AX42" s="22">
        <f>'QTR Raw'!R14</f>
        <v>230.315</v>
      </c>
      <c r="AY42" s="22">
        <f>'QTR Raw'!S14</f>
        <v>306.91800000000001</v>
      </c>
      <c r="AZ42" s="22">
        <f>'QTR Raw'!T14</f>
        <v>250.11600000000001</v>
      </c>
      <c r="BA42" s="22">
        <f>'QTR Raw'!U14</f>
        <v>129.066</v>
      </c>
      <c r="BB42" s="22">
        <f>'QTR Raw'!V14</f>
        <v>231.857</v>
      </c>
      <c r="BC42" s="22">
        <f>'QTR Raw'!W14</f>
        <v>252.82400000000001</v>
      </c>
      <c r="BD42" s="22">
        <f>'QTR Raw'!X14</f>
        <v>222.82300000000001</v>
      </c>
      <c r="BE42" s="22">
        <f>'QTR Raw'!Y14</f>
        <v>197.34399999999999</v>
      </c>
      <c r="BF42" s="22">
        <f>'QTR Raw'!Z14</f>
        <v>291.85899999999998</v>
      </c>
      <c r="BG42" s="22">
        <f>'QTR Raw'!AA14</f>
        <v>374.363</v>
      </c>
      <c r="BH42" s="22">
        <f>'QTR Raw'!AB14</f>
        <v>279.18799999999999</v>
      </c>
      <c r="BI42" s="22">
        <f>'QTR Raw'!AC14</f>
        <v>326.20800000000003</v>
      </c>
      <c r="BJ42" s="22">
        <f>'QTR Raw'!AD14</f>
        <v>383.58600000000001</v>
      </c>
      <c r="BK42" s="22">
        <f>'QTR Raw'!AE14</f>
        <v>493.89499999999998</v>
      </c>
      <c r="BL42" s="22">
        <f>'QTR Raw'!AF14</f>
        <v>437.27199999999999</v>
      </c>
      <c r="BM42" s="22">
        <f>'QTR Raw'!AG14</f>
        <v>336.92899999999997</v>
      </c>
      <c r="BN42" s="22">
        <f>'QTR Raw'!AH14</f>
        <v>484.65499999999997</v>
      </c>
      <c r="BO42" s="22">
        <f>'QTR Raw'!AI14</f>
        <v>322.11799999999999</v>
      </c>
      <c r="BP42" s="22">
        <f>'QTR Raw'!AJ14</f>
        <v>391.28399999999999</v>
      </c>
      <c r="BQ42" s="22">
        <f>'QTR Raw'!AK14</f>
        <v>396.54399999999998</v>
      </c>
      <c r="BR42" s="22">
        <f>'QTR Raw'!AL14</f>
        <v>630.673</v>
      </c>
      <c r="BS42" s="22">
        <f>'QTR Raw'!AM14</f>
        <v>497.46</v>
      </c>
      <c r="BT42" s="22">
        <f>'QTR Raw'!AN14</f>
        <v>504.94400000000002</v>
      </c>
      <c r="BU42" s="22">
        <f>'QTR Raw'!AO14</f>
        <v>493.149</v>
      </c>
      <c r="BV42" s="22">
        <f>'QTR Raw'!AP14</f>
        <v>651.23</v>
      </c>
      <c r="BW42" s="22">
        <f>'QTR Raw'!AQ14</f>
        <v>941.92200000000003</v>
      </c>
      <c r="BX42" s="22">
        <f>'QTR Raw'!AR14</f>
        <v>695.12800000000004</v>
      </c>
      <c r="BY42" s="22">
        <f>'QTR Raw'!AS14</f>
        <v>618.95899999999995</v>
      </c>
      <c r="BZ42" s="22">
        <f>'QTR Raw'!AT14</f>
        <v>904.09900000000005</v>
      </c>
      <c r="CA42" s="22">
        <f>'QTR Raw'!AU14</f>
        <v>1069.2049999999999</v>
      </c>
      <c r="CB42" s="22">
        <f>'QTR Raw'!AV14</f>
        <v>887.11900000000003</v>
      </c>
      <c r="CC42" s="22">
        <f>'QTR Raw'!AW14</f>
        <v>721.19799999999998</v>
      </c>
      <c r="CD42" s="22">
        <f>'QTR Raw'!AX14</f>
        <v>1047.3309999999999</v>
      </c>
      <c r="CE42" s="22">
        <f>'QTR Raw'!AY14</f>
        <v>1445.7750000000001</v>
      </c>
      <c r="CF42" s="22">
        <f>'QTR Raw'!AZ14</f>
        <v>1004.127</v>
      </c>
      <c r="CG42" s="22">
        <f>'QTR Raw'!BA14</f>
        <v>1009.596</v>
      </c>
      <c r="CH42" s="22">
        <f>'QTR Raw'!BB14</f>
        <v>1262.4059999999999</v>
      </c>
      <c r="CI42" s="22">
        <f>'QTR Raw'!BC14</f>
        <v>1277.838</v>
      </c>
      <c r="CJ42" s="22">
        <f>'QTR Raw'!BD14</f>
        <v>1076.7460000000001</v>
      </c>
      <c r="CK42" s="22">
        <f>'QTR Raw'!BE14</f>
        <v>1102.848</v>
      </c>
      <c r="CL42" s="22">
        <f>'QTR Raw'!BF14</f>
        <v>1480.345</v>
      </c>
      <c r="CM42" s="23">
        <f t="shared" ref="CM42:DA42" si="344">CM46-CM43</f>
        <v>1911.219448767449</v>
      </c>
      <c r="CN42" s="23">
        <f t="shared" si="344"/>
        <v>1275.2654749753617</v>
      </c>
      <c r="CO42" s="23">
        <f t="shared" si="344"/>
        <v>1009.1472565864206</v>
      </c>
      <c r="CP42" s="23">
        <f t="shared" si="344"/>
        <v>1798.5928648417009</v>
      </c>
      <c r="CQ42" s="23">
        <f t="shared" si="344"/>
        <v>2227.5500218093657</v>
      </c>
      <c r="CR42" s="23">
        <f t="shared" si="344"/>
        <v>1396.8070452353786</v>
      </c>
      <c r="CS42" s="23">
        <f t="shared" si="344"/>
        <v>1159.8844495827097</v>
      </c>
      <c r="CT42" s="23">
        <f t="shared" si="344"/>
        <v>1960.0268256030095</v>
      </c>
      <c r="CU42" s="23">
        <f t="shared" si="344"/>
        <v>2451.9316420068672</v>
      </c>
      <c r="CV42" s="23">
        <f t="shared" si="344"/>
        <v>1564.1982249095017</v>
      </c>
      <c r="CW42" s="23">
        <f t="shared" si="344"/>
        <v>1249.4776815767109</v>
      </c>
      <c r="CX42" s="23">
        <f t="shared" si="344"/>
        <v>2449.0066448335283</v>
      </c>
      <c r="CY42" s="23">
        <f t="shared" si="344"/>
        <v>3033.6228859344938</v>
      </c>
      <c r="CZ42" s="23">
        <f t="shared" si="344"/>
        <v>1961.8388223403385</v>
      </c>
      <c r="DA42" s="23">
        <f t="shared" si="344"/>
        <v>1603.3250554171877</v>
      </c>
      <c r="DB42"/>
      <c r="DD42" s="122"/>
    </row>
    <row r="43" spans="1:108" s="22" customFormat="1" outlineLevel="1" x14ac:dyDescent="0.25">
      <c r="A43" s="22" t="s">
        <v>8</v>
      </c>
      <c r="B43" s="22">
        <f>'Annual Raw'!C14</f>
        <v>0</v>
      </c>
      <c r="C43" s="22">
        <f>'Annual Raw'!D14</f>
        <v>0</v>
      </c>
      <c r="D43" s="22">
        <f>'Annual Raw'!E14</f>
        <v>0</v>
      </c>
      <c r="E43" s="22">
        <f>'Annual Raw'!F14</f>
        <v>0</v>
      </c>
      <c r="F43" s="22">
        <f>'Annual Raw'!G14</f>
        <v>15.354205800000001</v>
      </c>
      <c r="G43" s="22">
        <f>'Annual Raw'!H14</f>
        <v>18.509316800000001</v>
      </c>
      <c r="H43" s="22">
        <f>'Annual Raw'!I14</f>
        <v>20.416253600000001</v>
      </c>
      <c r="I43" s="22">
        <f>'Annual Raw'!J14</f>
        <v>21.135453399999999</v>
      </c>
      <c r="J43" s="22">
        <f>'Annual Raw'!K14</f>
        <v>28.809941200000001</v>
      </c>
      <c r="K43" s="22">
        <f>'Annual Raw'!L14</f>
        <v>47.908134400000002</v>
      </c>
      <c r="L43" s="22">
        <f>'Annual Raw'!M14</f>
        <v>60.118574500000001</v>
      </c>
      <c r="M43" s="22">
        <f>'Annual Raw'!N14</f>
        <v>73.149000000000001</v>
      </c>
      <c r="N43" s="22">
        <f>'Annual Raw'!O14</f>
        <v>152.42400000000001</v>
      </c>
      <c r="O43" s="22">
        <f>'Annual Raw'!P14</f>
        <v>182.99100000000001</v>
      </c>
      <c r="P43" s="22">
        <f>'Annual Raw'!Q14</f>
        <v>216.79900000000001</v>
      </c>
      <c r="Q43" s="22">
        <f>'Annual Raw'!R14</f>
        <v>323.75099999999998</v>
      </c>
      <c r="R43" s="22">
        <f>'Annual Raw'!S14</f>
        <v>421.03</v>
      </c>
      <c r="S43" s="22">
        <f>'Annual Raw'!T14</f>
        <v>462.84399999999999</v>
      </c>
      <c r="T43" s="22">
        <f>'Annual Raw'!U14</f>
        <v>582.95100000000002</v>
      </c>
      <c r="U43" s="22">
        <f>'Annual Raw'!V14</f>
        <v>810.81500000000005</v>
      </c>
      <c r="V43" s="22">
        <f>'Annual Raw'!W14</f>
        <v>889.73599999999999</v>
      </c>
      <c r="W43" s="22">
        <f>'Annual Raw'!X14</f>
        <v>1007.699</v>
      </c>
      <c r="X43" s="22">
        <f>'Annual Raw'!Y14</f>
        <v>1216.6420000000001</v>
      </c>
      <c r="Y43" s="22">
        <f>'Annual Raw'!Z14</f>
        <v>1446.587</v>
      </c>
      <c r="Z43" s="22">
        <f>'Annual Raw'!AA14</f>
        <v>1885.0260000000001</v>
      </c>
      <c r="AA43" s="75">
        <f t="shared" si="339"/>
        <v>2200.7429999999999</v>
      </c>
      <c r="AB43" s="75">
        <f t="shared" si="340"/>
        <v>2426.7608700000001</v>
      </c>
      <c r="AC43" s="75">
        <f t="shared" si="341"/>
        <v>2596.6341308999999</v>
      </c>
      <c r="AD43" s="75">
        <f t="shared" si="342"/>
        <v>2778.3985200630004</v>
      </c>
      <c r="AE43" s="75">
        <f t="shared" si="343"/>
        <v>2972.8864164674105</v>
      </c>
      <c r="AI43" s="22">
        <f>'QTR Raw'!C16</f>
        <v>0</v>
      </c>
      <c r="AJ43" s="22">
        <f>'QTR Raw'!D16</f>
        <v>0</v>
      </c>
      <c r="AK43" s="22">
        <f>'QTR Raw'!E16</f>
        <v>0</v>
      </c>
      <c r="AL43" s="22">
        <f>'QTR Raw'!F16</f>
        <v>0</v>
      </c>
      <c r="AM43" s="22">
        <f>'QTR Raw'!G16</f>
        <v>0</v>
      </c>
      <c r="AN43" s="22">
        <f>'QTR Raw'!H16</f>
        <v>0</v>
      </c>
      <c r="AO43" s="22">
        <f>'QTR Raw'!I16</f>
        <v>0</v>
      </c>
      <c r="AP43" s="22">
        <f>'QTR Raw'!J16</f>
        <v>0</v>
      </c>
      <c r="AQ43" s="22">
        <f>'QTR Raw'!K16</f>
        <v>0</v>
      </c>
      <c r="AR43" s="22">
        <f>'QTR Raw'!L16</f>
        <v>0</v>
      </c>
      <c r="AS43" s="22">
        <f>'QTR Raw'!M16</f>
        <v>0</v>
      </c>
      <c r="AT43" s="22">
        <f>'QTR Raw'!N16</f>
        <v>0</v>
      </c>
      <c r="AU43" s="22">
        <f>'QTR Raw'!O16</f>
        <v>0</v>
      </c>
      <c r="AV43" s="22">
        <f>'QTR Raw'!P16</f>
        <v>0</v>
      </c>
      <c r="AW43" s="22">
        <f>'QTR Raw'!Q16</f>
        <v>82.35</v>
      </c>
      <c r="AX43" s="22">
        <f>'QTR Raw'!R16</f>
        <v>97.227999999999994</v>
      </c>
      <c r="AY43" s="22">
        <f>'QTR Raw'!S16</f>
        <v>112.04600000000001</v>
      </c>
      <c r="AZ43" s="22">
        <f>'QTR Raw'!T16</f>
        <v>108.259</v>
      </c>
      <c r="BA43" s="22">
        <f>'QTR Raw'!U16</f>
        <v>103.497</v>
      </c>
      <c r="BB43" s="22">
        <f>'QTR Raw'!V16</f>
        <v>109.998</v>
      </c>
      <c r="BC43" s="22">
        <f>'QTR Raw'!W16</f>
        <v>117.11799999999999</v>
      </c>
      <c r="BD43" s="22">
        <f>'QTR Raw'!X16</f>
        <v>119.96</v>
      </c>
      <c r="BE43" s="22">
        <f>'QTR Raw'!Y16</f>
        <v>115.768</v>
      </c>
      <c r="BF43" s="22">
        <f>'QTR Raw'!Z16</f>
        <v>138.62100000000001</v>
      </c>
      <c r="BG43" s="22">
        <f>'QTR Raw'!AA16</f>
        <v>151.065</v>
      </c>
      <c r="BH43" s="22">
        <f>'QTR Raw'!AB16</f>
        <v>148.614</v>
      </c>
      <c r="BI43" s="22">
        <f>'QTR Raw'!AC16</f>
        <v>144.65100000000001</v>
      </c>
      <c r="BJ43" s="22">
        <f>'QTR Raw'!AD16</f>
        <v>158.364</v>
      </c>
      <c r="BK43" s="22">
        <f>'QTR Raw'!AE16</f>
        <v>199.16399999999999</v>
      </c>
      <c r="BL43" s="22">
        <f>'QTR Raw'!AF16</f>
        <v>229.648</v>
      </c>
      <c r="BM43" s="22">
        <f>'QTR Raw'!AG16</f>
        <v>223.63900000000001</v>
      </c>
      <c r="BN43" s="22">
        <f>'QTR Raw'!AH16</f>
        <v>229.14500000000001</v>
      </c>
      <c r="BO43" s="22">
        <f>'QTR Raw'!AI16</f>
        <v>199.291</v>
      </c>
      <c r="BP43" s="22">
        <f>'QTR Raw'!AJ16</f>
        <v>229.56700000000001</v>
      </c>
      <c r="BQ43" s="22">
        <f>'QTR Raw'!AK16</f>
        <v>231.733</v>
      </c>
      <c r="BR43" s="22">
        <f>'QTR Raw'!AL16</f>
        <v>238.435</v>
      </c>
      <c r="BS43" s="22">
        <f>'QTR Raw'!AM16</f>
        <v>243.24799999999999</v>
      </c>
      <c r="BT43" s="22">
        <f>'QTR Raw'!AN16</f>
        <v>266.20800000000003</v>
      </c>
      <c r="BU43" s="22">
        <f>'QTR Raw'!AO16</f>
        <v>259.80799999999999</v>
      </c>
      <c r="BV43" s="22">
        <f>'QTR Raw'!AP16</f>
        <v>275.06299999999999</v>
      </c>
      <c r="BW43" s="22">
        <f>'QTR Raw'!AQ16</f>
        <v>310.43700000000001</v>
      </c>
      <c r="BX43" s="22">
        <f>'QTR Raw'!AR16</f>
        <v>311.20800000000003</v>
      </c>
      <c r="BY43" s="22">
        <f>'QTR Raw'!AS16</f>
        <v>319.93400000000003</v>
      </c>
      <c r="BZ43" s="22">
        <f>'QTR Raw'!AT16</f>
        <v>339.12200000000001</v>
      </c>
      <c r="CA43" s="22">
        <f>'QTR Raw'!AU16</f>
        <v>364.60399999999998</v>
      </c>
      <c r="CB43" s="22">
        <f>'QTR Raw'!AV16</f>
        <v>371.55200000000002</v>
      </c>
      <c r="CC43" s="22">
        <f>'QTR Raw'!AW16</f>
        <v>371.30900000000003</v>
      </c>
      <c r="CD43" s="22">
        <f>'QTR Raw'!AX16</f>
        <v>393.67200000000003</v>
      </c>
      <c r="CE43" s="22">
        <f>'QTR Raw'!AY16</f>
        <v>499.291</v>
      </c>
      <c r="CF43" s="22">
        <f>'QTR Raw'!AZ16</f>
        <v>513.04</v>
      </c>
      <c r="CG43" s="22">
        <f>'QTR Raw'!BA16</f>
        <v>479.02300000000002</v>
      </c>
      <c r="CH43" s="22">
        <f>'QTR Raw'!BB16</f>
        <v>511.50200000000001</v>
      </c>
      <c r="CI43" s="22">
        <f>'QTR Raw'!BC16</f>
        <v>549.65800000000002</v>
      </c>
      <c r="CJ43" s="22">
        <f>'QTR Raw'!BD16</f>
        <v>553.32000000000005</v>
      </c>
      <c r="CK43" s="22">
        <f>'QTR Raw'!BE16</f>
        <v>586.26300000000003</v>
      </c>
      <c r="CL43" s="22">
        <f>'QTR Raw'!BF16</f>
        <v>619.27300000000002</v>
      </c>
      <c r="CM43" s="23">
        <f t="shared" ref="CM43:DA43" si="345">CI43*107%</f>
        <v>588.13406000000009</v>
      </c>
      <c r="CN43" s="23">
        <f t="shared" si="345"/>
        <v>592.05240000000003</v>
      </c>
      <c r="CO43" s="23">
        <f t="shared" si="345"/>
        <v>627.30141000000003</v>
      </c>
      <c r="CP43" s="23">
        <f t="shared" si="345"/>
        <v>662.62211000000002</v>
      </c>
      <c r="CQ43" s="23">
        <f t="shared" si="345"/>
        <v>629.30344420000017</v>
      </c>
      <c r="CR43" s="23">
        <f t="shared" si="345"/>
        <v>633.49606800000004</v>
      </c>
      <c r="CS43" s="23">
        <f t="shared" si="345"/>
        <v>671.21250870000006</v>
      </c>
      <c r="CT43" s="23">
        <f t="shared" si="345"/>
        <v>709.00565770000003</v>
      </c>
      <c r="CU43" s="23">
        <f t="shared" si="345"/>
        <v>673.35468529400021</v>
      </c>
      <c r="CV43" s="23">
        <f t="shared" si="345"/>
        <v>677.84079276000011</v>
      </c>
      <c r="CW43" s="23">
        <f t="shared" si="345"/>
        <v>718.19738430900009</v>
      </c>
      <c r="CX43" s="23">
        <f t="shared" si="345"/>
        <v>758.63605373900009</v>
      </c>
      <c r="CY43" s="23">
        <f t="shared" si="345"/>
        <v>720.4895132645803</v>
      </c>
      <c r="CZ43" s="23">
        <f t="shared" si="345"/>
        <v>725.2896482532002</v>
      </c>
      <c r="DA43" s="23">
        <f t="shared" si="345"/>
        <v>768.47120121063017</v>
      </c>
      <c r="DB43"/>
      <c r="DD43" s="122"/>
    </row>
    <row r="44" spans="1:108" s="22" customFormat="1" outlineLevel="1" x14ac:dyDescent="0.25">
      <c r="A44" s="22" t="s">
        <v>10</v>
      </c>
      <c r="B44" s="22">
        <f>'Annual Raw'!C17</f>
        <v>0</v>
      </c>
      <c r="C44" s="22">
        <f>'Annual Raw'!D17</f>
        <v>0</v>
      </c>
      <c r="D44" s="22">
        <f>'Annual Raw'!E17</f>
        <v>0</v>
      </c>
      <c r="E44" s="22">
        <f>'Annual Raw'!F17</f>
        <v>0</v>
      </c>
      <c r="F44" s="22">
        <f>'Annual Raw'!G17</f>
        <v>6.838419</v>
      </c>
      <c r="G44" s="22">
        <f>'Annual Raw'!H17</f>
        <v>7.6012442</v>
      </c>
      <c r="H44" s="22">
        <f>'Annual Raw'!I17</f>
        <v>12.186068799999999</v>
      </c>
      <c r="I44" s="22">
        <f>'Annual Raw'!J17</f>
        <v>13.7616496</v>
      </c>
      <c r="J44" s="22">
        <f>'Annual Raw'!K17</f>
        <v>15.662524899999999</v>
      </c>
      <c r="K44" s="22">
        <f>'Annual Raw'!L17</f>
        <v>20.7796588</v>
      </c>
      <c r="L44" s="22">
        <f>'Annual Raw'!M17</f>
        <v>37.076262100000001</v>
      </c>
      <c r="M44" s="22">
        <f>'Annual Raw'!N17</f>
        <v>34.557000000000002</v>
      </c>
      <c r="N44" s="22">
        <f>'Annual Raw'!O17</f>
        <v>57.774999999999999</v>
      </c>
      <c r="O44" s="22">
        <f>'Annual Raw'!P17</f>
        <v>63.908999999999999</v>
      </c>
      <c r="P44" s="22">
        <f>'Annual Raw'!Q17</f>
        <v>71.95</v>
      </c>
      <c r="Q44" s="22">
        <f>'Annual Raw'!R17</f>
        <v>112.584</v>
      </c>
      <c r="R44" s="22">
        <f>'Annual Raw'!S17</f>
        <v>147.72499999999999</v>
      </c>
      <c r="S44" s="22">
        <f>'Annual Raw'!T17</f>
        <v>141.12899999999999</v>
      </c>
      <c r="T44" s="22">
        <f>'Annual Raw'!U17</f>
        <v>172.744</v>
      </c>
      <c r="U44" s="22">
        <f>'Annual Raw'!V17</f>
        <v>258.911</v>
      </c>
      <c r="V44" s="22">
        <f>'Annual Raw'!W17</f>
        <v>259.81599999999997</v>
      </c>
      <c r="W44" s="22">
        <f>'Annual Raw'!X17</f>
        <v>344.48200000000003</v>
      </c>
      <c r="X44" s="22">
        <f>'Annual Raw'!Y17</f>
        <v>371.911</v>
      </c>
      <c r="Y44" s="22">
        <f>'Annual Raw'!Z17</f>
        <v>503.779</v>
      </c>
      <c r="Z44" s="22">
        <f>'Annual Raw'!AA17</f>
        <v>618.95100000000002</v>
      </c>
      <c r="AA44" s="75">
        <f t="shared" si="339"/>
        <v>0</v>
      </c>
      <c r="AB44" s="75">
        <f t="shared" si="340"/>
        <v>0</v>
      </c>
      <c r="AC44" s="75">
        <f t="shared" si="341"/>
        <v>0</v>
      </c>
      <c r="AD44" s="75">
        <f t="shared" si="342"/>
        <v>0</v>
      </c>
      <c r="AE44" s="75">
        <f t="shared" si="343"/>
        <v>0</v>
      </c>
      <c r="AI44" s="22">
        <f>'QTR Raw'!C17</f>
        <v>0</v>
      </c>
      <c r="AJ44" s="22">
        <f>'QTR Raw'!D17</f>
        <v>0</v>
      </c>
      <c r="AK44" s="22">
        <f>'QTR Raw'!E17</f>
        <v>0</v>
      </c>
      <c r="AL44" s="22">
        <f>'QTR Raw'!F17</f>
        <v>0</v>
      </c>
      <c r="AM44" s="22">
        <f>'QTR Raw'!G17</f>
        <v>0</v>
      </c>
      <c r="AN44" s="22">
        <f>'QTR Raw'!H17</f>
        <v>0</v>
      </c>
      <c r="AO44" s="22">
        <f>'QTR Raw'!I17</f>
        <v>0</v>
      </c>
      <c r="AP44" s="22">
        <f>'QTR Raw'!J17</f>
        <v>0</v>
      </c>
      <c r="AQ44" s="22">
        <f>'QTR Raw'!K17</f>
        <v>0</v>
      </c>
      <c r="AR44" s="22">
        <f>'QTR Raw'!L17</f>
        <v>0</v>
      </c>
      <c r="AS44" s="22">
        <f>'QTR Raw'!M17</f>
        <v>0</v>
      </c>
      <c r="AT44" s="22">
        <f>'QTR Raw'!N17</f>
        <v>0</v>
      </c>
      <c r="AU44" s="22">
        <f>'QTR Raw'!O17</f>
        <v>0</v>
      </c>
      <c r="AV44" s="22">
        <f>'QTR Raw'!P17</f>
        <v>0</v>
      </c>
      <c r="AW44" s="22">
        <f>'QTR Raw'!Q17</f>
        <v>0</v>
      </c>
      <c r="AX44" s="22">
        <f>'QTR Raw'!R17</f>
        <v>0</v>
      </c>
      <c r="AY44" s="22">
        <f>'QTR Raw'!S17</f>
        <v>0</v>
      </c>
      <c r="AZ44" s="22">
        <f>'QTR Raw'!T17</f>
        <v>0</v>
      </c>
      <c r="BA44" s="22">
        <f>'QTR Raw'!U17</f>
        <v>0</v>
      </c>
      <c r="BB44" s="22">
        <f>'QTR Raw'!V17</f>
        <v>0</v>
      </c>
      <c r="BC44" s="22">
        <f>'QTR Raw'!W17</f>
        <v>0</v>
      </c>
      <c r="BD44" s="22">
        <f>'QTR Raw'!X17</f>
        <v>0</v>
      </c>
      <c r="BE44" s="22">
        <f>'QTR Raw'!Y17</f>
        <v>0</v>
      </c>
      <c r="BF44" s="22">
        <f>'QTR Raw'!Z17</f>
        <v>0</v>
      </c>
      <c r="BG44" s="22">
        <f>'QTR Raw'!AA17</f>
        <v>0</v>
      </c>
      <c r="BH44" s="22">
        <f>'QTR Raw'!AB17</f>
        <v>0</v>
      </c>
      <c r="BI44" s="22">
        <f>'QTR Raw'!AC17</f>
        <v>0</v>
      </c>
      <c r="BJ44" s="22">
        <f>'QTR Raw'!AD17</f>
        <v>0</v>
      </c>
      <c r="BK44" s="22">
        <f>'QTR Raw'!AE17</f>
        <v>0</v>
      </c>
      <c r="BL44" s="22">
        <f>'QTR Raw'!AF17</f>
        <v>0</v>
      </c>
      <c r="BM44" s="22">
        <f>'QTR Raw'!AG17</f>
        <v>0</v>
      </c>
      <c r="BN44" s="22">
        <f>'QTR Raw'!AH17</f>
        <v>0</v>
      </c>
      <c r="BO44" s="22">
        <f>'QTR Raw'!AI17</f>
        <v>0</v>
      </c>
      <c r="BP44" s="22">
        <f>'QTR Raw'!AJ17</f>
        <v>0</v>
      </c>
      <c r="BQ44" s="22">
        <f>'QTR Raw'!AK17</f>
        <v>0</v>
      </c>
      <c r="BR44" s="22">
        <f>'QTR Raw'!AL17</f>
        <v>0</v>
      </c>
      <c r="BS44" s="22">
        <f>'QTR Raw'!AM17</f>
        <v>0</v>
      </c>
      <c r="BT44" s="22">
        <f>'QTR Raw'!AN17</f>
        <v>0</v>
      </c>
      <c r="BU44" s="22">
        <f>'QTR Raw'!AO17</f>
        <v>0</v>
      </c>
      <c r="BV44" s="22">
        <f>'QTR Raw'!AP17</f>
        <v>0</v>
      </c>
      <c r="BW44" s="22">
        <f>'QTR Raw'!AQ17</f>
        <v>0</v>
      </c>
      <c r="BX44" s="22">
        <f>'QTR Raw'!AR17</f>
        <v>0</v>
      </c>
      <c r="BY44" s="22">
        <f>'QTR Raw'!AS17</f>
        <v>0</v>
      </c>
      <c r="BZ44" s="22">
        <f>'QTR Raw'!AT17</f>
        <v>0</v>
      </c>
      <c r="CA44" s="22">
        <f>'QTR Raw'!AU17</f>
        <v>0</v>
      </c>
      <c r="CB44" s="22">
        <f>'QTR Raw'!AV17</f>
        <v>0</v>
      </c>
      <c r="CC44" s="22">
        <f>'QTR Raw'!AW17</f>
        <v>0</v>
      </c>
      <c r="CD44" s="22">
        <f>'QTR Raw'!AX17</f>
        <v>0</v>
      </c>
      <c r="CE44" s="22">
        <f>'QTR Raw'!AY17</f>
        <v>0</v>
      </c>
      <c r="CF44" s="22">
        <f>'QTR Raw'!AZ17</f>
        <v>0</v>
      </c>
      <c r="CG44" s="22">
        <f>'QTR Raw'!BA17</f>
        <v>0</v>
      </c>
      <c r="CH44" s="22">
        <f>'QTR Raw'!BB17</f>
        <v>0</v>
      </c>
      <c r="CI44" s="22">
        <f>'QTR Raw'!BC17</f>
        <v>0</v>
      </c>
      <c r="CJ44" s="22">
        <f>'QTR Raw'!BD17</f>
        <v>0</v>
      </c>
      <c r="CK44" s="22">
        <f>'QTR Raw'!BE17</f>
        <v>0</v>
      </c>
      <c r="CL44" s="22">
        <f>'QTR Raw'!BF17</f>
        <v>0</v>
      </c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/>
      <c r="DD44" s="122"/>
    </row>
    <row r="45" spans="1:108" s="22" customFormat="1" outlineLevel="1" x14ac:dyDescent="0.25">
      <c r="A45" s="22" t="s">
        <v>12</v>
      </c>
      <c r="B45" s="22">
        <f>'Annual Raw'!C19-'Annual Raw'!C20</f>
        <v>0</v>
      </c>
      <c r="C45" s="22">
        <f>'Annual Raw'!D19-'Annual Raw'!D20</f>
        <v>0</v>
      </c>
      <c r="D45" s="22">
        <f>'Annual Raw'!E19-'Annual Raw'!E20</f>
        <v>0</v>
      </c>
      <c r="E45" s="22">
        <f>'Annual Raw'!F19-'Annual Raw'!F20</f>
        <v>0</v>
      </c>
      <c r="F45" s="22">
        <f>'Annual Raw'!G19-'Annual Raw'!G20</f>
        <v>0.33950999999999998</v>
      </c>
      <c r="G45" s="22">
        <f>'Annual Raw'!H19-'Annual Raw'!H20</f>
        <v>2.0761435000000001</v>
      </c>
      <c r="H45" s="22">
        <f>'Annual Raw'!I19-'Annual Raw'!I20</f>
        <v>0.17815300000000001</v>
      </c>
      <c r="I45" s="22">
        <f>'Annual Raw'!J19-'Annual Raw'!J20</f>
        <v>0.40611019999999998</v>
      </c>
      <c r="J45" s="22">
        <f>'Annual Raw'!K19-'Annual Raw'!K20</f>
        <v>1.4018866999999999</v>
      </c>
      <c r="K45" s="22">
        <f>'Annual Raw'!L19-'Annual Raw'!L20</f>
        <v>2.3568068000000002</v>
      </c>
      <c r="L45" s="22">
        <f>'Annual Raw'!M19-'Annual Raw'!M20</f>
        <v>1.617084</v>
      </c>
      <c r="M45" s="22">
        <f>'Annual Raw'!N19-'Annual Raw'!N20</f>
        <v>1.3149999999999999</v>
      </c>
      <c r="N45" s="22">
        <f>'Annual Raw'!O19-'Annual Raw'!O20</f>
        <v>9.6959999999999997</v>
      </c>
      <c r="O45" s="22">
        <f>'Annual Raw'!P19-'Annual Raw'!P20</f>
        <v>8.109</v>
      </c>
      <c r="P45" s="22">
        <f>'Annual Raw'!Q19-'Annual Raw'!Q20</f>
        <v>10.967000000000001</v>
      </c>
      <c r="Q45" s="22">
        <f>'Annual Raw'!R19-'Annual Raw'!R20</f>
        <v>18.486000000000001</v>
      </c>
      <c r="R45" s="22">
        <f>'Annual Raw'!S19-'Annual Raw'!S20</f>
        <v>29.454999999999998</v>
      </c>
      <c r="S45" s="22">
        <f>'Annual Raw'!T19-'Annual Raw'!T20</f>
        <v>40.302</v>
      </c>
      <c r="T45" s="22">
        <f>'Annual Raw'!U19-'Annual Raw'!U20</f>
        <v>115.797</v>
      </c>
      <c r="U45" s="22">
        <f>'Annual Raw'!V19-'Annual Raw'!V20</f>
        <v>107.47199999999999</v>
      </c>
      <c r="V45" s="22">
        <f>'Annual Raw'!W19-'Annual Raw'!W20</f>
        <v>24.768999999999998</v>
      </c>
      <c r="W45" s="22">
        <f>'Annual Raw'!X19-'Annual Raw'!X20</f>
        <v>39.079000000000001</v>
      </c>
      <c r="X45" s="22">
        <f>'Annual Raw'!Y19-'Annual Raw'!Y20</f>
        <v>88.183000000000007</v>
      </c>
      <c r="Y45" s="22">
        <f>'Annual Raw'!Z19-'Annual Raw'!Z20</f>
        <v>166.292</v>
      </c>
      <c r="Z45" s="22">
        <f>'Annual Raw'!AA19-'Annual Raw'!AA20</f>
        <v>183.16399999999999</v>
      </c>
      <c r="AA45" s="75">
        <f t="shared" si="339"/>
        <v>0</v>
      </c>
      <c r="AB45" s="75">
        <f t="shared" si="340"/>
        <v>0</v>
      </c>
      <c r="AC45" s="75">
        <f t="shared" si="341"/>
        <v>0</v>
      </c>
      <c r="AD45" s="75">
        <f t="shared" si="342"/>
        <v>0</v>
      </c>
      <c r="AE45" s="75">
        <f t="shared" si="343"/>
        <v>0</v>
      </c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/>
      <c r="DD45" s="122"/>
    </row>
    <row r="46" spans="1:108" s="21" customFormat="1" x14ac:dyDescent="0.25">
      <c r="A46" s="32" t="s">
        <v>348</v>
      </c>
      <c r="B46" s="21">
        <f t="shared" ref="B46:AE46" si="346">+SUM(B40:B45)</f>
        <v>0</v>
      </c>
      <c r="C46" s="21">
        <f t="shared" si="346"/>
        <v>0</v>
      </c>
      <c r="D46" s="21">
        <f t="shared" si="346"/>
        <v>0</v>
      </c>
      <c r="E46" s="21">
        <f t="shared" si="346"/>
        <v>0</v>
      </c>
      <c r="F46" s="21">
        <f t="shared" si="346"/>
        <v>83.35863950000001</v>
      </c>
      <c r="G46" s="21">
        <f t="shared" si="346"/>
        <v>93.244635100000011</v>
      </c>
      <c r="H46" s="21">
        <f t="shared" si="346"/>
        <v>97.468339799999995</v>
      </c>
      <c r="I46" s="21">
        <f t="shared" si="346"/>
        <v>106.3040654</v>
      </c>
      <c r="J46" s="21">
        <f t="shared" si="346"/>
        <v>133.9976547</v>
      </c>
      <c r="K46" s="21">
        <f t="shared" si="346"/>
        <v>206.96227639999998</v>
      </c>
      <c r="L46" s="21">
        <f t="shared" si="346"/>
        <v>250.16443279999999</v>
      </c>
      <c r="M46" s="21">
        <f t="shared" si="346"/>
        <v>295.37</v>
      </c>
      <c r="N46" s="21">
        <f t="shared" si="346"/>
        <v>543.75400000000002</v>
      </c>
      <c r="O46" s="21">
        <f t="shared" si="346"/>
        <v>623.37099999999998</v>
      </c>
      <c r="P46" s="21">
        <f t="shared" si="346"/>
        <v>739.7890000000001</v>
      </c>
      <c r="Q46" s="21">
        <f t="shared" si="346"/>
        <v>1039.239</v>
      </c>
      <c r="R46" s="21">
        <f t="shared" si="346"/>
        <v>1325.1249999999998</v>
      </c>
      <c r="S46" s="21">
        <f t="shared" si="346"/>
        <v>1355.1589999999999</v>
      </c>
      <c r="T46" s="21">
        <f t="shared" si="346"/>
        <v>1844.329</v>
      </c>
      <c r="U46" s="21">
        <f t="shared" si="346"/>
        <v>2447.8300000000004</v>
      </c>
      <c r="V46" s="21">
        <f t="shared" si="346"/>
        <v>2471.7009999999996</v>
      </c>
      <c r="W46" s="21">
        <f t="shared" si="346"/>
        <v>3111.6570000000002</v>
      </c>
      <c r="X46" s="21">
        <f t="shared" si="346"/>
        <v>4105.9160000000002</v>
      </c>
      <c r="Y46" s="21">
        <f t="shared" si="346"/>
        <v>5004.7120000000004</v>
      </c>
      <c r="Z46" s="21">
        <f t="shared" si="346"/>
        <v>6359.3829999999998</v>
      </c>
      <c r="AA46" s="20">
        <f t="shared" si="346"/>
        <v>6920.5810000000001</v>
      </c>
      <c r="AB46" s="20">
        <f t="shared" si="346"/>
        <v>8102.7380503292316</v>
      </c>
      <c r="AC46" s="20">
        <f t="shared" si="346"/>
        <v>9179.4685123691561</v>
      </c>
      <c r="AD46" s="20">
        <f t="shared" si="346"/>
        <v>10004.032894159089</v>
      </c>
      <c r="AE46" s="20">
        <f t="shared" si="346"/>
        <v>12020.67982499296</v>
      </c>
      <c r="AI46" s="21">
        <f t="shared" ref="AI46:BN46" si="347">+SUM(AI40:AI45)</f>
        <v>0</v>
      </c>
      <c r="AJ46" s="21">
        <f t="shared" si="347"/>
        <v>0</v>
      </c>
      <c r="AK46" s="21">
        <f t="shared" si="347"/>
        <v>0</v>
      </c>
      <c r="AL46" s="21">
        <f t="shared" si="347"/>
        <v>0</v>
      </c>
      <c r="AM46" s="21">
        <f t="shared" si="347"/>
        <v>0</v>
      </c>
      <c r="AN46" s="21">
        <f t="shared" si="347"/>
        <v>0</v>
      </c>
      <c r="AO46" s="21">
        <f t="shared" si="347"/>
        <v>0</v>
      </c>
      <c r="AP46" s="21">
        <f t="shared" si="347"/>
        <v>0</v>
      </c>
      <c r="AQ46" s="21">
        <f t="shared" si="347"/>
        <v>0</v>
      </c>
      <c r="AR46" s="21">
        <f t="shared" si="347"/>
        <v>0</v>
      </c>
      <c r="AS46" s="21">
        <f t="shared" si="347"/>
        <v>0</v>
      </c>
      <c r="AT46" s="21">
        <f t="shared" si="347"/>
        <v>0</v>
      </c>
      <c r="AU46" s="21">
        <f t="shared" si="347"/>
        <v>0</v>
      </c>
      <c r="AV46" s="21">
        <f t="shared" si="347"/>
        <v>0</v>
      </c>
      <c r="AW46" s="21">
        <f t="shared" si="347"/>
        <v>204.762</v>
      </c>
      <c r="AX46" s="21">
        <f t="shared" si="347"/>
        <v>327.54300000000001</v>
      </c>
      <c r="AY46" s="21">
        <f t="shared" si="347"/>
        <v>418.964</v>
      </c>
      <c r="AZ46" s="21">
        <f t="shared" si="347"/>
        <v>358.375</v>
      </c>
      <c r="BA46" s="21">
        <f t="shared" si="347"/>
        <v>232.56299999999999</v>
      </c>
      <c r="BB46" s="21">
        <f t="shared" si="347"/>
        <v>341.85500000000002</v>
      </c>
      <c r="BC46" s="21">
        <f t="shared" si="347"/>
        <v>369.94200000000001</v>
      </c>
      <c r="BD46" s="21">
        <f t="shared" si="347"/>
        <v>342.78300000000002</v>
      </c>
      <c r="BE46" s="21">
        <f t="shared" si="347"/>
        <v>313.11199999999997</v>
      </c>
      <c r="BF46" s="21">
        <f t="shared" si="347"/>
        <v>430.48</v>
      </c>
      <c r="BG46" s="21">
        <f t="shared" si="347"/>
        <v>525.428</v>
      </c>
      <c r="BH46" s="21">
        <f t="shared" si="347"/>
        <v>427.80200000000002</v>
      </c>
      <c r="BI46" s="21">
        <f t="shared" si="347"/>
        <v>470.85900000000004</v>
      </c>
      <c r="BJ46" s="21">
        <f t="shared" si="347"/>
        <v>541.95000000000005</v>
      </c>
      <c r="BK46" s="21">
        <f t="shared" si="347"/>
        <v>693.05899999999997</v>
      </c>
      <c r="BL46" s="21">
        <f t="shared" si="347"/>
        <v>666.92</v>
      </c>
      <c r="BM46" s="21">
        <f t="shared" si="347"/>
        <v>560.56799999999998</v>
      </c>
      <c r="BN46" s="21">
        <f t="shared" si="347"/>
        <v>713.8</v>
      </c>
      <c r="BO46" s="21">
        <f t="shared" ref="BO46:CJ46" si="348">+SUM(BO40:BO45)</f>
        <v>521.40899999999999</v>
      </c>
      <c r="BP46" s="21">
        <f t="shared" si="348"/>
        <v>620.851</v>
      </c>
      <c r="BQ46" s="21">
        <f t="shared" si="348"/>
        <v>628.27700000000004</v>
      </c>
      <c r="BR46" s="21">
        <f t="shared" si="348"/>
        <v>869.10799999999995</v>
      </c>
      <c r="BS46" s="21">
        <f t="shared" si="348"/>
        <v>740.70799999999997</v>
      </c>
      <c r="BT46" s="21">
        <f t="shared" si="348"/>
        <v>771.15200000000004</v>
      </c>
      <c r="BU46" s="21">
        <f t="shared" si="348"/>
        <v>752.95699999999999</v>
      </c>
      <c r="BV46" s="21">
        <f t="shared" si="348"/>
        <v>926.29300000000001</v>
      </c>
      <c r="BW46" s="21">
        <f t="shared" si="348"/>
        <v>1252.3589999999999</v>
      </c>
      <c r="BX46" s="21">
        <f t="shared" si="348"/>
        <v>1006.336</v>
      </c>
      <c r="BY46" s="21">
        <f t="shared" si="348"/>
        <v>938.89300000000003</v>
      </c>
      <c r="BZ46" s="21">
        <f t="shared" si="348"/>
        <v>1243.221</v>
      </c>
      <c r="CA46" s="21">
        <f t="shared" si="348"/>
        <v>1433.809</v>
      </c>
      <c r="CB46" s="21">
        <f t="shared" si="348"/>
        <v>1258.671</v>
      </c>
      <c r="CC46" s="21">
        <f t="shared" si="348"/>
        <v>1092.5070000000001</v>
      </c>
      <c r="CD46" s="21">
        <f t="shared" si="348"/>
        <v>1441.0029999999999</v>
      </c>
      <c r="CE46" s="21">
        <f t="shared" si="348"/>
        <v>1945.066</v>
      </c>
      <c r="CF46" s="21">
        <f t="shared" si="348"/>
        <v>1517.1669999999999</v>
      </c>
      <c r="CG46" s="21">
        <f t="shared" si="348"/>
        <v>1488.6190000000001</v>
      </c>
      <c r="CH46" s="21">
        <f t="shared" si="348"/>
        <v>1773.9079999999999</v>
      </c>
      <c r="CI46" s="21">
        <f t="shared" si="348"/>
        <v>1827.4960000000001</v>
      </c>
      <c r="CJ46" s="21">
        <f t="shared" si="348"/>
        <v>1630.0660000000003</v>
      </c>
      <c r="CK46" s="21">
        <f t="shared" ref="CK46:CL46" si="349">+SUM(CK40:CK45)</f>
        <v>1689.1109999999999</v>
      </c>
      <c r="CL46" s="21">
        <f t="shared" si="349"/>
        <v>2099.6179999999999</v>
      </c>
      <c r="CM46" s="20">
        <f t="shared" ref="CM46:DA46" si="350">CM47*CM30</f>
        <v>2499.3535087674491</v>
      </c>
      <c r="CN46" s="20">
        <f t="shared" si="350"/>
        <v>1867.3178749753617</v>
      </c>
      <c r="CO46" s="20">
        <f t="shared" si="350"/>
        <v>1636.4486665864206</v>
      </c>
      <c r="CP46" s="20">
        <f t="shared" si="350"/>
        <v>2461.214974841701</v>
      </c>
      <c r="CQ46" s="20">
        <f t="shared" si="350"/>
        <v>2856.853466009366</v>
      </c>
      <c r="CR46" s="20">
        <f t="shared" si="350"/>
        <v>2030.3031132353785</v>
      </c>
      <c r="CS46" s="20">
        <f t="shared" si="350"/>
        <v>1831.0969582827097</v>
      </c>
      <c r="CT46" s="20">
        <f t="shared" si="350"/>
        <v>2669.0324833030095</v>
      </c>
      <c r="CU46" s="20">
        <f t="shared" si="350"/>
        <v>3125.2863273008675</v>
      </c>
      <c r="CV46" s="20">
        <f t="shared" si="350"/>
        <v>2242.0390176695018</v>
      </c>
      <c r="CW46" s="20">
        <f t="shared" si="350"/>
        <v>1967.6750658857111</v>
      </c>
      <c r="CX46" s="20">
        <f t="shared" si="350"/>
        <v>3207.6426985725284</v>
      </c>
      <c r="CY46" s="20">
        <f t="shared" si="350"/>
        <v>3754.1123991990739</v>
      </c>
      <c r="CZ46" s="20">
        <f t="shared" si="350"/>
        <v>2687.1284705935386</v>
      </c>
      <c r="DA46" s="20">
        <f t="shared" si="350"/>
        <v>2371.7962566278179</v>
      </c>
      <c r="DB46"/>
      <c r="DD46" s="125"/>
    </row>
    <row r="47" spans="1:108" s="43" customFormat="1" x14ac:dyDescent="0.25">
      <c r="A47" s="42" t="s">
        <v>349</v>
      </c>
      <c r="B47" s="43" t="e">
        <f t="shared" ref="B47:AE47" si="351">B46/B30</f>
        <v>#DIV/0!</v>
      </c>
      <c r="C47" s="43" t="e">
        <f t="shared" si="351"/>
        <v>#DIV/0!</v>
      </c>
      <c r="D47" s="43" t="e">
        <f t="shared" si="351"/>
        <v>#DIV/0!</v>
      </c>
      <c r="E47" s="43" t="e">
        <f t="shared" si="351"/>
        <v>#DIV/0!</v>
      </c>
      <c r="F47" s="43">
        <f t="shared" si="351"/>
        <v>0.29404289555000024</v>
      </c>
      <c r="G47" s="43">
        <f t="shared" si="351"/>
        <v>0.30379608404015263</v>
      </c>
      <c r="H47" s="43">
        <f t="shared" si="351"/>
        <v>0.29729301126014612</v>
      </c>
      <c r="I47" s="43">
        <f t="shared" si="351"/>
        <v>0.28520342975006774</v>
      </c>
      <c r="J47" s="43">
        <f t="shared" si="351"/>
        <v>0.29139730859639223</v>
      </c>
      <c r="K47" s="43">
        <f t="shared" si="351"/>
        <v>0.26822756638281797</v>
      </c>
      <c r="L47" s="43">
        <f t="shared" si="351"/>
        <v>0.25909610866332794</v>
      </c>
      <c r="M47" s="43">
        <f t="shared" si="351"/>
        <v>0.25918652444182366</v>
      </c>
      <c r="N47" s="43">
        <f t="shared" si="351"/>
        <v>0.30208656251076393</v>
      </c>
      <c r="O47" s="43">
        <f t="shared" si="351"/>
        <v>0.29471729887587117</v>
      </c>
      <c r="P47" s="43">
        <f t="shared" si="351"/>
        <v>0.29563096650544857</v>
      </c>
      <c r="Q47" s="43">
        <f t="shared" si="351"/>
        <v>0.30618543852965796</v>
      </c>
      <c r="R47" s="43">
        <f t="shared" si="351"/>
        <v>0.34319145194620398</v>
      </c>
      <c r="S47" s="43">
        <f t="shared" si="351"/>
        <v>0.33849018618522603</v>
      </c>
      <c r="T47" s="43">
        <f t="shared" si="351"/>
        <v>0.36126089686019602</v>
      </c>
      <c r="U47" s="43">
        <f t="shared" si="351"/>
        <v>0.34333448627674745</v>
      </c>
      <c r="V47" s="43">
        <f t="shared" si="351"/>
        <v>0.38320102100077791</v>
      </c>
      <c r="W47" s="43">
        <f t="shared" si="351"/>
        <v>0.35266642714742791</v>
      </c>
      <c r="X47" s="43">
        <f t="shared" si="351"/>
        <v>0.31168843393626217</v>
      </c>
      <c r="Y47" s="43">
        <f t="shared" si="351"/>
        <v>0.3119642656004043</v>
      </c>
      <c r="Z47" s="43">
        <f t="shared" si="351"/>
        <v>0.31784757330321151</v>
      </c>
      <c r="AA47" s="51">
        <f t="shared" si="351"/>
        <v>0.31913581035406402</v>
      </c>
      <c r="AB47" s="51">
        <f t="shared" si="351"/>
        <v>0.32488411572274078</v>
      </c>
      <c r="AC47" s="51">
        <f t="shared" si="351"/>
        <v>0.31693610343980522</v>
      </c>
      <c r="AD47" s="51">
        <f t="shared" si="351"/>
        <v>0.32171310560619359</v>
      </c>
      <c r="AE47" s="51">
        <f t="shared" si="351"/>
        <v>0.3220581407189706</v>
      </c>
      <c r="AI47" s="43" t="e">
        <f t="shared" ref="AI47:BN47" si="352">AI46/AI30</f>
        <v>#DIV/0!</v>
      </c>
      <c r="AJ47" s="43" t="e">
        <f t="shared" si="352"/>
        <v>#DIV/0!</v>
      </c>
      <c r="AK47" s="43" t="e">
        <f t="shared" si="352"/>
        <v>#DIV/0!</v>
      </c>
      <c r="AL47" s="43" t="e">
        <f t="shared" si="352"/>
        <v>#DIV/0!</v>
      </c>
      <c r="AM47" s="43" t="e">
        <f t="shared" si="352"/>
        <v>#DIV/0!</v>
      </c>
      <c r="AN47" s="43" t="e">
        <f t="shared" si="352"/>
        <v>#DIV/0!</v>
      </c>
      <c r="AO47" s="43" t="e">
        <f t="shared" si="352"/>
        <v>#DIV/0!</v>
      </c>
      <c r="AP47" s="43" t="e">
        <f t="shared" si="352"/>
        <v>#DIV/0!</v>
      </c>
      <c r="AQ47" s="43" t="e">
        <f t="shared" si="352"/>
        <v>#DIV/0!</v>
      </c>
      <c r="AR47" s="43" t="e">
        <f t="shared" si="352"/>
        <v>#DIV/0!</v>
      </c>
      <c r="AS47" s="43" t="e">
        <f t="shared" si="352"/>
        <v>#DIV/0!</v>
      </c>
      <c r="AT47" s="43" t="e">
        <f t="shared" si="352"/>
        <v>#DIV/0!</v>
      </c>
      <c r="AU47" s="43" t="e">
        <f t="shared" si="352"/>
        <v>#DIV/0!</v>
      </c>
      <c r="AV47" s="43" t="e">
        <f t="shared" si="352"/>
        <v>#DIV/0!</v>
      </c>
      <c r="AW47" s="43">
        <f t="shared" si="352"/>
        <v>0.52387957744136604</v>
      </c>
      <c r="AX47" s="43">
        <f t="shared" si="352"/>
        <v>0.37691077305470538</v>
      </c>
      <c r="AY47" s="43">
        <f t="shared" si="352"/>
        <v>0.25231712061553807</v>
      </c>
      <c r="AZ47" s="43">
        <f t="shared" si="352"/>
        <v>0.39932453287247349</v>
      </c>
      <c r="BA47" s="43">
        <f t="shared" si="352"/>
        <v>0.53555834968358795</v>
      </c>
      <c r="BB47" s="43">
        <f t="shared" si="352"/>
        <v>0.38882639499452348</v>
      </c>
      <c r="BC47" s="43">
        <f t="shared" si="352"/>
        <v>0.22648655101797177</v>
      </c>
      <c r="BD47" s="43">
        <f t="shared" si="352"/>
        <v>0.3557877539836089</v>
      </c>
      <c r="BE47" s="43">
        <f t="shared" si="352"/>
        <v>0.59357725118483406</v>
      </c>
      <c r="BF47" s="43">
        <f t="shared" si="352"/>
        <v>0.39321501319911945</v>
      </c>
      <c r="BG47" s="43">
        <f t="shared" si="352"/>
        <v>0.25516977793059303</v>
      </c>
      <c r="BH47" s="43">
        <f t="shared" si="352"/>
        <v>0.36697985909343189</v>
      </c>
      <c r="BI47" s="43">
        <f t="shared" si="352"/>
        <v>0.59934930124984576</v>
      </c>
      <c r="BJ47" s="43">
        <f t="shared" si="352"/>
        <v>0.39874332760669395</v>
      </c>
      <c r="BK47" s="43">
        <f t="shared" si="352"/>
        <v>0.24660037132790646</v>
      </c>
      <c r="BL47" s="43">
        <f t="shared" si="352"/>
        <v>0.38334595978465674</v>
      </c>
      <c r="BM47" s="43">
        <f t="shared" si="352"/>
        <v>0.45938971272162554</v>
      </c>
      <c r="BN47" s="43">
        <f t="shared" si="352"/>
        <v>0.42578473116150112</v>
      </c>
      <c r="BO47" s="43">
        <f t="shared" ref="BO47:CJ47" si="353">BO46/BO30</f>
        <v>0.31789684443748045</v>
      </c>
      <c r="BP47" s="43">
        <f t="shared" si="353"/>
        <v>0.34441323086106224</v>
      </c>
      <c r="BQ47" s="43">
        <f t="shared" si="353"/>
        <v>0.47207246874462305</v>
      </c>
      <c r="BR47" s="43">
        <f t="shared" si="353"/>
        <v>0.38784019934918773</v>
      </c>
      <c r="BS47" s="43">
        <f t="shared" si="353"/>
        <v>0.30234892411560732</v>
      </c>
      <c r="BT47" s="43">
        <f t="shared" si="353"/>
        <v>0.3215601307336714</v>
      </c>
      <c r="BU47" s="43">
        <f t="shared" si="353"/>
        <v>0.43414738213782228</v>
      </c>
      <c r="BV47" s="43">
        <f t="shared" si="353"/>
        <v>0.32760465886134332</v>
      </c>
      <c r="BW47" s="43">
        <f t="shared" si="353"/>
        <v>0.25275595557049052</v>
      </c>
      <c r="BX47" s="43">
        <f t="shared" si="353"/>
        <v>0.31679458040306996</v>
      </c>
      <c r="BY47" s="43">
        <f t="shared" si="353"/>
        <v>0.4240259051094396</v>
      </c>
      <c r="BZ47" s="43">
        <f t="shared" si="353"/>
        <v>0.31934985454568809</v>
      </c>
      <c r="CA47" s="43">
        <f t="shared" si="353"/>
        <v>0.25551707042197297</v>
      </c>
      <c r="CB47" s="43">
        <f t="shared" si="353"/>
        <v>0.32519470923120053</v>
      </c>
      <c r="CC47" s="43">
        <f t="shared" si="353"/>
        <v>0.40953312024002803</v>
      </c>
      <c r="CD47" s="43">
        <f t="shared" si="353"/>
        <v>0.33377311304508156</v>
      </c>
      <c r="CE47" s="43">
        <f t="shared" si="353"/>
        <v>0.27026584642028711</v>
      </c>
      <c r="CF47" s="43">
        <f t="shared" si="353"/>
        <v>0.31576838680096064</v>
      </c>
      <c r="CG47" s="43">
        <f t="shared" si="353"/>
        <v>0.40355189449554224</v>
      </c>
      <c r="CH47" s="43">
        <f t="shared" si="353"/>
        <v>0.31865074767354029</v>
      </c>
      <c r="CI47" s="43">
        <f t="shared" si="353"/>
        <v>0.26042459490883413</v>
      </c>
      <c r="CJ47" s="43">
        <f t="shared" si="353"/>
        <v>0.3328941214912236</v>
      </c>
      <c r="CK47" s="43">
        <f t="shared" ref="CK47:CL47" si="354">CK46/CK30</f>
        <v>0.40174620869498617</v>
      </c>
      <c r="CL47" s="43">
        <f t="shared" si="354"/>
        <v>0.31937288091764915</v>
      </c>
      <c r="CM47" s="51">
        <f>AVERAGE(CI47:CL47)*0.97</f>
        <v>0.31875116795807801</v>
      </c>
      <c r="CN47" s="51">
        <f t="shared" ref="CN47:CO47" si="355">AVERAGE(CJ47:CM47)*0.97</f>
        <v>0.33289536192251973</v>
      </c>
      <c r="CO47" s="51">
        <f t="shared" si="355"/>
        <v>0.33289566272710897</v>
      </c>
      <c r="CP47" s="51">
        <f t="shared" ref="CP47:CR47" si="356">AVERAGE(CL47:CO47)*0.97</f>
        <v>0.31619940532989876</v>
      </c>
      <c r="CQ47" s="51">
        <f t="shared" si="356"/>
        <v>0.31542983749986936</v>
      </c>
      <c r="CR47" s="51">
        <f t="shared" si="356"/>
        <v>0.31462441486375375</v>
      </c>
      <c r="CS47" s="51">
        <f>AVERAGE(CO47:CR47)*1.01</f>
        <v>0.32298520340620934</v>
      </c>
      <c r="CT47" s="51">
        <f t="shared" ref="CT47:CV47" si="357">AVERAGE(CP47:CS47)*1.01</f>
        <v>0.32048281242768212</v>
      </c>
      <c r="CU47" s="51">
        <f t="shared" si="357"/>
        <v>0.32156437271987248</v>
      </c>
      <c r="CV47" s="51">
        <f t="shared" si="357"/>
        <v>0.32311334286292326</v>
      </c>
      <c r="CW47" s="51">
        <f t="shared" ref="CM47:DA47" si="358">AVERAGE(CS47:CV47)</f>
        <v>0.32203643285417183</v>
      </c>
      <c r="CX47" s="51">
        <f t="shared" si="358"/>
        <v>0.32179924021616246</v>
      </c>
      <c r="CY47" s="51">
        <f t="shared" si="358"/>
        <v>0.32212834716328254</v>
      </c>
      <c r="CZ47" s="51">
        <f t="shared" si="358"/>
        <v>0.32226934077413505</v>
      </c>
      <c r="DA47" s="51">
        <f t="shared" si="358"/>
        <v>0.32205834025193797</v>
      </c>
      <c r="DB47"/>
      <c r="DD47" s="127"/>
    </row>
    <row r="48" spans="1:108" s="25" customFormat="1" x14ac:dyDescent="0.25">
      <c r="A48" s="33" t="s">
        <v>13</v>
      </c>
      <c r="B48" s="25">
        <f t="shared" ref="B48:AE48" si="359">B36-B46</f>
        <v>0</v>
      </c>
      <c r="C48" s="25">
        <f t="shared" si="359"/>
        <v>0</v>
      </c>
      <c r="D48" s="25">
        <f t="shared" si="359"/>
        <v>0</v>
      </c>
      <c r="E48" s="25">
        <f t="shared" si="359"/>
        <v>0</v>
      </c>
      <c r="F48" s="25">
        <f t="shared" si="359"/>
        <v>61.175458699999979</v>
      </c>
      <c r="G48" s="25">
        <f t="shared" si="359"/>
        <v>55.275756500000057</v>
      </c>
      <c r="H48" s="25">
        <f t="shared" si="359"/>
        <v>54.498528700000037</v>
      </c>
      <c r="I48" s="25">
        <f t="shared" si="359"/>
        <v>59.218150399999999</v>
      </c>
      <c r="J48" s="25">
        <f t="shared" si="359"/>
        <v>67.323799699999938</v>
      </c>
      <c r="K48" s="25">
        <f t="shared" si="359"/>
        <v>90.900891500000085</v>
      </c>
      <c r="L48" s="25">
        <f t="shared" si="359"/>
        <v>120.49912449999999</v>
      </c>
      <c r="M48" s="25">
        <f t="shared" si="359"/>
        <v>139.6640000000001</v>
      </c>
      <c r="N48" s="25">
        <f t="shared" si="359"/>
        <v>228.45599999999979</v>
      </c>
      <c r="O48" s="25">
        <f t="shared" si="359"/>
        <v>292.56900000000007</v>
      </c>
      <c r="P48" s="25">
        <f t="shared" si="359"/>
        <v>386.50100000000009</v>
      </c>
      <c r="Q48" s="25">
        <f t="shared" si="359"/>
        <v>638.43599999999992</v>
      </c>
      <c r="R48" s="25">
        <f t="shared" si="359"/>
        <v>798.17500000000041</v>
      </c>
      <c r="S48" s="25">
        <f t="shared" si="359"/>
        <v>838.3250000000005</v>
      </c>
      <c r="T48" s="25">
        <f t="shared" si="359"/>
        <v>1016.827</v>
      </c>
      <c r="U48" s="25">
        <f t="shared" si="359"/>
        <v>1462.3199999999988</v>
      </c>
      <c r="V48" s="25">
        <f t="shared" si="359"/>
        <v>1214.5039999999999</v>
      </c>
      <c r="W48" s="25">
        <f t="shared" si="359"/>
        <v>1676.9129999999996</v>
      </c>
      <c r="X48" s="25">
        <f t="shared" si="359"/>
        <v>2806.0699999999997</v>
      </c>
      <c r="Y48" s="25">
        <f t="shared" si="359"/>
        <v>3632.9810000000025</v>
      </c>
      <c r="Z48" s="25">
        <f t="shared" si="359"/>
        <v>4743.5429999999997</v>
      </c>
      <c r="AA48" s="26">
        <f t="shared" si="359"/>
        <v>5049.3689999999933</v>
      </c>
      <c r="AB48" s="26">
        <f t="shared" si="359"/>
        <v>5722.5170971687894</v>
      </c>
      <c r="AC48" s="26">
        <f t="shared" si="359"/>
        <v>6890.1598916206312</v>
      </c>
      <c r="AD48" s="26">
        <f t="shared" si="359"/>
        <v>7250.6543395674234</v>
      </c>
      <c r="AE48" s="26">
        <f t="shared" si="359"/>
        <v>8690.0656465610991</v>
      </c>
      <c r="AI48" s="25">
        <f t="shared" ref="AI48:BN48" si="360">AI36-AI46</f>
        <v>0</v>
      </c>
      <c r="AJ48" s="25">
        <f t="shared" si="360"/>
        <v>0</v>
      </c>
      <c r="AK48" s="25">
        <f t="shared" si="360"/>
        <v>0</v>
      </c>
      <c r="AL48" s="25">
        <f t="shared" si="360"/>
        <v>0</v>
      </c>
      <c r="AM48" s="25">
        <f t="shared" si="360"/>
        <v>0</v>
      </c>
      <c r="AN48" s="25">
        <f t="shared" si="360"/>
        <v>0</v>
      </c>
      <c r="AO48" s="25">
        <f t="shared" si="360"/>
        <v>0</v>
      </c>
      <c r="AP48" s="25">
        <f t="shared" si="360"/>
        <v>0</v>
      </c>
      <c r="AQ48" s="25">
        <f t="shared" si="360"/>
        <v>0</v>
      </c>
      <c r="AR48" s="25">
        <f t="shared" si="360"/>
        <v>0</v>
      </c>
      <c r="AS48" s="25">
        <f t="shared" si="360"/>
        <v>0</v>
      </c>
      <c r="AT48" s="25">
        <f t="shared" si="360"/>
        <v>0</v>
      </c>
      <c r="AU48" s="25">
        <f t="shared" si="360"/>
        <v>0</v>
      </c>
      <c r="AV48" s="25">
        <f t="shared" si="360"/>
        <v>0</v>
      </c>
      <c r="AW48" s="25">
        <f t="shared" si="360"/>
        <v>3.2979999999999734</v>
      </c>
      <c r="AX48" s="25">
        <f t="shared" si="360"/>
        <v>119.46299999999991</v>
      </c>
      <c r="AY48" s="25">
        <f t="shared" si="360"/>
        <v>465.64400000000006</v>
      </c>
      <c r="AZ48" s="25">
        <f t="shared" si="360"/>
        <v>174.55400000000009</v>
      </c>
      <c r="BA48" s="25">
        <f t="shared" si="360"/>
        <v>26.194000000000017</v>
      </c>
      <c r="BB48" s="25">
        <f t="shared" si="360"/>
        <v>137.23599999999988</v>
      </c>
      <c r="BC48" s="25">
        <f t="shared" si="360"/>
        <v>480.49999999999989</v>
      </c>
      <c r="BD48" s="25">
        <f t="shared" si="360"/>
        <v>185.44099999999992</v>
      </c>
      <c r="BE48" s="25">
        <f t="shared" si="360"/>
        <v>22.615000000000066</v>
      </c>
      <c r="BF48" s="25">
        <f t="shared" si="360"/>
        <v>172.69399999999996</v>
      </c>
      <c r="BG48" s="25">
        <f t="shared" si="360"/>
        <v>574.85800000000052</v>
      </c>
      <c r="BH48" s="25">
        <f t="shared" si="360"/>
        <v>211.24099999999999</v>
      </c>
      <c r="BI48" s="25">
        <f t="shared" si="360"/>
        <v>47.793999999999869</v>
      </c>
      <c r="BJ48" s="25">
        <f t="shared" si="360"/>
        <v>218.375</v>
      </c>
      <c r="BK48" s="25">
        <f t="shared" si="360"/>
        <v>787.87799999999993</v>
      </c>
      <c r="BL48" s="25">
        <f t="shared" si="360"/>
        <v>325.66199999999981</v>
      </c>
      <c r="BM48" s="25">
        <f t="shared" si="360"/>
        <v>115.73800000000006</v>
      </c>
      <c r="BN48" s="25">
        <f t="shared" si="360"/>
        <v>271.15600000000006</v>
      </c>
      <c r="BO48" s="25">
        <f t="shared" ref="BO48:CT48" si="361">BO36-BO46</f>
        <v>377.69699999999989</v>
      </c>
      <c r="BP48" s="25">
        <f t="shared" si="361"/>
        <v>380.78999999999974</v>
      </c>
      <c r="BQ48" s="25">
        <f t="shared" si="361"/>
        <v>172.22499999999968</v>
      </c>
      <c r="BR48" s="25">
        <f t="shared" si="361"/>
        <v>381.62200000000007</v>
      </c>
      <c r="BS48" s="25">
        <f t="shared" si="361"/>
        <v>570.79999999999984</v>
      </c>
      <c r="BT48" s="25">
        <f t="shared" si="361"/>
        <v>494.6550000000002</v>
      </c>
      <c r="BU48" s="25">
        <f t="shared" si="361"/>
        <v>207.5680000000001</v>
      </c>
      <c r="BV48" s="25">
        <f t="shared" si="361"/>
        <v>530.9969999999995</v>
      </c>
      <c r="BW48" s="25">
        <f t="shared" si="361"/>
        <v>1250.6170000000002</v>
      </c>
      <c r="BX48" s="25">
        <f t="shared" si="361"/>
        <v>698.98599999999988</v>
      </c>
      <c r="BY48" s="25">
        <f t="shared" si="361"/>
        <v>307.50499999999988</v>
      </c>
      <c r="BZ48" s="25">
        <f t="shared" si="361"/>
        <v>798.03800000000047</v>
      </c>
      <c r="CA48" s="25">
        <f t="shared" si="361"/>
        <v>1511.0200000000007</v>
      </c>
      <c r="CB48" s="25">
        <f t="shared" si="361"/>
        <v>882.1400000000001</v>
      </c>
      <c r="CC48" s="25">
        <f t="shared" si="361"/>
        <v>418.28699999999958</v>
      </c>
      <c r="CD48" s="25">
        <f t="shared" si="361"/>
        <v>988.76099999999883</v>
      </c>
      <c r="CE48" s="25">
        <f t="shared" si="361"/>
        <v>1991.216999999999</v>
      </c>
      <c r="CF48" s="25">
        <f t="shared" si="361"/>
        <v>1151.1219999999998</v>
      </c>
      <c r="CG48" s="25">
        <f t="shared" si="361"/>
        <v>579.971</v>
      </c>
      <c r="CH48" s="25">
        <f t="shared" si="361"/>
        <v>1263.9639999999995</v>
      </c>
      <c r="CI48" s="25">
        <f t="shared" si="361"/>
        <v>1998.7730000000001</v>
      </c>
      <c r="CJ48" s="25">
        <f t="shared" si="361"/>
        <v>1147.3760000000007</v>
      </c>
      <c r="CK48" s="25">
        <f t="shared" ref="CK48:CL48" si="362">CK36-CK46</f>
        <v>639.25599999999986</v>
      </c>
      <c r="CL48" s="25">
        <f t="shared" si="362"/>
        <v>1528.9270000000006</v>
      </c>
      <c r="CM48" s="26">
        <f t="shared" si="361"/>
        <v>1848.9123051041324</v>
      </c>
      <c r="CN48" s="26">
        <f t="shared" si="361"/>
        <v>1256.3601114879714</v>
      </c>
      <c r="CO48" s="26">
        <f t="shared" si="361"/>
        <v>1088.317680576688</v>
      </c>
      <c r="CP48" s="26">
        <f t="shared" si="361"/>
        <v>1854.1840445096427</v>
      </c>
      <c r="CQ48" s="26">
        <f t="shared" si="361"/>
        <v>2170.0650602027804</v>
      </c>
      <c r="CR48" s="26">
        <f t="shared" si="361"/>
        <v>1552.1389871667584</v>
      </c>
      <c r="CS48" s="26">
        <f t="shared" si="361"/>
        <v>1313.7717997414502</v>
      </c>
      <c r="CT48" s="26">
        <f t="shared" si="361"/>
        <v>1951.6655238434137</v>
      </c>
      <c r="CU48" s="26">
        <f t="shared" ref="CU48:DA48" si="363">CU36-CU46</f>
        <v>2268.1036032035258</v>
      </c>
      <c r="CV48" s="26">
        <f t="shared" si="363"/>
        <v>1608.3891469793753</v>
      </c>
      <c r="CW48" s="26">
        <f t="shared" si="363"/>
        <v>1422.4960655411085</v>
      </c>
      <c r="CX48" s="26">
        <f t="shared" si="363"/>
        <v>2323.298904403875</v>
      </c>
      <c r="CY48" s="26">
        <f t="shared" si="363"/>
        <v>2712.6415380143485</v>
      </c>
      <c r="CZ48" s="26">
        <f t="shared" si="363"/>
        <v>1939.5515743301257</v>
      </c>
      <c r="DA48" s="26">
        <f t="shared" si="363"/>
        <v>1714.5736298127476</v>
      </c>
      <c r="DB48"/>
      <c r="DD48" s="120"/>
    </row>
    <row r="49" spans="1:108" s="167" customFormat="1" x14ac:dyDescent="0.25">
      <c r="A49" s="164" t="s">
        <v>14</v>
      </c>
      <c r="B49" s="165" t="e">
        <f t="shared" ref="B49:AE49" si="364">B48/B30</f>
        <v>#DIV/0!</v>
      </c>
      <c r="C49" s="165" t="e">
        <f t="shared" si="364"/>
        <v>#DIV/0!</v>
      </c>
      <c r="D49" s="165" t="e">
        <f t="shared" si="364"/>
        <v>#DIV/0!</v>
      </c>
      <c r="E49" s="165" t="e">
        <f t="shared" si="364"/>
        <v>#DIV/0!</v>
      </c>
      <c r="F49" s="165">
        <f t="shared" si="364"/>
        <v>0.21579297743633935</v>
      </c>
      <c r="G49" s="165">
        <f t="shared" si="364"/>
        <v>0.18009141597313225</v>
      </c>
      <c r="H49" s="165">
        <f t="shared" si="364"/>
        <v>0.16622866194003344</v>
      </c>
      <c r="I49" s="165">
        <f t="shared" si="364"/>
        <v>0.15887651647173362</v>
      </c>
      <c r="J49" s="165">
        <f t="shared" si="364"/>
        <v>0.14640535374282623</v>
      </c>
      <c r="K49" s="165">
        <f t="shared" si="364"/>
        <v>0.11780951259904876</v>
      </c>
      <c r="L49" s="165">
        <f t="shared" si="364"/>
        <v>0.12480133129175941</v>
      </c>
      <c r="M49" s="165">
        <f t="shared" si="364"/>
        <v>0.1225548523873206</v>
      </c>
      <c r="N49" s="165">
        <f t="shared" si="364"/>
        <v>0.12692042306807677</v>
      </c>
      <c r="O49" s="165">
        <f t="shared" si="364"/>
        <v>0.13832075187138121</v>
      </c>
      <c r="P49" s="165">
        <f t="shared" si="364"/>
        <v>0.15445169390910435</v>
      </c>
      <c r="Q49" s="165">
        <f t="shared" si="364"/>
        <v>0.1880989903507477</v>
      </c>
      <c r="R49" s="165">
        <f t="shared" si="364"/>
        <v>0.20671773391729956</v>
      </c>
      <c r="S49" s="165">
        <f t="shared" si="364"/>
        <v>0.20939593459788097</v>
      </c>
      <c r="T49" s="165">
        <f t="shared" si="364"/>
        <v>0.19917261723459453</v>
      </c>
      <c r="U49" s="165">
        <f t="shared" si="364"/>
        <v>0.20510610866449583</v>
      </c>
      <c r="V49" s="165">
        <f t="shared" si="364"/>
        <v>0.18829104847614206</v>
      </c>
      <c r="W49" s="165">
        <f t="shared" si="364"/>
        <v>0.19005658925359531</v>
      </c>
      <c r="X49" s="165">
        <f t="shared" si="364"/>
        <v>0.2130144805240845</v>
      </c>
      <c r="Y49" s="165">
        <f t="shared" si="364"/>
        <v>0.22645863530313495</v>
      </c>
      <c r="Z49" s="165">
        <f t="shared" si="364"/>
        <v>0.23708646442735651</v>
      </c>
      <c r="AA49" s="166">
        <f t="shared" si="364"/>
        <v>0.23284670284065567</v>
      </c>
      <c r="AB49" s="166">
        <f t="shared" si="364"/>
        <v>0.22944773671245688</v>
      </c>
      <c r="AC49" s="166">
        <f t="shared" si="364"/>
        <v>0.23789399410052181</v>
      </c>
      <c r="AD49" s="166">
        <f t="shared" si="364"/>
        <v>0.23316901792887745</v>
      </c>
      <c r="AE49" s="166">
        <f t="shared" si="364"/>
        <v>0.23282430158719461</v>
      </c>
      <c r="AI49" s="165" t="e">
        <f t="shared" ref="AI49:BN49" si="365">AI48/AI30</f>
        <v>#DIV/0!</v>
      </c>
      <c r="AJ49" s="165" t="e">
        <f t="shared" si="365"/>
        <v>#DIV/0!</v>
      </c>
      <c r="AK49" s="165" t="e">
        <f t="shared" si="365"/>
        <v>#DIV/0!</v>
      </c>
      <c r="AL49" s="165" t="e">
        <f t="shared" si="365"/>
        <v>#DIV/0!</v>
      </c>
      <c r="AM49" s="165" t="e">
        <f t="shared" si="365"/>
        <v>#DIV/0!</v>
      </c>
      <c r="AN49" s="165" t="e">
        <f t="shared" si="365"/>
        <v>#DIV/0!</v>
      </c>
      <c r="AO49" s="165" t="e">
        <f t="shared" si="365"/>
        <v>#DIV/0!</v>
      </c>
      <c r="AP49" s="165" t="e">
        <f t="shared" si="365"/>
        <v>#DIV/0!</v>
      </c>
      <c r="AQ49" s="165" t="e">
        <f t="shared" si="365"/>
        <v>#DIV/0!</v>
      </c>
      <c r="AR49" s="165" t="e">
        <f t="shared" si="365"/>
        <v>#DIV/0!</v>
      </c>
      <c r="AS49" s="165" t="e">
        <f t="shared" si="365"/>
        <v>#DIV/0!</v>
      </c>
      <c r="AT49" s="165" t="e">
        <f t="shared" si="365"/>
        <v>#DIV/0!</v>
      </c>
      <c r="AU49" s="165" t="e">
        <f t="shared" si="365"/>
        <v>#DIV/0!</v>
      </c>
      <c r="AV49" s="165" t="e">
        <f t="shared" si="365"/>
        <v>#DIV/0!</v>
      </c>
      <c r="AW49" s="165">
        <f t="shared" si="365"/>
        <v>8.4378685810922501E-3</v>
      </c>
      <c r="AX49" s="165">
        <f t="shared" si="365"/>
        <v>0.13746864283906002</v>
      </c>
      <c r="AY49" s="165">
        <f t="shared" si="365"/>
        <v>0.28042971069567224</v>
      </c>
      <c r="AZ49" s="165">
        <f t="shared" si="365"/>
        <v>0.19449932197006425</v>
      </c>
      <c r="BA49" s="165">
        <f t="shared" si="365"/>
        <v>6.0320925562586968E-2</v>
      </c>
      <c r="BB49" s="165">
        <f t="shared" si="365"/>
        <v>0.1560924343463409</v>
      </c>
      <c r="BC49" s="165">
        <f t="shared" si="365"/>
        <v>0.29417256695410471</v>
      </c>
      <c r="BD49" s="165">
        <f t="shared" si="365"/>
        <v>0.19247639727312726</v>
      </c>
      <c r="BE49" s="165">
        <f t="shared" si="365"/>
        <v>4.2872037914692067E-2</v>
      </c>
      <c r="BF49" s="165">
        <f t="shared" si="365"/>
        <v>0.15774454908336907</v>
      </c>
      <c r="BG49" s="165">
        <f t="shared" si="365"/>
        <v>0.27917505005752447</v>
      </c>
      <c r="BH49" s="165">
        <f t="shared" si="365"/>
        <v>0.18120811126351824</v>
      </c>
      <c r="BI49" s="165">
        <f t="shared" si="365"/>
        <v>6.0836259907817512E-2</v>
      </c>
      <c r="BJ49" s="165">
        <f t="shared" si="365"/>
        <v>0.16067086293221106</v>
      </c>
      <c r="BK49" s="165">
        <f t="shared" si="365"/>
        <v>0.28033833679540743</v>
      </c>
      <c r="BL49" s="165">
        <f t="shared" si="365"/>
        <v>0.18719068547260662</v>
      </c>
      <c r="BM49" s="165">
        <f t="shared" si="365"/>
        <v>9.4848165737208542E-2</v>
      </c>
      <c r="BN49" s="165">
        <f t="shared" si="365"/>
        <v>0.16174570546767728</v>
      </c>
      <c r="BO49" s="165">
        <f t="shared" ref="BO49:CT49" si="366">BO48/BO30</f>
        <v>0.23027735319778336</v>
      </c>
      <c r="BP49" s="165">
        <f t="shared" si="366"/>
        <v>0.21124088417282696</v>
      </c>
      <c r="BQ49" s="165">
        <f t="shared" si="366"/>
        <v>0.12940578905409963</v>
      </c>
      <c r="BR49" s="165">
        <f t="shared" si="366"/>
        <v>0.17029914873184432</v>
      </c>
      <c r="BS49" s="165">
        <f t="shared" si="366"/>
        <v>0.23299433229449207</v>
      </c>
      <c r="BT49" s="165">
        <f t="shared" si="366"/>
        <v>0.20626455804830213</v>
      </c>
      <c r="BU49" s="165">
        <f t="shared" si="366"/>
        <v>0.11968160707129827</v>
      </c>
      <c r="BV49" s="165">
        <f t="shared" si="366"/>
        <v>0.18779920720700313</v>
      </c>
      <c r="BW49" s="165">
        <f t="shared" si="366"/>
        <v>0.25240437836730539</v>
      </c>
      <c r="BX49" s="165">
        <f t="shared" si="366"/>
        <v>0.22004079808097912</v>
      </c>
      <c r="BY49" s="165">
        <f t="shared" si="366"/>
        <v>0.13887640652414937</v>
      </c>
      <c r="BZ49" s="165">
        <f t="shared" si="366"/>
        <v>0.20499438090406449</v>
      </c>
      <c r="CA49" s="165">
        <f t="shared" si="366"/>
        <v>0.26927673333687385</v>
      </c>
      <c r="CB49" s="165">
        <f t="shared" si="366"/>
        <v>0.22791282297058663</v>
      </c>
      <c r="CC49" s="165">
        <f t="shared" si="366"/>
        <v>0.15679751275354795</v>
      </c>
      <c r="CD49" s="165">
        <f t="shared" si="366"/>
        <v>0.22902231086789376</v>
      </c>
      <c r="CE49" s="165">
        <f t="shared" si="366"/>
        <v>0.27667850238062075</v>
      </c>
      <c r="CF49" s="165">
        <f t="shared" si="366"/>
        <v>0.23958333983740443</v>
      </c>
      <c r="CG49" s="165">
        <f t="shared" si="366"/>
        <v>0.15722518374578995</v>
      </c>
      <c r="CH49" s="165">
        <f t="shared" si="366"/>
        <v>0.22704845664625142</v>
      </c>
      <c r="CI49" s="165">
        <f t="shared" si="366"/>
        <v>0.28483216862839378</v>
      </c>
      <c r="CJ49" s="165">
        <f t="shared" si="366"/>
        <v>0.23431856473303186</v>
      </c>
      <c r="CK49" s="165">
        <f t="shared" ref="CK49:CL49" si="367">CK48/CK30</f>
        <v>0.15204369303469226</v>
      </c>
      <c r="CL49" s="165">
        <f t="shared" si="367"/>
        <v>0.23256507645808844</v>
      </c>
      <c r="CM49" s="166">
        <f t="shared" si="366"/>
        <v>0.23579815925864675</v>
      </c>
      <c r="CN49" s="166">
        <f t="shared" si="366"/>
        <v>0.22397710621407932</v>
      </c>
      <c r="CO49" s="166">
        <f t="shared" si="366"/>
        <v>0.22139175088757593</v>
      </c>
      <c r="CP49" s="166">
        <f t="shared" si="366"/>
        <v>0.23821238625603777</v>
      </c>
      <c r="CQ49" s="166">
        <f t="shared" si="366"/>
        <v>0.23960041263861698</v>
      </c>
      <c r="CR49" s="166">
        <f t="shared" si="366"/>
        <v>0.24052606600517293</v>
      </c>
      <c r="CS49" s="166">
        <f t="shared" si="366"/>
        <v>0.2317347806457993</v>
      </c>
      <c r="CT49" s="166">
        <f t="shared" si="366"/>
        <v>0.23434531423365737</v>
      </c>
      <c r="CU49" s="166">
        <f t="shared" ref="CU49:DA49" si="368">CU48/CU30</f>
        <v>0.23336783771031791</v>
      </c>
      <c r="CV49" s="166">
        <f t="shared" si="368"/>
        <v>0.23179435764019304</v>
      </c>
      <c r="CW49" s="166">
        <f t="shared" si="368"/>
        <v>0.2328105725574918</v>
      </c>
      <c r="CX49" s="166">
        <f t="shared" si="368"/>
        <v>0.23307952053541503</v>
      </c>
      <c r="CY49" s="166">
        <f t="shared" si="368"/>
        <v>0.23276307211085442</v>
      </c>
      <c r="CZ49" s="166">
        <f t="shared" si="368"/>
        <v>0.23261188071098859</v>
      </c>
      <c r="DA49" s="166">
        <f t="shared" si="368"/>
        <v>0.23281626147868748</v>
      </c>
      <c r="DB49"/>
      <c r="DD49" s="168"/>
    </row>
    <row r="50" spans="1:108" s="37" customFormat="1" x14ac:dyDescent="0.25">
      <c r="A50" s="38" t="s">
        <v>449</v>
      </c>
      <c r="B50" s="38"/>
      <c r="C50" s="38" t="e">
        <f t="shared" ref="C50:E50" si="369">+IF(B48&lt;0,1-C48/B48,C48/B48-1)</f>
        <v>#DIV/0!</v>
      </c>
      <c r="D50" s="38" t="e">
        <f t="shared" si="369"/>
        <v>#DIV/0!</v>
      </c>
      <c r="E50" s="38" t="e">
        <f t="shared" si="369"/>
        <v>#DIV/0!</v>
      </c>
      <c r="F50" s="38" t="e">
        <f t="shared" ref="F50:Y50" si="370">+IF(E48&lt;0,1-F48/E48,F48/E48-1)</f>
        <v>#DIV/0!</v>
      </c>
      <c r="G50" s="38">
        <f t="shared" si="370"/>
        <v>-9.643903495569417E-2</v>
      </c>
      <c r="H50" s="38">
        <f t="shared" si="370"/>
        <v>-1.4060916561133285E-2</v>
      </c>
      <c r="I50" s="38">
        <f t="shared" si="370"/>
        <v>8.6600901209282766E-2</v>
      </c>
      <c r="J50" s="38">
        <f t="shared" si="370"/>
        <v>0.13687778569997255</v>
      </c>
      <c r="K50" s="38">
        <f t="shared" si="370"/>
        <v>0.35020441367037347</v>
      </c>
      <c r="L50" s="38">
        <f t="shared" si="370"/>
        <v>0.32560993089930124</v>
      </c>
      <c r="M50" s="38">
        <f t="shared" si="370"/>
        <v>0.15904576551508565</v>
      </c>
      <c r="N50" s="38">
        <f t="shared" si="370"/>
        <v>0.63575438194523737</v>
      </c>
      <c r="O50" s="38">
        <f t="shared" si="370"/>
        <v>0.28063609622859698</v>
      </c>
      <c r="P50" s="38">
        <f t="shared" si="370"/>
        <v>0.32105930566806462</v>
      </c>
      <c r="Q50" s="38">
        <f t="shared" si="370"/>
        <v>0.65183531219841551</v>
      </c>
      <c r="R50" s="38">
        <f t="shared" si="370"/>
        <v>0.25020362260273621</v>
      </c>
      <c r="S50" s="38">
        <f t="shared" si="370"/>
        <v>5.0302252012403459E-2</v>
      </c>
      <c r="T50" s="38">
        <f t="shared" si="370"/>
        <v>0.2129269674648846</v>
      </c>
      <c r="U50" s="38">
        <f t="shared" si="370"/>
        <v>0.43812074226982456</v>
      </c>
      <c r="V50" s="38">
        <f t="shared" si="370"/>
        <v>-0.16946769516931937</v>
      </c>
      <c r="W50" s="38">
        <f t="shared" si="370"/>
        <v>0.3807389683360447</v>
      </c>
      <c r="X50" s="38">
        <f t="shared" si="370"/>
        <v>0.67335455089202623</v>
      </c>
      <c r="Y50" s="38">
        <f t="shared" si="370"/>
        <v>0.29468651886802633</v>
      </c>
      <c r="Z50" s="38">
        <f t="shared" ref="Z50:AE50" si="371">+IF(Y48&lt;0,1-Z48/Y48,Z48/Y48-1)</f>
        <v>0.30568890946580685</v>
      </c>
      <c r="AA50" s="39">
        <f t="shared" si="371"/>
        <v>6.4472062338212899E-2</v>
      </c>
      <c r="AB50" s="39">
        <f t="shared" si="371"/>
        <v>0.13331331046885198</v>
      </c>
      <c r="AC50" s="39">
        <f t="shared" si="371"/>
        <v>0.20404356590381045</v>
      </c>
      <c r="AD50" s="39">
        <f t="shared" si="371"/>
        <v>5.2320186122995826E-2</v>
      </c>
      <c r="AE50" s="39">
        <f t="shared" si="371"/>
        <v>0.19852157330665854</v>
      </c>
      <c r="AI50" s="38"/>
      <c r="AJ50" s="38"/>
      <c r="AK50" s="38"/>
      <c r="AL50" s="38"/>
      <c r="AM50" s="38" t="e">
        <f>+IF(AI48&lt;0,1-AM48/AI48,AM48/AI48-1)</f>
        <v>#DIV/0!</v>
      </c>
      <c r="AN50" s="38" t="e">
        <f t="shared" ref="AN50" si="372">+IF(AJ48&lt;0,1-AN48/AJ48,AN48/AJ48-1)</f>
        <v>#DIV/0!</v>
      </c>
      <c r="AO50" s="38" t="e">
        <f t="shared" ref="AO50" si="373">+IF(AK48&lt;0,1-AO48/AK48,AO48/AK48-1)</f>
        <v>#DIV/0!</v>
      </c>
      <c r="AP50" s="38" t="e">
        <f t="shared" ref="AP50" si="374">+IF(AL48&lt;0,1-AP48/AL48,AP48/AL48-1)</f>
        <v>#DIV/0!</v>
      </c>
      <c r="AQ50" s="38" t="e">
        <f t="shared" ref="AQ50" si="375">+IF(AM48&lt;0,1-AQ48/AM48,AQ48/AM48-1)</f>
        <v>#DIV/0!</v>
      </c>
      <c r="AR50" s="38" t="e">
        <f t="shared" ref="AR50" si="376">+IF(AN48&lt;0,1-AR48/AN48,AR48/AN48-1)</f>
        <v>#DIV/0!</v>
      </c>
      <c r="AS50" s="38" t="e">
        <f t="shared" ref="AS50" si="377">+IF(AO48&lt;0,1-AS48/AO48,AS48/AO48-1)</f>
        <v>#DIV/0!</v>
      </c>
      <c r="AT50" s="38" t="e">
        <f t="shared" ref="AT50" si="378">+IF(AP48&lt;0,1-AT48/AP48,AT48/AP48-1)</f>
        <v>#DIV/0!</v>
      </c>
      <c r="AU50" s="38" t="e">
        <f t="shared" ref="AU50" si="379">+IF(AQ48&lt;0,1-AU48/AQ48,AU48/AQ48-1)</f>
        <v>#DIV/0!</v>
      </c>
      <c r="AV50" s="38" t="e">
        <f t="shared" ref="AV50" si="380">+IF(AR48&lt;0,1-AV48/AR48,AV48/AR48-1)</f>
        <v>#DIV/0!</v>
      </c>
      <c r="AW50" s="38" t="e">
        <f t="shared" ref="AW50" si="381">+IF(AS48&lt;0,1-AW48/AS48,AW48/AS48-1)</f>
        <v>#DIV/0!</v>
      </c>
      <c r="AX50" s="38" t="e">
        <f t="shared" ref="AX50" si="382">+IF(AT48&lt;0,1-AX48/AT48,AX48/AT48-1)</f>
        <v>#DIV/0!</v>
      </c>
      <c r="AY50" s="38" t="e">
        <f t="shared" ref="AY50" si="383">+IF(AU48&lt;0,1-AY48/AU48,AY48/AU48-1)</f>
        <v>#DIV/0!</v>
      </c>
      <c r="AZ50" s="38" t="e">
        <f t="shared" ref="AZ50" si="384">+IF(AV48&lt;0,1-AZ48/AV48,AZ48/AV48-1)</f>
        <v>#DIV/0!</v>
      </c>
      <c r="BA50" s="38">
        <f t="shared" ref="BA50" si="385">+IF(AW48&lt;0,1-BA48/AW48,BA48/AW48-1)</f>
        <v>6.942389326864836</v>
      </c>
      <c r="BB50" s="38">
        <f t="shared" ref="BB50" si="386">+IF(AX48&lt;0,1-BB48/AX48,BB48/AX48-1)</f>
        <v>0.14877409741928438</v>
      </c>
      <c r="BC50" s="38">
        <f t="shared" ref="BC50" si="387">+IF(AY48&lt;0,1-BC48/AY48,BC48/AY48-1)</f>
        <v>3.1904201492985784E-2</v>
      </c>
      <c r="BD50" s="38">
        <f t="shared" ref="BD50" si="388">+IF(AZ48&lt;0,1-BD48/AZ48,BD48/AZ48-1)</f>
        <v>6.2370383949951425E-2</v>
      </c>
      <c r="BE50" s="38">
        <f t="shared" ref="BE50" si="389">+IF(BA48&lt;0,1-BE48/BA48,BE48/BA48-1)</f>
        <v>-0.13663434374283989</v>
      </c>
      <c r="BF50" s="38">
        <f t="shared" ref="BF50" si="390">+IF(BB48&lt;0,1-BF48/BB48,BF48/BB48-1)</f>
        <v>0.2583724387187043</v>
      </c>
      <c r="BG50" s="38">
        <f t="shared" ref="BG50" si="391">+IF(BC48&lt;0,1-BG48/BC48,BG48/BC48-1)</f>
        <v>0.19637460978147891</v>
      </c>
      <c r="BH50" s="38">
        <f t="shared" ref="BH50" si="392">+IF(BD48&lt;0,1-BH48/BD48,BH48/BD48-1)</f>
        <v>0.1391278088448622</v>
      </c>
      <c r="BI50" s="38">
        <f t="shared" ref="BI50" si="393">+IF(BE48&lt;0,1-BI48/BE48,BI48/BE48-1)</f>
        <v>1.1133760778244408</v>
      </c>
      <c r="BJ50" s="38">
        <f t="shared" ref="BJ50" si="394">+IF(BF48&lt;0,1-BJ48/BF48,BJ48/BF48-1)</f>
        <v>0.26451990225485567</v>
      </c>
      <c r="BK50" s="38">
        <f t="shared" ref="BK50" si="395">+IF(BG48&lt;0,1-BK48/BG48,BK48/BG48-1)</f>
        <v>0.37056107769222879</v>
      </c>
      <c r="BL50" s="38">
        <f t="shared" ref="BL50" si="396">+IF(BH48&lt;0,1-BL48/BH48,BL48/BH48-1)</f>
        <v>0.54166094650186203</v>
      </c>
      <c r="BM50" s="38">
        <f t="shared" ref="BM50" si="397">+IF(BI48&lt;0,1-BM48/BI48,BM48/BI48-1)</f>
        <v>1.4216010377871777</v>
      </c>
      <c r="BN50" s="38">
        <f t="shared" ref="BN50" si="398">+IF(BJ48&lt;0,1-BN48/BJ48,BN48/BJ48-1)</f>
        <v>0.24169891242129404</v>
      </c>
      <c r="BO50" s="38">
        <f t="shared" ref="BO50" si="399">+IF(BK48&lt;0,1-BO48/BK48,BO48/BK48-1)</f>
        <v>-0.52061486676871305</v>
      </c>
      <c r="BP50" s="38">
        <f t="shared" ref="BP50" si="400">+IF(BL48&lt;0,1-BP48/BL48,BP48/BL48-1)</f>
        <v>0.16927980544245247</v>
      </c>
      <c r="BQ50" s="38">
        <f t="shared" ref="BQ50" si="401">+IF(BM48&lt;0,1-BQ48/BM48,BQ48/BM48-1)</f>
        <v>0.48805923724273437</v>
      </c>
      <c r="BR50" s="38">
        <f t="shared" ref="BR50" si="402">+IF(BN48&lt;0,1-BR48/BN48,BR48/BN48-1)</f>
        <v>0.40738910442697196</v>
      </c>
      <c r="BS50" s="38">
        <f t="shared" ref="BS50" si="403">+IF(BO48&lt;0,1-BS48/BO48,BS48/BO48-1)</f>
        <v>0.51126432034143776</v>
      </c>
      <c r="BT50" s="38">
        <f t="shared" ref="BT50" si="404">+IF(BP48&lt;0,1-BT48/BP48,BT48/BP48-1)</f>
        <v>0.29902308358938146</v>
      </c>
      <c r="BU50" s="38">
        <f t="shared" ref="BU50" si="405">+IF(BQ48&lt;0,1-BU48/BQ48,BU48/BQ48-1)</f>
        <v>0.2052141094498503</v>
      </c>
      <c r="BV50" s="38">
        <f t="shared" ref="BV50" si="406">+IF(BR48&lt;0,1-BV48/BR48,BV48/BR48-1)</f>
        <v>0.39142135411480306</v>
      </c>
      <c r="BW50" s="38">
        <f t="shared" ref="BW50" si="407">+IF(BS48&lt;0,1-BW48/BS48,BW48/BS48-1)</f>
        <v>1.190989838822706</v>
      </c>
      <c r="BX50" s="38">
        <f t="shared" ref="BX50" si="408">+IF(BT48&lt;0,1-BX48/BT48,BX48/BT48-1)</f>
        <v>0.41307780170017394</v>
      </c>
      <c r="BY50" s="38">
        <f t="shared" ref="BY50" si="409">+IF(BU48&lt;0,1-BY48/BU48,BY48/BU48-1)</f>
        <v>0.48146631465350986</v>
      </c>
      <c r="BZ50" s="38">
        <f t="shared" ref="BZ50" si="410">+IF(BV48&lt;0,1-BZ48/BV48,BZ48/BV48-1)</f>
        <v>0.5029049128337848</v>
      </c>
      <c r="CA50" s="38">
        <f t="shared" ref="CA50" si="411">+IF(BW48&lt;0,1-CA48/BW48,CA48/BW48-1)</f>
        <v>0.20821962279418904</v>
      </c>
      <c r="CB50" s="38">
        <f t="shared" ref="CB50" si="412">+IF(BX48&lt;0,1-CB48/BX48,CB48/BX48-1)</f>
        <v>0.26202813790261925</v>
      </c>
      <c r="CC50" s="38">
        <f t="shared" ref="CC50" si="413">+IF(BY48&lt;0,1-CC48/BY48,CC48/BY48-1)</f>
        <v>0.36026080876733624</v>
      </c>
      <c r="CD50" s="38">
        <f t="shared" ref="CD50" si="414">+IF(BZ48&lt;0,1-CD48/BZ48,CD48/BZ48-1)</f>
        <v>0.23898987266270311</v>
      </c>
      <c r="CE50" s="38">
        <f t="shared" ref="CE50" si="415">+IF(CA48&lt;0,1-CE48/CA48,CE48/CA48-1)</f>
        <v>0.31779658773543562</v>
      </c>
      <c r="CF50" s="38">
        <f t="shared" ref="CF50" si="416">+IF(CB48&lt;0,1-CF48/CB48,CF48/CB48-1)</f>
        <v>0.30491985399142951</v>
      </c>
      <c r="CG50" s="38">
        <f t="shared" ref="CG50" si="417">+IF(CC48&lt;0,1-CG48/CC48,CG48/CC48-1)</f>
        <v>0.3865384293559222</v>
      </c>
      <c r="CH50" s="38">
        <f t="shared" ref="CH50:CJ50" si="418">+IF(CD48&lt;0,1-CH48/CD48,CH48/CD48-1)</f>
        <v>0.27833116395165369</v>
      </c>
      <c r="CI50" s="38">
        <f t="shared" si="418"/>
        <v>3.7946642681341292E-3</v>
      </c>
      <c r="CJ50" s="38">
        <f t="shared" si="418"/>
        <v>-3.2542163211189967E-3</v>
      </c>
      <c r="CK50" s="38">
        <f t="shared" ref="CK50" si="419">+IF(CG48&lt;0,1-CK48/CG48,CK48/CG48-1)</f>
        <v>0.10222062827279266</v>
      </c>
      <c r="CL50" s="38">
        <f t="shared" ref="CL50" si="420">+IF(CH48&lt;0,1-CL48/CH48,CL48/CH48-1)</f>
        <v>0.20962859701700465</v>
      </c>
      <c r="CM50" s="39">
        <f t="shared" ref="CM50" si="421">+CM48/CI48-1</f>
        <v>-7.4976345435858738E-2</v>
      </c>
      <c r="CN50" s="39">
        <f t="shared" ref="CN50" si="422">+CN48/CJ48-1</f>
        <v>9.4985524786966646E-2</v>
      </c>
      <c r="CO50" s="39">
        <f t="shared" ref="CO50" si="423">+CO48/CK48-1</f>
        <v>0.70247550367409639</v>
      </c>
      <c r="CP50" s="39">
        <f t="shared" ref="CP50" si="424">+CP48/CL48-1</f>
        <v>0.2127354965342636</v>
      </c>
      <c r="CQ50" s="39">
        <f t="shared" ref="CQ50" si="425">+CQ48/CM48-1</f>
        <v>0.17369820851538997</v>
      </c>
      <c r="CR50" s="39">
        <f t="shared" ref="CR50" si="426">+CR48/CN48-1</f>
        <v>0.23542523594487652</v>
      </c>
      <c r="CS50" s="39">
        <f t="shared" ref="CS50" si="427">+CS48/CO48-1</f>
        <v>0.20715837221839162</v>
      </c>
      <c r="CT50" s="39">
        <f t="shared" ref="CT50" si="428">+CT48/CP48-1</f>
        <v>5.2573788250643183E-2</v>
      </c>
      <c r="CU50" s="39">
        <f t="shared" ref="CU50" si="429">+CU48/CQ48-1</f>
        <v>4.5177697571695985E-2</v>
      </c>
      <c r="CV50" s="39">
        <f t="shared" ref="CV50" si="430">+CV48/CR48-1</f>
        <v>3.624041421399693E-2</v>
      </c>
      <c r="CW50" s="39">
        <f t="shared" ref="CW50" si="431">+CW48/CS48-1</f>
        <v>8.2757344784729847E-2</v>
      </c>
      <c r="CX50" s="39">
        <f t="shared" ref="CX50" si="432">+CX48/CT48-1</f>
        <v>0.19041858147322488</v>
      </c>
      <c r="CY50" s="39">
        <f t="shared" ref="CY50" si="433">+CY48/CU48-1</f>
        <v>0.19599542727366881</v>
      </c>
      <c r="CZ50" s="39">
        <f t="shared" ref="CZ50" si="434">+CZ48/CV48-1</f>
        <v>0.20589695470942959</v>
      </c>
      <c r="DA50" s="39">
        <f t="shared" ref="DA50" si="435">+DA48/CW48-1</f>
        <v>0.20532750237206088</v>
      </c>
      <c r="DB50"/>
      <c r="DD50" s="121"/>
    </row>
    <row r="51" spans="1:108" s="37" customFormat="1" x14ac:dyDescent="0.25">
      <c r="A51" s="38" t="s">
        <v>450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9"/>
      <c r="AB51" s="39"/>
      <c r="AC51" s="39"/>
      <c r="AD51" s="39"/>
      <c r="AE51" s="39"/>
      <c r="AI51" s="38"/>
      <c r="AJ51" s="38" t="e">
        <f>+IF(AI48&lt;0,1-AJ48/AI48,AJ48/AI48-1)</f>
        <v>#DIV/0!</v>
      </c>
      <c r="AK51" s="38" t="e">
        <f t="shared" ref="AK51:AM51" si="436">+IF(AJ48&lt;0,1-AK48/AJ48,AK48/AJ48-1)</f>
        <v>#DIV/0!</v>
      </c>
      <c r="AL51" s="38" t="e">
        <f t="shared" si="436"/>
        <v>#DIV/0!</v>
      </c>
      <c r="AM51" s="38" t="e">
        <f t="shared" si="436"/>
        <v>#DIV/0!</v>
      </c>
      <c r="AN51" s="38" t="e">
        <f t="shared" ref="AN51" si="437">+IF(AM48&lt;0,1-AN48/AM48,AN48/AM48-1)</f>
        <v>#DIV/0!</v>
      </c>
      <c r="AO51" s="38" t="e">
        <f t="shared" ref="AO51" si="438">+IF(AN48&lt;0,1-AO48/AN48,AO48/AN48-1)</f>
        <v>#DIV/0!</v>
      </c>
      <c r="AP51" s="38" t="e">
        <f t="shared" ref="AP51" si="439">+IF(AO48&lt;0,1-AP48/AO48,AP48/AO48-1)</f>
        <v>#DIV/0!</v>
      </c>
      <c r="AQ51" s="38" t="e">
        <f t="shared" ref="AQ51" si="440">+IF(AP48&lt;0,1-AQ48/AP48,AQ48/AP48-1)</f>
        <v>#DIV/0!</v>
      </c>
      <c r="AR51" s="38" t="e">
        <f t="shared" ref="AR51" si="441">+IF(AQ48&lt;0,1-AR48/AQ48,AR48/AQ48-1)</f>
        <v>#DIV/0!</v>
      </c>
      <c r="AS51" s="38" t="e">
        <f t="shared" ref="AS51" si="442">+IF(AR48&lt;0,1-AS48/AR48,AS48/AR48-1)</f>
        <v>#DIV/0!</v>
      </c>
      <c r="AT51" s="38" t="e">
        <f t="shared" ref="AT51" si="443">+IF(AS48&lt;0,1-AT48/AS48,AT48/AS48-1)</f>
        <v>#DIV/0!</v>
      </c>
      <c r="AU51" s="38" t="e">
        <f t="shared" ref="AU51" si="444">+IF(AT48&lt;0,1-AU48/AT48,AU48/AT48-1)</f>
        <v>#DIV/0!</v>
      </c>
      <c r="AV51" s="38" t="e">
        <f t="shared" ref="AV51" si="445">+IF(AU48&lt;0,1-AV48/AU48,AV48/AU48-1)</f>
        <v>#DIV/0!</v>
      </c>
      <c r="AW51" s="38" t="e">
        <f t="shared" ref="AW51" si="446">+IF(AV48&lt;0,1-AW48/AV48,AW48/AV48-1)</f>
        <v>#DIV/0!</v>
      </c>
      <c r="AX51" s="38">
        <f t="shared" ref="AX51" si="447">+IF(AW48&lt;0,1-AX48/AW48,AX48/AW48-1)</f>
        <v>35.222862340812881</v>
      </c>
      <c r="AY51" s="38">
        <f t="shared" ref="AY51" si="448">+IF(AX48&lt;0,1-AY48/AX48,AY48/AX48-1)</f>
        <v>2.8978093635686397</v>
      </c>
      <c r="AZ51" s="38">
        <f t="shared" ref="AZ51" si="449">+IF(AY48&lt;0,1-AZ48/AY48,AZ48/AY48-1)</f>
        <v>-0.62513422271091201</v>
      </c>
      <c r="BA51" s="38">
        <f t="shared" ref="BA51" si="450">+IF(AZ48&lt;0,1-BA48/AZ48,BA48/AZ48-1)</f>
        <v>-0.84993755514052949</v>
      </c>
      <c r="BB51" s="38">
        <f t="shared" ref="BB51" si="451">+IF(BA48&lt;0,1-BB48/BA48,BB48/BA48-1)</f>
        <v>4.2392150874245926</v>
      </c>
      <c r="BC51" s="38">
        <f t="shared" ref="BC51" si="452">+IF(BB48&lt;0,1-BC48/BB48,BC48/BB48-1)</f>
        <v>2.5012678888921296</v>
      </c>
      <c r="BD51" s="38">
        <f t="shared" ref="BD51" si="453">+IF(BC48&lt;0,1-BD48/BC48,BD48/BC48-1)</f>
        <v>-0.61406659729448498</v>
      </c>
      <c r="BE51" s="38">
        <f t="shared" ref="BE51" si="454">+IF(BD48&lt;0,1-BE48/BD48,BE48/BD48-1)</f>
        <v>-0.87804746523152877</v>
      </c>
      <c r="BF51" s="38">
        <f t="shared" ref="BF51" si="455">+IF(BE48&lt;0,1-BF48/BE48,BF48/BE48-1)</f>
        <v>6.6362591200530385</v>
      </c>
      <c r="BG51" s="38">
        <f t="shared" ref="BG51" si="456">+IF(BF48&lt;0,1-BG48/BF48,BG48/BF48-1)</f>
        <v>2.3287664887025645</v>
      </c>
      <c r="BH51" s="38">
        <f t="shared" ref="BH51" si="457">+IF(BG48&lt;0,1-BH48/BG48,BH48/BG48-1)</f>
        <v>-0.63253359960198896</v>
      </c>
      <c r="BI51" s="38">
        <f t="shared" ref="BI51" si="458">+IF(BH48&lt;0,1-BI48/BH48,BI48/BH48-1)</f>
        <v>-0.77374657381853018</v>
      </c>
      <c r="BJ51" s="38">
        <f t="shared" ref="BJ51" si="459">+IF(BI48&lt;0,1-BJ48/BI48,BJ48/BI48-1)</f>
        <v>3.5690881700632007</v>
      </c>
      <c r="BK51" s="38">
        <f t="shared" ref="BK51" si="460">+IF(BJ48&lt;0,1-BK48/BJ48,BK48/BJ48-1)</f>
        <v>2.6079129937034913</v>
      </c>
      <c r="BL51" s="38">
        <f t="shared" ref="BL51" si="461">+IF(BK48&lt;0,1-BL48/BK48,BL48/BK48-1)</f>
        <v>-0.58665935589012541</v>
      </c>
      <c r="BM51" s="38">
        <f t="shared" ref="BM51" si="462">+IF(BL48&lt;0,1-BM48/BL48,BM48/BL48-1)</f>
        <v>-0.6446069851563887</v>
      </c>
      <c r="BN51" s="38">
        <f t="shared" ref="BN51" si="463">+IF(BM48&lt;0,1-BN48/BM48,BN48/BM48-1)</f>
        <v>1.3428433185297823</v>
      </c>
      <c r="BO51" s="38">
        <f t="shared" ref="BO51" si="464">+IF(BN48&lt;0,1-BO48/BN48,BO48/BN48-1)</f>
        <v>0.39291404210122516</v>
      </c>
      <c r="BP51" s="38">
        <f t="shared" ref="BP51" si="465">+IF(BO48&lt;0,1-BP48/BO48,BP48/BO48-1)</f>
        <v>8.1891039642885133E-3</v>
      </c>
      <c r="BQ51" s="38">
        <f t="shared" ref="BQ51" si="466">+IF(BP48&lt;0,1-BQ48/BP48,BQ48/BP48-1)</f>
        <v>-0.5477165891961453</v>
      </c>
      <c r="BR51" s="38">
        <f t="shared" ref="BR51" si="467">+IF(BQ48&lt;0,1-BR48/BQ48,BR48/BQ48-1)</f>
        <v>1.2158339381622922</v>
      </c>
      <c r="BS51" s="38">
        <f t="shared" ref="BS51" si="468">+IF(BR48&lt;0,1-BS48/BR48,BS48/BR48-1)</f>
        <v>0.4957208965940112</v>
      </c>
      <c r="BT51" s="38">
        <f t="shared" ref="BT51" si="469">+IF(BS48&lt;0,1-BT48/BS48,BT48/BS48-1)</f>
        <v>-0.13340049053959291</v>
      </c>
      <c r="BU51" s="38">
        <f t="shared" ref="BU51" si="470">+IF(BT48&lt;0,1-BU48/BT48,BU48/BT48-1)</f>
        <v>-0.58037824342218314</v>
      </c>
      <c r="BV51" s="38">
        <f t="shared" ref="BV51" si="471">+IF(BU48&lt;0,1-BV48/BU48,BV48/BU48-1)</f>
        <v>1.5581833423263665</v>
      </c>
      <c r="BW51" s="38">
        <f t="shared" ref="BW51" si="472">+IF(BV48&lt;0,1-BW48/BV48,BW48/BV48-1)</f>
        <v>1.3552242291387735</v>
      </c>
      <c r="BX51" s="38">
        <f t="shared" ref="BX51" si="473">+IF(BW48&lt;0,1-BX48/BW48,BX48/BW48-1)</f>
        <v>-0.44108707941759961</v>
      </c>
      <c r="BY51" s="38">
        <f t="shared" ref="BY51" si="474">+IF(BX48&lt;0,1-BY48/BX48,BY48/BX48-1)</f>
        <v>-0.56006987264408736</v>
      </c>
      <c r="BZ51" s="38">
        <f t="shared" ref="BZ51" si="475">+IF(BY48&lt;0,1-BZ48/BY48,BZ48/BY48-1)</f>
        <v>1.5952033300271564</v>
      </c>
      <c r="CA51" s="38">
        <f t="shared" ref="CA51" si="476">+IF(BZ48&lt;0,1-CA48/BZ48,CA48/BZ48-1)</f>
        <v>0.89341860913891291</v>
      </c>
      <c r="CB51" s="38">
        <f t="shared" ref="CB51" si="477">+IF(CA48&lt;0,1-CB48/CA48,CB48/CA48-1)</f>
        <v>-0.41619568238673232</v>
      </c>
      <c r="CC51" s="38">
        <f t="shared" ref="CC51" si="478">+IF(CB48&lt;0,1-CC48/CB48,CC48/CB48-1)</f>
        <v>-0.52582696624118674</v>
      </c>
      <c r="CD51" s="38">
        <f t="shared" ref="CD51" si="479">+IF(CC48&lt;0,1-CD48/CC48,CD48/CC48-1)</f>
        <v>1.3638339226416307</v>
      </c>
      <c r="CE51" s="38">
        <f t="shared" ref="CE51" si="480">+IF(CD48&lt;0,1-CE48/CD48,CE48/CD48-1)</f>
        <v>1.0138506676537618</v>
      </c>
      <c r="CF51" s="38">
        <f t="shared" ref="CF51" si="481">+IF(CE48&lt;0,1-CF48/CE48,CF48/CE48-1)</f>
        <v>-0.42190027505791661</v>
      </c>
      <c r="CG51" s="38">
        <f t="shared" ref="CG51" si="482">+IF(CF48&lt;0,1-CG48/CF48,CG48/CF48-1)</f>
        <v>-0.49616895515853221</v>
      </c>
      <c r="CH51" s="38">
        <f t="shared" ref="CH51:CI51" si="483">+IF(CG48&lt;0,1-CH48/CG48,CH48/CG48-1)</f>
        <v>1.1793572437242541</v>
      </c>
      <c r="CI51" s="38">
        <f t="shared" si="483"/>
        <v>0.58135279169343512</v>
      </c>
      <c r="CJ51" s="38">
        <f>+IF(CI48&gt;1,CJ48/CI48-1,1-CJ48/CI48)</f>
        <v>-0.42595982635346752</v>
      </c>
      <c r="CK51" s="38">
        <f t="shared" ref="CK51:CL51" si="484">+IF(CJ48&gt;1,CK48/CJ48-1,1-CK48/CJ48)</f>
        <v>-0.44285395546011119</v>
      </c>
      <c r="CL51" s="38">
        <f t="shared" si="484"/>
        <v>1.3917288222558737</v>
      </c>
      <c r="CM51" s="39">
        <f t="shared" ref="CM51" si="485">+CM48/CL48-1</f>
        <v>0.20928749711669137</v>
      </c>
      <c r="CN51" s="39">
        <f t="shared" ref="CN51" si="486">+CN48/CM48-1</f>
        <v>-0.32048691113167094</v>
      </c>
      <c r="CO51" s="39">
        <f t="shared" ref="CO51" si="487">+CO48/CN48-1</f>
        <v>-0.13375339552308951</v>
      </c>
      <c r="CP51" s="39">
        <f t="shared" ref="CP51" si="488">+CP48/CO48-1</f>
        <v>0.70371581533723715</v>
      </c>
      <c r="CQ51" s="39">
        <f t="shared" ref="CQ51" si="489">+CQ48/CP48-1</f>
        <v>0.17036119830093543</v>
      </c>
      <c r="CR51" s="39">
        <f t="shared" ref="CR51" si="490">+CR48/CQ48-1</f>
        <v>-0.28475002172436259</v>
      </c>
      <c r="CS51" s="39">
        <f t="shared" ref="CS51" si="491">+CS48/CR48-1</f>
        <v>-0.15357335225527624</v>
      </c>
      <c r="CT51" s="39">
        <f t="shared" ref="CT51" si="492">+CT48/CS48-1</f>
        <v>0.48554377878068378</v>
      </c>
      <c r="CU51" s="39">
        <f t="shared" ref="CU51" si="493">+CU48/CT48-1</f>
        <v>0.16213745413555847</v>
      </c>
      <c r="CV51" s="39">
        <f t="shared" ref="CV51" si="494">+CV48/CU48-1</f>
        <v>-0.29086610298240057</v>
      </c>
      <c r="CW51" s="39">
        <f t="shared" ref="CW51" si="495">+CW48/CV48-1</f>
        <v>-0.11557717968153547</v>
      </c>
      <c r="CX51" s="39">
        <f t="shared" ref="CX51" si="496">+CX48/CW48-1</f>
        <v>0.63325506529264586</v>
      </c>
      <c r="CY51" s="39">
        <f t="shared" ref="CY51" si="497">+CY48/CX48-1</f>
        <v>0.16758180915613741</v>
      </c>
      <c r="CZ51" s="39">
        <f t="shared" ref="CZ51" si="498">+CZ48/CY48-1</f>
        <v>-0.28499525383295721</v>
      </c>
      <c r="DA51" s="39">
        <f t="shared" ref="DA51" si="499">+DA48/CZ48-1</f>
        <v>-0.11599482452281784</v>
      </c>
      <c r="DB51"/>
      <c r="DD51" s="121"/>
    </row>
    <row r="52" spans="1:108" s="22" customFormat="1" x14ac:dyDescent="0.25">
      <c r="A52" s="22" t="s">
        <v>15</v>
      </c>
      <c r="B52" s="22">
        <f>'Annual Raw'!C27</f>
        <v>0</v>
      </c>
      <c r="C52" s="22">
        <f>'Annual Raw'!D27</f>
        <v>0</v>
      </c>
      <c r="D52" s="22">
        <f>'Annual Raw'!E27</f>
        <v>0</v>
      </c>
      <c r="E52" s="22">
        <f>'Annual Raw'!F27</f>
        <v>0</v>
      </c>
      <c r="F52" s="22">
        <f>'Annual Raw'!G27</f>
        <v>18.074276900000001</v>
      </c>
      <c r="G52" s="22">
        <f>'Annual Raw'!H27</f>
        <v>25.204786800000001</v>
      </c>
      <c r="H52" s="22">
        <f>'Annual Raw'!I27</f>
        <v>26.143208600000001</v>
      </c>
      <c r="I52" s="22">
        <f>'Annual Raw'!J27</f>
        <v>18.588623599999998</v>
      </c>
      <c r="J52" s="22">
        <f>'Annual Raw'!K27</f>
        <v>23.400851800000002</v>
      </c>
      <c r="K52" s="22">
        <f>'Annual Raw'!L27</f>
        <v>35.418050200000003</v>
      </c>
      <c r="L52" s="22">
        <f>'Annual Raw'!M27</f>
        <v>48.367688999999999</v>
      </c>
      <c r="M52" s="22">
        <f>'Annual Raw'!N27</f>
        <v>55.933999999999997</v>
      </c>
      <c r="N52" s="22">
        <f>'Annual Raw'!O27</f>
        <v>135.78899999999999</v>
      </c>
      <c r="O52" s="22">
        <f>'Annual Raw'!P27</f>
        <v>184.358</v>
      </c>
      <c r="P52" s="22">
        <f>'Annual Raw'!Q27</f>
        <v>210.05500000000001</v>
      </c>
      <c r="Q52" s="22">
        <f>'Annual Raw'!R27</f>
        <v>317.40899999999999</v>
      </c>
      <c r="R52" s="22">
        <f>'Annual Raw'!S27</f>
        <v>322.20800000000003</v>
      </c>
      <c r="S52" s="22">
        <f>'Annual Raw'!T27</f>
        <v>346.64100000000002</v>
      </c>
      <c r="T52" s="22">
        <f>'Annual Raw'!U27</f>
        <v>385.07</v>
      </c>
      <c r="U52" s="22">
        <f>'Annual Raw'!V27</f>
        <v>488.62799999999999</v>
      </c>
      <c r="V52" s="22">
        <f>'Annual Raw'!W27</f>
        <v>528.702</v>
      </c>
      <c r="W52" s="22">
        <f>'Annual Raw'!X27</f>
        <v>531.26199999999994</v>
      </c>
      <c r="X52" s="22">
        <f>'Annual Raw'!Y27</f>
        <v>617.18899999999996</v>
      </c>
      <c r="Y52" s="22">
        <f>'Annual Raw'!Z27</f>
        <v>680.90599999999995</v>
      </c>
      <c r="Z52" s="22">
        <f>'Annual Raw'!AA27</f>
        <v>947.38599999999997</v>
      </c>
      <c r="AA52" s="75">
        <f>SUM(CH52:CK52)</f>
        <v>1216.463</v>
      </c>
      <c r="AB52" s="75">
        <f>+SUM(CL52:CO52)</f>
        <v>1538.3506214763997</v>
      </c>
      <c r="AC52" s="75">
        <f>+SUM(CP52:CS52)</f>
        <v>1612.7287966634785</v>
      </c>
      <c r="AD52" s="75">
        <f>+SUM(CT52:CW52)</f>
        <v>1651.4612795507778</v>
      </c>
      <c r="AE52" s="75">
        <f>+SUM(CX52:DA52)</f>
        <v>1686.3199778197272</v>
      </c>
      <c r="AI52" s="22">
        <f>'QTR Raw'!C28</f>
        <v>0</v>
      </c>
      <c r="AJ52" s="22">
        <f>'QTR Raw'!D28</f>
        <v>0</v>
      </c>
      <c r="AK52" s="22">
        <f>'QTR Raw'!E28</f>
        <v>0</v>
      </c>
      <c r="AL52" s="22">
        <f>'QTR Raw'!F28</f>
        <v>0</v>
      </c>
      <c r="AM52" s="22">
        <f>'QTR Raw'!G28</f>
        <v>0</v>
      </c>
      <c r="AN52" s="22">
        <f>'QTR Raw'!H28</f>
        <v>0</v>
      </c>
      <c r="AO52" s="22">
        <f>'QTR Raw'!I28</f>
        <v>0</v>
      </c>
      <c r="AP52" s="22">
        <f>'QTR Raw'!J28</f>
        <v>0</v>
      </c>
      <c r="AQ52" s="22">
        <f>'QTR Raw'!K28</f>
        <v>0</v>
      </c>
      <c r="AR52" s="22">
        <f>'QTR Raw'!L28</f>
        <v>0</v>
      </c>
      <c r="AS52" s="22">
        <f>'QTR Raw'!M28</f>
        <v>0</v>
      </c>
      <c r="AT52" s="22">
        <f>'QTR Raw'!N28</f>
        <v>0</v>
      </c>
      <c r="AU52" s="22">
        <f>'QTR Raw'!O28</f>
        <v>0</v>
      </c>
      <c r="AV52" s="22">
        <f>'QTR Raw'!P28</f>
        <v>0</v>
      </c>
      <c r="AW52" s="22">
        <f>'QTR Raw'!Q28</f>
        <v>88.622</v>
      </c>
      <c r="AX52" s="22">
        <f>'QTR Raw'!R28</f>
        <v>77.45</v>
      </c>
      <c r="AY52" s="22">
        <f>'QTR Raw'!S28</f>
        <v>76.866</v>
      </c>
      <c r="AZ52" s="22">
        <f>'QTR Raw'!T28</f>
        <v>77.742999999999995</v>
      </c>
      <c r="BA52" s="22">
        <f>'QTR Raw'!U28</f>
        <v>80.037000000000006</v>
      </c>
      <c r="BB52" s="22">
        <f>'QTR Raw'!V28</f>
        <v>80.081000000000003</v>
      </c>
      <c r="BC52" s="22">
        <f>'QTR Raw'!W28</f>
        <v>90.703999999999994</v>
      </c>
      <c r="BD52" s="22">
        <f>'QTR Raw'!X28</f>
        <v>87.861000000000004</v>
      </c>
      <c r="BE52" s="22">
        <f>'QTR Raw'!Y28</f>
        <v>88.004999999999995</v>
      </c>
      <c r="BF52" s="22">
        <f>'QTR Raw'!Z28</f>
        <v>91.06</v>
      </c>
      <c r="BG52" s="22">
        <f>'QTR Raw'!AA28</f>
        <v>100.04300000000001</v>
      </c>
      <c r="BH52" s="22">
        <f>'QTR Raw'!AB28</f>
        <v>99.903000000000006</v>
      </c>
      <c r="BI52" s="22">
        <f>'QTR Raw'!AC28</f>
        <v>94.063999999999993</v>
      </c>
      <c r="BJ52" s="22">
        <f>'QTR Raw'!AD28</f>
        <v>99.028999999999996</v>
      </c>
      <c r="BK52" s="22">
        <f>'QTR Raw'!AE28</f>
        <v>125.41</v>
      </c>
      <c r="BL52" s="22">
        <f>'QTR Raw'!AF28</f>
        <v>127.343</v>
      </c>
      <c r="BM52" s="22">
        <f>'QTR Raw'!AG28</f>
        <v>136.846</v>
      </c>
      <c r="BN52" s="22">
        <f>'QTR Raw'!AH28</f>
        <v>135.12299999999999</v>
      </c>
      <c r="BO52" s="22">
        <f>'QTR Raw'!AI28</f>
        <v>124.31100000000001</v>
      </c>
      <c r="BP52" s="22">
        <f>'QTR Raw'!AJ28</f>
        <v>134.59399999999999</v>
      </c>
      <c r="BQ52" s="22">
        <f>'QTR Raw'!AK28</f>
        <v>134.67400000000001</v>
      </c>
      <c r="BR52" s="22">
        <f>'QTR Raw'!AL28</f>
        <v>134.721</v>
      </c>
      <c r="BS52" s="22">
        <f>'QTR Raw'!AM28</f>
        <v>128.77600000000001</v>
      </c>
      <c r="BT52" s="22">
        <f>'QTR Raw'!AN28</f>
        <v>138.49199999999999</v>
      </c>
      <c r="BU52" s="22">
        <f>'QTR Raw'!AO28</f>
        <v>129.273</v>
      </c>
      <c r="BV52" s="22">
        <f>'QTR Raw'!AP28</f>
        <v>131.31899999999999</v>
      </c>
      <c r="BW52" s="22">
        <f>'QTR Raw'!AQ28</f>
        <v>153.07300000000001</v>
      </c>
      <c r="BX52" s="22">
        <f>'QTR Raw'!AR28</f>
        <v>153.13900000000001</v>
      </c>
      <c r="BY52" s="22">
        <f>'QTR Raw'!AS28</f>
        <v>179.65799999999999</v>
      </c>
      <c r="BZ52" s="22">
        <f>'QTR Raw'!AT28</f>
        <v>172.19900000000001</v>
      </c>
      <c r="CA52" s="22">
        <f>'QTR Raw'!AU28</f>
        <v>171.92699999999999</v>
      </c>
      <c r="CB52" s="22">
        <f>'QTR Raw'!AV28</f>
        <v>170.80799999999999</v>
      </c>
      <c r="CC52" s="22">
        <f>'QTR Raw'!AW28</f>
        <v>165.97200000000001</v>
      </c>
      <c r="CD52" s="22">
        <f>'QTR Raw'!AX28</f>
        <v>187.51599999999999</v>
      </c>
      <c r="CE52" s="22">
        <f>'QTR Raw'!AY28</f>
        <v>242.477</v>
      </c>
      <c r="CF52" s="22">
        <f>'QTR Raw'!AZ28</f>
        <v>256.61099999999999</v>
      </c>
      <c r="CG52" s="22">
        <f>'QTR Raw'!BA28</f>
        <v>260.78199999999998</v>
      </c>
      <c r="CH52" s="22">
        <f>'QTR Raw'!BB28</f>
        <v>272.51299999999998</v>
      </c>
      <c r="CI52" s="22">
        <f>'QTR Raw'!BC28</f>
        <v>306.15100000000001</v>
      </c>
      <c r="CJ52" s="22">
        <f>'QTR Raw'!BD28</f>
        <v>307.60000000000002</v>
      </c>
      <c r="CK52" s="22">
        <f>'QTR Raw'!BE28</f>
        <v>330.19900000000001</v>
      </c>
      <c r="CL52" s="22">
        <f>'QTR Raw'!BF28</f>
        <v>356.79399999999998</v>
      </c>
      <c r="CM52" s="23">
        <f t="shared" ref="CM52:DA52" si="500">CM53*CL154</f>
        <v>391.04389999999995</v>
      </c>
      <c r="CN52" s="23">
        <f t="shared" si="500"/>
        <v>393.87675860000002</v>
      </c>
      <c r="CO52" s="23">
        <f t="shared" si="500"/>
        <v>396.63596287639996</v>
      </c>
      <c r="CP52" s="23">
        <f t="shared" si="500"/>
        <v>399.32342784161364</v>
      </c>
      <c r="CQ52" s="23">
        <f t="shared" si="500"/>
        <v>401.94101871773165</v>
      </c>
      <c r="CR52" s="23">
        <f t="shared" si="500"/>
        <v>404.49055223107064</v>
      </c>
      <c r="CS52" s="23">
        <f t="shared" si="500"/>
        <v>406.97379787306278</v>
      </c>
      <c r="CT52" s="23">
        <f t="shared" si="500"/>
        <v>409.39247912836316</v>
      </c>
      <c r="CU52" s="23">
        <f t="shared" si="500"/>
        <v>411.74827467102568</v>
      </c>
      <c r="CV52" s="23">
        <f t="shared" si="500"/>
        <v>414.04281952957905</v>
      </c>
      <c r="CW52" s="23">
        <f t="shared" si="500"/>
        <v>416.27770622180998</v>
      </c>
      <c r="CX52" s="23">
        <f t="shared" si="500"/>
        <v>418.45448586004289</v>
      </c>
      <c r="CY52" s="23">
        <f t="shared" si="500"/>
        <v>420.5746692276818</v>
      </c>
      <c r="CZ52" s="23">
        <f t="shared" si="500"/>
        <v>422.63972782776204</v>
      </c>
      <c r="DA52" s="23">
        <f t="shared" si="500"/>
        <v>424.65109490424027</v>
      </c>
      <c r="DB52"/>
      <c r="DD52" s="122"/>
    </row>
    <row r="53" spans="1:108" s="45" customFormat="1" x14ac:dyDescent="0.25">
      <c r="A53" s="45" t="s">
        <v>483</v>
      </c>
      <c r="B53" s="45" t="e">
        <f t="shared" ref="B53:D53" si="501">+B52/B154</f>
        <v>#DIV/0!</v>
      </c>
      <c r="C53" s="45" t="e">
        <f t="shared" si="501"/>
        <v>#DIV/0!</v>
      </c>
      <c r="D53" s="45" t="e">
        <f t="shared" si="501"/>
        <v>#DIV/0!</v>
      </c>
      <c r="E53" s="45" t="e">
        <f t="shared" ref="E53:AE53" si="502">+E52/E154</f>
        <v>#DIV/0!</v>
      </c>
      <c r="F53" s="45">
        <f t="shared" si="502"/>
        <v>5.8970882464845061E-2</v>
      </c>
      <c r="G53" s="45">
        <f t="shared" si="502"/>
        <v>8.5843575187142057E-2</v>
      </c>
      <c r="H53" s="45">
        <f t="shared" si="502"/>
        <v>8.9156117112773062E-2</v>
      </c>
      <c r="I53" s="45">
        <f t="shared" si="502"/>
        <v>6.095559234056161E-2</v>
      </c>
      <c r="J53" s="45">
        <f t="shared" si="502"/>
        <v>6.5558295264925973E-2</v>
      </c>
      <c r="K53" s="45">
        <f t="shared" si="502"/>
        <v>7.1245341578759461E-2</v>
      </c>
      <c r="L53" s="45">
        <f t="shared" si="502"/>
        <v>8.247404083758024E-2</v>
      </c>
      <c r="M53" s="45">
        <f t="shared" si="502"/>
        <v>7.5647720249228764E-2</v>
      </c>
      <c r="N53" s="45">
        <f t="shared" si="502"/>
        <v>7.9725716620811862E-2</v>
      </c>
      <c r="O53" s="45">
        <f t="shared" si="502"/>
        <v>7.7949841126217445E-2</v>
      </c>
      <c r="P53" s="45">
        <f t="shared" si="502"/>
        <v>8.9563280142410981E-2</v>
      </c>
      <c r="Q53" s="45">
        <f t="shared" si="502"/>
        <v>9.0803294572811805E-2</v>
      </c>
      <c r="R53" s="45">
        <f t="shared" si="502"/>
        <v>8.6720073637563774E-2</v>
      </c>
      <c r="S53" s="45">
        <f t="shared" si="502"/>
        <v>8.7126792190481972E-2</v>
      </c>
      <c r="T53" s="45">
        <f t="shared" si="502"/>
        <v>8.781459847289666E-2</v>
      </c>
      <c r="U53" s="45">
        <f t="shared" si="502"/>
        <v>7.5699791767786295E-2</v>
      </c>
      <c r="V53" s="45">
        <f t="shared" si="502"/>
        <v>8.2811683310650391E-2</v>
      </c>
      <c r="W53" s="45">
        <f t="shared" si="502"/>
        <v>8.4507786073272348E-2</v>
      </c>
      <c r="X53" s="45">
        <f t="shared" si="502"/>
        <v>8.9344236072176703E-2</v>
      </c>
      <c r="Y53" s="45">
        <f t="shared" si="502"/>
        <v>8.1205838229711599E-2</v>
      </c>
      <c r="Z53" s="45">
        <f t="shared" si="502"/>
        <v>7.2315131313746589E-2</v>
      </c>
      <c r="AA53" s="109">
        <f t="shared" si="502"/>
        <v>8.0881041744929411E-2</v>
      </c>
      <c r="AB53" s="109">
        <f t="shared" si="502"/>
        <v>0.10016220779876386</v>
      </c>
      <c r="AC53" s="109">
        <f t="shared" si="502"/>
        <v>0.10242237180938339</v>
      </c>
      <c r="AD53" s="109">
        <f t="shared" si="502"/>
        <v>0.10261090445731616</v>
      </c>
      <c r="AE53" s="109">
        <f t="shared" si="502"/>
        <v>0.10277373319422616</v>
      </c>
      <c r="AI53" s="45" t="e">
        <f t="shared" ref="AI53:BN53" si="503">+AI52/AH154</f>
        <v>#DIV/0!</v>
      </c>
      <c r="AJ53" s="45" t="e">
        <f t="shared" si="503"/>
        <v>#DIV/0!</v>
      </c>
      <c r="AK53" s="45" t="e">
        <f t="shared" si="503"/>
        <v>#DIV/0!</v>
      </c>
      <c r="AL53" s="45" t="e">
        <f t="shared" si="503"/>
        <v>#DIV/0!</v>
      </c>
      <c r="AM53" s="45" t="e">
        <f t="shared" si="503"/>
        <v>#DIV/0!</v>
      </c>
      <c r="AN53" s="45" t="e">
        <f t="shared" si="503"/>
        <v>#DIV/0!</v>
      </c>
      <c r="AO53" s="45" t="e">
        <f t="shared" si="503"/>
        <v>#DIV/0!</v>
      </c>
      <c r="AP53" s="45" t="e">
        <f t="shared" si="503"/>
        <v>#DIV/0!</v>
      </c>
      <c r="AQ53" s="45" t="e">
        <f t="shared" si="503"/>
        <v>#DIV/0!</v>
      </c>
      <c r="AR53" s="45" t="e">
        <f t="shared" si="503"/>
        <v>#DIV/0!</v>
      </c>
      <c r="AS53" s="45" t="e">
        <f t="shared" si="503"/>
        <v>#DIV/0!</v>
      </c>
      <c r="AT53" s="45" t="e">
        <f t="shared" si="503"/>
        <v>#DIV/0!</v>
      </c>
      <c r="AU53" s="45" t="e">
        <f t="shared" si="503"/>
        <v>#DIV/0!</v>
      </c>
      <c r="AV53" s="45" t="e">
        <f t="shared" si="503"/>
        <v>#DIV/0!</v>
      </c>
      <c r="AW53" s="45" t="e">
        <f t="shared" si="503"/>
        <v>#DIV/0!</v>
      </c>
      <c r="AX53" s="45">
        <f t="shared" si="503"/>
        <v>2.1918907682768173E-2</v>
      </c>
      <c r="AY53" s="45">
        <f t="shared" si="503"/>
        <v>2.1753631477645686E-2</v>
      </c>
      <c r="AZ53" s="45" t="e">
        <f t="shared" si="503"/>
        <v>#DIV/0!</v>
      </c>
      <c r="BA53" s="45" t="e">
        <f t="shared" si="503"/>
        <v>#DIV/0!</v>
      </c>
      <c r="BB53" s="45">
        <f t="shared" si="503"/>
        <v>2.0823414295220218E-2</v>
      </c>
      <c r="BC53" s="45">
        <f t="shared" si="503"/>
        <v>2.3585706599988192E-2</v>
      </c>
      <c r="BD53" s="45">
        <f t="shared" si="503"/>
        <v>2.2321211947225392E-2</v>
      </c>
      <c r="BE53" s="45">
        <f t="shared" si="503"/>
        <v>2.2357795351926002E-2</v>
      </c>
      <c r="BF53" s="45">
        <f t="shared" si="503"/>
        <v>2.2887557146630922E-2</v>
      </c>
      <c r="BG53" s="45">
        <f t="shared" si="503"/>
        <v>2.5145397316279346E-2</v>
      </c>
      <c r="BH53" s="45">
        <f t="shared" si="503"/>
        <v>2.2942315244125086E-2</v>
      </c>
      <c r="BI53" s="45">
        <f t="shared" si="503"/>
        <v>2.1601412781632003E-2</v>
      </c>
      <c r="BJ53" s="45">
        <f t="shared" si="503"/>
        <v>2.2583405282604423E-2</v>
      </c>
      <c r="BK53" s="45">
        <f t="shared" si="503"/>
        <v>2.8599550197330285E-2</v>
      </c>
      <c r="BL53" s="45">
        <f t="shared" si="503"/>
        <v>1.9555984867273828E-2</v>
      </c>
      <c r="BM53" s="45">
        <f t="shared" si="503"/>
        <v>2.1015354633917484E-2</v>
      </c>
      <c r="BN53" s="45">
        <f t="shared" si="503"/>
        <v>2.093368157993113E-2</v>
      </c>
      <c r="BO53" s="45">
        <f t="shared" ref="BO53:CJ53" si="504">+BO52/BN154</f>
        <v>1.9258652419520132E-2</v>
      </c>
      <c r="BP53" s="45">
        <f t="shared" si="504"/>
        <v>2.090276967832682E-2</v>
      </c>
      <c r="BQ53" s="45">
        <f t="shared" si="504"/>
        <v>2.0915193869407152E-2</v>
      </c>
      <c r="BR53" s="45">
        <f t="shared" si="504"/>
        <v>2.1101627736029242E-2</v>
      </c>
      <c r="BS53" s="45">
        <f t="shared" si="504"/>
        <v>2.0170450140177862E-2</v>
      </c>
      <c r="BT53" s="45">
        <f t="shared" si="504"/>
        <v>2.1931165733337407E-2</v>
      </c>
      <c r="BU53" s="45">
        <f t="shared" si="504"/>
        <v>2.0471273343194745E-2</v>
      </c>
      <c r="BV53" s="45">
        <f t="shared" si="504"/>
        <v>2.2982995743948013E-2</v>
      </c>
      <c r="BW53" s="45">
        <f t="shared" si="504"/>
        <v>2.6790305344339772E-2</v>
      </c>
      <c r="BX53" s="45">
        <f t="shared" si="504"/>
        <v>2.5469227088564268E-2</v>
      </c>
      <c r="BY53" s="45">
        <f t="shared" si="504"/>
        <v>2.987971973355761E-2</v>
      </c>
      <c r="BZ53" s="45">
        <f t="shared" si="504"/>
        <v>2.8735810568164676E-2</v>
      </c>
      <c r="CA53" s="45">
        <f t="shared" si="504"/>
        <v>2.8690420406348748E-2</v>
      </c>
      <c r="CB53" s="45">
        <f t="shared" si="504"/>
        <v>2.2669599950734417E-2</v>
      </c>
      <c r="CC53" s="45">
        <f t="shared" si="504"/>
        <v>2.202776710120892E-2</v>
      </c>
      <c r="CD53" s="45">
        <f t="shared" si="504"/>
        <v>2.5511575689039473E-2</v>
      </c>
      <c r="CE53" s="45">
        <f t="shared" si="504"/>
        <v>3.2989026740924639E-2</v>
      </c>
      <c r="CF53" s="45">
        <f>+CF52/CE151</f>
        <v>2.4929908283048998E-2</v>
      </c>
      <c r="CG53" s="45">
        <f t="shared" si="504"/>
        <v>2.5335123365210703E-2</v>
      </c>
      <c r="CH53" s="45">
        <f t="shared" si="504"/>
        <v>2.080125036648528E-2</v>
      </c>
      <c r="CI53" s="45">
        <f t="shared" si="504"/>
        <v>2.3368880020218617E-2</v>
      </c>
      <c r="CJ53" s="45">
        <f t="shared" si="504"/>
        <v>2.211392120226114E-2</v>
      </c>
      <c r="CK53" s="45">
        <f t="shared" ref="CK53" si="505">+CK52/CJ154</f>
        <v>2.3738604249237408E-2</v>
      </c>
      <c r="CL53" s="45">
        <f t="shared" ref="CL53" si="506">+CL52/CK154</f>
        <v>2.3722768722386413E-2</v>
      </c>
      <c r="CM53" s="46">
        <v>2.5999999999999999E-2</v>
      </c>
      <c r="CN53" s="46">
        <f t="shared" ref="CN53" si="507">CM53</f>
        <v>2.5999999999999999E-2</v>
      </c>
      <c r="CO53" s="46">
        <f t="shared" ref="CO53" si="508">CN53</f>
        <v>2.5999999999999999E-2</v>
      </c>
      <c r="CP53" s="46">
        <f t="shared" ref="CP53" si="509">CO53</f>
        <v>2.5999999999999999E-2</v>
      </c>
      <c r="CQ53" s="46">
        <f t="shared" ref="CQ53" si="510">CP53</f>
        <v>2.5999999999999999E-2</v>
      </c>
      <c r="CR53" s="46">
        <f t="shared" ref="CR53" si="511">CQ53</f>
        <v>2.5999999999999999E-2</v>
      </c>
      <c r="CS53" s="46">
        <f t="shared" ref="CS53" si="512">CR53</f>
        <v>2.5999999999999999E-2</v>
      </c>
      <c r="CT53" s="46">
        <f t="shared" ref="CT53" si="513">CS53</f>
        <v>2.5999999999999999E-2</v>
      </c>
      <c r="CU53" s="46">
        <f t="shared" ref="CU53" si="514">CT53</f>
        <v>2.5999999999999999E-2</v>
      </c>
      <c r="CV53" s="46">
        <f t="shared" ref="CV53" si="515">CU53</f>
        <v>2.5999999999999999E-2</v>
      </c>
      <c r="CW53" s="46">
        <f t="shared" ref="CW53" si="516">CV53</f>
        <v>2.5999999999999999E-2</v>
      </c>
      <c r="CX53" s="46">
        <f t="shared" ref="CX53" si="517">CW53</f>
        <v>2.5999999999999999E-2</v>
      </c>
      <c r="CY53" s="46">
        <f t="shared" ref="CY53" si="518">CX53</f>
        <v>2.5999999999999999E-2</v>
      </c>
      <c r="CZ53" s="46">
        <f t="shared" ref="CZ53" si="519">CY53</f>
        <v>2.5999999999999999E-2</v>
      </c>
      <c r="DA53" s="46">
        <f t="shared" ref="DA53" si="520">CZ53</f>
        <v>2.5999999999999999E-2</v>
      </c>
      <c r="DB53"/>
      <c r="DD53" s="129"/>
    </row>
    <row r="54" spans="1:108" s="25" customFormat="1" x14ac:dyDescent="0.25">
      <c r="A54" s="33" t="s">
        <v>16</v>
      </c>
      <c r="B54" s="25">
        <f>B48-B52</f>
        <v>0</v>
      </c>
      <c r="C54" s="25">
        <f t="shared" ref="C54:T54" si="521">C48-C52</f>
        <v>0</v>
      </c>
      <c r="D54" s="25">
        <f>D48-D52</f>
        <v>0</v>
      </c>
      <c r="E54" s="25">
        <f t="shared" si="521"/>
        <v>0</v>
      </c>
      <c r="F54" s="25">
        <f t="shared" si="521"/>
        <v>43.101181799999978</v>
      </c>
      <c r="G54" s="25">
        <f t="shared" si="521"/>
        <v>30.070969700000056</v>
      </c>
      <c r="H54" s="25">
        <f t="shared" si="521"/>
        <v>28.355320100000036</v>
      </c>
      <c r="I54" s="25">
        <f t="shared" si="521"/>
        <v>40.629526800000001</v>
      </c>
      <c r="J54" s="25">
        <f t="shared" si="521"/>
        <v>43.92294789999994</v>
      </c>
      <c r="K54" s="25">
        <f t="shared" si="521"/>
        <v>55.482841300000082</v>
      </c>
      <c r="L54" s="25">
        <f t="shared" si="521"/>
        <v>72.131435499999995</v>
      </c>
      <c r="M54" s="25">
        <f t="shared" si="521"/>
        <v>83.730000000000103</v>
      </c>
      <c r="N54" s="25">
        <f t="shared" si="521"/>
        <v>92.666999999999803</v>
      </c>
      <c r="O54" s="25">
        <f t="shared" si="521"/>
        <v>108.21100000000007</v>
      </c>
      <c r="P54" s="25">
        <f t="shared" si="521"/>
        <v>176.44600000000008</v>
      </c>
      <c r="Q54" s="25">
        <f t="shared" si="521"/>
        <v>321.02699999999993</v>
      </c>
      <c r="R54" s="25">
        <f t="shared" si="521"/>
        <v>475.96700000000038</v>
      </c>
      <c r="S54" s="25">
        <f t="shared" si="521"/>
        <v>491.68400000000048</v>
      </c>
      <c r="T54" s="25">
        <f t="shared" si="521"/>
        <v>631.75700000000006</v>
      </c>
      <c r="U54" s="25">
        <f t="shared" ref="U54:Z54" si="522">U48-U52</f>
        <v>973.69199999999887</v>
      </c>
      <c r="V54" s="25">
        <f t="shared" si="522"/>
        <v>685.80199999999991</v>
      </c>
      <c r="W54" s="25">
        <f t="shared" si="522"/>
        <v>1145.6509999999996</v>
      </c>
      <c r="X54" s="25">
        <f t="shared" si="522"/>
        <v>2188.8809999999999</v>
      </c>
      <c r="Y54" s="25">
        <f t="shared" si="522"/>
        <v>2952.0750000000025</v>
      </c>
      <c r="Z54" s="25">
        <f t="shared" si="522"/>
        <v>3796.1569999999997</v>
      </c>
      <c r="AA54" s="26">
        <f t="shared" ref="AA54:AD54" si="523">AA48-AA52</f>
        <v>3832.9059999999936</v>
      </c>
      <c r="AB54" s="26">
        <f t="shared" si="523"/>
        <v>4184.1664756923892</v>
      </c>
      <c r="AC54" s="26">
        <f t="shared" si="523"/>
        <v>5277.4310949571527</v>
      </c>
      <c r="AD54" s="26">
        <f t="shared" si="523"/>
        <v>5599.1930600166452</v>
      </c>
      <c r="AE54" s="26">
        <f t="shared" ref="AE54" si="524">AE48-AE52</f>
        <v>7003.7456687413724</v>
      </c>
      <c r="AI54" s="25">
        <f t="shared" ref="AI54" si="525">AI48-AI52</f>
        <v>0</v>
      </c>
      <c r="AJ54" s="25">
        <f t="shared" ref="AJ54" si="526">AJ48-AJ52</f>
        <v>0</v>
      </c>
      <c r="AK54" s="25">
        <f t="shared" ref="AK54:AM54" si="527">AK48-AK52</f>
        <v>0</v>
      </c>
      <c r="AL54" s="25">
        <f t="shared" si="527"/>
        <v>0</v>
      </c>
      <c r="AM54" s="25">
        <f t="shared" si="527"/>
        <v>0</v>
      </c>
      <c r="AN54" s="25">
        <f t="shared" ref="AN54:AO54" si="528">AN48-AN52</f>
        <v>0</v>
      </c>
      <c r="AO54" s="25">
        <f t="shared" si="528"/>
        <v>0</v>
      </c>
      <c r="AP54" s="25">
        <f t="shared" ref="AP54:CD54" si="529">AP48-AP52</f>
        <v>0</v>
      </c>
      <c r="AQ54" s="25">
        <f t="shared" si="529"/>
        <v>0</v>
      </c>
      <c r="AR54" s="25">
        <f t="shared" si="529"/>
        <v>0</v>
      </c>
      <c r="AS54" s="25">
        <f t="shared" si="529"/>
        <v>0</v>
      </c>
      <c r="AT54" s="25">
        <f t="shared" si="529"/>
        <v>0</v>
      </c>
      <c r="AU54" s="25">
        <f t="shared" si="529"/>
        <v>0</v>
      </c>
      <c r="AV54" s="25">
        <f t="shared" si="529"/>
        <v>0</v>
      </c>
      <c r="AW54" s="25">
        <f t="shared" si="529"/>
        <v>-85.324000000000026</v>
      </c>
      <c r="AX54" s="25">
        <f t="shared" si="529"/>
        <v>42.012999999999906</v>
      </c>
      <c r="AY54" s="25">
        <f t="shared" si="529"/>
        <v>388.77800000000008</v>
      </c>
      <c r="AZ54" s="25">
        <f t="shared" si="529"/>
        <v>96.811000000000092</v>
      </c>
      <c r="BA54" s="25">
        <f t="shared" si="529"/>
        <v>-53.842999999999989</v>
      </c>
      <c r="BB54" s="25">
        <f t="shared" si="529"/>
        <v>57.154999999999873</v>
      </c>
      <c r="BC54" s="25">
        <f t="shared" si="529"/>
        <v>389.79599999999988</v>
      </c>
      <c r="BD54" s="25">
        <f t="shared" si="529"/>
        <v>97.579999999999913</v>
      </c>
      <c r="BE54" s="25">
        <f t="shared" si="529"/>
        <v>-65.38999999999993</v>
      </c>
      <c r="BF54" s="25">
        <f t="shared" si="529"/>
        <v>81.633999999999958</v>
      </c>
      <c r="BG54" s="25">
        <f t="shared" si="529"/>
        <v>474.81500000000051</v>
      </c>
      <c r="BH54" s="25">
        <f t="shared" si="529"/>
        <v>111.33799999999998</v>
      </c>
      <c r="BI54" s="25">
        <f t="shared" si="529"/>
        <v>-46.270000000000124</v>
      </c>
      <c r="BJ54" s="25">
        <f t="shared" si="529"/>
        <v>119.346</v>
      </c>
      <c r="BK54" s="25">
        <f t="shared" si="529"/>
        <v>662.46799999999996</v>
      </c>
      <c r="BL54" s="25">
        <f t="shared" si="529"/>
        <v>198.31899999999979</v>
      </c>
      <c r="BM54" s="25">
        <f t="shared" si="529"/>
        <v>-21.107999999999947</v>
      </c>
      <c r="BN54" s="25">
        <f t="shared" si="529"/>
        <v>136.03300000000007</v>
      </c>
      <c r="BO54" s="25">
        <f t="shared" si="529"/>
        <v>253.38599999999988</v>
      </c>
      <c r="BP54" s="25">
        <f t="shared" si="529"/>
        <v>246.19599999999974</v>
      </c>
      <c r="BQ54" s="25">
        <f t="shared" si="529"/>
        <v>37.550999999999675</v>
      </c>
      <c r="BR54" s="25">
        <f t="shared" si="529"/>
        <v>246.90100000000007</v>
      </c>
      <c r="BS54" s="25">
        <f t="shared" si="529"/>
        <v>442.02399999999983</v>
      </c>
      <c r="BT54" s="25">
        <f t="shared" si="529"/>
        <v>356.16300000000024</v>
      </c>
      <c r="BU54" s="25">
        <f t="shared" si="529"/>
        <v>78.295000000000101</v>
      </c>
      <c r="BV54" s="25">
        <f t="shared" si="529"/>
        <v>399.67799999999954</v>
      </c>
      <c r="BW54" s="25">
        <f t="shared" si="529"/>
        <v>1097.5440000000001</v>
      </c>
      <c r="BX54" s="25">
        <f t="shared" si="529"/>
        <v>545.84699999999987</v>
      </c>
      <c r="BY54" s="25">
        <f t="shared" si="529"/>
        <v>127.84699999999989</v>
      </c>
      <c r="BZ54" s="25">
        <f t="shared" si="529"/>
        <v>625.8390000000004</v>
      </c>
      <c r="CA54" s="25">
        <f t="shared" si="529"/>
        <v>1339.0930000000008</v>
      </c>
      <c r="CB54" s="25">
        <f t="shared" si="529"/>
        <v>711.33200000000011</v>
      </c>
      <c r="CC54" s="25">
        <f t="shared" si="529"/>
        <v>252.31499999999957</v>
      </c>
      <c r="CD54" s="25">
        <f t="shared" si="529"/>
        <v>801.24499999999887</v>
      </c>
      <c r="CE54" s="25">
        <f t="shared" ref="CE54:CF54" si="530">CE48-CE52</f>
        <v>1748.7399999999989</v>
      </c>
      <c r="CF54" s="25">
        <f t="shared" si="530"/>
        <v>894.51099999999985</v>
      </c>
      <c r="CG54" s="25">
        <f t="shared" ref="CG54:CH54" si="531">CG48-CG52</f>
        <v>319.18900000000002</v>
      </c>
      <c r="CH54" s="25">
        <f t="shared" si="531"/>
        <v>991.45099999999957</v>
      </c>
      <c r="CI54" s="25">
        <f t="shared" ref="CI54:CJ54" si="532">CI48-CI52</f>
        <v>1692.6220000000001</v>
      </c>
      <c r="CJ54" s="25">
        <f t="shared" si="532"/>
        <v>839.77600000000064</v>
      </c>
      <c r="CK54" s="25">
        <f t="shared" ref="CK54:CL54" si="533">CK48-CK52</f>
        <v>309.05699999999985</v>
      </c>
      <c r="CL54" s="25">
        <f t="shared" si="533"/>
        <v>1172.1330000000007</v>
      </c>
      <c r="CM54" s="26">
        <f t="shared" ref="CM54:DA54" si="534">CM48-CM52</f>
        <v>1457.8684051041325</v>
      </c>
      <c r="CN54" s="26">
        <f t="shared" si="534"/>
        <v>862.48335288797136</v>
      </c>
      <c r="CO54" s="26">
        <f t="shared" si="534"/>
        <v>691.681717700288</v>
      </c>
      <c r="CP54" s="26">
        <f t="shared" si="534"/>
        <v>1454.860616668029</v>
      </c>
      <c r="CQ54" s="26">
        <f t="shared" si="534"/>
        <v>1768.1240414850488</v>
      </c>
      <c r="CR54" s="26">
        <f t="shared" si="534"/>
        <v>1147.6484349356879</v>
      </c>
      <c r="CS54" s="26">
        <f t="shared" si="534"/>
        <v>906.79800186838747</v>
      </c>
      <c r="CT54" s="26">
        <f t="shared" si="534"/>
        <v>1542.2730447150504</v>
      </c>
      <c r="CU54" s="26">
        <f t="shared" si="534"/>
        <v>1856.3553285325002</v>
      </c>
      <c r="CV54" s="26">
        <f t="shared" si="534"/>
        <v>1194.3463274497963</v>
      </c>
      <c r="CW54" s="26">
        <f t="shared" si="534"/>
        <v>1006.2183593192985</v>
      </c>
      <c r="CX54" s="26">
        <f t="shared" si="534"/>
        <v>1904.844418543832</v>
      </c>
      <c r="CY54" s="26">
        <f t="shared" si="534"/>
        <v>2292.0668687866669</v>
      </c>
      <c r="CZ54" s="26">
        <f t="shared" si="534"/>
        <v>1516.9118465023637</v>
      </c>
      <c r="DA54" s="26">
        <f t="shared" si="534"/>
        <v>1289.9225349085073</v>
      </c>
      <c r="DB54"/>
      <c r="DD54" s="120"/>
    </row>
    <row r="55" spans="1:108" s="22" customFormat="1" x14ac:dyDescent="0.25">
      <c r="A55" s="22" t="s">
        <v>17</v>
      </c>
      <c r="B55" s="22">
        <f>'Annual Raw'!C23</f>
        <v>0</v>
      </c>
      <c r="C55" s="22">
        <f>'Annual Raw'!D23</f>
        <v>0</v>
      </c>
      <c r="D55" s="22">
        <f>'Annual Raw'!E23</f>
        <v>0</v>
      </c>
      <c r="E55" s="22">
        <f>'Annual Raw'!F23</f>
        <v>0</v>
      </c>
      <c r="F55" s="22">
        <f>'Annual Raw'!G23</f>
        <v>2.2789537000000002</v>
      </c>
      <c r="G55" s="22">
        <f>'Annual Raw'!H23</f>
        <v>3.1997436000000001</v>
      </c>
      <c r="H55" s="22">
        <f>'Annual Raw'!I23</f>
        <v>3.1739386000000001</v>
      </c>
      <c r="I55" s="22">
        <f>'Annual Raw'!J23</f>
        <v>3.2994210000000002</v>
      </c>
      <c r="J55" s="22">
        <f>'Annual Raw'!K23</f>
        <v>6.4659674000000003</v>
      </c>
      <c r="K55" s="22">
        <f>'Annual Raw'!L23</f>
        <v>6.5208307999999997</v>
      </c>
      <c r="L55" s="22">
        <f>'Annual Raw'!M23</f>
        <v>13.657298000000001</v>
      </c>
      <c r="M55" s="22">
        <f>'Annual Raw'!N23</f>
        <v>0.42799999999999999</v>
      </c>
      <c r="N55" s="22">
        <f>'Annual Raw'!O23</f>
        <v>44.195999999999998</v>
      </c>
      <c r="O55" s="22">
        <f>'Annual Raw'!P23</f>
        <v>17.353999999999999</v>
      </c>
      <c r="P55" s="22">
        <f>'Annual Raw'!Q23</f>
        <v>14.689</v>
      </c>
      <c r="Q55" s="22">
        <f>'Annual Raw'!R23</f>
        <v>39.732999999999997</v>
      </c>
      <c r="R55" s="22">
        <f>'Annual Raw'!S23</f>
        <v>35.732999999999997</v>
      </c>
      <c r="S55" s="22">
        <f>'Annual Raw'!T23</f>
        <v>12.512</v>
      </c>
      <c r="T55" s="22">
        <f>'Annual Raw'!U23</f>
        <v>21.824000000000002</v>
      </c>
      <c r="U55" s="22">
        <f>'Annual Raw'!V23</f>
        <v>42.527999999999999</v>
      </c>
      <c r="V55" s="22">
        <f>'Annual Raw'!W23</f>
        <v>36.972000000000001</v>
      </c>
      <c r="W55" s="22">
        <f>'Annual Raw'!X23</f>
        <v>68.262</v>
      </c>
      <c r="X55" s="22">
        <f>'Annual Raw'!Y23</f>
        <v>38.848999999999997</v>
      </c>
      <c r="Y55" s="22">
        <f>'Annual Raw'!Z23</f>
        <v>79.358999999999995</v>
      </c>
      <c r="Z55" s="22">
        <f>'Annual Raw'!AA23</f>
        <v>121.268</v>
      </c>
      <c r="AA55" s="75">
        <f t="shared" ref="AA55:AA56" si="535">SUM(CH55:CK55)</f>
        <v>352.34800000000001</v>
      </c>
      <c r="AB55" s="75">
        <f t="shared" ref="AB55:AB56" si="536">+SUM(CL55:CO55)</f>
        <v>43.527999999999999</v>
      </c>
      <c r="AC55" s="75">
        <f t="shared" ref="AC55:AC56" si="537">+SUM(CP55:CS55)</f>
        <v>0</v>
      </c>
      <c r="AD55" s="75">
        <f t="shared" ref="AD55:AD56" si="538">+SUM(CT55:CW55)</f>
        <v>0</v>
      </c>
      <c r="AE55" s="75">
        <f t="shared" ref="AE55:AE56" si="539">+SUM(CX55:DA55)</f>
        <v>0</v>
      </c>
      <c r="AI55" s="22">
        <f>'QTR Raw'!C23</f>
        <v>0</v>
      </c>
      <c r="AJ55" s="22">
        <f>'QTR Raw'!D23</f>
        <v>0</v>
      </c>
      <c r="AK55" s="22">
        <f>'QTR Raw'!E23</f>
        <v>0</v>
      </c>
      <c r="AL55" s="22">
        <f>'QTR Raw'!F23</f>
        <v>0</v>
      </c>
      <c r="AM55" s="22">
        <f>'QTR Raw'!G23</f>
        <v>0</v>
      </c>
      <c r="AN55" s="22">
        <f>'QTR Raw'!H23</f>
        <v>0</v>
      </c>
      <c r="AO55" s="22">
        <f>'QTR Raw'!I23</f>
        <v>0</v>
      </c>
      <c r="AP55" s="22">
        <f>'QTR Raw'!J23</f>
        <v>0</v>
      </c>
      <c r="AQ55" s="22">
        <f>'QTR Raw'!K23</f>
        <v>0</v>
      </c>
      <c r="AR55" s="22">
        <f>'QTR Raw'!L23</f>
        <v>0</v>
      </c>
      <c r="AS55" s="22">
        <f>'QTR Raw'!M23</f>
        <v>0</v>
      </c>
      <c r="AT55" s="22">
        <f>'QTR Raw'!N23</f>
        <v>0</v>
      </c>
      <c r="AU55" s="22">
        <f>'QTR Raw'!O23</f>
        <v>0</v>
      </c>
      <c r="AV55" s="22">
        <f>'QTR Raw'!P23</f>
        <v>0</v>
      </c>
      <c r="AW55" s="22">
        <f>'QTR Raw'!Q23</f>
        <v>5.6840000000000002</v>
      </c>
      <c r="AX55" s="22">
        <f>'QTR Raw'!R23</f>
        <v>4.8150000000000004</v>
      </c>
      <c r="AY55" s="22">
        <f>'QTR Raw'!S23</f>
        <v>6.2590000000000003</v>
      </c>
      <c r="AZ55" s="22">
        <f>'QTR Raw'!T23</f>
        <v>22.972999999999999</v>
      </c>
      <c r="BA55" s="22">
        <f>'QTR Raw'!U23</f>
        <v>1.6859999999999999</v>
      </c>
      <c r="BB55" s="22">
        <f>'QTR Raw'!V23</f>
        <v>13.532</v>
      </c>
      <c r="BC55" s="22">
        <f>'QTR Raw'!W23</f>
        <v>4.6710000000000003</v>
      </c>
      <c r="BD55" s="22">
        <f>'QTR Raw'!X23</f>
        <v>2.8919999999999999</v>
      </c>
      <c r="BE55" s="22">
        <f>'QTR Raw'!Y23</f>
        <v>1.5429999999999999</v>
      </c>
      <c r="BF55" s="22">
        <f>'QTR Raw'!Z23</f>
        <v>8.1639999999999997</v>
      </c>
      <c r="BG55" s="22">
        <f>'QTR Raw'!AA23</f>
        <v>0.34699999999999998</v>
      </c>
      <c r="BH55" s="22">
        <f>'QTR Raw'!AB23</f>
        <v>0.57299999999999995</v>
      </c>
      <c r="BI55" s="22">
        <f>'QTR Raw'!AC23</f>
        <v>12.74</v>
      </c>
      <c r="BJ55" s="22">
        <f>'QTR Raw'!AD23</f>
        <v>1.4019999999999999</v>
      </c>
      <c r="BK55" s="22">
        <f>'QTR Raw'!AE23</f>
        <v>3.339</v>
      </c>
      <c r="BL55" s="22">
        <f>'QTR Raw'!AF23</f>
        <v>1.8029999999999999</v>
      </c>
      <c r="BM55" s="22">
        <f>'QTR Raw'!AG23</f>
        <v>35.984000000000002</v>
      </c>
      <c r="BN55" s="22">
        <f>'QTR Raw'!AH23</f>
        <v>25.263999999999999</v>
      </c>
      <c r="BO55" s="22">
        <f>'QTR Raw'!AI23</f>
        <v>2.6619999999999999</v>
      </c>
      <c r="BP55" s="22">
        <f>'QTR Raw'!AJ23</f>
        <v>3.4769999999999999</v>
      </c>
      <c r="BQ55" s="22">
        <f>'QTR Raw'!AK23</f>
        <v>5.569</v>
      </c>
      <c r="BR55" s="22">
        <f>'QTR Raw'!AL23</f>
        <v>5.7290000000000001</v>
      </c>
      <c r="BS55" s="22">
        <f>'QTR Raw'!AM23</f>
        <v>24.408000000000001</v>
      </c>
      <c r="BT55" s="22">
        <f>'QTR Raw'!AN23</f>
        <v>36.933999999999997</v>
      </c>
      <c r="BU55" s="22">
        <f>'QTR Raw'!AO23</f>
        <v>0.85399999999999998</v>
      </c>
      <c r="BV55" s="22">
        <f>'QTR Raw'!AP23</f>
        <v>8.5079999999999991</v>
      </c>
      <c r="BW55" s="22">
        <f>'QTR Raw'!AQ23</f>
        <v>10.477</v>
      </c>
      <c r="BX55" s="22">
        <f>'QTR Raw'!AR23</f>
        <v>10.619</v>
      </c>
      <c r="BY55" s="22">
        <f>'QTR Raw'!AS23</f>
        <v>9.2449999999999992</v>
      </c>
      <c r="BZ55" s="22">
        <f>'QTR Raw'!AT23</f>
        <v>10.135999999999999</v>
      </c>
      <c r="CA55" s="22">
        <f>'QTR Raw'!AU23</f>
        <v>41.600999999999999</v>
      </c>
      <c r="CB55" s="22">
        <f>'QTR Raw'!AV23</f>
        <v>18.506</v>
      </c>
      <c r="CC55" s="22">
        <f>'QTR Raw'!AW23</f>
        <v>9.1159999999999997</v>
      </c>
      <c r="CD55" s="22">
        <f>'QTR Raw'!AX23</f>
        <v>8.3529999999999998</v>
      </c>
      <c r="CE55" s="22">
        <f>'QTR Raw'!AY23</f>
        <v>44.026000000000003</v>
      </c>
      <c r="CF55" s="22">
        <f>'QTR Raw'!AZ23</f>
        <v>24.25</v>
      </c>
      <c r="CG55" s="22">
        <f>'QTR Raw'!BA23</f>
        <v>44.639000000000003</v>
      </c>
      <c r="CH55" s="22">
        <f>'QTR Raw'!BB23</f>
        <v>28.058</v>
      </c>
      <c r="CI55" s="22">
        <f>'QTR Raw'!BC23</f>
        <v>77.158000000000001</v>
      </c>
      <c r="CJ55" s="22">
        <f>'QTR Raw'!BD23</f>
        <v>148.02500000000001</v>
      </c>
      <c r="CK55" s="22">
        <f>'QTR Raw'!BE23</f>
        <v>99.106999999999999</v>
      </c>
      <c r="CL55" s="22">
        <f>'QTR Raw'!BF23</f>
        <v>43.527999999999999</v>
      </c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/>
      <c r="DD55" s="122"/>
    </row>
    <row r="56" spans="1:108" s="22" customFormat="1" x14ac:dyDescent="0.25">
      <c r="A56" s="22" t="s">
        <v>18</v>
      </c>
      <c r="B56" s="22">
        <f>'Annual Raw'!C25</f>
        <v>0</v>
      </c>
      <c r="C56" s="22">
        <f>'Annual Raw'!D25</f>
        <v>0</v>
      </c>
      <c r="D56" s="22">
        <f>'Annual Raw'!E25</f>
        <v>0</v>
      </c>
      <c r="E56" s="22">
        <f>'Annual Raw'!F25</f>
        <v>0</v>
      </c>
      <c r="F56" s="22">
        <f>'Annual Raw'!G25</f>
        <v>14.0025537</v>
      </c>
      <c r="G56" s="22">
        <f>'Annual Raw'!H25</f>
        <v>13.223031300000001</v>
      </c>
      <c r="H56" s="22">
        <f>'Annual Raw'!I25</f>
        <v>12.5192526</v>
      </c>
      <c r="I56" s="22">
        <f>'Annual Raw'!J25</f>
        <v>10.448866900000001</v>
      </c>
      <c r="J56" s="22">
        <f>'Annual Raw'!K25</f>
        <v>16.740536500000001</v>
      </c>
      <c r="K56" s="22">
        <f>'Annual Raw'!L25</f>
        <v>28.319420900000001</v>
      </c>
      <c r="L56" s="22">
        <f>'Annual Raw'!M25</f>
        <v>49.0262764</v>
      </c>
      <c r="M56" s="22">
        <f>'Annual Raw'!N25</f>
        <v>72.034999999999997</v>
      </c>
      <c r="N56" s="22">
        <f>'Annual Raw'!O25</f>
        <v>116.014</v>
      </c>
      <c r="O56" s="22">
        <f>'Annual Raw'!P25</f>
        <v>171.155</v>
      </c>
      <c r="P56" s="22">
        <f>'Annual Raw'!Q25</f>
        <v>187.36</v>
      </c>
      <c r="Q56" s="22">
        <f>'Annual Raw'!R25</f>
        <v>170.15100000000001</v>
      </c>
      <c r="R56" s="22">
        <f>'Annual Raw'!S25</f>
        <v>434.74299999999999</v>
      </c>
      <c r="S56" s="22">
        <f>'Annual Raw'!T25</f>
        <v>214.59200000000001</v>
      </c>
      <c r="T56" s="22">
        <f>'Annual Raw'!U25</f>
        <v>222.803</v>
      </c>
      <c r="U56" s="22">
        <f>'Annual Raw'!V25</f>
        <v>324.30900000000003</v>
      </c>
      <c r="V56" s="22">
        <f>'Annual Raw'!W25</f>
        <v>293.74</v>
      </c>
      <c r="W56" s="22">
        <f>'Annual Raw'!X25</f>
        <v>207.30500000000001</v>
      </c>
      <c r="X56" s="22">
        <f>'Annual Raw'!Y25</f>
        <v>204.08699999999999</v>
      </c>
      <c r="Y56" s="22">
        <f>'Annual Raw'!Z25</f>
        <v>291.59500000000003</v>
      </c>
      <c r="Z56" s="22">
        <f>'Annual Raw'!AA25</f>
        <v>482.858</v>
      </c>
      <c r="AA56" s="75">
        <f t="shared" si="535"/>
        <v>169.57900000000001</v>
      </c>
      <c r="AB56" s="75">
        <f t="shared" si="536"/>
        <v>-126.80142392159667</v>
      </c>
      <c r="AC56" s="75">
        <f t="shared" si="537"/>
        <v>-446.79252055508584</v>
      </c>
      <c r="AD56" s="75">
        <f t="shared" si="538"/>
        <v>-559.0645707759445</v>
      </c>
      <c r="AE56" s="75">
        <f t="shared" si="539"/>
        <v>-805.07051159568596</v>
      </c>
      <c r="AI56" s="22">
        <f>'QTR Raw'!C25</f>
        <v>0</v>
      </c>
      <c r="AJ56" s="22">
        <f>'QTR Raw'!D25</f>
        <v>0</v>
      </c>
      <c r="AK56" s="22">
        <f>'QTR Raw'!E25</f>
        <v>0</v>
      </c>
      <c r="AL56" s="22">
        <f>'QTR Raw'!F25</f>
        <v>0</v>
      </c>
      <c r="AM56" s="22">
        <f>'QTR Raw'!G25</f>
        <v>0</v>
      </c>
      <c r="AN56" s="22">
        <f>'QTR Raw'!H25</f>
        <v>0</v>
      </c>
      <c r="AO56" s="22">
        <f>'QTR Raw'!I25</f>
        <v>0</v>
      </c>
      <c r="AP56" s="22">
        <f>'QTR Raw'!J25</f>
        <v>0</v>
      </c>
      <c r="AQ56" s="22">
        <f>'QTR Raw'!K25</f>
        <v>0</v>
      </c>
      <c r="AR56" s="22">
        <f>'QTR Raw'!L25</f>
        <v>0</v>
      </c>
      <c r="AS56" s="22">
        <f>'QTR Raw'!M25</f>
        <v>0</v>
      </c>
      <c r="AT56" s="22">
        <f>'QTR Raw'!N25</f>
        <v>0</v>
      </c>
      <c r="AU56" s="22">
        <f>'QTR Raw'!O25</f>
        <v>0</v>
      </c>
      <c r="AV56" s="22">
        <f>'QTR Raw'!P25</f>
        <v>0</v>
      </c>
      <c r="AW56" s="22">
        <f>'QTR Raw'!Q25</f>
        <v>49.533999999999999</v>
      </c>
      <c r="AX56" s="22">
        <f>'QTR Raw'!R25</f>
        <v>109.04900000000001</v>
      </c>
      <c r="AY56" s="22">
        <f>'QTR Raw'!S25</f>
        <v>111.35899999999999</v>
      </c>
      <c r="AZ56" s="22">
        <f>'QTR Raw'!T25</f>
        <v>111.26</v>
      </c>
      <c r="BA56" s="22">
        <f>'QTR Raw'!U25</f>
        <v>100.867</v>
      </c>
      <c r="BB56" s="22">
        <f>'QTR Raw'!V25</f>
        <v>56.610999999999997</v>
      </c>
      <c r="BC56" s="22">
        <f>'QTR Raw'!W25</f>
        <v>51.337000000000003</v>
      </c>
      <c r="BD56" s="22">
        <f>'QTR Raw'!X25</f>
        <v>51.610999999999997</v>
      </c>
      <c r="BE56" s="22">
        <f>'QTR Raw'!Y25</f>
        <v>52.616</v>
      </c>
      <c r="BF56" s="22">
        <f>'QTR Raw'!Z25</f>
        <v>59.917000000000002</v>
      </c>
      <c r="BG56" s="22">
        <f>'QTR Raw'!AA25</f>
        <v>51.764000000000003</v>
      </c>
      <c r="BH56" s="22">
        <f>'QTR Raw'!AB25</f>
        <v>47.158999999999999</v>
      </c>
      <c r="BI56" s="22">
        <f>'QTR Raw'!AC25</f>
        <v>53.722999999999999</v>
      </c>
      <c r="BJ56" s="22">
        <f>'QTR Raw'!AD25</f>
        <v>59.027999999999999</v>
      </c>
      <c r="BK56" s="22">
        <f>'QTR Raw'!AE25</f>
        <v>84.816999999999993</v>
      </c>
      <c r="BL56" s="22">
        <f>'QTR Raw'!AF25</f>
        <v>86.736999999999995</v>
      </c>
      <c r="BM56" s="22">
        <f>'QTR Raw'!AG25</f>
        <v>79.06</v>
      </c>
      <c r="BN56" s="22">
        <f>'QTR Raw'!AH25</f>
        <v>86.968999999999994</v>
      </c>
      <c r="BO56" s="22">
        <f>'QTR Raw'!AI25</f>
        <v>74.186999999999998</v>
      </c>
      <c r="BP56" s="22">
        <f>'QTR Raw'!AJ25</f>
        <v>57.963000000000001</v>
      </c>
      <c r="BQ56" s="22">
        <f>'QTR Raw'!AK25</f>
        <v>61.984999999999999</v>
      </c>
      <c r="BR56" s="22">
        <f>'QTR Raw'!AL25</f>
        <v>57.941000000000003</v>
      </c>
      <c r="BS56" s="22">
        <f>'QTR Raw'!AM25</f>
        <v>46.777000000000001</v>
      </c>
      <c r="BT56" s="22">
        <f>'QTR Raw'!AN25</f>
        <v>42.688000000000002</v>
      </c>
      <c r="BU56" s="22">
        <f>'QTR Raw'!AO25</f>
        <v>37.293999999999997</v>
      </c>
      <c r="BV56" s="22">
        <f>'QTR Raw'!AP25</f>
        <v>46.954999999999998</v>
      </c>
      <c r="BW56" s="22">
        <f>'QTR Raw'!AQ25</f>
        <v>46.398000000000003</v>
      </c>
      <c r="BX56" s="22">
        <f>'QTR Raw'!AR25</f>
        <v>45.284999999999997</v>
      </c>
      <c r="BY56" s="22">
        <f>'QTR Raw'!AS25</f>
        <v>47.484000000000002</v>
      </c>
      <c r="BZ56" s="22">
        <f>'QTR Raw'!AT25</f>
        <v>62.572000000000003</v>
      </c>
      <c r="CA56" s="22">
        <f>'QTR Raw'!AU25</f>
        <v>69.367999999999995</v>
      </c>
      <c r="CB56" s="22">
        <f>'QTR Raw'!AV25</f>
        <v>62.5</v>
      </c>
      <c r="CC56" s="22">
        <f>'QTR Raw'!AW25</f>
        <v>73.659000000000006</v>
      </c>
      <c r="CD56" s="22">
        <f>'QTR Raw'!AX25</f>
        <v>93.686999999999998</v>
      </c>
      <c r="CE56" s="22">
        <f>'QTR Raw'!AY25</f>
        <v>129.15899999999999</v>
      </c>
      <c r="CF56" s="22">
        <f>'QTR Raw'!AZ25</f>
        <v>118.535</v>
      </c>
      <c r="CG56" s="22">
        <f>'QTR Raw'!BA25</f>
        <v>109.005</v>
      </c>
      <c r="CH56" s="22">
        <f>'QTR Raw'!BB25</f>
        <v>41.124000000000002</v>
      </c>
      <c r="CI56" s="22">
        <f>'QTR Raw'!BC25</f>
        <v>36.546999999999997</v>
      </c>
      <c r="CJ56" s="22">
        <f>'QTR Raw'!BD25</f>
        <v>45.213999999999999</v>
      </c>
      <c r="CK56" s="22">
        <f>'QTR Raw'!BE25</f>
        <v>46.694000000000003</v>
      </c>
      <c r="CL56" s="22">
        <f>'QTR Raw'!BF25</f>
        <v>48.524999999999999</v>
      </c>
      <c r="CM56" s="23">
        <f t="shared" ref="CM56:DA56" si="540">CM57*CL188</f>
        <v>-41.994980233052566</v>
      </c>
      <c r="CN56" s="23">
        <f t="shared" si="540"/>
        <v>-49.795461497393887</v>
      </c>
      <c r="CO56" s="23">
        <f t="shared" si="540"/>
        <v>-83.535982191150211</v>
      </c>
      <c r="CP56" s="23">
        <f t="shared" si="540"/>
        <v>-99.803470242586513</v>
      </c>
      <c r="CQ56" s="23">
        <f t="shared" si="540"/>
        <v>-92.54309336648042</v>
      </c>
      <c r="CR56" s="23">
        <f t="shared" si="540"/>
        <v>-105.845643110544</v>
      </c>
      <c r="CS56" s="23">
        <f t="shared" si="540"/>
        <v>-148.60031383547488</v>
      </c>
      <c r="CT56" s="23">
        <f t="shared" si="540"/>
        <v>-127.70173349536744</v>
      </c>
      <c r="CU56" s="23">
        <f t="shared" si="540"/>
        <v>-125.26122370043474</v>
      </c>
      <c r="CV56" s="23">
        <f t="shared" si="540"/>
        <v>-135.85463762084578</v>
      </c>
      <c r="CW56" s="23">
        <f t="shared" si="540"/>
        <v>-170.24697595929649</v>
      </c>
      <c r="CX56" s="23">
        <f t="shared" si="540"/>
        <v>-188.35609594861126</v>
      </c>
      <c r="CY56" s="23">
        <f t="shared" si="540"/>
        <v>-181.88810577876404</v>
      </c>
      <c r="CZ56" s="23">
        <f t="shared" si="540"/>
        <v>-195.9829392282299</v>
      </c>
      <c r="DA56" s="23">
        <f t="shared" si="540"/>
        <v>-238.84337064008076</v>
      </c>
      <c r="DB56"/>
      <c r="DD56" s="122"/>
    </row>
    <row r="57" spans="1:108" s="45" customFormat="1" x14ac:dyDescent="0.25">
      <c r="A57" s="45" t="s">
        <v>482</v>
      </c>
      <c r="B57" s="45" t="e">
        <f t="shared" ref="B57:D57" si="541">+B56/B148</f>
        <v>#DIV/0!</v>
      </c>
      <c r="C57" s="45" t="e">
        <f t="shared" si="541"/>
        <v>#DIV/0!</v>
      </c>
      <c r="D57" s="45" t="e">
        <f t="shared" si="541"/>
        <v>#DIV/0!</v>
      </c>
      <c r="E57" s="45" t="e">
        <f t="shared" ref="E57:AE57" si="542">+E56/E148</f>
        <v>#DIV/0!</v>
      </c>
      <c r="F57" s="45">
        <f t="shared" si="542"/>
        <v>8.2126156049658755E-2</v>
      </c>
      <c r="G57" s="45">
        <f t="shared" si="542"/>
        <v>9.1246803026114709E-2</v>
      </c>
      <c r="H57" s="45">
        <f t="shared" si="542"/>
        <v>9.3785771608305285E-2</v>
      </c>
      <c r="I57" s="45">
        <f t="shared" si="542"/>
        <v>8.1561251421125747E-2</v>
      </c>
      <c r="J57" s="45">
        <f t="shared" si="542"/>
        <v>7.0544971126152281E-2</v>
      </c>
      <c r="K57" s="45">
        <f t="shared" si="542"/>
        <v>7.2252370040881225E-2</v>
      </c>
      <c r="L57" s="45">
        <f t="shared" si="542"/>
        <v>8.8378761734093772E-2</v>
      </c>
      <c r="M57" s="45">
        <f t="shared" si="542"/>
        <v>8.1060065581739726E-2</v>
      </c>
      <c r="N57" s="45">
        <f t="shared" si="542"/>
        <v>5.9794373409970847E-2</v>
      </c>
      <c r="O57" s="45">
        <f t="shared" si="542"/>
        <v>7.3405193839376201E-2</v>
      </c>
      <c r="P57" s="45">
        <f t="shared" si="542"/>
        <v>7.7571662495368121E-2</v>
      </c>
      <c r="Q57" s="45">
        <f t="shared" si="542"/>
        <v>8.1907916114078314E-2</v>
      </c>
      <c r="R57" s="45">
        <f t="shared" si="542"/>
        <v>0.19623617691918463</v>
      </c>
      <c r="S57" s="45">
        <f t="shared" si="542"/>
        <v>8.0865146124169174E-2</v>
      </c>
      <c r="T57" s="45">
        <f t="shared" si="542"/>
        <v>7.934955608652404E-2</v>
      </c>
      <c r="U57" s="45">
        <f t="shared" si="542"/>
        <v>9.4905642763769935E-2</v>
      </c>
      <c r="V57" s="45">
        <f t="shared" si="542"/>
        <v>9.1333571508303624E-2</v>
      </c>
      <c r="W57" s="45">
        <f t="shared" si="542"/>
        <v>6.2032170370403615E-2</v>
      </c>
      <c r="X57" s="45">
        <f t="shared" si="542"/>
        <v>5.5236098616113616E-2</v>
      </c>
      <c r="Y57" s="45">
        <f t="shared" si="542"/>
        <v>5.613655663315037E-2</v>
      </c>
      <c r="Z57" s="45">
        <f t="shared" si="542"/>
        <v>0.20423175913021591</v>
      </c>
      <c r="AA57" s="109">
        <f t="shared" si="542"/>
        <v>8.377916515777975E-2</v>
      </c>
      <c r="AB57" s="109">
        <f t="shared" si="542"/>
        <v>-6.2645241668892321E-2</v>
      </c>
      <c r="AC57" s="109">
        <f t="shared" si="542"/>
        <v>-0.22073431480811445</v>
      </c>
      <c r="AD57" s="109">
        <f t="shared" si="542"/>
        <v>-0.27620143419232984</v>
      </c>
      <c r="AE57" s="109">
        <f t="shared" si="542"/>
        <v>-0.39773872563603518</v>
      </c>
      <c r="AI57" s="45" t="e">
        <f t="shared" ref="AI57:BN57" si="543">(AI56-AI55)/AH188</f>
        <v>#DIV/0!</v>
      </c>
      <c r="AJ57" s="45" t="e">
        <f t="shared" si="543"/>
        <v>#DIV/0!</v>
      </c>
      <c r="AK57" s="45" t="e">
        <f t="shared" si="543"/>
        <v>#DIV/0!</v>
      </c>
      <c r="AL57" s="45" t="e">
        <f t="shared" si="543"/>
        <v>#DIV/0!</v>
      </c>
      <c r="AM57" s="45" t="e">
        <f t="shared" si="543"/>
        <v>#DIV/0!</v>
      </c>
      <c r="AN57" s="45" t="e">
        <f t="shared" si="543"/>
        <v>#DIV/0!</v>
      </c>
      <c r="AO57" s="45" t="e">
        <f t="shared" si="543"/>
        <v>#DIV/0!</v>
      </c>
      <c r="AP57" s="45" t="e">
        <f t="shared" si="543"/>
        <v>#DIV/0!</v>
      </c>
      <c r="AQ57" s="45" t="e">
        <f t="shared" si="543"/>
        <v>#DIV/0!</v>
      </c>
      <c r="AR57" s="45" t="e">
        <f t="shared" si="543"/>
        <v>#DIV/0!</v>
      </c>
      <c r="AS57" s="45" t="e">
        <f t="shared" si="543"/>
        <v>#DIV/0!</v>
      </c>
      <c r="AT57" s="45" t="e">
        <f t="shared" si="543"/>
        <v>#DIV/0!</v>
      </c>
      <c r="AU57" s="45" t="e">
        <f t="shared" si="543"/>
        <v>#DIV/0!</v>
      </c>
      <c r="AV57" s="45" t="e">
        <f t="shared" si="543"/>
        <v>#DIV/0!</v>
      </c>
      <c r="AW57" s="45" t="e">
        <f t="shared" si="543"/>
        <v>#DIV/0!</v>
      </c>
      <c r="AX57" s="45">
        <f t="shared" si="543"/>
        <v>5.8761219196361382E-2</v>
      </c>
      <c r="AY57" s="45">
        <f t="shared" si="543"/>
        <v>4.693720514437965E-2</v>
      </c>
      <c r="AZ57" s="45" t="e">
        <f t="shared" si="543"/>
        <v>#DIV/0!</v>
      </c>
      <c r="BA57" s="45">
        <f t="shared" si="543"/>
        <v>-9.6264194894690114</v>
      </c>
      <c r="BB57" s="45">
        <f t="shared" si="543"/>
        <v>3.3057794162109723E-2</v>
      </c>
      <c r="BC57" s="45">
        <f t="shared" si="543"/>
        <v>2.9611959564418328E-2</v>
      </c>
      <c r="BD57" s="45">
        <f t="shared" si="543"/>
        <v>2.9549016468213531E-2</v>
      </c>
      <c r="BE57" s="45">
        <f t="shared" si="543"/>
        <v>3.6486464026879502E-2</v>
      </c>
      <c r="BF57" s="45">
        <f t="shared" si="543"/>
        <v>2.6536284920111185E-2</v>
      </c>
      <c r="BG57" s="45">
        <f t="shared" si="543"/>
        <v>2.2014648246230489E-2</v>
      </c>
      <c r="BH57" s="45">
        <f t="shared" si="543"/>
        <v>2.6066370599488471E-2</v>
      </c>
      <c r="BI57" s="45">
        <f t="shared" si="543"/>
        <v>2.5915330639888708E-2</v>
      </c>
      <c r="BJ57" s="45">
        <f t="shared" si="543"/>
        <v>2.5450437320359464E-2</v>
      </c>
      <c r="BK57" s="45">
        <f t="shared" si="543"/>
        <v>3.2688827010466583E-2</v>
      </c>
      <c r="BL57" s="45">
        <f t="shared" si="543"/>
        <v>2.7389264610467087E-2</v>
      </c>
      <c r="BM57" s="45">
        <f t="shared" si="543"/>
        <v>1.5116130324311377E-2</v>
      </c>
      <c r="BN57" s="45">
        <f t="shared" si="543"/>
        <v>2.3272145499090496E-2</v>
      </c>
      <c r="BO57" s="45">
        <f t="shared" ref="BO57:CJ57" si="544">(BO56-BO55)/BN188</f>
        <v>2.5547378058729562E-2</v>
      </c>
      <c r="BP57" s="45">
        <f t="shared" si="544"/>
        <v>2.6083459794821226E-2</v>
      </c>
      <c r="BQ57" s="45">
        <f t="shared" si="544"/>
        <v>2.8310241326944579E-2</v>
      </c>
      <c r="BR57" s="45">
        <f t="shared" si="544"/>
        <v>2.085618531374954E-2</v>
      </c>
      <c r="BS57" s="45">
        <f t="shared" si="544"/>
        <v>7.9658260588123531E-3</v>
      </c>
      <c r="BT57" s="45">
        <f t="shared" si="544"/>
        <v>3.628994874375856E-3</v>
      </c>
      <c r="BU57" s="45">
        <f t="shared" si="544"/>
        <v>2.7817641702625441E-2</v>
      </c>
      <c r="BV57" s="45">
        <f t="shared" si="544"/>
        <v>1.2793180519706529E-2</v>
      </c>
      <c r="BW57" s="45">
        <f t="shared" si="544"/>
        <v>1.0795012749481818E-2</v>
      </c>
      <c r="BX57" s="45">
        <f t="shared" si="544"/>
        <v>1.6864930712991628E-2</v>
      </c>
      <c r="BY57" s="45">
        <f t="shared" si="544"/>
        <v>3.0370668257243872E-2</v>
      </c>
      <c r="BZ57" s="45">
        <f t="shared" si="544"/>
        <v>1.5379178160135738E-2</v>
      </c>
      <c r="CA57" s="45">
        <f t="shared" si="544"/>
        <v>6.8644952052322582E-3</v>
      </c>
      <c r="CB57" s="45">
        <f t="shared" si="544"/>
        <v>1.3871114100113286E-2</v>
      </c>
      <c r="CC57" s="45">
        <f t="shared" si="544"/>
        <v>2.9886366699520075E-2</v>
      </c>
      <c r="CD57" s="45">
        <f t="shared" si="544"/>
        <v>1.8023772184115619E-2</v>
      </c>
      <c r="CE57" s="45">
        <f t="shared" si="544"/>
        <v>1.6325463015281243E-2</v>
      </c>
      <c r="CF57" s="45">
        <f t="shared" si="544"/>
        <v>1.6032679901938528E-2</v>
      </c>
      <c r="CG57" s="45">
        <f t="shared" si="544"/>
        <v>1.453243655448814E-2</v>
      </c>
      <c r="CH57" s="45">
        <f t="shared" si="544"/>
        <v>-0.15230390842648869</v>
      </c>
      <c r="CI57" s="45">
        <f t="shared" si="544"/>
        <v>-0.291553248381409</v>
      </c>
      <c r="CJ57" s="45">
        <f t="shared" si="544"/>
        <v>0.19966557652121894</v>
      </c>
      <c r="CK57" s="45">
        <f t="shared" ref="CK57" si="545">(CK56-CK55)/CJ188</f>
        <v>2.4104525066322484E-2</v>
      </c>
      <c r="CL57" s="45">
        <f t="shared" ref="CL57" si="546">(CL56-CL55)/CK188</f>
        <v>0.19498205088184678</v>
      </c>
      <c r="CM57" s="46">
        <v>0.02</v>
      </c>
      <c r="CN57" s="46">
        <f t="shared" ref="CN57" si="547">+CM57</f>
        <v>0.02</v>
      </c>
      <c r="CO57" s="46">
        <f t="shared" ref="CO57" si="548">+CN57</f>
        <v>0.02</v>
      </c>
      <c r="CP57" s="46">
        <f t="shared" ref="CP57" si="549">+CO57</f>
        <v>0.02</v>
      </c>
      <c r="CQ57" s="46">
        <f t="shared" ref="CQ57" si="550">+CP57</f>
        <v>0.02</v>
      </c>
      <c r="CR57" s="46">
        <f t="shared" ref="CR57" si="551">+CQ57</f>
        <v>0.02</v>
      </c>
      <c r="CS57" s="46">
        <f t="shared" ref="CS57" si="552">+CR57</f>
        <v>0.02</v>
      </c>
      <c r="CT57" s="46">
        <v>1.4999999999999999E-2</v>
      </c>
      <c r="CU57" s="46">
        <f t="shared" ref="CU57" si="553">+CT57</f>
        <v>1.4999999999999999E-2</v>
      </c>
      <c r="CV57" s="46">
        <f t="shared" ref="CV57" si="554">+CU57</f>
        <v>1.4999999999999999E-2</v>
      </c>
      <c r="CW57" s="46">
        <f t="shared" ref="CW57" si="555">+CV57</f>
        <v>1.4999999999999999E-2</v>
      </c>
      <c r="CX57" s="46">
        <f t="shared" ref="CX57" si="556">+CW57</f>
        <v>1.4999999999999999E-2</v>
      </c>
      <c r="CY57" s="46">
        <f t="shared" ref="CY57" si="557">+CX57</f>
        <v>1.4999999999999999E-2</v>
      </c>
      <c r="CZ57" s="46">
        <f t="shared" ref="CZ57" si="558">+CY57</f>
        <v>1.4999999999999999E-2</v>
      </c>
      <c r="DA57" s="46">
        <f t="shared" ref="DA57" si="559">+CZ57</f>
        <v>1.4999999999999999E-2</v>
      </c>
      <c r="DB57"/>
      <c r="DD57" s="129"/>
    </row>
    <row r="58" spans="1:108" s="25" customFormat="1" x14ac:dyDescent="0.25">
      <c r="A58" s="25" t="s">
        <v>20</v>
      </c>
      <c r="B58" s="25">
        <f>B54+B55-B56</f>
        <v>0</v>
      </c>
      <c r="C58" s="25">
        <f t="shared" ref="C58:T58" si="560">C54+C55-C56</f>
        <v>0</v>
      </c>
      <c r="D58" s="25">
        <f>D54+D55-D56</f>
        <v>0</v>
      </c>
      <c r="E58" s="25">
        <f t="shared" si="560"/>
        <v>0</v>
      </c>
      <c r="F58" s="25">
        <f t="shared" si="560"/>
        <v>31.37758179999998</v>
      </c>
      <c r="G58" s="25">
        <f t="shared" si="560"/>
        <v>20.047682000000052</v>
      </c>
      <c r="H58" s="25">
        <f t="shared" si="560"/>
        <v>19.010006100000034</v>
      </c>
      <c r="I58" s="25">
        <f t="shared" si="560"/>
        <v>33.480080900000004</v>
      </c>
      <c r="J58" s="25">
        <f t="shared" si="560"/>
        <v>33.648378799999932</v>
      </c>
      <c r="K58" s="25">
        <f t="shared" si="560"/>
        <v>33.684251200000077</v>
      </c>
      <c r="L58" s="25">
        <f t="shared" si="560"/>
        <v>36.762457099999992</v>
      </c>
      <c r="M58" s="25">
        <f t="shared" si="560"/>
        <v>12.123000000000104</v>
      </c>
      <c r="N58" s="25">
        <f t="shared" si="560"/>
        <v>20.848999999999805</v>
      </c>
      <c r="O58" s="25">
        <f t="shared" si="560"/>
        <v>-45.589999999999932</v>
      </c>
      <c r="P58" s="25">
        <f t="shared" si="560"/>
        <v>3.7750000000000625</v>
      </c>
      <c r="Q58" s="25">
        <f t="shared" si="560"/>
        <v>190.60899999999992</v>
      </c>
      <c r="R58" s="25">
        <f t="shared" si="560"/>
        <v>76.957000000000392</v>
      </c>
      <c r="S58" s="25">
        <f t="shared" si="560"/>
        <v>289.6040000000005</v>
      </c>
      <c r="T58" s="25">
        <f t="shared" si="560"/>
        <v>430.77800000000002</v>
      </c>
      <c r="U58" s="25">
        <f t="shared" ref="U58:Z58" si="561">U54+U55-U56</f>
        <v>691.91099999999892</v>
      </c>
      <c r="V58" s="25">
        <f t="shared" si="561"/>
        <v>429.03399999999988</v>
      </c>
      <c r="W58" s="25">
        <f t="shared" si="561"/>
        <v>1006.6079999999995</v>
      </c>
      <c r="X58" s="25">
        <f t="shared" si="561"/>
        <v>2023.643</v>
      </c>
      <c r="Y58" s="25">
        <f t="shared" si="561"/>
        <v>2739.8390000000027</v>
      </c>
      <c r="Z58" s="25">
        <f t="shared" si="561"/>
        <v>3434.5669999999996</v>
      </c>
      <c r="AA58" s="26">
        <f t="shared" ref="AA58" si="562">AA54+AA55-AA56</f>
        <v>4015.6749999999934</v>
      </c>
      <c r="AB58" s="26">
        <f t="shared" ref="AB58:AD58" si="563">AB54+AB55-AB56</f>
        <v>4354.4958996139858</v>
      </c>
      <c r="AC58" s="26">
        <f t="shared" si="563"/>
        <v>5724.2236155122382</v>
      </c>
      <c r="AD58" s="26">
        <f t="shared" si="563"/>
        <v>6158.2576307925901</v>
      </c>
      <c r="AE58" s="26">
        <f t="shared" ref="AE58" si="564">AE54+AE55-AE56</f>
        <v>7808.8161803370585</v>
      </c>
      <c r="AI58" s="25">
        <f>AI54+AI55-AI56</f>
        <v>0</v>
      </c>
      <c r="AJ58" s="25">
        <f t="shared" ref="AJ58" si="565">AJ54+AJ55-AJ56</f>
        <v>0</v>
      </c>
      <c r="AK58" s="25">
        <f t="shared" ref="AK58:AM58" si="566">AK54+AK55-AK56</f>
        <v>0</v>
      </c>
      <c r="AL58" s="25">
        <f t="shared" si="566"/>
        <v>0</v>
      </c>
      <c r="AM58" s="25">
        <f t="shared" si="566"/>
        <v>0</v>
      </c>
      <c r="AN58" s="25">
        <f t="shared" ref="AN58:AO58" si="567">AN54+AN55-AN56</f>
        <v>0</v>
      </c>
      <c r="AO58" s="25">
        <f t="shared" si="567"/>
        <v>0</v>
      </c>
      <c r="AP58" s="25">
        <f t="shared" ref="AP58:CD58" si="568">AP54+AP55-AP56</f>
        <v>0</v>
      </c>
      <c r="AQ58" s="25">
        <f t="shared" si="568"/>
        <v>0</v>
      </c>
      <c r="AR58" s="25">
        <f t="shared" si="568"/>
        <v>0</v>
      </c>
      <c r="AS58" s="25">
        <f t="shared" si="568"/>
        <v>0</v>
      </c>
      <c r="AT58" s="25">
        <f t="shared" si="568"/>
        <v>0</v>
      </c>
      <c r="AU58" s="25">
        <f t="shared" si="568"/>
        <v>0</v>
      </c>
      <c r="AV58" s="25">
        <f t="shared" si="568"/>
        <v>0</v>
      </c>
      <c r="AW58" s="25">
        <f t="shared" si="568"/>
        <v>-129.17400000000004</v>
      </c>
      <c r="AX58" s="25">
        <f t="shared" si="568"/>
        <v>-62.221000000000103</v>
      </c>
      <c r="AY58" s="25">
        <f t="shared" si="568"/>
        <v>283.67800000000011</v>
      </c>
      <c r="AZ58" s="25">
        <f t="shared" si="568"/>
        <v>8.5240000000000862</v>
      </c>
      <c r="BA58" s="25">
        <f t="shared" si="568"/>
        <v>-153.024</v>
      </c>
      <c r="BB58" s="25">
        <f t="shared" si="568"/>
        <v>14.075999999999873</v>
      </c>
      <c r="BC58" s="25">
        <f t="shared" si="568"/>
        <v>343.12999999999988</v>
      </c>
      <c r="BD58" s="25">
        <f t="shared" si="568"/>
        <v>48.860999999999912</v>
      </c>
      <c r="BE58" s="25">
        <f t="shared" si="568"/>
        <v>-116.46299999999994</v>
      </c>
      <c r="BF58" s="25">
        <f t="shared" si="568"/>
        <v>29.880999999999958</v>
      </c>
      <c r="BG58" s="25">
        <f t="shared" si="568"/>
        <v>423.39800000000048</v>
      </c>
      <c r="BH58" s="25">
        <f t="shared" si="568"/>
        <v>64.751999999999981</v>
      </c>
      <c r="BI58" s="25">
        <f t="shared" si="568"/>
        <v>-87.253000000000128</v>
      </c>
      <c r="BJ58" s="25">
        <f t="shared" si="568"/>
        <v>61.720000000000006</v>
      </c>
      <c r="BK58" s="25">
        <f t="shared" si="568"/>
        <v>580.99</v>
      </c>
      <c r="BL58" s="25">
        <f t="shared" si="568"/>
        <v>113.38499999999979</v>
      </c>
      <c r="BM58" s="25">
        <f t="shared" si="568"/>
        <v>-64.183999999999941</v>
      </c>
      <c r="BN58" s="25">
        <f t="shared" si="568"/>
        <v>74.328000000000088</v>
      </c>
      <c r="BO58" s="25">
        <f t="shared" si="568"/>
        <v>181.86099999999988</v>
      </c>
      <c r="BP58" s="25">
        <f t="shared" si="568"/>
        <v>191.70999999999975</v>
      </c>
      <c r="BQ58" s="25">
        <f t="shared" si="568"/>
        <v>-18.865000000000322</v>
      </c>
      <c r="BR58" s="25">
        <f t="shared" si="568"/>
        <v>194.68900000000008</v>
      </c>
      <c r="BS58" s="25">
        <f t="shared" si="568"/>
        <v>419.65499999999986</v>
      </c>
      <c r="BT58" s="25">
        <f t="shared" si="568"/>
        <v>350.40900000000022</v>
      </c>
      <c r="BU58" s="25">
        <f t="shared" si="568"/>
        <v>41.855000000000103</v>
      </c>
      <c r="BV58" s="25">
        <f t="shared" si="568"/>
        <v>361.23099999999954</v>
      </c>
      <c r="BW58" s="25">
        <f t="shared" si="568"/>
        <v>1061.6230000000003</v>
      </c>
      <c r="BX58" s="25">
        <f t="shared" si="568"/>
        <v>511.18099999999993</v>
      </c>
      <c r="BY58" s="25">
        <f t="shared" si="568"/>
        <v>89.60799999999989</v>
      </c>
      <c r="BZ58" s="25">
        <f t="shared" si="568"/>
        <v>573.40300000000036</v>
      </c>
      <c r="CA58" s="25">
        <f t="shared" si="568"/>
        <v>1311.3260000000009</v>
      </c>
      <c r="CB58" s="25">
        <f t="shared" si="568"/>
        <v>667.33800000000008</v>
      </c>
      <c r="CC58" s="25">
        <f t="shared" si="568"/>
        <v>187.77199999999959</v>
      </c>
      <c r="CD58" s="25">
        <f t="shared" si="568"/>
        <v>715.91099999999881</v>
      </c>
      <c r="CE58" s="25">
        <f t="shared" ref="CE58:CF58" si="569">CE54+CE55-CE56</f>
        <v>1663.6069999999991</v>
      </c>
      <c r="CF58" s="25">
        <f t="shared" si="569"/>
        <v>800.22599999999989</v>
      </c>
      <c r="CG58" s="25">
        <f t="shared" ref="CG58:CH58" si="570">CG54+CG55-CG56</f>
        <v>254.82300000000004</v>
      </c>
      <c r="CH58" s="25">
        <f t="shared" si="570"/>
        <v>978.38499999999954</v>
      </c>
      <c r="CI58" s="25">
        <f t="shared" ref="CI58:CJ58" si="571">CI54+CI55-CI56</f>
        <v>1733.2329999999999</v>
      </c>
      <c r="CJ58" s="25">
        <f t="shared" si="571"/>
        <v>942.58700000000067</v>
      </c>
      <c r="CK58" s="25">
        <f t="shared" ref="CK58:CL58" si="572">CK54+CK55-CK56</f>
        <v>361.46999999999986</v>
      </c>
      <c r="CL58" s="25">
        <f t="shared" si="572"/>
        <v>1167.1360000000006</v>
      </c>
      <c r="CM58" s="26">
        <f t="shared" ref="CM58:DA58" si="573">CM54+CM55-CM56</f>
        <v>1499.863385337185</v>
      </c>
      <c r="CN58" s="26">
        <f t="shared" si="573"/>
        <v>912.27881438536519</v>
      </c>
      <c r="CO58" s="26">
        <f t="shared" si="573"/>
        <v>775.2176998914382</v>
      </c>
      <c r="CP58" s="26">
        <f t="shared" si="573"/>
        <v>1554.6640869106154</v>
      </c>
      <c r="CQ58" s="26">
        <f t="shared" si="573"/>
        <v>1860.6671348515292</v>
      </c>
      <c r="CR58" s="26">
        <f t="shared" si="573"/>
        <v>1253.4940780462318</v>
      </c>
      <c r="CS58" s="26">
        <f t="shared" si="573"/>
        <v>1055.3983157038624</v>
      </c>
      <c r="CT58" s="26">
        <f t="shared" si="573"/>
        <v>1669.974778210418</v>
      </c>
      <c r="CU58" s="26">
        <f t="shared" si="573"/>
        <v>1981.616552232935</v>
      </c>
      <c r="CV58" s="26">
        <f t="shared" si="573"/>
        <v>1330.200965070642</v>
      </c>
      <c r="CW58" s="26">
        <f t="shared" si="573"/>
        <v>1176.4653352785949</v>
      </c>
      <c r="CX58" s="26">
        <f t="shared" si="573"/>
        <v>2093.2005144924433</v>
      </c>
      <c r="CY58" s="26">
        <f t="shared" si="573"/>
        <v>2473.9549745654308</v>
      </c>
      <c r="CZ58" s="26">
        <f t="shared" si="573"/>
        <v>1712.8947857305936</v>
      </c>
      <c r="DA58" s="26">
        <f t="shared" si="573"/>
        <v>1528.7659055485881</v>
      </c>
      <c r="DB58"/>
      <c r="DD58" s="120"/>
    </row>
    <row r="59" spans="1:108" s="22" customFormat="1" x14ac:dyDescent="0.25">
      <c r="A59" s="22" t="s">
        <v>21</v>
      </c>
      <c r="B59" s="22">
        <f>'Annual Raw'!C30</f>
        <v>0</v>
      </c>
      <c r="C59" s="22">
        <f>'Annual Raw'!D30</f>
        <v>0</v>
      </c>
      <c r="D59" s="22">
        <f>'Annual Raw'!E30</f>
        <v>0</v>
      </c>
      <c r="E59" s="22">
        <f>'Annual Raw'!F30</f>
        <v>0</v>
      </c>
      <c r="F59" s="22">
        <f>'Annual Raw'!G30</f>
        <v>13.206833700000001</v>
      </c>
      <c r="G59" s="22">
        <f>'Annual Raw'!H30</f>
        <v>9.1863785</v>
      </c>
      <c r="H59" s="22">
        <f>'Annual Raw'!I30</f>
        <v>4.8914093999999997</v>
      </c>
      <c r="I59" s="22">
        <f>'Annual Raw'!J30</f>
        <v>12.2928011</v>
      </c>
      <c r="J59" s="22">
        <f>'Annual Raw'!K30</f>
        <v>11.7826656</v>
      </c>
      <c r="K59" s="22">
        <f>'Annual Raw'!L30</f>
        <v>11.4863392</v>
      </c>
      <c r="L59" s="22">
        <f>'Annual Raw'!M30</f>
        <v>11.947740599999999</v>
      </c>
      <c r="M59" s="22">
        <f>'Annual Raw'!N30</f>
        <v>4.3440000000000003</v>
      </c>
      <c r="N59" s="22">
        <f>'Annual Raw'!O30</f>
        <v>-4.2610000000000001</v>
      </c>
      <c r="O59" s="22">
        <f>'Annual Raw'!P30</f>
        <v>-5.218</v>
      </c>
      <c r="P59" s="22">
        <f>'Annual Raw'!Q30</f>
        <v>24.812000000000001</v>
      </c>
      <c r="Q59" s="22">
        <f>'Annual Raw'!R30</f>
        <v>78.856999999999999</v>
      </c>
      <c r="R59" s="22">
        <f>'Annual Raw'!S30</f>
        <v>31.295999999999999</v>
      </c>
      <c r="S59" s="22">
        <f>'Annual Raw'!T30</f>
        <v>76.894999999999996</v>
      </c>
      <c r="T59" s="22">
        <f>'Annual Raw'!U30</f>
        <v>133.935</v>
      </c>
      <c r="U59" s="22">
        <f>'Annual Raw'!V30</f>
        <v>224.06700000000001</v>
      </c>
      <c r="V59" s="22">
        <f>'Annual Raw'!W30</f>
        <v>5.234</v>
      </c>
      <c r="W59" s="22">
        <f>'Annual Raw'!X30</f>
        <v>260.55599999999998</v>
      </c>
      <c r="X59" s="22">
        <f>'Annual Raw'!Y30</f>
        <v>473.52300000000002</v>
      </c>
      <c r="Y59" s="22">
        <f>'Annual Raw'!Z30</f>
        <v>637.54700000000003</v>
      </c>
      <c r="Z59" s="22">
        <f>'Annual Raw'!AA30</f>
        <v>798.80399999999997</v>
      </c>
      <c r="AA59" s="23">
        <f>SUM(CH59:CK59)</f>
        <v>947.60599999999988</v>
      </c>
      <c r="AB59" s="23">
        <f>+SUM(CL59:CO59)</f>
        <v>1057.7850254207615</v>
      </c>
      <c r="AC59" s="23">
        <f>+SUM(CP59:CS59)</f>
        <v>1397.2853054862226</v>
      </c>
      <c r="AD59" s="23">
        <f>+SUM(CT59:CW59)</f>
        <v>1505.3900357928571</v>
      </c>
      <c r="AE59" s="23">
        <f>+SUM(CX59:DA59)</f>
        <v>1909.4822755288196</v>
      </c>
      <c r="AI59" s="22">
        <f>'QTR Raw'!C29</f>
        <v>0</v>
      </c>
      <c r="AJ59" s="22">
        <f>'QTR Raw'!D29</f>
        <v>0</v>
      </c>
      <c r="AK59" s="22">
        <f>'QTR Raw'!E29</f>
        <v>0</v>
      </c>
      <c r="AL59" s="22">
        <f>'QTR Raw'!F29</f>
        <v>0</v>
      </c>
      <c r="AM59" s="22">
        <f>'QTR Raw'!G29</f>
        <v>0</v>
      </c>
      <c r="AN59" s="22">
        <f>'QTR Raw'!H29</f>
        <v>0</v>
      </c>
      <c r="AO59" s="22">
        <f>'QTR Raw'!I29</f>
        <v>0</v>
      </c>
      <c r="AP59" s="22">
        <f>'QTR Raw'!J29</f>
        <v>0</v>
      </c>
      <c r="AQ59" s="22">
        <f>'QTR Raw'!K29</f>
        <v>0</v>
      </c>
      <c r="AR59" s="22">
        <f>'QTR Raw'!L29</f>
        <v>0</v>
      </c>
      <c r="AS59" s="22">
        <f>'QTR Raw'!M29</f>
        <v>0</v>
      </c>
      <c r="AT59" s="22">
        <f>'QTR Raw'!N29</f>
        <v>0</v>
      </c>
      <c r="AU59" s="22">
        <f>'QTR Raw'!O29</f>
        <v>0</v>
      </c>
      <c r="AV59" s="22">
        <f>'QTR Raw'!P29</f>
        <v>0</v>
      </c>
      <c r="AW59" s="22">
        <f>'QTR Raw'!Q29</f>
        <v>-30.100999999999999</v>
      </c>
      <c r="AX59" s="22">
        <f>'QTR Raw'!R29</f>
        <v>-6.1219999999999999</v>
      </c>
      <c r="AY59" s="22">
        <f>'QTR Raw'!S29</f>
        <v>82.418000000000006</v>
      </c>
      <c r="AZ59" s="22">
        <f>'QTR Raw'!T29</f>
        <v>-4.2160000000000002</v>
      </c>
      <c r="BA59" s="22">
        <f>'QTR Raw'!U29</f>
        <v>-40.783999999999999</v>
      </c>
      <c r="BB59" s="22">
        <f>'QTR Raw'!V29</f>
        <v>7.3970000000000002</v>
      </c>
      <c r="BC59" s="22">
        <f>'QTR Raw'!W29</f>
        <v>98.123999999999995</v>
      </c>
      <c r="BD59" s="22">
        <f>'QTR Raw'!X29</f>
        <v>15.247999999999999</v>
      </c>
      <c r="BE59" s="22">
        <f>'QTR Raw'!Y29</f>
        <v>-43.874000000000002</v>
      </c>
      <c r="BF59" s="22">
        <f>'QTR Raw'!Z29</f>
        <v>11.237</v>
      </c>
      <c r="BG59" s="22">
        <f>'QTR Raw'!AA29</f>
        <v>117.274</v>
      </c>
      <c r="BH59" s="22">
        <f>'QTR Raw'!AB29</f>
        <v>21.195</v>
      </c>
      <c r="BI59" s="22">
        <f>'QTR Raw'!AC29</f>
        <v>-15.771000000000001</v>
      </c>
      <c r="BJ59" s="22">
        <f>'QTR Raw'!AD29</f>
        <v>22.471</v>
      </c>
      <c r="BK59" s="22">
        <f>'QTR Raw'!AE29</f>
        <v>177.309</v>
      </c>
      <c r="BL59" s="22">
        <f>'QTR Raw'!AF29</f>
        <v>34.497999999999998</v>
      </c>
      <c r="BM59" s="22">
        <f>'QTR Raw'!AG29</f>
        <v>-10.211</v>
      </c>
      <c r="BN59" s="22">
        <f>'QTR Raw'!AH29</f>
        <v>-52.262999999999998</v>
      </c>
      <c r="BO59" s="22">
        <f>'QTR Raw'!AI29</f>
        <v>38.883000000000003</v>
      </c>
      <c r="BP59" s="22">
        <f>'QTR Raw'!AJ29</f>
        <v>30.236999999999998</v>
      </c>
      <c r="BQ59" s="22">
        <f>'QTR Raw'!AK29</f>
        <v>-11.622999999999999</v>
      </c>
      <c r="BR59" s="22">
        <f>'QTR Raw'!AL29</f>
        <v>57.93</v>
      </c>
      <c r="BS59" s="22">
        <f>'QTR Raw'!AM29</f>
        <v>100.852</v>
      </c>
      <c r="BT59" s="22">
        <f>'QTR Raw'!AN29</f>
        <v>92.509</v>
      </c>
      <c r="BU59" s="22">
        <f>'QTR Raw'!AO29</f>
        <v>9.2650000000000006</v>
      </c>
      <c r="BV59" s="22">
        <f>'QTR Raw'!AP29</f>
        <v>90.137</v>
      </c>
      <c r="BW59" s="22">
        <f>'QTR Raw'!AQ29</f>
        <v>259.61200000000002</v>
      </c>
      <c r="BX59" s="22">
        <f>'QTR Raw'!AR29</f>
        <v>115.696</v>
      </c>
      <c r="BY59" s="22">
        <f>'QTR Raw'!AS29</f>
        <v>8.0779999999999994</v>
      </c>
      <c r="BZ59" s="22">
        <f>'QTR Raw'!AT29</f>
        <v>134.804</v>
      </c>
      <c r="CA59" s="22">
        <f>'QTR Raw'!AU29</f>
        <v>305.66500000000002</v>
      </c>
      <c r="CB59" s="22">
        <f>'QTR Raw'!AV29</f>
        <v>152.86000000000001</v>
      </c>
      <c r="CC59" s="22">
        <f>'QTR Raw'!AW29</f>
        <v>44.218000000000004</v>
      </c>
      <c r="CD59" s="22">
        <f>'QTR Raw'!AX29</f>
        <v>167.768</v>
      </c>
      <c r="CE59" s="22">
        <f>'QTR Raw'!AY29</f>
        <v>401.23700000000002</v>
      </c>
      <c r="CF59" s="22">
        <f>'QTR Raw'!AZ29</f>
        <v>171.30600000000001</v>
      </c>
      <c r="CG59" s="22">
        <f>'QTR Raw'!BA29</f>
        <v>58.493000000000002</v>
      </c>
      <c r="CH59" s="22">
        <f>'QTR Raw'!BB29</f>
        <v>246.45</v>
      </c>
      <c r="CI59" s="22">
        <f>'QTR Raw'!BC29</f>
        <v>406.55599999999998</v>
      </c>
      <c r="CJ59" s="22">
        <f>'QTR Raw'!BD29</f>
        <v>195.71899999999999</v>
      </c>
      <c r="CK59" s="22">
        <f>'QTR Raw'!BE29</f>
        <v>98.881</v>
      </c>
      <c r="CL59" s="22">
        <f>'QTR Raw'!BF29</f>
        <v>284.476</v>
      </c>
      <c r="CM59" s="23">
        <f t="shared" ref="CM59:DA59" si="574">+CM58*CM60</f>
        <v>359.778350952361</v>
      </c>
      <c r="CN59" s="23">
        <f t="shared" si="574"/>
        <v>220.04285607535226</v>
      </c>
      <c r="CO59" s="23">
        <f t="shared" si="574"/>
        <v>193.4878183930484</v>
      </c>
      <c r="CP59" s="23">
        <f t="shared" si="574"/>
        <v>378.71831384768723</v>
      </c>
      <c r="CQ59" s="23">
        <f t="shared" si="574"/>
        <v>453.19728457965732</v>
      </c>
      <c r="CR59" s="23">
        <f t="shared" si="574"/>
        <v>306.46720048039788</v>
      </c>
      <c r="CS59" s="23">
        <f t="shared" si="574"/>
        <v>258.90250657848009</v>
      </c>
      <c r="CT59" s="23">
        <f t="shared" si="574"/>
        <v>407.87940678666951</v>
      </c>
      <c r="CU59" s="23">
        <f t="shared" si="574"/>
        <v>484.3134733906935</v>
      </c>
      <c r="CV59" s="23">
        <f t="shared" si="574"/>
        <v>325.38345949267551</v>
      </c>
      <c r="CW59" s="23">
        <f t="shared" si="574"/>
        <v>287.81369612281861</v>
      </c>
      <c r="CX59" s="23">
        <f t="shared" si="574"/>
        <v>511.73575495800299</v>
      </c>
      <c r="CY59" s="23">
        <f t="shared" si="574"/>
        <v>604.96454789573522</v>
      </c>
      <c r="CZ59" s="23">
        <f t="shared" si="574"/>
        <v>418.91566680189902</v>
      </c>
      <c r="DA59" s="23">
        <f t="shared" si="574"/>
        <v>373.86630587318234</v>
      </c>
      <c r="DB59"/>
      <c r="DD59" s="122"/>
    </row>
    <row r="60" spans="1:108" s="89" customFormat="1" x14ac:dyDescent="0.25">
      <c r="A60" s="89" t="s">
        <v>106</v>
      </c>
      <c r="B60" s="89" t="e">
        <f t="shared" ref="B60:E60" si="575">B59/B58</f>
        <v>#DIV/0!</v>
      </c>
      <c r="C60" s="89" t="e">
        <f t="shared" si="575"/>
        <v>#DIV/0!</v>
      </c>
      <c r="D60" s="89" t="e">
        <f t="shared" si="575"/>
        <v>#DIV/0!</v>
      </c>
      <c r="E60" s="89" t="e">
        <f t="shared" si="575"/>
        <v>#DIV/0!</v>
      </c>
      <c r="F60" s="89">
        <f t="shared" ref="F60:T60" si="576">F59/F58</f>
        <v>0.42090030341343926</v>
      </c>
      <c r="G60" s="89">
        <f t="shared" si="576"/>
        <v>0.45822646727935812</v>
      </c>
      <c r="H60" s="89">
        <f t="shared" si="576"/>
        <v>0.2573070926052986</v>
      </c>
      <c r="I60" s="89">
        <f t="shared" si="576"/>
        <v>0.3671676044247551</v>
      </c>
      <c r="J60" s="89">
        <f t="shared" si="576"/>
        <v>0.35017038027401259</v>
      </c>
      <c r="K60" s="89">
        <f t="shared" si="576"/>
        <v>0.3410002832421572</v>
      </c>
      <c r="L60" s="89">
        <f t="shared" si="576"/>
        <v>0.32499842345956798</v>
      </c>
      <c r="M60" s="89">
        <f t="shared" si="576"/>
        <v>0.35832714674585192</v>
      </c>
      <c r="N60" s="89">
        <f t="shared" si="576"/>
        <v>-0.204374310518492</v>
      </c>
      <c r="O60" s="89">
        <f t="shared" si="576"/>
        <v>0.11445492432551015</v>
      </c>
      <c r="P60" s="89">
        <f t="shared" si="576"/>
        <v>6.5727152317879707</v>
      </c>
      <c r="Q60" s="89">
        <f t="shared" si="576"/>
        <v>0.41371079015156698</v>
      </c>
      <c r="R60" s="89">
        <f t="shared" si="576"/>
        <v>0.40666865912132544</v>
      </c>
      <c r="S60" s="89">
        <f t="shared" si="576"/>
        <v>0.26551774146765883</v>
      </c>
      <c r="T60" s="89">
        <f t="shared" si="576"/>
        <v>0.3109142063893699</v>
      </c>
      <c r="U60" s="89">
        <f t="shared" ref="U60:Z60" si="577">U59/U58</f>
        <v>0.32383789244570521</v>
      </c>
      <c r="V60" s="89">
        <f t="shared" si="577"/>
        <v>1.2199499340378622E-2</v>
      </c>
      <c r="W60" s="89">
        <f t="shared" si="577"/>
        <v>0.25884554861475384</v>
      </c>
      <c r="X60" s="89">
        <f t="shared" si="577"/>
        <v>0.23399532427409381</v>
      </c>
      <c r="Y60" s="89">
        <f t="shared" si="577"/>
        <v>0.23269505981920813</v>
      </c>
      <c r="Z60" s="89">
        <f t="shared" si="577"/>
        <v>0.23257778928173481</v>
      </c>
      <c r="AA60" s="90">
        <f t="shared" ref="AA60:AD60" si="578">AA59/AA58</f>
        <v>0.23597676604804957</v>
      </c>
      <c r="AB60" s="90">
        <f t="shared" si="578"/>
        <v>0.24291790595428767</v>
      </c>
      <c r="AC60" s="90">
        <f t="shared" si="578"/>
        <v>0.2441004054592974</v>
      </c>
      <c r="AD60" s="90">
        <f t="shared" si="578"/>
        <v>0.24445064270542835</v>
      </c>
      <c r="AE60" s="90">
        <f t="shared" ref="AE60" si="579">AE59/AE58</f>
        <v>0.24452903377812629</v>
      </c>
      <c r="AI60" s="89" t="e">
        <f t="shared" ref="AI60" si="580">AI59/AI58</f>
        <v>#DIV/0!</v>
      </c>
      <c r="AJ60" s="89" t="e">
        <f t="shared" ref="AJ60" si="581">AJ59/AJ58</f>
        <v>#DIV/0!</v>
      </c>
      <c r="AK60" s="89" t="e">
        <f t="shared" ref="AK60:AM60" si="582">AK59/AK58</f>
        <v>#DIV/0!</v>
      </c>
      <c r="AL60" s="89" t="e">
        <f t="shared" si="582"/>
        <v>#DIV/0!</v>
      </c>
      <c r="AM60" s="89" t="e">
        <f t="shared" si="582"/>
        <v>#DIV/0!</v>
      </c>
      <c r="AN60" s="89" t="e">
        <f t="shared" ref="AN60:AO60" si="583">AN59/AN58</f>
        <v>#DIV/0!</v>
      </c>
      <c r="AO60" s="89" t="e">
        <f t="shared" si="583"/>
        <v>#DIV/0!</v>
      </c>
      <c r="AP60" s="89" t="e">
        <f t="shared" ref="AP60:CD60" si="584">AP59/AP58</f>
        <v>#DIV/0!</v>
      </c>
      <c r="AQ60" s="89" t="e">
        <f t="shared" si="584"/>
        <v>#DIV/0!</v>
      </c>
      <c r="AR60" s="89" t="e">
        <f t="shared" si="584"/>
        <v>#DIV/0!</v>
      </c>
      <c r="AS60" s="89" t="e">
        <f t="shared" si="584"/>
        <v>#DIV/0!</v>
      </c>
      <c r="AT60" s="89" t="e">
        <f t="shared" si="584"/>
        <v>#DIV/0!</v>
      </c>
      <c r="AU60" s="89" t="e">
        <f t="shared" si="584"/>
        <v>#DIV/0!</v>
      </c>
      <c r="AV60" s="89" t="e">
        <f t="shared" si="584"/>
        <v>#DIV/0!</v>
      </c>
      <c r="AW60" s="89">
        <f t="shared" si="584"/>
        <v>0.2330267700930527</v>
      </c>
      <c r="AX60" s="89">
        <f t="shared" si="584"/>
        <v>9.8391218398932667E-2</v>
      </c>
      <c r="AY60" s="89">
        <f t="shared" si="584"/>
        <v>0.29053363320384368</v>
      </c>
      <c r="AZ60" s="89">
        <f t="shared" si="584"/>
        <v>-0.4946034725480945</v>
      </c>
      <c r="BA60" s="89">
        <f t="shared" si="584"/>
        <v>0.26652028439983272</v>
      </c>
      <c r="BB60" s="89">
        <f t="shared" si="584"/>
        <v>0.5255044046604197</v>
      </c>
      <c r="BC60" s="89">
        <f t="shared" si="584"/>
        <v>0.28596741759682925</v>
      </c>
      <c r="BD60" s="89">
        <f t="shared" si="584"/>
        <v>0.31206893023065485</v>
      </c>
      <c r="BE60" s="89">
        <f t="shared" si="584"/>
        <v>0.37672050350755198</v>
      </c>
      <c r="BF60" s="89">
        <f t="shared" si="584"/>
        <v>0.37605836484722788</v>
      </c>
      <c r="BG60" s="89">
        <f t="shared" si="584"/>
        <v>0.27698288607881916</v>
      </c>
      <c r="BH60" s="89">
        <f t="shared" si="584"/>
        <v>0.32732579688658275</v>
      </c>
      <c r="BI60" s="89">
        <f t="shared" si="584"/>
        <v>0.18075023208371033</v>
      </c>
      <c r="BJ60" s="89">
        <f t="shared" si="584"/>
        <v>0.36407971484121837</v>
      </c>
      <c r="BK60" s="89">
        <f t="shared" si="584"/>
        <v>0.30518425446221104</v>
      </c>
      <c r="BL60" s="89">
        <f t="shared" si="584"/>
        <v>0.3042554129734979</v>
      </c>
      <c r="BM60" s="89">
        <f t="shared" si="584"/>
        <v>0.15908949270846331</v>
      </c>
      <c r="BN60" s="89">
        <f t="shared" si="584"/>
        <v>-0.70314013561511057</v>
      </c>
      <c r="BO60" s="89">
        <f t="shared" si="584"/>
        <v>0.21380614865199263</v>
      </c>
      <c r="BP60" s="89">
        <f t="shared" si="584"/>
        <v>0.15772260184653925</v>
      </c>
      <c r="BQ60" s="89">
        <f t="shared" si="584"/>
        <v>0.61611449774714022</v>
      </c>
      <c r="BR60" s="89">
        <f t="shared" si="584"/>
        <v>0.29755147953916233</v>
      </c>
      <c r="BS60" s="89">
        <f t="shared" si="584"/>
        <v>0.24032121623714728</v>
      </c>
      <c r="BT60" s="89">
        <f t="shared" si="584"/>
        <v>0.26400292229937</v>
      </c>
      <c r="BU60" s="89">
        <f t="shared" si="584"/>
        <v>0.22135945526221426</v>
      </c>
      <c r="BV60" s="89">
        <f t="shared" si="584"/>
        <v>0.24952731077897555</v>
      </c>
      <c r="BW60" s="89">
        <f t="shared" si="584"/>
        <v>0.24454255418354723</v>
      </c>
      <c r="BX60" s="89">
        <f t="shared" si="584"/>
        <v>0.22633079085490271</v>
      </c>
      <c r="BY60" s="89">
        <f t="shared" si="584"/>
        <v>9.014820105347747E-2</v>
      </c>
      <c r="BZ60" s="89">
        <f t="shared" si="584"/>
        <v>0.23509468907557149</v>
      </c>
      <c r="CA60" s="89">
        <f t="shared" si="584"/>
        <v>0.23309611797524019</v>
      </c>
      <c r="CB60" s="89">
        <f t="shared" si="584"/>
        <v>0.22905933724739186</v>
      </c>
      <c r="CC60" s="89">
        <f t="shared" si="584"/>
        <v>0.23548771914875541</v>
      </c>
      <c r="CD60" s="89">
        <f t="shared" si="584"/>
        <v>0.23434197826266154</v>
      </c>
      <c r="CE60" s="89">
        <f t="shared" ref="CE60:CF60" si="585">CE59/CE58</f>
        <v>0.24118496736308531</v>
      </c>
      <c r="CF60" s="89">
        <f t="shared" si="585"/>
        <v>0.21407202465303557</v>
      </c>
      <c r="CG60" s="89">
        <f t="shared" ref="CG60:CH60" si="586">CG59/CG58</f>
        <v>0.22954364401957433</v>
      </c>
      <c r="CH60" s="89">
        <f t="shared" si="586"/>
        <v>0.2518947040275557</v>
      </c>
      <c r="CI60" s="89">
        <f t="shared" ref="CI60:CJ60" si="587">CI59/CI58</f>
        <v>0.2345651161730708</v>
      </c>
      <c r="CJ60" s="89">
        <f t="shared" si="587"/>
        <v>0.20764024965334749</v>
      </c>
      <c r="CK60" s="89">
        <f t="shared" ref="CK60:CL60" si="588">CK59/CK58</f>
        <v>0.273552438653277</v>
      </c>
      <c r="CL60" s="89">
        <f t="shared" si="588"/>
        <v>0.24373851890439491</v>
      </c>
      <c r="CM60" s="90">
        <f>AVERAGE(CI60:CL60)</f>
        <v>0.23987408084602255</v>
      </c>
      <c r="CN60" s="90">
        <f t="shared" ref="CN60:CP60" si="589">AVERAGE(CJ60:CM60)</f>
        <v>0.24120132201426051</v>
      </c>
      <c r="CO60" s="90">
        <f t="shared" si="589"/>
        <v>0.24959159010448873</v>
      </c>
      <c r="CP60" s="90">
        <f t="shared" si="589"/>
        <v>0.24360137796729167</v>
      </c>
      <c r="CQ60" s="90">
        <f t="shared" ref="CM60:DA60" si="590">AVERAGE(CM60:CP60)</f>
        <v>0.24356709273301586</v>
      </c>
      <c r="CR60" s="90">
        <f t="shared" si="590"/>
        <v>0.24449034570476419</v>
      </c>
      <c r="CS60" s="90">
        <f t="shared" si="590"/>
        <v>0.2453126016273901</v>
      </c>
      <c r="CT60" s="90">
        <f t="shared" si="590"/>
        <v>0.24424285450811545</v>
      </c>
      <c r="CU60" s="90">
        <f t="shared" si="590"/>
        <v>0.2444032236433214</v>
      </c>
      <c r="CV60" s="90">
        <f t="shared" si="590"/>
        <v>0.24461225637089778</v>
      </c>
      <c r="CW60" s="90">
        <f t="shared" si="590"/>
        <v>0.24464273403743117</v>
      </c>
      <c r="CX60" s="90">
        <f t="shared" si="590"/>
        <v>0.24447526713994147</v>
      </c>
      <c r="CY60" s="90">
        <f t="shared" si="590"/>
        <v>0.24453337029789796</v>
      </c>
      <c r="CZ60" s="90">
        <f t="shared" si="590"/>
        <v>0.24456590696154212</v>
      </c>
      <c r="DA60" s="90">
        <f t="shared" si="590"/>
        <v>0.24455431960920318</v>
      </c>
      <c r="DB60"/>
      <c r="DD60" s="126"/>
    </row>
    <row r="61" spans="1:108" s="25" customFormat="1" x14ac:dyDescent="0.25">
      <c r="A61" s="25" t="s">
        <v>22</v>
      </c>
      <c r="B61" s="25">
        <f t="shared" ref="B61:E61" si="591">B58-B59</f>
        <v>0</v>
      </c>
      <c r="C61" s="25">
        <f t="shared" si="591"/>
        <v>0</v>
      </c>
      <c r="D61" s="25">
        <f t="shared" si="591"/>
        <v>0</v>
      </c>
      <c r="E61" s="25">
        <f t="shared" si="591"/>
        <v>0</v>
      </c>
      <c r="F61" s="25">
        <f t="shared" ref="F61:T61" si="592">F58-F59</f>
        <v>18.17074809999998</v>
      </c>
      <c r="G61" s="25">
        <f t="shared" si="592"/>
        <v>10.861303500000052</v>
      </c>
      <c r="H61" s="25">
        <f t="shared" si="592"/>
        <v>14.118596700000033</v>
      </c>
      <c r="I61" s="25">
        <f t="shared" si="592"/>
        <v>21.187279800000006</v>
      </c>
      <c r="J61" s="25">
        <f t="shared" si="592"/>
        <v>21.865713199999931</v>
      </c>
      <c r="K61" s="25">
        <f t="shared" si="592"/>
        <v>22.197912000000077</v>
      </c>
      <c r="L61" s="25">
        <f t="shared" si="592"/>
        <v>24.814716499999992</v>
      </c>
      <c r="M61" s="25">
        <f t="shared" si="592"/>
        <v>7.7790000000001038</v>
      </c>
      <c r="N61" s="25">
        <f t="shared" si="592"/>
        <v>25.109999999999804</v>
      </c>
      <c r="O61" s="25">
        <f t="shared" si="592"/>
        <v>-40.371999999999929</v>
      </c>
      <c r="P61" s="25">
        <f t="shared" si="592"/>
        <v>-21.036999999999939</v>
      </c>
      <c r="Q61" s="25">
        <f t="shared" si="592"/>
        <v>111.75199999999992</v>
      </c>
      <c r="R61" s="25">
        <f t="shared" si="592"/>
        <v>45.661000000000392</v>
      </c>
      <c r="S61" s="25">
        <f t="shared" si="592"/>
        <v>212.70900000000051</v>
      </c>
      <c r="T61" s="25">
        <f t="shared" si="592"/>
        <v>296.84300000000002</v>
      </c>
      <c r="U61" s="25">
        <f t="shared" ref="U61:Z61" si="593">U58-U59</f>
        <v>467.84399999999891</v>
      </c>
      <c r="V61" s="25">
        <f t="shared" si="593"/>
        <v>423.7999999999999</v>
      </c>
      <c r="W61" s="25">
        <f t="shared" si="593"/>
        <v>746.05199999999945</v>
      </c>
      <c r="X61" s="25">
        <f t="shared" si="593"/>
        <v>1550.12</v>
      </c>
      <c r="Y61" s="25">
        <f t="shared" si="593"/>
        <v>2102.2920000000026</v>
      </c>
      <c r="Z61" s="25">
        <f t="shared" si="593"/>
        <v>2635.7629999999995</v>
      </c>
      <c r="AA61" s="26">
        <f t="shared" ref="AA61:AD61" si="594">AA58-AA59</f>
        <v>3068.0689999999936</v>
      </c>
      <c r="AB61" s="26">
        <f t="shared" si="594"/>
        <v>3296.7108741932243</v>
      </c>
      <c r="AC61" s="26">
        <f t="shared" si="594"/>
        <v>4326.9383100260156</v>
      </c>
      <c r="AD61" s="26">
        <f t="shared" si="594"/>
        <v>4652.8675949997332</v>
      </c>
      <c r="AE61" s="26">
        <f t="shared" ref="AE61" si="595">AE58-AE59</f>
        <v>5899.3339048082389</v>
      </c>
      <c r="AI61" s="25">
        <f>AI58-AI59</f>
        <v>0</v>
      </c>
      <c r="AJ61" s="25">
        <f t="shared" ref="AJ61" si="596">AJ58-AJ59</f>
        <v>0</v>
      </c>
      <c r="AK61" s="25">
        <f t="shared" ref="AK61:AM61" si="597">AK58-AK59</f>
        <v>0</v>
      </c>
      <c r="AL61" s="25">
        <f t="shared" si="597"/>
        <v>0</v>
      </c>
      <c r="AM61" s="25">
        <f t="shared" si="597"/>
        <v>0</v>
      </c>
      <c r="AN61" s="25">
        <f t="shared" ref="AN61:AO61" si="598">AN58-AN59</f>
        <v>0</v>
      </c>
      <c r="AO61" s="25">
        <f t="shared" si="598"/>
        <v>0</v>
      </c>
      <c r="AP61" s="25">
        <f t="shared" ref="AP61:CD61" si="599">AP58-AP59</f>
        <v>0</v>
      </c>
      <c r="AQ61" s="25">
        <f t="shared" si="599"/>
        <v>0</v>
      </c>
      <c r="AR61" s="25">
        <f t="shared" si="599"/>
        <v>0</v>
      </c>
      <c r="AS61" s="25">
        <f t="shared" si="599"/>
        <v>0</v>
      </c>
      <c r="AT61" s="25">
        <f t="shared" si="599"/>
        <v>0</v>
      </c>
      <c r="AU61" s="25">
        <f t="shared" si="599"/>
        <v>0</v>
      </c>
      <c r="AV61" s="25">
        <f t="shared" si="599"/>
        <v>0</v>
      </c>
      <c r="AW61" s="25">
        <f t="shared" si="599"/>
        <v>-99.073000000000036</v>
      </c>
      <c r="AX61" s="25">
        <f t="shared" si="599"/>
        <v>-56.099000000000103</v>
      </c>
      <c r="AY61" s="25">
        <f t="shared" si="599"/>
        <v>201.2600000000001</v>
      </c>
      <c r="AZ61" s="25">
        <f t="shared" si="599"/>
        <v>12.740000000000087</v>
      </c>
      <c r="BA61" s="25">
        <f t="shared" si="599"/>
        <v>-112.24000000000001</v>
      </c>
      <c r="BB61" s="25">
        <f t="shared" si="599"/>
        <v>6.6789999999998724</v>
      </c>
      <c r="BC61" s="25">
        <f t="shared" si="599"/>
        <v>245.00599999999989</v>
      </c>
      <c r="BD61" s="25">
        <f t="shared" si="599"/>
        <v>33.612999999999914</v>
      </c>
      <c r="BE61" s="25">
        <f t="shared" si="599"/>
        <v>-72.588999999999942</v>
      </c>
      <c r="BF61" s="25">
        <f t="shared" si="599"/>
        <v>18.643999999999956</v>
      </c>
      <c r="BG61" s="25">
        <f t="shared" si="599"/>
        <v>306.12400000000048</v>
      </c>
      <c r="BH61" s="25">
        <f t="shared" si="599"/>
        <v>43.556999999999981</v>
      </c>
      <c r="BI61" s="25">
        <f t="shared" si="599"/>
        <v>-71.482000000000127</v>
      </c>
      <c r="BJ61" s="25">
        <f t="shared" si="599"/>
        <v>39.249000000000009</v>
      </c>
      <c r="BK61" s="25">
        <f t="shared" si="599"/>
        <v>403.68100000000004</v>
      </c>
      <c r="BL61" s="25">
        <f t="shared" si="599"/>
        <v>78.886999999999802</v>
      </c>
      <c r="BM61" s="25">
        <f t="shared" si="599"/>
        <v>-53.972999999999942</v>
      </c>
      <c r="BN61" s="25">
        <f t="shared" si="599"/>
        <v>126.59100000000009</v>
      </c>
      <c r="BO61" s="25">
        <f t="shared" si="599"/>
        <v>142.97799999999987</v>
      </c>
      <c r="BP61" s="25">
        <f t="shared" si="599"/>
        <v>161.47299999999976</v>
      </c>
      <c r="BQ61" s="25">
        <f t="shared" si="599"/>
        <v>-7.2420000000003224</v>
      </c>
      <c r="BR61" s="25">
        <f t="shared" si="599"/>
        <v>136.75900000000007</v>
      </c>
      <c r="BS61" s="25">
        <f t="shared" si="599"/>
        <v>318.80299999999988</v>
      </c>
      <c r="BT61" s="25">
        <f t="shared" si="599"/>
        <v>257.9000000000002</v>
      </c>
      <c r="BU61" s="25">
        <f t="shared" si="599"/>
        <v>32.590000000000103</v>
      </c>
      <c r="BV61" s="25">
        <f t="shared" si="599"/>
        <v>271.09399999999954</v>
      </c>
      <c r="BW61" s="25">
        <f t="shared" si="599"/>
        <v>802.01100000000019</v>
      </c>
      <c r="BX61" s="25">
        <f t="shared" si="599"/>
        <v>395.4849999999999</v>
      </c>
      <c r="BY61" s="25">
        <f t="shared" si="599"/>
        <v>81.529999999999887</v>
      </c>
      <c r="BZ61" s="25">
        <f t="shared" si="599"/>
        <v>438.59900000000039</v>
      </c>
      <c r="CA61" s="25">
        <f t="shared" si="599"/>
        <v>1005.661000000001</v>
      </c>
      <c r="CB61" s="25">
        <f t="shared" si="599"/>
        <v>514.47800000000007</v>
      </c>
      <c r="CC61" s="25">
        <f t="shared" si="599"/>
        <v>143.55399999999958</v>
      </c>
      <c r="CD61" s="25">
        <f t="shared" si="599"/>
        <v>548.14299999999878</v>
      </c>
      <c r="CE61" s="25">
        <f t="shared" ref="CE61:CF61" si="600">CE58-CE59</f>
        <v>1262.369999999999</v>
      </c>
      <c r="CF61" s="25">
        <f t="shared" si="600"/>
        <v>628.91999999999985</v>
      </c>
      <c r="CG61" s="25">
        <f t="shared" ref="CG61:CH61" si="601">CG58-CG59</f>
        <v>196.33000000000004</v>
      </c>
      <c r="CH61" s="25">
        <f t="shared" si="601"/>
        <v>731.93499999999949</v>
      </c>
      <c r="CI61" s="25">
        <f t="shared" ref="CI61:CJ61" si="602">CI58-CI59</f>
        <v>1326.6769999999999</v>
      </c>
      <c r="CJ61" s="25">
        <f t="shared" si="602"/>
        <v>746.86800000000062</v>
      </c>
      <c r="CK61" s="25">
        <f t="shared" ref="CK61:CL61" si="603">CK58-CK59</f>
        <v>262.58899999999983</v>
      </c>
      <c r="CL61" s="25">
        <f t="shared" si="603"/>
        <v>882.66000000000065</v>
      </c>
      <c r="CM61" s="26">
        <f t="shared" ref="CM61:DA61" si="604">CM58-CM59</f>
        <v>1140.085034384824</v>
      </c>
      <c r="CN61" s="26">
        <f t="shared" si="604"/>
        <v>692.23595831001296</v>
      </c>
      <c r="CO61" s="26">
        <f t="shared" si="604"/>
        <v>581.72988149838977</v>
      </c>
      <c r="CP61" s="26">
        <f t="shared" si="604"/>
        <v>1175.9457730629283</v>
      </c>
      <c r="CQ61" s="26">
        <f t="shared" si="604"/>
        <v>1407.469850271872</v>
      </c>
      <c r="CR61" s="26">
        <f t="shared" si="604"/>
        <v>947.02687756583396</v>
      </c>
      <c r="CS61" s="26">
        <f t="shared" si="604"/>
        <v>796.49580912538227</v>
      </c>
      <c r="CT61" s="26">
        <f t="shared" si="604"/>
        <v>1262.0953714237485</v>
      </c>
      <c r="CU61" s="26">
        <f t="shared" si="604"/>
        <v>1497.3030788422416</v>
      </c>
      <c r="CV61" s="26">
        <f t="shared" si="604"/>
        <v>1004.8175055779666</v>
      </c>
      <c r="CW61" s="26">
        <f t="shared" si="604"/>
        <v>888.65163915577637</v>
      </c>
      <c r="CX61" s="26">
        <f t="shared" si="604"/>
        <v>1581.4647595344404</v>
      </c>
      <c r="CY61" s="26">
        <f t="shared" si="604"/>
        <v>1868.9904266696956</v>
      </c>
      <c r="CZ61" s="26">
        <f t="shared" si="604"/>
        <v>1293.9791189286946</v>
      </c>
      <c r="DA61" s="26">
        <f t="shared" si="604"/>
        <v>1154.8995996754056</v>
      </c>
      <c r="DB61"/>
      <c r="DD61" s="120"/>
    </row>
    <row r="62" spans="1:108" s="44" customFormat="1" x14ac:dyDescent="0.25">
      <c r="A62" s="44" t="s">
        <v>107</v>
      </c>
      <c r="B62" s="44" t="e">
        <f t="shared" ref="B62:AE62" si="605">+B61/B30</f>
        <v>#DIV/0!</v>
      </c>
      <c r="C62" s="44" t="e">
        <f t="shared" si="605"/>
        <v>#DIV/0!</v>
      </c>
      <c r="D62" s="44" t="e">
        <f t="shared" si="605"/>
        <v>#DIV/0!</v>
      </c>
      <c r="E62" s="44" t="e">
        <f t="shared" si="605"/>
        <v>#DIV/0!</v>
      </c>
      <c r="F62" s="44">
        <f t="shared" si="605"/>
        <v>6.4096288251365457E-2</v>
      </c>
      <c r="G62" s="44">
        <f t="shared" si="605"/>
        <v>3.5386716536913332E-2</v>
      </c>
      <c r="H62" s="44">
        <f t="shared" si="605"/>
        <v>4.3063831150949507E-2</v>
      </c>
      <c r="I62" s="44">
        <f t="shared" si="605"/>
        <v>5.6843403338310443E-2</v>
      </c>
      <c r="J62" s="44">
        <f t="shared" si="605"/>
        <v>4.7550160420983749E-2</v>
      </c>
      <c r="K62" s="44">
        <f t="shared" si="605"/>
        <v>2.8768971902069652E-2</v>
      </c>
      <c r="L62" s="44">
        <f t="shared" si="605"/>
        <v>2.5700681790659714E-2</v>
      </c>
      <c r="M62" s="44">
        <f t="shared" si="605"/>
        <v>6.8260553666011203E-3</v>
      </c>
      <c r="N62" s="44">
        <f t="shared" si="605"/>
        <v>1.3950046500154892E-2</v>
      </c>
      <c r="O62" s="44">
        <f t="shared" si="605"/>
        <v>-1.908707140726253E-2</v>
      </c>
      <c r="P62" s="44">
        <f t="shared" si="605"/>
        <v>-8.406706023440607E-3</v>
      </c>
      <c r="Q62" s="44">
        <f t="shared" si="605"/>
        <v>3.2924895165179824E-2</v>
      </c>
      <c r="R62" s="44">
        <f t="shared" si="605"/>
        <v>1.1825650325301959E-2</v>
      </c>
      <c r="S62" s="44">
        <f t="shared" si="605"/>
        <v>5.3130229746674314E-2</v>
      </c>
      <c r="T62" s="44">
        <f t="shared" si="605"/>
        <v>5.8144598066110317E-2</v>
      </c>
      <c r="U62" s="44">
        <f t="shared" si="605"/>
        <v>6.5620153114251498E-2</v>
      </c>
      <c r="V62" s="44">
        <f t="shared" si="605"/>
        <v>6.5703979850366065E-2</v>
      </c>
      <c r="W62" s="44">
        <f t="shared" si="605"/>
        <v>8.4555429247565747E-2</v>
      </c>
      <c r="X62" s="44">
        <f t="shared" si="605"/>
        <v>0.11767276174507189</v>
      </c>
      <c r="Y62" s="44">
        <f t="shared" si="605"/>
        <v>0.13104449963506509</v>
      </c>
      <c r="Z62" s="44">
        <f t="shared" si="605"/>
        <v>0.13173776030668266</v>
      </c>
      <c r="AA62" s="47">
        <f t="shared" si="605"/>
        <v>0.14148099509812553</v>
      </c>
      <c r="AB62" s="47">
        <f t="shared" si="605"/>
        <v>0.13218358911556946</v>
      </c>
      <c r="AC62" s="47">
        <f t="shared" si="605"/>
        <v>0.14939459359288354</v>
      </c>
      <c r="AD62" s="47">
        <f t="shared" si="605"/>
        <v>0.14962850480387285</v>
      </c>
      <c r="AE62" s="47">
        <f t="shared" si="605"/>
        <v>0.15805499659949879</v>
      </c>
      <c r="AI62" s="44" t="e">
        <f t="shared" ref="AI62:BN62" si="606">+AI61/AI30</f>
        <v>#DIV/0!</v>
      </c>
      <c r="AJ62" s="44" t="e">
        <f t="shared" si="606"/>
        <v>#DIV/0!</v>
      </c>
      <c r="AK62" s="44" t="e">
        <f t="shared" si="606"/>
        <v>#DIV/0!</v>
      </c>
      <c r="AL62" s="44" t="e">
        <f t="shared" si="606"/>
        <v>#DIV/0!</v>
      </c>
      <c r="AM62" s="44" t="e">
        <f t="shared" si="606"/>
        <v>#DIV/0!</v>
      </c>
      <c r="AN62" s="44" t="e">
        <f t="shared" si="606"/>
        <v>#DIV/0!</v>
      </c>
      <c r="AO62" s="44" t="e">
        <f t="shared" si="606"/>
        <v>#DIV/0!</v>
      </c>
      <c r="AP62" s="44" t="e">
        <f t="shared" si="606"/>
        <v>#DIV/0!</v>
      </c>
      <c r="AQ62" s="44" t="e">
        <f t="shared" si="606"/>
        <v>#DIV/0!</v>
      </c>
      <c r="AR62" s="44" t="e">
        <f t="shared" si="606"/>
        <v>#DIV/0!</v>
      </c>
      <c r="AS62" s="44" t="e">
        <f t="shared" si="606"/>
        <v>#DIV/0!</v>
      </c>
      <c r="AT62" s="44" t="e">
        <f t="shared" si="606"/>
        <v>#DIV/0!</v>
      </c>
      <c r="AU62" s="44" t="e">
        <f t="shared" si="606"/>
        <v>#DIV/0!</v>
      </c>
      <c r="AV62" s="44" t="e">
        <f t="shared" si="606"/>
        <v>#DIV/0!</v>
      </c>
      <c r="AW62" s="44">
        <f t="shared" si="606"/>
        <v>-0.25347633533491798</v>
      </c>
      <c r="AX62" s="44">
        <f t="shared" si="606"/>
        <v>-6.4554325562127576E-2</v>
      </c>
      <c r="AY62" s="44">
        <f t="shared" si="606"/>
        <v>0.12120693829322619</v>
      </c>
      <c r="AZ62" s="44">
        <f t="shared" si="606"/>
        <v>1.4195729469955625E-2</v>
      </c>
      <c r="BA62" s="44">
        <f t="shared" si="606"/>
        <v>-0.2584721953556065</v>
      </c>
      <c r="BB62" s="44">
        <f t="shared" si="606"/>
        <v>7.5967047203298844E-3</v>
      </c>
      <c r="BC62" s="44">
        <f t="shared" si="606"/>
        <v>0.14999801027920368</v>
      </c>
      <c r="BD62" s="44">
        <f t="shared" si="606"/>
        <v>3.4888234756831622E-2</v>
      </c>
      <c r="BE62" s="44">
        <f t="shared" si="606"/>
        <v>-0.13760947867298567</v>
      </c>
      <c r="BF62" s="44">
        <f t="shared" si="606"/>
        <v>1.7030061108725993E-2</v>
      </c>
      <c r="BG62" s="44">
        <f t="shared" si="606"/>
        <v>0.14866659770553717</v>
      </c>
      <c r="BH62" s="44">
        <f t="shared" si="606"/>
        <v>3.736434547415067E-2</v>
      </c>
      <c r="BI62" s="44">
        <f t="shared" si="606"/>
        <v>-9.0988356922011779E-2</v>
      </c>
      <c r="BJ62" s="44">
        <f t="shared" si="606"/>
        <v>2.8877713562570594E-2</v>
      </c>
      <c r="BK62" s="44">
        <f t="shared" si="606"/>
        <v>0.14363551226954793</v>
      </c>
      <c r="BL62" s="44">
        <f t="shared" si="606"/>
        <v>4.5344288264757601E-2</v>
      </c>
      <c r="BM62" s="44">
        <f t="shared" si="606"/>
        <v>-4.4231281422992874E-2</v>
      </c>
      <c r="BN62" s="44">
        <f t="shared" si="606"/>
        <v>7.5512069070419768E-2</v>
      </c>
      <c r="BO62" s="44">
        <f t="shared" ref="BO62:CT62" si="607">+BO61/BO30</f>
        <v>8.7171980199770308E-2</v>
      </c>
      <c r="BP62" s="44">
        <f t="shared" si="607"/>
        <v>8.9576142467078609E-2</v>
      </c>
      <c r="BQ62" s="44">
        <f t="shared" si="607"/>
        <v>-5.4414674079247081E-3</v>
      </c>
      <c r="BR62" s="44">
        <f t="shared" si="607"/>
        <v>6.1028822451059707E-2</v>
      </c>
      <c r="BS62" s="44">
        <f t="shared" si="607"/>
        <v>0.13013190630427635</v>
      </c>
      <c r="BT62" s="44">
        <f t="shared" si="607"/>
        <v>0.10754087095178889</v>
      </c>
      <c r="BU62" s="44">
        <f t="shared" si="607"/>
        <v>1.8791064010124977E-2</v>
      </c>
      <c r="BV62" s="44">
        <f t="shared" si="607"/>
        <v>9.5878579876299233E-2</v>
      </c>
      <c r="BW62" s="44">
        <f t="shared" si="607"/>
        <v>0.16186497376794093</v>
      </c>
      <c r="BX62" s="44">
        <f t="shared" si="607"/>
        <v>0.12449868098796832</v>
      </c>
      <c r="BY62" s="44">
        <f t="shared" si="607"/>
        <v>3.68208433160888E-2</v>
      </c>
      <c r="BZ62" s="44">
        <f t="shared" si="607"/>
        <v>0.11266422209235877</v>
      </c>
      <c r="CA62" s="44">
        <f t="shared" si="607"/>
        <v>0.17921742195622431</v>
      </c>
      <c r="CB62" s="44">
        <f t="shared" si="607"/>
        <v>0.13292236304471114</v>
      </c>
      <c r="CC62" s="44">
        <f t="shared" si="607"/>
        <v>5.3812119778579734E-2</v>
      </c>
      <c r="CD62" s="44">
        <f t="shared" si="607"/>
        <v>0.12696392408889484</v>
      </c>
      <c r="CE62" s="44">
        <f t="shared" si="607"/>
        <v>0.17540561428022367</v>
      </c>
      <c r="CF62" s="44">
        <f t="shared" si="607"/>
        <v>0.13089729332819663</v>
      </c>
      <c r="CG62" s="44">
        <f t="shared" si="607"/>
        <v>5.3223385867243275E-2</v>
      </c>
      <c r="CH62" s="44">
        <f t="shared" si="607"/>
        <v>0.13147899158154344</v>
      </c>
      <c r="CI62" s="44">
        <f t="shared" si="607"/>
        <v>0.18905612942510805</v>
      </c>
      <c r="CJ62" s="44">
        <f t="shared" si="607"/>
        <v>0.15252631901401989</v>
      </c>
      <c r="CK62" s="44">
        <f t="shared" ref="CK62:CL62" si="608">+CK61/CK30</f>
        <v>6.245541897187791E-2</v>
      </c>
      <c r="CL62" s="44">
        <f t="shared" si="608"/>
        <v>0.13426140710870854</v>
      </c>
      <c r="CM62" s="47">
        <f t="shared" si="607"/>
        <v>0.14539897417748635</v>
      </c>
      <c r="CN62" s="47">
        <f t="shared" si="607"/>
        <v>0.1234080940185048</v>
      </c>
      <c r="CO62" s="47">
        <f t="shared" si="607"/>
        <v>0.11833878958973268</v>
      </c>
      <c r="CP62" s="47">
        <f t="shared" si="607"/>
        <v>0.15107715414685441</v>
      </c>
      <c r="CQ62" s="47">
        <f t="shared" si="607"/>
        <v>0.15540103524363491</v>
      </c>
      <c r="CR62" s="47">
        <f t="shared" si="607"/>
        <v>0.1467553171110442</v>
      </c>
      <c r="CS62" s="47">
        <f t="shared" si="607"/>
        <v>0.14049303056230414</v>
      </c>
      <c r="CT62" s="47">
        <f t="shared" si="607"/>
        <v>0.15154550449130791</v>
      </c>
      <c r="CU62" s="47">
        <f t="shared" ref="CU62:DA62" si="609">+CU61/CU30</f>
        <v>0.15405926846237655</v>
      </c>
      <c r="CV62" s="47">
        <f t="shared" si="609"/>
        <v>0.14481012178457114</v>
      </c>
      <c r="CW62" s="47">
        <f t="shared" si="609"/>
        <v>0.14543976741145587</v>
      </c>
      <c r="CX62" s="47">
        <f t="shared" si="609"/>
        <v>0.15865674760885837</v>
      </c>
      <c r="CY62" s="47">
        <f t="shared" si="609"/>
        <v>0.16037207546997087</v>
      </c>
      <c r="CZ62" s="47">
        <f t="shared" si="609"/>
        <v>0.15518789004551631</v>
      </c>
      <c r="DA62" s="47">
        <f t="shared" si="609"/>
        <v>0.15681998282513282</v>
      </c>
      <c r="DB62"/>
      <c r="DD62" s="128"/>
    </row>
    <row r="63" spans="1:108" s="38" customFormat="1" x14ac:dyDescent="0.25">
      <c r="A63" s="38" t="s">
        <v>451</v>
      </c>
      <c r="C63" s="38" t="e">
        <f t="shared" ref="C63:E63" si="610">+IF(B61&lt;0,1-C61/B61,C61/B61-1)</f>
        <v>#DIV/0!</v>
      </c>
      <c r="D63" s="38" t="e">
        <f t="shared" si="610"/>
        <v>#DIV/0!</v>
      </c>
      <c r="E63" s="38" t="e">
        <f t="shared" si="610"/>
        <v>#DIV/0!</v>
      </c>
      <c r="F63" s="38" t="e">
        <f t="shared" ref="F63:AE63" si="611">+IF(E61&lt;0,1-F61/E61,F61/E61-1)</f>
        <v>#DIV/0!</v>
      </c>
      <c r="G63" s="38">
        <f t="shared" si="611"/>
        <v>-0.40226437347397581</v>
      </c>
      <c r="H63" s="38">
        <f t="shared" si="611"/>
        <v>0.29989892097205151</v>
      </c>
      <c r="I63" s="38">
        <f t="shared" si="611"/>
        <v>0.50066470841255462</v>
      </c>
      <c r="J63" s="38">
        <f t="shared" si="611"/>
        <v>3.2020788246725607E-2</v>
      </c>
      <c r="K63" s="38">
        <f t="shared" si="611"/>
        <v>1.5192680749153364E-2</v>
      </c>
      <c r="L63" s="38">
        <f t="shared" si="611"/>
        <v>0.11788516415417383</v>
      </c>
      <c r="M63" s="38">
        <f t="shared" si="611"/>
        <v>-0.68651666844551273</v>
      </c>
      <c r="N63" s="38">
        <f t="shared" si="611"/>
        <v>2.2279213266486013</v>
      </c>
      <c r="O63" s="38">
        <f t="shared" si="611"/>
        <v>-2.6078056551174926</v>
      </c>
      <c r="P63" s="38">
        <f t="shared" si="611"/>
        <v>0.47892103438026412</v>
      </c>
      <c r="Q63" s="38">
        <f t="shared" si="611"/>
        <v>6.3121642819793813</v>
      </c>
      <c r="R63" s="38">
        <f t="shared" si="611"/>
        <v>-0.591407760040085</v>
      </c>
      <c r="S63" s="38">
        <f t="shared" si="611"/>
        <v>3.6584393683887493</v>
      </c>
      <c r="T63" s="38">
        <f t="shared" si="611"/>
        <v>0.3955356849028453</v>
      </c>
      <c r="U63" s="38">
        <f t="shared" si="611"/>
        <v>0.57606546221402866</v>
      </c>
      <c r="V63" s="38">
        <f t="shared" si="611"/>
        <v>-9.4142491941756501E-2</v>
      </c>
      <c r="W63" s="38">
        <f t="shared" si="611"/>
        <v>0.76038697498820107</v>
      </c>
      <c r="X63" s="38">
        <f t="shared" si="611"/>
        <v>1.0777640164492568</v>
      </c>
      <c r="Y63" s="38">
        <f t="shared" si="611"/>
        <v>0.35621242226408456</v>
      </c>
      <c r="Z63" s="38">
        <f t="shared" ref="Z63" si="612">+IF(Y61&lt;0,1-Z61/Y61,Z61/Y61-1)</f>
        <v>0.25375685204528975</v>
      </c>
      <c r="AA63" s="39">
        <f t="shared" si="611"/>
        <v>0.16401550518767971</v>
      </c>
      <c r="AB63" s="39">
        <f t="shared" si="611"/>
        <v>7.4523054792193788E-2</v>
      </c>
      <c r="AC63" s="39">
        <f t="shared" si="611"/>
        <v>0.31250160391602733</v>
      </c>
      <c r="AD63" s="39">
        <f t="shared" si="611"/>
        <v>7.5325614007137887E-2</v>
      </c>
      <c r="AE63" s="39">
        <f t="shared" si="611"/>
        <v>0.26789206534654841</v>
      </c>
      <c r="AM63" s="38" t="e">
        <f>+IF(AI61&lt;0,1-AM61/AI61,AM61/AI61-1)</f>
        <v>#DIV/0!</v>
      </c>
      <c r="AN63" s="38" t="e">
        <f t="shared" ref="AN63" si="613">+IF(AJ61&lt;0,1-AN61/AJ61,AN61/AJ61-1)</f>
        <v>#DIV/0!</v>
      </c>
      <c r="AO63" s="38" t="e">
        <f t="shared" ref="AO63" si="614">+IF(AK61&lt;0,1-AO61/AK61,AO61/AK61-1)</f>
        <v>#DIV/0!</v>
      </c>
      <c r="AP63" s="38" t="e">
        <f t="shared" ref="AP63" si="615">+IF(AL61&lt;0,1-AP61/AL61,AP61/AL61-1)</f>
        <v>#DIV/0!</v>
      </c>
      <c r="AQ63" s="38" t="e">
        <f t="shared" ref="AQ63" si="616">+IF(AM61&lt;0,1-AQ61/AM61,AQ61/AM61-1)</f>
        <v>#DIV/0!</v>
      </c>
      <c r="AR63" s="38" t="e">
        <f t="shared" ref="AR63" si="617">+IF(AN61&lt;0,1-AR61/AN61,AR61/AN61-1)</f>
        <v>#DIV/0!</v>
      </c>
      <c r="AS63" s="38" t="e">
        <f t="shared" ref="AS63" si="618">+IF(AO61&lt;0,1-AS61/AO61,AS61/AO61-1)</f>
        <v>#DIV/0!</v>
      </c>
      <c r="AT63" s="38" t="e">
        <f t="shared" ref="AT63" si="619">+IF(AP61&lt;0,1-AT61/AP61,AT61/AP61-1)</f>
        <v>#DIV/0!</v>
      </c>
      <c r="AU63" s="38" t="e">
        <f t="shared" ref="AU63" si="620">+IF(AQ61&lt;0,1-AU61/AQ61,AU61/AQ61-1)</f>
        <v>#DIV/0!</v>
      </c>
      <c r="AV63" s="38" t="e">
        <f t="shared" ref="AV63" si="621">+IF(AR61&lt;0,1-AV61/AR61,AV61/AR61-1)</f>
        <v>#DIV/0!</v>
      </c>
      <c r="AW63" s="38" t="e">
        <f t="shared" ref="AW63" si="622">+IF(AS61&lt;0,1-AW61/AS61,AW61/AS61-1)</f>
        <v>#DIV/0!</v>
      </c>
      <c r="AX63" s="38" t="e">
        <f t="shared" ref="AX63" si="623">+IF(AT61&lt;0,1-AX61/AT61,AX61/AT61-1)</f>
        <v>#DIV/0!</v>
      </c>
      <c r="AY63" s="38" t="e">
        <f t="shared" ref="AY63" si="624">+IF(AU61&lt;0,1-AY61/AU61,AY61/AU61-1)</f>
        <v>#DIV/0!</v>
      </c>
      <c r="AZ63" s="38" t="e">
        <f t="shared" ref="AZ63" si="625">+IF(AV61&lt;0,1-AZ61/AV61,AZ61/AV61-1)</f>
        <v>#DIV/0!</v>
      </c>
      <c r="BA63" s="38">
        <f t="shared" ref="BA63" si="626">+IF(AW61&lt;0,1-BA61/AW61,BA61/AW61-1)</f>
        <v>-0.13290200155440912</v>
      </c>
      <c r="BB63" s="38">
        <f t="shared" ref="BB63" si="627">+IF(AX61&lt;0,1-BB61/AX61,BB61/AX61-1)</f>
        <v>1.1190573807019708</v>
      </c>
      <c r="BC63" s="38">
        <f t="shared" ref="BC63" si="628">+IF(AY61&lt;0,1-BC61/AY61,BC61/AY61-1)</f>
        <v>0.21736062804332579</v>
      </c>
      <c r="BD63" s="38">
        <f t="shared" ref="BD63" si="629">+IF(AZ61&lt;0,1-BD61/AZ61,BD61/AZ61-1)</f>
        <v>1.6383830455258779</v>
      </c>
      <c r="BE63" s="38">
        <f t="shared" ref="BE63" si="630">+IF(BA61&lt;0,1-BE61/BA61,BE61/BA61-1)</f>
        <v>0.35326977904490431</v>
      </c>
      <c r="BF63" s="38">
        <f t="shared" ref="BF63" si="631">+IF(BB61&lt;0,1-BF61/BB61,BF61/BB61-1)</f>
        <v>1.7914358436892219</v>
      </c>
      <c r="BG63" s="38">
        <f t="shared" ref="BG63" si="632">+IF(BC61&lt;0,1-BG61/BC61,BG61/BC61-1)</f>
        <v>0.24945511538493181</v>
      </c>
      <c r="BH63" s="38">
        <f t="shared" ref="BH63" si="633">+IF(BD61&lt;0,1-BH61/BD61,BH61/BD61-1)</f>
        <v>0.29583791985244079</v>
      </c>
      <c r="BI63" s="38">
        <f t="shared" ref="BI63" si="634">+IF(BE61&lt;0,1-BI61/BE61,BI61/BE61-1)</f>
        <v>1.5250244527405199E-2</v>
      </c>
      <c r="BJ63" s="38">
        <f t="shared" ref="BJ63" si="635">+IF(BF61&lt;0,1-BJ61/BF61,BJ61/BF61-1)</f>
        <v>1.1051812915683383</v>
      </c>
      <c r="BK63" s="38">
        <f t="shared" ref="BK63" si="636">+IF(BG61&lt;0,1-BK61/BG61,BK61/BG61-1)</f>
        <v>0.3186845853314324</v>
      </c>
      <c r="BL63" s="38">
        <f t="shared" ref="BL63" si="637">+IF(BH61&lt;0,1-BL61/BH61,BL61/BH61-1)</f>
        <v>0.81112105976076943</v>
      </c>
      <c r="BM63" s="38">
        <f t="shared" ref="BM63" si="638">+IF(BI61&lt;0,1-BM61/BI61,BM61/BI61-1)</f>
        <v>0.24494278279846893</v>
      </c>
      <c r="BN63" s="38">
        <f t="shared" ref="BN63" si="639">+IF(BJ61&lt;0,1-BN61/BJ61,BN61/BJ61-1)</f>
        <v>2.2253305816708724</v>
      </c>
      <c r="BO63" s="38">
        <f t="shared" ref="BO63" si="640">+IF(BK61&lt;0,1-BO61/BK61,BO61/BK61-1)</f>
        <v>-0.64581439304797639</v>
      </c>
      <c r="BP63" s="38">
        <f t="shared" ref="BP63" si="641">+IF(BL61&lt;0,1-BP61/BL61,BP61/BL61-1)</f>
        <v>1.046889855109209</v>
      </c>
      <c r="BQ63" s="38">
        <f t="shared" ref="BQ63" si="642">+IF(BM61&lt;0,1-BQ61/BM61,BQ61/BM61-1)</f>
        <v>0.86582179978877716</v>
      </c>
      <c r="BR63" s="38">
        <f t="shared" ref="BR63" si="643">+IF(BN61&lt;0,1-BR61/BN61,BR61/BN61-1)</f>
        <v>8.0321665837223666E-2</v>
      </c>
      <c r="BS63" s="38">
        <f t="shared" ref="BS63" si="644">+IF(BO61&lt;0,1-BS61/BO61,BS61/BO61-1)</f>
        <v>1.2297346444907622</v>
      </c>
      <c r="BT63" s="38">
        <f t="shared" ref="BT63" si="645">+IF(BP61&lt;0,1-BT61/BP61,BT61/BP61-1)</f>
        <v>0.59717104407548383</v>
      </c>
      <c r="BU63" s="38">
        <f t="shared" ref="BU63" si="646">+IF(BQ61&lt;0,1-BU61/BQ61,BU61/BQ61-1)</f>
        <v>5.5001380834021889</v>
      </c>
      <c r="BV63" s="38">
        <f t="shared" ref="BV63" si="647">+IF(BR61&lt;0,1-BV61/BR61,BV61/BR61-1)</f>
        <v>0.98227538955388227</v>
      </c>
      <c r="BW63" s="38">
        <f t="shared" ref="BW63" si="648">+IF(BS61&lt;0,1-BW61/BS61,BW61/BS61-1)</f>
        <v>1.5156946452825113</v>
      </c>
      <c r="BX63" s="38">
        <f t="shared" ref="BX63" si="649">+IF(BT61&lt;0,1-BX61/BT61,BX61/BT61-1)</f>
        <v>0.5334819697557176</v>
      </c>
      <c r="BY63" s="38">
        <f t="shared" ref="BY63" si="650">+IF(BU61&lt;0,1-BY61/BU61,BY61/BU61-1)</f>
        <v>1.5016876342436216</v>
      </c>
      <c r="BZ63" s="38">
        <f t="shared" ref="BZ63" si="651">+IF(BV61&lt;0,1-BZ61/BV61,BZ61/BV61-1)</f>
        <v>0.61788530915476225</v>
      </c>
      <c r="CA63" s="38">
        <f t="shared" ref="CA63" si="652">+IF(BW61&lt;0,1-CA61/BW61,CA61/BW61-1)</f>
        <v>0.25392419804715982</v>
      </c>
      <c r="CB63" s="38">
        <f t="shared" ref="CB63" si="653">+IF(BX61&lt;0,1-CB61/BX61,CB61/BX61-1)</f>
        <v>0.30087866796465157</v>
      </c>
      <c r="CC63" s="38">
        <f t="shared" ref="CC63" si="654">+IF(BY61&lt;0,1-CC61/BY61,CC61/BY61-1)</f>
        <v>0.76075064393474512</v>
      </c>
      <c r="CD63" s="38">
        <f t="shared" ref="CD63" si="655">+IF(BZ61&lt;0,1-CD61/BZ61,CD61/BZ61-1)</f>
        <v>0.24975889137913732</v>
      </c>
      <c r="CE63" s="38">
        <f t="shared" ref="CE63" si="656">+IF(CA61&lt;0,1-CE61/CA61,CE61/CA61-1)</f>
        <v>0.25526395077466235</v>
      </c>
      <c r="CF63" s="38">
        <f t="shared" ref="CF63" si="657">+IF(CB61&lt;0,1-CF61/CB61,CF61/CB61-1)</f>
        <v>0.22244294216662275</v>
      </c>
      <c r="CG63" s="38">
        <f t="shared" ref="CG63" si="658">+IF(CC61&lt;0,1-CG61/CC61,CG61/CC61-1)</f>
        <v>0.36763865862324008</v>
      </c>
      <c r="CH63" s="38">
        <f t="shared" ref="CH63:CJ63" si="659">+IF(CD61&lt;0,1-CH61/CD61,CH61/CD61-1)</f>
        <v>0.33529936531160875</v>
      </c>
      <c r="CI63" s="38">
        <f t="shared" si="659"/>
        <v>5.0941483083407402E-2</v>
      </c>
      <c r="CJ63" s="38">
        <f t="shared" si="659"/>
        <v>0.18754054569738732</v>
      </c>
      <c r="CK63" s="38">
        <f t="shared" ref="CK63" si="660">+IF(CG61&lt;0,1-CK61/CG61,CK61/CG61-1)</f>
        <v>0.33748790302042364</v>
      </c>
      <c r="CL63" s="38">
        <f t="shared" ref="CL63" si="661">+IF(CH61&lt;0,1-CL61/CH61,CL61/CH61-1)</f>
        <v>0.20592675579115816</v>
      </c>
      <c r="CM63" s="39">
        <f t="shared" ref="CM63" si="662">+CM61/CI61-1</f>
        <v>-0.1406461147778818</v>
      </c>
      <c r="CN63" s="39">
        <f t="shared" ref="CN63" si="663">+CN61/CJ61-1</f>
        <v>-7.3148189090960658E-2</v>
      </c>
      <c r="CO63" s="39">
        <f t="shared" ref="CO63" si="664">+CO61/CK61-1</f>
        <v>1.2153627208237592</v>
      </c>
      <c r="CP63" s="39">
        <f t="shared" ref="CP63" si="665">+CP61/CL61-1</f>
        <v>0.33227491113557583</v>
      </c>
      <c r="CQ63" s="39">
        <f t="shared" ref="CQ63" si="666">+CQ61/CM61-1</f>
        <v>0.23453059010754029</v>
      </c>
      <c r="CR63" s="39">
        <f t="shared" ref="CR63" si="667">+CR61/CN61-1</f>
        <v>0.36806946561668608</v>
      </c>
      <c r="CS63" s="39">
        <f t="shared" ref="CS63" si="668">+CS61/CO61-1</f>
        <v>0.36918496789920696</v>
      </c>
      <c r="CT63" s="39">
        <f t="shared" ref="CT63" si="669">+CT61/CP61-1</f>
        <v>7.3259839300608753E-2</v>
      </c>
      <c r="CU63" s="39">
        <f t="shared" ref="CU63" si="670">+CU61/CQ61-1</f>
        <v>6.3826041142563072E-2</v>
      </c>
      <c r="CV63" s="39">
        <f t="shared" ref="CV63" si="671">+CV61/CR61-1</f>
        <v>6.1023218433539306E-2</v>
      </c>
      <c r="CW63" s="39">
        <f t="shared" ref="CW63" si="672">+CW61/CS61-1</f>
        <v>0.11570158809948894</v>
      </c>
      <c r="CX63" s="39">
        <f t="shared" ref="CX63" si="673">+CX61/CT61-1</f>
        <v>0.25304695298138746</v>
      </c>
      <c r="CY63" s="39">
        <f t="shared" ref="CY63" si="674">+CY61/CU61-1</f>
        <v>0.24823788388577506</v>
      </c>
      <c r="CZ63" s="39">
        <f t="shared" ref="CZ63" si="675">+CZ61/CV61-1</f>
        <v>0.28777525445717966</v>
      </c>
      <c r="DA63" s="39">
        <f t="shared" ref="DA63" si="676">+DA61/CW61-1</f>
        <v>0.29960892298872732</v>
      </c>
      <c r="DB63"/>
      <c r="DD63" s="121"/>
    </row>
    <row r="64" spans="1:108" s="38" customFormat="1" x14ac:dyDescent="0.25">
      <c r="A64" s="38" t="s">
        <v>452</v>
      </c>
      <c r="AA64" s="39"/>
      <c r="AB64" s="39"/>
      <c r="AC64" s="39"/>
      <c r="AD64" s="39"/>
      <c r="AE64" s="39"/>
      <c r="AJ64" s="38" t="e">
        <f>+IF(AI61&lt;0,1-AJ61/AI61,AJ61/AI61-1)</f>
        <v>#DIV/0!</v>
      </c>
      <c r="AK64" s="38" t="e">
        <f t="shared" ref="AK64:AM64" si="677">+IF(AJ61&lt;0,1-AK61/AJ61,AK61/AJ61-1)</f>
        <v>#DIV/0!</v>
      </c>
      <c r="AL64" s="38" t="e">
        <f t="shared" si="677"/>
        <v>#DIV/0!</v>
      </c>
      <c r="AM64" s="38" t="e">
        <f t="shared" si="677"/>
        <v>#DIV/0!</v>
      </c>
      <c r="AN64" s="38" t="e">
        <f t="shared" ref="AN64" si="678">+IF(AM61&lt;0,1-AN61/AM61,AN61/AM61-1)</f>
        <v>#DIV/0!</v>
      </c>
      <c r="AO64" s="38" t="e">
        <f t="shared" ref="AO64" si="679">+IF(AN61&lt;0,1-AO61/AN61,AO61/AN61-1)</f>
        <v>#DIV/0!</v>
      </c>
      <c r="AP64" s="38" t="e">
        <f t="shared" ref="AP64" si="680">+IF(AO61&lt;0,1-AP61/AO61,AP61/AO61-1)</f>
        <v>#DIV/0!</v>
      </c>
      <c r="AQ64" s="38" t="e">
        <f t="shared" ref="AQ64" si="681">+IF(AP61&lt;0,1-AQ61/AP61,AQ61/AP61-1)</f>
        <v>#DIV/0!</v>
      </c>
      <c r="AR64" s="38" t="e">
        <f t="shared" ref="AR64" si="682">+IF(AQ61&lt;0,1-AR61/AQ61,AR61/AQ61-1)</f>
        <v>#DIV/0!</v>
      </c>
      <c r="AS64" s="38" t="e">
        <f t="shared" ref="AS64" si="683">+IF(AR61&lt;0,1-AS61/AR61,AS61/AR61-1)</f>
        <v>#DIV/0!</v>
      </c>
      <c r="AT64" s="38" t="e">
        <f t="shared" ref="AT64" si="684">+IF(AS61&lt;0,1-AT61/AS61,AT61/AS61-1)</f>
        <v>#DIV/0!</v>
      </c>
      <c r="AU64" s="38" t="e">
        <f t="shared" ref="AU64" si="685">+IF(AT61&lt;0,1-AU61/AT61,AU61/AT61-1)</f>
        <v>#DIV/0!</v>
      </c>
      <c r="AV64" s="38" t="e">
        <f t="shared" ref="AV64" si="686">+IF(AU61&lt;0,1-AV61/AU61,AV61/AU61-1)</f>
        <v>#DIV/0!</v>
      </c>
      <c r="AW64" s="38" t="e">
        <f t="shared" ref="AW64" si="687">+IF(AV61&lt;0,1-AW61/AV61,AW61/AV61-1)</f>
        <v>#DIV/0!</v>
      </c>
      <c r="AX64" s="38">
        <f t="shared" ref="AX64" si="688">+IF(AW61&lt;0,1-AX61/AW61,AX61/AW61-1)</f>
        <v>0.43376096413755427</v>
      </c>
      <c r="AY64" s="38">
        <f t="shared" ref="AY64" si="689">+IF(AX61&lt;0,1-AY61/AX61,AY61/AX61-1)</f>
        <v>4.5875862314836224</v>
      </c>
      <c r="AZ64" s="38">
        <f t="shared" ref="AZ64" si="690">+IF(AY61&lt;0,1-AZ61/AY61,AZ61/AY61-1)</f>
        <v>-0.93669879757527541</v>
      </c>
      <c r="BA64" s="38">
        <f t="shared" ref="BA64" si="691">+IF(AZ61&lt;0,1-BA61/AZ61,BA61/AZ61-1)</f>
        <v>-9.8100470957613215</v>
      </c>
      <c r="BB64" s="38">
        <f t="shared" ref="BB64" si="692">+IF(BA61&lt;0,1-BB61/BA61,BB61/BA61-1)</f>
        <v>1.059506414825373</v>
      </c>
      <c r="BC64" s="38">
        <f t="shared" ref="BC64" si="693">+IF(BB61&lt;0,1-BC61/BB61,BC61/BB61-1)</f>
        <v>35.683036382692706</v>
      </c>
      <c r="BD64" s="38">
        <f t="shared" ref="BD64" si="694">+IF(BC61&lt;0,1-BD61/BC61,BD61/BC61-1)</f>
        <v>-0.86280744145041377</v>
      </c>
      <c r="BE64" s="38">
        <f t="shared" ref="BE64" si="695">+IF(BD61&lt;0,1-BE61/BD61,BE61/BD61-1)</f>
        <v>-3.1595513640555777</v>
      </c>
      <c r="BF64" s="38">
        <f t="shared" ref="BF64" si="696">+IF(BE61&lt;0,1-BF61/BE61,BF61/BE61-1)</f>
        <v>1.2568433233685541</v>
      </c>
      <c r="BG64" s="38">
        <f t="shared" ref="BG64" si="697">+IF(BF61&lt;0,1-BG61/BF61,BG61/BF61-1)</f>
        <v>15.419437888865115</v>
      </c>
      <c r="BH64" s="38">
        <f t="shared" ref="BH64" si="698">+IF(BG61&lt;0,1-BH61/BG61,BH61/BG61-1)</f>
        <v>-0.8577145209130943</v>
      </c>
      <c r="BI64" s="38">
        <f t="shared" ref="BI64" si="699">+IF(BH61&lt;0,1-BI61/BH61,BI61/BH61-1)</f>
        <v>-2.6411139426498647</v>
      </c>
      <c r="BJ64" s="38">
        <f t="shared" ref="BJ64" si="700">+IF(BI61&lt;0,1-BJ61/BI61,BJ61/BI61-1)</f>
        <v>1.5490752916818211</v>
      </c>
      <c r="BK64" s="38">
        <f t="shared" ref="BK64" si="701">+IF(BJ61&lt;0,1-BK61/BJ61,BK61/BJ61-1)</f>
        <v>9.2851282835231448</v>
      </c>
      <c r="BL64" s="38">
        <f t="shared" ref="BL64" si="702">+IF(BK61&lt;0,1-BL61/BK61,BL61/BK61-1)</f>
        <v>-0.80458084477594982</v>
      </c>
      <c r="BM64" s="38">
        <f t="shared" ref="BM64" si="703">+IF(BL61&lt;0,1-BM61/BL61,BM61/BL61-1)</f>
        <v>-1.6841811705350702</v>
      </c>
      <c r="BN64" s="38">
        <f t="shared" ref="BN64" si="704">+IF(BM61&lt;0,1-BN61/BM61,BN61/BM61-1)</f>
        <v>3.3454505030292965</v>
      </c>
      <c r="BO64" s="38">
        <f t="shared" ref="BO64" si="705">+IF(BN61&lt;0,1-BO61/BN61,BO61/BN61-1)</f>
        <v>0.12944838100654676</v>
      </c>
      <c r="BP64" s="38">
        <f t="shared" ref="BP64" si="706">+IF(BO61&lt;0,1-BP61/BO61,BP61/BO61-1)</f>
        <v>0.12935556519184699</v>
      </c>
      <c r="BQ64" s="38">
        <f t="shared" ref="BQ64" si="707">+IF(BP61&lt;0,1-BQ61/BP61,BQ61/BP61-1)</f>
        <v>-1.04484960333926</v>
      </c>
      <c r="BR64" s="38">
        <f t="shared" ref="BR64" si="708">+IF(BQ61&lt;0,1-BR61/BQ61,BR61/BQ61-1)</f>
        <v>19.884148025406514</v>
      </c>
      <c r="BS64" s="38">
        <f t="shared" ref="BS64" si="709">+IF(BR61&lt;0,1-BS61/BR61,BS61/BR61-1)</f>
        <v>1.3311299439159376</v>
      </c>
      <c r="BT64" s="38">
        <f t="shared" ref="BT64" si="710">+IF(BS61&lt;0,1-BT61/BS61,BT61/BS61-1)</f>
        <v>-0.19103647079857999</v>
      </c>
      <c r="BU64" s="38">
        <f t="shared" ref="BU64" si="711">+IF(BT61&lt;0,1-BU61/BT61,BU61/BT61-1)</f>
        <v>-0.87363319115936378</v>
      </c>
      <c r="BV64" s="38">
        <f t="shared" ref="BV64" si="712">+IF(BU61&lt;0,1-BV61/BU61,BV61/BU61-1)</f>
        <v>7.3183185026081219</v>
      </c>
      <c r="BW64" s="38">
        <f t="shared" ref="BW64" si="713">+IF(BV61&lt;0,1-BW61/BV61,BW61/BV61-1)</f>
        <v>1.9584240152862162</v>
      </c>
      <c r="BX64" s="38">
        <f t="shared" ref="BX64" si="714">+IF(BW61&lt;0,1-BX61/BW61,BX61/BW61-1)</f>
        <v>-0.50688332204919906</v>
      </c>
      <c r="BY64" s="38">
        <f t="shared" ref="BY64" si="715">+IF(BX61&lt;0,1-BY61/BX61,BY61/BX61-1)</f>
        <v>-0.79384805997699048</v>
      </c>
      <c r="BZ64" s="38">
        <f t="shared" ref="BZ64" si="716">+IF(BY61&lt;0,1-BZ61/BY61,BZ61/BY61-1)</f>
        <v>4.3796026002698518</v>
      </c>
      <c r="CA64" s="38">
        <f t="shared" ref="CA64" si="717">+IF(BZ61&lt;0,1-CA61/BZ61,CA61/BZ61-1)</f>
        <v>1.2928939646465225</v>
      </c>
      <c r="CB64" s="38">
        <f t="shared" ref="CB64" si="718">+IF(CA61&lt;0,1-CB61/CA61,CB61/CA61-1)</f>
        <v>-0.48841806533215515</v>
      </c>
      <c r="CC64" s="38">
        <f t="shared" ref="CC64" si="719">+IF(CB61&lt;0,1-CC61/CB61,CC61/CB61-1)</f>
        <v>-0.72097154786016204</v>
      </c>
      <c r="CD64" s="38">
        <f t="shared" ref="CD64" si="720">+IF(CC61&lt;0,1-CD61/CC61,CD61/CC61-1)</f>
        <v>2.8183749669114091</v>
      </c>
      <c r="CE64" s="38">
        <f t="shared" ref="CE64" si="721">+IF(CD61&lt;0,1-CE61/CD61,CE61/CD61-1)</f>
        <v>1.3029939267672885</v>
      </c>
      <c r="CF64" s="38">
        <f t="shared" ref="CF64" si="722">+IF(CE61&lt;0,1-CF61/CE61,CF61/CE61-1)</f>
        <v>-0.50179424415979446</v>
      </c>
      <c r="CG64" s="38">
        <f t="shared" ref="CG64" si="723">+IF(CF61&lt;0,1-CG61/CF61,CG61/CF61-1)</f>
        <v>-0.68782993067480747</v>
      </c>
      <c r="CH64" s="38">
        <f t="shared" ref="CH64:CJ64" si="724">+IF(CG61&lt;0,1-CH61/CG61,CH61/CG61-1)</f>
        <v>2.7280853664748093</v>
      </c>
      <c r="CI64" s="38">
        <f t="shared" si="724"/>
        <v>0.81256122469891556</v>
      </c>
      <c r="CJ64" s="38">
        <f t="shared" si="724"/>
        <v>-0.43703855572984185</v>
      </c>
      <c r="CK64" s="38">
        <f t="shared" ref="CK64" si="725">+IF(CJ61&lt;0,1-CK61/CJ61,CK61/CJ61-1)</f>
        <v>-0.64841310646593553</v>
      </c>
      <c r="CL64" s="38">
        <f t="shared" ref="CL64" si="726">+IF(CK61&lt;0,1-CL61/CK61,CL61/CK61-1)</f>
        <v>2.3613746196527701</v>
      </c>
      <c r="CM64" s="39">
        <f t="shared" ref="CM64" si="727">+CM61/CL61-1</f>
        <v>0.2916468791888418</v>
      </c>
      <c r="CN64" s="39">
        <f t="shared" ref="CN64" si="728">+CN61/CM61-1</f>
        <v>-0.39282076561636903</v>
      </c>
      <c r="CO64" s="39">
        <f t="shared" ref="CO64" si="729">+CO61/CN61-1</f>
        <v>-0.15963642958017765</v>
      </c>
      <c r="CP64" s="39">
        <f t="shared" ref="CP64" si="730">+CP61/CO61-1</f>
        <v>1.021463587247724</v>
      </c>
      <c r="CQ64" s="39">
        <f t="shared" ref="CQ64" si="731">+CQ61/CP61-1</f>
        <v>0.19688329386643755</v>
      </c>
      <c r="CR64" s="39">
        <f t="shared" ref="CR64" si="732">+CR61/CQ61-1</f>
        <v>-0.32714233460638409</v>
      </c>
      <c r="CS64" s="39">
        <f t="shared" ref="CS64" si="733">+CS61/CR61-1</f>
        <v>-0.15895121036835336</v>
      </c>
      <c r="CT64" s="39">
        <f t="shared" ref="CT64" si="734">+CT61/CS61-1</f>
        <v>0.58455996499169616</v>
      </c>
      <c r="CU64" s="39">
        <f t="shared" ref="CU64" si="735">+CU61/CT61-1</f>
        <v>0.1863628634919714</v>
      </c>
      <c r="CV64" s="39">
        <f t="shared" ref="CV64" si="736">+CV61/CU61-1</f>
        <v>-0.32891508754866061</v>
      </c>
      <c r="CW64" s="39">
        <f t="shared" ref="CW64" si="737">+CW61/CV61-1</f>
        <v>-0.11560891980616139</v>
      </c>
      <c r="CX64" s="39">
        <f t="shared" ref="CX64" si="738">+CX61/CW61-1</f>
        <v>0.77962284640226409</v>
      </c>
      <c r="CY64" s="39">
        <f t="shared" ref="CY64" si="739">+CY61/CX61-1</f>
        <v>0.1818097212737757</v>
      </c>
      <c r="CZ64" s="39">
        <f t="shared" ref="CZ64" si="740">+CZ61/CY61-1</f>
        <v>-0.30765877638313988</v>
      </c>
      <c r="DA64" s="39">
        <f t="shared" ref="DA64" si="741">+DA61/CZ61-1</f>
        <v>-0.10748204296251318</v>
      </c>
      <c r="DB64"/>
      <c r="DD64" s="121"/>
    </row>
    <row r="65" spans="1:108" s="74" customFormat="1" x14ac:dyDescent="0.25">
      <c r="A65" s="22" t="s">
        <v>23</v>
      </c>
      <c r="B65" s="74">
        <f>'Annual Raw'!C32</f>
        <v>0</v>
      </c>
      <c r="C65" s="74">
        <f>'Annual Raw'!D32</f>
        <v>0</v>
      </c>
      <c r="D65" s="74">
        <f>'Annual Raw'!E32</f>
        <v>0</v>
      </c>
      <c r="E65" s="74">
        <f>'Annual Raw'!F32</f>
        <v>0</v>
      </c>
      <c r="F65" s="74">
        <f>'Annual Raw'!G32</f>
        <v>0</v>
      </c>
      <c r="G65" s="74">
        <f>'Annual Raw'!H32</f>
        <v>0</v>
      </c>
      <c r="H65" s="74">
        <f>'Annual Raw'!I32</f>
        <v>0</v>
      </c>
      <c r="I65" s="74">
        <f>'Annual Raw'!J32</f>
        <v>0</v>
      </c>
      <c r="J65" s="74">
        <f>'Annual Raw'!K32</f>
        <v>0</v>
      </c>
      <c r="K65" s="74">
        <f>'Annual Raw'!L32</f>
        <v>0</v>
      </c>
      <c r="L65" s="74">
        <f>'Annual Raw'!M32</f>
        <v>0</v>
      </c>
      <c r="M65" s="74">
        <f>'Annual Raw'!N32</f>
        <v>0</v>
      </c>
      <c r="N65" s="74">
        <f>'Annual Raw'!O32</f>
        <v>-2E-3</v>
      </c>
      <c r="O65" s="74">
        <f>'Annual Raw'!P32</f>
        <v>1E-3</v>
      </c>
      <c r="P65" s="74">
        <f>'Annual Raw'!Q32</f>
        <v>0</v>
      </c>
      <c r="Q65" s="74">
        <f>'Annual Raw'!R32</f>
        <v>0</v>
      </c>
      <c r="R65" s="74">
        <f>'Annual Raw'!S32</f>
        <v>-5.6630000000000003</v>
      </c>
      <c r="S65" s="74">
        <f>'Annual Raw'!T32</f>
        <v>-3.9049999999999998</v>
      </c>
      <c r="T65" s="74">
        <f>'Annual Raw'!U32</f>
        <v>-7.0220000000000002</v>
      </c>
      <c r="U65" s="74">
        <f>'Annual Raw'!V32</f>
        <v>-3.23</v>
      </c>
      <c r="V65" s="74">
        <f>'Annual Raw'!W32</f>
        <v>-28.276</v>
      </c>
      <c r="W65" s="74">
        <f>'Annual Raw'!X32</f>
        <v>-52</v>
      </c>
      <c r="X65" s="74">
        <f>'Annual Raw'!Y32</f>
        <v>-52.680999999999997</v>
      </c>
      <c r="Y65" s="74">
        <f>'Annual Raw'!Z32</f>
        <v>-45.890999999999998</v>
      </c>
      <c r="Z65" s="74">
        <f>'Annual Raw'!AA32</f>
        <v>-39.652000000000001</v>
      </c>
      <c r="AA65" s="75">
        <f t="shared" ref="AA65:AA67" si="742">SUM(CH65:CK65)</f>
        <v>-25.552999999999997</v>
      </c>
      <c r="AB65" s="75">
        <f t="shared" ref="AB65:AB67" si="743">+SUM(CL65:CO65)</f>
        <v>-25.431999999999999</v>
      </c>
      <c r="AC65" s="75">
        <f t="shared" ref="AC65:AC67" si="744">+SUM(CP65:CS65)</f>
        <v>-25.431999999999999</v>
      </c>
      <c r="AD65" s="75">
        <f t="shared" ref="AD65:AD67" si="745">+SUM(CT65:CW65)</f>
        <v>-25.431999999999999</v>
      </c>
      <c r="AE65" s="75">
        <f t="shared" ref="AE65:AE67" si="746">+SUM(CX65:DA65)</f>
        <v>-25.431999999999999</v>
      </c>
      <c r="AI65" s="74">
        <f>'QTR Raw'!C34</f>
        <v>0</v>
      </c>
      <c r="AJ65" s="74">
        <f>'QTR Raw'!D34</f>
        <v>0</v>
      </c>
      <c r="AK65" s="74">
        <f>'QTR Raw'!E34</f>
        <v>0</v>
      </c>
      <c r="AL65" s="74">
        <f>'QTR Raw'!F34</f>
        <v>0</v>
      </c>
      <c r="AM65" s="74">
        <f>'QTR Raw'!G34</f>
        <v>0</v>
      </c>
      <c r="AN65" s="74">
        <f>'QTR Raw'!H34</f>
        <v>0</v>
      </c>
      <c r="AO65" s="74">
        <f>'QTR Raw'!I34</f>
        <v>0</v>
      </c>
      <c r="AP65" s="74">
        <f>'QTR Raw'!J34</f>
        <v>0</v>
      </c>
      <c r="AQ65" s="74">
        <f>'QTR Raw'!K34</f>
        <v>0</v>
      </c>
      <c r="AR65" s="74">
        <f>'QTR Raw'!L34</f>
        <v>0</v>
      </c>
      <c r="AS65" s="74">
        <f>'QTR Raw'!M34</f>
        <v>0</v>
      </c>
      <c r="AT65" s="74">
        <f>'QTR Raw'!N34</f>
        <v>0</v>
      </c>
      <c r="AU65" s="74">
        <f>'QTR Raw'!O34</f>
        <v>0</v>
      </c>
      <c r="AV65" s="74">
        <f>'QTR Raw'!P34</f>
        <v>0</v>
      </c>
      <c r="AW65" s="74">
        <f>'QTR Raw'!Q34</f>
        <v>0</v>
      </c>
      <c r="AX65" s="74">
        <f>'QTR Raw'!R34</f>
        <v>3.923</v>
      </c>
      <c r="AY65" s="74">
        <f>'QTR Raw'!S34</f>
        <v>0.64600000000000002</v>
      </c>
      <c r="AZ65" s="74">
        <f>'QTR Raw'!T34</f>
        <v>-2.669</v>
      </c>
      <c r="BA65" s="74">
        <f>'QTR Raw'!U34</f>
        <v>-7.5629999999999997</v>
      </c>
      <c r="BB65" s="74">
        <f>'QTR Raw'!V34</f>
        <v>-2.3860000000000001</v>
      </c>
      <c r="BC65" s="74">
        <f>'QTR Raw'!W34</f>
        <v>2.5000000000000001E-2</v>
      </c>
      <c r="BD65" s="74">
        <f>'QTR Raw'!X34</f>
        <v>-0.82899999999999996</v>
      </c>
      <c r="BE65" s="74">
        <f>'QTR Raw'!Y34</f>
        <v>-0.71499999999999997</v>
      </c>
      <c r="BF65" s="74">
        <f>'QTR Raw'!Z34</f>
        <v>-1.1060000000000001</v>
      </c>
      <c r="BG65" s="74">
        <f>'QTR Raw'!AA34</f>
        <v>-3.3460000000000001</v>
      </c>
      <c r="BH65" s="74">
        <f>'QTR Raw'!AB34</f>
        <v>-1.883</v>
      </c>
      <c r="BI65" s="74">
        <f>'QTR Raw'!AC34</f>
        <v>-0.68700000000000006</v>
      </c>
      <c r="BJ65" s="74">
        <f>'QTR Raw'!AD34</f>
        <v>0.58599999999999997</v>
      </c>
      <c r="BK65" s="74">
        <f>'QTR Raw'!AE34</f>
        <v>1.9359999999999999</v>
      </c>
      <c r="BL65" s="74">
        <f>'QTR Raw'!AF34</f>
        <v>-0.39100000000000001</v>
      </c>
      <c r="BM65" s="74">
        <f>'QTR Raw'!AG34</f>
        <v>-5.3609999999999998</v>
      </c>
      <c r="BN65" s="74">
        <f>'QTR Raw'!AH34</f>
        <v>-5.1429999999999998</v>
      </c>
      <c r="BO65" s="74">
        <f>'QTR Raw'!AI34</f>
        <v>-2.2000000000000002</v>
      </c>
      <c r="BP65" s="74">
        <f>'QTR Raw'!AJ34</f>
        <v>-8.4420000000000002</v>
      </c>
      <c r="BQ65" s="74">
        <f>'QTR Raw'!AK34</f>
        <v>-12.491</v>
      </c>
      <c r="BR65" s="74">
        <f>'QTR Raw'!AL34</f>
        <v>-7.5039999999999996</v>
      </c>
      <c r="BS65" s="74">
        <f>'QTR Raw'!AM34</f>
        <v>-10.638</v>
      </c>
      <c r="BT65" s="74">
        <f>'QTR Raw'!AN34</f>
        <v>-17.759</v>
      </c>
      <c r="BU65" s="74">
        <f>'QTR Raw'!AO34</f>
        <v>-16.099</v>
      </c>
      <c r="BV65" s="74">
        <f>'QTR Raw'!AP34</f>
        <v>-16.887</v>
      </c>
      <c r="BW65" s="74">
        <f>'QTR Raw'!AQ34</f>
        <v>-14.573</v>
      </c>
      <c r="BX65" s="74">
        <f>'QTR Raw'!AR34</f>
        <v>-14.448</v>
      </c>
      <c r="BY65" s="74">
        <f>'QTR Raw'!AS34</f>
        <v>-6.7729999999999997</v>
      </c>
      <c r="BZ65" s="74">
        <f>'QTR Raw'!AT34</f>
        <v>-9.5</v>
      </c>
      <c r="CA65" s="74">
        <f>'QTR Raw'!AU34</f>
        <v>-11.611000000000001</v>
      </c>
      <c r="CB65" s="74">
        <f>'QTR Raw'!AV34</f>
        <v>-12.99</v>
      </c>
      <c r="CC65" s="74">
        <f>'QTR Raw'!AW34</f>
        <v>-11.79</v>
      </c>
      <c r="CD65" s="74">
        <f>'QTR Raw'!AX34</f>
        <v>-10.711</v>
      </c>
      <c r="CE65" s="74">
        <f>'QTR Raw'!AY34</f>
        <v>-9.2309999999999999</v>
      </c>
      <c r="CF65" s="74">
        <f>'QTR Raw'!AZ34</f>
        <v>-9.2119999999999997</v>
      </c>
      <c r="CG65" s="74">
        <f>'QTR Raw'!BA34</f>
        <v>-10.497999999999999</v>
      </c>
      <c r="CH65" s="74">
        <f>'QTR Raw'!BB34</f>
        <v>-4.87</v>
      </c>
      <c r="CI65" s="74">
        <f>'QTR Raw'!BC34</f>
        <v>-8.4640000000000004</v>
      </c>
      <c r="CJ65" s="74">
        <f>'QTR Raw'!BD34</f>
        <v>-4.0019999999999998</v>
      </c>
      <c r="CK65" s="74">
        <f>'QTR Raw'!BE34</f>
        <v>-8.2170000000000005</v>
      </c>
      <c r="CL65" s="74">
        <f>'QTR Raw'!BF34</f>
        <v>-6.3579999999999997</v>
      </c>
      <c r="CM65" s="75">
        <f t="shared" ref="CM65:CM66" si="747">+CL65</f>
        <v>-6.3579999999999997</v>
      </c>
      <c r="CN65" s="75">
        <f t="shared" ref="CN65:CN66" si="748">+CM65</f>
        <v>-6.3579999999999997</v>
      </c>
      <c r="CO65" s="75">
        <f t="shared" ref="CO65:CO66" si="749">+CN65</f>
        <v>-6.3579999999999997</v>
      </c>
      <c r="CP65" s="75">
        <f t="shared" ref="CP65:CP66" si="750">+CO65</f>
        <v>-6.3579999999999997</v>
      </c>
      <c r="CQ65" s="75">
        <f t="shared" ref="CQ65:CQ66" si="751">+CP65</f>
        <v>-6.3579999999999997</v>
      </c>
      <c r="CR65" s="75">
        <f t="shared" ref="CR65:CR66" si="752">+CQ65</f>
        <v>-6.3579999999999997</v>
      </c>
      <c r="CS65" s="75">
        <f t="shared" ref="CS65:CS66" si="753">+CR65</f>
        <v>-6.3579999999999997</v>
      </c>
      <c r="CT65" s="75">
        <f t="shared" ref="CT65:CT66" si="754">+CS65</f>
        <v>-6.3579999999999997</v>
      </c>
      <c r="CU65" s="75">
        <f t="shared" ref="CU65:CU66" si="755">+CT65</f>
        <v>-6.3579999999999997</v>
      </c>
      <c r="CV65" s="75">
        <f t="shared" ref="CV65:CV66" si="756">+CU65</f>
        <v>-6.3579999999999997</v>
      </c>
      <c r="CW65" s="75">
        <f t="shared" ref="CW65:CW66" si="757">+CV65</f>
        <v>-6.3579999999999997</v>
      </c>
      <c r="CX65" s="75">
        <f t="shared" ref="CX65:CX66" si="758">+CW65</f>
        <v>-6.3579999999999997</v>
      </c>
      <c r="CY65" s="75">
        <f t="shared" ref="CY65:CY66" si="759">+CX65</f>
        <v>-6.3579999999999997</v>
      </c>
      <c r="CZ65" s="75">
        <f t="shared" ref="CZ65:CZ66" si="760">+CY65</f>
        <v>-6.3579999999999997</v>
      </c>
      <c r="DA65" s="75">
        <f t="shared" ref="DA65:DA66" si="761">+CZ65</f>
        <v>-6.3579999999999997</v>
      </c>
      <c r="DB65"/>
      <c r="DD65" s="130"/>
    </row>
    <row r="66" spans="1:108" s="74" customFormat="1" x14ac:dyDescent="0.25">
      <c r="A66" s="22" t="s">
        <v>24</v>
      </c>
      <c r="B66" s="74">
        <f>'Annual Raw'!C33+'Annual Raw'!C28</f>
        <v>0</v>
      </c>
      <c r="C66" s="74">
        <f>'Annual Raw'!D33+'Annual Raw'!D28</f>
        <v>0</v>
      </c>
      <c r="D66" s="74">
        <f>'Annual Raw'!E33+'Annual Raw'!E28</f>
        <v>0</v>
      </c>
      <c r="E66" s="74">
        <f>'Annual Raw'!F33+'Annual Raw'!F28</f>
        <v>0</v>
      </c>
      <c r="F66" s="74">
        <f>'Annual Raw'!G33+'Annual Raw'!G28</f>
        <v>0</v>
      </c>
      <c r="G66" s="74">
        <f>'Annual Raw'!H33+'Annual Raw'!H28</f>
        <v>0</v>
      </c>
      <c r="H66" s="74">
        <f>'Annual Raw'!I33+'Annual Raw'!I28</f>
        <v>0</v>
      </c>
      <c r="I66" s="74">
        <f>'Annual Raw'!J33+'Annual Raw'!J28</f>
        <v>0</v>
      </c>
      <c r="J66" s="74">
        <f>'Annual Raw'!K33+'Annual Raw'!K28</f>
        <v>0</v>
      </c>
      <c r="K66" s="74">
        <f>'Annual Raw'!L33+'Annual Raw'!L28</f>
        <v>0</v>
      </c>
      <c r="L66" s="74">
        <f>'Annual Raw'!M33+'Annual Raw'!M28</f>
        <v>0</v>
      </c>
      <c r="M66" s="74">
        <f>'Annual Raw'!N33+'Annual Raw'!N28</f>
        <v>0</v>
      </c>
      <c r="N66" s="74">
        <f>'Annual Raw'!O33+'Annual Raw'!O28</f>
        <v>0</v>
      </c>
      <c r="O66" s="74">
        <f>'Annual Raw'!P33+'Annual Raw'!P28</f>
        <v>0.84099999999999997</v>
      </c>
      <c r="P66" s="74">
        <f>'Annual Raw'!Q33+'Annual Raw'!Q28</f>
        <v>0.88100000000000001</v>
      </c>
      <c r="Q66" s="74">
        <f>'Annual Raw'!R33+'Annual Raw'!R28</f>
        <v>1.29</v>
      </c>
      <c r="R66" s="74">
        <f>'Annual Raw'!S33+'Annual Raw'!S28</f>
        <v>2.3780000000000001</v>
      </c>
      <c r="S66" s="74">
        <f>'Annual Raw'!T33+'Annual Raw'!T28</f>
        <v>1.35</v>
      </c>
      <c r="T66" s="74">
        <f>'Annual Raw'!U33+'Annual Raw'!U28</f>
        <v>3.02</v>
      </c>
      <c r="U66" s="74">
        <f>'Annual Raw'!V33+'Annual Raw'!V28</f>
        <v>4.3609999999999998</v>
      </c>
      <c r="V66" s="74">
        <f>'Annual Raw'!W33+'Annual Raw'!W28</f>
        <v>0</v>
      </c>
      <c r="W66" s="74">
        <f>'Annual Raw'!X33+'Annual Raw'!X28</f>
        <v>0</v>
      </c>
      <c r="X66" s="74">
        <f>'Annual Raw'!Y33+'Annual Raw'!Y28</f>
        <v>-6.0000000000000001E-3</v>
      </c>
      <c r="Y66" s="74">
        <f>'Annual Raw'!Z33+'Annual Raw'!Z28</f>
        <v>-0.47899999999999998</v>
      </c>
      <c r="Z66" s="74">
        <f>'Annual Raw'!AA33+'Annual Raw'!AA28</f>
        <v>-1.478</v>
      </c>
      <c r="AA66" s="75">
        <f t="shared" si="742"/>
        <v>-6.0270000000000001</v>
      </c>
      <c r="AB66" s="75">
        <f t="shared" si="743"/>
        <v>-15.788</v>
      </c>
      <c r="AC66" s="75">
        <f t="shared" si="744"/>
        <v>-15.788</v>
      </c>
      <c r="AD66" s="75">
        <f t="shared" si="745"/>
        <v>-15.788</v>
      </c>
      <c r="AE66" s="75">
        <f t="shared" si="746"/>
        <v>-15.788</v>
      </c>
      <c r="AI66" s="74">
        <f>'QTR Raw'!C35</f>
        <v>0</v>
      </c>
      <c r="AJ66" s="74">
        <f>'QTR Raw'!D35</f>
        <v>0</v>
      </c>
      <c r="AK66" s="74">
        <f>'QTR Raw'!E35</f>
        <v>0</v>
      </c>
      <c r="AL66" s="74">
        <f>'QTR Raw'!F35</f>
        <v>0</v>
      </c>
      <c r="AM66" s="74">
        <f>'QTR Raw'!G35</f>
        <v>0</v>
      </c>
      <c r="AN66" s="74">
        <f>'QTR Raw'!H35</f>
        <v>0</v>
      </c>
      <c r="AO66" s="74">
        <f>'QTR Raw'!I35</f>
        <v>0</v>
      </c>
      <c r="AP66" s="74">
        <f>'QTR Raw'!J35</f>
        <v>0</v>
      </c>
      <c r="AQ66" s="74">
        <f>'QTR Raw'!K35</f>
        <v>0</v>
      </c>
      <c r="AR66" s="74">
        <f>'QTR Raw'!L35</f>
        <v>0</v>
      </c>
      <c r="AS66" s="74">
        <f>'QTR Raw'!M35</f>
        <v>0</v>
      </c>
      <c r="AT66" s="74">
        <f>'QTR Raw'!N35</f>
        <v>0</v>
      </c>
      <c r="AU66" s="74">
        <f>'QTR Raw'!O35</f>
        <v>0</v>
      </c>
      <c r="AV66" s="74">
        <f>'QTR Raw'!P35</f>
        <v>0</v>
      </c>
      <c r="AW66" s="74">
        <f>'QTR Raw'!Q35</f>
        <v>0.32200000000000001</v>
      </c>
      <c r="AX66" s="74">
        <f>'QTR Raw'!R35</f>
        <v>0.39</v>
      </c>
      <c r="AY66" s="74">
        <f>'QTR Raw'!S35</f>
        <v>1.173</v>
      </c>
      <c r="AZ66" s="74">
        <f>'QTR Raw'!T35</f>
        <v>0.23200000000000001</v>
      </c>
      <c r="BA66" s="74">
        <f>'QTR Raw'!U35</f>
        <v>0.58299999999999996</v>
      </c>
      <c r="BB66" s="74">
        <f>'QTR Raw'!V35</f>
        <v>0.215</v>
      </c>
      <c r="BC66" s="74">
        <f>'QTR Raw'!W35</f>
        <v>0.57799999999999996</v>
      </c>
      <c r="BD66" s="74">
        <f>'QTR Raw'!X35</f>
        <v>9.7000000000000003E-2</v>
      </c>
      <c r="BE66" s="74">
        <f>'QTR Raw'!Y35</f>
        <v>0.46</v>
      </c>
      <c r="BF66" s="74">
        <f>'QTR Raw'!Z35</f>
        <v>1.0940000000000001</v>
      </c>
      <c r="BG66" s="74">
        <f>'QTR Raw'!AA35</f>
        <v>0.66500000000000004</v>
      </c>
      <c r="BH66" s="74">
        <f>'QTR Raw'!AB35</f>
        <v>0.60099999999999998</v>
      </c>
      <c r="BI66" s="74">
        <f>'QTR Raw'!AC35</f>
        <v>0.66</v>
      </c>
      <c r="BJ66" s="74">
        <f>'QTR Raw'!AD35</f>
        <v>0.79100000000000004</v>
      </c>
      <c r="BK66" s="74">
        <f>'QTR Raw'!AE35</f>
        <v>1.3120000000000001</v>
      </c>
      <c r="BL66" s="74">
        <f>'QTR Raw'!AF35</f>
        <v>2.2360000000000002</v>
      </c>
      <c r="BM66" s="74">
        <f>'QTR Raw'!AG35</f>
        <v>2.1999999999999999E-2</v>
      </c>
      <c r="BN66" s="74">
        <f>'QTR Raw'!AH35</f>
        <v>0</v>
      </c>
      <c r="BO66" s="74">
        <f>'QTR Raw'!AI35</f>
        <v>0</v>
      </c>
      <c r="BP66" s="74">
        <f>'QTR Raw'!AJ35</f>
        <v>0</v>
      </c>
      <c r="BQ66" s="74">
        <f>'QTR Raw'!AK35</f>
        <v>0</v>
      </c>
      <c r="BR66" s="74">
        <f>'QTR Raw'!AL35</f>
        <v>0</v>
      </c>
      <c r="BS66" s="74">
        <f>'QTR Raw'!AM35</f>
        <v>0</v>
      </c>
      <c r="BT66" s="74">
        <f>'QTR Raw'!AN35</f>
        <v>0</v>
      </c>
      <c r="BU66" s="74">
        <f>'QTR Raw'!AO35</f>
        <v>0</v>
      </c>
      <c r="BV66" s="74">
        <f>'QTR Raw'!AP35</f>
        <v>0</v>
      </c>
      <c r="BW66" s="74">
        <f>'QTR Raw'!AQ35</f>
        <v>0</v>
      </c>
      <c r="BX66" s="74">
        <f>'QTR Raw'!AR35</f>
        <v>0</v>
      </c>
      <c r="BY66" s="74">
        <f>'QTR Raw'!AS35</f>
        <v>-6.0000000000000001E-3</v>
      </c>
      <c r="BZ66" s="74">
        <f>'QTR Raw'!AT35</f>
        <v>-2.7E-2</v>
      </c>
      <c r="CA66" s="74">
        <f>'QTR Raw'!AU35</f>
        <v>-0.23899999999999999</v>
      </c>
      <c r="CB66" s="74">
        <f>'QTR Raw'!AV35</f>
        <v>-0.42099999999999999</v>
      </c>
      <c r="CC66" s="74">
        <f>'QTR Raw'!AW35</f>
        <v>0.20799999999999999</v>
      </c>
      <c r="CD66" s="74">
        <f>'QTR Raw'!AX35</f>
        <v>-0.161</v>
      </c>
      <c r="CE66" s="74">
        <f>'QTR Raw'!AY35</f>
        <v>-0.53600000000000003</v>
      </c>
      <c r="CF66" s="74">
        <f>'QTR Raw'!AZ35</f>
        <v>-9.5000000000000001E-2</v>
      </c>
      <c r="CG66" s="74">
        <f>'QTR Raw'!BA35</f>
        <v>-0.68600000000000005</v>
      </c>
      <c r="CH66" s="74">
        <f>'QTR Raw'!BB35</f>
        <v>-0.57699999999999996</v>
      </c>
      <c r="CI66" s="74">
        <f>'QTR Raw'!BC35</f>
        <v>-1.1890000000000001</v>
      </c>
      <c r="CJ66" s="74">
        <f>'QTR Raw'!BD35</f>
        <v>-1.6759999999999999</v>
      </c>
      <c r="CK66" s="74">
        <f>'QTR Raw'!BE35</f>
        <v>-2.585</v>
      </c>
      <c r="CL66" s="74">
        <f>'QTR Raw'!BF35</f>
        <v>-3.9470000000000001</v>
      </c>
      <c r="CM66" s="75">
        <f t="shared" si="747"/>
        <v>-3.9470000000000001</v>
      </c>
      <c r="CN66" s="75">
        <f t="shared" si="748"/>
        <v>-3.9470000000000001</v>
      </c>
      <c r="CO66" s="75">
        <f t="shared" si="749"/>
        <v>-3.9470000000000001</v>
      </c>
      <c r="CP66" s="75">
        <f t="shared" si="750"/>
        <v>-3.9470000000000001</v>
      </c>
      <c r="CQ66" s="75">
        <f t="shared" si="751"/>
        <v>-3.9470000000000001</v>
      </c>
      <c r="CR66" s="75">
        <f t="shared" si="752"/>
        <v>-3.9470000000000001</v>
      </c>
      <c r="CS66" s="75">
        <f t="shared" si="753"/>
        <v>-3.9470000000000001</v>
      </c>
      <c r="CT66" s="75">
        <f t="shared" si="754"/>
        <v>-3.9470000000000001</v>
      </c>
      <c r="CU66" s="75">
        <f t="shared" si="755"/>
        <v>-3.9470000000000001</v>
      </c>
      <c r="CV66" s="75">
        <f t="shared" si="756"/>
        <v>-3.9470000000000001</v>
      </c>
      <c r="CW66" s="75">
        <f t="shared" si="757"/>
        <v>-3.9470000000000001</v>
      </c>
      <c r="CX66" s="75">
        <f t="shared" si="758"/>
        <v>-3.9470000000000001</v>
      </c>
      <c r="CY66" s="75">
        <f t="shared" si="759"/>
        <v>-3.9470000000000001</v>
      </c>
      <c r="CZ66" s="75">
        <f t="shared" si="760"/>
        <v>-3.9470000000000001</v>
      </c>
      <c r="DA66" s="75">
        <f t="shared" si="761"/>
        <v>-3.9470000000000001</v>
      </c>
      <c r="DB66"/>
      <c r="DD66" s="130"/>
    </row>
    <row r="67" spans="1:108" s="22" customFormat="1" x14ac:dyDescent="0.25">
      <c r="A67" s="22" t="s">
        <v>19</v>
      </c>
      <c r="B67" s="74">
        <f>'Annual Raw'!C29+'Annual Raw'!C31+'Annual Raw'!C34+'Annual Raw'!C36</f>
        <v>0</v>
      </c>
      <c r="C67" s="74">
        <f>'Annual Raw'!D29+'Annual Raw'!D31+'Annual Raw'!D34+'Annual Raw'!D36</f>
        <v>0</v>
      </c>
      <c r="D67" s="74">
        <f>'Annual Raw'!E29+'Annual Raw'!E31+'Annual Raw'!E34+'Annual Raw'!E36</f>
        <v>0</v>
      </c>
      <c r="E67" s="74">
        <f>'Annual Raw'!F29+'Annual Raw'!F31+'Annual Raw'!F34+'Annual Raw'!F36</f>
        <v>0</v>
      </c>
      <c r="F67" s="74">
        <f>'Annual Raw'!G29+'Annual Raw'!G31+'Annual Raw'!G34+'Annual Raw'!G36</f>
        <v>0</v>
      </c>
      <c r="G67" s="74">
        <f>'Annual Raw'!H29+'Annual Raw'!H31+'Annual Raw'!H34+'Annual Raw'!H36</f>
        <v>0</v>
      </c>
      <c r="H67" s="74">
        <f>'Annual Raw'!I29+'Annual Raw'!I31+'Annual Raw'!I34+'Annual Raw'!I36</f>
        <v>0</v>
      </c>
      <c r="I67" s="74">
        <f>'Annual Raw'!J29+'Annual Raw'!J31+'Annual Raw'!J34+'Annual Raw'!J36</f>
        <v>0</v>
      </c>
      <c r="J67" s="74">
        <f>'Annual Raw'!K29+'Annual Raw'!K31+'Annual Raw'!K34+'Annual Raw'!K36</f>
        <v>0</v>
      </c>
      <c r="K67" s="74">
        <f>'Annual Raw'!L29+'Annual Raw'!L31+'Annual Raw'!L34+'Annual Raw'!L36</f>
        <v>0</v>
      </c>
      <c r="L67" s="74">
        <f>'Annual Raw'!M29+'Annual Raw'!M31+'Annual Raw'!M34+'Annual Raw'!M36</f>
        <v>0</v>
      </c>
      <c r="M67" s="74">
        <f>'Annual Raw'!N29+'Annual Raw'!N31+'Annual Raw'!N34+'Annual Raw'!N36</f>
        <v>0</v>
      </c>
      <c r="N67" s="74">
        <f>'Annual Raw'!O29+'Annual Raw'!O31+'Annual Raw'!O34+'Annual Raw'!O36</f>
        <v>0</v>
      </c>
      <c r="O67" s="74">
        <f>'Annual Raw'!P29+'Annual Raw'!P31+'Annual Raw'!P34+'Annual Raw'!P36</f>
        <v>0</v>
      </c>
      <c r="P67" s="74">
        <f>'Annual Raw'!Q29+'Annual Raw'!Q31+'Annual Raw'!Q34+'Annual Raw'!Q36</f>
        <v>0</v>
      </c>
      <c r="Q67" s="74">
        <f>'Annual Raw'!R29+'Annual Raw'!R31+'Annual Raw'!R34+'Annual Raw'!R36</f>
        <v>0</v>
      </c>
      <c r="R67" s="74">
        <f>'Annual Raw'!S29+'Annual Raw'!S31+'Annual Raw'!S34+'Annual Raw'!S36</f>
        <v>0</v>
      </c>
      <c r="S67" s="74">
        <f>'Annual Raw'!T29+'Annual Raw'!T31+'Annual Raw'!T34+'Annual Raw'!T36</f>
        <v>0</v>
      </c>
      <c r="T67" s="74">
        <f>'Annual Raw'!U29+'Annual Raw'!U31+'Annual Raw'!U34+'Annual Raw'!U36</f>
        <v>0</v>
      </c>
      <c r="U67" s="74">
        <f>'Annual Raw'!V29+'Annual Raw'!V31+'Annual Raw'!V34+'Annual Raw'!V36</f>
        <v>0</v>
      </c>
      <c r="V67" s="74">
        <f>'Annual Raw'!W29+'Annual Raw'!W31+'Annual Raw'!W34+'Annual Raw'!W36</f>
        <v>-66.528999999999996</v>
      </c>
      <c r="W67" s="74">
        <f>'Annual Raw'!X29+'Annual Raw'!X31+'Annual Raw'!X34+'Annual Raw'!X36</f>
        <v>0</v>
      </c>
      <c r="X67" s="74">
        <f>'Annual Raw'!Y29+'Annual Raw'!Y31+'Annual Raw'!Y34+'Annual Raw'!Y36</f>
        <v>0</v>
      </c>
      <c r="Y67" s="74">
        <f>'Annual Raw'!Z29+'Annual Raw'!Z31+'Annual Raw'!Z34+'Annual Raw'!Z36</f>
        <v>0</v>
      </c>
      <c r="Z67" s="74">
        <f>'Annual Raw'!AA29+'Annual Raw'!AA31+'Annual Raw'!AA34+'Annual Raw'!AA36</f>
        <v>0</v>
      </c>
      <c r="AA67" s="75">
        <f t="shared" si="742"/>
        <v>0</v>
      </c>
      <c r="AB67" s="75">
        <f t="shared" si="743"/>
        <v>0</v>
      </c>
      <c r="AC67" s="75">
        <f t="shared" si="744"/>
        <v>0</v>
      </c>
      <c r="AD67" s="75">
        <f t="shared" si="745"/>
        <v>0</v>
      </c>
      <c r="AE67" s="75">
        <f t="shared" si="746"/>
        <v>0</v>
      </c>
      <c r="AI67" s="74">
        <f>'QTR Raw'!C26+'QTR Raw'!C31+'QTR Raw'!C32+'QTR Raw'!C33+'QTR Raw'!C36+'QTR Raw'!C37+'QTR Raw'!C39</f>
        <v>0</v>
      </c>
      <c r="AJ67" s="74">
        <f>'QTR Raw'!D26+'QTR Raw'!D31+'QTR Raw'!D32+'QTR Raw'!D33+'QTR Raw'!D36+'QTR Raw'!D37+'QTR Raw'!D39</f>
        <v>0</v>
      </c>
      <c r="AK67" s="74">
        <f>'QTR Raw'!E26+'QTR Raw'!E31+'QTR Raw'!E32+'QTR Raw'!E33+'QTR Raw'!E36+'QTR Raw'!E37+'QTR Raw'!E39</f>
        <v>0</v>
      </c>
      <c r="AL67" s="74">
        <f>'QTR Raw'!F26+'QTR Raw'!F31+'QTR Raw'!F32+'QTR Raw'!F33+'QTR Raw'!F36+'QTR Raw'!F37+'QTR Raw'!F39</f>
        <v>0</v>
      </c>
      <c r="AM67" s="74">
        <f>'QTR Raw'!G26+'QTR Raw'!G31+'QTR Raw'!G32+'QTR Raw'!G33+'QTR Raw'!G36+'QTR Raw'!G37+'QTR Raw'!G39</f>
        <v>0</v>
      </c>
      <c r="AN67" s="74">
        <f>'QTR Raw'!H26+'QTR Raw'!H31+'QTR Raw'!H32+'QTR Raw'!H33+'QTR Raw'!H36+'QTR Raw'!H37+'QTR Raw'!H39</f>
        <v>0</v>
      </c>
      <c r="AO67" s="74">
        <f>'QTR Raw'!I26+'QTR Raw'!I31+'QTR Raw'!I32+'QTR Raw'!I33+'QTR Raw'!I36+'QTR Raw'!I37+'QTR Raw'!I39</f>
        <v>0</v>
      </c>
      <c r="AP67" s="74">
        <f>'QTR Raw'!J26+'QTR Raw'!J31+'QTR Raw'!J32+'QTR Raw'!J33+'QTR Raw'!J36+'QTR Raw'!J37+'QTR Raw'!J39</f>
        <v>0</v>
      </c>
      <c r="AQ67" s="74">
        <f>'QTR Raw'!K26+'QTR Raw'!K31+'QTR Raw'!K32+'QTR Raw'!K33+'QTR Raw'!K36+'QTR Raw'!K37+'QTR Raw'!K39</f>
        <v>0</v>
      </c>
      <c r="AR67" s="74">
        <f>'QTR Raw'!L26+'QTR Raw'!L31+'QTR Raw'!L32+'QTR Raw'!L33+'QTR Raw'!L36+'QTR Raw'!L37+'QTR Raw'!L39</f>
        <v>0</v>
      </c>
      <c r="AS67" s="74">
        <f>'QTR Raw'!M26+'QTR Raw'!M31+'QTR Raw'!M32+'QTR Raw'!M33+'QTR Raw'!M36+'QTR Raw'!M37+'QTR Raw'!M39</f>
        <v>0</v>
      </c>
      <c r="AT67" s="74">
        <f>'QTR Raw'!N26+'QTR Raw'!N31+'QTR Raw'!N32+'QTR Raw'!N33+'QTR Raw'!N36+'QTR Raw'!N37+'QTR Raw'!N39</f>
        <v>0</v>
      </c>
      <c r="AU67" s="74">
        <f>'QTR Raw'!O26+'QTR Raw'!O31+'QTR Raw'!O32+'QTR Raw'!O33+'QTR Raw'!O36+'QTR Raw'!O37+'QTR Raw'!O39</f>
        <v>0</v>
      </c>
      <c r="AV67" s="74">
        <f>'QTR Raw'!P26+'QTR Raw'!P31+'QTR Raw'!P32+'QTR Raw'!P33+'QTR Raw'!P36+'QTR Raw'!P37+'QTR Raw'!P39</f>
        <v>0</v>
      </c>
      <c r="AW67" s="74">
        <f>'QTR Raw'!Q26+'QTR Raw'!Q31+'QTR Raw'!Q32+'QTR Raw'!Q33+'QTR Raw'!Q36+'QTR Raw'!Q37+'QTR Raw'!Q39</f>
        <v>0</v>
      </c>
      <c r="AX67" s="74">
        <f>'QTR Raw'!R26+'QTR Raw'!R31+'QTR Raw'!R32+'QTR Raw'!R33+'QTR Raw'!R36+'QTR Raw'!R37+'QTR Raw'!R39</f>
        <v>0</v>
      </c>
      <c r="AY67" s="74">
        <f>'QTR Raw'!S26+'QTR Raw'!S31+'QTR Raw'!S32+'QTR Raw'!S33+'QTR Raw'!S36+'QTR Raw'!S37+'QTR Raw'!S39</f>
        <v>0</v>
      </c>
      <c r="AZ67" s="74">
        <f>'QTR Raw'!T26+'QTR Raw'!T31+'QTR Raw'!T32+'QTR Raw'!T33+'QTR Raw'!T36+'QTR Raw'!T37+'QTR Raw'!T39</f>
        <v>0</v>
      </c>
      <c r="BA67" s="74">
        <f>'QTR Raw'!U26+'QTR Raw'!U31+'QTR Raw'!U32+'QTR Raw'!U33+'QTR Raw'!U36+'QTR Raw'!U37+'QTR Raw'!U39</f>
        <v>0</v>
      </c>
      <c r="BB67" s="74">
        <f>'QTR Raw'!V26+'QTR Raw'!V31+'QTR Raw'!V32+'QTR Raw'!V33+'QTR Raw'!V36+'QTR Raw'!V37+'QTR Raw'!V39</f>
        <v>0</v>
      </c>
      <c r="BC67" s="74">
        <f>'QTR Raw'!W26+'QTR Raw'!W31+'QTR Raw'!W32+'QTR Raw'!W33+'QTR Raw'!W36+'QTR Raw'!W37+'QTR Raw'!W39</f>
        <v>0</v>
      </c>
      <c r="BD67" s="74">
        <f>'QTR Raw'!X26+'QTR Raw'!X31+'QTR Raw'!X32+'QTR Raw'!X33+'QTR Raw'!X36+'QTR Raw'!X37+'QTR Raw'!X39</f>
        <v>0</v>
      </c>
      <c r="BE67" s="74">
        <f>'QTR Raw'!Y26+'QTR Raw'!Y31+'QTR Raw'!Y32+'QTR Raw'!Y33+'QTR Raw'!Y36+'QTR Raw'!Y37+'QTR Raw'!Y39</f>
        <v>0</v>
      </c>
      <c r="BF67" s="74">
        <f>'QTR Raw'!Z26+'QTR Raw'!Z31+'QTR Raw'!Z32+'QTR Raw'!Z33+'QTR Raw'!Z36+'QTR Raw'!Z37+'QTR Raw'!Z39</f>
        <v>0</v>
      </c>
      <c r="BG67" s="74">
        <f>'QTR Raw'!AA26+'QTR Raw'!AA31+'QTR Raw'!AA32+'QTR Raw'!AA33+'QTR Raw'!AA36+'QTR Raw'!AA37+'QTR Raw'!AA39</f>
        <v>0</v>
      </c>
      <c r="BH67" s="74">
        <f>'QTR Raw'!AB26+'QTR Raw'!AB31+'QTR Raw'!AB32+'QTR Raw'!AB33+'QTR Raw'!AB36+'QTR Raw'!AB37+'QTR Raw'!AB39</f>
        <v>0</v>
      </c>
      <c r="BI67" s="74">
        <f>'QTR Raw'!AC26+'QTR Raw'!AC31+'QTR Raw'!AC32+'QTR Raw'!AC33+'QTR Raw'!AC36+'QTR Raw'!AC37+'QTR Raw'!AC39</f>
        <v>0</v>
      </c>
      <c r="BJ67" s="74">
        <f>'QTR Raw'!AD26+'QTR Raw'!AD31+'QTR Raw'!AD32+'QTR Raw'!AD33+'QTR Raw'!AD36+'QTR Raw'!AD37+'QTR Raw'!AD39</f>
        <v>0</v>
      </c>
      <c r="BK67" s="74">
        <f>'QTR Raw'!AE26+'QTR Raw'!AE31+'QTR Raw'!AE32+'QTR Raw'!AE33+'QTR Raw'!AE36+'QTR Raw'!AE37+'QTR Raw'!AE39</f>
        <v>0</v>
      </c>
      <c r="BL67" s="74">
        <f>'QTR Raw'!AF26+'QTR Raw'!AF31+'QTR Raw'!AF32+'QTR Raw'!AF33+'QTR Raw'!AF36+'QTR Raw'!AF37+'QTR Raw'!AF39</f>
        <v>0</v>
      </c>
      <c r="BM67" s="74">
        <f>'QTR Raw'!AG26+'QTR Raw'!AG31+'QTR Raw'!AG32+'QTR Raw'!AG33+'QTR Raw'!AG36+'QTR Raw'!AG37+'QTR Raw'!AG39</f>
        <v>0</v>
      </c>
      <c r="BN67" s="74">
        <f>'QTR Raw'!AH26+'QTR Raw'!AH31+'QTR Raw'!AH32+'QTR Raw'!AH33+'QTR Raw'!AH36+'QTR Raw'!AH37+'QTR Raw'!AH39</f>
        <v>-66.528999999999996</v>
      </c>
      <c r="BO67" s="74">
        <f>'QTR Raw'!AI26+'QTR Raw'!AI31+'QTR Raw'!AI32+'QTR Raw'!AI33+'QTR Raw'!AI36+'QTR Raw'!AI37+'QTR Raw'!AI39</f>
        <v>0</v>
      </c>
      <c r="BP67" s="74">
        <f>'QTR Raw'!AJ26+'QTR Raw'!AJ31+'QTR Raw'!AJ32+'QTR Raw'!AJ33+'QTR Raw'!AJ36+'QTR Raw'!AJ37+'QTR Raw'!AJ39</f>
        <v>0</v>
      </c>
      <c r="BQ67" s="74">
        <f>'QTR Raw'!AK26+'QTR Raw'!AK31+'QTR Raw'!AK32+'QTR Raw'!AK33+'QTR Raw'!AK36+'QTR Raw'!AK37+'QTR Raw'!AK39</f>
        <v>0</v>
      </c>
      <c r="BR67" s="74">
        <f>'QTR Raw'!AL26+'QTR Raw'!AL31+'QTR Raw'!AL32+'QTR Raw'!AL33+'QTR Raw'!AL36+'QTR Raw'!AL37+'QTR Raw'!AL39</f>
        <v>0</v>
      </c>
      <c r="BS67" s="74">
        <f>'QTR Raw'!AM26+'QTR Raw'!AM31+'QTR Raw'!AM32+'QTR Raw'!AM33+'QTR Raw'!AM36+'QTR Raw'!AM37+'QTR Raw'!AM39</f>
        <v>0</v>
      </c>
      <c r="BT67" s="74">
        <f>'QTR Raw'!AN26+'QTR Raw'!AN31+'QTR Raw'!AN32+'QTR Raw'!AN33+'QTR Raw'!AN36+'QTR Raw'!AN37+'QTR Raw'!AN39</f>
        <v>0</v>
      </c>
      <c r="BU67" s="74">
        <f>'QTR Raw'!AO26+'QTR Raw'!AO31+'QTR Raw'!AO32+'QTR Raw'!AO33+'QTR Raw'!AO36+'QTR Raw'!AO37+'QTR Raw'!AO39</f>
        <v>0</v>
      </c>
      <c r="BV67" s="74">
        <f>'QTR Raw'!AP26+'QTR Raw'!AP31+'QTR Raw'!AP32+'QTR Raw'!AP33+'QTR Raw'!AP36+'QTR Raw'!AP37+'QTR Raw'!AP39</f>
        <v>0</v>
      </c>
      <c r="BW67" s="74">
        <f>'QTR Raw'!AQ26+'QTR Raw'!AQ31+'QTR Raw'!AQ32+'QTR Raw'!AQ33+'QTR Raw'!AQ36+'QTR Raw'!AQ37+'QTR Raw'!AQ39</f>
        <v>0</v>
      </c>
      <c r="BX67" s="74">
        <f>'QTR Raw'!AR26+'QTR Raw'!AR31+'QTR Raw'!AR32+'QTR Raw'!AR33+'QTR Raw'!AR36+'QTR Raw'!AR37+'QTR Raw'!AR39</f>
        <v>0</v>
      </c>
      <c r="BY67" s="74">
        <f>'QTR Raw'!AS26+'QTR Raw'!AS31+'QTR Raw'!AS32+'QTR Raw'!AS33+'QTR Raw'!AS36+'QTR Raw'!AS37+'QTR Raw'!AS39</f>
        <v>0</v>
      </c>
      <c r="BZ67" s="74">
        <f>'QTR Raw'!AT26+'QTR Raw'!AT31+'QTR Raw'!AT32+'QTR Raw'!AT33+'QTR Raw'!AT36+'QTR Raw'!AT37+'QTR Raw'!AT39</f>
        <v>0</v>
      </c>
      <c r="CA67" s="74">
        <f>'QTR Raw'!AU26+'QTR Raw'!AU31+'QTR Raw'!AU32+'QTR Raw'!AU33+'QTR Raw'!AU36+'QTR Raw'!AU37+'QTR Raw'!AU39</f>
        <v>0</v>
      </c>
      <c r="CB67" s="74">
        <f>'QTR Raw'!AV26+'QTR Raw'!AV31+'QTR Raw'!AV32+'QTR Raw'!AV33+'QTR Raw'!AV36+'QTR Raw'!AV37+'QTR Raw'!AV39</f>
        <v>0</v>
      </c>
      <c r="CC67" s="74">
        <f>'QTR Raw'!AW26+'QTR Raw'!AW31+'QTR Raw'!AW32+'QTR Raw'!AW33+'QTR Raw'!AW36+'QTR Raw'!AW37+'QTR Raw'!AW39</f>
        <v>0</v>
      </c>
      <c r="CD67" s="74">
        <f>'QTR Raw'!AX26+'QTR Raw'!AX31+'QTR Raw'!AX32+'QTR Raw'!AX33+'QTR Raw'!AX36+'QTR Raw'!AX37+'QTR Raw'!AX39</f>
        <v>0</v>
      </c>
      <c r="CE67" s="74">
        <f>'QTR Raw'!AY26+'QTR Raw'!AY31+'QTR Raw'!AY32+'QTR Raw'!AY33+'QTR Raw'!AY36+'QTR Raw'!AY37+'QTR Raw'!AY39</f>
        <v>0</v>
      </c>
      <c r="CF67" s="74">
        <f>'QTR Raw'!AZ26+'QTR Raw'!AZ31+'QTR Raw'!AZ32+'QTR Raw'!AZ33+'QTR Raw'!AZ36+'QTR Raw'!AZ37+'QTR Raw'!AZ39</f>
        <v>0</v>
      </c>
      <c r="CG67" s="74">
        <f>'QTR Raw'!BA26+'QTR Raw'!BA31+'QTR Raw'!BA32+'QTR Raw'!BA33+'QTR Raw'!BA36+'QTR Raw'!BA37+'QTR Raw'!BA39</f>
        <v>0</v>
      </c>
      <c r="CH67" s="74">
        <f>'QTR Raw'!BB26+'QTR Raw'!BB31+'QTR Raw'!BB32+'QTR Raw'!BB33+'QTR Raw'!BB36+'QTR Raw'!BB37+'QTR Raw'!BB39</f>
        <v>0</v>
      </c>
      <c r="CI67" s="74">
        <f>'QTR Raw'!BC26+'QTR Raw'!BC31+'QTR Raw'!BC32+'QTR Raw'!BC33+'QTR Raw'!BC36+'QTR Raw'!BC37+'QTR Raw'!BC39</f>
        <v>0</v>
      </c>
      <c r="CJ67" s="74">
        <f>'QTR Raw'!BD26+'QTR Raw'!BD31+'QTR Raw'!BD32+'QTR Raw'!BD33+'QTR Raw'!BD36+'QTR Raw'!BD37+'QTR Raw'!BD39</f>
        <v>0</v>
      </c>
      <c r="CK67" s="74">
        <f>'QTR Raw'!BE26+'QTR Raw'!BE31+'QTR Raw'!BE32+'QTR Raw'!BE33+'QTR Raw'!BE36+'QTR Raw'!BE37+'QTR Raw'!BE39</f>
        <v>0</v>
      </c>
      <c r="CL67" s="74">
        <f>'QTR Raw'!BF26+'QTR Raw'!BF31+'QTR Raw'!BF32+'QTR Raw'!BF33+'QTR Raw'!BF36+'QTR Raw'!BF37+'QTR Raw'!BF39</f>
        <v>0</v>
      </c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/>
      <c r="DD67" s="122"/>
    </row>
    <row r="68" spans="1:108" s="25" customFormat="1" x14ac:dyDescent="0.25">
      <c r="A68" s="34" t="s">
        <v>25</v>
      </c>
      <c r="B68" s="25">
        <f>B61+B65+B66+B67</f>
        <v>0</v>
      </c>
      <c r="C68" s="25">
        <f>C61+C65+C66+C67</f>
        <v>0</v>
      </c>
      <c r="D68" s="25">
        <f>D61+D65+D66+D67</f>
        <v>0</v>
      </c>
      <c r="E68" s="25">
        <f t="shared" ref="E68:U68" si="762">E61+E65+E66+E67</f>
        <v>0</v>
      </c>
      <c r="F68" s="25">
        <f t="shared" si="762"/>
        <v>18.17074809999998</v>
      </c>
      <c r="G68" s="25">
        <f t="shared" si="762"/>
        <v>10.861303500000052</v>
      </c>
      <c r="H68" s="25">
        <f t="shared" si="762"/>
        <v>14.118596700000033</v>
      </c>
      <c r="I68" s="25">
        <f t="shared" si="762"/>
        <v>21.187279800000006</v>
      </c>
      <c r="J68" s="25">
        <f t="shared" si="762"/>
        <v>21.865713199999931</v>
      </c>
      <c r="K68" s="25">
        <f t="shared" si="762"/>
        <v>22.197912000000077</v>
      </c>
      <c r="L68" s="25">
        <f t="shared" si="762"/>
        <v>24.814716499999992</v>
      </c>
      <c r="M68" s="25">
        <f t="shared" si="762"/>
        <v>7.7790000000001038</v>
      </c>
      <c r="N68" s="25">
        <f t="shared" si="762"/>
        <v>25.107999999999805</v>
      </c>
      <c r="O68" s="25">
        <f t="shared" si="762"/>
        <v>-39.52999999999993</v>
      </c>
      <c r="P68" s="25">
        <f t="shared" si="762"/>
        <v>-20.155999999999938</v>
      </c>
      <c r="Q68" s="25">
        <f t="shared" si="762"/>
        <v>113.04199999999993</v>
      </c>
      <c r="R68" s="25">
        <f t="shared" si="762"/>
        <v>42.376000000000388</v>
      </c>
      <c r="S68" s="25">
        <f t="shared" si="762"/>
        <v>210.15400000000051</v>
      </c>
      <c r="T68" s="25">
        <f t="shared" si="762"/>
        <v>292.84100000000001</v>
      </c>
      <c r="U68" s="25">
        <f t="shared" si="762"/>
        <v>468.97499999999889</v>
      </c>
      <c r="V68" s="25">
        <f>V61+V65+V66+V67</f>
        <v>328.99499999999989</v>
      </c>
      <c r="W68" s="25">
        <f>W61+W65+W66+W67</f>
        <v>694.05199999999945</v>
      </c>
      <c r="X68" s="25">
        <f>X61+X65+X66+X67</f>
        <v>1497.4329999999998</v>
      </c>
      <c r="Y68" s="25">
        <f>Y61+Y65+Y66+Y67</f>
        <v>2055.9220000000028</v>
      </c>
      <c r="Z68" s="25">
        <f>Z61+Z65+Z66+Z67</f>
        <v>2594.6329999999994</v>
      </c>
      <c r="AA68" s="26">
        <f t="shared" ref="AA68:AD68" si="763">AA61+AA65+AA66+AA67</f>
        <v>3036.4889999999937</v>
      </c>
      <c r="AB68" s="26">
        <f t="shared" si="763"/>
        <v>3255.4908741932245</v>
      </c>
      <c r="AC68" s="26">
        <f t="shared" si="763"/>
        <v>4285.7183100260163</v>
      </c>
      <c r="AD68" s="26">
        <f t="shared" si="763"/>
        <v>4611.6475949997339</v>
      </c>
      <c r="AE68" s="26">
        <f t="shared" ref="AE68" si="764">AE61+AE65+AE66+AE67</f>
        <v>5858.1139048082396</v>
      </c>
      <c r="AI68" s="25">
        <f t="shared" ref="AI68" si="765">AI61+AI65+AI66+AI67</f>
        <v>0</v>
      </c>
      <c r="AJ68" s="25">
        <f t="shared" ref="AJ68" si="766">AJ61+AJ65+AJ66+AJ67</f>
        <v>0</v>
      </c>
      <c r="AK68" s="25">
        <f t="shared" ref="AK68:AM68" si="767">AK61+AK65+AK66+AK67</f>
        <v>0</v>
      </c>
      <c r="AL68" s="25">
        <f t="shared" si="767"/>
        <v>0</v>
      </c>
      <c r="AM68" s="25">
        <f t="shared" si="767"/>
        <v>0</v>
      </c>
      <c r="AN68" s="25">
        <f t="shared" ref="AN68:AO68" si="768">AN61+AN65+AN66+AN67</f>
        <v>0</v>
      </c>
      <c r="AO68" s="25">
        <f t="shared" si="768"/>
        <v>0</v>
      </c>
      <c r="AP68" s="25">
        <f t="shared" ref="AP68:CD68" si="769">AP61+AP65+AP66+AP67</f>
        <v>0</v>
      </c>
      <c r="AQ68" s="25">
        <f t="shared" si="769"/>
        <v>0</v>
      </c>
      <c r="AR68" s="25">
        <f t="shared" si="769"/>
        <v>0</v>
      </c>
      <c r="AS68" s="25">
        <f t="shared" si="769"/>
        <v>0</v>
      </c>
      <c r="AT68" s="25">
        <f t="shared" si="769"/>
        <v>0</v>
      </c>
      <c r="AU68" s="25">
        <f t="shared" si="769"/>
        <v>0</v>
      </c>
      <c r="AV68" s="25">
        <f t="shared" si="769"/>
        <v>0</v>
      </c>
      <c r="AW68" s="25">
        <f t="shared" si="769"/>
        <v>-98.751000000000033</v>
      </c>
      <c r="AX68" s="25">
        <f t="shared" si="769"/>
        <v>-51.786000000000101</v>
      </c>
      <c r="AY68" s="25">
        <f t="shared" si="769"/>
        <v>203.07900000000009</v>
      </c>
      <c r="AZ68" s="25">
        <f t="shared" si="769"/>
        <v>10.303000000000086</v>
      </c>
      <c r="BA68" s="25">
        <f t="shared" si="769"/>
        <v>-119.22000000000001</v>
      </c>
      <c r="BB68" s="25">
        <f t="shared" si="769"/>
        <v>4.5079999999998721</v>
      </c>
      <c r="BC68" s="25">
        <f t="shared" si="769"/>
        <v>245.6089999999999</v>
      </c>
      <c r="BD68" s="25">
        <f t="shared" si="769"/>
        <v>32.880999999999915</v>
      </c>
      <c r="BE68" s="25">
        <f t="shared" si="769"/>
        <v>-72.843999999999951</v>
      </c>
      <c r="BF68" s="25">
        <f t="shared" si="769"/>
        <v>18.631999999999955</v>
      </c>
      <c r="BG68" s="25">
        <f t="shared" si="769"/>
        <v>303.4430000000005</v>
      </c>
      <c r="BH68" s="25">
        <f t="shared" si="769"/>
        <v>42.274999999999977</v>
      </c>
      <c r="BI68" s="25">
        <f t="shared" si="769"/>
        <v>-71.509000000000128</v>
      </c>
      <c r="BJ68" s="25">
        <f t="shared" si="769"/>
        <v>40.626000000000005</v>
      </c>
      <c r="BK68" s="25">
        <f t="shared" si="769"/>
        <v>406.92900000000003</v>
      </c>
      <c r="BL68" s="25">
        <f t="shared" si="769"/>
        <v>80.7319999999998</v>
      </c>
      <c r="BM68" s="25">
        <f t="shared" si="769"/>
        <v>-59.311999999999941</v>
      </c>
      <c r="BN68" s="25">
        <f t="shared" si="769"/>
        <v>54.919000000000096</v>
      </c>
      <c r="BO68" s="25">
        <f t="shared" si="769"/>
        <v>140.77799999999988</v>
      </c>
      <c r="BP68" s="25">
        <f t="shared" si="769"/>
        <v>153.03099999999975</v>
      </c>
      <c r="BQ68" s="25">
        <f t="shared" si="769"/>
        <v>-19.733000000000324</v>
      </c>
      <c r="BR68" s="25">
        <f t="shared" si="769"/>
        <v>129.25500000000008</v>
      </c>
      <c r="BS68" s="25">
        <f t="shared" si="769"/>
        <v>308.16499999999991</v>
      </c>
      <c r="BT68" s="25">
        <f t="shared" si="769"/>
        <v>240.14100000000019</v>
      </c>
      <c r="BU68" s="25">
        <f t="shared" si="769"/>
        <v>16.491000000000103</v>
      </c>
      <c r="BV68" s="25">
        <f t="shared" si="769"/>
        <v>254.20699999999954</v>
      </c>
      <c r="BW68" s="25">
        <f t="shared" si="769"/>
        <v>787.43800000000022</v>
      </c>
      <c r="BX68" s="25">
        <f t="shared" si="769"/>
        <v>381.03699999999992</v>
      </c>
      <c r="BY68" s="25">
        <f t="shared" si="769"/>
        <v>74.750999999999891</v>
      </c>
      <c r="BZ68" s="25">
        <f t="shared" si="769"/>
        <v>429.0720000000004</v>
      </c>
      <c r="CA68" s="25">
        <f t="shared" si="769"/>
        <v>993.81100000000094</v>
      </c>
      <c r="CB68" s="25">
        <f t="shared" si="769"/>
        <v>501.06700000000006</v>
      </c>
      <c r="CC68" s="25">
        <f t="shared" si="769"/>
        <v>131.97199999999958</v>
      </c>
      <c r="CD68" s="25">
        <f t="shared" si="769"/>
        <v>537.27099999999882</v>
      </c>
      <c r="CE68" s="25">
        <f t="shared" ref="CE68:CF68" si="770">CE61+CE65+CE66+CE67</f>
        <v>1252.6029999999989</v>
      </c>
      <c r="CF68" s="25">
        <f t="shared" si="770"/>
        <v>619.61299999999983</v>
      </c>
      <c r="CG68" s="25">
        <f t="shared" ref="CG68:CH68" si="771">CG61+CG65+CG66+CG67</f>
        <v>185.14600000000004</v>
      </c>
      <c r="CH68" s="25">
        <f t="shared" si="771"/>
        <v>726.48799999999949</v>
      </c>
      <c r="CI68" s="25">
        <f t="shared" ref="CI68:CJ68" si="772">CI61+CI65+CI66+CI67</f>
        <v>1317.0239999999999</v>
      </c>
      <c r="CJ68" s="25">
        <f t="shared" si="772"/>
        <v>741.19000000000062</v>
      </c>
      <c r="CK68" s="25">
        <f t="shared" ref="CK68:CL68" si="773">CK61+CK65+CK66+CK67</f>
        <v>251.78699999999981</v>
      </c>
      <c r="CL68" s="25">
        <f t="shared" si="773"/>
        <v>872.3550000000007</v>
      </c>
      <c r="CM68" s="26">
        <f t="shared" ref="CM68:DA68" si="774">CM61+CM65+CM66+CM67</f>
        <v>1129.7800343848241</v>
      </c>
      <c r="CN68" s="26">
        <f t="shared" si="774"/>
        <v>681.93095831001301</v>
      </c>
      <c r="CO68" s="26">
        <f t="shared" si="774"/>
        <v>571.42488149838982</v>
      </c>
      <c r="CP68" s="26">
        <f t="shared" si="774"/>
        <v>1165.6407730629285</v>
      </c>
      <c r="CQ68" s="26">
        <f t="shared" si="774"/>
        <v>1397.1648502718722</v>
      </c>
      <c r="CR68" s="26">
        <f t="shared" si="774"/>
        <v>936.72187756583401</v>
      </c>
      <c r="CS68" s="26">
        <f t="shared" si="774"/>
        <v>786.19080912538232</v>
      </c>
      <c r="CT68" s="26">
        <f t="shared" si="774"/>
        <v>1251.7903714237486</v>
      </c>
      <c r="CU68" s="26">
        <f t="shared" si="774"/>
        <v>1486.9980788422417</v>
      </c>
      <c r="CV68" s="26">
        <f t="shared" si="774"/>
        <v>994.51250557796664</v>
      </c>
      <c r="CW68" s="26">
        <f t="shared" si="774"/>
        <v>878.34663915577642</v>
      </c>
      <c r="CX68" s="26">
        <f t="shared" si="774"/>
        <v>1571.1597595344406</v>
      </c>
      <c r="CY68" s="26">
        <f t="shared" si="774"/>
        <v>1858.6854266696957</v>
      </c>
      <c r="CZ68" s="26">
        <f t="shared" si="774"/>
        <v>1283.6741189286947</v>
      </c>
      <c r="DA68" s="26">
        <f t="shared" si="774"/>
        <v>1144.5945996754058</v>
      </c>
      <c r="DB68"/>
      <c r="DD68" s="120"/>
    </row>
    <row r="69" spans="1:108" s="24" customFormat="1" x14ac:dyDescent="0.25">
      <c r="A69" s="150" t="s">
        <v>487</v>
      </c>
      <c r="AA69" s="16"/>
      <c r="AB69" s="16"/>
      <c r="AC69" s="16"/>
      <c r="AD69" s="16"/>
      <c r="AE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/>
      <c r="DD69" s="118"/>
    </row>
    <row r="70" spans="1:108" s="1" customFormat="1" x14ac:dyDescent="0.25">
      <c r="A70" s="1" t="s">
        <v>485</v>
      </c>
      <c r="AA70" s="19"/>
      <c r="AB70" s="19"/>
      <c r="AC70" s="19"/>
      <c r="AD70" s="19"/>
      <c r="AE70" s="19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/>
      <c r="DD70" s="118"/>
    </row>
    <row r="71" spans="1:108" s="21" customFormat="1" x14ac:dyDescent="0.25">
      <c r="A71" s="21" t="s">
        <v>434</v>
      </c>
      <c r="B71" s="21">
        <f>'Annual Raw'!C35</f>
        <v>0</v>
      </c>
      <c r="C71" s="21">
        <f>'Annual Raw'!D35</f>
        <v>0</v>
      </c>
      <c r="D71" s="21">
        <f>'Annual Raw'!E35</f>
        <v>0</v>
      </c>
      <c r="E71" s="21">
        <f>'Annual Raw'!F35</f>
        <v>0</v>
      </c>
      <c r="F71" s="21">
        <f>'Annual Raw'!G35</f>
        <v>18.170748100000001</v>
      </c>
      <c r="G71" s="21">
        <f>'Annual Raw'!H35</f>
        <v>10.8613035</v>
      </c>
      <c r="H71" s="21">
        <f>'Annual Raw'!I35</f>
        <v>14.118596699999999</v>
      </c>
      <c r="I71" s="21">
        <f>'Annual Raw'!J35</f>
        <v>21.187279799999999</v>
      </c>
      <c r="J71" s="21">
        <f>'Annual Raw'!K35</f>
        <v>21.865713199999998</v>
      </c>
      <c r="K71" s="21">
        <f>'Annual Raw'!L35</f>
        <v>22.197911999999999</v>
      </c>
      <c r="L71" s="21">
        <f>'Annual Raw'!M35</f>
        <v>24.814716499999999</v>
      </c>
      <c r="M71" s="21">
        <f>'Annual Raw'!N35</f>
        <v>7.7789999999999999</v>
      </c>
      <c r="N71" s="21">
        <f>'Annual Raw'!O35</f>
        <v>25.108000000000001</v>
      </c>
      <c r="O71" s="21">
        <f>'Annual Raw'!P35</f>
        <v>-39.53</v>
      </c>
      <c r="P71" s="21">
        <f>'Annual Raw'!Q35</f>
        <v>-20.155999999999999</v>
      </c>
      <c r="Q71" s="21">
        <f>'Annual Raw'!R35</f>
        <v>113.042</v>
      </c>
      <c r="R71" s="21">
        <f>'Annual Raw'!S35</f>
        <v>42.375999999999998</v>
      </c>
      <c r="S71" s="21">
        <f>'Annual Raw'!T35</f>
        <v>210.154</v>
      </c>
      <c r="T71" s="21">
        <f>'Annual Raw'!U35</f>
        <v>292.84100000000001</v>
      </c>
      <c r="U71" s="21">
        <f>'Annual Raw'!V35</f>
        <v>468.97500000000002</v>
      </c>
      <c r="V71" s="21">
        <f>'Annual Raw'!W35</f>
        <v>328.995</v>
      </c>
      <c r="W71" s="21">
        <f>'Annual Raw'!X35</f>
        <v>694.05200000000002</v>
      </c>
      <c r="X71" s="21">
        <f>'Annual Raw'!Y35</f>
        <v>1497.433</v>
      </c>
      <c r="Y71" s="21">
        <f>'Annual Raw'!Z35</f>
        <v>2055.922</v>
      </c>
      <c r="Z71" s="21">
        <f>'Annual Raw'!AA35</f>
        <v>2594.6329999999998</v>
      </c>
      <c r="AA71" s="20">
        <f t="shared" ref="AA71:AD71" si="775">+AA68</f>
        <v>3036.4889999999937</v>
      </c>
      <c r="AB71" s="20">
        <f t="shared" si="775"/>
        <v>3255.4908741932245</v>
      </c>
      <c r="AC71" s="20">
        <f t="shared" si="775"/>
        <v>4285.7183100260163</v>
      </c>
      <c r="AD71" s="20">
        <f t="shared" si="775"/>
        <v>4611.6475949997339</v>
      </c>
      <c r="AE71" s="20">
        <f t="shared" ref="AE71" si="776">+AE68</f>
        <v>5858.1139048082396</v>
      </c>
      <c r="AI71" s="21">
        <f>'QTR Raw'!C42</f>
        <v>0</v>
      </c>
      <c r="AJ71" s="21">
        <f>'QTR Raw'!D42</f>
        <v>0</v>
      </c>
      <c r="AK71" s="21">
        <f>'QTR Raw'!E42</f>
        <v>0</v>
      </c>
      <c r="AL71" s="21">
        <f>'QTR Raw'!F42</f>
        <v>0</v>
      </c>
      <c r="AM71" s="21">
        <f>'QTR Raw'!G42</f>
        <v>0</v>
      </c>
      <c r="AN71" s="21">
        <f>'QTR Raw'!H42</f>
        <v>0</v>
      </c>
      <c r="AO71" s="21">
        <f>'QTR Raw'!I42</f>
        <v>0</v>
      </c>
      <c r="AP71" s="21">
        <f>'QTR Raw'!J42</f>
        <v>0</v>
      </c>
      <c r="AQ71" s="21">
        <f>'QTR Raw'!K42</f>
        <v>0</v>
      </c>
      <c r="AR71" s="21">
        <f>'QTR Raw'!L42</f>
        <v>0</v>
      </c>
      <c r="AS71" s="21">
        <f>'QTR Raw'!M42</f>
        <v>0</v>
      </c>
      <c r="AT71" s="21">
        <f>'QTR Raw'!N42</f>
        <v>0</v>
      </c>
      <c r="AU71" s="21">
        <f>'QTR Raw'!O42</f>
        <v>0</v>
      </c>
      <c r="AV71" s="21">
        <f>'QTR Raw'!P42</f>
        <v>0</v>
      </c>
      <c r="AW71" s="21">
        <f>'QTR Raw'!Q42</f>
        <v>-98.751000000000005</v>
      </c>
      <c r="AX71" s="21">
        <f>'QTR Raw'!R42</f>
        <v>-51.786000000000001</v>
      </c>
      <c r="AY71" s="21">
        <f>'QTR Raw'!S42</f>
        <v>203.07900000000001</v>
      </c>
      <c r="AZ71" s="21">
        <f>'QTR Raw'!T42</f>
        <v>10.303000000000001</v>
      </c>
      <c r="BA71" s="21">
        <f>'QTR Raw'!U42</f>
        <v>-119.22</v>
      </c>
      <c r="BB71" s="21">
        <f>'QTR Raw'!V42</f>
        <v>4.508</v>
      </c>
      <c r="BC71" s="21">
        <f>'QTR Raw'!W42</f>
        <v>245.60900000000001</v>
      </c>
      <c r="BD71" s="21">
        <f>'QTR Raw'!X42</f>
        <v>32.881</v>
      </c>
      <c r="BE71" s="21">
        <f>'QTR Raw'!Y42</f>
        <v>-72.843999999999994</v>
      </c>
      <c r="BF71" s="21">
        <f>'QTR Raw'!Z42</f>
        <v>18.632000000000001</v>
      </c>
      <c r="BG71" s="21">
        <f>'QTR Raw'!AA42</f>
        <v>303.44299999999998</v>
      </c>
      <c r="BH71" s="21">
        <f>'QTR Raw'!AB42</f>
        <v>42.274999999999999</v>
      </c>
      <c r="BI71" s="21">
        <f>'QTR Raw'!AC42</f>
        <v>-71.509</v>
      </c>
      <c r="BJ71" s="21">
        <f>'QTR Raw'!AD42</f>
        <v>40.625999999999998</v>
      </c>
      <c r="BK71" s="21">
        <f>'QTR Raw'!AE42</f>
        <v>406.92899999999997</v>
      </c>
      <c r="BL71" s="21">
        <f>'QTR Raw'!AF42</f>
        <v>80.731999999999999</v>
      </c>
      <c r="BM71" s="21">
        <f>'QTR Raw'!AG42</f>
        <v>-59.311999999999998</v>
      </c>
      <c r="BN71" s="21">
        <f>'QTR Raw'!AH42</f>
        <v>54.918999999999997</v>
      </c>
      <c r="BO71" s="21">
        <f>'QTR Raw'!AI42</f>
        <v>140.77799999999999</v>
      </c>
      <c r="BP71" s="21">
        <f>'QTR Raw'!AJ42</f>
        <v>153.03100000000001</v>
      </c>
      <c r="BQ71" s="21">
        <f>'QTR Raw'!AK42</f>
        <v>-19.733000000000001</v>
      </c>
      <c r="BR71" s="21">
        <f>'QTR Raw'!AL42</f>
        <v>129.255</v>
      </c>
      <c r="BS71" s="21">
        <f>'QTR Raw'!AM42</f>
        <v>308.16500000000002</v>
      </c>
      <c r="BT71" s="21">
        <f>'QTR Raw'!AN42</f>
        <v>240.14099999999999</v>
      </c>
      <c r="BU71" s="21">
        <f>'QTR Raw'!AO42</f>
        <v>16.491</v>
      </c>
      <c r="BV71" s="21">
        <f>'QTR Raw'!AP42</f>
        <v>254.20699999999999</v>
      </c>
      <c r="BW71" s="21">
        <f>'QTR Raw'!AQ42</f>
        <v>787.43799999999999</v>
      </c>
      <c r="BX71" s="21">
        <f>'QTR Raw'!AR42</f>
        <v>381.03699999999998</v>
      </c>
      <c r="BY71" s="21">
        <f>'QTR Raw'!AS42</f>
        <v>74.751000000000005</v>
      </c>
      <c r="BZ71" s="21">
        <f>'QTR Raw'!AT42</f>
        <v>429.072</v>
      </c>
      <c r="CA71" s="21">
        <f>'QTR Raw'!AU42</f>
        <v>993.81100000000004</v>
      </c>
      <c r="CB71" s="21">
        <f>'QTR Raw'!AV42</f>
        <v>501.06700000000001</v>
      </c>
      <c r="CC71" s="21">
        <f>'QTR Raw'!AW42</f>
        <v>131.97200000000001</v>
      </c>
      <c r="CD71" s="21">
        <f>'QTR Raw'!AX42</f>
        <v>537.27099999999996</v>
      </c>
      <c r="CE71" s="21">
        <f>'QTR Raw'!AY42</f>
        <v>1252.6030000000001</v>
      </c>
      <c r="CF71" s="21">
        <f>'QTR Raw'!AZ42</f>
        <v>619.61300000000006</v>
      </c>
      <c r="CG71" s="21">
        <f>'QTR Raw'!BA42</f>
        <v>185.14599999999999</v>
      </c>
      <c r="CH71" s="21">
        <f>'QTR Raw'!BB42</f>
        <v>726.48800000000006</v>
      </c>
      <c r="CI71" s="21">
        <f>'QTR Raw'!BC42</f>
        <v>1317.0239999999999</v>
      </c>
      <c r="CJ71" s="21">
        <f>'QTR Raw'!BD42</f>
        <v>741.19</v>
      </c>
      <c r="CK71" s="21">
        <f>'QTR Raw'!BE42</f>
        <v>251.78700000000001</v>
      </c>
      <c r="CL71" s="21">
        <f>'QTR Raw'!BF42</f>
        <v>872.35500000000002</v>
      </c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/>
      <c r="DD71" s="118"/>
    </row>
    <row r="72" spans="1:108" s="24" customFormat="1" x14ac:dyDescent="0.25">
      <c r="A72" s="35" t="s">
        <v>435</v>
      </c>
      <c r="B72" s="24">
        <f t="shared" ref="B72:V72" si="777">B71-B68</f>
        <v>0</v>
      </c>
      <c r="C72" s="24">
        <f>C71-C68</f>
        <v>0</v>
      </c>
      <c r="D72" s="24">
        <f t="shared" si="777"/>
        <v>0</v>
      </c>
      <c r="E72" s="24">
        <f t="shared" si="777"/>
        <v>0</v>
      </c>
      <c r="F72" s="24">
        <f t="shared" si="777"/>
        <v>0</v>
      </c>
      <c r="G72" s="24">
        <f t="shared" si="777"/>
        <v>-5.1514348342607263E-14</v>
      </c>
      <c r="H72" s="24">
        <f t="shared" si="777"/>
        <v>-3.3750779948604759E-14</v>
      </c>
      <c r="I72" s="24">
        <f t="shared" si="777"/>
        <v>0</v>
      </c>
      <c r="J72" s="24">
        <f t="shared" si="777"/>
        <v>6.7501559897209518E-14</v>
      </c>
      <c r="K72" s="24">
        <f t="shared" si="777"/>
        <v>-7.815970093361102E-14</v>
      </c>
      <c r="L72" s="24">
        <f t="shared" si="777"/>
        <v>0</v>
      </c>
      <c r="M72" s="24">
        <f t="shared" si="777"/>
        <v>-1.0391687510491465E-13</v>
      </c>
      <c r="N72" s="24">
        <f t="shared" si="777"/>
        <v>1.9539925233402755E-13</v>
      </c>
      <c r="O72" s="24">
        <f t="shared" si="777"/>
        <v>-7.1054273576010019E-14</v>
      </c>
      <c r="P72" s="24">
        <f t="shared" si="777"/>
        <v>-6.0396132539608516E-14</v>
      </c>
      <c r="Q72" s="24">
        <f t="shared" si="777"/>
        <v>0</v>
      </c>
      <c r="R72" s="24">
        <f t="shared" si="777"/>
        <v>-3.907985046680551E-13</v>
      </c>
      <c r="S72" s="24">
        <f t="shared" si="777"/>
        <v>-5.1159076974727213E-13</v>
      </c>
      <c r="T72" s="24">
        <f t="shared" si="777"/>
        <v>0</v>
      </c>
      <c r="U72" s="24">
        <f t="shared" si="777"/>
        <v>1.1368683772161603E-12</v>
      </c>
      <c r="V72" s="24">
        <f t="shared" si="777"/>
        <v>0</v>
      </c>
      <c r="W72" s="24">
        <f t="shared" ref="W72" si="778">W71-W68</f>
        <v>0</v>
      </c>
      <c r="X72" s="24">
        <f t="shared" ref="X72:Y72" si="779">X71-X68</f>
        <v>0</v>
      </c>
      <c r="Y72" s="24">
        <f t="shared" si="779"/>
        <v>0</v>
      </c>
      <c r="Z72" s="24">
        <f t="shared" ref="Z72" si="780">Z71-Z68</f>
        <v>0</v>
      </c>
      <c r="AA72" s="16">
        <f t="shared" ref="AA72:AD72" si="781">AA71-AA68</f>
        <v>0</v>
      </c>
      <c r="AB72" s="16">
        <f t="shared" si="781"/>
        <v>0</v>
      </c>
      <c r="AC72" s="16">
        <f t="shared" si="781"/>
        <v>0</v>
      </c>
      <c r="AD72" s="16">
        <f t="shared" si="781"/>
        <v>0</v>
      </c>
      <c r="AE72" s="16">
        <f t="shared" ref="AE72" si="782">AE71-AE68</f>
        <v>0</v>
      </c>
      <c r="AI72" s="24">
        <f t="shared" ref="AI72" si="783">AI71-AI68</f>
        <v>0</v>
      </c>
      <c r="AJ72" s="24">
        <f t="shared" ref="AJ72" si="784">AJ71-AJ68</f>
        <v>0</v>
      </c>
      <c r="AK72" s="24">
        <f t="shared" ref="AK72:AM72" si="785">AK71-AK68</f>
        <v>0</v>
      </c>
      <c r="AL72" s="24">
        <f t="shared" si="785"/>
        <v>0</v>
      </c>
      <c r="AM72" s="24">
        <f t="shared" si="785"/>
        <v>0</v>
      </c>
      <c r="AN72" s="24">
        <f t="shared" ref="AN72:AO72" si="786">AN71-AN68</f>
        <v>0</v>
      </c>
      <c r="AO72" s="24">
        <f t="shared" si="786"/>
        <v>0</v>
      </c>
      <c r="AP72" s="24">
        <f t="shared" ref="AP72:CD72" si="787">AP71-AP68</f>
        <v>0</v>
      </c>
      <c r="AQ72" s="24">
        <f t="shared" si="787"/>
        <v>0</v>
      </c>
      <c r="AR72" s="24">
        <f t="shared" si="787"/>
        <v>0</v>
      </c>
      <c r="AS72" s="24">
        <f t="shared" si="787"/>
        <v>0</v>
      </c>
      <c r="AT72" s="24">
        <f t="shared" si="787"/>
        <v>0</v>
      </c>
      <c r="AU72" s="24">
        <f t="shared" si="787"/>
        <v>0</v>
      </c>
      <c r="AV72" s="24">
        <f t="shared" si="787"/>
        <v>0</v>
      </c>
      <c r="AW72" s="24">
        <f t="shared" si="787"/>
        <v>0</v>
      </c>
      <c r="AX72" s="24">
        <f t="shared" si="787"/>
        <v>9.9475983006414026E-14</v>
      </c>
      <c r="AY72" s="24">
        <f t="shared" si="787"/>
        <v>0</v>
      </c>
      <c r="AZ72" s="24">
        <f t="shared" si="787"/>
        <v>-8.5265128291212022E-14</v>
      </c>
      <c r="BA72" s="24">
        <f t="shared" si="787"/>
        <v>0</v>
      </c>
      <c r="BB72" s="24">
        <f t="shared" si="787"/>
        <v>1.2789769243681803E-13</v>
      </c>
      <c r="BC72" s="24">
        <f t="shared" si="787"/>
        <v>0</v>
      </c>
      <c r="BD72" s="24">
        <f t="shared" si="787"/>
        <v>8.5265128291212022E-14</v>
      </c>
      <c r="BE72" s="24">
        <f t="shared" si="787"/>
        <v>0</v>
      </c>
      <c r="BF72" s="24">
        <f t="shared" si="787"/>
        <v>4.6185277824406512E-14</v>
      </c>
      <c r="BG72" s="24">
        <f t="shared" si="787"/>
        <v>-5.1159076974727213E-13</v>
      </c>
      <c r="BH72" s="24">
        <f t="shared" si="787"/>
        <v>0</v>
      </c>
      <c r="BI72" s="24">
        <f t="shared" si="787"/>
        <v>1.2789769243681803E-13</v>
      </c>
      <c r="BJ72" s="24">
        <f t="shared" si="787"/>
        <v>0</v>
      </c>
      <c r="BK72" s="24">
        <f t="shared" si="787"/>
        <v>0</v>
      </c>
      <c r="BL72" s="24">
        <f t="shared" si="787"/>
        <v>1.9895196601282805E-13</v>
      </c>
      <c r="BM72" s="24">
        <f t="shared" si="787"/>
        <v>-5.6843418860808015E-14</v>
      </c>
      <c r="BN72" s="24">
        <f t="shared" si="787"/>
        <v>-9.9475983006414026E-14</v>
      </c>
      <c r="BO72" s="24">
        <f t="shared" si="787"/>
        <v>0</v>
      </c>
      <c r="BP72" s="24">
        <f t="shared" si="787"/>
        <v>2.5579538487363607E-13</v>
      </c>
      <c r="BQ72" s="24">
        <f t="shared" si="787"/>
        <v>3.2329694477084558E-13</v>
      </c>
      <c r="BR72" s="24">
        <f t="shared" si="787"/>
        <v>0</v>
      </c>
      <c r="BS72" s="24">
        <f t="shared" si="787"/>
        <v>0</v>
      </c>
      <c r="BT72" s="24">
        <f t="shared" si="787"/>
        <v>0</v>
      </c>
      <c r="BU72" s="24">
        <f t="shared" si="787"/>
        <v>-1.0302869668521453E-13</v>
      </c>
      <c r="BV72" s="24">
        <f t="shared" si="787"/>
        <v>4.5474735088646412E-13</v>
      </c>
      <c r="BW72" s="24">
        <f t="shared" si="787"/>
        <v>0</v>
      </c>
      <c r="BX72" s="24">
        <f t="shared" si="787"/>
        <v>0</v>
      </c>
      <c r="BY72" s="24">
        <f t="shared" si="787"/>
        <v>1.1368683772161603E-13</v>
      </c>
      <c r="BZ72" s="24">
        <f t="shared" si="787"/>
        <v>0</v>
      </c>
      <c r="CA72" s="24">
        <f t="shared" si="787"/>
        <v>-9.0949470177292824E-13</v>
      </c>
      <c r="CB72" s="24">
        <f t="shared" si="787"/>
        <v>0</v>
      </c>
      <c r="CC72" s="24">
        <f t="shared" si="787"/>
        <v>4.2632564145606011E-13</v>
      </c>
      <c r="CD72" s="24">
        <f t="shared" si="787"/>
        <v>1.1368683772161603E-12</v>
      </c>
      <c r="CE72" s="24">
        <f t="shared" ref="CE72:CF72" si="788">CE71-CE68</f>
        <v>0</v>
      </c>
      <c r="CF72" s="24">
        <f t="shared" si="788"/>
        <v>0</v>
      </c>
      <c r="CG72" s="24">
        <f t="shared" ref="CG72:CH72" si="789">CG71-CG68</f>
        <v>0</v>
      </c>
      <c r="CH72" s="24">
        <f t="shared" si="789"/>
        <v>0</v>
      </c>
      <c r="CI72" s="24">
        <f t="shared" ref="CI72:CJ72" si="790">CI71-CI68</f>
        <v>0</v>
      </c>
      <c r="CJ72" s="24">
        <f t="shared" si="790"/>
        <v>0</v>
      </c>
      <c r="CK72" s="24">
        <f t="shared" ref="CK72:CL72" si="791">CK71-CK68</f>
        <v>0</v>
      </c>
      <c r="CL72" s="24">
        <f t="shared" si="791"/>
        <v>0</v>
      </c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/>
      <c r="DD72" s="118"/>
    </row>
    <row r="73" spans="1:108" s="1" customFormat="1" x14ac:dyDescent="0.25">
      <c r="A73" s="149" t="s">
        <v>488</v>
      </c>
      <c r="AA73" s="19"/>
      <c r="AB73" s="19"/>
      <c r="AC73" s="19"/>
      <c r="AD73" s="19"/>
      <c r="AE73" s="19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/>
      <c r="DD73" s="118"/>
    </row>
    <row r="74" spans="1:108" s="37" customFormat="1" x14ac:dyDescent="0.25">
      <c r="A74" s="37" t="s">
        <v>350</v>
      </c>
      <c r="B74" s="38" t="e">
        <f t="shared" ref="B74:AE74" si="792">(B68-B67)/B140</f>
        <v>#DIV/0!</v>
      </c>
      <c r="C74" s="38" t="e">
        <f t="shared" si="792"/>
        <v>#DIV/0!</v>
      </c>
      <c r="D74" s="38" t="e">
        <f t="shared" si="792"/>
        <v>#DIV/0!</v>
      </c>
      <c r="E74" s="38" t="e">
        <f t="shared" si="792"/>
        <v>#DIV/0!</v>
      </c>
      <c r="F74" s="38">
        <f t="shared" si="792"/>
        <v>0.12258397663058125</v>
      </c>
      <c r="G74" s="38">
        <f t="shared" si="792"/>
        <v>6.8047014761421262E-2</v>
      </c>
      <c r="H74" s="38">
        <f t="shared" si="792"/>
        <v>8.1586409048425457E-2</v>
      </c>
      <c r="I74" s="38">
        <f t="shared" si="792"/>
        <v>0.10906992280178428</v>
      </c>
      <c r="J74" s="38">
        <f t="shared" si="792"/>
        <v>0.10161741229883302</v>
      </c>
      <c r="K74" s="38">
        <f t="shared" si="792"/>
        <v>0.11391708228964219</v>
      </c>
      <c r="L74" s="38">
        <f t="shared" si="792"/>
        <v>0.13213092399924842</v>
      </c>
      <c r="M74" s="38">
        <f t="shared" si="792"/>
        <v>7.0553343551884265E-2</v>
      </c>
      <c r="N74" s="38">
        <f t="shared" si="792"/>
        <v>0.14630849018122372</v>
      </c>
      <c r="O74" s="38">
        <f t="shared" si="792"/>
        <v>-0.18355567731719857</v>
      </c>
      <c r="P74" s="38">
        <f t="shared" si="792"/>
        <v>-5.8750488227166817E-2</v>
      </c>
      <c r="Q74" s="38">
        <f t="shared" si="792"/>
        <v>0.16764920055110874</v>
      </c>
      <c r="R74" s="38">
        <f t="shared" si="792"/>
        <v>2.5021330365288273E-2</v>
      </c>
      <c r="S74" s="38">
        <f t="shared" si="792"/>
        <v>0.11876945543983733</v>
      </c>
      <c r="T74" s="38">
        <f t="shared" si="792"/>
        <v>0.1465301045181796</v>
      </c>
      <c r="U74" s="38">
        <f t="shared" si="792"/>
        <v>0.14090010221059676</v>
      </c>
      <c r="V74" s="38">
        <f t="shared" si="792"/>
        <v>0.11223719857060196</v>
      </c>
      <c r="W74" s="38">
        <f t="shared" si="792"/>
        <v>0.17011462023163254</v>
      </c>
      <c r="X74" s="38">
        <f t="shared" si="792"/>
        <v>0.293477357625265</v>
      </c>
      <c r="Y74" s="38">
        <f t="shared" si="792"/>
        <v>0.29639192572390316</v>
      </c>
      <c r="Z74" s="38">
        <f t="shared" si="792"/>
        <v>0.15621070850342333</v>
      </c>
      <c r="AA74" s="39">
        <f t="shared" si="792"/>
        <v>0.15509141973850737</v>
      </c>
      <c r="AB74" s="39">
        <f t="shared" si="792"/>
        <v>0.1425708632220056</v>
      </c>
      <c r="AC74" s="39">
        <f t="shared" si="792"/>
        <v>0.15802846716042676</v>
      </c>
      <c r="AD74" s="39">
        <f t="shared" si="792"/>
        <v>0.1453331472437342</v>
      </c>
      <c r="AE74" s="39">
        <f t="shared" si="792"/>
        <v>0.15584369787848942</v>
      </c>
      <c r="AF74" s="38"/>
      <c r="AG74" s="38"/>
      <c r="AH74" s="38"/>
      <c r="AI74" s="38"/>
      <c r="AJ74" s="38"/>
      <c r="AK74" s="38"/>
      <c r="AL74" s="38" t="e">
        <f t="shared" ref="AL74:BQ74" si="793">(SUM(AI68:AL68)-SUM(AI67:AL67))/AL140</f>
        <v>#DIV/0!</v>
      </c>
      <c r="AM74" s="38" t="e">
        <f t="shared" si="793"/>
        <v>#DIV/0!</v>
      </c>
      <c r="AN74" s="38" t="e">
        <f t="shared" si="793"/>
        <v>#DIV/0!</v>
      </c>
      <c r="AO74" s="38" t="e">
        <f t="shared" si="793"/>
        <v>#DIV/0!</v>
      </c>
      <c r="AP74" s="38" t="e">
        <f t="shared" si="793"/>
        <v>#DIV/0!</v>
      </c>
      <c r="AQ74" s="38" t="e">
        <f t="shared" si="793"/>
        <v>#DIV/0!</v>
      </c>
      <c r="AR74" s="38" t="e">
        <f t="shared" si="793"/>
        <v>#DIV/0!</v>
      </c>
      <c r="AS74" s="38" t="e">
        <f t="shared" si="793"/>
        <v>#DIV/0!</v>
      </c>
      <c r="AT74" s="38" t="e">
        <f t="shared" si="793"/>
        <v>#DIV/0!</v>
      </c>
      <c r="AU74" s="38" t="e">
        <f t="shared" si="793"/>
        <v>#DIV/0!</v>
      </c>
      <c r="AV74" s="38" t="e">
        <f t="shared" si="793"/>
        <v>#DIV/0!</v>
      </c>
      <c r="AW74" s="38">
        <f t="shared" si="793"/>
        <v>-0.14645464697742921</v>
      </c>
      <c r="AX74" s="38">
        <f t="shared" si="793"/>
        <v>-0.24183000236148022</v>
      </c>
      <c r="AY74" s="38" t="e">
        <f t="shared" si="793"/>
        <v>#DIV/0!</v>
      </c>
      <c r="AZ74" s="38">
        <f t="shared" si="793"/>
        <v>6.09967970494026</v>
      </c>
      <c r="BA74" s="38">
        <f t="shared" si="793"/>
        <v>2.2375383276650406E-2</v>
      </c>
      <c r="BB74" s="38">
        <f t="shared" si="793"/>
        <v>5.1976032132745126E-2</v>
      </c>
      <c r="BC74" s="38">
        <f t="shared" si="793"/>
        <v>7.6149427611933357E-2</v>
      </c>
      <c r="BD74" s="38">
        <f t="shared" si="793"/>
        <v>8.6786813839004037E-2</v>
      </c>
      <c r="BE74" s="38">
        <f t="shared" si="793"/>
        <v>0.11876945543983693</v>
      </c>
      <c r="BF74" s="38">
        <f t="shared" si="793"/>
        <v>0.1254309139514333</v>
      </c>
      <c r="BG74" s="38">
        <f t="shared" si="793"/>
        <v>0.13417324781995599</v>
      </c>
      <c r="BH74" s="38">
        <f t="shared" si="793"/>
        <v>0.13590846997720166</v>
      </c>
      <c r="BI74" s="38">
        <f t="shared" si="793"/>
        <v>0.14653010451817974</v>
      </c>
      <c r="BJ74" s="38">
        <f t="shared" si="793"/>
        <v>0.15439672801636009</v>
      </c>
      <c r="BK74" s="38">
        <f t="shared" si="793"/>
        <v>0.16735403863871939</v>
      </c>
      <c r="BL74" s="38">
        <f t="shared" si="793"/>
        <v>0.17702179046322791</v>
      </c>
      <c r="BM74" s="38">
        <f t="shared" si="793"/>
        <v>0.14090010221059704</v>
      </c>
      <c r="BN74" s="38">
        <f t="shared" si="793"/>
        <v>0.16250120812534122</v>
      </c>
      <c r="BO74" s="38">
        <f t="shared" si="793"/>
        <v>8.2030889627638381E-2</v>
      </c>
      <c r="BP74" s="38">
        <f t="shared" si="793"/>
        <v>9.8577167661914433E-2</v>
      </c>
      <c r="BQ74" s="38">
        <f t="shared" si="793"/>
        <v>0.11223719857060183</v>
      </c>
      <c r="BR74" s="38">
        <f t="shared" ref="BR74:CW74" si="794">(SUM(BO68:BR68)-SUM(BO67:BR67))/BR140</f>
        <v>0.11040315816904135</v>
      </c>
      <c r="BS74" s="38">
        <f t="shared" si="794"/>
        <v>0.14406315456804866</v>
      </c>
      <c r="BT74" s="38">
        <f t="shared" si="794"/>
        <v>0.15656148679958196</v>
      </c>
      <c r="BU74" s="38">
        <f t="shared" si="794"/>
        <v>0.17011462023163273</v>
      </c>
      <c r="BV74" s="38">
        <f t="shared" si="794"/>
        <v>0.18896683636682454</v>
      </c>
      <c r="BW74" s="38">
        <f t="shared" si="794"/>
        <v>0.26963983969614047</v>
      </c>
      <c r="BX74" s="38">
        <f t="shared" si="794"/>
        <v>0.27698280160888605</v>
      </c>
      <c r="BY74" s="38">
        <f t="shared" si="794"/>
        <v>0.293477357625265</v>
      </c>
      <c r="BZ74" s="38">
        <f t="shared" si="794"/>
        <v>0.30232532072953006</v>
      </c>
      <c r="CA74" s="38">
        <f t="shared" si="794"/>
        <v>0.28953638170876128</v>
      </c>
      <c r="CB74" s="38">
        <f t="shared" si="794"/>
        <v>0.28595290499506715</v>
      </c>
      <c r="CC74" s="38">
        <f t="shared" si="794"/>
        <v>0.29639192572390288</v>
      </c>
      <c r="CD74" s="38">
        <f t="shared" si="794"/>
        <v>0.28956220081193301</v>
      </c>
      <c r="CE74" s="38">
        <f t="shared" si="794"/>
        <v>0.28246433861683773</v>
      </c>
      <c r="CF74" s="38">
        <f t="shared" si="794"/>
        <v>0.27632426585878406</v>
      </c>
      <c r="CG74" s="38">
        <f t="shared" si="794"/>
        <v>0.15621070850342322</v>
      </c>
      <c r="CH74" s="38">
        <f t="shared" si="794"/>
        <v>0.16057909881199661</v>
      </c>
      <c r="CI74" s="38">
        <f t="shared" si="794"/>
        <v>0.1551065046829212</v>
      </c>
      <c r="CJ74" s="38">
        <f t="shared" si="794"/>
        <v>0.15545268516121372</v>
      </c>
      <c r="CK74" s="38">
        <f t="shared" ref="CK74" si="795">(SUM(CH68:CK68)-SUM(CH67:CK67))/CK140</f>
        <v>0.15509141973850768</v>
      </c>
      <c r="CL74" s="38">
        <f t="shared" ref="CL74" si="796">(SUM(CI68:CL68)-SUM(CI67:CL67))/CL140</f>
        <v>0.15560837216302592</v>
      </c>
      <c r="CM74" s="39">
        <f t="shared" si="794"/>
        <v>0.13878570845242405</v>
      </c>
      <c r="CN74" s="39">
        <f t="shared" si="794"/>
        <v>0.1318727630774692</v>
      </c>
      <c r="CO74" s="39">
        <f t="shared" si="794"/>
        <v>0.14257086322200574</v>
      </c>
      <c r="CP74" s="39">
        <f t="shared" si="794"/>
        <v>0.14786670623146031</v>
      </c>
      <c r="CQ74" s="39">
        <f t="shared" si="794"/>
        <v>0.15026032162792777</v>
      </c>
      <c r="CR74" s="39">
        <f t="shared" si="794"/>
        <v>0.15459084456093777</v>
      </c>
      <c r="CS74" s="39">
        <f t="shared" si="794"/>
        <v>0.15802846716042679</v>
      </c>
      <c r="CT74" s="39">
        <f t="shared" si="794"/>
        <v>0.15409254152866311</v>
      </c>
      <c r="CU74" s="39">
        <f t="shared" si="794"/>
        <v>0.14942716503801945</v>
      </c>
      <c r="CV74" s="39">
        <f t="shared" si="794"/>
        <v>0.14648366113340308</v>
      </c>
      <c r="CW74" s="39">
        <f t="shared" si="794"/>
        <v>0.1453331472437342</v>
      </c>
      <c r="CX74" s="39">
        <f t="shared" ref="CX74:DA74" si="797">(SUM(CU68:CX68)-SUM(CU67:CX67))/CX140</f>
        <v>0.14806649136584329</v>
      </c>
      <c r="CY74" s="39">
        <f t="shared" si="797"/>
        <v>0.15081036111446827</v>
      </c>
      <c r="CZ74" s="39">
        <f t="shared" si="797"/>
        <v>0.15343266996111091</v>
      </c>
      <c r="DA74" s="39">
        <f t="shared" si="797"/>
        <v>0.15584369787848934</v>
      </c>
      <c r="DB74"/>
      <c r="DD74" s="121"/>
    </row>
    <row r="75" spans="1:108" s="37" customFormat="1" x14ac:dyDescent="0.25">
      <c r="A75" s="37" t="s">
        <v>351</v>
      </c>
      <c r="B75" s="38" t="e">
        <f t="shared" ref="B75:AE75" si="798">+B54/B149</f>
        <v>#DIV/0!</v>
      </c>
      <c r="C75" s="38" t="e">
        <f t="shared" si="798"/>
        <v>#DIV/0!</v>
      </c>
      <c r="D75" s="38" t="e">
        <f t="shared" si="798"/>
        <v>#DIV/0!</v>
      </c>
      <c r="E75" s="38" t="e">
        <f t="shared" si="798"/>
        <v>#DIV/0!</v>
      </c>
      <c r="F75" s="38">
        <f t="shared" si="798"/>
        <v>0.1352272175034003</v>
      </c>
      <c r="G75" s="38">
        <f t="shared" si="798"/>
        <v>9.8745604435767936E-2</v>
      </c>
      <c r="H75" s="38">
        <f t="shared" si="798"/>
        <v>9.2501629418767883E-2</v>
      </c>
      <c r="I75" s="38">
        <f t="shared" si="798"/>
        <v>0.12603587593401425</v>
      </c>
      <c r="J75" s="38">
        <f t="shared" si="798"/>
        <v>9.707160416266096E-2</v>
      </c>
      <c r="K75" s="38">
        <f t="shared" si="798"/>
        <v>9.4549650217491024E-2</v>
      </c>
      <c r="L75" s="38">
        <f t="shared" si="798"/>
        <v>9.7142375452010946E-2</v>
      </c>
      <c r="M75" s="38">
        <f t="shared" si="798"/>
        <v>8.3820610079496025E-2</v>
      </c>
      <c r="N75" s="38">
        <f t="shared" si="798"/>
        <v>4.3879827789657808E-2</v>
      </c>
      <c r="O75" s="38">
        <f t="shared" si="798"/>
        <v>4.2485435886885609E-2</v>
      </c>
      <c r="P75" s="38">
        <f t="shared" si="798"/>
        <v>6.3966954672521323E-2</v>
      </c>
      <c r="Q75" s="38">
        <f t="shared" si="798"/>
        <v>0.11666827783758087</v>
      </c>
      <c r="R75" s="38">
        <f t="shared" si="798"/>
        <v>0.12216511092129158</v>
      </c>
      <c r="S75" s="38">
        <f t="shared" si="798"/>
        <v>0.111198005833958</v>
      </c>
      <c r="T75" s="38">
        <f t="shared" si="798"/>
        <v>0.13122948880370924</v>
      </c>
      <c r="U75" s="38">
        <f t="shared" si="798"/>
        <v>0.14369135604611014</v>
      </c>
      <c r="V75" s="38">
        <f t="shared" si="798"/>
        <v>0.10078043624957971</v>
      </c>
      <c r="W75" s="38">
        <f t="shared" si="798"/>
        <v>0.15197148220781809</v>
      </c>
      <c r="X75" s="38">
        <f t="shared" si="798"/>
        <v>0.24565741284327267</v>
      </c>
      <c r="Y75" s="38">
        <f t="shared" si="798"/>
        <v>0.24041578168977401</v>
      </c>
      <c r="Z75" s="38">
        <f t="shared" si="798"/>
        <v>0.19871110087469049</v>
      </c>
      <c r="AA75" s="39">
        <f t="shared" si="798"/>
        <v>0.17610351336273855</v>
      </c>
      <c r="AB75" s="39">
        <f t="shared" si="798"/>
        <v>0.16722909721386953</v>
      </c>
      <c r="AC75" s="39">
        <f t="shared" si="798"/>
        <v>0.18007848561972972</v>
      </c>
      <c r="AD75" s="39">
        <f t="shared" si="798"/>
        <v>0.16508062052674477</v>
      </c>
      <c r="AE75" s="39">
        <f t="shared" si="798"/>
        <v>0.17607949016493971</v>
      </c>
      <c r="AF75" s="38"/>
      <c r="AG75" s="38"/>
      <c r="AH75" s="38"/>
      <c r="AI75" s="38"/>
      <c r="AJ75" s="38"/>
      <c r="AK75" s="38"/>
      <c r="AL75" s="38" t="e">
        <f t="shared" ref="AL75:BQ75" si="799">+SUM(AI54:AL54)/AL149</f>
        <v>#DIV/0!</v>
      </c>
      <c r="AM75" s="38" t="e">
        <f t="shared" si="799"/>
        <v>#DIV/0!</v>
      </c>
      <c r="AN75" s="38" t="e">
        <f t="shared" si="799"/>
        <v>#DIV/0!</v>
      </c>
      <c r="AO75" s="38" t="e">
        <f t="shared" si="799"/>
        <v>#DIV/0!</v>
      </c>
      <c r="AP75" s="38" t="e">
        <f t="shared" si="799"/>
        <v>#DIV/0!</v>
      </c>
      <c r="AQ75" s="38" t="e">
        <f t="shared" si="799"/>
        <v>#DIV/0!</v>
      </c>
      <c r="AR75" s="38" t="e">
        <f t="shared" si="799"/>
        <v>#DIV/0!</v>
      </c>
      <c r="AS75" s="38" t="e">
        <f t="shared" si="799"/>
        <v>#DIV/0!</v>
      </c>
      <c r="AT75" s="38" t="e">
        <f t="shared" si="799"/>
        <v>#DIV/0!</v>
      </c>
      <c r="AU75" s="38" t="e">
        <f t="shared" si="799"/>
        <v>#DIV/0!</v>
      </c>
      <c r="AV75" s="38" t="e">
        <f t="shared" si="799"/>
        <v>#DIV/0!</v>
      </c>
      <c r="AW75" s="38">
        <f t="shared" si="799"/>
        <v>-3.4045059308724583E-2</v>
      </c>
      <c r="AX75" s="38">
        <f t="shared" si="799"/>
        <v>-1.7646109756187047E-2</v>
      </c>
      <c r="AY75" s="38" t="e">
        <f t="shared" si="799"/>
        <v>#DIV/0!</v>
      </c>
      <c r="AZ75" s="38">
        <f t="shared" si="799"/>
        <v>42.927108609142614</v>
      </c>
      <c r="BA75" s="38">
        <f t="shared" si="799"/>
        <v>0.14520146991666591</v>
      </c>
      <c r="BB75" s="38">
        <f t="shared" si="799"/>
        <v>0.14963556820080814</v>
      </c>
      <c r="BC75" s="38">
        <f t="shared" si="799"/>
        <v>0.13536014791508141</v>
      </c>
      <c r="BD75" s="38">
        <f t="shared" si="799"/>
        <v>0.13435206468332569</v>
      </c>
      <c r="BE75" s="38">
        <f t="shared" si="799"/>
        <v>0.12566877950150657</v>
      </c>
      <c r="BF75" s="38">
        <f t="shared" si="799"/>
        <v>0.13144676265170518</v>
      </c>
      <c r="BG75" s="38">
        <f t="shared" si="799"/>
        <v>0.14694326583361073</v>
      </c>
      <c r="BH75" s="38">
        <f t="shared" si="799"/>
        <v>0.1488073123447447</v>
      </c>
      <c r="BI75" s="38">
        <f t="shared" si="799"/>
        <v>0.14241924144751744</v>
      </c>
      <c r="BJ75" s="38">
        <f t="shared" si="799"/>
        <v>0.14966755376511318</v>
      </c>
      <c r="BK75" s="38">
        <f t="shared" si="799"/>
        <v>0.14707451986156048</v>
      </c>
      <c r="BL75" s="38">
        <f t="shared" si="799"/>
        <v>0.15993776240962571</v>
      </c>
      <c r="BM75" s="38">
        <f t="shared" si="799"/>
        <v>0.15514109463990972</v>
      </c>
      <c r="BN75" s="38">
        <f t="shared" si="799"/>
        <v>0.15645060169484731</v>
      </c>
      <c r="BO75" s="38">
        <f t="shared" si="799"/>
        <v>9.7751354835192594E-2</v>
      </c>
      <c r="BP75" s="38">
        <f t="shared" si="799"/>
        <v>0.10328409424578845</v>
      </c>
      <c r="BQ75" s="38">
        <f t="shared" si="799"/>
        <v>0.10715332310666728</v>
      </c>
      <c r="BR75" s="38">
        <f t="shared" ref="BR75:CW75" si="800">+SUM(BO54:BR54)/BR149</f>
        <v>0.12228512285066694</v>
      </c>
      <c r="BS75" s="38">
        <f t="shared" si="800"/>
        <v>0.16832760918766038</v>
      </c>
      <c r="BT75" s="38">
        <f t="shared" si="800"/>
        <v>0.17988258705905555</v>
      </c>
      <c r="BU75" s="38">
        <f t="shared" si="800"/>
        <v>0.14901761496045951</v>
      </c>
      <c r="BV75" s="38">
        <f t="shared" si="800"/>
        <v>0.16376144181314056</v>
      </c>
      <c r="BW75" s="38">
        <f t="shared" si="800"/>
        <v>0.26388544709354156</v>
      </c>
      <c r="BX75" s="38">
        <f t="shared" si="800"/>
        <v>0.27545949758627986</v>
      </c>
      <c r="BY75" s="38">
        <f t="shared" si="800"/>
        <v>0.24364120665311001</v>
      </c>
      <c r="BZ75" s="38">
        <f t="shared" si="800"/>
        <v>0.25666364469298847</v>
      </c>
      <c r="CA75" s="38">
        <f t="shared" si="800"/>
        <v>0.26108264422086513</v>
      </c>
      <c r="CB75" s="38">
        <f t="shared" si="800"/>
        <v>0.26435061081522643</v>
      </c>
      <c r="CC75" s="38">
        <f t="shared" si="800"/>
        <v>0.23850227705097471</v>
      </c>
      <c r="CD75" s="38">
        <f t="shared" si="800"/>
        <v>0.24219020590246287</v>
      </c>
      <c r="CE75" s="38">
        <f t="shared" si="800"/>
        <v>0.23370515678476073</v>
      </c>
      <c r="CF75" s="38">
        <f t="shared" si="800"/>
        <v>0.23615641879387578</v>
      </c>
      <c r="CG75" s="38">
        <f t="shared" si="800"/>
        <v>0.19701134323358044</v>
      </c>
      <c r="CH75" s="38">
        <f t="shared" si="800"/>
        <v>0.1993854583178099</v>
      </c>
      <c r="CI75" s="38">
        <f t="shared" si="800"/>
        <v>0.19352713820097156</v>
      </c>
      <c r="CJ75" s="38">
        <f t="shared" si="800"/>
        <v>0.18403684148397451</v>
      </c>
      <c r="CK75" s="38">
        <f t="shared" ref="CK75" si="801">+SUM(CH54:CK54)/CK149</f>
        <v>0.17610351336273886</v>
      </c>
      <c r="CL75" s="38">
        <f t="shared" ref="CL75" si="802">+SUM(CI54:CL54)/CL149</f>
        <v>0.17729875596738487</v>
      </c>
      <c r="CM75" s="39">
        <f t="shared" si="800"/>
        <v>0.15899361172938592</v>
      </c>
      <c r="CN75" s="39">
        <f t="shared" si="800"/>
        <v>0.15548774963569137</v>
      </c>
      <c r="CO75" s="39">
        <f t="shared" si="800"/>
        <v>0.16722909721386969</v>
      </c>
      <c r="CP75" s="39">
        <f t="shared" si="800"/>
        <v>0.17058195267127108</v>
      </c>
      <c r="CQ75" s="39">
        <f t="shared" si="800"/>
        <v>0.17318948491698855</v>
      </c>
      <c r="CR75" s="39">
        <f t="shared" si="800"/>
        <v>0.17749994439744143</v>
      </c>
      <c r="CS75" s="39">
        <f t="shared" si="800"/>
        <v>0.18007848561972972</v>
      </c>
      <c r="CT75" s="39">
        <f t="shared" si="800"/>
        <v>0.17556222951146994</v>
      </c>
      <c r="CU75" s="39">
        <f t="shared" si="800"/>
        <v>0.17016890685253802</v>
      </c>
      <c r="CV75" s="39">
        <f t="shared" si="800"/>
        <v>0.16646010673895889</v>
      </c>
      <c r="CW75" s="39">
        <f t="shared" si="800"/>
        <v>0.16508062052674477</v>
      </c>
      <c r="CX75" s="39">
        <f t="shared" ref="CX75:DA75" si="803">+SUM(CU54:CX54)/CX149</f>
        <v>0.16798865069070432</v>
      </c>
      <c r="CY75" s="39">
        <f t="shared" si="803"/>
        <v>0.17129469717346574</v>
      </c>
      <c r="CZ75" s="39">
        <f t="shared" si="803"/>
        <v>0.17395260800407297</v>
      </c>
      <c r="DA75" s="39">
        <f t="shared" si="803"/>
        <v>0.17607949016493965</v>
      </c>
      <c r="DB75"/>
      <c r="DD75" s="121"/>
    </row>
    <row r="76" spans="1:108" s="1" customFormat="1" x14ac:dyDescent="0.25">
      <c r="A76" s="149" t="s">
        <v>489</v>
      </c>
      <c r="AA76" s="19"/>
      <c r="AB76" s="19"/>
      <c r="AC76" s="19"/>
      <c r="AD76" s="19"/>
      <c r="AE76" s="19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/>
      <c r="DD76" s="118"/>
    </row>
    <row r="77" spans="1:108" s="8" customFormat="1" x14ac:dyDescent="0.25">
      <c r="A77" s="12" t="s">
        <v>26</v>
      </c>
      <c r="AA77" s="57"/>
      <c r="AB77" s="57"/>
      <c r="AC77" s="57"/>
      <c r="AD77" s="57"/>
      <c r="AE77" s="57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/>
      <c r="DD77" s="131"/>
    </row>
    <row r="78" spans="1:108" s="9" customFormat="1" x14ac:dyDescent="0.25">
      <c r="A78" s="9" t="s">
        <v>453</v>
      </c>
      <c r="N78" s="9">
        <f>N30-SUM(AI30:AL30)</f>
        <v>1799.9939999999999</v>
      </c>
      <c r="R78" s="9">
        <f>R30-SUM(AX30:BA30)</f>
        <v>0</v>
      </c>
      <c r="S78" s="9">
        <f>S30-SUM(BB30:BE30)</f>
        <v>0</v>
      </c>
      <c r="T78" s="9">
        <f>T30-SUM(BF30:BI30)</f>
        <v>0</v>
      </c>
      <c r="U78" s="9">
        <f>U30-SUM(BJ30:BM30)</f>
        <v>0</v>
      </c>
      <c r="V78" s="9">
        <f>V30-SUM(BN30:BQ30)</f>
        <v>0</v>
      </c>
      <c r="W78" s="9">
        <f>W30-SUM(BR30:BU30)</f>
        <v>0</v>
      </c>
      <c r="X78" s="9">
        <f>X30-SUM(BV30:BY30)</f>
        <v>0</v>
      </c>
      <c r="Y78" s="9">
        <f>Y30-SUM(BZ30:CC30)</f>
        <v>0</v>
      </c>
      <c r="Z78" s="9">
        <f>Z30-SUM(CD30:CG30)</f>
        <v>0</v>
      </c>
      <c r="AA78" s="71">
        <f>AA30-SUM(CH30:CK30)</f>
        <v>0</v>
      </c>
      <c r="AB78" s="71">
        <f>AB30-SUM(CL30:CO30)</f>
        <v>0</v>
      </c>
      <c r="AC78" s="71">
        <f>AC30-SUM(CP30:CS30)</f>
        <v>0</v>
      </c>
      <c r="AD78" s="71">
        <f>AD30-SUM(CT30:CW30)</f>
        <v>0</v>
      </c>
      <c r="AE78" s="71">
        <f>AE30-SUM(CX30:DA30)</f>
        <v>0</v>
      </c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/>
      <c r="DD78" s="132"/>
    </row>
    <row r="79" spans="1:108" s="9" customFormat="1" x14ac:dyDescent="0.25">
      <c r="A79" s="9" t="s">
        <v>454</v>
      </c>
      <c r="N79" s="9">
        <f>N36-SUM(AI36:AL36)</f>
        <v>772.20999999999981</v>
      </c>
      <c r="R79" s="9">
        <f>R36-SUM(AX36:BA36)</f>
        <v>0</v>
      </c>
      <c r="S79" s="9">
        <f>S36-SUM(BB36:BE36)</f>
        <v>0</v>
      </c>
      <c r="T79" s="9">
        <f>T36-SUM(BF36:BI36)</f>
        <v>0</v>
      </c>
      <c r="U79" s="9">
        <f>U36-SUM(BJ36:BM36)</f>
        <v>0</v>
      </c>
      <c r="V79" s="9">
        <f>V36-SUM(BN36:BQ36)</f>
        <v>0</v>
      </c>
      <c r="W79" s="9">
        <f>W36-SUM(BR36:BU36)</f>
        <v>0</v>
      </c>
      <c r="X79" s="9">
        <f>X36-SUM(BV36:BY36)</f>
        <v>0</v>
      </c>
      <c r="Y79" s="9">
        <f>Y36-SUM(BZ36:CC36)</f>
        <v>0</v>
      </c>
      <c r="Z79" s="9">
        <f>Z36-SUM(CD36:CG36)</f>
        <v>0</v>
      </c>
      <c r="AA79" s="71">
        <f>AA36-SUM(CH36:CK36)</f>
        <v>0</v>
      </c>
      <c r="AB79" s="71">
        <f>AB36-SUM(CL36:CO36)</f>
        <v>0</v>
      </c>
      <c r="AC79" s="71">
        <f>AC36-SUM(CP36:CS36)</f>
        <v>0</v>
      </c>
      <c r="AD79" s="71">
        <f>AD36-SUM(CT36:CW36)</f>
        <v>0</v>
      </c>
      <c r="AE79" s="71">
        <f>AE36-SUM(CX36:DA36)</f>
        <v>0</v>
      </c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/>
      <c r="DD79" s="132"/>
    </row>
    <row r="80" spans="1:108" s="9" customFormat="1" x14ac:dyDescent="0.25">
      <c r="A80" s="9" t="s">
        <v>455</v>
      </c>
      <c r="N80" s="9">
        <f>N48-SUM(AI48:AL48)</f>
        <v>228.45599999999979</v>
      </c>
      <c r="R80" s="9">
        <f>R48-SUM(AX48:BA48)</f>
        <v>12.320000000000391</v>
      </c>
      <c r="S80" s="9">
        <f>S48-SUM(BB48:BE48)</f>
        <v>12.533000000000811</v>
      </c>
      <c r="T80" s="9">
        <f>T48-SUM(BF48:BI48)</f>
        <v>10.239999999999668</v>
      </c>
      <c r="U80" s="9">
        <f>U48-SUM(BJ48:BM48)</f>
        <v>14.666999999999007</v>
      </c>
      <c r="V80" s="9">
        <f>V48-SUM(BN48:BQ48)</f>
        <v>12.636000000000649</v>
      </c>
      <c r="W80" s="9">
        <f>W48-SUM(BR48:BU48)</f>
        <v>22.26799999999912</v>
      </c>
      <c r="X80" s="9">
        <f>X48-SUM(BV48:BY48)</f>
        <v>17.965000000000146</v>
      </c>
      <c r="Y80" s="9">
        <f>Y48-SUM(BZ48:CC48)</f>
        <v>23.496000000001914</v>
      </c>
      <c r="Z80" s="9">
        <f>Z48-SUM(CD48:CG48)</f>
        <v>32.472000000001572</v>
      </c>
      <c r="AA80" s="71">
        <f>AA48-SUM(CH48:CK48)</f>
        <v>-7.2759576141834259E-12</v>
      </c>
      <c r="AB80" s="71">
        <f>AB48-SUM(CL48:CO48)</f>
        <v>0</v>
      </c>
      <c r="AC80" s="71">
        <f>AC48-SUM(CP48:CS48)</f>
        <v>0</v>
      </c>
      <c r="AD80" s="71">
        <f>AD48-SUM(CT48:CW48)</f>
        <v>0</v>
      </c>
      <c r="AE80" s="71">
        <f>AE48-SUM(CX48:DA48)</f>
        <v>0</v>
      </c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/>
      <c r="DD80" s="132"/>
    </row>
    <row r="81" spans="1:108" s="9" customFormat="1" x14ac:dyDescent="0.25">
      <c r="A81" s="9" t="s">
        <v>456</v>
      </c>
      <c r="N81" s="9">
        <f>N68-SUM(AI68:AL68)</f>
        <v>25.107999999999805</v>
      </c>
      <c r="R81" s="9">
        <f>R61-SUM(AX61:BA61)</f>
        <v>3.0553337637684308E-13</v>
      </c>
      <c r="S81" s="9">
        <f>S61-SUM(BB61:BE61)</f>
        <v>7.9580786405131221E-13</v>
      </c>
      <c r="T81" s="9">
        <f>T61-SUM(BF61:BI61)</f>
        <v>0</v>
      </c>
      <c r="U81" s="9">
        <f>U61-SUM(BJ61:BM61)</f>
        <v>-1.0231815394945443E-12</v>
      </c>
      <c r="V81" s="9">
        <f>V61-SUM(BN61:BQ61)</f>
        <v>5.1159076974727213E-13</v>
      </c>
      <c r="W81" s="9">
        <f>W61-SUM(BR61:BU61)</f>
        <v>-9.0949470177292824E-13</v>
      </c>
      <c r="X81" s="9">
        <f>X61-SUM(BV61:BY61)</f>
        <v>0</v>
      </c>
      <c r="Y81" s="9">
        <f>Y61-SUM(BZ61:CC61)</f>
        <v>0</v>
      </c>
      <c r="Z81" s="9">
        <f>Z61-SUM(CD61:CG61)</f>
        <v>0</v>
      </c>
      <c r="AA81" s="71">
        <f>AA61-SUM(CH61:CK61)</f>
        <v>-5.9117155615240335E-12</v>
      </c>
      <c r="AB81" s="71">
        <f>AB61-SUM(CL61:CO61)</f>
        <v>0</v>
      </c>
      <c r="AC81" s="71">
        <f>AC61-SUM(CP61:CS61)</f>
        <v>0</v>
      </c>
      <c r="AD81" s="71">
        <f>AD61-SUM(CT61:CW61)</f>
        <v>0</v>
      </c>
      <c r="AE81" s="71">
        <f>AE61-SUM(CX61:DA61)</f>
        <v>0</v>
      </c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/>
      <c r="DD81" s="132"/>
    </row>
    <row r="82" spans="1:108" s="8" customFormat="1" x14ac:dyDescent="0.25">
      <c r="A82" s="148" t="s">
        <v>490</v>
      </c>
      <c r="AA82" s="57"/>
      <c r="AB82" s="57"/>
      <c r="AC82" s="57"/>
      <c r="AD82" s="57"/>
      <c r="AE82" s="57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/>
      <c r="DD82" s="131"/>
    </row>
    <row r="83" spans="1:108" s="3" customFormat="1" x14ac:dyDescent="0.25">
      <c r="A83" s="3" t="s">
        <v>27</v>
      </c>
      <c r="B83" s="3">
        <f>'Annual Raw'!C104</f>
        <v>0</v>
      </c>
      <c r="C83" s="3">
        <f>'Annual Raw'!D104</f>
        <v>0</v>
      </c>
      <c r="D83" s="3">
        <f>'Annual Raw'!E104</f>
        <v>0</v>
      </c>
      <c r="E83" s="3">
        <f t="shared" ref="E83:Y83" si="804">+F83</f>
        <v>676.41899999999998</v>
      </c>
      <c r="F83" s="3">
        <f t="shared" si="804"/>
        <v>676.41899999999998</v>
      </c>
      <c r="G83" s="3">
        <f t="shared" si="804"/>
        <v>676.41899999999998</v>
      </c>
      <c r="H83" s="3">
        <f t="shared" si="804"/>
        <v>676.41899999999998</v>
      </c>
      <c r="I83" s="3">
        <f t="shared" si="804"/>
        <v>676.41899999999998</v>
      </c>
      <c r="J83" s="3">
        <f t="shared" si="804"/>
        <v>676.41899999999998</v>
      </c>
      <c r="K83" s="3">
        <f t="shared" si="804"/>
        <v>676.41899999999998</v>
      </c>
      <c r="L83" s="3">
        <f t="shared" si="804"/>
        <v>676.41899999999998</v>
      </c>
      <c r="M83" s="3">
        <f t="shared" si="804"/>
        <v>676.41899999999998</v>
      </c>
      <c r="N83" s="3">
        <f t="shared" si="804"/>
        <v>676.41899999999998</v>
      </c>
      <c r="O83" s="3">
        <f t="shared" si="804"/>
        <v>676.41899999999998</v>
      </c>
      <c r="P83" s="3">
        <f t="shared" si="804"/>
        <v>676.41899999999998</v>
      </c>
      <c r="Q83" s="3">
        <f t="shared" si="804"/>
        <v>676.41899999999998</v>
      </c>
      <c r="R83" s="3">
        <f t="shared" si="804"/>
        <v>676.41899999999998</v>
      </c>
      <c r="S83" s="3">
        <f t="shared" si="804"/>
        <v>676.41899999999998</v>
      </c>
      <c r="T83" s="3">
        <f t="shared" si="804"/>
        <v>676.41899999999998</v>
      </c>
      <c r="U83" s="3">
        <f t="shared" si="804"/>
        <v>676.41899999999998</v>
      </c>
      <c r="V83" s="3">
        <f t="shared" si="804"/>
        <v>676.41899999999998</v>
      </c>
      <c r="W83" s="3">
        <f t="shared" si="804"/>
        <v>676.41899999999998</v>
      </c>
      <c r="X83" s="3">
        <f t="shared" si="804"/>
        <v>676.41899999999998</v>
      </c>
      <c r="Y83" s="3">
        <f t="shared" si="804"/>
        <v>676.41899999999998</v>
      </c>
      <c r="Z83" s="3">
        <f>+AA83</f>
        <v>676.41899999999998</v>
      </c>
      <c r="AA83" s="36">
        <f>+CL83</f>
        <v>676.41899999999998</v>
      </c>
      <c r="AB83" s="36">
        <f t="shared" ref="AB83:AB84" si="805">AA83</f>
        <v>676.41899999999998</v>
      </c>
      <c r="AC83" s="36">
        <f t="shared" ref="AC83:AC84" si="806">AB83</f>
        <v>676.41899999999998</v>
      </c>
      <c r="AD83" s="36">
        <f t="shared" ref="AD83:AD84" si="807">AC83</f>
        <v>676.41899999999998</v>
      </c>
      <c r="AE83" s="36">
        <f t="shared" ref="AE83:AE84" si="808">AD83</f>
        <v>676.41899999999998</v>
      </c>
      <c r="AI83" s="3">
        <f t="shared" ref="AI83:CH83" si="809">+AJ83</f>
        <v>676.39200000000005</v>
      </c>
      <c r="AJ83" s="3">
        <f t="shared" si="809"/>
        <v>676.39200000000005</v>
      </c>
      <c r="AK83" s="3">
        <f t="shared" si="809"/>
        <v>676.39200000000005</v>
      </c>
      <c r="AL83" s="3">
        <f t="shared" si="809"/>
        <v>676.39200000000005</v>
      </c>
      <c r="AM83" s="3">
        <f t="shared" si="809"/>
        <v>676.39200000000005</v>
      </c>
      <c r="AN83" s="3">
        <f t="shared" si="809"/>
        <v>676.39200000000005</v>
      </c>
      <c r="AO83" s="3">
        <f t="shared" si="809"/>
        <v>676.39200000000005</v>
      </c>
      <c r="AP83" s="3">
        <f t="shared" si="809"/>
        <v>676.39200000000005</v>
      </c>
      <c r="AQ83" s="3">
        <f t="shared" si="809"/>
        <v>676.39200000000005</v>
      </c>
      <c r="AR83" s="3">
        <f t="shared" si="809"/>
        <v>676.39200000000005</v>
      </c>
      <c r="AS83" s="3">
        <f t="shared" si="809"/>
        <v>676.39200000000005</v>
      </c>
      <c r="AT83" s="3">
        <f t="shared" si="809"/>
        <v>676.39200000000005</v>
      </c>
      <c r="AU83" s="3">
        <f t="shared" si="809"/>
        <v>676.39200000000005</v>
      </c>
      <c r="AV83" s="3">
        <f t="shared" si="809"/>
        <v>676.39200000000005</v>
      </c>
      <c r="AW83" s="3">
        <f t="shared" si="809"/>
        <v>676.39200000000005</v>
      </c>
      <c r="AX83" s="3">
        <f t="shared" si="809"/>
        <v>676.39200000000005</v>
      </c>
      <c r="AY83" s="3">
        <f t="shared" si="809"/>
        <v>676.39200000000005</v>
      </c>
      <c r="AZ83" s="3">
        <f t="shared" si="809"/>
        <v>676.39200000000005</v>
      </c>
      <c r="BA83" s="3">
        <f t="shared" si="809"/>
        <v>676.39200000000005</v>
      </c>
      <c r="BB83" s="3">
        <f t="shared" si="809"/>
        <v>676.39200000000005</v>
      </c>
      <c r="BC83" s="3">
        <f t="shared" si="809"/>
        <v>676.39200000000005</v>
      </c>
      <c r="BD83" s="3">
        <f t="shared" si="809"/>
        <v>676.39200000000005</v>
      </c>
      <c r="BE83" s="3">
        <f t="shared" si="809"/>
        <v>676.39200000000005</v>
      </c>
      <c r="BF83" s="3">
        <f t="shared" si="809"/>
        <v>676.39200000000005</v>
      </c>
      <c r="BG83" s="3">
        <f t="shared" si="809"/>
        <v>676.39200000000005</v>
      </c>
      <c r="BH83" s="3">
        <f t="shared" si="809"/>
        <v>676.39200000000005</v>
      </c>
      <c r="BI83" s="3">
        <f t="shared" si="809"/>
        <v>676.39200000000005</v>
      </c>
      <c r="BJ83" s="3">
        <f t="shared" si="809"/>
        <v>676.39200000000005</v>
      </c>
      <c r="BK83" s="3">
        <f t="shared" si="809"/>
        <v>676.39200000000005</v>
      </c>
      <c r="BL83" s="3">
        <f t="shared" si="809"/>
        <v>676.39200000000005</v>
      </c>
      <c r="BM83" s="3">
        <f t="shared" si="809"/>
        <v>676.39200000000005</v>
      </c>
      <c r="BN83" s="3">
        <f t="shared" si="809"/>
        <v>676.39200000000005</v>
      </c>
      <c r="BO83" s="3">
        <f t="shared" si="809"/>
        <v>676.39200000000005</v>
      </c>
      <c r="BP83" s="3">
        <f t="shared" si="809"/>
        <v>676.39200000000005</v>
      </c>
      <c r="BQ83" s="3">
        <f t="shared" si="809"/>
        <v>676.39200000000005</v>
      </c>
      <c r="BR83" s="3">
        <f t="shared" si="809"/>
        <v>676.39200000000005</v>
      </c>
      <c r="BS83" s="3">
        <f t="shared" si="809"/>
        <v>676.39200000000005</v>
      </c>
      <c r="BT83" s="3">
        <f t="shared" si="809"/>
        <v>676.39200000000005</v>
      </c>
      <c r="BU83" s="3">
        <f t="shared" si="809"/>
        <v>676.39200000000005</v>
      </c>
      <c r="BV83" s="3">
        <f t="shared" si="809"/>
        <v>676.39200000000005</v>
      </c>
      <c r="BW83" s="3">
        <f t="shared" si="809"/>
        <v>676.39200000000005</v>
      </c>
      <c r="BX83" s="3">
        <f t="shared" si="809"/>
        <v>676.39200000000005</v>
      </c>
      <c r="BY83" s="3">
        <f t="shared" si="809"/>
        <v>676.39200000000005</v>
      </c>
      <c r="BZ83" s="3">
        <f t="shared" si="809"/>
        <v>676.39200000000005</v>
      </c>
      <c r="CA83" s="3">
        <f t="shared" si="809"/>
        <v>676.39200000000005</v>
      </c>
      <c r="CB83" s="3">
        <f t="shared" si="809"/>
        <v>676.39200000000005</v>
      </c>
      <c r="CC83" s="3">
        <f t="shared" si="809"/>
        <v>676.39200000000005</v>
      </c>
      <c r="CD83" s="3">
        <f t="shared" si="809"/>
        <v>676.39200000000005</v>
      </c>
      <c r="CE83" s="3">
        <f t="shared" si="809"/>
        <v>676.39200000000005</v>
      </c>
      <c r="CF83" s="3">
        <f t="shared" si="809"/>
        <v>676.39200000000005</v>
      </c>
      <c r="CG83" s="3">
        <f t="shared" si="809"/>
        <v>676.39200000000005</v>
      </c>
      <c r="CH83" s="3">
        <f t="shared" si="809"/>
        <v>676.39200000000005</v>
      </c>
      <c r="CI83" s="3">
        <f>+CJ83</f>
        <v>676.39200000000005</v>
      </c>
      <c r="CJ83" s="3">
        <f>'QTR Raw'!BD45</f>
        <v>676.39200000000005</v>
      </c>
      <c r="CK83" s="3">
        <f>'QTR Raw'!BE45</f>
        <v>676.39800000000002</v>
      </c>
      <c r="CL83" s="3">
        <f>'QTR Raw'!BF45</f>
        <v>676.41899999999998</v>
      </c>
      <c r="CM83" s="36">
        <f t="shared" ref="CM83:CM84" si="810">+CL83</f>
        <v>676.41899999999998</v>
      </c>
      <c r="CN83" s="36">
        <f t="shared" ref="CN83:CN84" si="811">+CM83</f>
        <v>676.41899999999998</v>
      </c>
      <c r="CO83" s="36">
        <f t="shared" ref="CO83:CO84" si="812">+CN83</f>
        <v>676.41899999999998</v>
      </c>
      <c r="CP83" s="36">
        <f t="shared" ref="CP83:CP84" si="813">+CO83</f>
        <v>676.41899999999998</v>
      </c>
      <c r="CQ83" s="36">
        <f t="shared" ref="CQ83:CQ84" si="814">+CP83</f>
        <v>676.41899999999998</v>
      </c>
      <c r="CR83" s="36">
        <f t="shared" ref="CR83:CR84" si="815">+CQ83</f>
        <v>676.41899999999998</v>
      </c>
      <c r="CS83" s="36">
        <f t="shared" ref="CS83:CS84" si="816">+CR83</f>
        <v>676.41899999999998</v>
      </c>
      <c r="CT83" s="36">
        <f t="shared" ref="CT83:CT84" si="817">+CS83</f>
        <v>676.41899999999998</v>
      </c>
      <c r="CU83" s="36">
        <f t="shared" ref="CU83:CU84" si="818">+CT83</f>
        <v>676.41899999999998</v>
      </c>
      <c r="CV83" s="36">
        <f t="shared" ref="CV83:CV84" si="819">+CU83</f>
        <v>676.41899999999998</v>
      </c>
      <c r="CW83" s="36">
        <f t="shared" ref="CW83:CW84" si="820">+CV83</f>
        <v>676.41899999999998</v>
      </c>
      <c r="CX83" s="36">
        <f t="shared" ref="CX83:CX84" si="821">+CW83</f>
        <v>676.41899999999998</v>
      </c>
      <c r="CY83" s="36">
        <f t="shared" ref="CY83:CY84" si="822">+CX83</f>
        <v>676.41899999999998</v>
      </c>
      <c r="CZ83" s="36">
        <f t="shared" ref="CZ83:CZ84" si="823">+CY83</f>
        <v>676.41899999999998</v>
      </c>
      <c r="DA83" s="36">
        <f t="shared" ref="DA83:DA84" si="824">+CZ83</f>
        <v>676.41899999999998</v>
      </c>
      <c r="DB83"/>
      <c r="DD83" s="133"/>
    </row>
    <row r="84" spans="1:108" s="3" customFormat="1" x14ac:dyDescent="0.25">
      <c r="A84" s="3" t="s">
        <v>28</v>
      </c>
      <c r="B84" s="3">
        <f>'Annual Raw'!C105</f>
        <v>0</v>
      </c>
      <c r="C84" s="3">
        <f>'Annual Raw'!D105</f>
        <v>0</v>
      </c>
      <c r="D84" s="3">
        <f>'Annual Raw'!E105</f>
        <v>0</v>
      </c>
      <c r="E84" s="3">
        <f t="shared" ref="E84:Y84" si="825">+F84</f>
        <v>2</v>
      </c>
      <c r="F84" s="3">
        <f t="shared" si="825"/>
        <v>2</v>
      </c>
      <c r="G84" s="3">
        <f t="shared" si="825"/>
        <v>2</v>
      </c>
      <c r="H84" s="3">
        <f t="shared" si="825"/>
        <v>2</v>
      </c>
      <c r="I84" s="3">
        <f t="shared" si="825"/>
        <v>2</v>
      </c>
      <c r="J84" s="3">
        <f t="shared" si="825"/>
        <v>2</v>
      </c>
      <c r="K84" s="3">
        <f t="shared" si="825"/>
        <v>2</v>
      </c>
      <c r="L84" s="3">
        <f t="shared" si="825"/>
        <v>2</v>
      </c>
      <c r="M84" s="3">
        <f t="shared" si="825"/>
        <v>2</v>
      </c>
      <c r="N84" s="3">
        <f t="shared" si="825"/>
        <v>2</v>
      </c>
      <c r="O84" s="3">
        <f t="shared" si="825"/>
        <v>2</v>
      </c>
      <c r="P84" s="3">
        <f t="shared" si="825"/>
        <v>2</v>
      </c>
      <c r="Q84" s="3">
        <f t="shared" si="825"/>
        <v>2</v>
      </c>
      <c r="R84" s="3">
        <f t="shared" si="825"/>
        <v>2</v>
      </c>
      <c r="S84" s="3">
        <f t="shared" si="825"/>
        <v>2</v>
      </c>
      <c r="T84" s="3">
        <f t="shared" si="825"/>
        <v>2</v>
      </c>
      <c r="U84" s="3">
        <f t="shared" si="825"/>
        <v>2</v>
      </c>
      <c r="V84" s="3">
        <f t="shared" si="825"/>
        <v>2</v>
      </c>
      <c r="W84" s="3">
        <f t="shared" si="825"/>
        <v>2</v>
      </c>
      <c r="X84" s="3">
        <f t="shared" si="825"/>
        <v>2</v>
      </c>
      <c r="Y84" s="3">
        <f t="shared" si="825"/>
        <v>2</v>
      </c>
      <c r="Z84" s="3">
        <f>+AA84</f>
        <v>2</v>
      </c>
      <c r="AA84" s="36">
        <f>+CL84</f>
        <v>2</v>
      </c>
      <c r="AB84" s="36">
        <f t="shared" si="805"/>
        <v>2</v>
      </c>
      <c r="AC84" s="36">
        <f t="shared" si="806"/>
        <v>2</v>
      </c>
      <c r="AD84" s="36">
        <f t="shared" si="807"/>
        <v>2</v>
      </c>
      <c r="AE84" s="36">
        <f t="shared" si="808"/>
        <v>2</v>
      </c>
      <c r="AI84" s="3">
        <f t="shared" ref="AI84:CH84" si="826">AJ84</f>
        <v>2</v>
      </c>
      <c r="AJ84" s="3">
        <f t="shared" si="826"/>
        <v>2</v>
      </c>
      <c r="AK84" s="3">
        <f t="shared" si="826"/>
        <v>2</v>
      </c>
      <c r="AL84" s="3">
        <f t="shared" si="826"/>
        <v>2</v>
      </c>
      <c r="AM84" s="3">
        <f t="shared" si="826"/>
        <v>2</v>
      </c>
      <c r="AN84" s="3">
        <f t="shared" si="826"/>
        <v>2</v>
      </c>
      <c r="AO84" s="3">
        <f t="shared" si="826"/>
        <v>2</v>
      </c>
      <c r="AP84" s="3">
        <f t="shared" si="826"/>
        <v>2</v>
      </c>
      <c r="AQ84" s="3">
        <f t="shared" si="826"/>
        <v>2</v>
      </c>
      <c r="AR84" s="3">
        <f t="shared" si="826"/>
        <v>2</v>
      </c>
      <c r="AS84" s="3">
        <f t="shared" si="826"/>
        <v>2</v>
      </c>
      <c r="AT84" s="3">
        <f t="shared" si="826"/>
        <v>2</v>
      </c>
      <c r="AU84" s="3">
        <f t="shared" si="826"/>
        <v>2</v>
      </c>
      <c r="AV84" s="3">
        <f t="shared" si="826"/>
        <v>2</v>
      </c>
      <c r="AW84" s="3">
        <f t="shared" si="826"/>
        <v>2</v>
      </c>
      <c r="AX84" s="3">
        <f t="shared" si="826"/>
        <v>2</v>
      </c>
      <c r="AY84" s="3">
        <f t="shared" si="826"/>
        <v>2</v>
      </c>
      <c r="AZ84" s="3">
        <f t="shared" si="826"/>
        <v>2</v>
      </c>
      <c r="BA84" s="3">
        <f t="shared" si="826"/>
        <v>2</v>
      </c>
      <c r="BB84" s="3">
        <f t="shared" si="826"/>
        <v>2</v>
      </c>
      <c r="BC84" s="3">
        <f t="shared" si="826"/>
        <v>2</v>
      </c>
      <c r="BD84" s="3">
        <f t="shared" si="826"/>
        <v>2</v>
      </c>
      <c r="BE84" s="3">
        <f t="shared" si="826"/>
        <v>2</v>
      </c>
      <c r="BF84" s="3">
        <f t="shared" si="826"/>
        <v>2</v>
      </c>
      <c r="BG84" s="3">
        <f t="shared" si="826"/>
        <v>2</v>
      </c>
      <c r="BH84" s="3">
        <f t="shared" si="826"/>
        <v>2</v>
      </c>
      <c r="BI84" s="3">
        <f t="shared" si="826"/>
        <v>2</v>
      </c>
      <c r="BJ84" s="3">
        <f t="shared" si="826"/>
        <v>2</v>
      </c>
      <c r="BK84" s="3">
        <f t="shared" si="826"/>
        <v>2</v>
      </c>
      <c r="BL84" s="3">
        <f t="shared" si="826"/>
        <v>2</v>
      </c>
      <c r="BM84" s="3">
        <f t="shared" si="826"/>
        <v>2</v>
      </c>
      <c r="BN84" s="3">
        <f t="shared" si="826"/>
        <v>2</v>
      </c>
      <c r="BO84" s="3">
        <f t="shared" si="826"/>
        <v>2</v>
      </c>
      <c r="BP84" s="3">
        <f t="shared" si="826"/>
        <v>2</v>
      </c>
      <c r="BQ84" s="3">
        <f t="shared" si="826"/>
        <v>2</v>
      </c>
      <c r="BR84" s="3">
        <f t="shared" si="826"/>
        <v>2</v>
      </c>
      <c r="BS84" s="3">
        <f t="shared" si="826"/>
        <v>2</v>
      </c>
      <c r="BT84" s="3">
        <f t="shared" si="826"/>
        <v>2</v>
      </c>
      <c r="BU84" s="3">
        <f t="shared" si="826"/>
        <v>2</v>
      </c>
      <c r="BV84" s="3">
        <f t="shared" si="826"/>
        <v>2</v>
      </c>
      <c r="BW84" s="3">
        <f t="shared" si="826"/>
        <v>2</v>
      </c>
      <c r="BX84" s="3">
        <f t="shared" si="826"/>
        <v>2</v>
      </c>
      <c r="BY84" s="3">
        <f t="shared" si="826"/>
        <v>2</v>
      </c>
      <c r="BZ84" s="3">
        <f t="shared" si="826"/>
        <v>2</v>
      </c>
      <c r="CA84" s="3">
        <f t="shared" si="826"/>
        <v>2</v>
      </c>
      <c r="CB84" s="3">
        <f t="shared" si="826"/>
        <v>2</v>
      </c>
      <c r="CC84" s="3">
        <f t="shared" si="826"/>
        <v>2</v>
      </c>
      <c r="CD84" s="3">
        <f t="shared" si="826"/>
        <v>2</v>
      </c>
      <c r="CE84" s="3">
        <f t="shared" si="826"/>
        <v>2</v>
      </c>
      <c r="CF84" s="3">
        <f t="shared" si="826"/>
        <v>2</v>
      </c>
      <c r="CG84" s="3">
        <f t="shared" si="826"/>
        <v>2</v>
      </c>
      <c r="CH84" s="3">
        <f t="shared" si="826"/>
        <v>2</v>
      </c>
      <c r="CI84" s="3">
        <f>CJ84</f>
        <v>2</v>
      </c>
      <c r="CJ84" s="3">
        <f>'QTR Raw'!BD46</f>
        <v>2</v>
      </c>
      <c r="CK84" s="3">
        <f>'QTR Raw'!BE46</f>
        <v>2</v>
      </c>
      <c r="CL84" s="3">
        <f>'QTR Raw'!BF46</f>
        <v>2</v>
      </c>
      <c r="CM84" s="36">
        <f t="shared" si="810"/>
        <v>2</v>
      </c>
      <c r="CN84" s="36">
        <f t="shared" si="811"/>
        <v>2</v>
      </c>
      <c r="CO84" s="36">
        <f t="shared" si="812"/>
        <v>2</v>
      </c>
      <c r="CP84" s="36">
        <f t="shared" si="813"/>
        <v>2</v>
      </c>
      <c r="CQ84" s="36">
        <f t="shared" si="814"/>
        <v>2</v>
      </c>
      <c r="CR84" s="36">
        <f t="shared" si="815"/>
        <v>2</v>
      </c>
      <c r="CS84" s="36">
        <f t="shared" si="816"/>
        <v>2</v>
      </c>
      <c r="CT84" s="36">
        <f t="shared" si="817"/>
        <v>2</v>
      </c>
      <c r="CU84" s="36">
        <f t="shared" si="818"/>
        <v>2</v>
      </c>
      <c r="CV84" s="36">
        <f t="shared" si="819"/>
        <v>2</v>
      </c>
      <c r="CW84" s="36">
        <f t="shared" si="820"/>
        <v>2</v>
      </c>
      <c r="CX84" s="36">
        <f t="shared" si="821"/>
        <v>2</v>
      </c>
      <c r="CY84" s="36">
        <f t="shared" si="822"/>
        <v>2</v>
      </c>
      <c r="CZ84" s="36">
        <f t="shared" si="823"/>
        <v>2</v>
      </c>
      <c r="DA84" s="36">
        <f t="shared" si="824"/>
        <v>2</v>
      </c>
      <c r="DB84"/>
      <c r="DD84" s="133"/>
    </row>
    <row r="85" spans="1:108" s="3" customFormat="1" x14ac:dyDescent="0.25">
      <c r="A85" s="3" t="s">
        <v>29</v>
      </c>
      <c r="B85" s="3" t="e">
        <f>B83/B84</f>
        <v>#DIV/0!</v>
      </c>
      <c r="C85" s="3" t="e">
        <f t="shared" ref="C85:W85" si="827">C83/C84</f>
        <v>#DIV/0!</v>
      </c>
      <c r="D85" s="3" t="e">
        <f t="shared" si="827"/>
        <v>#DIV/0!</v>
      </c>
      <c r="E85" s="3">
        <f t="shared" si="827"/>
        <v>338.20949999999999</v>
      </c>
      <c r="F85" s="3">
        <f t="shared" si="827"/>
        <v>338.20949999999999</v>
      </c>
      <c r="G85" s="3">
        <f t="shared" si="827"/>
        <v>338.20949999999999</v>
      </c>
      <c r="H85" s="3">
        <f t="shared" si="827"/>
        <v>338.20949999999999</v>
      </c>
      <c r="I85" s="3">
        <f t="shared" si="827"/>
        <v>338.20949999999999</v>
      </c>
      <c r="J85" s="3">
        <f t="shared" si="827"/>
        <v>338.20949999999999</v>
      </c>
      <c r="K85" s="3">
        <f t="shared" si="827"/>
        <v>338.20949999999999</v>
      </c>
      <c r="L85" s="3">
        <f t="shared" si="827"/>
        <v>338.20949999999999</v>
      </c>
      <c r="M85" s="3">
        <f t="shared" si="827"/>
        <v>338.20949999999999</v>
      </c>
      <c r="N85" s="3">
        <f t="shared" si="827"/>
        <v>338.20949999999999</v>
      </c>
      <c r="O85" s="3">
        <f t="shared" si="827"/>
        <v>338.20949999999999</v>
      </c>
      <c r="P85" s="3">
        <f t="shared" si="827"/>
        <v>338.20949999999999</v>
      </c>
      <c r="Q85" s="3">
        <f t="shared" si="827"/>
        <v>338.20949999999999</v>
      </c>
      <c r="R85" s="3">
        <f t="shared" si="827"/>
        <v>338.20949999999999</v>
      </c>
      <c r="S85" s="3">
        <f t="shared" si="827"/>
        <v>338.20949999999999</v>
      </c>
      <c r="T85" s="3">
        <f t="shared" si="827"/>
        <v>338.20949999999999</v>
      </c>
      <c r="U85" s="3">
        <f t="shared" si="827"/>
        <v>338.20949999999999</v>
      </c>
      <c r="V85" s="3">
        <f>V83/V84</f>
        <v>338.20949999999999</v>
      </c>
      <c r="W85" s="3">
        <f t="shared" si="827"/>
        <v>338.20949999999999</v>
      </c>
      <c r="X85" s="3">
        <f t="shared" ref="X85:Y85" si="828">X83/X84</f>
        <v>338.20949999999999</v>
      </c>
      <c r="Y85" s="3">
        <f t="shared" si="828"/>
        <v>338.20949999999999</v>
      </c>
      <c r="Z85" s="3">
        <f t="shared" ref="Z85" si="829">Z83/Z84</f>
        <v>338.20949999999999</v>
      </c>
      <c r="AA85" s="36">
        <f t="shared" ref="AA85:AD85" si="830">AA83/AA84</f>
        <v>338.20949999999999</v>
      </c>
      <c r="AB85" s="36">
        <f t="shared" si="830"/>
        <v>338.20949999999999</v>
      </c>
      <c r="AC85" s="36">
        <f t="shared" si="830"/>
        <v>338.20949999999999</v>
      </c>
      <c r="AD85" s="36">
        <f t="shared" si="830"/>
        <v>338.20949999999999</v>
      </c>
      <c r="AE85" s="36">
        <f t="shared" ref="AE85" si="831">AE83/AE84</f>
        <v>338.20949999999999</v>
      </c>
      <c r="AI85" s="3">
        <f t="shared" ref="AI85" si="832">AI83/AI84</f>
        <v>338.19600000000003</v>
      </c>
      <c r="AJ85" s="3">
        <f t="shared" ref="AJ85" si="833">AJ83/AJ84</f>
        <v>338.19600000000003</v>
      </c>
      <c r="AK85" s="3">
        <f t="shared" ref="AK85:AM85" si="834">AK83/AK84</f>
        <v>338.19600000000003</v>
      </c>
      <c r="AL85" s="3">
        <f t="shared" si="834"/>
        <v>338.19600000000003</v>
      </c>
      <c r="AM85" s="3">
        <f t="shared" si="834"/>
        <v>338.19600000000003</v>
      </c>
      <c r="AN85" s="3">
        <f t="shared" ref="AN85:AO85" si="835">AN83/AN84</f>
        <v>338.19600000000003</v>
      </c>
      <c r="AO85" s="3">
        <f t="shared" si="835"/>
        <v>338.19600000000003</v>
      </c>
      <c r="AP85" s="3">
        <f t="shared" ref="AP85:CD85" si="836">AP83/AP84</f>
        <v>338.19600000000003</v>
      </c>
      <c r="AQ85" s="3">
        <f t="shared" si="836"/>
        <v>338.19600000000003</v>
      </c>
      <c r="AR85" s="3">
        <f t="shared" si="836"/>
        <v>338.19600000000003</v>
      </c>
      <c r="AS85" s="3">
        <f t="shared" si="836"/>
        <v>338.19600000000003</v>
      </c>
      <c r="AT85" s="3">
        <f t="shared" si="836"/>
        <v>338.19600000000003</v>
      </c>
      <c r="AU85" s="3">
        <f t="shared" si="836"/>
        <v>338.19600000000003</v>
      </c>
      <c r="AV85" s="3">
        <f t="shared" si="836"/>
        <v>338.19600000000003</v>
      </c>
      <c r="AW85" s="3">
        <f t="shared" si="836"/>
        <v>338.19600000000003</v>
      </c>
      <c r="AX85" s="3">
        <f t="shared" si="836"/>
        <v>338.19600000000003</v>
      </c>
      <c r="AY85" s="3">
        <f t="shared" si="836"/>
        <v>338.19600000000003</v>
      </c>
      <c r="AZ85" s="3">
        <f t="shared" si="836"/>
        <v>338.19600000000003</v>
      </c>
      <c r="BA85" s="3">
        <f t="shared" si="836"/>
        <v>338.19600000000003</v>
      </c>
      <c r="BB85" s="3">
        <f t="shared" si="836"/>
        <v>338.19600000000003</v>
      </c>
      <c r="BC85" s="3">
        <f t="shared" si="836"/>
        <v>338.19600000000003</v>
      </c>
      <c r="BD85" s="3">
        <f t="shared" si="836"/>
        <v>338.19600000000003</v>
      </c>
      <c r="BE85" s="3">
        <f t="shared" si="836"/>
        <v>338.19600000000003</v>
      </c>
      <c r="BF85" s="3">
        <f t="shared" si="836"/>
        <v>338.19600000000003</v>
      </c>
      <c r="BG85" s="3">
        <f t="shared" si="836"/>
        <v>338.19600000000003</v>
      </c>
      <c r="BH85" s="3">
        <f t="shared" si="836"/>
        <v>338.19600000000003</v>
      </c>
      <c r="BI85" s="3">
        <f t="shared" si="836"/>
        <v>338.19600000000003</v>
      </c>
      <c r="BJ85" s="3">
        <f t="shared" si="836"/>
        <v>338.19600000000003</v>
      </c>
      <c r="BK85" s="3">
        <f t="shared" si="836"/>
        <v>338.19600000000003</v>
      </c>
      <c r="BL85" s="3">
        <f t="shared" si="836"/>
        <v>338.19600000000003</v>
      </c>
      <c r="BM85" s="3">
        <f t="shared" si="836"/>
        <v>338.19600000000003</v>
      </c>
      <c r="BN85" s="3">
        <f t="shared" si="836"/>
        <v>338.19600000000003</v>
      </c>
      <c r="BO85" s="3">
        <f t="shared" si="836"/>
        <v>338.19600000000003</v>
      </c>
      <c r="BP85" s="3">
        <f t="shared" si="836"/>
        <v>338.19600000000003</v>
      </c>
      <c r="BQ85" s="3">
        <f t="shared" si="836"/>
        <v>338.19600000000003</v>
      </c>
      <c r="BR85" s="3">
        <f t="shared" si="836"/>
        <v>338.19600000000003</v>
      </c>
      <c r="BS85" s="3">
        <f t="shared" si="836"/>
        <v>338.19600000000003</v>
      </c>
      <c r="BT85" s="3">
        <f t="shared" si="836"/>
        <v>338.19600000000003</v>
      </c>
      <c r="BU85" s="3">
        <f t="shared" si="836"/>
        <v>338.19600000000003</v>
      </c>
      <c r="BV85" s="3">
        <f t="shared" si="836"/>
        <v>338.19600000000003</v>
      </c>
      <c r="BW85" s="3">
        <f t="shared" si="836"/>
        <v>338.19600000000003</v>
      </c>
      <c r="BX85" s="3">
        <f t="shared" si="836"/>
        <v>338.19600000000003</v>
      </c>
      <c r="BY85" s="3">
        <f t="shared" si="836"/>
        <v>338.19600000000003</v>
      </c>
      <c r="BZ85" s="3">
        <f t="shared" si="836"/>
        <v>338.19600000000003</v>
      </c>
      <c r="CA85" s="3">
        <f t="shared" si="836"/>
        <v>338.19600000000003</v>
      </c>
      <c r="CB85" s="3">
        <f t="shared" si="836"/>
        <v>338.19600000000003</v>
      </c>
      <c r="CC85" s="3">
        <f t="shared" si="836"/>
        <v>338.19600000000003</v>
      </c>
      <c r="CD85" s="3">
        <f t="shared" si="836"/>
        <v>338.19600000000003</v>
      </c>
      <c r="CE85" s="3">
        <f t="shared" ref="CE85:CF85" si="837">CE83/CE84</f>
        <v>338.19600000000003</v>
      </c>
      <c r="CF85" s="3">
        <f t="shared" si="837"/>
        <v>338.19600000000003</v>
      </c>
      <c r="CG85" s="3">
        <f t="shared" ref="CG85:CH85" si="838">CG83/CG84</f>
        <v>338.19600000000003</v>
      </c>
      <c r="CH85" s="3">
        <f t="shared" si="838"/>
        <v>338.19600000000003</v>
      </c>
      <c r="CI85" s="3">
        <f t="shared" ref="CI85:CJ85" si="839">CI83/CI84</f>
        <v>338.19600000000003</v>
      </c>
      <c r="CJ85" s="3">
        <f t="shared" si="839"/>
        <v>338.19600000000003</v>
      </c>
      <c r="CK85" s="3">
        <f t="shared" ref="CK85:CL85" si="840">CK83/CK84</f>
        <v>338.19900000000001</v>
      </c>
      <c r="CL85" s="3">
        <f t="shared" si="840"/>
        <v>338.20949999999999</v>
      </c>
      <c r="CM85" s="36">
        <f t="shared" ref="CM85:DA85" si="841">CM83/CM84</f>
        <v>338.20949999999999</v>
      </c>
      <c r="CN85" s="36">
        <f t="shared" si="841"/>
        <v>338.20949999999999</v>
      </c>
      <c r="CO85" s="36">
        <f t="shared" si="841"/>
        <v>338.20949999999999</v>
      </c>
      <c r="CP85" s="36">
        <f t="shared" si="841"/>
        <v>338.20949999999999</v>
      </c>
      <c r="CQ85" s="36">
        <f t="shared" si="841"/>
        <v>338.20949999999999</v>
      </c>
      <c r="CR85" s="36">
        <f t="shared" si="841"/>
        <v>338.20949999999999</v>
      </c>
      <c r="CS85" s="36">
        <f t="shared" si="841"/>
        <v>338.20949999999999</v>
      </c>
      <c r="CT85" s="36">
        <f t="shared" si="841"/>
        <v>338.20949999999999</v>
      </c>
      <c r="CU85" s="36">
        <f t="shared" si="841"/>
        <v>338.20949999999999</v>
      </c>
      <c r="CV85" s="36">
        <f t="shared" si="841"/>
        <v>338.20949999999999</v>
      </c>
      <c r="CW85" s="36">
        <f t="shared" si="841"/>
        <v>338.20949999999999</v>
      </c>
      <c r="CX85" s="36">
        <f t="shared" si="841"/>
        <v>338.20949999999999</v>
      </c>
      <c r="CY85" s="36">
        <f t="shared" si="841"/>
        <v>338.20949999999999</v>
      </c>
      <c r="CZ85" s="36">
        <f t="shared" si="841"/>
        <v>338.20949999999999</v>
      </c>
      <c r="DA85" s="36">
        <f t="shared" si="841"/>
        <v>338.20949999999999</v>
      </c>
      <c r="DB85"/>
      <c r="DD85" s="133"/>
    </row>
    <row r="86" spans="1:108" s="52" customFormat="1" x14ac:dyDescent="0.25">
      <c r="A86" s="52" t="s">
        <v>30</v>
      </c>
      <c r="B86" s="52" t="e">
        <f t="shared" ref="B86:AE86" si="842">(B68-B67)/B85</f>
        <v>#DIV/0!</v>
      </c>
      <c r="C86" s="52" t="e">
        <f t="shared" si="842"/>
        <v>#DIV/0!</v>
      </c>
      <c r="D86" s="52" t="e">
        <f t="shared" si="842"/>
        <v>#DIV/0!</v>
      </c>
      <c r="E86" s="52">
        <f t="shared" si="842"/>
        <v>0</v>
      </c>
      <c r="F86" s="52">
        <f t="shared" si="842"/>
        <v>5.3726308988955009E-2</v>
      </c>
      <c r="G86" s="52">
        <f t="shared" si="842"/>
        <v>3.2114128964443787E-2</v>
      </c>
      <c r="H86" s="52">
        <f t="shared" si="842"/>
        <v>4.1745121588837787E-2</v>
      </c>
      <c r="I86" s="52">
        <f t="shared" si="842"/>
        <v>6.2645430716759903E-2</v>
      </c>
      <c r="J86" s="52">
        <f t="shared" si="842"/>
        <v>6.4651386788366183E-2</v>
      </c>
      <c r="K86" s="52">
        <f t="shared" si="842"/>
        <v>6.5633614667831852E-2</v>
      </c>
      <c r="L86" s="52">
        <f t="shared" si="842"/>
        <v>7.3370844106981012E-2</v>
      </c>
      <c r="M86" s="52">
        <f t="shared" si="842"/>
        <v>2.3000536649621327E-2</v>
      </c>
      <c r="N86" s="52">
        <f t="shared" si="842"/>
        <v>7.4238009281228964E-2</v>
      </c>
      <c r="O86" s="52">
        <f t="shared" si="842"/>
        <v>-0.11688021773486532</v>
      </c>
      <c r="P86" s="52">
        <f t="shared" si="842"/>
        <v>-5.9596197031721282E-2</v>
      </c>
      <c r="Q86" s="52">
        <f t="shared" si="842"/>
        <v>0.33423661961003442</v>
      </c>
      <c r="R86" s="52">
        <f t="shared" si="842"/>
        <v>0.12529512033222126</v>
      </c>
      <c r="S86" s="52">
        <f t="shared" si="842"/>
        <v>0.62137225595378165</v>
      </c>
      <c r="T86" s="52">
        <f t="shared" si="842"/>
        <v>0.86585681360222</v>
      </c>
      <c r="U86" s="52">
        <f t="shared" si="842"/>
        <v>1.3866405290212098</v>
      </c>
      <c r="V86" s="52">
        <f t="shared" si="842"/>
        <v>1.1694644887266616</v>
      </c>
      <c r="W86" s="52">
        <f t="shared" si="842"/>
        <v>2.0521363237874732</v>
      </c>
      <c r="X86" s="52">
        <f t="shared" si="842"/>
        <v>4.4275308647450764</v>
      </c>
      <c r="Y86" s="52">
        <f t="shared" si="842"/>
        <v>6.0788416647078298</v>
      </c>
      <c r="Z86" s="52">
        <f t="shared" si="842"/>
        <v>7.6716739180892297</v>
      </c>
      <c r="AA86" s="53">
        <f t="shared" si="842"/>
        <v>8.9781304191632518</v>
      </c>
      <c r="AB86" s="53">
        <f t="shared" si="842"/>
        <v>9.6256636025694853</v>
      </c>
      <c r="AC86" s="53">
        <f t="shared" si="842"/>
        <v>12.671785712778666</v>
      </c>
      <c r="AD86" s="53">
        <f t="shared" si="842"/>
        <v>13.635476221098857</v>
      </c>
      <c r="AE86" s="53">
        <f t="shared" si="842"/>
        <v>17.320962021493305</v>
      </c>
      <c r="AI86" s="52">
        <f t="shared" ref="AI86:BN86" si="843">(AI68-AI67)/AI85</f>
        <v>0</v>
      </c>
      <c r="AJ86" s="52">
        <f t="shared" si="843"/>
        <v>0</v>
      </c>
      <c r="AK86" s="52">
        <f t="shared" si="843"/>
        <v>0</v>
      </c>
      <c r="AL86" s="52">
        <f t="shared" si="843"/>
        <v>0</v>
      </c>
      <c r="AM86" s="52">
        <f t="shared" si="843"/>
        <v>0</v>
      </c>
      <c r="AN86" s="52">
        <f t="shared" si="843"/>
        <v>0</v>
      </c>
      <c r="AO86" s="52">
        <f t="shared" si="843"/>
        <v>0</v>
      </c>
      <c r="AP86" s="52">
        <f t="shared" si="843"/>
        <v>0</v>
      </c>
      <c r="AQ86" s="52">
        <f t="shared" si="843"/>
        <v>0</v>
      </c>
      <c r="AR86" s="52">
        <f t="shared" si="843"/>
        <v>0</v>
      </c>
      <c r="AS86" s="52">
        <f t="shared" si="843"/>
        <v>0</v>
      </c>
      <c r="AT86" s="52">
        <f t="shared" si="843"/>
        <v>0</v>
      </c>
      <c r="AU86" s="52">
        <f t="shared" si="843"/>
        <v>0</v>
      </c>
      <c r="AV86" s="52">
        <f t="shared" si="843"/>
        <v>0</v>
      </c>
      <c r="AW86" s="52">
        <f t="shared" si="843"/>
        <v>-0.29199340027676268</v>
      </c>
      <c r="AX86" s="52">
        <f t="shared" si="843"/>
        <v>-0.15312422382287222</v>
      </c>
      <c r="AY86" s="52">
        <f t="shared" si="843"/>
        <v>0.6004772380513077</v>
      </c>
      <c r="AZ86" s="52">
        <f t="shared" si="843"/>
        <v>3.0464582668038906E-2</v>
      </c>
      <c r="BA86" s="52">
        <f t="shared" si="843"/>
        <v>-0.35251747507362596</v>
      </c>
      <c r="BB86" s="52">
        <f t="shared" si="843"/>
        <v>1.332954854581329E-2</v>
      </c>
      <c r="BC86" s="52">
        <f t="shared" si="843"/>
        <v>0.72623271712261495</v>
      </c>
      <c r="BD86" s="52">
        <f t="shared" si="843"/>
        <v>9.722468627659675E-2</v>
      </c>
      <c r="BE86" s="52">
        <f t="shared" si="843"/>
        <v>-0.21538989225183014</v>
      </c>
      <c r="BF86" s="52">
        <f t="shared" si="843"/>
        <v>5.5092313333096644E-2</v>
      </c>
      <c r="BG86" s="52">
        <f t="shared" si="843"/>
        <v>0.89724006197589701</v>
      </c>
      <c r="BH86" s="52">
        <f t="shared" si="843"/>
        <v>0.1250014784326248</v>
      </c>
      <c r="BI86" s="52">
        <f t="shared" si="843"/>
        <v>-0.21144247714343198</v>
      </c>
      <c r="BJ86" s="52">
        <f t="shared" si="843"/>
        <v>0.12012560763580883</v>
      </c>
      <c r="BK86" s="52">
        <f t="shared" si="843"/>
        <v>1.2032342192101622</v>
      </c>
      <c r="BL86" s="52">
        <f t="shared" si="843"/>
        <v>0.23871364534175388</v>
      </c>
      <c r="BM86" s="52">
        <f t="shared" si="843"/>
        <v>-0.1753775916923912</v>
      </c>
      <c r="BN86" s="52">
        <f t="shared" si="843"/>
        <v>0.35910537085003985</v>
      </c>
      <c r="BO86" s="52">
        <f t="shared" ref="BO86:CT86" si="844">(BO68-BO67)/BO85</f>
        <v>0.41626157612745235</v>
      </c>
      <c r="BP86" s="52">
        <f t="shared" si="844"/>
        <v>0.45249204603247745</v>
      </c>
      <c r="BQ86" s="52">
        <f t="shared" si="844"/>
        <v>-5.8347821973057996E-2</v>
      </c>
      <c r="BR86" s="52">
        <f t="shared" si="844"/>
        <v>0.38218961785473532</v>
      </c>
      <c r="BS86" s="52">
        <f t="shared" si="844"/>
        <v>0.91120237968515261</v>
      </c>
      <c r="BT86" s="52">
        <f t="shared" si="844"/>
        <v>0.7100645779370548</v>
      </c>
      <c r="BU86" s="52">
        <f t="shared" si="844"/>
        <v>4.876166483341051E-2</v>
      </c>
      <c r="BV86" s="52">
        <f t="shared" si="844"/>
        <v>0.75165584453985124</v>
      </c>
      <c r="BW86" s="52">
        <f t="shared" si="844"/>
        <v>2.3283480585222773</v>
      </c>
      <c r="BX86" s="52">
        <f t="shared" si="844"/>
        <v>1.1266750641639756</v>
      </c>
      <c r="BY86" s="52">
        <f t="shared" si="844"/>
        <v>0.22102863428307812</v>
      </c>
      <c r="BZ86" s="52">
        <f t="shared" si="844"/>
        <v>1.2687080864350861</v>
      </c>
      <c r="CA86" s="52">
        <f t="shared" si="844"/>
        <v>2.9385652107062201</v>
      </c>
      <c r="CB86" s="52">
        <f t="shared" si="844"/>
        <v>1.4815876000898889</v>
      </c>
      <c r="CC86" s="52">
        <f t="shared" si="844"/>
        <v>0.39022342073826882</v>
      </c>
      <c r="CD86" s="52">
        <f t="shared" si="844"/>
        <v>1.5886379495913576</v>
      </c>
      <c r="CE86" s="52">
        <f t="shared" si="844"/>
        <v>3.7037782824161103</v>
      </c>
      <c r="CF86" s="52">
        <f t="shared" si="844"/>
        <v>1.8321121479851914</v>
      </c>
      <c r="CG86" s="52">
        <f t="shared" si="844"/>
        <v>0.54745177352777685</v>
      </c>
      <c r="CH86" s="52">
        <f t="shared" si="844"/>
        <v>2.1481271215508149</v>
      </c>
      <c r="CI86" s="52">
        <f t="shared" si="844"/>
        <v>3.8942624986694101</v>
      </c>
      <c r="CJ86" s="52">
        <f t="shared" si="844"/>
        <v>2.1915989544524495</v>
      </c>
      <c r="CK86" s="52">
        <f t="shared" ref="CK86:CL86" si="845">(CK68-CK67)/CK85</f>
        <v>0.74449362653349005</v>
      </c>
      <c r="CL86" s="52">
        <f t="shared" si="845"/>
        <v>2.5793332239336881</v>
      </c>
      <c r="CM86" s="53">
        <f t="shared" si="844"/>
        <v>3.3404739795447029</v>
      </c>
      <c r="CN86" s="53">
        <f t="shared" si="844"/>
        <v>2.0162974674277718</v>
      </c>
      <c r="CO86" s="53">
        <f t="shared" si="844"/>
        <v>1.6895589316633324</v>
      </c>
      <c r="CP86" s="53">
        <f t="shared" si="844"/>
        <v>3.4465051190546938</v>
      </c>
      <c r="CQ86" s="53">
        <f t="shared" si="844"/>
        <v>4.1310632914565444</v>
      </c>
      <c r="CR86" s="53">
        <f t="shared" si="844"/>
        <v>2.7696498104454017</v>
      </c>
      <c r="CS86" s="53">
        <f t="shared" si="844"/>
        <v>2.3245674918220285</v>
      </c>
      <c r="CT86" s="53">
        <f t="shared" si="844"/>
        <v>3.7012277047917008</v>
      </c>
      <c r="CU86" s="53">
        <f t="shared" ref="CU86:DA86" si="846">(CU68-CU67)/CU85</f>
        <v>4.396677440587097</v>
      </c>
      <c r="CV86" s="53">
        <f t="shared" si="846"/>
        <v>2.9405220893498458</v>
      </c>
      <c r="CW86" s="53">
        <f t="shared" si="846"/>
        <v>2.5970489863702126</v>
      </c>
      <c r="CX86" s="53">
        <f t="shared" si="846"/>
        <v>4.6455222562773688</v>
      </c>
      <c r="CY86" s="53">
        <f t="shared" si="846"/>
        <v>5.4956629741911325</v>
      </c>
      <c r="CZ86" s="53">
        <f t="shared" si="846"/>
        <v>3.795499886693587</v>
      </c>
      <c r="DA86" s="53">
        <f t="shared" si="846"/>
        <v>3.3842769043312084</v>
      </c>
      <c r="DB86"/>
      <c r="DD86" s="131"/>
    </row>
    <row r="87" spans="1:108" s="3" customFormat="1" x14ac:dyDescent="0.25">
      <c r="A87" s="3" t="s">
        <v>31</v>
      </c>
      <c r="B87" s="3">
        <f>'Annual Raw'!C110</f>
        <v>0</v>
      </c>
      <c r="C87" s="3">
        <f>'Annual Raw'!D110</f>
        <v>0</v>
      </c>
      <c r="D87" s="3">
        <f>'Annual Raw'!E110</f>
        <v>0</v>
      </c>
      <c r="E87" s="3">
        <f>'Annual Raw'!F110</f>
        <v>0</v>
      </c>
      <c r="F87" s="3">
        <f>'Annual Raw'!G110</f>
        <v>0</v>
      </c>
      <c r="G87" s="3">
        <f>'Annual Raw'!H110</f>
        <v>0</v>
      </c>
      <c r="H87" s="3">
        <f>'Annual Raw'!I110</f>
        <v>0</v>
      </c>
      <c r="I87" s="3">
        <f>'Annual Raw'!J110</f>
        <v>0</v>
      </c>
      <c r="J87" s="3">
        <f>'Annual Raw'!K110</f>
        <v>0</v>
      </c>
      <c r="K87" s="3">
        <f>'Annual Raw'!L110</f>
        <v>0</v>
      </c>
      <c r="L87" s="3">
        <f>'Annual Raw'!M110</f>
        <v>0</v>
      </c>
      <c r="M87" s="3">
        <f>'Annual Raw'!N110</f>
        <v>0</v>
      </c>
      <c r="N87" s="3">
        <f>'Annual Raw'!O110</f>
        <v>0</v>
      </c>
      <c r="O87" s="3">
        <f>'Annual Raw'!P110</f>
        <v>0</v>
      </c>
      <c r="P87" s="3">
        <f>'Annual Raw'!Q110</f>
        <v>0</v>
      </c>
      <c r="Q87" s="3">
        <f>'Annual Raw'!R110</f>
        <v>0</v>
      </c>
      <c r="R87" s="3">
        <f>'Annual Raw'!S110</f>
        <v>0</v>
      </c>
      <c r="S87" s="3">
        <f>'Annual Raw'!T110</f>
        <v>0.148148148148148</v>
      </c>
      <c r="T87" s="3">
        <f>'Annual Raw'!U110</f>
        <v>0.148148148148148</v>
      </c>
      <c r="U87" s="3">
        <f>'Annual Raw'!V110</f>
        <v>0.22222222222222199</v>
      </c>
      <c r="V87" s="3">
        <f>'Annual Raw'!W110</f>
        <v>0.22222222222222199</v>
      </c>
      <c r="W87" s="3">
        <f>'Annual Raw'!X110</f>
        <v>0.33333333333333298</v>
      </c>
      <c r="X87" s="3">
        <f>'Annual Raw'!Y110</f>
        <v>0.7</v>
      </c>
      <c r="Y87" s="3">
        <f>'Annual Raw'!Z110</f>
        <v>1</v>
      </c>
      <c r="Z87" s="3">
        <f>'Annual Raw'!AA110</f>
        <v>1</v>
      </c>
      <c r="AA87" s="36"/>
      <c r="AB87" s="36"/>
      <c r="AC87" s="36"/>
      <c r="AD87" s="36"/>
      <c r="AE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/>
      <c r="DD87" s="133"/>
    </row>
    <row r="88" spans="1:108" s="3" customFormat="1" x14ac:dyDescent="0.25">
      <c r="A88" s="3" t="s">
        <v>32</v>
      </c>
      <c r="B88" s="3" t="e">
        <f>B87/B86</f>
        <v>#DIV/0!</v>
      </c>
      <c r="C88" s="3" t="e">
        <f t="shared" ref="C88:U88" si="847">C87/C86</f>
        <v>#DIV/0!</v>
      </c>
      <c r="D88" s="3" t="e">
        <f t="shared" si="847"/>
        <v>#DIV/0!</v>
      </c>
      <c r="E88" s="3" t="e">
        <f t="shared" si="847"/>
        <v>#DIV/0!</v>
      </c>
      <c r="F88" s="3">
        <f t="shared" si="847"/>
        <v>0</v>
      </c>
      <c r="G88" s="3">
        <f t="shared" si="847"/>
        <v>0</v>
      </c>
      <c r="H88" s="3">
        <f t="shared" si="847"/>
        <v>0</v>
      </c>
      <c r="I88" s="3">
        <f t="shared" si="847"/>
        <v>0</v>
      </c>
      <c r="J88" s="3">
        <f t="shared" si="847"/>
        <v>0</v>
      </c>
      <c r="K88" s="3">
        <f t="shared" si="847"/>
        <v>0</v>
      </c>
      <c r="L88" s="3">
        <f t="shared" si="847"/>
        <v>0</v>
      </c>
      <c r="M88" s="3">
        <f t="shared" si="847"/>
        <v>0</v>
      </c>
      <c r="N88" s="3">
        <f t="shared" si="847"/>
        <v>0</v>
      </c>
      <c r="O88" s="3">
        <f t="shared" si="847"/>
        <v>0</v>
      </c>
      <c r="P88" s="3">
        <f t="shared" si="847"/>
        <v>0</v>
      </c>
      <c r="Q88" s="3">
        <f t="shared" si="847"/>
        <v>0</v>
      </c>
      <c r="R88" s="3">
        <f t="shared" si="847"/>
        <v>0</v>
      </c>
      <c r="S88" s="3">
        <f t="shared" si="847"/>
        <v>0.23842092518396479</v>
      </c>
      <c r="T88" s="3">
        <f t="shared" si="847"/>
        <v>0.17110005467510034</v>
      </c>
      <c r="U88" s="3">
        <f t="shared" si="847"/>
        <v>0.16025943102866202</v>
      </c>
      <c r="V88" s="3">
        <f>V87/V86</f>
        <v>0.19002049601709786</v>
      </c>
      <c r="W88" s="3">
        <f t="shared" ref="W88" si="848">W87/W86</f>
        <v>0.16243235377176346</v>
      </c>
      <c r="X88" s="3">
        <f t="shared" ref="X88:Y88" si="849">X87/X86</f>
        <v>0.15810166464876893</v>
      </c>
      <c r="Y88" s="3">
        <f t="shared" si="849"/>
        <v>0.16450502499608427</v>
      </c>
      <c r="Z88" s="3">
        <f t="shared" ref="Z88" si="850">Z87/Z86</f>
        <v>0.13034964867863783</v>
      </c>
      <c r="AA88" s="36">
        <f t="shared" ref="AA88:AD88" si="851">AA87/AA86</f>
        <v>0</v>
      </c>
      <c r="AB88" s="36">
        <f t="shared" si="851"/>
        <v>0</v>
      </c>
      <c r="AC88" s="36">
        <f t="shared" si="851"/>
        <v>0</v>
      </c>
      <c r="AD88" s="36">
        <f t="shared" si="851"/>
        <v>0</v>
      </c>
      <c r="AE88" s="36">
        <f t="shared" ref="AE88" si="852">AE87/AE86</f>
        <v>0</v>
      </c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/>
      <c r="DD88" s="133"/>
    </row>
    <row r="89" spans="1:108" s="3" customFormat="1" x14ac:dyDescent="0.25">
      <c r="A89" s="3" t="s">
        <v>33</v>
      </c>
      <c r="B89" s="3" t="e">
        <f>+B86</f>
        <v>#DIV/0!</v>
      </c>
      <c r="C89" s="3" t="e">
        <f t="shared" ref="C89:U89" si="853">+C86</f>
        <v>#DIV/0!</v>
      </c>
      <c r="D89" s="3" t="e">
        <f t="shared" si="853"/>
        <v>#DIV/0!</v>
      </c>
      <c r="E89" s="3">
        <f t="shared" si="853"/>
        <v>0</v>
      </c>
      <c r="F89" s="3">
        <f t="shared" si="853"/>
        <v>5.3726308988955009E-2</v>
      </c>
      <c r="G89" s="3">
        <f t="shared" si="853"/>
        <v>3.2114128964443787E-2</v>
      </c>
      <c r="H89" s="3">
        <f t="shared" si="853"/>
        <v>4.1745121588837787E-2</v>
      </c>
      <c r="I89" s="3">
        <f t="shared" si="853"/>
        <v>6.2645430716759903E-2</v>
      </c>
      <c r="J89" s="3">
        <f t="shared" si="853"/>
        <v>6.4651386788366183E-2</v>
      </c>
      <c r="K89" s="3">
        <f t="shared" si="853"/>
        <v>6.5633614667831852E-2</v>
      </c>
      <c r="L89" s="3">
        <f t="shared" si="853"/>
        <v>7.3370844106981012E-2</v>
      </c>
      <c r="M89" s="3">
        <f t="shared" si="853"/>
        <v>2.3000536649621327E-2</v>
      </c>
      <c r="N89" s="3">
        <f t="shared" si="853"/>
        <v>7.4238009281228964E-2</v>
      </c>
      <c r="O89" s="3">
        <f t="shared" si="853"/>
        <v>-0.11688021773486532</v>
      </c>
      <c r="P89" s="3">
        <f t="shared" si="853"/>
        <v>-5.9596197031721282E-2</v>
      </c>
      <c r="Q89" s="3">
        <f t="shared" si="853"/>
        <v>0.33423661961003442</v>
      </c>
      <c r="R89" s="3">
        <f t="shared" si="853"/>
        <v>0.12529512033222126</v>
      </c>
      <c r="S89" s="3">
        <f t="shared" si="853"/>
        <v>0.62137225595378165</v>
      </c>
      <c r="T89" s="3">
        <f>+T86</f>
        <v>0.86585681360222</v>
      </c>
      <c r="U89" s="3">
        <f t="shared" si="853"/>
        <v>1.3866405290212098</v>
      </c>
      <c r="V89" s="3">
        <f>+V86</f>
        <v>1.1694644887266616</v>
      </c>
      <c r="W89" s="3">
        <f t="shared" ref="W89" si="854">+W86</f>
        <v>2.0521363237874732</v>
      </c>
      <c r="X89" s="3">
        <f t="shared" ref="X89:Y89" si="855">+X86</f>
        <v>4.4275308647450764</v>
      </c>
      <c r="Y89" s="3">
        <f t="shared" si="855"/>
        <v>6.0788416647078298</v>
      </c>
      <c r="Z89" s="3">
        <f t="shared" ref="Z89" si="856">+Z86</f>
        <v>7.6716739180892297</v>
      </c>
      <c r="AA89" s="36">
        <f t="shared" ref="AA89:AD89" si="857">+AA86</f>
        <v>8.9781304191632518</v>
      </c>
      <c r="AB89" s="36">
        <f t="shared" si="857"/>
        <v>9.6256636025694853</v>
      </c>
      <c r="AC89" s="36">
        <f t="shared" si="857"/>
        <v>12.671785712778666</v>
      </c>
      <c r="AD89" s="36">
        <f t="shared" si="857"/>
        <v>13.635476221098857</v>
      </c>
      <c r="AE89" s="36">
        <f t="shared" ref="AE89" si="858">+AE86</f>
        <v>17.320962021493305</v>
      </c>
      <c r="AL89" s="3">
        <f>SUM(AI86:AL86)</f>
        <v>0</v>
      </c>
      <c r="AM89" s="3">
        <f t="shared" ref="AM89" si="859">SUM(AJ86:AM86)</f>
        <v>0</v>
      </c>
      <c r="AN89" s="3">
        <f t="shared" ref="AN89" si="860">SUM(AK86:AN86)</f>
        <v>0</v>
      </c>
      <c r="AO89" s="3">
        <f t="shared" ref="AO89" si="861">SUM(AL86:AO86)</f>
        <v>0</v>
      </c>
      <c r="AP89" s="3">
        <f t="shared" ref="AP89" si="862">SUM(AM86:AP86)</f>
        <v>0</v>
      </c>
      <c r="AQ89" s="3">
        <f t="shared" ref="AQ89" si="863">SUM(AN86:AQ86)</f>
        <v>0</v>
      </c>
      <c r="AR89" s="3">
        <f t="shared" ref="AR89" si="864">SUM(AO86:AR86)</f>
        <v>0</v>
      </c>
      <c r="AS89" s="3">
        <f t="shared" ref="AS89" si="865">SUM(AP86:AS86)</f>
        <v>0</v>
      </c>
      <c r="AT89" s="3">
        <f t="shared" ref="AT89" si="866">SUM(AQ86:AT86)</f>
        <v>0</v>
      </c>
      <c r="AU89" s="3">
        <f t="shared" ref="AU89" si="867">SUM(AR86:AU86)</f>
        <v>0</v>
      </c>
      <c r="AV89" s="3">
        <f t="shared" ref="AV89" si="868">SUM(AS86:AV86)</f>
        <v>0</v>
      </c>
      <c r="AW89" s="3">
        <f t="shared" ref="AW89" si="869">SUM(AT86:AW86)</f>
        <v>-0.29199340027676268</v>
      </c>
      <c r="AX89" s="3">
        <f t="shared" ref="AX89" si="870">SUM(AU86:AX86)</f>
        <v>-0.4451176240996349</v>
      </c>
      <c r="AY89" s="3">
        <f t="shared" ref="AY89" si="871">SUM(AV86:AY86)</f>
        <v>0.1553596139516728</v>
      </c>
      <c r="AZ89" s="3">
        <f t="shared" ref="AZ89" si="872">SUM(AW86:AZ86)</f>
        <v>0.18582419661971172</v>
      </c>
      <c r="BA89" s="3">
        <f t="shared" ref="BA89" si="873">SUM(AX86:BA86)</f>
        <v>0.12530012182284844</v>
      </c>
      <c r="BB89" s="3">
        <f t="shared" ref="BB89" si="874">SUM(AY86:BB86)</f>
        <v>0.29175389419153391</v>
      </c>
      <c r="BC89" s="3">
        <f t="shared" ref="BC89" si="875">SUM(AZ86:BC86)</f>
        <v>0.41750937326284121</v>
      </c>
      <c r="BD89" s="3">
        <f t="shared" ref="BD89" si="876">SUM(BA86:BD86)</f>
        <v>0.48426947687139904</v>
      </c>
      <c r="BE89" s="3">
        <f t="shared" ref="BE89" si="877">SUM(BB86:BE86)</f>
        <v>0.62139705969319481</v>
      </c>
      <c r="BF89" s="3">
        <f t="shared" ref="BF89" si="878">SUM(BC86:BF86)</f>
        <v>0.66315982448047817</v>
      </c>
      <c r="BG89" s="3">
        <f t="shared" ref="BG89" si="879">SUM(BD86:BG86)</f>
        <v>0.83416716933376023</v>
      </c>
      <c r="BH89" s="3">
        <f t="shared" ref="BH89" si="880">SUM(BE86:BH86)</f>
        <v>0.86194396148978825</v>
      </c>
      <c r="BI89" s="3">
        <f t="shared" ref="BI89" si="881">SUM(BF86:BI86)</f>
        <v>0.86589137659818638</v>
      </c>
      <c r="BJ89" s="3">
        <f t="shared" ref="BJ89" si="882">SUM(BG86:BJ86)</f>
        <v>0.9309246709008987</v>
      </c>
      <c r="BK89" s="3">
        <f t="shared" ref="BK89" si="883">SUM(BH86:BK86)</f>
        <v>1.2369188281351637</v>
      </c>
      <c r="BL89" s="3">
        <f t="shared" ref="BL89" si="884">SUM(BI86:BL86)</f>
        <v>1.350630995044293</v>
      </c>
      <c r="BM89" s="3">
        <f t="shared" ref="BM89" si="885">SUM(BJ86:BM86)</f>
        <v>1.3866958804953335</v>
      </c>
      <c r="BN89" s="3">
        <f t="shared" ref="BN89" si="886">SUM(BK86:BN86)</f>
        <v>1.6256756437095647</v>
      </c>
      <c r="BO89" s="3">
        <f t="shared" ref="BO89" si="887">SUM(BL86:BO86)</f>
        <v>0.83870300062685488</v>
      </c>
      <c r="BP89" s="3">
        <f t="shared" ref="BP89" si="888">SUM(BM86:BP86)</f>
        <v>1.0524814013175785</v>
      </c>
      <c r="BQ89" s="3">
        <f t="shared" ref="BQ89" si="889">SUM(BN86:BQ86)</f>
        <v>1.1695111710369117</v>
      </c>
      <c r="BR89" s="3">
        <f t="shared" ref="BR89" si="890">SUM(BO86:BR86)</f>
        <v>1.1925954180416072</v>
      </c>
      <c r="BS89" s="3">
        <f t="shared" ref="BS89" si="891">SUM(BP86:BS86)</f>
        <v>1.6875362215993075</v>
      </c>
      <c r="BT89" s="3">
        <f t="shared" ref="BT89" si="892">SUM(BQ86:BT86)</f>
        <v>1.9451087535038849</v>
      </c>
      <c r="BU89" s="3">
        <f t="shared" ref="BU89" si="893">SUM(BR86:BU86)</f>
        <v>2.0522182403103533</v>
      </c>
      <c r="BV89" s="3">
        <f t="shared" ref="BV89" si="894">SUM(BS86:BV86)</f>
        <v>2.4216844669954694</v>
      </c>
      <c r="BW89" s="3">
        <f t="shared" ref="BW89" si="895">SUM(BT86:BW86)</f>
        <v>3.8388301458325937</v>
      </c>
      <c r="BX89" s="3">
        <f t="shared" ref="BX89" si="896">SUM(BU86:BX86)</f>
        <v>4.2554406320595142</v>
      </c>
      <c r="BY89" s="3">
        <f t="shared" ref="BY89" si="897">SUM(BV86:BY86)</f>
        <v>4.4277076015091819</v>
      </c>
      <c r="BZ89" s="3">
        <f t="shared" ref="BZ89" si="898">SUM(BW86:BZ86)</f>
        <v>4.9447598434044169</v>
      </c>
      <c r="CA89" s="3">
        <f t="shared" ref="CA89" si="899">SUM(BX86:CA86)</f>
        <v>5.5549769955883601</v>
      </c>
      <c r="CB89" s="3">
        <f t="shared" ref="CB89" si="900">SUM(BY86:CB86)</f>
        <v>5.9098895315142732</v>
      </c>
      <c r="CC89" s="3">
        <f t="shared" ref="CC89" si="901">SUM(BZ86:CC86)</f>
        <v>6.079084317969464</v>
      </c>
      <c r="CD89" s="3">
        <f t="shared" ref="CD89" si="902">SUM(CA86:CD86)</f>
        <v>6.3990141811257359</v>
      </c>
      <c r="CE89" s="3">
        <f t="shared" ref="CE89" si="903">SUM(CB86:CE86)</f>
        <v>7.1642272528356257</v>
      </c>
      <c r="CF89" s="3">
        <f t="shared" ref="CF89" si="904">SUM(CC86:CF86)</f>
        <v>7.5147518007309282</v>
      </c>
      <c r="CG89" s="3">
        <f t="shared" ref="CG89" si="905">SUM(CD86:CG86)</f>
        <v>7.6719801535204359</v>
      </c>
      <c r="CH89" s="3">
        <f t="shared" ref="CH89:CJ89" si="906">SUM(CE86:CH86)</f>
        <v>8.2314693254798925</v>
      </c>
      <c r="CI89" s="3">
        <f t="shared" si="906"/>
        <v>8.4219535417331919</v>
      </c>
      <c r="CJ89" s="3">
        <f t="shared" si="906"/>
        <v>8.7814403482004515</v>
      </c>
      <c r="CK89" s="3">
        <f t="shared" ref="CK89" si="907">SUM(CH86:CK86)</f>
        <v>8.978482201206166</v>
      </c>
      <c r="CL89" s="3">
        <f t="shared" ref="CL89" si="908">SUM(CI86:CL86)</f>
        <v>9.4096883035890375</v>
      </c>
      <c r="CM89" s="36">
        <f t="shared" ref="CM89" si="909">SUM(CJ86:CM86)</f>
        <v>8.8558997844643308</v>
      </c>
      <c r="CN89" s="36">
        <f t="shared" ref="CN89" si="910">SUM(CK86:CN86)</f>
        <v>8.6805982974396514</v>
      </c>
      <c r="CO89" s="36">
        <f t="shared" ref="CO89" si="911">SUM(CL86:CO86)</f>
        <v>9.6256636025694959</v>
      </c>
      <c r="CP89" s="36">
        <f t="shared" ref="CP89" si="912">SUM(CM86:CP86)</f>
        <v>10.492835497690502</v>
      </c>
      <c r="CQ89" s="36">
        <f t="shared" ref="CQ89" si="913">SUM(CN86:CQ86)</f>
        <v>11.283424809602341</v>
      </c>
      <c r="CR89" s="36">
        <f t="shared" ref="CR89" si="914">SUM(CO86:CR86)</f>
        <v>12.036777152619972</v>
      </c>
      <c r="CS89" s="36">
        <f t="shared" ref="CS89" si="915">SUM(CP86:CS86)</f>
        <v>12.67178571277867</v>
      </c>
      <c r="CT89" s="36">
        <f t="shared" ref="CT89" si="916">SUM(CQ86:CT86)</f>
        <v>12.926508298515675</v>
      </c>
      <c r="CU89" s="36">
        <f t="shared" ref="CU89" si="917">SUM(CR86:CU86)</f>
        <v>13.192122447646227</v>
      </c>
      <c r="CV89" s="36">
        <f t="shared" ref="CV89" si="918">SUM(CS86:CV86)</f>
        <v>13.362994726550673</v>
      </c>
      <c r="CW89" s="36">
        <f t="shared" ref="CW89" si="919">SUM(CT86:CW86)</f>
        <v>13.635476221098857</v>
      </c>
      <c r="CX89" s="36">
        <f t="shared" ref="CX89" si="920">SUM(CU86:CX86)</f>
        <v>14.579770772584524</v>
      </c>
      <c r="CY89" s="36">
        <f t="shared" ref="CY89" si="921">SUM(CV86:CY86)</f>
        <v>15.678756306188559</v>
      </c>
      <c r="CZ89" s="36">
        <f t="shared" ref="CZ89" si="922">SUM(CW86:CZ86)</f>
        <v>16.5337341035323</v>
      </c>
      <c r="DA89" s="36">
        <f t="shared" ref="DA89" si="923">SUM(CX86:DA86)</f>
        <v>17.320962021493298</v>
      </c>
      <c r="DB89"/>
      <c r="DD89" s="133"/>
    </row>
    <row r="90" spans="1:108" s="96" customFormat="1" x14ac:dyDescent="0.25">
      <c r="A90" s="96" t="s">
        <v>425</v>
      </c>
      <c r="C90" s="100" t="e">
        <f t="shared" ref="C90:AA90" si="924">+C89/B89-1</f>
        <v>#DIV/0!</v>
      </c>
      <c r="D90" s="100" t="e">
        <f t="shared" si="924"/>
        <v>#DIV/0!</v>
      </c>
      <c r="E90" s="100" t="e">
        <f t="shared" si="924"/>
        <v>#DIV/0!</v>
      </c>
      <c r="F90" s="100" t="e">
        <f t="shared" si="924"/>
        <v>#DIV/0!</v>
      </c>
      <c r="G90" s="100">
        <f t="shared" si="924"/>
        <v>-0.40226437347397581</v>
      </c>
      <c r="H90" s="100">
        <f t="shared" si="924"/>
        <v>0.29989892097205151</v>
      </c>
      <c r="I90" s="100">
        <f t="shared" si="924"/>
        <v>0.50066470841255484</v>
      </c>
      <c r="J90" s="100">
        <f t="shared" si="924"/>
        <v>3.2020788246725385E-2</v>
      </c>
      <c r="K90" s="100">
        <f t="shared" si="924"/>
        <v>1.5192680749153142E-2</v>
      </c>
      <c r="L90" s="100">
        <f t="shared" si="924"/>
        <v>0.11788516415417405</v>
      </c>
      <c r="M90" s="100">
        <f t="shared" si="924"/>
        <v>-0.68651666844551273</v>
      </c>
      <c r="N90" s="100">
        <f t="shared" si="924"/>
        <v>2.2276642241932731</v>
      </c>
      <c r="O90" s="100">
        <f t="shared" si="924"/>
        <v>-2.5743985980564057</v>
      </c>
      <c r="P90" s="100">
        <f t="shared" si="924"/>
        <v>-0.4901087781431831</v>
      </c>
      <c r="Q90" s="100">
        <f t="shared" si="924"/>
        <v>-6.6083548323080112</v>
      </c>
      <c r="R90" s="100">
        <f t="shared" si="924"/>
        <v>-0.62513048247553638</v>
      </c>
      <c r="S90" s="100">
        <f t="shared" si="924"/>
        <v>3.9592693977722906</v>
      </c>
      <c r="T90" s="100">
        <f t="shared" si="924"/>
        <v>0.3934590823871984</v>
      </c>
      <c r="U90" s="100">
        <f t="shared" si="924"/>
        <v>0.60146632472911521</v>
      </c>
      <c r="V90" s="100">
        <f t="shared" si="924"/>
        <v>-0.15662028892797941</v>
      </c>
      <c r="W90" s="100">
        <f t="shared" si="924"/>
        <v>0.75476582963359906</v>
      </c>
      <c r="X90" s="100">
        <f t="shared" si="924"/>
        <v>1.1575227792730245</v>
      </c>
      <c r="Y90" s="100">
        <f t="shared" si="924"/>
        <v>0.37296426618085943</v>
      </c>
      <c r="Z90" s="100">
        <f t="shared" si="924"/>
        <v>0.26202890965707648</v>
      </c>
      <c r="AA90" s="173">
        <f t="shared" si="924"/>
        <v>0.17029614592892117</v>
      </c>
      <c r="AB90" s="173">
        <f t="shared" ref="AB90" si="925">+AB89/AA89-1</f>
        <v>7.2123387963279662E-2</v>
      </c>
      <c r="AC90" s="173">
        <f t="shared" ref="AC90" si="926">+AC89/AB89-1</f>
        <v>0.31645840078974352</v>
      </c>
      <c r="AD90" s="173">
        <f t="shared" ref="AD90" si="927">+AD89/AC89-1</f>
        <v>7.6050095082366598E-2</v>
      </c>
      <c r="AE90" s="173">
        <f t="shared" ref="AE90" si="928">+AE89/AD89-1</f>
        <v>0.27028654816556474</v>
      </c>
      <c r="AL90" s="175"/>
      <c r="AM90" s="175"/>
      <c r="AN90" s="175"/>
      <c r="AO90" s="175"/>
      <c r="AP90" s="175" t="e">
        <f t="shared" ref="AP90:CJ90" si="929">+IF(AL89&lt;0,1-AP89/AL89,AP89/AL89-1)</f>
        <v>#DIV/0!</v>
      </c>
      <c r="AQ90" s="175" t="e">
        <f t="shared" si="929"/>
        <v>#DIV/0!</v>
      </c>
      <c r="AR90" s="175" t="e">
        <f t="shared" si="929"/>
        <v>#DIV/0!</v>
      </c>
      <c r="AS90" s="175" t="e">
        <f t="shared" si="929"/>
        <v>#DIV/0!</v>
      </c>
      <c r="AT90" s="175" t="e">
        <f t="shared" si="929"/>
        <v>#DIV/0!</v>
      </c>
      <c r="AU90" s="175" t="e">
        <f t="shared" si="929"/>
        <v>#DIV/0!</v>
      </c>
      <c r="AV90" s="175" t="e">
        <f t="shared" si="929"/>
        <v>#DIV/0!</v>
      </c>
      <c r="AW90" s="175" t="e">
        <f t="shared" si="929"/>
        <v>#DIV/0!</v>
      </c>
      <c r="AX90" s="175" t="e">
        <f t="shared" si="929"/>
        <v>#DIV/0!</v>
      </c>
      <c r="AY90" s="175" t="e">
        <f t="shared" si="929"/>
        <v>#DIV/0!</v>
      </c>
      <c r="AZ90" s="175" t="e">
        <f t="shared" si="929"/>
        <v>#DIV/0!</v>
      </c>
      <c r="BA90" s="175">
        <f t="shared" si="929"/>
        <v>1.4291197051169107</v>
      </c>
      <c r="BB90" s="175">
        <f t="shared" si="929"/>
        <v>1.6554534765539364</v>
      </c>
      <c r="BC90" s="175">
        <f t="shared" si="929"/>
        <v>1.6873739103954937</v>
      </c>
      <c r="BD90" s="175">
        <f t="shared" si="929"/>
        <v>1.6060625348078541</v>
      </c>
      <c r="BE90" s="175">
        <f t="shared" si="929"/>
        <v>3.959269397772311</v>
      </c>
      <c r="BF90" s="175">
        <f t="shared" si="929"/>
        <v>1.2730110469240881</v>
      </c>
      <c r="BG90" s="175">
        <f t="shared" si="929"/>
        <v>0.99796033994334765</v>
      </c>
      <c r="BH90" s="175">
        <f t="shared" si="929"/>
        <v>0.77988496623478731</v>
      </c>
      <c r="BI90" s="175">
        <f t="shared" si="929"/>
        <v>0.39345908238720484</v>
      </c>
      <c r="BJ90" s="175">
        <f t="shared" si="929"/>
        <v>0.4037712125130446</v>
      </c>
      <c r="BK90" s="175">
        <f t="shared" si="929"/>
        <v>0.48281888044464361</v>
      </c>
      <c r="BL90" s="175">
        <f t="shared" si="929"/>
        <v>0.56695917065171564</v>
      </c>
      <c r="BM90" s="175">
        <f t="shared" si="929"/>
        <v>0.60146632472911721</v>
      </c>
      <c r="BN90" s="175">
        <f t="shared" si="929"/>
        <v>0.746302031222702</v>
      </c>
      <c r="BO90" s="175">
        <f t="shared" si="929"/>
        <v>-0.32194176242646211</v>
      </c>
      <c r="BP90" s="175">
        <f t="shared" si="929"/>
        <v>-0.22074837229463762</v>
      </c>
      <c r="BQ90" s="175">
        <f t="shared" si="929"/>
        <v>-0.15662028892798219</v>
      </c>
      <c r="BR90" s="175">
        <f t="shared" si="929"/>
        <v>-0.26640014405316981</v>
      </c>
      <c r="BS90" s="175">
        <f t="shared" si="929"/>
        <v>1.0120784357967318</v>
      </c>
      <c r="BT90" s="175">
        <f t="shared" si="929"/>
        <v>0.84811698436556293</v>
      </c>
      <c r="BU90" s="175">
        <f t="shared" si="929"/>
        <v>0.75476582963360328</v>
      </c>
      <c r="BV90" s="175">
        <f t="shared" si="929"/>
        <v>1.03060017702582</v>
      </c>
      <c r="BW90" s="175">
        <f t="shared" si="929"/>
        <v>1.2748134805630822</v>
      </c>
      <c r="BX90" s="175">
        <f t="shared" si="929"/>
        <v>1.1877648868701236</v>
      </c>
      <c r="BY90" s="175">
        <f t="shared" si="929"/>
        <v>1.1575227792730209</v>
      </c>
      <c r="BZ90" s="175">
        <f t="shared" si="929"/>
        <v>1.0418679273849709</v>
      </c>
      <c r="CA90" s="175">
        <f t="shared" si="929"/>
        <v>0.44704943552108012</v>
      </c>
      <c r="CB90" s="175">
        <f t="shared" si="929"/>
        <v>0.3887843921474361</v>
      </c>
      <c r="CC90" s="175">
        <f t="shared" si="929"/>
        <v>0.37296426618085876</v>
      </c>
      <c r="CD90" s="175">
        <f t="shared" si="929"/>
        <v>0.29410009460036379</v>
      </c>
      <c r="CE90" s="175">
        <f t="shared" si="929"/>
        <v>0.28969521539428444</v>
      </c>
      <c r="CF90" s="175">
        <f t="shared" si="929"/>
        <v>0.27155537521620077</v>
      </c>
      <c r="CG90" s="175">
        <f t="shared" si="929"/>
        <v>0.2620289096570767</v>
      </c>
      <c r="CH90" s="175">
        <f t="shared" si="929"/>
        <v>0.28636522634362804</v>
      </c>
      <c r="CI90" s="175">
        <f t="shared" si="929"/>
        <v>0.17555644796160719</v>
      </c>
      <c r="CJ90" s="175">
        <f t="shared" si="929"/>
        <v>0.16856026400583413</v>
      </c>
      <c r="CK90" s="175">
        <f t="shared" ref="CK90" si="930">+IF(CG89&lt;0,1-CK89/CG89,CK89/CG89-1)</f>
        <v>0.17029528512091052</v>
      </c>
      <c r="CL90" s="175">
        <f t="shared" ref="CL90" si="931">+IF(CH89&lt;0,1-CL89/CH89,CL89/CH89-1)</f>
        <v>0.14313592525480923</v>
      </c>
      <c r="CM90" s="101">
        <f t="shared" ref="CM90:DA90" si="932">+IF(CI89&lt;0,1-CM89/CI89,CM89/CI89-1)</f>
        <v>5.1525603956470656E-2</v>
      </c>
      <c r="CN90" s="101">
        <f t="shared" si="932"/>
        <v>-1.1483543332554191E-2</v>
      </c>
      <c r="CO90" s="101">
        <f t="shared" si="932"/>
        <v>7.2081381558721347E-2</v>
      </c>
      <c r="CP90" s="101">
        <f t="shared" si="932"/>
        <v>0.11510978463424038</v>
      </c>
      <c r="CQ90" s="101">
        <f t="shared" si="932"/>
        <v>0.27411387710106583</v>
      </c>
      <c r="CR90" s="101">
        <f t="shared" si="932"/>
        <v>0.38662990040332001</v>
      </c>
      <c r="CS90" s="101">
        <f t="shared" si="932"/>
        <v>0.31645840078974241</v>
      </c>
      <c r="CT90" s="101">
        <f t="shared" si="932"/>
        <v>0.2319366201214943</v>
      </c>
      <c r="CU90" s="101">
        <f t="shared" si="932"/>
        <v>0.16915942369018677</v>
      </c>
      <c r="CV90" s="101">
        <f t="shared" si="932"/>
        <v>0.11018045421253242</v>
      </c>
      <c r="CW90" s="101">
        <f t="shared" si="932"/>
        <v>7.6050095082366154E-2</v>
      </c>
      <c r="CX90" s="101">
        <f t="shared" si="932"/>
        <v>0.12789706515398991</v>
      </c>
      <c r="CY90" s="101">
        <f t="shared" si="932"/>
        <v>0.18849384308026984</v>
      </c>
      <c r="CZ90" s="101">
        <f t="shared" si="932"/>
        <v>0.23727760444907964</v>
      </c>
      <c r="DA90" s="101">
        <f t="shared" si="932"/>
        <v>0.27028654816556408</v>
      </c>
      <c r="DB90"/>
      <c r="DD90" s="134"/>
    </row>
    <row r="91" spans="1:108" s="143" customFormat="1" x14ac:dyDescent="0.25">
      <c r="A91" s="143" t="s">
        <v>424</v>
      </c>
      <c r="AA91" s="144"/>
      <c r="AB91" s="144"/>
      <c r="AC91" s="144"/>
      <c r="AD91" s="144"/>
      <c r="AE91" s="144"/>
      <c r="CM91" s="144"/>
      <c r="CN91" s="144"/>
      <c r="CO91" s="144">
        <v>10</v>
      </c>
      <c r="CP91" s="144"/>
      <c r="CQ91" s="144"/>
      <c r="CR91" s="144"/>
      <c r="CS91" s="144">
        <v>11.8</v>
      </c>
      <c r="CT91" s="144"/>
      <c r="CU91" s="144"/>
      <c r="CV91" s="144"/>
      <c r="CW91" s="144">
        <v>13</v>
      </c>
      <c r="CX91" s="144"/>
      <c r="CY91" s="144"/>
      <c r="CZ91" s="144"/>
      <c r="DA91" s="144"/>
      <c r="DB91"/>
      <c r="DD91" s="145"/>
    </row>
    <row r="92" spans="1:108" s="143" customFormat="1" x14ac:dyDescent="0.25">
      <c r="A92" s="143" t="s">
        <v>436</v>
      </c>
      <c r="AA92" s="144"/>
      <c r="AB92" s="144"/>
      <c r="AC92" s="144"/>
      <c r="AD92" s="144"/>
      <c r="AE92" s="144"/>
      <c r="CM92" s="144"/>
      <c r="CN92" s="144"/>
      <c r="CO92" s="144">
        <f>CO89/CO91-1</f>
        <v>-3.7433639743050362E-2</v>
      </c>
      <c r="CP92" s="144"/>
      <c r="CQ92" s="144"/>
      <c r="CR92" s="144"/>
      <c r="CS92" s="144">
        <f>CS89/CS91-1</f>
        <v>7.3880145150734711E-2</v>
      </c>
      <c r="CT92" s="144"/>
      <c r="CU92" s="144"/>
      <c r="CV92" s="144"/>
      <c r="CW92" s="144">
        <f>CW89/CW91-1</f>
        <v>4.888278623837361E-2</v>
      </c>
      <c r="CX92" s="144"/>
      <c r="CY92" s="144"/>
      <c r="CZ92" s="144"/>
      <c r="DA92" s="144"/>
      <c r="DB92"/>
      <c r="DD92" s="145"/>
    </row>
    <row r="93" spans="1:108" s="3" customFormat="1" x14ac:dyDescent="0.25">
      <c r="A93" s="3" t="s">
        <v>34</v>
      </c>
      <c r="B93" s="3">
        <f>'Annual Raw'!C112</f>
        <v>0</v>
      </c>
      <c r="C93" s="3">
        <f>'Annual Raw'!D112</f>
        <v>0</v>
      </c>
      <c r="D93" s="3">
        <f>'Annual Raw'!E112</f>
        <v>0</v>
      </c>
      <c r="E93" s="3">
        <f>'Annual Raw'!F112</f>
        <v>0</v>
      </c>
      <c r="F93" s="3">
        <f>'Annual Raw'!G112</f>
        <v>0</v>
      </c>
      <c r="G93" s="3">
        <f>'Annual Raw'!H112</f>
        <v>0</v>
      </c>
      <c r="H93" s="3">
        <f>'Annual Raw'!I112</f>
        <v>0</v>
      </c>
      <c r="I93" s="3">
        <f>'Annual Raw'!J112</f>
        <v>0</v>
      </c>
      <c r="J93" s="3">
        <f>'Annual Raw'!K112</f>
        <v>0</v>
      </c>
      <c r="K93" s="3">
        <f>'Annual Raw'!L112</f>
        <v>0</v>
      </c>
      <c r="L93" s="3">
        <f>'Annual Raw'!M112</f>
        <v>0</v>
      </c>
      <c r="M93" s="3">
        <f>'Annual Raw'!N112</f>
        <v>0</v>
      </c>
      <c r="N93" s="3">
        <f>'Annual Raw'!O112</f>
        <v>0</v>
      </c>
      <c r="O93" s="3">
        <f>'Annual Raw'!P112</f>
        <v>0</v>
      </c>
      <c r="P93" s="3">
        <f>'Annual Raw'!Q112</f>
        <v>66.959999999999994</v>
      </c>
      <c r="Q93" s="3">
        <f>'Annual Raw'!R112</f>
        <v>98.72</v>
      </c>
      <c r="R93" s="3">
        <f>'Annual Raw'!S112</f>
        <v>73.59</v>
      </c>
      <c r="S93" s="3">
        <f>'Annual Raw'!T112</f>
        <v>73.59</v>
      </c>
      <c r="T93" s="3">
        <f>'Annual Raw'!U112</f>
        <v>73.56</v>
      </c>
      <c r="U93" s="3">
        <f>'Annual Raw'!V112</f>
        <v>68.430000000000007</v>
      </c>
      <c r="V93" s="3">
        <f>'Annual Raw'!W112</f>
        <v>66.400000000000006</v>
      </c>
      <c r="W93" s="3">
        <f>'Annual Raw'!X112</f>
        <v>64.89</v>
      </c>
      <c r="X93" s="3">
        <f>'Annual Raw'!Y112</f>
        <v>63.9</v>
      </c>
      <c r="Y93" s="3">
        <f>'Annual Raw'!Z112</f>
        <v>63.09</v>
      </c>
      <c r="Z93" s="3">
        <f>'Annual Raw'!AA112</f>
        <v>60.2</v>
      </c>
      <c r="AA93" s="36"/>
      <c r="AB93" s="36"/>
      <c r="AC93" s="36"/>
      <c r="AD93" s="36"/>
      <c r="AE93" s="36"/>
      <c r="AI93" s="3">
        <f>'QTR Raw'!C49</f>
        <v>0</v>
      </c>
      <c r="AJ93" s="3">
        <f>'QTR Raw'!D49</f>
        <v>0</v>
      </c>
      <c r="AK93" s="3">
        <f>'QTR Raw'!E49</f>
        <v>0</v>
      </c>
      <c r="AL93" s="3">
        <f>'QTR Raw'!F49</f>
        <v>0</v>
      </c>
      <c r="AM93" s="3">
        <f>'QTR Raw'!G49</f>
        <v>0</v>
      </c>
      <c r="AN93" s="3">
        <f>'QTR Raw'!H49</f>
        <v>0</v>
      </c>
      <c r="AO93" s="3">
        <f>'QTR Raw'!I49</f>
        <v>0</v>
      </c>
      <c r="AP93" s="3">
        <f>'QTR Raw'!J49</f>
        <v>0</v>
      </c>
      <c r="AQ93" s="3">
        <f>'QTR Raw'!K49</f>
        <v>0</v>
      </c>
      <c r="AR93" s="3">
        <f>'QTR Raw'!L49</f>
        <v>0</v>
      </c>
      <c r="AS93" s="3">
        <f>'QTR Raw'!M49</f>
        <v>0</v>
      </c>
      <c r="AT93" s="3">
        <f>'QTR Raw'!N49</f>
        <v>0</v>
      </c>
      <c r="AU93" s="3">
        <f>'QTR Raw'!O49</f>
        <v>0</v>
      </c>
      <c r="AV93" s="3">
        <f>'QTR Raw'!P49</f>
        <v>0</v>
      </c>
      <c r="AW93" s="3">
        <f>'QTR Raw'!Q49</f>
        <v>98.72</v>
      </c>
      <c r="AX93" s="3">
        <f>'QTR Raw'!R49</f>
        <v>0</v>
      </c>
      <c r="AY93" s="3">
        <f>'QTR Raw'!S49</f>
        <v>0</v>
      </c>
      <c r="AZ93" s="3">
        <f>'QTR Raw'!T49</f>
        <v>0</v>
      </c>
      <c r="BA93" s="3">
        <f>'QTR Raw'!U49</f>
        <v>73.59</v>
      </c>
      <c r="BB93" s="3">
        <f>'QTR Raw'!V49</f>
        <v>73.66</v>
      </c>
      <c r="BC93" s="3">
        <f>'QTR Raw'!W49</f>
        <v>73.62</v>
      </c>
      <c r="BD93" s="3">
        <f>'QTR Raw'!X49</f>
        <v>73.59</v>
      </c>
      <c r="BE93" s="3">
        <f>'QTR Raw'!Y49</f>
        <v>73.59</v>
      </c>
      <c r="BF93" s="3">
        <f>'QTR Raw'!Z49</f>
        <v>73.569999999999993</v>
      </c>
      <c r="BG93" s="3">
        <f>'QTR Raw'!AA49</f>
        <v>73.569999999999993</v>
      </c>
      <c r="BH93" s="3">
        <f>'QTR Raw'!AB49</f>
        <v>73.569999999999993</v>
      </c>
      <c r="BI93" s="3">
        <f>'QTR Raw'!AC49</f>
        <v>73.56</v>
      </c>
      <c r="BJ93" s="3">
        <f>'QTR Raw'!AD49</f>
        <v>73.56</v>
      </c>
      <c r="BK93" s="3">
        <f>'QTR Raw'!AE49</f>
        <v>73.56</v>
      </c>
      <c r="BL93" s="3">
        <f>'QTR Raw'!AF49</f>
        <v>68.430000000000007</v>
      </c>
      <c r="BM93" s="3">
        <f>'QTR Raw'!AG49</f>
        <v>68.430000000000007</v>
      </c>
      <c r="BN93" s="3">
        <f>'QTR Raw'!AH49</f>
        <v>68.040000000000006</v>
      </c>
      <c r="BO93" s="3">
        <f>'QTR Raw'!AI49</f>
        <v>66.400000000000006</v>
      </c>
      <c r="BP93" s="3">
        <f>'QTR Raw'!AJ49</f>
        <v>66.400000000000006</v>
      </c>
      <c r="BQ93" s="3">
        <f>'QTR Raw'!AK49</f>
        <v>66.400000000000006</v>
      </c>
      <c r="BR93" s="3">
        <f>'QTR Raw'!AL49</f>
        <v>66.400000000000006</v>
      </c>
      <c r="BS93" s="3">
        <f>'QTR Raw'!AM49</f>
        <v>65.819999999999993</v>
      </c>
      <c r="BT93" s="3">
        <f>'QTR Raw'!AN49</f>
        <v>64.89</v>
      </c>
      <c r="BU93" s="3">
        <f>'QTR Raw'!AO49</f>
        <v>64.89</v>
      </c>
      <c r="BV93" s="3">
        <f>'QTR Raw'!AP49</f>
        <v>64.89</v>
      </c>
      <c r="BW93" s="3">
        <f>'QTR Raw'!AQ49</f>
        <v>63.9</v>
      </c>
      <c r="BX93" s="3">
        <f>'QTR Raw'!AR49</f>
        <v>63.9</v>
      </c>
      <c r="BY93" s="3">
        <f>'QTR Raw'!AS49</f>
        <v>63.9</v>
      </c>
      <c r="BZ93" s="3">
        <f>'QTR Raw'!AT49</f>
        <v>63.9</v>
      </c>
      <c r="CA93" s="3">
        <f>'QTR Raw'!AU49</f>
        <v>63.62</v>
      </c>
      <c r="CB93" s="3">
        <f>'QTR Raw'!AV49</f>
        <v>63.1</v>
      </c>
      <c r="CC93" s="3">
        <f>'QTR Raw'!AW49</f>
        <v>63.09</v>
      </c>
      <c r="CD93" s="3">
        <f>'QTR Raw'!AX49</f>
        <v>62.91</v>
      </c>
      <c r="CE93" s="3">
        <f>'QTR Raw'!AY49</f>
        <v>62.66</v>
      </c>
      <c r="CF93" s="3">
        <f>'QTR Raw'!AZ49</f>
        <v>62.66</v>
      </c>
      <c r="CG93" s="3">
        <f>'QTR Raw'!BA49</f>
        <v>60.2</v>
      </c>
      <c r="CH93" s="3">
        <f>'QTR Raw'!BB49</f>
        <v>60.23</v>
      </c>
      <c r="CI93" s="3">
        <f>'QTR Raw'!BC49</f>
        <v>59.82</v>
      </c>
      <c r="CJ93" s="3">
        <f>'QTR Raw'!BD49</f>
        <v>59.44</v>
      </c>
      <c r="CK93" s="3">
        <f>'QTR Raw'!BE49</f>
        <v>59.44</v>
      </c>
      <c r="CL93" s="3">
        <f>'QTR Raw'!BF49</f>
        <v>59.44</v>
      </c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/>
      <c r="DD93" s="133"/>
    </row>
    <row r="94" spans="1:108" s="3" customFormat="1" x14ac:dyDescent="0.25">
      <c r="A94" s="3" t="s">
        <v>35</v>
      </c>
      <c r="B94" s="3">
        <f>'Annual Raw'!C113</f>
        <v>0</v>
      </c>
      <c r="C94" s="3">
        <f>'Annual Raw'!D113</f>
        <v>0</v>
      </c>
      <c r="D94" s="3">
        <f>'Annual Raw'!E113</f>
        <v>0</v>
      </c>
      <c r="E94" s="3">
        <f>'Annual Raw'!F113</f>
        <v>0</v>
      </c>
      <c r="F94" s="3">
        <f>'Annual Raw'!G113</f>
        <v>0</v>
      </c>
      <c r="G94" s="3">
        <f>'Annual Raw'!H113</f>
        <v>0</v>
      </c>
      <c r="H94" s="3">
        <f>'Annual Raw'!I113</f>
        <v>0</v>
      </c>
      <c r="I94" s="3">
        <f>'Annual Raw'!J113</f>
        <v>0</v>
      </c>
      <c r="J94" s="3">
        <f>'Annual Raw'!K113</f>
        <v>0</v>
      </c>
      <c r="K94" s="3">
        <f>'Annual Raw'!L113</f>
        <v>0</v>
      </c>
      <c r="L94" s="3">
        <f>'Annual Raw'!M113</f>
        <v>0</v>
      </c>
      <c r="M94" s="3">
        <f>'Annual Raw'!N113</f>
        <v>0</v>
      </c>
      <c r="N94" s="3">
        <f>'Annual Raw'!O113</f>
        <v>0</v>
      </c>
      <c r="O94" s="3">
        <f>'Annual Raw'!P113</f>
        <v>0</v>
      </c>
      <c r="P94" s="3">
        <f>'Annual Raw'!Q113</f>
        <v>0</v>
      </c>
      <c r="Q94" s="3">
        <f>'Annual Raw'!R113</f>
        <v>0</v>
      </c>
      <c r="R94" s="3">
        <f>'Annual Raw'!S113</f>
        <v>0</v>
      </c>
      <c r="S94" s="3">
        <f>'Annual Raw'!T113</f>
        <v>0.13</v>
      </c>
      <c r="T94" s="3">
        <f>'Annual Raw'!U113</f>
        <v>0.13</v>
      </c>
      <c r="U94" s="3">
        <f>'Annual Raw'!V113</f>
        <v>0.13</v>
      </c>
      <c r="V94" s="3">
        <f>'Annual Raw'!W113</f>
        <v>0</v>
      </c>
      <c r="W94" s="3">
        <f>'Annual Raw'!X113</f>
        <v>0.04</v>
      </c>
      <c r="X94" s="3">
        <f>'Annual Raw'!Y113</f>
        <v>0.04</v>
      </c>
      <c r="Y94" s="3">
        <f>'Annual Raw'!Z113</f>
        <v>0.04</v>
      </c>
      <c r="Z94" s="3">
        <f>'Annual Raw'!AA113</f>
        <v>0.04</v>
      </c>
      <c r="AA94" s="36"/>
      <c r="AB94" s="36"/>
      <c r="AC94" s="36"/>
      <c r="AD94" s="36"/>
      <c r="AE94" s="36"/>
      <c r="AI94" s="3">
        <f>'QTR Raw'!C50</f>
        <v>0</v>
      </c>
      <c r="AJ94" s="3">
        <f>'QTR Raw'!D50</f>
        <v>0</v>
      </c>
      <c r="AK94" s="3">
        <f>'QTR Raw'!E50</f>
        <v>0</v>
      </c>
      <c r="AL94" s="3">
        <f>'QTR Raw'!F50</f>
        <v>0</v>
      </c>
      <c r="AM94" s="3">
        <f>'QTR Raw'!G50</f>
        <v>0</v>
      </c>
      <c r="AN94" s="3">
        <f>'QTR Raw'!H50</f>
        <v>0</v>
      </c>
      <c r="AO94" s="3">
        <f>'QTR Raw'!I50</f>
        <v>0</v>
      </c>
      <c r="AP94" s="3">
        <f>'QTR Raw'!J50</f>
        <v>0</v>
      </c>
      <c r="AQ94" s="3">
        <f>'QTR Raw'!K50</f>
        <v>0</v>
      </c>
      <c r="AR94" s="3">
        <f>'QTR Raw'!L50</f>
        <v>0</v>
      </c>
      <c r="AS94" s="3">
        <f>'QTR Raw'!M50</f>
        <v>0</v>
      </c>
      <c r="AT94" s="3">
        <f>'QTR Raw'!N50</f>
        <v>0</v>
      </c>
      <c r="AU94" s="3">
        <f>'QTR Raw'!O50</f>
        <v>0</v>
      </c>
      <c r="AV94" s="3">
        <f>'QTR Raw'!P50</f>
        <v>0</v>
      </c>
      <c r="AW94" s="3">
        <f>'QTR Raw'!Q50</f>
        <v>0</v>
      </c>
      <c r="AX94" s="3">
        <f>'QTR Raw'!R50</f>
        <v>0</v>
      </c>
      <c r="AY94" s="3">
        <f>'QTR Raw'!S50</f>
        <v>0</v>
      </c>
      <c r="AZ94" s="3">
        <f>'QTR Raw'!T50</f>
        <v>0</v>
      </c>
      <c r="BA94" s="3">
        <f>'QTR Raw'!U50</f>
        <v>0</v>
      </c>
      <c r="BB94" s="3">
        <f>'QTR Raw'!V50</f>
        <v>0</v>
      </c>
      <c r="BC94" s="3">
        <f>'QTR Raw'!W50</f>
        <v>0</v>
      </c>
      <c r="BD94" s="3">
        <f>'QTR Raw'!X50</f>
        <v>0.13</v>
      </c>
      <c r="BE94" s="3">
        <f>'QTR Raw'!Y50</f>
        <v>0.13</v>
      </c>
      <c r="BF94" s="3">
        <f>'QTR Raw'!Z50</f>
        <v>0.13</v>
      </c>
      <c r="BG94" s="3">
        <f>'QTR Raw'!AA50</f>
        <v>0.13</v>
      </c>
      <c r="BH94" s="3">
        <f>'QTR Raw'!AB50</f>
        <v>0.13</v>
      </c>
      <c r="BI94" s="3">
        <f>'QTR Raw'!AC50</f>
        <v>0.13</v>
      </c>
      <c r="BJ94" s="3">
        <f>'QTR Raw'!AD50</f>
        <v>0.13</v>
      </c>
      <c r="BK94" s="3">
        <f>'QTR Raw'!AE50</f>
        <v>0.13</v>
      </c>
      <c r="BL94" s="3">
        <f>'QTR Raw'!AF50</f>
        <v>0.13</v>
      </c>
      <c r="BM94" s="3">
        <f>'QTR Raw'!AG50</f>
        <v>0.13</v>
      </c>
      <c r="BN94" s="3">
        <f>'QTR Raw'!AH50</f>
        <v>0.12</v>
      </c>
      <c r="BO94" s="3">
        <f>'QTR Raw'!AI50</f>
        <v>0</v>
      </c>
      <c r="BP94" s="3">
        <f>'QTR Raw'!AJ50</f>
        <v>0</v>
      </c>
      <c r="BQ94" s="3">
        <f>'QTR Raw'!AK50</f>
        <v>0</v>
      </c>
      <c r="BR94" s="3">
        <f>'QTR Raw'!AL50</f>
        <v>0</v>
      </c>
      <c r="BS94" s="3">
        <f>'QTR Raw'!AM50</f>
        <v>0</v>
      </c>
      <c r="BT94" s="3">
        <f>'QTR Raw'!AN50</f>
        <v>0</v>
      </c>
      <c r="BU94" s="3">
        <f>'QTR Raw'!AO50</f>
        <v>0.04</v>
      </c>
      <c r="BV94" s="3">
        <f>'QTR Raw'!AP50</f>
        <v>0.04</v>
      </c>
      <c r="BW94" s="3">
        <f>'QTR Raw'!AQ50</f>
        <v>0.04</v>
      </c>
      <c r="BX94" s="3">
        <f>'QTR Raw'!AR50</f>
        <v>0.04</v>
      </c>
      <c r="BY94" s="3">
        <f>'QTR Raw'!AS50</f>
        <v>0.04</v>
      </c>
      <c r="BZ94" s="3">
        <f>'QTR Raw'!AT50</f>
        <v>0.04</v>
      </c>
      <c r="CA94" s="3">
        <f>'QTR Raw'!AU50</f>
        <v>0.04</v>
      </c>
      <c r="CB94" s="3">
        <f>'QTR Raw'!AV50</f>
        <v>0.04</v>
      </c>
      <c r="CC94" s="3">
        <f>'QTR Raw'!AW50</f>
        <v>0.04</v>
      </c>
      <c r="CD94" s="3">
        <f>'QTR Raw'!AX50</f>
        <v>0.04</v>
      </c>
      <c r="CE94" s="3">
        <f>'QTR Raw'!AY50</f>
        <v>0.04</v>
      </c>
      <c r="CF94" s="3">
        <f>'QTR Raw'!AZ50</f>
        <v>0.04</v>
      </c>
      <c r="CG94" s="3">
        <f>'QTR Raw'!BA50</f>
        <v>0.04</v>
      </c>
      <c r="CH94" s="3">
        <f>'QTR Raw'!BB50</f>
        <v>0.04</v>
      </c>
      <c r="CI94" s="3">
        <f>'QTR Raw'!BC50</f>
        <v>0.04</v>
      </c>
      <c r="CJ94" s="3">
        <f>'QTR Raw'!BD50</f>
        <v>0.04</v>
      </c>
      <c r="CK94" s="3">
        <f>'QTR Raw'!BE50</f>
        <v>0.04</v>
      </c>
      <c r="CL94" s="3">
        <f>'QTR Raw'!BF50</f>
        <v>0</v>
      </c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/>
      <c r="DD94" s="133"/>
    </row>
    <row r="95" spans="1:108" s="3" customFormat="1" x14ac:dyDescent="0.25">
      <c r="AA95" s="36"/>
      <c r="AB95" s="36"/>
      <c r="AC95" s="36"/>
      <c r="AD95" s="36"/>
      <c r="AE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/>
      <c r="DD95" s="133"/>
    </row>
    <row r="96" spans="1:108" s="13" customFormat="1" x14ac:dyDescent="0.25">
      <c r="A96" s="13" t="s">
        <v>36</v>
      </c>
      <c r="AA96" s="36"/>
      <c r="AB96" s="36"/>
      <c r="AC96" s="36"/>
      <c r="AD96" s="36"/>
      <c r="AE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/>
      <c r="DD96" s="133"/>
    </row>
    <row r="97" spans="1:108" s="13" customFormat="1" x14ac:dyDescent="0.25">
      <c r="A97" s="13" t="s">
        <v>457</v>
      </c>
      <c r="B97" s="13">
        <f>'Annual Raw'!C106</f>
        <v>0</v>
      </c>
      <c r="C97" s="13">
        <f>'Annual Raw'!D106</f>
        <v>0</v>
      </c>
      <c r="D97" s="13">
        <f>'Annual Raw'!E106</f>
        <v>0</v>
      </c>
      <c r="E97" s="13">
        <f>'Annual Raw'!F106</f>
        <v>0</v>
      </c>
      <c r="F97" s="13">
        <f>'Annual Raw'!G106</f>
        <v>0</v>
      </c>
      <c r="G97" s="13">
        <f>'Annual Raw'!H106</f>
        <v>0</v>
      </c>
      <c r="H97" s="13">
        <f>'Annual Raw'!I106</f>
        <v>0</v>
      </c>
      <c r="I97" s="13">
        <f>'Annual Raw'!J106</f>
        <v>0</v>
      </c>
      <c r="J97" s="13">
        <f>'Annual Raw'!K106</f>
        <v>0</v>
      </c>
      <c r="K97" s="13">
        <f>'Annual Raw'!L106</f>
        <v>0</v>
      </c>
      <c r="L97" s="13">
        <f>'Annual Raw'!M106</f>
        <v>0</v>
      </c>
      <c r="M97" s="13">
        <f>'Annual Raw'!N106</f>
        <v>0</v>
      </c>
      <c r="N97" s="13">
        <f>'Annual Raw'!O106</f>
        <v>0</v>
      </c>
      <c r="O97" s="13">
        <f>'Annual Raw'!P106</f>
        <v>0</v>
      </c>
      <c r="P97" s="13">
        <f>'Annual Raw'!Q106</f>
        <v>0</v>
      </c>
      <c r="Q97" s="13">
        <f>'Annual Raw'!R106</f>
        <v>0</v>
      </c>
      <c r="R97" s="13">
        <f>'Annual Raw'!S106</f>
        <v>22.5985185185185</v>
      </c>
      <c r="S97" s="13">
        <f>'Annual Raw'!T106</f>
        <v>38.598518518518503</v>
      </c>
      <c r="T97" s="13">
        <f>'Annual Raw'!U106</f>
        <v>46.645925925925901</v>
      </c>
      <c r="U97" s="13">
        <f>'Annual Raw'!V106</f>
        <v>62.928888888888899</v>
      </c>
      <c r="V97" s="13">
        <f>'Annual Raw'!W106</f>
        <v>81.373333333333306</v>
      </c>
      <c r="W97" s="13">
        <f>'Annual Raw'!X106</f>
        <v>118.206666666667</v>
      </c>
      <c r="X97" s="13">
        <f>'Annual Raw'!Y106</f>
        <v>264.5</v>
      </c>
      <c r="Y97" s="13">
        <f>'Annual Raw'!Z106</f>
        <v>494.62</v>
      </c>
      <c r="Z97" s="13">
        <f>'Annual Raw'!AA106</f>
        <v>638.45000000000005</v>
      </c>
      <c r="AA97" s="36">
        <f>+CK97</f>
        <v>489.85</v>
      </c>
      <c r="AB97" s="36">
        <f>+CO97</f>
        <v>522</v>
      </c>
      <c r="AC97" s="36">
        <f>+CS97</f>
        <v>522</v>
      </c>
      <c r="AD97" s="36">
        <f>+CW97</f>
        <v>522</v>
      </c>
      <c r="AE97" s="36">
        <f>+DA97</f>
        <v>522</v>
      </c>
      <c r="AJ97" s="13">
        <f>'QTR Share Price'!HP21</f>
        <v>0</v>
      </c>
      <c r="AK97" s="13">
        <f>'QTR Share Price'!HQ21</f>
        <v>0</v>
      </c>
      <c r="AL97" s="13">
        <f>'QTR Share Price'!HR21</f>
        <v>0</v>
      </c>
      <c r="AM97" s="13">
        <f>'QTR Share Price'!HS21</f>
        <v>0</v>
      </c>
      <c r="AN97" s="13">
        <f>'QTR Share Price'!HT21</f>
        <v>0</v>
      </c>
      <c r="AO97" s="13">
        <f>'QTR Share Price'!HU21</f>
        <v>0</v>
      </c>
      <c r="AP97" s="13">
        <f>'QTR Share Price'!HV21</f>
        <v>0</v>
      </c>
      <c r="AQ97" s="13">
        <f>'QTR Share Price'!HW21</f>
        <v>0</v>
      </c>
      <c r="AR97" s="13">
        <f>'QTR Share Price'!HX21</f>
        <v>0</v>
      </c>
      <c r="AS97" s="13">
        <f>'QTR Share Price'!HY21</f>
        <v>0</v>
      </c>
      <c r="AT97" s="13">
        <f>'QTR Share Price'!HZ21</f>
        <v>0</v>
      </c>
      <c r="AU97" s="13">
        <f>'QTR Share Price'!IA21</f>
        <v>0</v>
      </c>
      <c r="AV97" s="13">
        <f>'QTR Share Price'!IB21</f>
        <v>0</v>
      </c>
      <c r="AW97" s="13">
        <f>'QTR Share Price'!IC21</f>
        <v>0</v>
      </c>
      <c r="AX97" s="13">
        <f>'QTR Share Price'!ID21</f>
        <v>0</v>
      </c>
      <c r="AY97" s="13">
        <f>'QTR Share Price'!IE21</f>
        <v>0</v>
      </c>
      <c r="AZ97" s="13">
        <f>'QTR Share Price'!IF21</f>
        <v>0</v>
      </c>
      <c r="BA97" s="13">
        <f>'QTR Share Price'!IG21</f>
        <v>22.5985185185185</v>
      </c>
      <c r="BB97" s="13">
        <f>'QTR Share Price'!IH21</f>
        <v>23.985185185185198</v>
      </c>
      <c r="BC97" s="13">
        <f>'QTR Share Price'!II21</f>
        <v>31.6177777777778</v>
      </c>
      <c r="BD97" s="13">
        <f>'QTR Share Price'!IJ21</f>
        <v>29.973333333333301</v>
      </c>
      <c r="BE97" s="13">
        <f>'QTR Share Price'!IK21</f>
        <v>38.598518518518503</v>
      </c>
      <c r="BF97" s="13">
        <f>'QTR Share Price'!IL21</f>
        <v>36.586666666666702</v>
      </c>
      <c r="BG97" s="13">
        <f>'QTR Share Price'!IM21</f>
        <v>44.637037037036997</v>
      </c>
      <c r="BH97" s="13">
        <f>'QTR Share Price'!IN21</f>
        <v>43.84</v>
      </c>
      <c r="BI97" s="13">
        <f>'QTR Share Price'!IO21</f>
        <v>46.645925925925901</v>
      </c>
      <c r="BJ97" s="13">
        <f>'QTR Share Price'!IP21</f>
        <v>51.2681481481482</v>
      </c>
      <c r="BK97" s="13">
        <f>'QTR Share Price'!IQ21</f>
        <v>56.014814814814798</v>
      </c>
      <c r="BL97" s="13">
        <f>'QTR Share Price'!IR21</f>
        <v>55.577777777777797</v>
      </c>
      <c r="BM97" s="13">
        <f>'QTR Share Price'!IS21</f>
        <v>62.928888888888899</v>
      </c>
      <c r="BN97" s="13">
        <f>'QTR Share Price'!IT21</f>
        <v>47.16</v>
      </c>
      <c r="BO97" s="13">
        <f>'QTR Share Price'!IU21</f>
        <v>60.684444444444502</v>
      </c>
      <c r="BP97" s="13">
        <f>'QTR Share Price'!IV21</f>
        <v>62.115555555555602</v>
      </c>
      <c r="BQ97" s="13">
        <f>'QTR Share Price'!IW21</f>
        <v>81.373333333333306</v>
      </c>
      <c r="BR97" s="13">
        <f>'QTR Share Price'!IX21</f>
        <v>89.413333333333298</v>
      </c>
      <c r="BS97" s="13">
        <f>'QTR Share Price'!IY21</f>
        <v>97.226666666666702</v>
      </c>
      <c r="BT97" s="13">
        <f>'QTR Share Price'!IZ21</f>
        <v>120.166666666667</v>
      </c>
      <c r="BU97" s="13">
        <f>'QTR Share Price'!JA21</f>
        <v>118.206666666667</v>
      </c>
      <c r="BV97" s="13">
        <f>'QTR Share Price'!JB21</f>
        <v>125.473333333333</v>
      </c>
      <c r="BW97" s="13">
        <f>'QTR Share Price'!JC21</f>
        <v>158.12</v>
      </c>
      <c r="BX97" s="13">
        <f>'QTR Share Price'!JD21</f>
        <v>208.8</v>
      </c>
      <c r="BY97" s="13">
        <f>'QTR Share Price'!JE21</f>
        <v>264.5</v>
      </c>
      <c r="BZ97" s="13">
        <f>'QTR Share Price'!JF21</f>
        <v>277.45</v>
      </c>
      <c r="CA97" s="13">
        <f>'QTR Share Price'!JG21</f>
        <v>320.2</v>
      </c>
      <c r="CB97" s="13">
        <f>'QTR Share Price'!JH21</f>
        <v>378.44</v>
      </c>
      <c r="CC97" s="13">
        <f>'QTR Share Price'!JI21</f>
        <v>494.62</v>
      </c>
      <c r="CD97" s="13">
        <f>'QTR Share Price'!JJ21</f>
        <v>559.24</v>
      </c>
      <c r="CE97" s="13">
        <f>'QTR Share Price'!JK21</f>
        <v>651.9</v>
      </c>
      <c r="CF97" s="13">
        <f>'QTR Share Price'!JL21</f>
        <v>606.20000000000005</v>
      </c>
      <c r="CG97" s="13">
        <f>'QTR Share Price'!JM21</f>
        <v>638.45000000000005</v>
      </c>
      <c r="CH97" s="13">
        <f>'QTR Share Price'!JN21</f>
        <v>539.6</v>
      </c>
      <c r="CI97" s="13">
        <f>'QTR Share Price'!JO21</f>
        <v>457.55</v>
      </c>
      <c r="CJ97" s="13">
        <f>'QTR Share Price'!JP21</f>
        <v>443.55</v>
      </c>
      <c r="CK97" s="13">
        <f>'QTR Share Price'!JQ21</f>
        <v>489.85</v>
      </c>
      <c r="CL97" s="13">
        <f>'QTR Share Price'!JR21</f>
        <v>384.05</v>
      </c>
      <c r="CM97" s="36">
        <v>522</v>
      </c>
      <c r="CN97" s="36">
        <f t="shared" ref="CN97" si="933">+CM97</f>
        <v>522</v>
      </c>
      <c r="CO97" s="36">
        <f t="shared" ref="CO97" si="934">+CN97</f>
        <v>522</v>
      </c>
      <c r="CP97" s="36">
        <f t="shared" ref="CP97" si="935">+CO97</f>
        <v>522</v>
      </c>
      <c r="CQ97" s="36">
        <f t="shared" ref="CQ97" si="936">+CP97</f>
        <v>522</v>
      </c>
      <c r="CR97" s="36">
        <f t="shared" ref="CR97" si="937">+CQ97</f>
        <v>522</v>
      </c>
      <c r="CS97" s="36">
        <f t="shared" ref="CS97" si="938">+CR97</f>
        <v>522</v>
      </c>
      <c r="CT97" s="36">
        <f t="shared" ref="CT97" si="939">+CS97</f>
        <v>522</v>
      </c>
      <c r="CU97" s="36">
        <f t="shared" ref="CU97" si="940">+CT97</f>
        <v>522</v>
      </c>
      <c r="CV97" s="36">
        <f t="shared" ref="CV97" si="941">+CU97</f>
        <v>522</v>
      </c>
      <c r="CW97" s="36">
        <f t="shared" ref="CW97" si="942">+CV97</f>
        <v>522</v>
      </c>
      <c r="CX97" s="36">
        <f t="shared" ref="CX97" si="943">+CW97</f>
        <v>522</v>
      </c>
      <c r="CY97" s="36">
        <f t="shared" ref="CY97" si="944">+CX97</f>
        <v>522</v>
      </c>
      <c r="CZ97" s="36">
        <f t="shared" ref="CZ97" si="945">+CY97</f>
        <v>522</v>
      </c>
      <c r="DA97" s="36">
        <f t="shared" ref="DA97" si="946">+CZ97</f>
        <v>522</v>
      </c>
      <c r="DB97"/>
      <c r="DD97" s="133"/>
    </row>
    <row r="98" spans="1:108" s="13" customFormat="1" x14ac:dyDescent="0.25">
      <c r="A98" s="13" t="s">
        <v>458</v>
      </c>
      <c r="B98" s="13">
        <f>'Annual Raw'!C107</f>
        <v>0</v>
      </c>
      <c r="C98" s="13">
        <f>'Annual Raw'!D107</f>
        <v>0</v>
      </c>
      <c r="D98" s="13">
        <f>'Annual Raw'!E107</f>
        <v>0</v>
      </c>
      <c r="E98" s="13">
        <f>'Annual Raw'!F107</f>
        <v>0</v>
      </c>
      <c r="F98" s="13">
        <f>'Annual Raw'!G107</f>
        <v>0</v>
      </c>
      <c r="G98" s="13">
        <f>'Annual Raw'!H107</f>
        <v>0</v>
      </c>
      <c r="H98" s="13">
        <f>'Annual Raw'!I107</f>
        <v>0</v>
      </c>
      <c r="I98" s="13">
        <f>'Annual Raw'!J107</f>
        <v>0</v>
      </c>
      <c r="J98" s="13">
        <f>'Annual Raw'!K107</f>
        <v>0</v>
      </c>
      <c r="K98" s="13">
        <f>'Annual Raw'!L107</f>
        <v>0</v>
      </c>
      <c r="L98" s="13">
        <f>'Annual Raw'!M107</f>
        <v>0</v>
      </c>
      <c r="M98" s="13">
        <f>'Annual Raw'!N107</f>
        <v>0</v>
      </c>
      <c r="N98" s="13">
        <f>'Annual Raw'!O107</f>
        <v>0</v>
      </c>
      <c r="O98" s="13">
        <f>'Annual Raw'!P107</f>
        <v>0</v>
      </c>
      <c r="P98" s="13">
        <f>'Annual Raw'!Q107</f>
        <v>0</v>
      </c>
      <c r="Q98" s="13">
        <f>'Annual Raw'!R107</f>
        <v>0</v>
      </c>
      <c r="R98" s="13">
        <f>'Annual Raw'!S107</f>
        <v>27.911111111111101</v>
      </c>
      <c r="S98" s="13">
        <f>'Annual Raw'!T107</f>
        <v>39.404444444444401</v>
      </c>
      <c r="T98" s="13">
        <f>'Annual Raw'!U107</f>
        <v>50.311111111111103</v>
      </c>
      <c r="U98" s="13">
        <f>'Annual Raw'!V107</f>
        <v>70.1111111111111</v>
      </c>
      <c r="V98" s="13">
        <f>'Annual Raw'!W107</f>
        <v>88.808888888888902</v>
      </c>
      <c r="W98" s="13">
        <f>'Annual Raw'!X107</f>
        <v>136</v>
      </c>
      <c r="X98" s="13">
        <f>'Annual Raw'!Y107</f>
        <v>286.41000000000003</v>
      </c>
      <c r="Y98" s="13">
        <f>'Annual Raw'!Z107</f>
        <v>552.17999999999995</v>
      </c>
      <c r="Z98" s="13">
        <f>'Annual Raw'!AA107</f>
        <v>682.84</v>
      </c>
      <c r="AA98" s="36">
        <f>MAX(CH98:CK98)</f>
        <v>663.7</v>
      </c>
      <c r="AB98" s="36">
        <f>+MAX(CL98:CO98)</f>
        <v>523.49591077699074</v>
      </c>
      <c r="AC98" s="36">
        <f>+MAX(CP98:CS98)</f>
        <v>689.16058952144681</v>
      </c>
      <c r="AD98" s="36">
        <f>+MAX(CT98:CW98)</f>
        <v>741.57131788157244</v>
      </c>
      <c r="AE98" s="36">
        <f>+MAX(CX98:DA98)</f>
        <v>942.00806961037097</v>
      </c>
      <c r="AJ98" s="13">
        <f>'QTR Share Price'!HP19</f>
        <v>0</v>
      </c>
      <c r="AK98" s="13">
        <f>'QTR Share Price'!HQ19</f>
        <v>0</v>
      </c>
      <c r="AL98" s="13">
        <f>'QTR Share Price'!HR19</f>
        <v>0</v>
      </c>
      <c r="AM98" s="13">
        <f>'QTR Share Price'!HS19</f>
        <v>0</v>
      </c>
      <c r="AN98" s="13">
        <f>'QTR Share Price'!HT19</f>
        <v>0</v>
      </c>
      <c r="AO98" s="13">
        <f>'QTR Share Price'!HU19</f>
        <v>0</v>
      </c>
      <c r="AP98" s="13">
        <f>'QTR Share Price'!HV19</f>
        <v>0</v>
      </c>
      <c r="AQ98" s="13">
        <f>'QTR Share Price'!HW19</f>
        <v>0</v>
      </c>
      <c r="AR98" s="13">
        <f>'QTR Share Price'!HX19</f>
        <v>0</v>
      </c>
      <c r="AS98" s="13">
        <f>'QTR Share Price'!HY19</f>
        <v>0</v>
      </c>
      <c r="AT98" s="13">
        <f>'QTR Share Price'!HZ19</f>
        <v>0</v>
      </c>
      <c r="AU98" s="13">
        <f>'QTR Share Price'!IA19</f>
        <v>0</v>
      </c>
      <c r="AV98" s="13">
        <f>'QTR Share Price'!IB19</f>
        <v>0</v>
      </c>
      <c r="AW98" s="13">
        <f>'QTR Share Price'!IC19</f>
        <v>0</v>
      </c>
      <c r="AX98" s="13">
        <f>'QTR Share Price'!ID19</f>
        <v>0</v>
      </c>
      <c r="AY98" s="13">
        <f>'QTR Share Price'!IE19</f>
        <v>0</v>
      </c>
      <c r="AZ98" s="13">
        <f>'QTR Share Price'!IF19</f>
        <v>0</v>
      </c>
      <c r="BA98" s="13">
        <f>'QTR Share Price'!IG19</f>
        <v>27.911111111111101</v>
      </c>
      <c r="BB98" s="13">
        <f>'QTR Share Price'!IH19</f>
        <v>24.7940740740741</v>
      </c>
      <c r="BC98" s="13">
        <f>'QTR Share Price'!II19</f>
        <v>33.066666666666698</v>
      </c>
      <c r="BD98" s="13">
        <f>'QTR Share Price'!IJ19</f>
        <v>33.973333333333301</v>
      </c>
      <c r="BE98" s="13">
        <f>'QTR Share Price'!IK19</f>
        <v>39.404444444444401</v>
      </c>
      <c r="BF98" s="13">
        <f>'QTR Share Price'!IL19</f>
        <v>45.128888888888902</v>
      </c>
      <c r="BG98" s="13">
        <f>'QTR Share Price'!IM19</f>
        <v>46.755555555555603</v>
      </c>
      <c r="BH98" s="13">
        <f>'QTR Share Price'!IN19</f>
        <v>50.311111111111103</v>
      </c>
      <c r="BI98" s="13">
        <f>'QTR Share Price'!IO19</f>
        <v>49.860740740740702</v>
      </c>
      <c r="BJ98" s="13">
        <f>'QTR Share Price'!IP19</f>
        <v>52.059259259259299</v>
      </c>
      <c r="BK98" s="13">
        <f>'QTR Share Price'!IQ19</f>
        <v>57.066666666666698</v>
      </c>
      <c r="BL98" s="13">
        <f>'QTR Share Price'!IR19</f>
        <v>60.724444444444401</v>
      </c>
      <c r="BM98" s="13">
        <f>'QTR Share Price'!IS19</f>
        <v>70.1111111111111</v>
      </c>
      <c r="BN98" s="13">
        <f>'QTR Share Price'!IT19</f>
        <v>77.328888888888898</v>
      </c>
      <c r="BO98" s="13">
        <f>'QTR Share Price'!IU19</f>
        <v>65.635555555555598</v>
      </c>
      <c r="BP98" s="13">
        <f>'QTR Share Price'!IV19</f>
        <v>70.844444444444406</v>
      </c>
      <c r="BQ98" s="13">
        <f>'QTR Share Price'!IW19</f>
        <v>88.808888888888902</v>
      </c>
      <c r="BR98" s="13">
        <f>'QTR Share Price'!IX19</f>
        <v>97.408888888888896</v>
      </c>
      <c r="BS98" s="13">
        <f>'QTR Share Price'!IY19</f>
        <v>122.48</v>
      </c>
      <c r="BT98" s="13">
        <f>'QTR Share Price'!IZ19</f>
        <v>127.253333333333</v>
      </c>
      <c r="BU98" s="13">
        <f>'QTR Share Price'!JA19</f>
        <v>136</v>
      </c>
      <c r="BV98" s="13">
        <f>'QTR Share Price'!JB19</f>
        <v>135.333333333333</v>
      </c>
      <c r="BW98" s="13">
        <f>'QTR Share Price'!JC19</f>
        <v>161.09</v>
      </c>
      <c r="BX98" s="13">
        <f>'QTR Share Price'!JD19</f>
        <v>238.96</v>
      </c>
      <c r="BY98" s="13">
        <f>'QTR Share Price'!JE19</f>
        <v>286.41000000000003</v>
      </c>
      <c r="BZ98" s="13">
        <f>'QTR Share Price'!JF19</f>
        <v>278.94</v>
      </c>
      <c r="CA98" s="13">
        <f>'QTR Share Price'!JG19</f>
        <v>349.43</v>
      </c>
      <c r="CB98" s="13">
        <f>'QTR Share Price'!JH19</f>
        <v>391.66</v>
      </c>
      <c r="CC98" s="13">
        <f>'QTR Share Price'!JI19</f>
        <v>552.17999999999995</v>
      </c>
      <c r="CD98" s="13">
        <f>'QTR Share Price'!JJ19</f>
        <v>624.12</v>
      </c>
      <c r="CE98" s="13">
        <f>'QTR Share Price'!JK19</f>
        <v>669.48</v>
      </c>
      <c r="CF98" s="13">
        <f>'QTR Share Price'!JL19</f>
        <v>682.84</v>
      </c>
      <c r="CG98" s="13">
        <f>'QTR Share Price'!JM19</f>
        <v>661.7</v>
      </c>
      <c r="CH98" s="13">
        <f>'QTR Share Price'!JN19</f>
        <v>663.7</v>
      </c>
      <c r="CI98" s="13">
        <f>'QTR Share Price'!JO19</f>
        <v>568.5</v>
      </c>
      <c r="CJ98" s="13">
        <f>'QTR Share Price'!JP19</f>
        <v>534</v>
      </c>
      <c r="CK98" s="13">
        <f>'QTR Share Price'!JQ19</f>
        <v>500.8</v>
      </c>
      <c r="CL98" s="13">
        <f>'QTR Share Price'!JR19</f>
        <v>511.75</v>
      </c>
      <c r="CM98" s="36">
        <f t="shared" ref="CM98:DA98" si="947">+CM89*CM106</f>
        <v>481.63196999533193</v>
      </c>
      <c r="CN98" s="36">
        <f t="shared" si="947"/>
        <v>472.09812221095183</v>
      </c>
      <c r="CO98" s="36">
        <f t="shared" si="947"/>
        <v>523.49591077699074</v>
      </c>
      <c r="CP98" s="36">
        <f t="shared" si="947"/>
        <v>570.65743228657243</v>
      </c>
      <c r="CQ98" s="36">
        <f t="shared" si="947"/>
        <v>613.65397662657654</v>
      </c>
      <c r="CR98" s="36">
        <f t="shared" si="947"/>
        <v>654.62537218196655</v>
      </c>
      <c r="CS98" s="36">
        <f t="shared" si="947"/>
        <v>689.16058952144681</v>
      </c>
      <c r="CT98" s="36">
        <f t="shared" si="947"/>
        <v>703.01378837833067</v>
      </c>
      <c r="CU98" s="36">
        <f t="shared" si="947"/>
        <v>717.45932965791951</v>
      </c>
      <c r="CV98" s="36">
        <f t="shared" si="947"/>
        <v>726.75229302802359</v>
      </c>
      <c r="CW98" s="36">
        <f t="shared" si="947"/>
        <v>741.57131788157244</v>
      </c>
      <c r="CX98" s="36">
        <f t="shared" si="947"/>
        <v>792.92718867470717</v>
      </c>
      <c r="CY98" s="36">
        <f t="shared" si="947"/>
        <v>852.69599595893487</v>
      </c>
      <c r="CZ98" s="36">
        <f t="shared" si="947"/>
        <v>899.19433614558864</v>
      </c>
      <c r="DA98" s="36">
        <f t="shared" si="947"/>
        <v>942.00806961037097</v>
      </c>
      <c r="DB98"/>
      <c r="DD98" s="133"/>
    </row>
    <row r="99" spans="1:108" s="13" customFormat="1" x14ac:dyDescent="0.25">
      <c r="A99" s="13" t="s">
        <v>459</v>
      </c>
      <c r="B99" s="13">
        <f>'Annual Raw'!C108</f>
        <v>0</v>
      </c>
      <c r="C99" s="13">
        <f>'Annual Raw'!D108</f>
        <v>0</v>
      </c>
      <c r="D99" s="13">
        <f>'Annual Raw'!E108</f>
        <v>0</v>
      </c>
      <c r="E99" s="13">
        <f>'Annual Raw'!F108</f>
        <v>0</v>
      </c>
      <c r="F99" s="13">
        <f>'Annual Raw'!G108</f>
        <v>0</v>
      </c>
      <c r="G99" s="13">
        <f>'Annual Raw'!H108</f>
        <v>0</v>
      </c>
      <c r="H99" s="13">
        <f>'Annual Raw'!I108</f>
        <v>0</v>
      </c>
      <c r="I99" s="13">
        <f>'Annual Raw'!J108</f>
        <v>0</v>
      </c>
      <c r="J99" s="13">
        <f>'Annual Raw'!K108</f>
        <v>0</v>
      </c>
      <c r="K99" s="13">
        <f>'Annual Raw'!L108</f>
        <v>0</v>
      </c>
      <c r="L99" s="13">
        <f>'Annual Raw'!M108</f>
        <v>0</v>
      </c>
      <c r="M99" s="13">
        <f>'Annual Raw'!N108</f>
        <v>0</v>
      </c>
      <c r="N99" s="13">
        <f>'Annual Raw'!O108</f>
        <v>0</v>
      </c>
      <c r="O99" s="13">
        <f>'Annual Raw'!P108</f>
        <v>0</v>
      </c>
      <c r="P99" s="13">
        <f>'Annual Raw'!Q108</f>
        <v>0</v>
      </c>
      <c r="Q99" s="13">
        <f>'Annual Raw'!R108</f>
        <v>0</v>
      </c>
      <c r="R99" s="13">
        <f>'Annual Raw'!S108</f>
        <v>20.4444444444444</v>
      </c>
      <c r="S99" s="13">
        <f>'Annual Raw'!T108</f>
        <v>20.2222222222222</v>
      </c>
      <c r="T99" s="13">
        <f>'Annual Raw'!U108</f>
        <v>35.128888888888902</v>
      </c>
      <c r="U99" s="13">
        <f>'Annual Raw'!V108</f>
        <v>44.145185185185198</v>
      </c>
      <c r="V99" s="13">
        <f>'Annual Raw'!W108</f>
        <v>43.115555555555602</v>
      </c>
      <c r="W99" s="13">
        <f>'Annual Raw'!X108</f>
        <v>76</v>
      </c>
      <c r="X99" s="13">
        <f>'Annual Raw'!Y108</f>
        <v>111.446666666667</v>
      </c>
      <c r="Y99" s="13">
        <f>'Annual Raw'!Z108</f>
        <v>220</v>
      </c>
      <c r="Z99" s="13">
        <f>'Annual Raw'!AA108</f>
        <v>478.48</v>
      </c>
      <c r="AA99" s="36">
        <f>MIN(CH99:CK99)</f>
        <v>419.4</v>
      </c>
      <c r="AB99" s="36">
        <f>+MIN(CL99:CO99)</f>
        <v>351.47901233487568</v>
      </c>
      <c r="AC99" s="36">
        <f>+MIN(CP99:CS99)</f>
        <v>424.85682794564553</v>
      </c>
      <c r="AD99" s="36">
        <f>+MIN(CT99:CW99)</f>
        <v>523.39668465489774</v>
      </c>
      <c r="AE99" s="36">
        <f>+MIN(CX99:DA99)</f>
        <v>590.33758453358757</v>
      </c>
      <c r="AJ99" s="13">
        <f>+'QTR Share Price'!HP20</f>
        <v>0</v>
      </c>
      <c r="AK99" s="13">
        <f>+'QTR Share Price'!HQ20</f>
        <v>0</v>
      </c>
      <c r="AL99" s="13">
        <f>+'QTR Share Price'!HR20</f>
        <v>0</v>
      </c>
      <c r="AM99" s="13">
        <f>+'QTR Share Price'!HS20</f>
        <v>0</v>
      </c>
      <c r="AN99" s="13">
        <f>+'QTR Share Price'!HT20</f>
        <v>0</v>
      </c>
      <c r="AO99" s="13">
        <f>+'QTR Share Price'!HU20</f>
        <v>0</v>
      </c>
      <c r="AP99" s="13">
        <f>+'QTR Share Price'!HV20</f>
        <v>0</v>
      </c>
      <c r="AQ99" s="13">
        <f>+'QTR Share Price'!HW20</f>
        <v>0</v>
      </c>
      <c r="AR99" s="13">
        <f>+'QTR Share Price'!HX20</f>
        <v>0</v>
      </c>
      <c r="AS99" s="13">
        <f>+'QTR Share Price'!HY20</f>
        <v>0</v>
      </c>
      <c r="AT99" s="13">
        <f>+'QTR Share Price'!HZ20</f>
        <v>0</v>
      </c>
      <c r="AU99" s="13">
        <f>+'QTR Share Price'!IA20</f>
        <v>0</v>
      </c>
      <c r="AV99" s="13">
        <f>+'QTR Share Price'!IB20</f>
        <v>0</v>
      </c>
      <c r="AW99" s="13">
        <f>+'QTR Share Price'!IC20</f>
        <v>0</v>
      </c>
      <c r="AX99" s="13">
        <f>+'QTR Share Price'!ID20</f>
        <v>0</v>
      </c>
      <c r="AY99" s="13">
        <f>+'QTR Share Price'!IE20</f>
        <v>0</v>
      </c>
      <c r="AZ99" s="13">
        <f>+'QTR Share Price'!IF20</f>
        <v>0</v>
      </c>
      <c r="BA99" s="13">
        <f>+'QTR Share Price'!IG20</f>
        <v>0</v>
      </c>
      <c r="BB99" s="13">
        <f>+'QTR Share Price'!IH20</f>
        <v>20.2222222222222</v>
      </c>
      <c r="BC99" s="13">
        <f>+'QTR Share Price'!II20</f>
        <v>23.739259259259299</v>
      </c>
      <c r="BD99" s="13">
        <f>+'QTR Share Price'!IJ20</f>
        <v>28.515555555555601</v>
      </c>
      <c r="BE99" s="13">
        <f>+'QTR Share Price'!IK20</f>
        <v>28.8</v>
      </c>
      <c r="BF99" s="13">
        <f>+'QTR Share Price'!IL20</f>
        <v>35.128888888888902</v>
      </c>
      <c r="BG99" s="13">
        <f>+'QTR Share Price'!IM20</f>
        <v>37.137777777777799</v>
      </c>
      <c r="BH99" s="13">
        <f>+'QTR Share Price'!IN20</f>
        <v>39.709629629629603</v>
      </c>
      <c r="BI99" s="13">
        <f>+'QTR Share Price'!IO20</f>
        <v>40.450370370370401</v>
      </c>
      <c r="BJ99" s="13">
        <f>+'QTR Share Price'!IP20</f>
        <v>44.145185185185198</v>
      </c>
      <c r="BK99" s="13">
        <f>+'QTR Share Price'!IQ20</f>
        <v>47.170370370370399</v>
      </c>
      <c r="BL99" s="13">
        <f>+'QTR Share Price'!IR20</f>
        <v>51.2222222222222</v>
      </c>
      <c r="BM99" s="13">
        <f>+'QTR Share Price'!IS20</f>
        <v>52.5822222222222</v>
      </c>
      <c r="BN99" s="13">
        <f>+'QTR Share Price'!IT20</f>
        <v>43.115555555555602</v>
      </c>
      <c r="BO99" s="13">
        <f>+'QTR Share Price'!IU20</f>
        <v>44.626666666666701</v>
      </c>
      <c r="BP99" s="13">
        <f>+'QTR Share Price'!IV20</f>
        <v>58.844444444444399</v>
      </c>
      <c r="BQ99" s="13">
        <f>+'QTR Share Price'!IW20</f>
        <v>57.351111111111102</v>
      </c>
      <c r="BR99" s="13">
        <f>+'QTR Share Price'!IX20</f>
        <v>76</v>
      </c>
      <c r="BS99" s="13">
        <f>+'QTR Share Price'!IY20</f>
        <v>77.688888888888897</v>
      </c>
      <c r="BT99" s="13">
        <f>+'QTR Share Price'!IZ20</f>
        <v>94.6666666666667</v>
      </c>
      <c r="BU99" s="13">
        <f>+'QTR Share Price'!JA20</f>
        <v>107.76</v>
      </c>
      <c r="BV99" s="13">
        <f>+'QTR Share Price'!JB20</f>
        <v>111.446666666667</v>
      </c>
      <c r="BW99" s="13">
        <f>+'QTR Share Price'!JC20</f>
        <v>124.22</v>
      </c>
      <c r="BX99" s="13">
        <f>+'QTR Share Price'!JD20</f>
        <v>156.09</v>
      </c>
      <c r="BY99" s="13">
        <f>+'QTR Share Price'!JE20</f>
        <v>192.67</v>
      </c>
      <c r="BZ99" s="13">
        <f>+'QTR Share Price'!JF20</f>
        <v>220</v>
      </c>
      <c r="CA99" s="13">
        <f>+'QTR Share Price'!JG20</f>
        <v>275</v>
      </c>
      <c r="CB99" s="13">
        <f>+'QTR Share Price'!JH20</f>
        <v>314</v>
      </c>
      <c r="CC99" s="13">
        <f>+'QTR Share Price'!JI20</f>
        <v>331.28</v>
      </c>
      <c r="CD99" s="13">
        <f>+'QTR Share Price'!JJ20</f>
        <v>478.48</v>
      </c>
      <c r="CE99" s="13">
        <f>+'QTR Share Price'!JK20</f>
        <v>528.4</v>
      </c>
      <c r="CF99" s="13">
        <f>+'QTR Share Price'!JL20</f>
        <v>549.6</v>
      </c>
      <c r="CG99" s="13">
        <f>+'QTR Share Price'!JM20</f>
        <v>537.79999999999995</v>
      </c>
      <c r="CH99" s="13">
        <f>+'QTR Share Price'!JN20</f>
        <v>419.4</v>
      </c>
      <c r="CI99" s="13">
        <f>+'QTR Share Price'!JO20</f>
        <v>445.6</v>
      </c>
      <c r="CJ99" s="13">
        <f>+'QTR Share Price'!JP20</f>
        <v>441.1</v>
      </c>
      <c r="CK99" s="13">
        <f>+'QTR Share Price'!JQ20</f>
        <v>431.3</v>
      </c>
      <c r="CL99" s="13">
        <f>+'QTR Share Price'!JR20</f>
        <v>381</v>
      </c>
      <c r="CM99" s="36">
        <f t="shared" ref="CM99:DA99" si="948">+CM107*CM89</f>
        <v>358.57700159886946</v>
      </c>
      <c r="CN99" s="36">
        <f t="shared" si="948"/>
        <v>351.47901233487568</v>
      </c>
      <c r="CO99" s="36">
        <f t="shared" si="948"/>
        <v>389.7448793474029</v>
      </c>
      <c r="CP99" s="36">
        <f t="shared" si="948"/>
        <v>424.85682794564553</v>
      </c>
      <c r="CQ99" s="36">
        <f t="shared" si="948"/>
        <v>456.86793374641064</v>
      </c>
      <c r="CR99" s="36">
        <f t="shared" si="948"/>
        <v>487.37130786776595</v>
      </c>
      <c r="CS99" s="36">
        <f t="shared" si="948"/>
        <v>513.08292058167319</v>
      </c>
      <c r="CT99" s="36">
        <f t="shared" si="948"/>
        <v>523.39668465489774</v>
      </c>
      <c r="CU99" s="36">
        <f t="shared" si="948"/>
        <v>534.1514501214798</v>
      </c>
      <c r="CV99" s="36">
        <f t="shared" si="948"/>
        <v>541.07009993879228</v>
      </c>
      <c r="CW99" s="36">
        <f t="shared" si="948"/>
        <v>552.10292547704751</v>
      </c>
      <c r="CX99" s="36">
        <f t="shared" si="948"/>
        <v>590.33758453358757</v>
      </c>
      <c r="CY99" s="36">
        <f t="shared" si="948"/>
        <v>634.83570974177655</v>
      </c>
      <c r="CZ99" s="36">
        <f t="shared" si="948"/>
        <v>669.45391709129308</v>
      </c>
      <c r="DA99" s="36">
        <f t="shared" si="948"/>
        <v>701.32891943634843</v>
      </c>
      <c r="DB99"/>
      <c r="DD99" s="133"/>
    </row>
    <row r="100" spans="1:108" s="14" customFormat="1" x14ac:dyDescent="0.25">
      <c r="AA100" s="15"/>
      <c r="AB100" s="15"/>
      <c r="AC100" s="15"/>
      <c r="AD100" s="15"/>
      <c r="AE100" s="15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/>
      <c r="DD100" s="133"/>
    </row>
    <row r="101" spans="1:108" s="50" customFormat="1" x14ac:dyDescent="0.25">
      <c r="A101" s="50" t="s">
        <v>346</v>
      </c>
      <c r="AA101" s="47">
        <f t="shared" ref="AA101" si="949">+AA98/AA97-1</f>
        <v>0.35490456262121062</v>
      </c>
      <c r="AB101" s="47">
        <f t="shared" ref="AB101:AD101" si="950">+AB98/AB97-1</f>
        <v>2.8657294578366965E-3</v>
      </c>
      <c r="AC101" s="47">
        <f t="shared" si="950"/>
        <v>0.320231014408902</v>
      </c>
      <c r="AD101" s="47">
        <f t="shared" si="950"/>
        <v>0.42063470858538787</v>
      </c>
      <c r="AE101" s="47">
        <f t="shared" ref="AE101" si="951">+AE98/AE97-1</f>
        <v>0.80461316017312456</v>
      </c>
      <c r="CM101" s="47">
        <f t="shared" ref="CM101:DA101" si="952">+CM98/CM97-1</f>
        <v>-7.7333390813540404E-2</v>
      </c>
      <c r="CN101" s="47">
        <f t="shared" si="952"/>
        <v>-9.5597467028827876E-2</v>
      </c>
      <c r="CO101" s="47">
        <f t="shared" si="952"/>
        <v>2.8657294578366965E-3</v>
      </c>
      <c r="CP101" s="47">
        <f t="shared" si="952"/>
        <v>9.3213471813357041E-2</v>
      </c>
      <c r="CQ101" s="47">
        <f t="shared" si="952"/>
        <v>0.17558233070225393</v>
      </c>
      <c r="CR101" s="47">
        <f t="shared" si="952"/>
        <v>0.2540715942183267</v>
      </c>
      <c r="CS101" s="47">
        <f t="shared" si="952"/>
        <v>0.320231014408902</v>
      </c>
      <c r="CT101" s="47">
        <f t="shared" si="952"/>
        <v>0.3467697095370319</v>
      </c>
      <c r="CU101" s="47">
        <f t="shared" si="952"/>
        <v>0.37444316026421354</v>
      </c>
      <c r="CV101" s="47">
        <f t="shared" si="952"/>
        <v>0.39224577208433642</v>
      </c>
      <c r="CW101" s="47">
        <f t="shared" si="952"/>
        <v>0.42063470858538787</v>
      </c>
      <c r="CX101" s="47">
        <f t="shared" si="952"/>
        <v>0.51901760282510945</v>
      </c>
      <c r="CY101" s="47">
        <f t="shared" si="952"/>
        <v>0.63351723363780632</v>
      </c>
      <c r="CZ101" s="47">
        <f t="shared" si="952"/>
        <v>0.72259451368886718</v>
      </c>
      <c r="DA101" s="47">
        <f t="shared" si="952"/>
        <v>0.80461316017312456</v>
      </c>
      <c r="DB101"/>
      <c r="DD101" s="128"/>
    </row>
    <row r="102" spans="1:108" s="50" customFormat="1" x14ac:dyDescent="0.25">
      <c r="A102" s="50" t="s">
        <v>347</v>
      </c>
      <c r="AA102" s="47">
        <f t="shared" ref="AA102" si="953">+AA99/AA97-1</f>
        <v>-0.14381953659283464</v>
      </c>
      <c r="AB102" s="47">
        <f t="shared" ref="AB102:AD102" si="954">+AB99/AB97-1</f>
        <v>-0.32666855874544887</v>
      </c>
      <c r="AC102" s="47">
        <f t="shared" si="954"/>
        <v>-0.18609803075546838</v>
      </c>
      <c r="AD102" s="47">
        <f t="shared" si="954"/>
        <v>2.6756411013366677E-3</v>
      </c>
      <c r="AE102" s="47">
        <f t="shared" ref="AE102" si="955">+AE99/AE97-1</f>
        <v>0.13091491289959301</v>
      </c>
      <c r="CM102" s="47">
        <f t="shared" ref="CM102:DA102" si="956">+CM99/CM97-1</f>
        <v>-0.31307087816308532</v>
      </c>
      <c r="CN102" s="47">
        <f t="shared" si="956"/>
        <v>-0.32666855874544887</v>
      </c>
      <c r="CO102" s="47">
        <f t="shared" si="956"/>
        <v>-0.25336230010076077</v>
      </c>
      <c r="CP102" s="47">
        <f t="shared" si="956"/>
        <v>-0.18609803075546838</v>
      </c>
      <c r="CQ102" s="47">
        <f t="shared" si="956"/>
        <v>-0.12477407328273826</v>
      </c>
      <c r="CR102" s="47">
        <f t="shared" si="956"/>
        <v>-6.6338490674777928E-2</v>
      </c>
      <c r="CS102" s="47">
        <f t="shared" si="956"/>
        <v>-1.708252762131568E-2</v>
      </c>
      <c r="CT102" s="47">
        <f t="shared" si="956"/>
        <v>2.6756411013366677E-3</v>
      </c>
      <c r="CU102" s="47">
        <f t="shared" si="956"/>
        <v>2.327864007946312E-2</v>
      </c>
      <c r="CV102" s="47">
        <f t="shared" si="956"/>
        <v>3.6532758503433405E-2</v>
      </c>
      <c r="CW102" s="47">
        <f t="shared" si="956"/>
        <v>5.766843961120216E-2</v>
      </c>
      <c r="CX102" s="47">
        <f t="shared" si="956"/>
        <v>0.13091491289959301</v>
      </c>
      <c r="CY102" s="47">
        <f t="shared" si="956"/>
        <v>0.21616036348999335</v>
      </c>
      <c r="CZ102" s="47">
        <f t="shared" si="956"/>
        <v>0.28247876837412478</v>
      </c>
      <c r="DA102" s="47">
        <f t="shared" si="956"/>
        <v>0.3435419912573725</v>
      </c>
      <c r="DB102"/>
      <c r="DD102" s="128"/>
    </row>
    <row r="103" spans="1:108" s="14" customFormat="1" x14ac:dyDescent="0.25">
      <c r="AA103" s="15"/>
      <c r="AB103" s="15"/>
      <c r="AC103" s="15"/>
      <c r="AD103" s="15"/>
      <c r="AE103" s="15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/>
      <c r="DD103" s="133"/>
    </row>
    <row r="104" spans="1:108" s="13" customFormat="1" x14ac:dyDescent="0.25">
      <c r="A104" s="13" t="s">
        <v>40</v>
      </c>
      <c r="AA104" s="36"/>
      <c r="AB104" s="36"/>
      <c r="AC104" s="36"/>
      <c r="AD104" s="36"/>
      <c r="AE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/>
      <c r="DD104" s="133"/>
    </row>
    <row r="105" spans="1:108" s="13" customFormat="1" x14ac:dyDescent="0.25">
      <c r="A105" s="13" t="s">
        <v>460</v>
      </c>
      <c r="B105" s="13" t="e">
        <f t="shared" ref="B105:D105" si="957">+B97/B89</f>
        <v>#DIV/0!</v>
      </c>
      <c r="C105" s="13" t="e">
        <f t="shared" si="957"/>
        <v>#DIV/0!</v>
      </c>
      <c r="D105" s="13" t="e">
        <f t="shared" si="957"/>
        <v>#DIV/0!</v>
      </c>
      <c r="E105" s="13" t="e">
        <f t="shared" ref="E105:AE105" si="958">+E97/E89</f>
        <v>#DIV/0!</v>
      </c>
      <c r="F105" s="13">
        <f t="shared" si="958"/>
        <v>0</v>
      </c>
      <c r="G105" s="13">
        <f t="shared" si="958"/>
        <v>0</v>
      </c>
      <c r="H105" s="13">
        <f t="shared" si="958"/>
        <v>0</v>
      </c>
      <c r="I105" s="13">
        <f t="shared" si="958"/>
        <v>0</v>
      </c>
      <c r="J105" s="13">
        <f t="shared" si="958"/>
        <v>0</v>
      </c>
      <c r="K105" s="13">
        <f t="shared" si="958"/>
        <v>0</v>
      </c>
      <c r="L105" s="13">
        <f t="shared" si="958"/>
        <v>0</v>
      </c>
      <c r="M105" s="13">
        <f t="shared" si="958"/>
        <v>0</v>
      </c>
      <c r="N105" s="13">
        <f t="shared" si="958"/>
        <v>0</v>
      </c>
      <c r="O105" s="13">
        <f t="shared" si="958"/>
        <v>0</v>
      </c>
      <c r="P105" s="13">
        <f t="shared" si="958"/>
        <v>0</v>
      </c>
      <c r="Q105" s="13">
        <f t="shared" si="958"/>
        <v>0</v>
      </c>
      <c r="R105" s="13">
        <f t="shared" si="958"/>
        <v>180.36231944706469</v>
      </c>
      <c r="S105" s="13">
        <f t="shared" si="958"/>
        <v>62.118187847430228</v>
      </c>
      <c r="T105" s="13">
        <f t="shared" si="958"/>
        <v>53.872563215002117</v>
      </c>
      <c r="U105" s="13">
        <f t="shared" si="958"/>
        <v>45.382265678696562</v>
      </c>
      <c r="V105" s="13">
        <f t="shared" si="958"/>
        <v>69.581705231540937</v>
      </c>
      <c r="W105" s="13">
        <f t="shared" si="958"/>
        <v>57.601761294542982</v>
      </c>
      <c r="X105" s="13">
        <f t="shared" si="958"/>
        <v>59.73984328514198</v>
      </c>
      <c r="Y105" s="13">
        <f t="shared" si="958"/>
        <v>81.367475463563196</v>
      </c>
      <c r="Z105" s="13">
        <f t="shared" ref="Z105" si="959">+Z97/Z89</f>
        <v>83.221733198876322</v>
      </c>
      <c r="AA105" s="36">
        <f t="shared" si="958"/>
        <v>54.560356903977045</v>
      </c>
      <c r="AB105" s="36">
        <f t="shared" si="958"/>
        <v>54.230027305406431</v>
      </c>
      <c r="AC105" s="36">
        <f t="shared" si="958"/>
        <v>41.193878418698098</v>
      </c>
      <c r="AD105" s="36">
        <f t="shared" si="958"/>
        <v>38.282491314258841</v>
      </c>
      <c r="AE105" s="36">
        <f t="shared" si="958"/>
        <v>30.136894206699289</v>
      </c>
      <c r="AL105" s="13" t="e">
        <f t="shared" ref="AL105:BQ105" si="960">+AL97/AL89</f>
        <v>#DIV/0!</v>
      </c>
      <c r="AM105" s="13" t="e">
        <f t="shared" si="960"/>
        <v>#DIV/0!</v>
      </c>
      <c r="AN105" s="13" t="e">
        <f t="shared" si="960"/>
        <v>#DIV/0!</v>
      </c>
      <c r="AO105" s="13" t="e">
        <f t="shared" si="960"/>
        <v>#DIV/0!</v>
      </c>
      <c r="AP105" s="13" t="e">
        <f t="shared" si="960"/>
        <v>#DIV/0!</v>
      </c>
      <c r="AQ105" s="13" t="e">
        <f t="shared" si="960"/>
        <v>#DIV/0!</v>
      </c>
      <c r="AR105" s="13" t="e">
        <f t="shared" si="960"/>
        <v>#DIV/0!</v>
      </c>
      <c r="AS105" s="13" t="e">
        <f t="shared" si="960"/>
        <v>#DIV/0!</v>
      </c>
      <c r="AT105" s="13" t="e">
        <f t="shared" si="960"/>
        <v>#DIV/0!</v>
      </c>
      <c r="AU105" s="13" t="e">
        <f t="shared" si="960"/>
        <v>#DIV/0!</v>
      </c>
      <c r="AV105" s="13" t="e">
        <f t="shared" si="960"/>
        <v>#DIV/0!</v>
      </c>
      <c r="AW105" s="13">
        <f t="shared" si="960"/>
        <v>0</v>
      </c>
      <c r="AX105" s="13">
        <f t="shared" si="960"/>
        <v>0</v>
      </c>
      <c r="AY105" s="13">
        <f t="shared" si="960"/>
        <v>0</v>
      </c>
      <c r="AZ105" s="13">
        <f t="shared" si="960"/>
        <v>0</v>
      </c>
      <c r="BA105" s="13">
        <f t="shared" si="960"/>
        <v>180.35512008893886</v>
      </c>
      <c r="BB105" s="13">
        <f t="shared" si="960"/>
        <v>82.210334335551764</v>
      </c>
      <c r="BC105" s="13">
        <f t="shared" si="960"/>
        <v>75.729504060434508</v>
      </c>
      <c r="BD105" s="13">
        <f t="shared" si="960"/>
        <v>61.893913956697538</v>
      </c>
      <c r="BE105" s="13">
        <f t="shared" si="960"/>
        <v>62.115708332408147</v>
      </c>
      <c r="BF105" s="13">
        <f t="shared" si="960"/>
        <v>55.170209828873197</v>
      </c>
      <c r="BG105" s="13">
        <f t="shared" si="960"/>
        <v>53.510901265375963</v>
      </c>
      <c r="BH105" s="13">
        <f t="shared" si="960"/>
        <v>50.861775195021643</v>
      </c>
      <c r="BI105" s="13">
        <f t="shared" si="960"/>
        <v>53.870412833054196</v>
      </c>
      <c r="BJ105" s="13">
        <f t="shared" si="960"/>
        <v>55.072284311182401</v>
      </c>
      <c r="BK105" s="13">
        <f t="shared" si="960"/>
        <v>45.285764547108833</v>
      </c>
      <c r="BL105" s="13">
        <f t="shared" si="960"/>
        <v>41.149490854054598</v>
      </c>
      <c r="BM105" s="13">
        <f t="shared" si="960"/>
        <v>45.380454196208063</v>
      </c>
      <c r="BN105" s="13">
        <f t="shared" si="960"/>
        <v>29.009476879648307</v>
      </c>
      <c r="BO105" s="13">
        <f t="shared" si="960"/>
        <v>72.355105918410146</v>
      </c>
      <c r="BP105" s="13">
        <f t="shared" si="960"/>
        <v>59.018197830189202</v>
      </c>
      <c r="BQ105" s="13">
        <f t="shared" si="960"/>
        <v>69.578927802105639</v>
      </c>
      <c r="BR105" s="13">
        <f t="shared" ref="BR105:DA105" si="961">+BR97/BR89</f>
        <v>74.973735418304159</v>
      </c>
      <c r="BS105" s="13">
        <f t="shared" si="961"/>
        <v>57.614565792563134</v>
      </c>
      <c r="BT105" s="13">
        <f t="shared" si="961"/>
        <v>61.778893570964023</v>
      </c>
      <c r="BU105" s="13">
        <f t="shared" si="961"/>
        <v>57.599462057598132</v>
      </c>
      <c r="BV105" s="13">
        <f t="shared" si="961"/>
        <v>51.812420256799598</v>
      </c>
      <c r="BW105" s="13">
        <f t="shared" si="961"/>
        <v>41.18963173498414</v>
      </c>
      <c r="BX105" s="13">
        <f t="shared" si="961"/>
        <v>49.066599220524587</v>
      </c>
      <c r="BY105" s="13">
        <f t="shared" si="961"/>
        <v>59.73745870432937</v>
      </c>
      <c r="BZ105" s="13">
        <f t="shared" si="961"/>
        <v>56.109903976444379</v>
      </c>
      <c r="CA105" s="13">
        <f t="shared" si="961"/>
        <v>57.642002883953566</v>
      </c>
      <c r="CB105" s="13">
        <f t="shared" si="961"/>
        <v>64.035037877101146</v>
      </c>
      <c r="CC105" s="13">
        <f t="shared" si="961"/>
        <v>81.364227592291897</v>
      </c>
      <c r="CD105" s="13">
        <f t="shared" si="961"/>
        <v>87.394711774434086</v>
      </c>
      <c r="CE105" s="13">
        <f t="shared" si="961"/>
        <v>90.99376345745813</v>
      </c>
      <c r="CF105" s="13">
        <f t="shared" si="961"/>
        <v>80.668000231363266</v>
      </c>
      <c r="CG105" s="13">
        <f t="shared" si="961"/>
        <v>83.218411312890964</v>
      </c>
      <c r="CH105" s="13">
        <f t="shared" si="961"/>
        <v>65.553302656393186</v>
      </c>
      <c r="CI105" s="13">
        <f t="shared" ref="CI105:CJ105" si="962">+CI97/CI89</f>
        <v>54.328250296407923</v>
      </c>
      <c r="CJ105" s="13">
        <f t="shared" si="962"/>
        <v>50.509937141564151</v>
      </c>
      <c r="CK105" s="13">
        <f t="shared" ref="CK105:CL105" si="963">+CK97/CK89</f>
        <v>54.558219198139497</v>
      </c>
      <c r="CL105" s="13">
        <f t="shared" si="963"/>
        <v>40.814316862495424</v>
      </c>
      <c r="CM105" s="36">
        <f t="shared" si="961"/>
        <v>58.943756445362077</v>
      </c>
      <c r="CN105" s="36">
        <f t="shared" si="961"/>
        <v>60.134103907787583</v>
      </c>
      <c r="CO105" s="36">
        <f t="shared" si="961"/>
        <v>54.230027305406367</v>
      </c>
      <c r="CP105" s="36">
        <f t="shared" si="961"/>
        <v>49.748230601241531</v>
      </c>
      <c r="CQ105" s="36">
        <f t="shared" si="961"/>
        <v>46.262549607790291</v>
      </c>
      <c r="CR105" s="36">
        <f t="shared" si="961"/>
        <v>43.367090158878568</v>
      </c>
      <c r="CS105" s="36">
        <f t="shared" si="961"/>
        <v>41.193878418698084</v>
      </c>
      <c r="CT105" s="36">
        <f t="shared" si="961"/>
        <v>40.382134753275963</v>
      </c>
      <c r="CU105" s="36">
        <f t="shared" si="961"/>
        <v>39.569068743228392</v>
      </c>
      <c r="CV105" s="36">
        <f t="shared" si="961"/>
        <v>39.063100052179806</v>
      </c>
      <c r="CW105" s="36">
        <f t="shared" si="961"/>
        <v>38.282491314258841</v>
      </c>
      <c r="CX105" s="36">
        <f t="shared" si="961"/>
        <v>35.803032032681692</v>
      </c>
      <c r="CY105" s="36">
        <f t="shared" si="961"/>
        <v>33.293457070568884</v>
      </c>
      <c r="CZ105" s="36">
        <f t="shared" si="961"/>
        <v>31.571815340158331</v>
      </c>
      <c r="DA105" s="36">
        <f t="shared" si="961"/>
        <v>30.136894206699303</v>
      </c>
      <c r="DB105"/>
      <c r="DD105" s="133"/>
    </row>
    <row r="106" spans="1:108" s="13" customFormat="1" x14ac:dyDescent="0.25">
      <c r="A106" s="13" t="s">
        <v>461</v>
      </c>
      <c r="B106" s="13" t="e">
        <f t="shared" ref="B106:D106" si="964">+B98/B89</f>
        <v>#DIV/0!</v>
      </c>
      <c r="C106" s="13" t="e">
        <f t="shared" si="964"/>
        <v>#DIV/0!</v>
      </c>
      <c r="D106" s="13" t="e">
        <f t="shared" si="964"/>
        <v>#DIV/0!</v>
      </c>
      <c r="E106" s="13" t="e">
        <f t="shared" ref="E106:AE106" si="965">+E98/E89</f>
        <v>#DIV/0!</v>
      </c>
      <c r="F106" s="13">
        <f t="shared" si="965"/>
        <v>0</v>
      </c>
      <c r="G106" s="13">
        <f t="shared" si="965"/>
        <v>0</v>
      </c>
      <c r="H106" s="13">
        <f t="shared" si="965"/>
        <v>0</v>
      </c>
      <c r="I106" s="13">
        <f t="shared" si="965"/>
        <v>0</v>
      </c>
      <c r="J106" s="13">
        <f t="shared" si="965"/>
        <v>0</v>
      </c>
      <c r="K106" s="13">
        <f t="shared" si="965"/>
        <v>0</v>
      </c>
      <c r="L106" s="13">
        <f t="shared" si="965"/>
        <v>0</v>
      </c>
      <c r="M106" s="13">
        <f t="shared" si="965"/>
        <v>0</v>
      </c>
      <c r="N106" s="13">
        <f t="shared" si="965"/>
        <v>0</v>
      </c>
      <c r="O106" s="13">
        <f t="shared" si="965"/>
        <v>0</v>
      </c>
      <c r="P106" s="13">
        <f t="shared" si="965"/>
        <v>0</v>
      </c>
      <c r="Q106" s="13">
        <f t="shared" si="965"/>
        <v>0</v>
      </c>
      <c r="R106" s="13">
        <f t="shared" si="965"/>
        <v>222.76295387325948</v>
      </c>
      <c r="S106" s="13">
        <f t="shared" si="965"/>
        <v>63.41519768043095</v>
      </c>
      <c r="T106" s="13">
        <f t="shared" si="965"/>
        <v>58.105578567664125</v>
      </c>
      <c r="U106" s="13">
        <f t="shared" si="965"/>
        <v>50.561850489542913</v>
      </c>
      <c r="V106" s="13">
        <f t="shared" si="965"/>
        <v>75.939791028273078</v>
      </c>
      <c r="W106" s="13">
        <f t="shared" si="965"/>
        <v>66.272400338879564</v>
      </c>
      <c r="X106" s="13">
        <f t="shared" si="965"/>
        <v>64.688425388648454</v>
      </c>
      <c r="Y106" s="13">
        <f t="shared" si="965"/>
        <v>90.836384702337796</v>
      </c>
      <c r="Z106" s="13">
        <f t="shared" ref="Z106" si="966">+Z98/Z89</f>
        <v>89.007954103721048</v>
      </c>
      <c r="AA106" s="59">
        <f t="shared" si="965"/>
        <v>73.924076507440162</v>
      </c>
      <c r="AB106" s="59">
        <f t="shared" si="965"/>
        <v>54.385435892154817</v>
      </c>
      <c r="AC106" s="59">
        <f t="shared" si="965"/>
        <v>54.385435892154767</v>
      </c>
      <c r="AD106" s="59">
        <f t="shared" si="965"/>
        <v>54.385435892154753</v>
      </c>
      <c r="AE106" s="59">
        <f t="shared" si="965"/>
        <v>54.385435892154732</v>
      </c>
      <c r="AL106" s="13" t="e">
        <f t="shared" ref="AL106:BQ106" si="967">+AL98/AL89</f>
        <v>#DIV/0!</v>
      </c>
      <c r="AM106" s="13" t="e">
        <f t="shared" si="967"/>
        <v>#DIV/0!</v>
      </c>
      <c r="AN106" s="13" t="e">
        <f t="shared" si="967"/>
        <v>#DIV/0!</v>
      </c>
      <c r="AO106" s="13" t="e">
        <f t="shared" si="967"/>
        <v>#DIV/0!</v>
      </c>
      <c r="AP106" s="13" t="e">
        <f t="shared" si="967"/>
        <v>#DIV/0!</v>
      </c>
      <c r="AQ106" s="13" t="e">
        <f t="shared" si="967"/>
        <v>#DIV/0!</v>
      </c>
      <c r="AR106" s="13" t="e">
        <f t="shared" si="967"/>
        <v>#DIV/0!</v>
      </c>
      <c r="AS106" s="13" t="e">
        <f t="shared" si="967"/>
        <v>#DIV/0!</v>
      </c>
      <c r="AT106" s="13" t="e">
        <f t="shared" si="967"/>
        <v>#DIV/0!</v>
      </c>
      <c r="AU106" s="13" t="e">
        <f t="shared" si="967"/>
        <v>#DIV/0!</v>
      </c>
      <c r="AV106" s="13" t="e">
        <f t="shared" si="967"/>
        <v>#DIV/0!</v>
      </c>
      <c r="AW106" s="13">
        <f t="shared" si="967"/>
        <v>0</v>
      </c>
      <c r="AX106" s="13">
        <f t="shared" si="967"/>
        <v>0</v>
      </c>
      <c r="AY106" s="13">
        <f t="shared" si="967"/>
        <v>0</v>
      </c>
      <c r="AZ106" s="13">
        <f t="shared" si="967"/>
        <v>0</v>
      </c>
      <c r="BA106" s="13">
        <f t="shared" si="967"/>
        <v>222.75406204769959</v>
      </c>
      <c r="BB106" s="13">
        <f t="shared" si="967"/>
        <v>84.982838507708152</v>
      </c>
      <c r="BC106" s="13">
        <f t="shared" si="967"/>
        <v>79.199818696884009</v>
      </c>
      <c r="BD106" s="13">
        <f t="shared" si="967"/>
        <v>70.153777918890285</v>
      </c>
      <c r="BE106" s="13">
        <f t="shared" si="967"/>
        <v>63.412666393850877</v>
      </c>
      <c r="BF106" s="13">
        <f t="shared" si="967"/>
        <v>68.051301093583348</v>
      </c>
      <c r="BG106" s="13">
        <f t="shared" si="967"/>
        <v>56.050582274652129</v>
      </c>
      <c r="BH106" s="13">
        <f t="shared" si="967"/>
        <v>58.369352717725555</v>
      </c>
      <c r="BI106" s="13">
        <f t="shared" si="967"/>
        <v>57.583135816212653</v>
      </c>
      <c r="BJ106" s="13">
        <f t="shared" si="967"/>
        <v>55.922096477343494</v>
      </c>
      <c r="BK106" s="13">
        <f t="shared" si="967"/>
        <v>46.136145209061986</v>
      </c>
      <c r="BL106" s="13">
        <f t="shared" si="967"/>
        <v>44.960055460931422</v>
      </c>
      <c r="BM106" s="13">
        <f t="shared" si="967"/>
        <v>50.55983225829381</v>
      </c>
      <c r="BN106" s="13">
        <f t="shared" si="967"/>
        <v>47.567231008293376</v>
      </c>
      <c r="BO106" s="13">
        <f t="shared" si="967"/>
        <v>78.258400776554922</v>
      </c>
      <c r="BP106" s="13">
        <f t="shared" si="967"/>
        <v>67.311825516114382</v>
      </c>
      <c r="BQ106" s="13">
        <f t="shared" si="967"/>
        <v>75.936759808928699</v>
      </c>
      <c r="BR106" s="13">
        <f t="shared" ref="BR106:CH106" si="968">+BR98/BR89</f>
        <v>81.678067360720405</v>
      </c>
      <c r="BS106" s="13">
        <f t="shared" si="968"/>
        <v>72.579182853878876</v>
      </c>
      <c r="BT106" s="13">
        <f t="shared" si="968"/>
        <v>65.422220276424682</v>
      </c>
      <c r="BU106" s="13">
        <f t="shared" si="968"/>
        <v>66.269755003947807</v>
      </c>
      <c r="BV106" s="13">
        <f t="shared" si="968"/>
        <v>55.883966378674465</v>
      </c>
      <c r="BW106" s="13">
        <f t="shared" si="968"/>
        <v>41.96330493415504</v>
      </c>
      <c r="BX106" s="13">
        <f t="shared" si="968"/>
        <v>56.153996885711472</v>
      </c>
      <c r="BY106" s="13">
        <f t="shared" si="968"/>
        <v>64.685843279799528</v>
      </c>
      <c r="BZ106" s="13">
        <f t="shared" si="968"/>
        <v>56.411233069704075</v>
      </c>
      <c r="CA106" s="13">
        <f t="shared" si="968"/>
        <v>62.903950867395054</v>
      </c>
      <c r="CB106" s="13">
        <f t="shared" si="968"/>
        <v>66.27196632212619</v>
      </c>
      <c r="CC106" s="13">
        <f t="shared" si="968"/>
        <v>90.832758869256665</v>
      </c>
      <c r="CD106" s="13">
        <f t="shared" si="968"/>
        <v>97.533773536692294</v>
      </c>
      <c r="CE106" s="13">
        <f t="shared" si="968"/>
        <v>93.447621965790873</v>
      </c>
      <c r="CF106" s="13">
        <f t="shared" si="968"/>
        <v>90.866607189020272</v>
      </c>
      <c r="CG106" s="13">
        <f t="shared" si="968"/>
        <v>86.24891967380367</v>
      </c>
      <c r="CH106" s="13">
        <f t="shared" si="968"/>
        <v>80.629590387413188</v>
      </c>
      <c r="CI106" s="13">
        <f t="shared" ref="CI106:CJ106" si="969">+CI98/CI89</f>
        <v>67.502153411666271</v>
      </c>
      <c r="CJ106" s="13">
        <f t="shared" si="969"/>
        <v>60.810069740942971</v>
      </c>
      <c r="CK106" s="13">
        <f t="shared" ref="CK106:CL106" si="970">+CK98/CK89</f>
        <v>55.777801723850686</v>
      </c>
      <c r="CL106" s="13">
        <f t="shared" si="970"/>
        <v>54.385435892154753</v>
      </c>
      <c r="CM106" s="59">
        <f t="shared" ref="CM106:CM107" si="971">+CL106</f>
        <v>54.385435892154753</v>
      </c>
      <c r="CN106" s="59">
        <f t="shared" ref="CN106:CN107" si="972">+CM106</f>
        <v>54.385435892154753</v>
      </c>
      <c r="CO106" s="59">
        <f t="shared" ref="CO106:CO107" si="973">+CN106</f>
        <v>54.385435892154753</v>
      </c>
      <c r="CP106" s="59">
        <f t="shared" ref="CP106:CP107" si="974">+CO106</f>
        <v>54.385435892154753</v>
      </c>
      <c r="CQ106" s="59">
        <f t="shared" ref="CQ106:CQ107" si="975">+CP106</f>
        <v>54.385435892154753</v>
      </c>
      <c r="CR106" s="59">
        <f t="shared" ref="CR106:CR107" si="976">+CQ106</f>
        <v>54.385435892154753</v>
      </c>
      <c r="CS106" s="59">
        <f t="shared" ref="CS106:CS107" si="977">+CR106</f>
        <v>54.385435892154753</v>
      </c>
      <c r="CT106" s="59">
        <f t="shared" ref="CT106:CT107" si="978">+CS106</f>
        <v>54.385435892154753</v>
      </c>
      <c r="CU106" s="59">
        <f t="shared" ref="CU106:CU107" si="979">+CT106</f>
        <v>54.385435892154753</v>
      </c>
      <c r="CV106" s="59">
        <f t="shared" ref="CV106:CV107" si="980">+CU106</f>
        <v>54.385435892154753</v>
      </c>
      <c r="CW106" s="59">
        <f t="shared" ref="CW106:CW107" si="981">+CV106</f>
        <v>54.385435892154753</v>
      </c>
      <c r="CX106" s="59">
        <f t="shared" ref="CX106:CX107" si="982">+CW106</f>
        <v>54.385435892154753</v>
      </c>
      <c r="CY106" s="59">
        <f t="shared" ref="CY106:CY107" si="983">+CX106</f>
        <v>54.385435892154753</v>
      </c>
      <c r="CZ106" s="59">
        <f t="shared" ref="CZ106:CZ107" si="984">+CY106</f>
        <v>54.385435892154753</v>
      </c>
      <c r="DA106" s="59">
        <f t="shared" ref="DA106:DA107" si="985">+CZ106</f>
        <v>54.385435892154753</v>
      </c>
      <c r="DB106"/>
      <c r="DD106" s="135"/>
    </row>
    <row r="107" spans="1:108" s="13" customFormat="1" x14ac:dyDescent="0.25">
      <c r="A107" s="13" t="s">
        <v>462</v>
      </c>
      <c r="B107" s="13" t="e">
        <f t="shared" ref="B107:D107" si="986">+B99/B89</f>
        <v>#DIV/0!</v>
      </c>
      <c r="C107" s="13" t="e">
        <f t="shared" si="986"/>
        <v>#DIV/0!</v>
      </c>
      <c r="D107" s="13" t="e">
        <f t="shared" si="986"/>
        <v>#DIV/0!</v>
      </c>
      <c r="E107" s="13" t="e">
        <f t="shared" ref="E107:AE107" si="987">+E99/E89</f>
        <v>#DIV/0!</v>
      </c>
      <c r="F107" s="13">
        <f t="shared" si="987"/>
        <v>0</v>
      </c>
      <c r="G107" s="13">
        <f t="shared" si="987"/>
        <v>0</v>
      </c>
      <c r="H107" s="13">
        <f t="shared" si="987"/>
        <v>0</v>
      </c>
      <c r="I107" s="13">
        <f t="shared" si="987"/>
        <v>0</v>
      </c>
      <c r="J107" s="13">
        <f t="shared" si="987"/>
        <v>0</v>
      </c>
      <c r="K107" s="13">
        <f t="shared" si="987"/>
        <v>0</v>
      </c>
      <c r="L107" s="13">
        <f t="shared" si="987"/>
        <v>0</v>
      </c>
      <c r="M107" s="13">
        <f t="shared" si="987"/>
        <v>0</v>
      </c>
      <c r="N107" s="13">
        <f t="shared" si="987"/>
        <v>0</v>
      </c>
      <c r="O107" s="13">
        <f t="shared" si="987"/>
        <v>0</v>
      </c>
      <c r="P107" s="13">
        <f t="shared" si="987"/>
        <v>0</v>
      </c>
      <c r="Q107" s="13">
        <f t="shared" si="987"/>
        <v>0</v>
      </c>
      <c r="R107" s="13">
        <f t="shared" si="987"/>
        <v>163.17031653136812</v>
      </c>
      <c r="S107" s="13">
        <f t="shared" si="987"/>
        <v>32.54445628761119</v>
      </c>
      <c r="T107" s="13">
        <f t="shared" si="987"/>
        <v>40.571244964559845</v>
      </c>
      <c r="U107" s="13">
        <f t="shared" si="987"/>
        <v>31.836070171947181</v>
      </c>
      <c r="V107" s="13">
        <f t="shared" si="987"/>
        <v>36.867776637237405</v>
      </c>
      <c r="W107" s="13">
        <f t="shared" si="987"/>
        <v>37.034576659962106</v>
      </c>
      <c r="X107" s="13">
        <f t="shared" si="987"/>
        <v>25.171290742223601</v>
      </c>
      <c r="Y107" s="13">
        <f t="shared" si="987"/>
        <v>36.191105499138537</v>
      </c>
      <c r="Z107" s="13">
        <f t="shared" ref="Z107" si="988">+Z99/Z89</f>
        <v>62.369699899754629</v>
      </c>
      <c r="AA107" s="59">
        <f t="shared" si="987"/>
        <v>46.7135116577074</v>
      </c>
      <c r="AB107" s="59">
        <f t="shared" si="987"/>
        <v>36.51478244482297</v>
      </c>
      <c r="AC107" s="59">
        <f t="shared" si="987"/>
        <v>33.527778765798196</v>
      </c>
      <c r="AD107" s="59">
        <f t="shared" si="987"/>
        <v>38.384921521480841</v>
      </c>
      <c r="AE107" s="59">
        <f t="shared" si="987"/>
        <v>34.082263086833578</v>
      </c>
      <c r="AL107" s="13" t="e">
        <f t="shared" ref="AL107:BQ107" si="989">+AL99/AL89</f>
        <v>#DIV/0!</v>
      </c>
      <c r="AM107" s="13" t="e">
        <f t="shared" si="989"/>
        <v>#DIV/0!</v>
      </c>
      <c r="AN107" s="13" t="e">
        <f t="shared" si="989"/>
        <v>#DIV/0!</v>
      </c>
      <c r="AO107" s="13" t="e">
        <f t="shared" si="989"/>
        <v>#DIV/0!</v>
      </c>
      <c r="AP107" s="13" t="e">
        <f t="shared" si="989"/>
        <v>#DIV/0!</v>
      </c>
      <c r="AQ107" s="13" t="e">
        <f t="shared" si="989"/>
        <v>#DIV/0!</v>
      </c>
      <c r="AR107" s="13" t="e">
        <f t="shared" si="989"/>
        <v>#DIV/0!</v>
      </c>
      <c r="AS107" s="13" t="e">
        <f t="shared" si="989"/>
        <v>#DIV/0!</v>
      </c>
      <c r="AT107" s="13" t="e">
        <f t="shared" si="989"/>
        <v>#DIV/0!</v>
      </c>
      <c r="AU107" s="13" t="e">
        <f t="shared" si="989"/>
        <v>#DIV/0!</v>
      </c>
      <c r="AV107" s="13" t="e">
        <f t="shared" si="989"/>
        <v>#DIV/0!</v>
      </c>
      <c r="AW107" s="13">
        <f t="shared" si="989"/>
        <v>0</v>
      </c>
      <c r="AX107" s="13">
        <f t="shared" si="989"/>
        <v>0</v>
      </c>
      <c r="AY107" s="13">
        <f t="shared" si="989"/>
        <v>0</v>
      </c>
      <c r="AZ107" s="13">
        <f t="shared" si="989"/>
        <v>0</v>
      </c>
      <c r="BA107" s="13">
        <f t="shared" si="989"/>
        <v>0</v>
      </c>
      <c r="BB107" s="13">
        <f t="shared" si="989"/>
        <v>69.312604303908572</v>
      </c>
      <c r="BC107" s="13">
        <f t="shared" si="989"/>
        <v>56.859224677368744</v>
      </c>
      <c r="BD107" s="13">
        <f t="shared" si="989"/>
        <v>58.883652423809679</v>
      </c>
      <c r="BE107" s="13">
        <f t="shared" si="989"/>
        <v>46.347177783910908</v>
      </c>
      <c r="BF107" s="13">
        <f t="shared" si="989"/>
        <v>52.971979894000668</v>
      </c>
      <c r="BG107" s="13">
        <f t="shared" si="989"/>
        <v>44.520785692679944</v>
      </c>
      <c r="BH107" s="13">
        <f t="shared" si="989"/>
        <v>46.069850713955091</v>
      </c>
      <c r="BI107" s="13">
        <f t="shared" si="989"/>
        <v>46.715294162285254</v>
      </c>
      <c r="BJ107" s="13">
        <f t="shared" si="989"/>
        <v>47.420791998630641</v>
      </c>
      <c r="BK107" s="13">
        <f t="shared" si="989"/>
        <v>38.135380671249578</v>
      </c>
      <c r="BL107" s="13">
        <f t="shared" si="989"/>
        <v>37.924660703157052</v>
      </c>
      <c r="BM107" s="13">
        <f t="shared" si="989"/>
        <v>37.919072928549852</v>
      </c>
      <c r="BN107" s="13">
        <f t="shared" si="989"/>
        <v>26.52162239274984</v>
      </c>
      <c r="BO107" s="13">
        <f t="shared" si="989"/>
        <v>53.209141535576109</v>
      </c>
      <c r="BP107" s="13">
        <f t="shared" si="989"/>
        <v>55.910198860310807</v>
      </c>
      <c r="BQ107" s="13">
        <f t="shared" si="989"/>
        <v>49.038532107617641</v>
      </c>
      <c r="BR107" s="13">
        <f t="shared" ref="BR107:CH107" si="990">+BR99/BR89</f>
        <v>63.726557095784948</v>
      </c>
      <c r="BS107" s="13">
        <f t="shared" si="990"/>
        <v>46.036871916895379</v>
      </c>
      <c r="BT107" s="13">
        <f t="shared" si="990"/>
        <v>48.669086752160169</v>
      </c>
      <c r="BU107" s="13">
        <f t="shared" si="990"/>
        <v>52.509035288422176</v>
      </c>
      <c r="BV107" s="13">
        <f t="shared" si="990"/>
        <v>46.020308667601284</v>
      </c>
      <c r="BW107" s="13">
        <f t="shared" si="990"/>
        <v>32.358816431316278</v>
      </c>
      <c r="BX107" s="13">
        <f t="shared" si="990"/>
        <v>36.680102836837563</v>
      </c>
      <c r="BY107" s="13">
        <f t="shared" si="990"/>
        <v>43.514616894378598</v>
      </c>
      <c r="BZ107" s="13">
        <f t="shared" si="990"/>
        <v>44.491543971230001</v>
      </c>
      <c r="CA107" s="13">
        <f t="shared" si="990"/>
        <v>49.505155506206222</v>
      </c>
      <c r="CB107" s="13">
        <f t="shared" si="990"/>
        <v>53.13128076685804</v>
      </c>
      <c r="CC107" s="13">
        <f t="shared" si="990"/>
        <v>54.495049364713225</v>
      </c>
      <c r="CD107" s="13">
        <f t="shared" si="990"/>
        <v>74.774017755938814</v>
      </c>
      <c r="CE107" s="13">
        <f t="shared" si="990"/>
        <v>73.755337645222994</v>
      </c>
      <c r="CF107" s="13">
        <f t="shared" si="990"/>
        <v>73.136148015765841</v>
      </c>
      <c r="CG107" s="13">
        <f t="shared" si="990"/>
        <v>70.099242860165646</v>
      </c>
      <c r="CH107" s="13">
        <f t="shared" si="990"/>
        <v>50.950806401207004</v>
      </c>
      <c r="CI107" s="13">
        <f t="shared" ref="CI107:CJ107" si="991">+CI99/CI89</f>
        <v>52.90933959584607</v>
      </c>
      <c r="CJ107" s="13">
        <f t="shared" si="991"/>
        <v>50.230939630580423</v>
      </c>
      <c r="CK107" s="13">
        <f t="shared" ref="CK107:CL107" si="992">+CK99/CK89</f>
        <v>48.037072451071886</v>
      </c>
      <c r="CL107" s="13">
        <f t="shared" si="992"/>
        <v>40.490182852781551</v>
      </c>
      <c r="CM107" s="59">
        <f t="shared" si="971"/>
        <v>40.490182852781551</v>
      </c>
      <c r="CN107" s="59">
        <f t="shared" si="972"/>
        <v>40.490182852781551</v>
      </c>
      <c r="CO107" s="59">
        <f t="shared" si="973"/>
        <v>40.490182852781551</v>
      </c>
      <c r="CP107" s="59">
        <f t="shared" si="974"/>
        <v>40.490182852781551</v>
      </c>
      <c r="CQ107" s="59">
        <f t="shared" si="975"/>
        <v>40.490182852781551</v>
      </c>
      <c r="CR107" s="59">
        <f t="shared" si="976"/>
        <v>40.490182852781551</v>
      </c>
      <c r="CS107" s="59">
        <f t="shared" si="977"/>
        <v>40.490182852781551</v>
      </c>
      <c r="CT107" s="59">
        <f t="shared" si="978"/>
        <v>40.490182852781551</v>
      </c>
      <c r="CU107" s="59">
        <f t="shared" si="979"/>
        <v>40.490182852781551</v>
      </c>
      <c r="CV107" s="59">
        <f t="shared" si="980"/>
        <v>40.490182852781551</v>
      </c>
      <c r="CW107" s="59">
        <f t="shared" si="981"/>
        <v>40.490182852781551</v>
      </c>
      <c r="CX107" s="59">
        <f t="shared" si="982"/>
        <v>40.490182852781551</v>
      </c>
      <c r="CY107" s="59">
        <f t="shared" si="983"/>
        <v>40.490182852781551</v>
      </c>
      <c r="CZ107" s="59">
        <f t="shared" si="984"/>
        <v>40.490182852781551</v>
      </c>
      <c r="DA107" s="59">
        <f t="shared" si="985"/>
        <v>40.490182852781551</v>
      </c>
      <c r="DB107"/>
      <c r="DD107" s="135"/>
    </row>
    <row r="108" spans="1:108" s="13" customFormat="1" x14ac:dyDescent="0.25">
      <c r="AA108" s="59"/>
      <c r="AB108" s="59"/>
      <c r="AC108" s="59"/>
      <c r="AD108" s="59"/>
      <c r="AE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/>
      <c r="DD108" s="135"/>
    </row>
    <row r="109" spans="1:108" s="13" customFormat="1" x14ac:dyDescent="0.25">
      <c r="A109" s="13" t="s">
        <v>463</v>
      </c>
      <c r="B109" s="13" t="e">
        <f t="shared" ref="B109:AD109" si="993">+B98/C89</f>
        <v>#DIV/0!</v>
      </c>
      <c r="C109" s="13" t="e">
        <f t="shared" si="993"/>
        <v>#DIV/0!</v>
      </c>
      <c r="D109" s="13" t="e">
        <f t="shared" si="993"/>
        <v>#DIV/0!</v>
      </c>
      <c r="E109" s="13">
        <f t="shared" si="993"/>
        <v>0</v>
      </c>
      <c r="F109" s="13">
        <f t="shared" si="993"/>
        <v>0</v>
      </c>
      <c r="G109" s="13">
        <f t="shared" si="993"/>
        <v>0</v>
      </c>
      <c r="H109" s="13">
        <f t="shared" si="993"/>
        <v>0</v>
      </c>
      <c r="I109" s="13">
        <f t="shared" si="993"/>
        <v>0</v>
      </c>
      <c r="J109" s="13">
        <f t="shared" si="993"/>
        <v>0</v>
      </c>
      <c r="K109" s="13">
        <f t="shared" si="993"/>
        <v>0</v>
      </c>
      <c r="L109" s="13">
        <f t="shared" si="993"/>
        <v>0</v>
      </c>
      <c r="M109" s="13">
        <f t="shared" si="993"/>
        <v>0</v>
      </c>
      <c r="N109" s="13">
        <f t="shared" si="993"/>
        <v>0</v>
      </c>
      <c r="O109" s="13">
        <f t="shared" si="993"/>
        <v>0</v>
      </c>
      <c r="P109" s="13">
        <f t="shared" si="993"/>
        <v>0</v>
      </c>
      <c r="Q109" s="13">
        <f t="shared" si="993"/>
        <v>0</v>
      </c>
      <c r="R109" s="13">
        <f t="shared" si="993"/>
        <v>44.918502304658993</v>
      </c>
      <c r="S109" s="13">
        <f t="shared" si="993"/>
        <v>45.509192542483184</v>
      </c>
      <c r="T109" s="13">
        <f t="shared" si="993"/>
        <v>36.282735184889113</v>
      </c>
      <c r="U109" s="13">
        <f t="shared" si="993"/>
        <v>59.951466493394427</v>
      </c>
      <c r="V109" s="13">
        <f t="shared" si="993"/>
        <v>43.276310574231751</v>
      </c>
      <c r="W109" s="13">
        <f t="shared" si="993"/>
        <v>30.716894846046536</v>
      </c>
      <c r="X109" s="13">
        <f t="shared" si="993"/>
        <v>47.115884209128495</v>
      </c>
      <c r="Y109" s="13">
        <f t="shared" si="993"/>
        <v>71.976469007370227</v>
      </c>
      <c r="Z109" s="13">
        <f t="shared" ref="Z109" si="994">+Z98/AA89</f>
        <v>76.05592346292066</v>
      </c>
      <c r="AA109" s="36">
        <f t="shared" si="993"/>
        <v>68.951090273176717</v>
      </c>
      <c r="AB109" s="36">
        <f t="shared" si="993"/>
        <v>41.311928929565106</v>
      </c>
      <c r="AC109" s="36">
        <f t="shared" si="993"/>
        <v>50.541732341923932</v>
      </c>
      <c r="AD109" s="36">
        <f t="shared" si="993"/>
        <v>42.813517919002912</v>
      </c>
      <c r="AE109" s="36"/>
      <c r="AL109" s="13" t="e">
        <f t="shared" ref="AL109:BQ109" si="995">+AL98/AP89</f>
        <v>#DIV/0!</v>
      </c>
      <c r="AM109" s="13" t="e">
        <f t="shared" si="995"/>
        <v>#DIV/0!</v>
      </c>
      <c r="AN109" s="13" t="e">
        <f t="shared" si="995"/>
        <v>#DIV/0!</v>
      </c>
      <c r="AO109" s="13" t="e">
        <f t="shared" si="995"/>
        <v>#DIV/0!</v>
      </c>
      <c r="AP109" s="13" t="e">
        <f t="shared" si="995"/>
        <v>#DIV/0!</v>
      </c>
      <c r="AQ109" s="13" t="e">
        <f t="shared" si="995"/>
        <v>#DIV/0!</v>
      </c>
      <c r="AR109" s="13" t="e">
        <f t="shared" si="995"/>
        <v>#DIV/0!</v>
      </c>
      <c r="AS109" s="13">
        <f t="shared" si="995"/>
        <v>0</v>
      </c>
      <c r="AT109" s="13">
        <f t="shared" si="995"/>
        <v>0</v>
      </c>
      <c r="AU109" s="13">
        <f t="shared" si="995"/>
        <v>0</v>
      </c>
      <c r="AV109" s="13">
        <f t="shared" si="995"/>
        <v>0</v>
      </c>
      <c r="AW109" s="13">
        <f t="shared" si="995"/>
        <v>0</v>
      </c>
      <c r="AX109" s="13">
        <f t="shared" si="995"/>
        <v>0</v>
      </c>
      <c r="AY109" s="13">
        <f t="shared" si="995"/>
        <v>0</v>
      </c>
      <c r="AZ109" s="13">
        <f t="shared" si="995"/>
        <v>0</v>
      </c>
      <c r="BA109" s="13">
        <f t="shared" si="995"/>
        <v>44.916709333790187</v>
      </c>
      <c r="BB109" s="13">
        <f t="shared" si="995"/>
        <v>37.387780680920876</v>
      </c>
      <c r="BC109" s="13">
        <f t="shared" si="995"/>
        <v>39.640335753176032</v>
      </c>
      <c r="BD109" s="13">
        <f t="shared" si="995"/>
        <v>39.414781994195565</v>
      </c>
      <c r="BE109" s="13">
        <f t="shared" si="995"/>
        <v>45.507375993570939</v>
      </c>
      <c r="BF109" s="13">
        <f t="shared" si="995"/>
        <v>48.477487276404005</v>
      </c>
      <c r="BG109" s="13">
        <f t="shared" si="995"/>
        <v>37.800019283437095</v>
      </c>
      <c r="BH109" s="13">
        <f t="shared" si="995"/>
        <v>37.250078885877478</v>
      </c>
      <c r="BI109" s="13">
        <f t="shared" si="995"/>
        <v>35.956507437615116</v>
      </c>
      <c r="BJ109" s="13">
        <f t="shared" si="995"/>
        <v>32.023152626231969</v>
      </c>
      <c r="BK109" s="13">
        <f t="shared" si="995"/>
        <v>68.041567305726232</v>
      </c>
      <c r="BL109" s="13">
        <f t="shared" si="995"/>
        <v>57.696453703053372</v>
      </c>
      <c r="BM109" s="13">
        <f t="shared" si="995"/>
        <v>59.949073465411367</v>
      </c>
      <c r="BN109" s="13">
        <f t="shared" si="995"/>
        <v>64.840840170149846</v>
      </c>
      <c r="BO109" s="13">
        <f t="shared" si="995"/>
        <v>38.894309180132225</v>
      </c>
      <c r="BP109" s="13">
        <f t="shared" si="995"/>
        <v>36.421842386358328</v>
      </c>
      <c r="BQ109" s="13">
        <f t="shared" si="995"/>
        <v>43.274583153231546</v>
      </c>
      <c r="BR109" s="13">
        <f t="shared" ref="BR109:CJ109" si="996">+BR98/BV89</f>
        <v>40.223608903823035</v>
      </c>
      <c r="BS109" s="13">
        <f t="shared" si="996"/>
        <v>31.905553344933328</v>
      </c>
      <c r="BT109" s="13">
        <f t="shared" si="996"/>
        <v>29.903679627119118</v>
      </c>
      <c r="BU109" s="13">
        <f t="shared" si="996"/>
        <v>30.715668747783724</v>
      </c>
      <c r="BV109" s="13">
        <f t="shared" si="996"/>
        <v>27.36904068533233</v>
      </c>
      <c r="BW109" s="13">
        <f t="shared" si="996"/>
        <v>28.999220001799127</v>
      </c>
      <c r="BX109" s="13">
        <f t="shared" si="996"/>
        <v>40.433919910982162</v>
      </c>
      <c r="BY109" s="13">
        <f t="shared" si="996"/>
        <v>47.11400352737116</v>
      </c>
      <c r="BZ109" s="13">
        <f t="shared" si="996"/>
        <v>43.59108951856205</v>
      </c>
      <c r="CA109" s="13">
        <f t="shared" si="996"/>
        <v>48.774276368982349</v>
      </c>
      <c r="CB109" s="13">
        <f t="shared" si="996"/>
        <v>52.118820472807222</v>
      </c>
      <c r="CC109" s="13">
        <f t="shared" si="996"/>
        <v>71.973595988334452</v>
      </c>
      <c r="CD109" s="13">
        <f t="shared" si="996"/>
        <v>75.821214332668845</v>
      </c>
      <c r="CE109" s="13">
        <f t="shared" si="996"/>
        <v>79.492245674656701</v>
      </c>
      <c r="CF109" s="13">
        <f t="shared" si="996"/>
        <v>77.759453224542142</v>
      </c>
      <c r="CG109" s="13">
        <f t="shared" si="996"/>
        <v>73.69842532083068</v>
      </c>
      <c r="CH109" s="13">
        <f t="shared" si="996"/>
        <v>70.53368598265385</v>
      </c>
      <c r="CI109" s="13">
        <f t="shared" si="996"/>
        <v>64.194493370092601</v>
      </c>
      <c r="CJ109" s="13">
        <f t="shared" si="996"/>
        <v>61.516497101070058</v>
      </c>
      <c r="CK109" s="13">
        <f t="shared" ref="CK109" si="997">+CK98/CO89</f>
        <v>52.027581752006725</v>
      </c>
      <c r="CL109" s="13">
        <f t="shared" ref="CL109" si="998">+CL98/CP89</f>
        <v>48.771373582730561</v>
      </c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/>
      <c r="DD109" s="133"/>
    </row>
    <row r="110" spans="1:108" s="97" customFormat="1" x14ac:dyDescent="0.25">
      <c r="A110" s="97" t="s">
        <v>426</v>
      </c>
      <c r="AA110" s="98"/>
      <c r="AB110" s="98"/>
      <c r="AC110" s="98"/>
      <c r="AD110" s="98"/>
      <c r="AE110" s="98"/>
      <c r="AL110" s="174"/>
      <c r="AM110" s="174"/>
      <c r="AN110" s="174"/>
      <c r="AO110" s="174" t="e">
        <f t="shared" ref="AO110:CI110" si="999">+CORREL(AL89:AO89,AL106:AO106)</f>
        <v>#DIV/0!</v>
      </c>
      <c r="AP110" s="174" t="e">
        <f t="shared" si="999"/>
        <v>#DIV/0!</v>
      </c>
      <c r="AQ110" s="174" t="e">
        <f t="shared" si="999"/>
        <v>#DIV/0!</v>
      </c>
      <c r="AR110" s="174" t="e">
        <f t="shared" si="999"/>
        <v>#DIV/0!</v>
      </c>
      <c r="AS110" s="174" t="e">
        <f t="shared" si="999"/>
        <v>#DIV/0!</v>
      </c>
      <c r="AT110" s="174" t="e">
        <f t="shared" si="999"/>
        <v>#DIV/0!</v>
      </c>
      <c r="AU110" s="174" t="e">
        <f t="shared" si="999"/>
        <v>#DIV/0!</v>
      </c>
      <c r="AV110" s="174" t="e">
        <f t="shared" si="999"/>
        <v>#DIV/0!</v>
      </c>
      <c r="AW110" s="174" t="e">
        <f t="shared" si="999"/>
        <v>#DIV/0!</v>
      </c>
      <c r="AX110" s="174" t="e">
        <f t="shared" si="999"/>
        <v>#DIV/0!</v>
      </c>
      <c r="AY110" s="174" t="e">
        <f t="shared" si="999"/>
        <v>#DIV/0!</v>
      </c>
      <c r="AZ110" s="174" t="e">
        <f t="shared" si="999"/>
        <v>#DIV/0!</v>
      </c>
      <c r="BA110" s="174">
        <f t="shared" si="999"/>
        <v>0.265405923731863</v>
      </c>
      <c r="BB110" s="174">
        <f t="shared" si="999"/>
        <v>-0.24624879225078231</v>
      </c>
      <c r="BC110" s="174">
        <f t="shared" si="999"/>
        <v>-0.36324326546362462</v>
      </c>
      <c r="BD110" s="174">
        <f t="shared" si="999"/>
        <v>-0.90041104893759716</v>
      </c>
      <c r="BE110" s="174">
        <f t="shared" si="999"/>
        <v>-0.98060446599028261</v>
      </c>
      <c r="BF110" s="174">
        <f t="shared" si="999"/>
        <v>-0.83811480575047126</v>
      </c>
      <c r="BG110" s="174">
        <f t="shared" si="999"/>
        <v>-0.89350894953826887</v>
      </c>
      <c r="BH110" s="174">
        <f t="shared" si="999"/>
        <v>-0.83860078823977324</v>
      </c>
      <c r="BI110" s="174">
        <f t="shared" si="999"/>
        <v>-0.95038225664474874</v>
      </c>
      <c r="BJ110" s="174">
        <f t="shared" si="999"/>
        <v>-0.30550772138827409</v>
      </c>
      <c r="BK110" s="174">
        <f t="shared" si="999"/>
        <v>-0.99884761086580731</v>
      </c>
      <c r="BL110" s="174">
        <f t="shared" si="999"/>
        <v>-0.99205425287164817</v>
      </c>
      <c r="BM110" s="174">
        <f t="shared" si="999"/>
        <v>-0.75326355466806272</v>
      </c>
      <c r="BN110" s="174">
        <f t="shared" si="999"/>
        <v>0.27190965467445927</v>
      </c>
      <c r="BO110" s="174">
        <f t="shared" si="999"/>
        <v>-0.91492103378067635</v>
      </c>
      <c r="BP110" s="174">
        <f t="shared" si="999"/>
        <v>-0.97904611013382414</v>
      </c>
      <c r="BQ110" s="174">
        <f t="shared" si="999"/>
        <v>-0.9079243234522274</v>
      </c>
      <c r="BR110" s="174">
        <f t="shared" si="999"/>
        <v>0.10561757409479268</v>
      </c>
      <c r="BS110" s="174">
        <f t="shared" si="999"/>
        <v>1.2639180705717254E-2</v>
      </c>
      <c r="BT110" s="174">
        <f t="shared" si="999"/>
        <v>-0.91151481323859185</v>
      </c>
      <c r="BU110" s="174">
        <f t="shared" si="999"/>
        <v>-0.98629464689825852</v>
      </c>
      <c r="BV110" s="174">
        <f t="shared" si="999"/>
        <v>-0.98077901072991647</v>
      </c>
      <c r="BW110" s="174">
        <f t="shared" si="999"/>
        <v>-0.97725751900953373</v>
      </c>
      <c r="BX110" s="174">
        <f t="shared" si="999"/>
        <v>-0.64670271617084685</v>
      </c>
      <c r="BY110" s="174">
        <f t="shared" si="999"/>
        <v>0.18671336995471632</v>
      </c>
      <c r="BZ110" s="174">
        <f t="shared" si="999"/>
        <v>0.62978213952621087</v>
      </c>
      <c r="CA110" s="174">
        <f t="shared" si="999"/>
        <v>0.2621762679876708</v>
      </c>
      <c r="CB110" s="174">
        <f t="shared" si="999"/>
        <v>0.31507423095018222</v>
      </c>
      <c r="CC110" s="174">
        <f t="shared" si="999"/>
        <v>0.80026383138413759</v>
      </c>
      <c r="CD110" s="174">
        <f t="shared" si="999"/>
        <v>0.91009821744017538</v>
      </c>
      <c r="CE110" s="174">
        <f t="shared" si="999"/>
        <v>0.58878525749610089</v>
      </c>
      <c r="CF110" s="174">
        <f t="shared" si="999"/>
        <v>-0.25599189135715983</v>
      </c>
      <c r="CG110" s="174">
        <f t="shared" si="999"/>
        <v>-0.93940363268132498</v>
      </c>
      <c r="CH110" s="174">
        <f t="shared" si="999"/>
        <v>-0.98038235167225662</v>
      </c>
      <c r="CI110" s="174">
        <f t="shared" si="999"/>
        <v>-0.92697302918384572</v>
      </c>
      <c r="CJ110" s="174">
        <f>+CORREL(CG89:CJ89,CG106:CJ106)</f>
        <v>-0.94236652940728716</v>
      </c>
      <c r="CK110" s="174">
        <f t="shared" ref="CK110:CL110" si="1000">+CORREL(CH89:CK89,CH106:CK106)</f>
        <v>-0.95817593558342173</v>
      </c>
      <c r="CL110" s="174">
        <f t="shared" si="1000"/>
        <v>-0.93821526654039344</v>
      </c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/>
      <c r="DD110" s="136"/>
    </row>
    <row r="111" spans="1:108" s="4" customFormat="1" x14ac:dyDescent="0.25">
      <c r="A111" s="3"/>
      <c r="AA111" s="16"/>
      <c r="AB111" s="16"/>
      <c r="AC111" s="16"/>
      <c r="AD111" s="16"/>
      <c r="AE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/>
      <c r="DD111" s="118"/>
    </row>
    <row r="112" spans="1:108" s="161" customFormat="1" hidden="1" outlineLevel="1" x14ac:dyDescent="0.25">
      <c r="A112" s="48" t="s">
        <v>506</v>
      </c>
      <c r="E112" s="161">
        <f t="shared" ref="E112:AE112" si="1001">+E$140/E$85</f>
        <v>0</v>
      </c>
      <c r="F112" s="161">
        <f t="shared" si="1001"/>
        <v>0.43828166181020933</v>
      </c>
      <c r="G112" s="161">
        <f t="shared" si="1001"/>
        <v>0.47194030593463526</v>
      </c>
      <c r="H112" s="161">
        <f t="shared" si="1001"/>
        <v>0.51166759360692116</v>
      </c>
      <c r="I112" s="161">
        <f t="shared" si="1001"/>
        <v>0.5743602737356579</v>
      </c>
      <c r="J112" s="161">
        <f t="shared" si="1001"/>
        <v>0.63622351057554571</v>
      </c>
      <c r="K112" s="161">
        <f t="shared" si="1001"/>
        <v>0.57615252557955943</v>
      </c>
      <c r="L112" s="161">
        <f t="shared" si="1001"/>
        <v>0.5552889655672002</v>
      </c>
      <c r="M112" s="161">
        <f t="shared" si="1001"/>
        <v>0.32600207859329794</v>
      </c>
      <c r="N112" s="161">
        <f t="shared" si="1001"/>
        <v>0.50740739098103405</v>
      </c>
      <c r="O112" s="161">
        <f t="shared" si="1001"/>
        <v>0.63675621175632269</v>
      </c>
      <c r="P112" s="161">
        <f t="shared" si="1001"/>
        <v>1.0143949238563672</v>
      </c>
      <c r="Q112" s="161">
        <f t="shared" si="1001"/>
        <v>1.9936666474478095</v>
      </c>
      <c r="R112" s="161">
        <f t="shared" si="1001"/>
        <v>5.0075323135512155</v>
      </c>
      <c r="S112" s="161">
        <f t="shared" si="1001"/>
        <v>5.2317513257315369</v>
      </c>
      <c r="T112" s="161">
        <f t="shared" si="1001"/>
        <v>5.9090711526435546</v>
      </c>
      <c r="U112" s="161">
        <f t="shared" si="1001"/>
        <v>9.8413025062867838</v>
      </c>
      <c r="V112" s="161">
        <f t="shared" si="1001"/>
        <v>10.419580171461771</v>
      </c>
      <c r="W112" s="161">
        <f t="shared" si="1001"/>
        <v>12.063256650094099</v>
      </c>
      <c r="X112" s="161">
        <f t="shared" si="1001"/>
        <v>15.086447896939619</v>
      </c>
      <c r="Y112" s="161">
        <f t="shared" si="1001"/>
        <v>20.509471200542858</v>
      </c>
      <c r="Z112" s="161">
        <f t="shared" si="1001"/>
        <v>49.111062817573135</v>
      </c>
      <c r="AA112" s="20">
        <f t="shared" si="1001"/>
        <v>57.88927868673116</v>
      </c>
      <c r="AB112" s="20">
        <f t="shared" si="1001"/>
        <v>67.514942289300663</v>
      </c>
      <c r="AC112" s="20">
        <f t="shared" si="1001"/>
        <v>80.18672800207932</v>
      </c>
      <c r="AD112" s="20">
        <f t="shared" si="1001"/>
        <v>93.82220422317819</v>
      </c>
      <c r="AE112" s="20">
        <f t="shared" si="1001"/>
        <v>111.14316624467148</v>
      </c>
      <c r="AL112" s="161">
        <f t="shared" ref="AL112:BQ112" si="1002">+AL$140/AL$85</f>
        <v>0</v>
      </c>
      <c r="AM112" s="161">
        <f t="shared" si="1002"/>
        <v>0</v>
      </c>
      <c r="AN112" s="161">
        <f t="shared" si="1002"/>
        <v>0</v>
      </c>
      <c r="AO112" s="161">
        <f t="shared" si="1002"/>
        <v>0</v>
      </c>
      <c r="AP112" s="161">
        <f t="shared" si="1002"/>
        <v>0</v>
      </c>
      <c r="AQ112" s="161">
        <f t="shared" si="1002"/>
        <v>0</v>
      </c>
      <c r="AR112" s="161">
        <f t="shared" si="1002"/>
        <v>0</v>
      </c>
      <c r="AS112" s="161">
        <f t="shared" si="1002"/>
        <v>0</v>
      </c>
      <c r="AT112" s="161">
        <f t="shared" si="1002"/>
        <v>0</v>
      </c>
      <c r="AU112" s="161">
        <f t="shared" si="1002"/>
        <v>0</v>
      </c>
      <c r="AV112" s="161">
        <f t="shared" si="1002"/>
        <v>0</v>
      </c>
      <c r="AW112" s="161">
        <f t="shared" si="1002"/>
        <v>1.9937462299968063</v>
      </c>
      <c r="AX112" s="161">
        <f t="shared" si="1002"/>
        <v>1.840622006173934</v>
      </c>
      <c r="AY112" s="161">
        <f t="shared" si="1002"/>
        <v>0</v>
      </c>
      <c r="AZ112" s="161">
        <f t="shared" si="1002"/>
        <v>3.0464582668038906E-2</v>
      </c>
      <c r="BA112" s="161">
        <f t="shared" si="1002"/>
        <v>5.5999095199233579</v>
      </c>
      <c r="BB112" s="161">
        <f t="shared" si="1002"/>
        <v>5.6132390684691709</v>
      </c>
      <c r="BC112" s="161">
        <f t="shared" si="1002"/>
        <v>5.4827644324592839</v>
      </c>
      <c r="BD112" s="161">
        <f t="shared" si="1002"/>
        <v>5.5799891187358801</v>
      </c>
      <c r="BE112" s="161">
        <f t="shared" si="1002"/>
        <v>5.2319601651113548</v>
      </c>
      <c r="BF112" s="161">
        <f t="shared" si="1002"/>
        <v>5.2870524784444521</v>
      </c>
      <c r="BG112" s="161">
        <f t="shared" si="1002"/>
        <v>6.2170900897704291</v>
      </c>
      <c r="BH112" s="161">
        <f t="shared" si="1002"/>
        <v>6.3420915682030534</v>
      </c>
      <c r="BI112" s="161">
        <f t="shared" si="1002"/>
        <v>5.9093070290600718</v>
      </c>
      <c r="BJ112" s="161">
        <f t="shared" si="1002"/>
        <v>6.0294326366958799</v>
      </c>
      <c r="BK112" s="161">
        <f t="shared" si="1002"/>
        <v>7.3910306449514485</v>
      </c>
      <c r="BL112" s="161">
        <f t="shared" si="1002"/>
        <v>7.6297442902932024</v>
      </c>
      <c r="BM112" s="161">
        <f t="shared" si="1002"/>
        <v>9.8416953482595879</v>
      </c>
      <c r="BN112" s="161">
        <f t="shared" si="1002"/>
        <v>10.004083430909885</v>
      </c>
      <c r="BO112" s="161">
        <f t="shared" si="1002"/>
        <v>10.224233876213793</v>
      </c>
      <c r="BP112" s="161">
        <f t="shared" si="1002"/>
        <v>10.67672592224627</v>
      </c>
      <c r="BQ112" s="161">
        <f t="shared" si="1002"/>
        <v>10.419996096937869</v>
      </c>
      <c r="BR112" s="161">
        <f t="shared" ref="BR112:DA112" si="1003">+BR$140/BR$85</f>
        <v>10.802185714792603</v>
      </c>
      <c r="BS112" s="161">
        <f t="shared" si="1003"/>
        <v>11.713864149782966</v>
      </c>
      <c r="BT112" s="161">
        <f t="shared" si="1003"/>
        <v>12.423928727720019</v>
      </c>
      <c r="BU112" s="161">
        <f t="shared" si="1003"/>
        <v>12.063738187323326</v>
      </c>
      <c r="BV112" s="161">
        <f t="shared" si="1003"/>
        <v>12.815394031863178</v>
      </c>
      <c r="BW112" s="161">
        <f t="shared" si="1003"/>
        <v>14.236880388886917</v>
      </c>
      <c r="BX112" s="161">
        <f t="shared" si="1003"/>
        <v>15.363555453050893</v>
      </c>
      <c r="BY112" s="161">
        <f t="shared" si="1003"/>
        <v>15.087050112952252</v>
      </c>
      <c r="BZ112" s="161">
        <f t="shared" si="1003"/>
        <v>16.355758199387338</v>
      </c>
      <c r="CA112" s="161">
        <f t="shared" si="1003"/>
        <v>19.185765059314715</v>
      </c>
      <c r="CB112" s="161">
        <f t="shared" si="1003"/>
        <v>20.667352659404603</v>
      </c>
      <c r="CC112" s="161">
        <f t="shared" si="1003"/>
        <v>20.510289891069082</v>
      </c>
      <c r="CD112" s="161">
        <f t="shared" si="1003"/>
        <v>22.098927840660441</v>
      </c>
      <c r="CE112" s="161">
        <f t="shared" si="1003"/>
        <v>25.363298205774164</v>
      </c>
      <c r="CF112" s="161">
        <f t="shared" si="1003"/>
        <v>27.195410353759353</v>
      </c>
      <c r="CG112" s="161">
        <f t="shared" si="1003"/>
        <v>49.113023217305944</v>
      </c>
      <c r="CH112" s="161">
        <f t="shared" si="1003"/>
        <v>51.261150338856758</v>
      </c>
      <c r="CI112" s="161">
        <f t="shared" si="1003"/>
        <v>54.297874605258485</v>
      </c>
      <c r="CJ112" s="161">
        <f t="shared" si="1003"/>
        <v>56.489473559710937</v>
      </c>
      <c r="CK112" s="161">
        <f t="shared" si="1003"/>
        <v>57.891075964151284</v>
      </c>
      <c r="CL112" s="161">
        <f t="shared" si="1003"/>
        <v>60.468611910664848</v>
      </c>
      <c r="CM112" s="20">
        <f t="shared" si="1003"/>
        <v>63.809085890209552</v>
      </c>
      <c r="CN112" s="20">
        <f t="shared" si="1003"/>
        <v>65.825383357637321</v>
      </c>
      <c r="CO112" s="20">
        <f t="shared" si="1003"/>
        <v>67.514942289300663</v>
      </c>
      <c r="CP112" s="20">
        <f t="shared" si="1003"/>
        <v>70.961447408355355</v>
      </c>
      <c r="CQ112" s="20">
        <f t="shared" si="1003"/>
        <v>75.092510699811896</v>
      </c>
      <c r="CR112" s="20">
        <f t="shared" si="1003"/>
        <v>77.862160510257297</v>
      </c>
      <c r="CS112" s="20">
        <f t="shared" si="1003"/>
        <v>80.18672800207932</v>
      </c>
      <c r="CT112" s="20">
        <f t="shared" si="1003"/>
        <v>83.887955706871026</v>
      </c>
      <c r="CU112" s="20">
        <f t="shared" si="1003"/>
        <v>88.284633147458123</v>
      </c>
      <c r="CV112" s="20">
        <f t="shared" si="1003"/>
        <v>91.225155236807979</v>
      </c>
      <c r="CW112" s="20">
        <f t="shared" si="1003"/>
        <v>93.82220422317819</v>
      </c>
      <c r="CX112" s="20">
        <f t="shared" si="1003"/>
        <v>98.46772647945555</v>
      </c>
      <c r="CY112" s="20">
        <f t="shared" si="1003"/>
        <v>103.96338945364668</v>
      </c>
      <c r="CZ112" s="20">
        <f t="shared" si="1003"/>
        <v>107.75888934034026</v>
      </c>
      <c r="DA112" s="20">
        <f t="shared" si="1003"/>
        <v>111.14316624467148</v>
      </c>
      <c r="DB112"/>
      <c r="DD112" s="21"/>
    </row>
    <row r="113" spans="1:108" s="161" customFormat="1" hidden="1" outlineLevel="1" x14ac:dyDescent="0.25">
      <c r="A113" s="48" t="s">
        <v>502</v>
      </c>
      <c r="AA113" s="20"/>
      <c r="AB113" s="20"/>
      <c r="AC113" s="20"/>
      <c r="AD113" s="20"/>
      <c r="AE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/>
      <c r="DD113" s="21"/>
    </row>
    <row r="114" spans="1:108" s="161" customFormat="1" hidden="1" outlineLevel="1" x14ac:dyDescent="0.25">
      <c r="A114" s="48" t="s">
        <v>503</v>
      </c>
      <c r="E114" s="161" t="e">
        <f t="shared" ref="E114:AE116" si="1004">+E97/E$112</f>
        <v>#DIV/0!</v>
      </c>
      <c r="F114" s="161">
        <f t="shared" si="1004"/>
        <v>0</v>
      </c>
      <c r="G114" s="161">
        <f t="shared" si="1004"/>
        <v>0</v>
      </c>
      <c r="H114" s="161">
        <f t="shared" si="1004"/>
        <v>0</v>
      </c>
      <c r="I114" s="161">
        <f t="shared" si="1004"/>
        <v>0</v>
      </c>
      <c r="J114" s="161">
        <f t="shared" si="1004"/>
        <v>0</v>
      </c>
      <c r="K114" s="161">
        <f t="shared" si="1004"/>
        <v>0</v>
      </c>
      <c r="L114" s="161">
        <f t="shared" si="1004"/>
        <v>0</v>
      </c>
      <c r="M114" s="161">
        <f t="shared" si="1004"/>
        <v>0</v>
      </c>
      <c r="N114" s="161">
        <f t="shared" si="1004"/>
        <v>0</v>
      </c>
      <c r="O114" s="161">
        <f t="shared" si="1004"/>
        <v>0</v>
      </c>
      <c r="P114" s="161">
        <f t="shared" si="1004"/>
        <v>0</v>
      </c>
      <c r="Q114" s="161">
        <f t="shared" si="1004"/>
        <v>0</v>
      </c>
      <c r="R114" s="161">
        <f t="shared" si="1004"/>
        <v>4.5129051803346627</v>
      </c>
      <c r="S114" s="161">
        <f t="shared" si="1004"/>
        <v>7.3777433435488087</v>
      </c>
      <c r="T114" s="161">
        <f t="shared" si="1004"/>
        <v>7.8939523185564973</v>
      </c>
      <c r="U114" s="161">
        <f t="shared" si="1004"/>
        <v>6.3943658726768033</v>
      </c>
      <c r="V114" s="161">
        <f t="shared" si="1004"/>
        <v>7.809655666953554</v>
      </c>
      <c r="W114" s="161">
        <f t="shared" si="1004"/>
        <v>9.7989017472943303</v>
      </c>
      <c r="X114" s="161">
        <f t="shared" si="1004"/>
        <v>17.532291352270899</v>
      </c>
      <c r="Y114" s="161">
        <f t="shared" si="1004"/>
        <v>24.116662743937937</v>
      </c>
      <c r="Z114" s="161">
        <f t="shared" si="1004"/>
        <v>13.000125905879338</v>
      </c>
      <c r="AA114" s="20">
        <f t="shared" si="1004"/>
        <v>8.4618432136774722</v>
      </c>
      <c r="AB114" s="20">
        <f t="shared" si="1004"/>
        <v>7.7316218054847283</v>
      </c>
      <c r="AC114" s="20">
        <f t="shared" si="1004"/>
        <v>6.5098054628998456</v>
      </c>
      <c r="AD114" s="20">
        <f t="shared" si="1004"/>
        <v>5.5637149470321567</v>
      </c>
      <c r="AE114" s="20">
        <f t="shared" si="1004"/>
        <v>4.6966450357448419</v>
      </c>
      <c r="AL114" s="161" t="e">
        <f t="shared" ref="AL114:CI116" si="1005">+AL97/AL$112</f>
        <v>#DIV/0!</v>
      </c>
      <c r="AM114" s="161" t="e">
        <f t="shared" si="1005"/>
        <v>#DIV/0!</v>
      </c>
      <c r="AN114" s="161" t="e">
        <f t="shared" si="1005"/>
        <v>#DIV/0!</v>
      </c>
      <c r="AO114" s="161" t="e">
        <f t="shared" si="1005"/>
        <v>#DIV/0!</v>
      </c>
      <c r="AP114" s="161" t="e">
        <f t="shared" si="1005"/>
        <v>#DIV/0!</v>
      </c>
      <c r="AQ114" s="161" t="e">
        <f t="shared" si="1005"/>
        <v>#DIV/0!</v>
      </c>
      <c r="AR114" s="161" t="e">
        <f t="shared" si="1005"/>
        <v>#DIV/0!</v>
      </c>
      <c r="AS114" s="161" t="e">
        <f t="shared" si="1005"/>
        <v>#DIV/0!</v>
      </c>
      <c r="AT114" s="161" t="e">
        <f t="shared" si="1005"/>
        <v>#DIV/0!</v>
      </c>
      <c r="AU114" s="161" t="e">
        <f t="shared" si="1005"/>
        <v>#DIV/0!</v>
      </c>
      <c r="AV114" s="161" t="e">
        <f t="shared" si="1005"/>
        <v>#DIV/0!</v>
      </c>
      <c r="AW114" s="161">
        <f t="shared" si="1005"/>
        <v>0</v>
      </c>
      <c r="AX114" s="161">
        <f t="shared" si="1005"/>
        <v>0</v>
      </c>
      <c r="AY114" s="161" t="e">
        <f t="shared" si="1005"/>
        <v>#DIV/0!</v>
      </c>
      <c r="AZ114" s="161">
        <f t="shared" si="1005"/>
        <v>0</v>
      </c>
      <c r="BA114" s="161">
        <f t="shared" si="1005"/>
        <v>4.0355149378963162</v>
      </c>
      <c r="BB114" s="161">
        <f t="shared" si="1005"/>
        <v>4.2729669790683582</v>
      </c>
      <c r="BC114" s="161">
        <f t="shared" si="1005"/>
        <v>5.7667583875376724</v>
      </c>
      <c r="BD114" s="161">
        <f t="shared" si="1005"/>
        <v>5.3715755883272429</v>
      </c>
      <c r="BE114" s="161">
        <f t="shared" si="1005"/>
        <v>7.3774488528998559</v>
      </c>
      <c r="BF114" s="161">
        <f t="shared" si="1005"/>
        <v>6.9200498417279128</v>
      </c>
      <c r="BG114" s="161">
        <f t="shared" si="1005"/>
        <v>7.1797314165484858</v>
      </c>
      <c r="BH114" s="161">
        <f t="shared" si="1005"/>
        <v>6.9125460470797773</v>
      </c>
      <c r="BI114" s="161">
        <f t="shared" si="1005"/>
        <v>7.8936372228649212</v>
      </c>
      <c r="BJ114" s="161">
        <f t="shared" si="1005"/>
        <v>8.5029805020332834</v>
      </c>
      <c r="BK114" s="161">
        <f t="shared" si="1005"/>
        <v>7.5787555898007994</v>
      </c>
      <c r="BL114" s="161">
        <f t="shared" si="1005"/>
        <v>7.2843565476349674</v>
      </c>
      <c r="BM114" s="161">
        <f t="shared" si="1005"/>
        <v>6.3941106346090351</v>
      </c>
      <c r="BN114" s="161">
        <f t="shared" si="1005"/>
        <v>4.7140750400270033</v>
      </c>
      <c r="BO114" s="161">
        <f t="shared" si="1005"/>
        <v>5.9353537075891873</v>
      </c>
      <c r="BP114" s="161">
        <f t="shared" si="1005"/>
        <v>5.8178467826105953</v>
      </c>
      <c r="BQ114" s="161">
        <f t="shared" si="1005"/>
        <v>7.8093439360545007</v>
      </c>
      <c r="BR114" s="161">
        <f t="shared" si="1005"/>
        <v>8.2773371699108935</v>
      </c>
      <c r="BS114" s="161">
        <f t="shared" si="1005"/>
        <v>8.3001360971450335</v>
      </c>
      <c r="BT114" s="161">
        <f t="shared" si="1005"/>
        <v>9.6721954303032618</v>
      </c>
      <c r="BU114" s="161">
        <f t="shared" si="1005"/>
        <v>9.7985106134746474</v>
      </c>
      <c r="BV114" s="161">
        <f t="shared" si="1005"/>
        <v>9.7908291404357968</v>
      </c>
      <c r="BW114" s="161">
        <f t="shared" si="1005"/>
        <v>11.106365698164183</v>
      </c>
      <c r="BX114" s="161">
        <f t="shared" si="1005"/>
        <v>13.590604117521282</v>
      </c>
      <c r="BY114" s="161">
        <f t="shared" si="1005"/>
        <v>17.531591531794966</v>
      </c>
      <c r="BZ114" s="161">
        <f t="shared" si="1005"/>
        <v>16.963444715781677</v>
      </c>
      <c r="CA114" s="161">
        <f t="shared" si="1005"/>
        <v>16.6894569494659</v>
      </c>
      <c r="CB114" s="161">
        <f t="shared" si="1005"/>
        <v>18.311005102426229</v>
      </c>
      <c r="CC114" s="161">
        <f t="shared" si="1005"/>
        <v>24.115700101117309</v>
      </c>
      <c r="CD114" s="161">
        <f t="shared" si="1005"/>
        <v>25.30620508072969</v>
      </c>
      <c r="CE114" s="161">
        <f t="shared" si="1005"/>
        <v>25.702493213267886</v>
      </c>
      <c r="CF114" s="161">
        <f t="shared" si="1005"/>
        <v>22.290525942227678</v>
      </c>
      <c r="CG114" s="161">
        <f t="shared" si="1005"/>
        <v>12.999606991715989</v>
      </c>
      <c r="CH114" s="161">
        <f t="shared" si="1005"/>
        <v>10.526490264713679</v>
      </c>
      <c r="CI114" s="161">
        <f t="shared" si="1005"/>
        <v>8.4266650090147088</v>
      </c>
      <c r="CJ114" s="161">
        <f>+CJ97/CJ$112</f>
        <v>7.8519053559802678</v>
      </c>
      <c r="CK114" s="161">
        <f t="shared" ref="CK114:CL114" si="1006">+CK97/CK$112</f>
        <v>8.4615805085975051</v>
      </c>
      <c r="CL114" s="161">
        <f t="shared" si="1006"/>
        <v>6.3512289742550729</v>
      </c>
      <c r="CM114" s="20">
        <f t="shared" ref="CM114:DA114" si="1007">+CM97/CM$112</f>
        <v>8.1806531580495854</v>
      </c>
      <c r="CN114" s="20">
        <f t="shared" si="1007"/>
        <v>7.9300715525485126</v>
      </c>
      <c r="CO114" s="20">
        <f t="shared" si="1007"/>
        <v>7.7316218054847283</v>
      </c>
      <c r="CP114" s="20">
        <f t="shared" si="1007"/>
        <v>7.3561069998487252</v>
      </c>
      <c r="CQ114" s="20">
        <f t="shared" si="1007"/>
        <v>6.9514255833945313</v>
      </c>
      <c r="CR114" s="20">
        <f t="shared" si="1007"/>
        <v>6.7041550938113703</v>
      </c>
      <c r="CS114" s="20">
        <f t="shared" si="1007"/>
        <v>6.5098054628998456</v>
      </c>
      <c r="CT114" s="20">
        <f t="shared" si="1007"/>
        <v>6.2225857764852464</v>
      </c>
      <c r="CU114" s="20">
        <f t="shared" si="1007"/>
        <v>5.9126937654951259</v>
      </c>
      <c r="CV114" s="20">
        <f t="shared" si="1007"/>
        <v>5.7221059108637267</v>
      </c>
      <c r="CW114" s="20">
        <f t="shared" si="1007"/>
        <v>5.5637149470321567</v>
      </c>
      <c r="CX114" s="20">
        <f t="shared" si="1007"/>
        <v>5.3012293333380747</v>
      </c>
      <c r="CY114" s="20">
        <f t="shared" si="1007"/>
        <v>5.020998283561541</v>
      </c>
      <c r="CZ114" s="20">
        <f t="shared" si="1007"/>
        <v>4.8441479231596514</v>
      </c>
      <c r="DA114" s="20">
        <f t="shared" si="1007"/>
        <v>4.6966450357448419</v>
      </c>
      <c r="DB114"/>
      <c r="DD114" s="21"/>
    </row>
    <row r="115" spans="1:108" s="161" customFormat="1" hidden="1" outlineLevel="1" x14ac:dyDescent="0.25">
      <c r="A115" s="48" t="s">
        <v>504</v>
      </c>
      <c r="E115" s="161" t="e">
        <f t="shared" si="1004"/>
        <v>#DIV/0!</v>
      </c>
      <c r="F115" s="161">
        <f t="shared" si="1004"/>
        <v>0</v>
      </c>
      <c r="G115" s="161">
        <f t="shared" si="1004"/>
        <v>0</v>
      </c>
      <c r="H115" s="161">
        <f t="shared" si="1004"/>
        <v>0</v>
      </c>
      <c r="I115" s="161">
        <f t="shared" si="1004"/>
        <v>0</v>
      </c>
      <c r="J115" s="161">
        <f t="shared" si="1004"/>
        <v>0</v>
      </c>
      <c r="K115" s="161">
        <f t="shared" si="1004"/>
        <v>0</v>
      </c>
      <c r="L115" s="161">
        <f t="shared" si="1004"/>
        <v>0</v>
      </c>
      <c r="M115" s="161">
        <f t="shared" si="1004"/>
        <v>0</v>
      </c>
      <c r="N115" s="161">
        <f t="shared" si="1004"/>
        <v>0</v>
      </c>
      <c r="O115" s="161">
        <f t="shared" si="1004"/>
        <v>0</v>
      </c>
      <c r="P115" s="161">
        <f t="shared" si="1004"/>
        <v>0</v>
      </c>
      <c r="Q115" s="161">
        <f t="shared" si="1004"/>
        <v>0</v>
      </c>
      <c r="R115" s="161">
        <f t="shared" si="1004"/>
        <v>5.5738254620102978</v>
      </c>
      <c r="S115" s="161">
        <f t="shared" si="1004"/>
        <v>7.5317884951144194</v>
      </c>
      <c r="T115" s="161">
        <f t="shared" si="1004"/>
        <v>8.5142165006091197</v>
      </c>
      <c r="U115" s="161">
        <f t="shared" si="1004"/>
        <v>7.1241699019335076</v>
      </c>
      <c r="V115" s="161">
        <f t="shared" si="1004"/>
        <v>8.5232694050503035</v>
      </c>
      <c r="W115" s="161">
        <f t="shared" si="1004"/>
        <v>11.273904215487212</v>
      </c>
      <c r="X115" s="161">
        <f t="shared" si="1004"/>
        <v>18.984588151999656</v>
      </c>
      <c r="Y115" s="161">
        <f t="shared" si="1004"/>
        <v>26.923170987723196</v>
      </c>
      <c r="Z115" s="161">
        <f t="shared" si="1004"/>
        <v>13.903995572982453</v>
      </c>
      <c r="AA115" s="20">
        <f t="shared" si="1004"/>
        <v>11.464989978396936</v>
      </c>
      <c r="AB115" s="20">
        <f t="shared" si="1004"/>
        <v>7.7537785418495577</v>
      </c>
      <c r="AC115" s="20">
        <f t="shared" si="1004"/>
        <v>8.5944470698888757</v>
      </c>
      <c r="AD115" s="20">
        <f t="shared" si="1004"/>
        <v>7.9040065624291937</v>
      </c>
      <c r="AE115" s="20">
        <f t="shared" si="1004"/>
        <v>8.4756274401669174</v>
      </c>
      <c r="AL115" s="161" t="e">
        <f t="shared" si="1005"/>
        <v>#DIV/0!</v>
      </c>
      <c r="AM115" s="161" t="e">
        <f t="shared" si="1005"/>
        <v>#DIV/0!</v>
      </c>
      <c r="AN115" s="161" t="e">
        <f t="shared" si="1005"/>
        <v>#DIV/0!</v>
      </c>
      <c r="AO115" s="161" t="e">
        <f t="shared" si="1005"/>
        <v>#DIV/0!</v>
      </c>
      <c r="AP115" s="161" t="e">
        <f t="shared" si="1005"/>
        <v>#DIV/0!</v>
      </c>
      <c r="AQ115" s="161" t="e">
        <f t="shared" si="1005"/>
        <v>#DIV/0!</v>
      </c>
      <c r="AR115" s="161" t="e">
        <f t="shared" si="1005"/>
        <v>#DIV/0!</v>
      </c>
      <c r="AS115" s="161" t="e">
        <f t="shared" si="1005"/>
        <v>#DIV/0!</v>
      </c>
      <c r="AT115" s="161" t="e">
        <f t="shared" si="1005"/>
        <v>#DIV/0!</v>
      </c>
      <c r="AU115" s="161" t="e">
        <f t="shared" si="1005"/>
        <v>#DIV/0!</v>
      </c>
      <c r="AV115" s="161" t="e">
        <f t="shared" si="1005"/>
        <v>#DIV/0!</v>
      </c>
      <c r="AW115" s="161">
        <f t="shared" si="1005"/>
        <v>0</v>
      </c>
      <c r="AX115" s="161">
        <f t="shared" si="1005"/>
        <v>0</v>
      </c>
      <c r="AY115" s="161" t="e">
        <f t="shared" si="1005"/>
        <v>#DIV/0!</v>
      </c>
      <c r="AZ115" s="161">
        <f t="shared" si="1005"/>
        <v>0</v>
      </c>
      <c r="BA115" s="161">
        <f t="shared" si="1005"/>
        <v>4.984207514748042</v>
      </c>
      <c r="BB115" s="161">
        <f t="shared" si="1005"/>
        <v>4.4170707450085285</v>
      </c>
      <c r="BC115" s="161">
        <f t="shared" si="1005"/>
        <v>6.0310208607366169</v>
      </c>
      <c r="BD115" s="161">
        <f t="shared" si="1005"/>
        <v>6.088422864349563</v>
      </c>
      <c r="BE115" s="161">
        <f t="shared" si="1005"/>
        <v>7.5314878555857154</v>
      </c>
      <c r="BF115" s="161">
        <f t="shared" si="1005"/>
        <v>8.5357368917523306</v>
      </c>
      <c r="BG115" s="161">
        <f t="shared" si="1005"/>
        <v>7.520488665989733</v>
      </c>
      <c r="BH115" s="161">
        <f t="shared" si="1005"/>
        <v>7.9328894214256955</v>
      </c>
      <c r="BI115" s="161">
        <f t="shared" si="1005"/>
        <v>8.4376629096341773</v>
      </c>
      <c r="BJ115" s="161">
        <f t="shared" si="1005"/>
        <v>8.6341887199170522</v>
      </c>
      <c r="BK115" s="161">
        <f t="shared" si="1005"/>
        <v>7.7210702279589274</v>
      </c>
      <c r="BL115" s="161">
        <f t="shared" si="1005"/>
        <v>7.9589095170201087</v>
      </c>
      <c r="BM115" s="161">
        <f t="shared" si="1005"/>
        <v>7.1238855329442394</v>
      </c>
      <c r="BN115" s="161">
        <f t="shared" si="1005"/>
        <v>7.7297325060248649</v>
      </c>
      <c r="BO115" s="161">
        <f t="shared" si="1005"/>
        <v>6.4196062365370654</v>
      </c>
      <c r="BP115" s="161">
        <f t="shared" si="1005"/>
        <v>6.6354091095315377</v>
      </c>
      <c r="BQ115" s="161">
        <f t="shared" si="1005"/>
        <v>8.522929189482829</v>
      </c>
      <c r="BR115" s="161">
        <f t="shared" si="1005"/>
        <v>9.0175165897672311</v>
      </c>
      <c r="BS115" s="161">
        <f t="shared" si="1005"/>
        <v>10.45598603790102</v>
      </c>
      <c r="BT115" s="161">
        <f t="shared" si="1005"/>
        <v>10.242600076206806</v>
      </c>
      <c r="BU115" s="161">
        <f t="shared" si="1005"/>
        <v>11.273454205339926</v>
      </c>
      <c r="BV115" s="161">
        <f t="shared" si="1005"/>
        <v>10.560216330208103</v>
      </c>
      <c r="BW115" s="161">
        <f t="shared" si="1005"/>
        <v>11.314978815565825</v>
      </c>
      <c r="BX115" s="161">
        <f t="shared" si="1005"/>
        <v>15.553691378941023</v>
      </c>
      <c r="BY115" s="161">
        <f t="shared" si="1005"/>
        <v>18.983830361517569</v>
      </c>
      <c r="BZ115" s="161">
        <f t="shared" si="1005"/>
        <v>17.054544130546553</v>
      </c>
      <c r="CA115" s="161">
        <f t="shared" si="1005"/>
        <v>18.212982329331261</v>
      </c>
      <c r="CB115" s="161">
        <f t="shared" si="1005"/>
        <v>18.950661289547241</v>
      </c>
      <c r="CC115" s="161">
        <f t="shared" si="1005"/>
        <v>26.922096320073905</v>
      </c>
      <c r="CD115" s="161">
        <f t="shared" si="1005"/>
        <v>28.242094118777292</v>
      </c>
      <c r="CE115" s="161">
        <f t="shared" si="1005"/>
        <v>26.395620733883394</v>
      </c>
      <c r="CF115" s="161">
        <f t="shared" si="1005"/>
        <v>25.108648522584538</v>
      </c>
      <c r="CG115" s="161">
        <f t="shared" si="1005"/>
        <v>13.473004849899709</v>
      </c>
      <c r="CH115" s="161">
        <f t="shared" si="1005"/>
        <v>12.947426961991233</v>
      </c>
      <c r="CI115" s="161">
        <f t="shared" si="1005"/>
        <v>10.470023074253877</v>
      </c>
      <c r="CJ115" s="161">
        <f t="shared" ref="CJ115:CL116" si="1008">+CJ98/CJ$112</f>
        <v>9.453088626070258</v>
      </c>
      <c r="CK115" s="161">
        <f t="shared" si="1008"/>
        <v>8.6507288327153837</v>
      </c>
      <c r="CL115" s="161">
        <f t="shared" si="1008"/>
        <v>8.4630684222758337</v>
      </c>
      <c r="CM115" s="93">
        <f t="shared" ref="CM115:DA115" si="1009">+CL115</f>
        <v>8.4630684222758337</v>
      </c>
      <c r="CN115" s="93">
        <f t="shared" si="1009"/>
        <v>8.4630684222758337</v>
      </c>
      <c r="CO115" s="93">
        <f t="shared" si="1009"/>
        <v>8.4630684222758337</v>
      </c>
      <c r="CP115" s="93">
        <f t="shared" si="1009"/>
        <v>8.4630684222758337</v>
      </c>
      <c r="CQ115" s="93">
        <f t="shared" si="1009"/>
        <v>8.4630684222758337</v>
      </c>
      <c r="CR115" s="93">
        <f t="shared" si="1009"/>
        <v>8.4630684222758337</v>
      </c>
      <c r="CS115" s="93">
        <f t="shared" si="1009"/>
        <v>8.4630684222758337</v>
      </c>
      <c r="CT115" s="93">
        <f t="shared" si="1009"/>
        <v>8.4630684222758337</v>
      </c>
      <c r="CU115" s="93">
        <f t="shared" si="1009"/>
        <v>8.4630684222758337</v>
      </c>
      <c r="CV115" s="93">
        <f t="shared" si="1009"/>
        <v>8.4630684222758337</v>
      </c>
      <c r="CW115" s="93">
        <f t="shared" si="1009"/>
        <v>8.4630684222758337</v>
      </c>
      <c r="CX115" s="93">
        <f t="shared" si="1009"/>
        <v>8.4630684222758337</v>
      </c>
      <c r="CY115" s="93">
        <f t="shared" si="1009"/>
        <v>8.4630684222758337</v>
      </c>
      <c r="CZ115" s="93">
        <f t="shared" si="1009"/>
        <v>8.4630684222758337</v>
      </c>
      <c r="DA115" s="93">
        <f t="shared" si="1009"/>
        <v>8.4630684222758337</v>
      </c>
      <c r="DB115"/>
      <c r="DD115" s="21"/>
    </row>
    <row r="116" spans="1:108" s="161" customFormat="1" hidden="1" outlineLevel="1" x14ac:dyDescent="0.25">
      <c r="A116" s="48" t="s">
        <v>505</v>
      </c>
      <c r="E116" s="161" t="e">
        <f t="shared" si="1004"/>
        <v>#DIV/0!</v>
      </c>
      <c r="F116" s="161">
        <f t="shared" si="1004"/>
        <v>0</v>
      </c>
      <c r="G116" s="161">
        <f t="shared" si="1004"/>
        <v>0</v>
      </c>
      <c r="H116" s="161">
        <f t="shared" si="1004"/>
        <v>0</v>
      </c>
      <c r="I116" s="161">
        <f t="shared" si="1004"/>
        <v>0</v>
      </c>
      <c r="J116" s="161">
        <f t="shared" si="1004"/>
        <v>0</v>
      </c>
      <c r="K116" s="161">
        <f t="shared" si="1004"/>
        <v>0</v>
      </c>
      <c r="L116" s="161">
        <f t="shared" si="1004"/>
        <v>0</v>
      </c>
      <c r="M116" s="161">
        <f t="shared" si="1004"/>
        <v>0</v>
      </c>
      <c r="N116" s="161">
        <f t="shared" si="1004"/>
        <v>0</v>
      </c>
      <c r="O116" s="161">
        <f t="shared" si="1004"/>
        <v>0</v>
      </c>
      <c r="P116" s="161">
        <f t="shared" si="1004"/>
        <v>0</v>
      </c>
      <c r="Q116" s="161">
        <f t="shared" si="1004"/>
        <v>0</v>
      </c>
      <c r="R116" s="161">
        <f t="shared" si="1004"/>
        <v>4.0827383957400203</v>
      </c>
      <c r="S116" s="161">
        <f t="shared" si="1004"/>
        <v>3.8652873508651715</v>
      </c>
      <c r="T116" s="161">
        <f t="shared" si="1004"/>
        <v>5.9449087650896217</v>
      </c>
      <c r="U116" s="161">
        <f t="shared" si="1004"/>
        <v>4.4857055412110887</v>
      </c>
      <c r="V116" s="161">
        <f t="shared" si="1004"/>
        <v>4.1379359672902147</v>
      </c>
      <c r="W116" s="161">
        <f t="shared" si="1004"/>
        <v>6.3001229439487361</v>
      </c>
      <c r="X116" s="161">
        <f t="shared" si="1004"/>
        <v>7.3872038950450793</v>
      </c>
      <c r="Y116" s="161">
        <f t="shared" si="1004"/>
        <v>10.726751452966612</v>
      </c>
      <c r="Z116" s="161">
        <f t="shared" si="1004"/>
        <v>9.742815010486563</v>
      </c>
      <c r="AA116" s="20">
        <f t="shared" si="1004"/>
        <v>7.2448648439651562</v>
      </c>
      <c r="AB116" s="20">
        <f t="shared" si="1004"/>
        <v>5.2059440535221464</v>
      </c>
      <c r="AC116" s="20">
        <f t="shared" si="1004"/>
        <v>5.2983434856529943</v>
      </c>
      <c r="AD116" s="20">
        <f t="shared" si="1004"/>
        <v>5.5786014514205569</v>
      </c>
      <c r="AE116" s="20">
        <f t="shared" si="1004"/>
        <v>5.3115059115196841</v>
      </c>
      <c r="AL116" s="161" t="e">
        <f t="shared" si="1005"/>
        <v>#DIV/0!</v>
      </c>
      <c r="AM116" s="161" t="e">
        <f t="shared" si="1005"/>
        <v>#DIV/0!</v>
      </c>
      <c r="AN116" s="161" t="e">
        <f t="shared" si="1005"/>
        <v>#DIV/0!</v>
      </c>
      <c r="AO116" s="161" t="e">
        <f t="shared" si="1005"/>
        <v>#DIV/0!</v>
      </c>
      <c r="AP116" s="161" t="e">
        <f t="shared" si="1005"/>
        <v>#DIV/0!</v>
      </c>
      <c r="AQ116" s="161" t="e">
        <f t="shared" si="1005"/>
        <v>#DIV/0!</v>
      </c>
      <c r="AR116" s="161" t="e">
        <f t="shared" si="1005"/>
        <v>#DIV/0!</v>
      </c>
      <c r="AS116" s="161" t="e">
        <f t="shared" si="1005"/>
        <v>#DIV/0!</v>
      </c>
      <c r="AT116" s="161" t="e">
        <f t="shared" si="1005"/>
        <v>#DIV/0!</v>
      </c>
      <c r="AU116" s="161" t="e">
        <f t="shared" si="1005"/>
        <v>#DIV/0!</v>
      </c>
      <c r="AV116" s="161" t="e">
        <f t="shared" si="1005"/>
        <v>#DIV/0!</v>
      </c>
      <c r="AW116" s="161">
        <f t="shared" si="1005"/>
        <v>0</v>
      </c>
      <c r="AX116" s="161">
        <f t="shared" si="1005"/>
        <v>0</v>
      </c>
      <c r="AY116" s="161" t="e">
        <f t="shared" si="1005"/>
        <v>#DIV/0!</v>
      </c>
      <c r="AZ116" s="161">
        <f t="shared" si="1005"/>
        <v>0</v>
      </c>
      <c r="BA116" s="161">
        <f t="shared" si="1005"/>
        <v>0</v>
      </c>
      <c r="BB116" s="161">
        <f t="shared" si="1005"/>
        <v>3.6025941485041999</v>
      </c>
      <c r="BC116" s="161">
        <f t="shared" si="1005"/>
        <v>4.3297974136399473</v>
      </c>
      <c r="BD116" s="161">
        <f t="shared" si="1005"/>
        <v>5.1103245810657896</v>
      </c>
      <c r="BE116" s="161">
        <f t="shared" si="1005"/>
        <v>5.5046290665684063</v>
      </c>
      <c r="BF116" s="161">
        <f t="shared" si="1005"/>
        <v>6.6443238519214516</v>
      </c>
      <c r="BG116" s="161">
        <f t="shared" si="1005"/>
        <v>5.9734984118830967</v>
      </c>
      <c r="BH116" s="161">
        <f t="shared" si="1005"/>
        <v>6.261282922611727</v>
      </c>
      <c r="BI116" s="161">
        <f t="shared" si="1005"/>
        <v>6.8451969361971692</v>
      </c>
      <c r="BJ116" s="161">
        <f t="shared" si="1005"/>
        <v>7.3216151245329604</v>
      </c>
      <c r="BK116" s="161">
        <f t="shared" si="1005"/>
        <v>6.3821099703585737</v>
      </c>
      <c r="BL116" s="161">
        <f t="shared" si="1005"/>
        <v>6.7134913403832819</v>
      </c>
      <c r="BM116" s="161">
        <f t="shared" si="1005"/>
        <v>5.3428012513637579</v>
      </c>
      <c r="BN116" s="161">
        <f t="shared" si="1005"/>
        <v>4.3097956802659514</v>
      </c>
      <c r="BO116" s="161">
        <f t="shared" si="1005"/>
        <v>4.3647932164862322</v>
      </c>
      <c r="BP116" s="161">
        <f t="shared" si="1005"/>
        <v>5.5114690470638354</v>
      </c>
      <c r="BQ116" s="161">
        <f t="shared" si="1005"/>
        <v>5.503947465773515</v>
      </c>
      <c r="BR116" s="161">
        <f t="shared" si="1005"/>
        <v>7.0356131626143927</v>
      </c>
      <c r="BS116" s="161">
        <f t="shared" si="1005"/>
        <v>6.6322169947931586</v>
      </c>
      <c r="BT116" s="161">
        <f t="shared" si="1005"/>
        <v>7.6197045830960333</v>
      </c>
      <c r="BU116" s="161">
        <f t="shared" si="1005"/>
        <v>8.9325545968193421</v>
      </c>
      <c r="BV116" s="161">
        <f t="shared" si="1005"/>
        <v>8.696312137541371</v>
      </c>
      <c r="BW116" s="161">
        <f t="shared" si="1005"/>
        <v>8.7252260752969573</v>
      </c>
      <c r="BX116" s="161">
        <f t="shared" si="1005"/>
        <v>10.159757647049314</v>
      </c>
      <c r="BY116" s="161">
        <f t="shared" si="1005"/>
        <v>12.770554784237945</v>
      </c>
      <c r="BZ116" s="161">
        <f t="shared" si="1005"/>
        <v>13.450920300854097</v>
      </c>
      <c r="CA116" s="161">
        <f t="shared" si="1005"/>
        <v>14.33354360119651</v>
      </c>
      <c r="CB116" s="161">
        <f t="shared" si="1005"/>
        <v>15.193044081391598</v>
      </c>
      <c r="CC116" s="161">
        <f t="shared" si="1005"/>
        <v>16.151892623626505</v>
      </c>
      <c r="CD116" s="161">
        <f t="shared" si="1005"/>
        <v>21.6517291449602</v>
      </c>
      <c r="CE116" s="161">
        <f t="shared" si="1005"/>
        <v>20.833252667419465</v>
      </c>
      <c r="CF116" s="161">
        <f t="shared" si="1005"/>
        <v>20.209292408195861</v>
      </c>
      <c r="CG116" s="161">
        <f t="shared" si="1005"/>
        <v>10.950252392740007</v>
      </c>
      <c r="CH116" s="161">
        <f t="shared" si="1005"/>
        <v>8.1816345756503281</v>
      </c>
      <c r="CI116" s="161">
        <f t="shared" si="1005"/>
        <v>8.2065827297933645</v>
      </c>
      <c r="CJ116" s="161">
        <f t="shared" si="1008"/>
        <v>7.8085344437445521</v>
      </c>
      <c r="CK116" s="161">
        <f t="shared" si="1008"/>
        <v>7.4501983737023654</v>
      </c>
      <c r="CL116" s="161">
        <f t="shared" si="1008"/>
        <v>6.300789582583473</v>
      </c>
      <c r="CM116" s="93">
        <f t="shared" ref="CM116:DA116" si="1010">+CL116</f>
        <v>6.300789582583473</v>
      </c>
      <c r="CN116" s="93">
        <f t="shared" si="1010"/>
        <v>6.300789582583473</v>
      </c>
      <c r="CO116" s="93">
        <f t="shared" si="1010"/>
        <v>6.300789582583473</v>
      </c>
      <c r="CP116" s="93">
        <f t="shared" si="1010"/>
        <v>6.300789582583473</v>
      </c>
      <c r="CQ116" s="93">
        <f t="shared" si="1010"/>
        <v>6.300789582583473</v>
      </c>
      <c r="CR116" s="93">
        <f t="shared" si="1010"/>
        <v>6.300789582583473</v>
      </c>
      <c r="CS116" s="93">
        <f t="shared" si="1010"/>
        <v>6.300789582583473</v>
      </c>
      <c r="CT116" s="93">
        <f t="shared" si="1010"/>
        <v>6.300789582583473</v>
      </c>
      <c r="CU116" s="93">
        <f t="shared" si="1010"/>
        <v>6.300789582583473</v>
      </c>
      <c r="CV116" s="93">
        <f t="shared" si="1010"/>
        <v>6.300789582583473</v>
      </c>
      <c r="CW116" s="93">
        <f t="shared" si="1010"/>
        <v>6.300789582583473</v>
      </c>
      <c r="CX116" s="93">
        <f t="shared" si="1010"/>
        <v>6.300789582583473</v>
      </c>
      <c r="CY116" s="93">
        <f t="shared" si="1010"/>
        <v>6.300789582583473</v>
      </c>
      <c r="CZ116" s="93">
        <f t="shared" si="1010"/>
        <v>6.300789582583473</v>
      </c>
      <c r="DA116" s="93">
        <f t="shared" si="1010"/>
        <v>6.300789582583473</v>
      </c>
      <c r="DB116"/>
      <c r="DD116" s="21"/>
    </row>
    <row r="117" spans="1:108" s="4" customFormat="1" hidden="1" outlineLevel="1" x14ac:dyDescent="0.25">
      <c r="A117" s="3"/>
      <c r="AA117" s="16"/>
      <c r="AB117" s="16"/>
      <c r="AC117" s="16"/>
      <c r="AD117" s="16"/>
      <c r="AE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/>
      <c r="DD117" s="118"/>
    </row>
    <row r="118" spans="1:108" s="176" customFormat="1" hidden="1" outlineLevel="1" x14ac:dyDescent="0.25">
      <c r="A118" s="176" t="s">
        <v>511</v>
      </c>
      <c r="E118" s="176">
        <f t="shared" ref="E118:AE118" si="1011">+E30</f>
        <v>0</v>
      </c>
      <c r="F118" s="176">
        <f t="shared" si="1011"/>
        <v>283.49142509999996</v>
      </c>
      <c r="G118" s="176">
        <f t="shared" si="1011"/>
        <v>306.93165580000004</v>
      </c>
      <c r="H118" s="176">
        <f t="shared" si="1011"/>
        <v>327.85277860000002</v>
      </c>
      <c r="I118" s="176">
        <f t="shared" si="1011"/>
        <v>372.73066979999999</v>
      </c>
      <c r="J118" s="176">
        <f t="shared" si="1011"/>
        <v>459.84520359999993</v>
      </c>
      <c r="K118" s="176">
        <f t="shared" si="1011"/>
        <v>771.59211930000004</v>
      </c>
      <c r="L118" s="176">
        <f t="shared" si="1011"/>
        <v>965.52755690000004</v>
      </c>
      <c r="M118" s="176">
        <f t="shared" si="1011"/>
        <v>1139.604</v>
      </c>
      <c r="N118" s="176">
        <f t="shared" si="1011"/>
        <v>1799.9939999999999</v>
      </c>
      <c r="O118" s="176">
        <f t="shared" si="1011"/>
        <v>2115.1489999999999</v>
      </c>
      <c r="P118" s="176">
        <f t="shared" si="1011"/>
        <v>2502.4070000000002</v>
      </c>
      <c r="Q118" s="176">
        <f t="shared" si="1011"/>
        <v>3394.1489999999999</v>
      </c>
      <c r="R118" s="176">
        <f t="shared" si="1011"/>
        <v>3861.183</v>
      </c>
      <c r="S118" s="176">
        <f t="shared" si="1011"/>
        <v>4003.5400000000004</v>
      </c>
      <c r="T118" s="176">
        <f t="shared" si="1011"/>
        <v>5105.2550000000001</v>
      </c>
      <c r="U118" s="176">
        <f t="shared" si="1011"/>
        <v>7129.5779999999995</v>
      </c>
      <c r="V118" s="176">
        <f t="shared" si="1011"/>
        <v>6450.1419999999998</v>
      </c>
      <c r="W118" s="176">
        <f t="shared" si="1011"/>
        <v>8823.23</v>
      </c>
      <c r="X118" s="176">
        <f t="shared" si="1011"/>
        <v>13173.142</v>
      </c>
      <c r="Y118" s="176">
        <f t="shared" si="1011"/>
        <v>16042.581000000002</v>
      </c>
      <c r="Z118" s="176">
        <f t="shared" si="1011"/>
        <v>20007.650000000001</v>
      </c>
      <c r="AA118" s="177">
        <f t="shared" si="1011"/>
        <v>21685.378999999994</v>
      </c>
      <c r="AB118" s="177">
        <f t="shared" si="1011"/>
        <v>24940.394615180834</v>
      </c>
      <c r="AC118" s="177">
        <f t="shared" si="1011"/>
        <v>28963.151918451556</v>
      </c>
      <c r="AD118" s="177">
        <f t="shared" si="1011"/>
        <v>31096.131055366281</v>
      </c>
      <c r="AE118" s="177">
        <f t="shared" si="1011"/>
        <v>37324.564434725035</v>
      </c>
      <c r="AL118" s="176">
        <f t="shared" ref="AL118:BQ118" si="1012">+SUM(AI28:AL28)</f>
        <v>0</v>
      </c>
      <c r="AM118" s="176">
        <f t="shared" si="1012"/>
        <v>0</v>
      </c>
      <c r="AN118" s="176">
        <f t="shared" si="1012"/>
        <v>0</v>
      </c>
      <c r="AO118" s="176">
        <f t="shared" si="1012"/>
        <v>0</v>
      </c>
      <c r="AP118" s="176">
        <f t="shared" si="1012"/>
        <v>0</v>
      </c>
      <c r="AQ118" s="176">
        <f t="shared" si="1012"/>
        <v>0</v>
      </c>
      <c r="AR118" s="176">
        <f t="shared" si="1012"/>
        <v>0</v>
      </c>
      <c r="AS118" s="176">
        <f t="shared" si="1012"/>
        <v>0</v>
      </c>
      <c r="AT118" s="176">
        <f t="shared" si="1012"/>
        <v>0</v>
      </c>
      <c r="AU118" s="176">
        <f t="shared" si="1012"/>
        <v>0</v>
      </c>
      <c r="AV118" s="176">
        <f t="shared" si="1012"/>
        <v>0</v>
      </c>
      <c r="AW118" s="176">
        <f t="shared" si="1012"/>
        <v>390.85699999999997</v>
      </c>
      <c r="AX118" s="176">
        <f t="shared" si="1012"/>
        <v>1423.5459999999998</v>
      </c>
      <c r="AY118" s="176">
        <f t="shared" si="1012"/>
        <v>3401.68</v>
      </c>
      <c r="AZ118" s="176">
        <f t="shared" si="1012"/>
        <v>4434.4750000000004</v>
      </c>
      <c r="BA118" s="176">
        <f t="shared" si="1012"/>
        <v>4531.4610000000002</v>
      </c>
      <c r="BB118" s="176">
        <f t="shared" si="1012"/>
        <v>4549.6589999999997</v>
      </c>
      <c r="BC118" s="176">
        <f t="shared" si="1012"/>
        <v>4505.5320000000002</v>
      </c>
      <c r="BD118" s="176">
        <f t="shared" si="1012"/>
        <v>4460.7569999999996</v>
      </c>
      <c r="BE118" s="176">
        <f t="shared" si="1012"/>
        <v>4516.3770000000004</v>
      </c>
      <c r="BF118" s="176">
        <f t="shared" si="1012"/>
        <v>4587.8629999999994</v>
      </c>
      <c r="BG118" s="176">
        <f t="shared" si="1012"/>
        <v>4751.0020000000004</v>
      </c>
      <c r="BH118" s="176">
        <f t="shared" si="1012"/>
        <v>4967.4529999999995</v>
      </c>
      <c r="BI118" s="176">
        <f t="shared" si="1012"/>
        <v>5228.1269999999995</v>
      </c>
      <c r="BJ118" s="176">
        <f t="shared" si="1012"/>
        <v>5486.3609999999999</v>
      </c>
      <c r="BK118" s="176">
        <f t="shared" si="1012"/>
        <v>6240.674</v>
      </c>
      <c r="BL118" s="176">
        <f t="shared" si="1012"/>
        <v>6813.0599999999995</v>
      </c>
      <c r="BM118" s="176">
        <f t="shared" si="1012"/>
        <v>7248.4579999999996</v>
      </c>
      <c r="BN118" s="176">
        <f t="shared" si="1012"/>
        <v>7567.0990000000002</v>
      </c>
      <c r="BO118" s="176">
        <f t="shared" si="1012"/>
        <v>6381.33</v>
      </c>
      <c r="BP118" s="176">
        <f t="shared" si="1012"/>
        <v>6443.9870000000001</v>
      </c>
      <c r="BQ118" s="176">
        <f t="shared" si="1012"/>
        <v>6555.7910000000002</v>
      </c>
      <c r="BR118" s="176">
        <f t="shared" ref="BR118:CW118" si="1013">+SUM(BO28:BR28)</f>
        <v>7126.42</v>
      </c>
      <c r="BS118" s="176">
        <f t="shared" si="1013"/>
        <v>7943.7739999999994</v>
      </c>
      <c r="BT118" s="176">
        <f t="shared" si="1013"/>
        <v>8544.6939999999995</v>
      </c>
      <c r="BU118" s="176">
        <f t="shared" si="1013"/>
        <v>8958.2910000000011</v>
      </c>
      <c r="BV118" s="176">
        <f t="shared" si="1013"/>
        <v>9555.8909999999996</v>
      </c>
      <c r="BW118" s="176">
        <f t="shared" si="1013"/>
        <v>12090.421999999999</v>
      </c>
      <c r="BX118" s="176">
        <f t="shared" si="1013"/>
        <v>12898.293</v>
      </c>
      <c r="BY118" s="176">
        <f t="shared" si="1013"/>
        <v>13390.558000000001</v>
      </c>
      <c r="BZ118" s="176">
        <f t="shared" si="1013"/>
        <v>14475.671999999999</v>
      </c>
      <c r="CA118" s="176">
        <f t="shared" si="1013"/>
        <v>15157.831</v>
      </c>
      <c r="CB118" s="176">
        <f t="shared" si="1013"/>
        <v>15847.281999999999</v>
      </c>
      <c r="CC118" s="176">
        <f t="shared" si="1013"/>
        <v>16321.063</v>
      </c>
      <c r="CD118" s="176">
        <f t="shared" si="1013"/>
        <v>16766.451999999997</v>
      </c>
      <c r="CE118" s="176">
        <f t="shared" si="1013"/>
        <v>18400.39</v>
      </c>
      <c r="CF118" s="176">
        <f t="shared" si="1013"/>
        <v>19394.695</v>
      </c>
      <c r="CG118" s="176">
        <f t="shared" si="1013"/>
        <v>20481.327999999994</v>
      </c>
      <c r="CH118" s="176">
        <f t="shared" si="1013"/>
        <v>21763.374</v>
      </c>
      <c r="CI118" s="176">
        <f t="shared" si="1013"/>
        <v>21592.722999999998</v>
      </c>
      <c r="CJ118" s="176">
        <f t="shared" si="1013"/>
        <v>21708.404000000002</v>
      </c>
      <c r="CK118" s="176">
        <f t="shared" ref="CK118" si="1014">+SUM(CH28:CK28)</f>
        <v>22225.583999999995</v>
      </c>
      <c r="CL118" s="176">
        <f t="shared" ref="CL118" si="1015">+SUM(CI28:CL28)</f>
        <v>23267.094999999998</v>
      </c>
      <c r="CM118" s="177">
        <f t="shared" si="1013"/>
        <v>23945.1543159666</v>
      </c>
      <c r="CN118" s="177">
        <f t="shared" si="1013"/>
        <v>24506.736111261689</v>
      </c>
      <c r="CO118" s="177">
        <f t="shared" si="1013"/>
        <v>25087.741615180836</v>
      </c>
      <c r="CP118" s="177">
        <f t="shared" si="1013"/>
        <v>26149.947827075415</v>
      </c>
      <c r="CQ118" s="177">
        <f t="shared" si="1013"/>
        <v>27365.884718653582</v>
      </c>
      <c r="CR118" s="177">
        <f t="shared" si="1013"/>
        <v>28209.661882209977</v>
      </c>
      <c r="CS118" s="177">
        <f t="shared" si="1013"/>
        <v>28963.151918451556</v>
      </c>
      <c r="CT118" s="177">
        <f t="shared" si="1013"/>
        <v>29507.569780422011</v>
      </c>
      <c r="CU118" s="177">
        <f t="shared" si="1013"/>
        <v>30169.55937971473</v>
      </c>
      <c r="CV118" s="177">
        <f t="shared" si="1013"/>
        <v>30655.320795917363</v>
      </c>
      <c r="CW118" s="177">
        <f t="shared" si="1013"/>
        <v>31096.131055366281</v>
      </c>
      <c r="CX118" s="177">
        <f t="shared" ref="CX118:DA118" si="1016">+SUM(CU28:CX28)</f>
        <v>32735.80799260984</v>
      </c>
      <c r="CY118" s="177">
        <f t="shared" si="1016"/>
        <v>34670.890098649572</v>
      </c>
      <c r="CZ118" s="177">
        <f t="shared" si="1016"/>
        <v>36070.172655839662</v>
      </c>
      <c r="DA118" s="177">
        <f t="shared" si="1016"/>
        <v>37324.564434725035</v>
      </c>
      <c r="DB118"/>
      <c r="DD118" s="178"/>
    </row>
    <row r="119" spans="1:108" s="162" customFormat="1" hidden="1" outlineLevel="1" x14ac:dyDescent="0.25">
      <c r="A119" s="162" t="s">
        <v>512</v>
      </c>
      <c r="E119" s="162">
        <f t="shared" ref="E119:AE119" si="1017">+E118/E85</f>
        <v>0</v>
      </c>
      <c r="F119" s="162">
        <f t="shared" si="1017"/>
        <v>0.83821248397812587</v>
      </c>
      <c r="G119" s="162">
        <f t="shared" si="1017"/>
        <v>0.90751932101256783</v>
      </c>
      <c r="H119" s="162">
        <f t="shared" si="1017"/>
        <v>0.96937779275863045</v>
      </c>
      <c r="I119" s="162">
        <f t="shared" si="1017"/>
        <v>1.1020703729493111</v>
      </c>
      <c r="J119" s="162">
        <f t="shared" si="1017"/>
        <v>1.3596460288667229</v>
      </c>
      <c r="K119" s="162">
        <f t="shared" si="1017"/>
        <v>2.2814028562178179</v>
      </c>
      <c r="L119" s="162">
        <f t="shared" si="1017"/>
        <v>2.8548209228303758</v>
      </c>
      <c r="M119" s="162">
        <f t="shared" si="1017"/>
        <v>3.3695209625986262</v>
      </c>
      <c r="N119" s="162">
        <f t="shared" si="1017"/>
        <v>5.3221272613572355</v>
      </c>
      <c r="O119" s="162">
        <f t="shared" si="1017"/>
        <v>6.2539609324989387</v>
      </c>
      <c r="P119" s="162">
        <f t="shared" si="1017"/>
        <v>7.3989849486782608</v>
      </c>
      <c r="Q119" s="162">
        <f t="shared" si="1017"/>
        <v>10.035640631028992</v>
      </c>
      <c r="R119" s="162">
        <f t="shared" si="1017"/>
        <v>11.416542113689887</v>
      </c>
      <c r="S119" s="162">
        <f t="shared" si="1017"/>
        <v>11.837455778149344</v>
      </c>
      <c r="T119" s="162">
        <f t="shared" si="1017"/>
        <v>15.094948545206448</v>
      </c>
      <c r="U119" s="162">
        <f t="shared" si="1017"/>
        <v>21.080359954406958</v>
      </c>
      <c r="V119" s="162">
        <f t="shared" si="1017"/>
        <v>19.071439448034429</v>
      </c>
      <c r="W119" s="162">
        <f t="shared" si="1017"/>
        <v>26.088060802549897</v>
      </c>
      <c r="X119" s="162">
        <f t="shared" si="1017"/>
        <v>38.949651029908978</v>
      </c>
      <c r="Y119" s="162">
        <f t="shared" si="1017"/>
        <v>47.433856825429217</v>
      </c>
      <c r="Z119" s="162">
        <f t="shared" ref="Z119" si="1018">+Z118/Z85</f>
        <v>59.157563581153106</v>
      </c>
      <c r="AA119" s="93">
        <f t="shared" si="1017"/>
        <v>64.118184143260294</v>
      </c>
      <c r="AB119" s="93">
        <f t="shared" si="1017"/>
        <v>73.74244252506459</v>
      </c>
      <c r="AC119" s="93">
        <f t="shared" si="1017"/>
        <v>85.636719011297899</v>
      </c>
      <c r="AD119" s="93">
        <f t="shared" si="1017"/>
        <v>91.943399151609526</v>
      </c>
      <c r="AE119" s="93">
        <f t="shared" si="1017"/>
        <v>110.35930225119353</v>
      </c>
      <c r="AL119" s="162">
        <f t="shared" ref="AL119:BQ119" si="1019">+AL118/AL85</f>
        <v>0</v>
      </c>
      <c r="AM119" s="162">
        <f t="shared" si="1019"/>
        <v>0</v>
      </c>
      <c r="AN119" s="162">
        <f t="shared" si="1019"/>
        <v>0</v>
      </c>
      <c r="AO119" s="162">
        <f t="shared" si="1019"/>
        <v>0</v>
      </c>
      <c r="AP119" s="162">
        <f t="shared" si="1019"/>
        <v>0</v>
      </c>
      <c r="AQ119" s="162">
        <f t="shared" si="1019"/>
        <v>0</v>
      </c>
      <c r="AR119" s="162">
        <f t="shared" si="1019"/>
        <v>0</v>
      </c>
      <c r="AS119" s="162">
        <f t="shared" si="1019"/>
        <v>0</v>
      </c>
      <c r="AT119" s="162">
        <f t="shared" si="1019"/>
        <v>0</v>
      </c>
      <c r="AU119" s="162">
        <f t="shared" si="1019"/>
        <v>0</v>
      </c>
      <c r="AV119" s="162">
        <f t="shared" si="1019"/>
        <v>0</v>
      </c>
      <c r="AW119" s="162">
        <f t="shared" si="1019"/>
        <v>1.1557114809163915</v>
      </c>
      <c r="AX119" s="162">
        <f t="shared" si="1019"/>
        <v>4.209233698801877</v>
      </c>
      <c r="AY119" s="162">
        <f t="shared" si="1019"/>
        <v>10.05830938272481</v>
      </c>
      <c r="AZ119" s="162">
        <f t="shared" si="1019"/>
        <v>13.112145028326768</v>
      </c>
      <c r="BA119" s="162">
        <f t="shared" si="1019"/>
        <v>13.398919561437745</v>
      </c>
      <c r="BB119" s="162">
        <f t="shared" si="1019"/>
        <v>13.452728595252456</v>
      </c>
      <c r="BC119" s="162">
        <f t="shared" si="1019"/>
        <v>13.322251002377319</v>
      </c>
      <c r="BD119" s="162">
        <f t="shared" si="1019"/>
        <v>13.189857360820351</v>
      </c>
      <c r="BE119" s="162">
        <f t="shared" si="1019"/>
        <v>13.354318206010715</v>
      </c>
      <c r="BF119" s="162">
        <f t="shared" si="1019"/>
        <v>13.5656926752534</v>
      </c>
      <c r="BG119" s="162">
        <f t="shared" si="1019"/>
        <v>14.048072715230221</v>
      </c>
      <c r="BH119" s="162">
        <f t="shared" si="1019"/>
        <v>14.688089155401007</v>
      </c>
      <c r="BI119" s="162">
        <f t="shared" si="1019"/>
        <v>15.458867047510909</v>
      </c>
      <c r="BJ119" s="162">
        <f t="shared" si="1019"/>
        <v>16.222430188411451</v>
      </c>
      <c r="BK119" s="162">
        <f t="shared" si="1019"/>
        <v>18.452832085536198</v>
      </c>
      <c r="BL119" s="162">
        <f t="shared" si="1019"/>
        <v>20.145300358372065</v>
      </c>
      <c r="BM119" s="162">
        <f t="shared" si="1019"/>
        <v>21.432713574376987</v>
      </c>
      <c r="BN119" s="162">
        <f t="shared" si="1019"/>
        <v>22.374892074418383</v>
      </c>
      <c r="BO119" s="162">
        <f t="shared" si="1019"/>
        <v>18.868732924103181</v>
      </c>
      <c r="BP119" s="162">
        <f t="shared" si="1019"/>
        <v>19.054001230055942</v>
      </c>
      <c r="BQ119" s="162">
        <f t="shared" si="1019"/>
        <v>19.384590592437519</v>
      </c>
      <c r="BR119" s="162">
        <f t="shared" ref="BR119:CW119" si="1020">+BR118/BR85</f>
        <v>21.071863653029602</v>
      </c>
      <c r="BS119" s="162">
        <f t="shared" si="1020"/>
        <v>23.488669292363006</v>
      </c>
      <c r="BT119" s="162">
        <f t="shared" si="1020"/>
        <v>25.265508758234866</v>
      </c>
      <c r="BU119" s="162">
        <f t="shared" si="1020"/>
        <v>26.488459354930278</v>
      </c>
      <c r="BV119" s="162">
        <f t="shared" si="1020"/>
        <v>28.255482028173009</v>
      </c>
      <c r="BW119" s="162">
        <f t="shared" si="1020"/>
        <v>35.749748666453769</v>
      </c>
      <c r="BX119" s="162">
        <f t="shared" si="1020"/>
        <v>38.138514352623915</v>
      </c>
      <c r="BY119" s="162">
        <f t="shared" si="1020"/>
        <v>39.594075624785624</v>
      </c>
      <c r="BZ119" s="162">
        <f t="shared" si="1020"/>
        <v>42.802611503388562</v>
      </c>
      <c r="CA119" s="162">
        <f t="shared" si="1020"/>
        <v>44.819663745283798</v>
      </c>
      <c r="CB119" s="162">
        <f t="shared" si="1020"/>
        <v>46.858277448580104</v>
      </c>
      <c r="CC119" s="162">
        <f t="shared" si="1020"/>
        <v>48.259184023465679</v>
      </c>
      <c r="CD119" s="162">
        <f t="shared" si="1020"/>
        <v>49.576139280180712</v>
      </c>
      <c r="CE119" s="162">
        <f t="shared" si="1020"/>
        <v>54.407473772605229</v>
      </c>
      <c r="CF119" s="162">
        <f t="shared" si="1020"/>
        <v>57.347499674744817</v>
      </c>
      <c r="CG119" s="162">
        <f t="shared" si="1020"/>
        <v>60.56052703166209</v>
      </c>
      <c r="CH119" s="162">
        <f t="shared" si="1020"/>
        <v>64.351364297626219</v>
      </c>
      <c r="CI119" s="162">
        <f t="shared" si="1020"/>
        <v>63.84677228589338</v>
      </c>
      <c r="CJ119" s="162">
        <f t="shared" si="1020"/>
        <v>64.188825414848196</v>
      </c>
      <c r="CK119" s="162">
        <f t="shared" ref="CK119:CL119" si="1021">+CK118/CK85</f>
        <v>65.717474031561281</v>
      </c>
      <c r="CL119" s="162">
        <f t="shared" si="1021"/>
        <v>68.79491853422212</v>
      </c>
      <c r="CM119" s="49">
        <f t="shared" si="1020"/>
        <v>70.799768533901627</v>
      </c>
      <c r="CN119" s="49">
        <f t="shared" si="1020"/>
        <v>72.460223947765186</v>
      </c>
      <c r="CO119" s="49">
        <f t="shared" si="1020"/>
        <v>74.178110358168041</v>
      </c>
      <c r="CP119" s="49">
        <f t="shared" si="1020"/>
        <v>77.318785625700684</v>
      </c>
      <c r="CQ119" s="49">
        <f t="shared" si="1020"/>
        <v>80.914003653515294</v>
      </c>
      <c r="CR119" s="49">
        <f t="shared" si="1020"/>
        <v>83.408839438898013</v>
      </c>
      <c r="CS119" s="49">
        <f t="shared" si="1020"/>
        <v>85.636719011297899</v>
      </c>
      <c r="CT119" s="49">
        <f t="shared" si="1020"/>
        <v>87.246425012963897</v>
      </c>
      <c r="CU119" s="49">
        <f t="shared" si="1020"/>
        <v>89.20376092248955</v>
      </c>
      <c r="CV119" s="49">
        <f t="shared" si="1020"/>
        <v>90.640034641006139</v>
      </c>
      <c r="CW119" s="49">
        <f t="shared" si="1020"/>
        <v>91.943399151609526</v>
      </c>
      <c r="CX119" s="49">
        <f t="shared" ref="CX119:DA119" si="1022">+CX118/CX85</f>
        <v>96.791509382822895</v>
      </c>
      <c r="CY119" s="49">
        <f t="shared" si="1022"/>
        <v>102.5130580266065</v>
      </c>
      <c r="CZ119" s="49">
        <f t="shared" si="1022"/>
        <v>106.65038284211313</v>
      </c>
      <c r="DA119" s="49">
        <f t="shared" si="1022"/>
        <v>110.35930225119353</v>
      </c>
      <c r="DB119"/>
      <c r="DD119" s="163"/>
    </row>
    <row r="120" spans="1:108" s="162" customFormat="1" hidden="1" outlineLevel="1" x14ac:dyDescent="0.25">
      <c r="AA120" s="93"/>
      <c r="AB120" s="93"/>
      <c r="AC120" s="93"/>
      <c r="AD120" s="93"/>
      <c r="AE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/>
      <c r="DD120" s="163"/>
    </row>
    <row r="121" spans="1:108" s="162" customFormat="1" hidden="1" outlineLevel="1" x14ac:dyDescent="0.25">
      <c r="A121" s="162" t="s">
        <v>507</v>
      </c>
      <c r="AA121" s="93"/>
      <c r="AB121" s="93"/>
      <c r="AC121" s="93"/>
      <c r="AD121" s="93"/>
      <c r="AE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/>
      <c r="DD121" s="163"/>
    </row>
    <row r="122" spans="1:108" s="162" customFormat="1" hidden="1" outlineLevel="1" x14ac:dyDescent="0.25">
      <c r="A122" s="162" t="s">
        <v>508</v>
      </c>
      <c r="E122" s="162" t="e">
        <f t="shared" ref="E122:AE124" si="1023">+E97/E$119</f>
        <v>#DIV/0!</v>
      </c>
      <c r="F122" s="162">
        <f t="shared" si="1023"/>
        <v>0</v>
      </c>
      <c r="G122" s="162">
        <f t="shared" si="1023"/>
        <v>0</v>
      </c>
      <c r="H122" s="162">
        <f t="shared" si="1023"/>
        <v>0</v>
      </c>
      <c r="I122" s="162">
        <f t="shared" si="1023"/>
        <v>0</v>
      </c>
      <c r="J122" s="162">
        <f t="shared" si="1023"/>
        <v>0</v>
      </c>
      <c r="K122" s="162">
        <f t="shared" si="1023"/>
        <v>0</v>
      </c>
      <c r="L122" s="162">
        <f t="shared" si="1023"/>
        <v>0</v>
      </c>
      <c r="M122" s="162">
        <f t="shared" si="1023"/>
        <v>0</v>
      </c>
      <c r="N122" s="162">
        <f t="shared" si="1023"/>
        <v>0</v>
      </c>
      <c r="O122" s="162">
        <f t="shared" si="1023"/>
        <v>0</v>
      </c>
      <c r="P122" s="162">
        <f t="shared" si="1023"/>
        <v>0</v>
      </c>
      <c r="Q122" s="162">
        <f t="shared" si="1023"/>
        <v>0</v>
      </c>
      <c r="R122" s="162">
        <f t="shared" si="1023"/>
        <v>1.9794538743408128</v>
      </c>
      <c r="S122" s="162">
        <f t="shared" si="1023"/>
        <v>3.2607106832675288</v>
      </c>
      <c r="T122" s="162">
        <f t="shared" si="1023"/>
        <v>3.0901679317574611</v>
      </c>
      <c r="U122" s="162">
        <f t="shared" si="1023"/>
        <v>2.9851904343660549</v>
      </c>
      <c r="V122" s="162">
        <f t="shared" si="1023"/>
        <v>4.2667641084490837</v>
      </c>
      <c r="W122" s="162">
        <f t="shared" si="1023"/>
        <v>4.5310637521633366</v>
      </c>
      <c r="X122" s="162">
        <f t="shared" si="1023"/>
        <v>6.7908182231695369</v>
      </c>
      <c r="Y122" s="162">
        <f t="shared" si="1023"/>
        <v>10.427572900520182</v>
      </c>
      <c r="Z122" s="162">
        <f>+Z97/Z$119</f>
        <v>10.792364684258271</v>
      </c>
      <c r="AA122" s="49">
        <f t="shared" ref="AA122:AE122" si="1024">+AA97/AA$119</f>
        <v>7.6397983901964572</v>
      </c>
      <c r="AB122" s="49">
        <f t="shared" si="1024"/>
        <v>7.0786914851996601</v>
      </c>
      <c r="AC122" s="49">
        <f t="shared" si="1024"/>
        <v>6.0955161060191188</v>
      </c>
      <c r="AD122" s="49">
        <f t="shared" si="1024"/>
        <v>5.6774059347017527</v>
      </c>
      <c r="AE122" s="49">
        <f t="shared" si="1024"/>
        <v>4.7300045338439478</v>
      </c>
      <c r="AL122" s="162" t="e">
        <f t="shared" ref="AL122:BQ122" si="1025">+AL97/AL119</f>
        <v>#DIV/0!</v>
      </c>
      <c r="AM122" s="162" t="e">
        <f t="shared" si="1025"/>
        <v>#DIV/0!</v>
      </c>
      <c r="AN122" s="162" t="e">
        <f t="shared" si="1025"/>
        <v>#DIV/0!</v>
      </c>
      <c r="AO122" s="162" t="e">
        <f t="shared" si="1025"/>
        <v>#DIV/0!</v>
      </c>
      <c r="AP122" s="162" t="e">
        <f t="shared" si="1025"/>
        <v>#DIV/0!</v>
      </c>
      <c r="AQ122" s="162" t="e">
        <f t="shared" si="1025"/>
        <v>#DIV/0!</v>
      </c>
      <c r="AR122" s="162" t="e">
        <f t="shared" si="1025"/>
        <v>#DIV/0!</v>
      </c>
      <c r="AS122" s="162" t="e">
        <f t="shared" si="1025"/>
        <v>#DIV/0!</v>
      </c>
      <c r="AT122" s="162" t="e">
        <f t="shared" si="1025"/>
        <v>#DIV/0!</v>
      </c>
      <c r="AU122" s="162" t="e">
        <f t="shared" si="1025"/>
        <v>#DIV/0!</v>
      </c>
      <c r="AV122" s="162" t="e">
        <f t="shared" si="1025"/>
        <v>#DIV/0!</v>
      </c>
      <c r="AW122" s="162">
        <f t="shared" si="1025"/>
        <v>0</v>
      </c>
      <c r="AX122" s="162">
        <f t="shared" si="1025"/>
        <v>0</v>
      </c>
      <c r="AY122" s="162">
        <f t="shared" si="1025"/>
        <v>0</v>
      </c>
      <c r="AZ122" s="162">
        <f t="shared" si="1025"/>
        <v>0</v>
      </c>
      <c r="BA122" s="162">
        <f t="shared" si="1025"/>
        <v>1.6865925953878633</v>
      </c>
      <c r="BB122" s="162">
        <f t="shared" si="1025"/>
        <v>1.7829234430292236</v>
      </c>
      <c r="BC122" s="162">
        <f t="shared" si="1025"/>
        <v>2.3733059654960482</v>
      </c>
      <c r="BD122" s="162">
        <f t="shared" si="1025"/>
        <v>2.2724531822737686</v>
      </c>
      <c r="BE122" s="162">
        <f t="shared" si="1025"/>
        <v>2.8903398828062592</v>
      </c>
      <c r="BF122" s="162">
        <f t="shared" si="1025"/>
        <v>2.696999522435612</v>
      </c>
      <c r="BG122" s="162">
        <f t="shared" si="1025"/>
        <v>3.1774491734117909</v>
      </c>
      <c r="BH122" s="162">
        <f t="shared" si="1025"/>
        <v>2.9847313381727023</v>
      </c>
      <c r="BI122" s="162">
        <f t="shared" si="1025"/>
        <v>3.017422025984533</v>
      </c>
      <c r="BJ122" s="162">
        <f t="shared" si="1025"/>
        <v>3.1603247819658842</v>
      </c>
      <c r="BK122" s="162">
        <f t="shared" si="1025"/>
        <v>3.035567361972618</v>
      </c>
      <c r="BL122" s="162">
        <f t="shared" si="1025"/>
        <v>2.7588458245389504</v>
      </c>
      <c r="BM122" s="162">
        <f t="shared" si="1025"/>
        <v>2.9361139302547761</v>
      </c>
      <c r="BN122" s="162">
        <f t="shared" si="1025"/>
        <v>2.1077196637707529</v>
      </c>
      <c r="BO122" s="162">
        <f t="shared" si="1025"/>
        <v>3.2161377602056866</v>
      </c>
      <c r="BP122" s="162">
        <f t="shared" si="1025"/>
        <v>3.2599743647320647</v>
      </c>
      <c r="BQ122" s="162">
        <f t="shared" si="1025"/>
        <v>4.1978360567016235</v>
      </c>
      <c r="BR122" s="162">
        <f t="shared" ref="BR122:DA122" si="1026">+BR97/BR119</f>
        <v>4.2432570182503966</v>
      </c>
      <c r="BS122" s="162">
        <f t="shared" si="1026"/>
        <v>4.1393007605704817</v>
      </c>
      <c r="BT122" s="162">
        <f t="shared" si="1026"/>
        <v>4.7561546381883444</v>
      </c>
      <c r="BU122" s="162">
        <f t="shared" si="1026"/>
        <v>4.4625723634117396</v>
      </c>
      <c r="BV122" s="162">
        <f t="shared" si="1026"/>
        <v>4.4406721926819692</v>
      </c>
      <c r="BW122" s="162">
        <f t="shared" si="1026"/>
        <v>4.4229681577698452</v>
      </c>
      <c r="BX122" s="162">
        <f t="shared" si="1026"/>
        <v>5.4747806395776575</v>
      </c>
      <c r="BY122" s="162">
        <f t="shared" si="1026"/>
        <v>6.6802923373320224</v>
      </c>
      <c r="BZ122" s="162">
        <f t="shared" si="1026"/>
        <v>6.4820811220370294</v>
      </c>
      <c r="CA122" s="162">
        <f t="shared" si="1026"/>
        <v>7.1441856819752116</v>
      </c>
      <c r="CB122" s="162">
        <f t="shared" si="1026"/>
        <v>8.0762678571631419</v>
      </c>
      <c r="CC122" s="162">
        <f t="shared" si="1026"/>
        <v>10.249240844177859</v>
      </c>
      <c r="CD122" s="162">
        <f t="shared" si="1026"/>
        <v>11.280426594726185</v>
      </c>
      <c r="CE122" s="162">
        <f t="shared" si="1026"/>
        <v>11.981809755119322</v>
      </c>
      <c r="CF122" s="162">
        <f t="shared" si="1026"/>
        <v>10.57064394155206</v>
      </c>
      <c r="CG122" s="162">
        <f t="shared" si="1026"/>
        <v>10.542345506111717</v>
      </c>
      <c r="CH122" s="162">
        <f t="shared" si="1026"/>
        <v>8.385214608727491</v>
      </c>
      <c r="CI122" s="162">
        <f t="shared" si="1026"/>
        <v>7.1663763667046538</v>
      </c>
      <c r="CJ122" s="162">
        <f t="shared" si="1026"/>
        <v>6.9100812662229796</v>
      </c>
      <c r="CK122" s="162">
        <f t="shared" ref="CK122:CL122" si="1027">+CK97/CK119</f>
        <v>7.4538774841641979</v>
      </c>
      <c r="CL122" s="162">
        <f t="shared" si="1027"/>
        <v>5.5825344107203767</v>
      </c>
      <c r="CM122" s="49">
        <f t="shared" si="1026"/>
        <v>7.3729054601364483</v>
      </c>
      <c r="CN122" s="49">
        <f t="shared" si="1026"/>
        <v>7.2039523418571978</v>
      </c>
      <c r="CO122" s="49">
        <f t="shared" si="1026"/>
        <v>7.0371164414883287</v>
      </c>
      <c r="CP122" s="49">
        <f t="shared" si="1026"/>
        <v>6.7512700280497908</v>
      </c>
      <c r="CQ122" s="49">
        <f t="shared" si="1026"/>
        <v>6.4512936751377996</v>
      </c>
      <c r="CR122" s="49">
        <f t="shared" si="1026"/>
        <v>6.2583294949499493</v>
      </c>
      <c r="CS122" s="49">
        <f t="shared" si="1026"/>
        <v>6.0955161060191188</v>
      </c>
      <c r="CT122" s="49">
        <f t="shared" si="1026"/>
        <v>5.9830531729229746</v>
      </c>
      <c r="CU122" s="49">
        <f t="shared" si="1026"/>
        <v>5.8517712101126929</v>
      </c>
      <c r="CV122" s="49">
        <f t="shared" si="1026"/>
        <v>5.7590445774591954</v>
      </c>
      <c r="CW122" s="49">
        <f t="shared" si="1026"/>
        <v>5.6774059347017527</v>
      </c>
      <c r="CX122" s="49">
        <f t="shared" si="1026"/>
        <v>5.3930350226838879</v>
      </c>
      <c r="CY122" s="49">
        <f t="shared" si="1026"/>
        <v>5.0920342251864028</v>
      </c>
      <c r="CZ122" s="49">
        <f t="shared" si="1026"/>
        <v>4.8944971981279881</v>
      </c>
      <c r="DA122" s="49">
        <f t="shared" si="1026"/>
        <v>4.7300045338439478</v>
      </c>
      <c r="DB122"/>
      <c r="DD122" s="105"/>
    </row>
    <row r="123" spans="1:108" s="162" customFormat="1" hidden="1" outlineLevel="1" x14ac:dyDescent="0.25">
      <c r="A123" s="162" t="s">
        <v>509</v>
      </c>
      <c r="E123" s="162" t="e">
        <f t="shared" si="1023"/>
        <v>#DIV/0!</v>
      </c>
      <c r="F123" s="162">
        <f t="shared" si="1023"/>
        <v>0</v>
      </c>
      <c r="G123" s="162">
        <f t="shared" si="1023"/>
        <v>0</v>
      </c>
      <c r="H123" s="162">
        <f t="shared" si="1023"/>
        <v>0</v>
      </c>
      <c r="I123" s="162">
        <f t="shared" si="1023"/>
        <v>0</v>
      </c>
      <c r="J123" s="162">
        <f t="shared" si="1023"/>
        <v>0</v>
      </c>
      <c r="K123" s="162">
        <f t="shared" si="1023"/>
        <v>0</v>
      </c>
      <c r="L123" s="162">
        <f t="shared" si="1023"/>
        <v>0</v>
      </c>
      <c r="M123" s="162">
        <f t="shared" si="1023"/>
        <v>0</v>
      </c>
      <c r="N123" s="162">
        <f t="shared" si="1023"/>
        <v>0</v>
      </c>
      <c r="O123" s="162">
        <f t="shared" si="1023"/>
        <v>0</v>
      </c>
      <c r="P123" s="162">
        <f t="shared" si="1023"/>
        <v>0</v>
      </c>
      <c r="Q123" s="162">
        <f t="shared" si="1023"/>
        <v>0</v>
      </c>
      <c r="R123" s="162">
        <f t="shared" si="1023"/>
        <v>2.4447955285551939</v>
      </c>
      <c r="S123" s="162">
        <f t="shared" si="1023"/>
        <v>3.3287933811909749</v>
      </c>
      <c r="T123" s="162">
        <f t="shared" si="1023"/>
        <v>3.3329766551001527</v>
      </c>
      <c r="U123" s="162">
        <f t="shared" si="1023"/>
        <v>3.3258972457182359</v>
      </c>
      <c r="V123" s="162">
        <f t="shared" si="1023"/>
        <v>4.6566432036173264</v>
      </c>
      <c r="W123" s="162">
        <f t="shared" si="1023"/>
        <v>5.2131126582895382</v>
      </c>
      <c r="X123" s="162">
        <f t="shared" si="1023"/>
        <v>7.3533393092551504</v>
      </c>
      <c r="Y123" s="162">
        <f t="shared" si="1023"/>
        <v>11.64105212933006</v>
      </c>
      <c r="Z123" s="162">
        <f t="shared" ref="Z123:Z124" si="1028">+Z98/Z$119</f>
        <v>11.542733653377583</v>
      </c>
      <c r="AA123" s="93">
        <f t="shared" si="1023"/>
        <v>10.351197696383361</v>
      </c>
      <c r="AB123" s="93">
        <f t="shared" si="1023"/>
        <v>7.0989770999117336</v>
      </c>
      <c r="AC123" s="93">
        <f t="shared" si="1023"/>
        <v>8.0474894119954214</v>
      </c>
      <c r="AD123" s="93">
        <f t="shared" si="1023"/>
        <v>8.065519925565976</v>
      </c>
      <c r="AE123" s="93">
        <f t="shared" si="1023"/>
        <v>8.5358284294533338</v>
      </c>
      <c r="AL123" s="162" t="e">
        <f t="shared" ref="AL123:BQ123" si="1029">+AL98/AL119</f>
        <v>#DIV/0!</v>
      </c>
      <c r="AM123" s="162" t="e">
        <f t="shared" si="1029"/>
        <v>#DIV/0!</v>
      </c>
      <c r="AN123" s="162" t="e">
        <f t="shared" si="1029"/>
        <v>#DIV/0!</v>
      </c>
      <c r="AO123" s="162" t="e">
        <f t="shared" si="1029"/>
        <v>#DIV/0!</v>
      </c>
      <c r="AP123" s="162" t="e">
        <f t="shared" si="1029"/>
        <v>#DIV/0!</v>
      </c>
      <c r="AQ123" s="162" t="e">
        <f t="shared" si="1029"/>
        <v>#DIV/0!</v>
      </c>
      <c r="AR123" s="162" t="e">
        <f t="shared" si="1029"/>
        <v>#DIV/0!</v>
      </c>
      <c r="AS123" s="162" t="e">
        <f t="shared" si="1029"/>
        <v>#DIV/0!</v>
      </c>
      <c r="AT123" s="162" t="e">
        <f t="shared" si="1029"/>
        <v>#DIV/0!</v>
      </c>
      <c r="AU123" s="162" t="e">
        <f t="shared" si="1029"/>
        <v>#DIV/0!</v>
      </c>
      <c r="AV123" s="162" t="e">
        <f t="shared" si="1029"/>
        <v>#DIV/0!</v>
      </c>
      <c r="AW123" s="162">
        <f t="shared" si="1029"/>
        <v>0</v>
      </c>
      <c r="AX123" s="162">
        <f t="shared" si="1029"/>
        <v>0</v>
      </c>
      <c r="AY123" s="162">
        <f t="shared" si="1029"/>
        <v>0</v>
      </c>
      <c r="AZ123" s="162">
        <f t="shared" si="1029"/>
        <v>0</v>
      </c>
      <c r="BA123" s="162">
        <f t="shared" si="1029"/>
        <v>2.0830866983812353</v>
      </c>
      <c r="BB123" s="162">
        <f t="shared" si="1029"/>
        <v>1.843051682676782</v>
      </c>
      <c r="BC123" s="162">
        <f t="shared" si="1029"/>
        <v>2.4820630282949963</v>
      </c>
      <c r="BD123" s="162">
        <f t="shared" si="1029"/>
        <v>2.5757165073103039</v>
      </c>
      <c r="BE123" s="162">
        <f t="shared" si="1029"/>
        <v>2.9506893453166816</v>
      </c>
      <c r="BF123" s="162">
        <f t="shared" si="1029"/>
        <v>3.3266925596223502</v>
      </c>
      <c r="BG123" s="162">
        <f t="shared" si="1029"/>
        <v>3.3282540960131533</v>
      </c>
      <c r="BH123" s="162">
        <f t="shared" si="1029"/>
        <v>3.425299954188461</v>
      </c>
      <c r="BI123" s="162">
        <f t="shared" si="1029"/>
        <v>3.225381303008811</v>
      </c>
      <c r="BJ123" s="162">
        <f t="shared" si="1029"/>
        <v>3.2090912800751648</v>
      </c>
      <c r="BK123" s="162">
        <f t="shared" si="1029"/>
        <v>3.0925695525835848</v>
      </c>
      <c r="BL123" s="162">
        <f t="shared" si="1029"/>
        <v>3.0143231108097277</v>
      </c>
      <c r="BM123" s="162">
        <f t="shared" si="1029"/>
        <v>3.2712195246676372</v>
      </c>
      <c r="BN123" s="162">
        <f t="shared" si="1029"/>
        <v>3.4560563971300851</v>
      </c>
      <c r="BO123" s="162">
        <f t="shared" si="1029"/>
        <v>3.4785354066733238</v>
      </c>
      <c r="BP123" s="162">
        <f t="shared" si="1029"/>
        <v>3.7180875339030512</v>
      </c>
      <c r="BQ123" s="162">
        <f t="shared" si="1029"/>
        <v>4.5814167942002229</v>
      </c>
      <c r="BR123" s="162">
        <f t="shared" ref="BR123:CJ123" si="1030">+BR98/BR119</f>
        <v>4.6226992777112033</v>
      </c>
      <c r="BS123" s="162">
        <f t="shared" si="1030"/>
        <v>5.2144290711190937</v>
      </c>
      <c r="BT123" s="162">
        <f t="shared" si="1030"/>
        <v>5.0366424262823095</v>
      </c>
      <c r="BU123" s="162">
        <f t="shared" si="1030"/>
        <v>5.1343114440019866</v>
      </c>
      <c r="BV123" s="162">
        <f t="shared" si="1030"/>
        <v>4.7896310244643745</v>
      </c>
      <c r="BW123" s="162">
        <f t="shared" si="1030"/>
        <v>4.5060456649073135</v>
      </c>
      <c r="BX123" s="162">
        <f t="shared" si="1030"/>
        <v>6.2655822875166516</v>
      </c>
      <c r="BY123" s="162">
        <f t="shared" si="1030"/>
        <v>7.2336579521182029</v>
      </c>
      <c r="BZ123" s="162">
        <f t="shared" si="1030"/>
        <v>6.5168920821085203</v>
      </c>
      <c r="CA123" s="162">
        <f t="shared" si="1030"/>
        <v>7.7963547871723868</v>
      </c>
      <c r="CB123" s="162">
        <f t="shared" si="1030"/>
        <v>8.3583951721184757</v>
      </c>
      <c r="CC123" s="162">
        <f t="shared" si="1030"/>
        <v>11.441967185593242</v>
      </c>
      <c r="CD123" s="162">
        <f t="shared" si="1030"/>
        <v>12.589120675024153</v>
      </c>
      <c r="CE123" s="162">
        <f t="shared" si="1030"/>
        <v>12.304927128175002</v>
      </c>
      <c r="CF123" s="162">
        <f t="shared" si="1030"/>
        <v>11.907057916610704</v>
      </c>
      <c r="CG123" s="162">
        <f t="shared" si="1030"/>
        <v>10.926258941802997</v>
      </c>
      <c r="CH123" s="162">
        <f t="shared" si="1030"/>
        <v>10.313689651246174</v>
      </c>
      <c r="CI123" s="162">
        <f t="shared" si="1030"/>
        <v>8.9041306184495586</v>
      </c>
      <c r="CJ123" s="162">
        <f t="shared" si="1030"/>
        <v>8.319205041512955</v>
      </c>
      <c r="CK123" s="162">
        <f t="shared" ref="CK123:CL123" si="1031">+CK98/CK119</f>
        <v>7.6204998347849964</v>
      </c>
      <c r="CL123" s="162">
        <f t="shared" si="1031"/>
        <v>7.4387761611408738</v>
      </c>
      <c r="CM123" s="93">
        <f t="shared" ref="CM123:DA123" si="1032">+CL123</f>
        <v>7.4387761611408738</v>
      </c>
      <c r="CN123" s="93">
        <f t="shared" si="1032"/>
        <v>7.4387761611408738</v>
      </c>
      <c r="CO123" s="93">
        <f t="shared" si="1032"/>
        <v>7.4387761611408738</v>
      </c>
      <c r="CP123" s="93">
        <f t="shared" si="1032"/>
        <v>7.4387761611408738</v>
      </c>
      <c r="CQ123" s="93">
        <f t="shared" si="1032"/>
        <v>7.4387761611408738</v>
      </c>
      <c r="CR123" s="93">
        <f t="shared" si="1032"/>
        <v>7.4387761611408738</v>
      </c>
      <c r="CS123" s="93">
        <f t="shared" si="1032"/>
        <v>7.4387761611408738</v>
      </c>
      <c r="CT123" s="93">
        <f t="shared" si="1032"/>
        <v>7.4387761611408738</v>
      </c>
      <c r="CU123" s="93">
        <f t="shared" si="1032"/>
        <v>7.4387761611408738</v>
      </c>
      <c r="CV123" s="93">
        <f t="shared" si="1032"/>
        <v>7.4387761611408738</v>
      </c>
      <c r="CW123" s="93">
        <f t="shared" si="1032"/>
        <v>7.4387761611408738</v>
      </c>
      <c r="CX123" s="93">
        <f t="shared" si="1032"/>
        <v>7.4387761611408738</v>
      </c>
      <c r="CY123" s="93">
        <f t="shared" si="1032"/>
        <v>7.4387761611408738</v>
      </c>
      <c r="CZ123" s="93">
        <f t="shared" si="1032"/>
        <v>7.4387761611408738</v>
      </c>
      <c r="DA123" s="93">
        <f t="shared" si="1032"/>
        <v>7.4387761611408738</v>
      </c>
      <c r="DB123"/>
      <c r="DD123" s="163"/>
    </row>
    <row r="124" spans="1:108" s="162" customFormat="1" hidden="1" outlineLevel="1" x14ac:dyDescent="0.25">
      <c r="A124" s="162" t="s">
        <v>510</v>
      </c>
      <c r="E124" s="162" t="e">
        <f t="shared" si="1023"/>
        <v>#DIV/0!</v>
      </c>
      <c r="F124" s="162">
        <f t="shared" si="1023"/>
        <v>0</v>
      </c>
      <c r="G124" s="162">
        <f t="shared" si="1023"/>
        <v>0</v>
      </c>
      <c r="H124" s="162">
        <f t="shared" si="1023"/>
        <v>0</v>
      </c>
      <c r="I124" s="162">
        <f t="shared" si="1023"/>
        <v>0</v>
      </c>
      <c r="J124" s="162">
        <f t="shared" si="1023"/>
        <v>0</v>
      </c>
      <c r="K124" s="162">
        <f t="shared" si="1023"/>
        <v>0</v>
      </c>
      <c r="L124" s="162">
        <f t="shared" si="1023"/>
        <v>0</v>
      </c>
      <c r="M124" s="162">
        <f t="shared" si="1023"/>
        <v>0</v>
      </c>
      <c r="N124" s="162">
        <f t="shared" si="1023"/>
        <v>0</v>
      </c>
      <c r="O124" s="162">
        <f t="shared" si="1023"/>
        <v>0</v>
      </c>
      <c r="P124" s="162">
        <f t="shared" si="1023"/>
        <v>0</v>
      </c>
      <c r="Q124" s="162">
        <f t="shared" si="1023"/>
        <v>0</v>
      </c>
      <c r="R124" s="162">
        <f t="shared" si="1023"/>
        <v>1.7907737948015721</v>
      </c>
      <c r="S124" s="162">
        <f t="shared" si="1023"/>
        <v>1.7083250489983011</v>
      </c>
      <c r="T124" s="162">
        <f t="shared" si="1023"/>
        <v>2.3271950072360088</v>
      </c>
      <c r="U124" s="162">
        <f t="shared" si="1023"/>
        <v>2.0941381115248188</v>
      </c>
      <c r="V124" s="162">
        <f t="shared" si="1023"/>
        <v>2.2607394514208652</v>
      </c>
      <c r="W124" s="162">
        <f t="shared" si="1023"/>
        <v>2.9132100149265066</v>
      </c>
      <c r="X124" s="162">
        <f t="shared" si="1023"/>
        <v>2.8613007747126775</v>
      </c>
      <c r="Y124" s="162">
        <f t="shared" si="1023"/>
        <v>4.638037358203146</v>
      </c>
      <c r="Z124" s="162">
        <f t="shared" si="1028"/>
        <v>8.0882303298988134</v>
      </c>
      <c r="AA124" s="93">
        <f t="shared" si="1023"/>
        <v>6.5410461260557193</v>
      </c>
      <c r="AB124" s="93">
        <f t="shared" si="1023"/>
        <v>4.7663055399258054</v>
      </c>
      <c r="AC124" s="93">
        <f t="shared" si="1023"/>
        <v>4.96115256225072</v>
      </c>
      <c r="AD124" s="93">
        <f t="shared" si="1023"/>
        <v>5.6925966353696129</v>
      </c>
      <c r="AE124" s="93">
        <f t="shared" si="1023"/>
        <v>5.3492326654068085</v>
      </c>
      <c r="AL124" s="162" t="e">
        <f t="shared" ref="AL124:BQ124" si="1033">+AL99/AL119</f>
        <v>#DIV/0!</v>
      </c>
      <c r="AM124" s="162" t="e">
        <f t="shared" si="1033"/>
        <v>#DIV/0!</v>
      </c>
      <c r="AN124" s="162" t="e">
        <f t="shared" si="1033"/>
        <v>#DIV/0!</v>
      </c>
      <c r="AO124" s="162" t="e">
        <f t="shared" si="1033"/>
        <v>#DIV/0!</v>
      </c>
      <c r="AP124" s="162" t="e">
        <f t="shared" si="1033"/>
        <v>#DIV/0!</v>
      </c>
      <c r="AQ124" s="162" t="e">
        <f t="shared" si="1033"/>
        <v>#DIV/0!</v>
      </c>
      <c r="AR124" s="162" t="e">
        <f t="shared" si="1033"/>
        <v>#DIV/0!</v>
      </c>
      <c r="AS124" s="162" t="e">
        <f t="shared" si="1033"/>
        <v>#DIV/0!</v>
      </c>
      <c r="AT124" s="162" t="e">
        <f t="shared" si="1033"/>
        <v>#DIV/0!</v>
      </c>
      <c r="AU124" s="162" t="e">
        <f t="shared" si="1033"/>
        <v>#DIV/0!</v>
      </c>
      <c r="AV124" s="162" t="e">
        <f t="shared" si="1033"/>
        <v>#DIV/0!</v>
      </c>
      <c r="AW124" s="162">
        <f t="shared" si="1033"/>
        <v>0</v>
      </c>
      <c r="AX124" s="162">
        <f t="shared" si="1033"/>
        <v>0</v>
      </c>
      <c r="AY124" s="162">
        <f t="shared" si="1033"/>
        <v>0</v>
      </c>
      <c r="AZ124" s="162">
        <f t="shared" si="1033"/>
        <v>0</v>
      </c>
      <c r="BA124" s="162">
        <f t="shared" si="1033"/>
        <v>0</v>
      </c>
      <c r="BB124" s="162">
        <f t="shared" si="1033"/>
        <v>1.5032059911889353</v>
      </c>
      <c r="BC124" s="162">
        <f t="shared" si="1033"/>
        <v>1.7819255360841868</v>
      </c>
      <c r="BD124" s="162">
        <f t="shared" si="1033"/>
        <v>2.1619305482604596</v>
      </c>
      <c r="BE124" s="162">
        <f t="shared" si="1033"/>
        <v>2.1566057926519422</v>
      </c>
      <c r="BF124" s="162">
        <f t="shared" si="1033"/>
        <v>2.5895389000645124</v>
      </c>
      <c r="BG124" s="162">
        <f t="shared" si="1033"/>
        <v>2.6436208390005604</v>
      </c>
      <c r="BH124" s="162">
        <f t="shared" si="1033"/>
        <v>2.7035259120161208</v>
      </c>
      <c r="BI124" s="162">
        <f t="shared" si="1033"/>
        <v>2.6166452073137836</v>
      </c>
      <c r="BJ124" s="162">
        <f t="shared" si="1033"/>
        <v>2.7212436529220181</v>
      </c>
      <c r="BK124" s="162">
        <f t="shared" si="1033"/>
        <v>2.5562672521874701</v>
      </c>
      <c r="BL124" s="162">
        <f t="shared" si="1033"/>
        <v>2.5426387947070275</v>
      </c>
      <c r="BM124" s="162">
        <f t="shared" si="1033"/>
        <v>2.4533628016699085</v>
      </c>
      <c r="BN124" s="162">
        <f t="shared" si="1033"/>
        <v>1.9269614982791534</v>
      </c>
      <c r="BO124" s="162">
        <f t="shared" si="1033"/>
        <v>2.3651120001629775</v>
      </c>
      <c r="BP124" s="162">
        <f t="shared" si="1033"/>
        <v>3.0882985538818311</v>
      </c>
      <c r="BQ124" s="162">
        <f t="shared" si="1033"/>
        <v>2.9585928491822471</v>
      </c>
      <c r="BR124" s="162">
        <f t="shared" ref="BR124:CJ124" si="1034">+BR99/BR119</f>
        <v>3.6067051899831895</v>
      </c>
      <c r="BS124" s="162">
        <f t="shared" si="1034"/>
        <v>3.3075049046796487</v>
      </c>
      <c r="BT124" s="162">
        <f t="shared" si="1034"/>
        <v>3.746873556852945</v>
      </c>
      <c r="BU124" s="162">
        <f t="shared" si="1034"/>
        <v>4.0681867735709858</v>
      </c>
      <c r="BV124" s="162">
        <f t="shared" si="1034"/>
        <v>3.9442493515256838</v>
      </c>
      <c r="BW124" s="162">
        <f t="shared" si="1034"/>
        <v>3.4747097429684426</v>
      </c>
      <c r="BX124" s="162">
        <f t="shared" si="1034"/>
        <v>4.0927131706497919</v>
      </c>
      <c r="BY124" s="162">
        <f t="shared" si="1034"/>
        <v>4.8661320402032535</v>
      </c>
      <c r="BZ124" s="162">
        <f t="shared" si="1034"/>
        <v>5.1398732991463199</v>
      </c>
      <c r="CA124" s="162">
        <f t="shared" si="1034"/>
        <v>6.1356997580986361</v>
      </c>
      <c r="CB124" s="162">
        <f t="shared" si="1034"/>
        <v>6.7010572538558995</v>
      </c>
      <c r="CC124" s="162">
        <f t="shared" si="1034"/>
        <v>6.8646001109118933</v>
      </c>
      <c r="CD124" s="162">
        <f t="shared" si="1034"/>
        <v>9.6514171322591107</v>
      </c>
      <c r="CE124" s="162">
        <f t="shared" si="1034"/>
        <v>9.711901019489261</v>
      </c>
      <c r="CF124" s="162">
        <f t="shared" si="1034"/>
        <v>9.5836785059007124</v>
      </c>
      <c r="CG124" s="162">
        <f t="shared" si="1034"/>
        <v>8.8803718586997906</v>
      </c>
      <c r="CH124" s="162">
        <f t="shared" si="1034"/>
        <v>6.5173443419205137</v>
      </c>
      <c r="CI124" s="162">
        <f t="shared" si="1034"/>
        <v>6.9792095049799894</v>
      </c>
      <c r="CJ124" s="162">
        <f t="shared" si="1034"/>
        <v>6.8719126288602332</v>
      </c>
      <c r="CK124" s="162">
        <f t="shared" ref="CK124:CL124" si="1035">+CK99/CK119</f>
        <v>6.5629424495662319</v>
      </c>
      <c r="CL124" s="162">
        <f t="shared" si="1035"/>
        <v>5.5381997408786967</v>
      </c>
      <c r="CM124" s="93">
        <f t="shared" ref="CM124:DA124" si="1036">+CL124</f>
        <v>5.5381997408786967</v>
      </c>
      <c r="CN124" s="93">
        <f t="shared" si="1036"/>
        <v>5.5381997408786967</v>
      </c>
      <c r="CO124" s="93">
        <f t="shared" si="1036"/>
        <v>5.5381997408786967</v>
      </c>
      <c r="CP124" s="93">
        <f t="shared" si="1036"/>
        <v>5.5381997408786967</v>
      </c>
      <c r="CQ124" s="93">
        <f t="shared" si="1036"/>
        <v>5.5381997408786967</v>
      </c>
      <c r="CR124" s="93">
        <f t="shared" si="1036"/>
        <v>5.5381997408786967</v>
      </c>
      <c r="CS124" s="93">
        <f t="shared" si="1036"/>
        <v>5.5381997408786967</v>
      </c>
      <c r="CT124" s="93">
        <f t="shared" si="1036"/>
        <v>5.5381997408786967</v>
      </c>
      <c r="CU124" s="93">
        <f t="shared" si="1036"/>
        <v>5.5381997408786967</v>
      </c>
      <c r="CV124" s="93">
        <f t="shared" si="1036"/>
        <v>5.5381997408786967</v>
      </c>
      <c r="CW124" s="93">
        <f t="shared" si="1036"/>
        <v>5.5381997408786967</v>
      </c>
      <c r="CX124" s="93">
        <f t="shared" si="1036"/>
        <v>5.5381997408786967</v>
      </c>
      <c r="CY124" s="93">
        <f t="shared" si="1036"/>
        <v>5.5381997408786967</v>
      </c>
      <c r="CZ124" s="93">
        <f t="shared" si="1036"/>
        <v>5.5381997408786967</v>
      </c>
      <c r="DA124" s="93">
        <f t="shared" si="1036"/>
        <v>5.5381997408786967</v>
      </c>
      <c r="DB124"/>
      <c r="DD124" s="163"/>
    </row>
    <row r="125" spans="1:108" s="4" customFormat="1" hidden="1" outlineLevel="1" x14ac:dyDescent="0.25">
      <c r="A125" s="3"/>
      <c r="AA125" s="16"/>
      <c r="AB125" s="16"/>
      <c r="AC125" s="16"/>
      <c r="AD125" s="16"/>
      <c r="AE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/>
      <c r="DD125" s="118"/>
    </row>
    <row r="126" spans="1:108" s="4" customFormat="1" hidden="1" outlineLevel="1" x14ac:dyDescent="0.25">
      <c r="A126" s="3"/>
      <c r="AA126" s="16"/>
      <c r="AB126" s="16"/>
      <c r="AC126" s="16"/>
      <c r="AD126" s="16"/>
      <c r="AE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/>
      <c r="DD126" s="118"/>
    </row>
    <row r="127" spans="1:108" s="161" customFormat="1" hidden="1" outlineLevel="1" x14ac:dyDescent="0.25">
      <c r="A127" s="48" t="s">
        <v>340</v>
      </c>
      <c r="B127" s="161" t="e">
        <f t="shared" ref="B127:AE127" si="1037">+B98*B85</f>
        <v>#DIV/0!</v>
      </c>
      <c r="C127" s="161" t="e">
        <f t="shared" si="1037"/>
        <v>#DIV/0!</v>
      </c>
      <c r="D127" s="161" t="e">
        <f t="shared" si="1037"/>
        <v>#DIV/0!</v>
      </c>
      <c r="E127" s="161">
        <f t="shared" si="1037"/>
        <v>0</v>
      </c>
      <c r="F127" s="161">
        <f t="shared" si="1037"/>
        <v>0</v>
      </c>
      <c r="G127" s="161">
        <f t="shared" si="1037"/>
        <v>0</v>
      </c>
      <c r="H127" s="161">
        <f t="shared" si="1037"/>
        <v>0</v>
      </c>
      <c r="I127" s="161">
        <f t="shared" si="1037"/>
        <v>0</v>
      </c>
      <c r="J127" s="161">
        <f t="shared" si="1037"/>
        <v>0</v>
      </c>
      <c r="K127" s="161">
        <f t="shared" si="1037"/>
        <v>0</v>
      </c>
      <c r="L127" s="161">
        <f t="shared" si="1037"/>
        <v>0</v>
      </c>
      <c r="M127" s="161">
        <f t="shared" si="1037"/>
        <v>0</v>
      </c>
      <c r="N127" s="161">
        <f t="shared" si="1037"/>
        <v>0</v>
      </c>
      <c r="O127" s="161">
        <f t="shared" si="1037"/>
        <v>0</v>
      </c>
      <c r="P127" s="161">
        <f t="shared" si="1037"/>
        <v>0</v>
      </c>
      <c r="Q127" s="161">
        <f t="shared" si="1037"/>
        <v>0</v>
      </c>
      <c r="R127" s="161">
        <f t="shared" si="1037"/>
        <v>9439.8029333333288</v>
      </c>
      <c r="S127" s="161">
        <f t="shared" si="1037"/>
        <v>13326.957453333318</v>
      </c>
      <c r="T127" s="161">
        <f t="shared" si="1037"/>
        <v>17015.69573333333</v>
      </c>
      <c r="U127" s="161">
        <f t="shared" si="1037"/>
        <v>23712.24383333333</v>
      </c>
      <c r="V127" s="161">
        <f t="shared" si="1037"/>
        <v>30036.00990666667</v>
      </c>
      <c r="W127" s="161">
        <f t="shared" si="1037"/>
        <v>45996.491999999998</v>
      </c>
      <c r="X127" s="161">
        <f t="shared" si="1037"/>
        <v>96866.582895</v>
      </c>
      <c r="Y127" s="161">
        <f t="shared" si="1037"/>
        <v>186752.52170999997</v>
      </c>
      <c r="Z127" s="161">
        <f t="shared" si="1037"/>
        <v>230942.97498</v>
      </c>
      <c r="AA127" s="20">
        <f t="shared" si="1037"/>
        <v>224469.64515</v>
      </c>
      <c r="AB127" s="20">
        <f t="shared" si="1037"/>
        <v>177051.29023593065</v>
      </c>
      <c r="AC127" s="20">
        <f t="shared" si="1037"/>
        <v>233080.65840175375</v>
      </c>
      <c r="AD127" s="20">
        <f t="shared" si="1037"/>
        <v>250806.46463506768</v>
      </c>
      <c r="AE127" s="20">
        <f t="shared" si="1037"/>
        <v>318596.07821888872</v>
      </c>
      <c r="AL127" s="161">
        <f t="shared" ref="AL127:BQ127" si="1038">+AL98*AL85</f>
        <v>0</v>
      </c>
      <c r="AM127" s="161">
        <f t="shared" si="1038"/>
        <v>0</v>
      </c>
      <c r="AN127" s="161">
        <f t="shared" si="1038"/>
        <v>0</v>
      </c>
      <c r="AO127" s="161">
        <f t="shared" si="1038"/>
        <v>0</v>
      </c>
      <c r="AP127" s="161">
        <f t="shared" si="1038"/>
        <v>0</v>
      </c>
      <c r="AQ127" s="161">
        <f t="shared" si="1038"/>
        <v>0</v>
      </c>
      <c r="AR127" s="161">
        <f t="shared" si="1038"/>
        <v>0</v>
      </c>
      <c r="AS127" s="161">
        <f t="shared" si="1038"/>
        <v>0</v>
      </c>
      <c r="AT127" s="161">
        <f t="shared" si="1038"/>
        <v>0</v>
      </c>
      <c r="AU127" s="161">
        <f t="shared" si="1038"/>
        <v>0</v>
      </c>
      <c r="AV127" s="161">
        <f t="shared" si="1038"/>
        <v>0</v>
      </c>
      <c r="AW127" s="161">
        <f t="shared" si="1038"/>
        <v>0</v>
      </c>
      <c r="AX127" s="161">
        <f t="shared" si="1038"/>
        <v>0</v>
      </c>
      <c r="AY127" s="161">
        <f t="shared" si="1038"/>
        <v>0</v>
      </c>
      <c r="AZ127" s="161">
        <f t="shared" si="1038"/>
        <v>0</v>
      </c>
      <c r="BA127" s="161">
        <f t="shared" si="1038"/>
        <v>9439.4261333333307</v>
      </c>
      <c r="BB127" s="161">
        <f t="shared" si="1038"/>
        <v>8385.2566755555654</v>
      </c>
      <c r="BC127" s="161">
        <f t="shared" si="1038"/>
        <v>11183.014400000011</v>
      </c>
      <c r="BD127" s="161">
        <f t="shared" si="1038"/>
        <v>11489.645439999989</v>
      </c>
      <c r="BE127" s="161">
        <f t="shared" si="1038"/>
        <v>13326.42549333332</v>
      </c>
      <c r="BF127" s="161">
        <f t="shared" si="1038"/>
        <v>15262.409706666673</v>
      </c>
      <c r="BG127" s="161">
        <f t="shared" si="1038"/>
        <v>15812.541866666685</v>
      </c>
      <c r="BH127" s="161">
        <f t="shared" si="1038"/>
        <v>17015.016533333332</v>
      </c>
      <c r="BI127" s="161">
        <f t="shared" si="1038"/>
        <v>16862.703075555542</v>
      </c>
      <c r="BJ127" s="161">
        <f t="shared" si="1038"/>
        <v>17606.233244444458</v>
      </c>
      <c r="BK127" s="161">
        <f t="shared" si="1038"/>
        <v>19299.718400000012</v>
      </c>
      <c r="BL127" s="161">
        <f t="shared" si="1038"/>
        <v>20536.764213333321</v>
      </c>
      <c r="BM127" s="161">
        <f t="shared" si="1038"/>
        <v>23711.297333333332</v>
      </c>
      <c r="BN127" s="161">
        <f t="shared" si="1038"/>
        <v>26152.320906666671</v>
      </c>
      <c r="BO127" s="161">
        <f t="shared" si="1038"/>
        <v>22197.682346666683</v>
      </c>
      <c r="BP127" s="161">
        <f t="shared" si="1038"/>
        <v>23959.30773333332</v>
      </c>
      <c r="BQ127" s="161">
        <f t="shared" si="1038"/>
        <v>30034.810986666675</v>
      </c>
      <c r="BR127" s="161">
        <f t="shared" ref="BR127:CJ127" si="1039">+BR98*BR85</f>
        <v>32943.296586666671</v>
      </c>
      <c r="BS127" s="161">
        <f t="shared" si="1039"/>
        <v>41422.246080000004</v>
      </c>
      <c r="BT127" s="161">
        <f t="shared" si="1039"/>
        <v>43036.568319999889</v>
      </c>
      <c r="BU127" s="161">
        <f t="shared" si="1039"/>
        <v>45994.656000000003</v>
      </c>
      <c r="BV127" s="161">
        <f t="shared" si="1039"/>
        <v>45769.191999999894</v>
      </c>
      <c r="BW127" s="161">
        <f t="shared" si="1039"/>
        <v>54479.993640000008</v>
      </c>
      <c r="BX127" s="161">
        <f t="shared" si="1039"/>
        <v>80815.316160000002</v>
      </c>
      <c r="BY127" s="161">
        <f t="shared" si="1039"/>
        <v>96862.71636000002</v>
      </c>
      <c r="BZ127" s="161">
        <f t="shared" si="1039"/>
        <v>94336.392240000001</v>
      </c>
      <c r="CA127" s="161">
        <f t="shared" si="1039"/>
        <v>118175.82828000002</v>
      </c>
      <c r="CB127" s="161">
        <f t="shared" si="1039"/>
        <v>132457.84536000001</v>
      </c>
      <c r="CC127" s="161">
        <f t="shared" si="1039"/>
        <v>186745.06727999999</v>
      </c>
      <c r="CD127" s="161">
        <f t="shared" si="1039"/>
        <v>211074.88752000002</v>
      </c>
      <c r="CE127" s="161">
        <f t="shared" si="1039"/>
        <v>226415.45808000001</v>
      </c>
      <c r="CF127" s="161">
        <f t="shared" si="1039"/>
        <v>230933.75664000004</v>
      </c>
      <c r="CG127" s="161">
        <f t="shared" si="1039"/>
        <v>223784.29320000004</v>
      </c>
      <c r="CH127" s="161">
        <f t="shared" si="1039"/>
        <v>224460.68520000004</v>
      </c>
      <c r="CI127" s="161">
        <f t="shared" si="1039"/>
        <v>192264.42600000001</v>
      </c>
      <c r="CJ127" s="161">
        <f t="shared" si="1039"/>
        <v>180596.66400000002</v>
      </c>
      <c r="CK127" s="161">
        <f t="shared" ref="CK127:CL127" si="1040">+CK98*CK85</f>
        <v>169370.05920000002</v>
      </c>
      <c r="CL127" s="161">
        <f t="shared" si="1040"/>
        <v>173078.711625</v>
      </c>
      <c r="CM127" s="20">
        <f t="shared" ref="CM127:DA127" si="1041">+CM98*CM85</f>
        <v>162892.50775613621</v>
      </c>
      <c r="CN127" s="20">
        <f t="shared" si="1041"/>
        <v>159668.06986390491</v>
      </c>
      <c r="CO127" s="20">
        <f t="shared" si="1041"/>
        <v>177051.29023593065</v>
      </c>
      <c r="CP127" s="20">
        <f t="shared" si="1041"/>
        <v>193001.76484492552</v>
      </c>
      <c r="CQ127" s="20">
        <f t="shared" si="1041"/>
        <v>207543.60460788614</v>
      </c>
      <c r="CR127" s="20">
        <f t="shared" si="1041"/>
        <v>221400.51981297683</v>
      </c>
      <c r="CS127" s="20">
        <f t="shared" si="1041"/>
        <v>233080.65840175375</v>
      </c>
      <c r="CT127" s="20">
        <f t="shared" si="1041"/>
        <v>237765.94186054103</v>
      </c>
      <c r="CU127" s="20">
        <f t="shared" si="1041"/>
        <v>242651.56115394013</v>
      </c>
      <c r="CV127" s="20">
        <f t="shared" si="1041"/>
        <v>245794.52964886132</v>
      </c>
      <c r="CW127" s="20">
        <f t="shared" si="1041"/>
        <v>250806.46463506768</v>
      </c>
      <c r="CX127" s="20">
        <f t="shared" si="1041"/>
        <v>268175.50801807834</v>
      </c>
      <c r="CY127" s="20">
        <f t="shared" si="1041"/>
        <v>288389.88644527335</v>
      </c>
      <c r="CZ127" s="20">
        <f t="shared" si="1041"/>
        <v>304116.06683063146</v>
      </c>
      <c r="DA127" s="20">
        <f t="shared" si="1041"/>
        <v>318596.07821888872</v>
      </c>
      <c r="DB127"/>
      <c r="DD127" s="21"/>
    </row>
    <row r="128" spans="1:108" s="161" customFormat="1" hidden="1" outlineLevel="1" x14ac:dyDescent="0.25">
      <c r="A128" s="48" t="s">
        <v>341</v>
      </c>
      <c r="B128" s="161" t="e">
        <f t="shared" ref="B128:AE128" si="1042">+B99*B85</f>
        <v>#DIV/0!</v>
      </c>
      <c r="C128" s="161" t="e">
        <f t="shared" si="1042"/>
        <v>#DIV/0!</v>
      </c>
      <c r="D128" s="161" t="e">
        <f t="shared" si="1042"/>
        <v>#DIV/0!</v>
      </c>
      <c r="E128" s="161">
        <f t="shared" si="1042"/>
        <v>0</v>
      </c>
      <c r="F128" s="161">
        <f t="shared" si="1042"/>
        <v>0</v>
      </c>
      <c r="G128" s="161">
        <f t="shared" si="1042"/>
        <v>0</v>
      </c>
      <c r="H128" s="161">
        <f t="shared" si="1042"/>
        <v>0</v>
      </c>
      <c r="I128" s="161">
        <f t="shared" si="1042"/>
        <v>0</v>
      </c>
      <c r="J128" s="161">
        <f t="shared" si="1042"/>
        <v>0</v>
      </c>
      <c r="K128" s="161">
        <f t="shared" si="1042"/>
        <v>0</v>
      </c>
      <c r="L128" s="161">
        <f t="shared" si="1042"/>
        <v>0</v>
      </c>
      <c r="M128" s="161">
        <f t="shared" si="1042"/>
        <v>0</v>
      </c>
      <c r="N128" s="161">
        <f t="shared" si="1042"/>
        <v>0</v>
      </c>
      <c r="O128" s="161">
        <f t="shared" si="1042"/>
        <v>0</v>
      </c>
      <c r="P128" s="161">
        <f t="shared" si="1042"/>
        <v>0</v>
      </c>
      <c r="Q128" s="161">
        <f t="shared" si="1042"/>
        <v>0</v>
      </c>
      <c r="R128" s="161">
        <f t="shared" si="1042"/>
        <v>6914.505333333318</v>
      </c>
      <c r="S128" s="161">
        <f t="shared" si="1042"/>
        <v>6839.3476666666593</v>
      </c>
      <c r="T128" s="161">
        <f t="shared" si="1042"/>
        <v>11880.923946666671</v>
      </c>
      <c r="U128" s="161">
        <f t="shared" si="1042"/>
        <v>14930.321008888894</v>
      </c>
      <c r="V128" s="161">
        <f t="shared" si="1042"/>
        <v>14582.090486666682</v>
      </c>
      <c r="W128" s="161">
        <f t="shared" si="1042"/>
        <v>25703.921999999999</v>
      </c>
      <c r="X128" s="161">
        <f t="shared" si="1042"/>
        <v>37692.321410000113</v>
      </c>
      <c r="Y128" s="161">
        <f t="shared" si="1042"/>
        <v>74406.09</v>
      </c>
      <c r="Z128" s="161">
        <f t="shared" si="1042"/>
        <v>161826.48156000001</v>
      </c>
      <c r="AA128" s="20">
        <f t="shared" si="1042"/>
        <v>141845.0643</v>
      </c>
      <c r="AB128" s="20">
        <f t="shared" si="1042"/>
        <v>118873.54102227213</v>
      </c>
      <c r="AC128" s="20">
        <f t="shared" si="1042"/>
        <v>143690.61535108279</v>
      </c>
      <c r="AD128" s="20">
        <f t="shared" si="1042"/>
        <v>177017.73101879063</v>
      </c>
      <c r="AE128" s="20">
        <f t="shared" si="1042"/>
        <v>199657.77929631239</v>
      </c>
      <c r="AL128" s="161">
        <f t="shared" ref="AL128:BQ128" si="1043">+AL99*AL85</f>
        <v>0</v>
      </c>
      <c r="AM128" s="161">
        <f t="shared" si="1043"/>
        <v>0</v>
      </c>
      <c r="AN128" s="161">
        <f t="shared" si="1043"/>
        <v>0</v>
      </c>
      <c r="AO128" s="161">
        <f t="shared" si="1043"/>
        <v>0</v>
      </c>
      <c r="AP128" s="161">
        <f t="shared" si="1043"/>
        <v>0</v>
      </c>
      <c r="AQ128" s="161">
        <f t="shared" si="1043"/>
        <v>0</v>
      </c>
      <c r="AR128" s="161">
        <f t="shared" si="1043"/>
        <v>0</v>
      </c>
      <c r="AS128" s="161">
        <f t="shared" si="1043"/>
        <v>0</v>
      </c>
      <c r="AT128" s="161">
        <f t="shared" si="1043"/>
        <v>0</v>
      </c>
      <c r="AU128" s="161">
        <f t="shared" si="1043"/>
        <v>0</v>
      </c>
      <c r="AV128" s="161">
        <f t="shared" si="1043"/>
        <v>0</v>
      </c>
      <c r="AW128" s="161">
        <f t="shared" si="1043"/>
        <v>0</v>
      </c>
      <c r="AX128" s="161">
        <f t="shared" si="1043"/>
        <v>0</v>
      </c>
      <c r="AY128" s="161">
        <f t="shared" si="1043"/>
        <v>0</v>
      </c>
      <c r="AZ128" s="161">
        <f t="shared" si="1043"/>
        <v>0</v>
      </c>
      <c r="BA128" s="161">
        <f t="shared" si="1043"/>
        <v>0</v>
      </c>
      <c r="BB128" s="161">
        <f t="shared" si="1043"/>
        <v>6839.0746666666601</v>
      </c>
      <c r="BC128" s="161">
        <f t="shared" si="1043"/>
        <v>8028.5225244444582</v>
      </c>
      <c r="BD128" s="161">
        <f t="shared" si="1043"/>
        <v>9643.8468266666823</v>
      </c>
      <c r="BE128" s="161">
        <f t="shared" si="1043"/>
        <v>9740.0448000000015</v>
      </c>
      <c r="BF128" s="161">
        <f t="shared" si="1043"/>
        <v>11880.449706666672</v>
      </c>
      <c r="BG128" s="161">
        <f t="shared" si="1043"/>
        <v>12559.847893333341</v>
      </c>
      <c r="BH128" s="161">
        <f t="shared" si="1043"/>
        <v>13429.637902222214</v>
      </c>
      <c r="BI128" s="161">
        <f t="shared" si="1043"/>
        <v>13680.153457777789</v>
      </c>
      <c r="BJ128" s="161">
        <f t="shared" si="1043"/>
        <v>14929.725048888895</v>
      </c>
      <c r="BK128" s="161">
        <f t="shared" si="1043"/>
        <v>15952.83057777779</v>
      </c>
      <c r="BL128" s="161">
        <f t="shared" si="1043"/>
        <v>17323.150666666661</v>
      </c>
      <c r="BM128" s="161">
        <f t="shared" si="1043"/>
        <v>17783.097226666661</v>
      </c>
      <c r="BN128" s="161">
        <f t="shared" si="1043"/>
        <v>14581.508426666684</v>
      </c>
      <c r="BO128" s="161">
        <f t="shared" si="1043"/>
        <v>15092.560160000012</v>
      </c>
      <c r="BP128" s="161">
        <f t="shared" si="1043"/>
        <v>19900.955733333318</v>
      </c>
      <c r="BQ128" s="161">
        <f t="shared" si="1043"/>
        <v>19395.916373333333</v>
      </c>
      <c r="BR128" s="161">
        <f t="shared" ref="BR128:CJ128" si="1044">+BR99*BR85</f>
        <v>25702.896000000001</v>
      </c>
      <c r="BS128" s="161">
        <f t="shared" si="1044"/>
        <v>26274.071466666672</v>
      </c>
      <c r="BT128" s="161">
        <f t="shared" si="1044"/>
        <v>32015.888000000014</v>
      </c>
      <c r="BU128" s="161">
        <f t="shared" si="1044"/>
        <v>36444.000960000005</v>
      </c>
      <c r="BV128" s="161">
        <f t="shared" si="1044"/>
        <v>37690.816880000115</v>
      </c>
      <c r="BW128" s="161">
        <f t="shared" si="1044"/>
        <v>42010.707120000006</v>
      </c>
      <c r="BX128" s="161">
        <f t="shared" si="1044"/>
        <v>52789.013640000005</v>
      </c>
      <c r="BY128" s="161">
        <f t="shared" si="1044"/>
        <v>65160.223319999997</v>
      </c>
      <c r="BZ128" s="161">
        <f t="shared" si="1044"/>
        <v>74403.12000000001</v>
      </c>
      <c r="CA128" s="161">
        <f t="shared" si="1044"/>
        <v>93003.900000000009</v>
      </c>
      <c r="CB128" s="161">
        <f t="shared" si="1044"/>
        <v>106193.54400000001</v>
      </c>
      <c r="CC128" s="161">
        <f t="shared" si="1044"/>
        <v>112037.57088</v>
      </c>
      <c r="CD128" s="161">
        <f t="shared" si="1044"/>
        <v>161820.02208000002</v>
      </c>
      <c r="CE128" s="161">
        <f t="shared" si="1044"/>
        <v>178702.76639999999</v>
      </c>
      <c r="CF128" s="161">
        <f t="shared" si="1044"/>
        <v>185872.52160000004</v>
      </c>
      <c r="CG128" s="161">
        <f t="shared" si="1044"/>
        <v>181881.8088</v>
      </c>
      <c r="CH128" s="161">
        <f t="shared" si="1044"/>
        <v>141839.40239999999</v>
      </c>
      <c r="CI128" s="161">
        <f t="shared" si="1044"/>
        <v>150700.13760000002</v>
      </c>
      <c r="CJ128" s="161">
        <f t="shared" si="1044"/>
        <v>149178.25560000003</v>
      </c>
      <c r="CK128" s="161">
        <f t="shared" ref="CK128:CL128" si="1045">+CK99*CK85</f>
        <v>145865.22870000001</v>
      </c>
      <c r="CL128" s="161">
        <f t="shared" si="1045"/>
        <v>128857.8195</v>
      </c>
      <c r="CM128" s="20">
        <f t="shared" ref="CM128:DA128" si="1046">+CM99*CM85</f>
        <v>121274.14842225284</v>
      </c>
      <c r="CN128" s="20">
        <f t="shared" si="1046"/>
        <v>118873.54102227213</v>
      </c>
      <c r="CO128" s="20">
        <f t="shared" si="1046"/>
        <v>131815.42077164547</v>
      </c>
      <c r="CP128" s="20">
        <f t="shared" si="1046"/>
        <v>143690.61535108279</v>
      </c>
      <c r="CQ128" s="20">
        <f t="shared" si="1046"/>
        <v>154517.07543840667</v>
      </c>
      <c r="CR128" s="20">
        <f t="shared" si="1046"/>
        <v>164833.60634830318</v>
      </c>
      <c r="CS128" s="20">
        <f t="shared" si="1046"/>
        <v>173529.5180284674</v>
      </c>
      <c r="CT128" s="20">
        <f t="shared" si="1046"/>
        <v>177017.73101879063</v>
      </c>
      <c r="CU128" s="20">
        <f t="shared" si="1046"/>
        <v>180655.09486986062</v>
      </c>
      <c r="CV128" s="20">
        <f t="shared" si="1046"/>
        <v>182995.04796524896</v>
      </c>
      <c r="CW128" s="20">
        <f t="shared" si="1046"/>
        <v>186726.45437412951</v>
      </c>
      <c r="CX128" s="20">
        <f t="shared" si="1046"/>
        <v>199657.77929631239</v>
      </c>
      <c r="CY128" s="20">
        <f t="shared" si="1046"/>
        <v>214707.46797391138</v>
      </c>
      <c r="CZ128" s="20">
        <f t="shared" si="1046"/>
        <v>226415.67457248768</v>
      </c>
      <c r="DA128" s="20">
        <f t="shared" si="1046"/>
        <v>237196.10317810767</v>
      </c>
      <c r="DB128"/>
      <c r="DD128" s="21"/>
    </row>
    <row r="129" spans="1:108" s="161" customFormat="1" hidden="1" outlineLevel="1" x14ac:dyDescent="0.25">
      <c r="A129" s="48" t="s">
        <v>80</v>
      </c>
      <c r="B129" s="161">
        <f>+B188</f>
        <v>0</v>
      </c>
      <c r="C129" s="161">
        <f t="shared" ref="C129:W129" si="1047">+C188</f>
        <v>0</v>
      </c>
      <c r="D129" s="161">
        <f t="shared" si="1047"/>
        <v>0</v>
      </c>
      <c r="E129" s="161">
        <f t="shared" si="1047"/>
        <v>0</v>
      </c>
      <c r="F129" s="161">
        <f t="shared" si="1047"/>
        <v>168.73049689999999</v>
      </c>
      <c r="G129" s="161">
        <f t="shared" si="1047"/>
        <v>140.04683589999999</v>
      </c>
      <c r="H129" s="161">
        <f t="shared" si="1047"/>
        <v>118.52675889999999</v>
      </c>
      <c r="I129" s="161">
        <f t="shared" si="1047"/>
        <v>123.57951099999998</v>
      </c>
      <c r="J129" s="161">
        <f t="shared" si="1047"/>
        <v>233.18201040000002</v>
      </c>
      <c r="K129" s="161">
        <f t="shared" si="1047"/>
        <v>380.15127150000001</v>
      </c>
      <c r="L129" s="161">
        <f t="shared" si="1047"/>
        <v>536.2395788</v>
      </c>
      <c r="M129" s="161">
        <f t="shared" si="1047"/>
        <v>884.88499999999999</v>
      </c>
      <c r="N129" s="161">
        <f t="shared" si="1047"/>
        <v>1901.8309999999999</v>
      </c>
      <c r="O129" s="161">
        <f t="shared" si="1047"/>
        <v>2280.75</v>
      </c>
      <c r="P129" s="161">
        <f t="shared" si="1047"/>
        <v>2078.9259999999995</v>
      </c>
      <c r="Q129" s="161">
        <f t="shared" si="1047"/>
        <v>2019.2709999999997</v>
      </c>
      <c r="R129" s="161">
        <f t="shared" si="1047"/>
        <v>2149.7049999999999</v>
      </c>
      <c r="S129" s="161">
        <f t="shared" si="1047"/>
        <v>2559.2420000000002</v>
      </c>
      <c r="T129" s="161">
        <f t="shared" si="1047"/>
        <v>2714.3870000000002</v>
      </c>
      <c r="U129" s="161">
        <f t="shared" si="1047"/>
        <v>3246.0960000000005</v>
      </c>
      <c r="V129" s="161">
        <f t="shared" si="1047"/>
        <v>3026.0730000000003</v>
      </c>
      <c r="W129" s="161">
        <f t="shared" si="1047"/>
        <v>3005.2730000000006</v>
      </c>
      <c r="X129" s="161">
        <f t="shared" ref="X129:Y129" si="1048">+X188</f>
        <v>3409.5450000000005</v>
      </c>
      <c r="Y129" s="161">
        <f t="shared" si="1048"/>
        <v>4734.5249999999996</v>
      </c>
      <c r="Z129" s="161">
        <f t="shared" ref="Z129" si="1049">+Z188</f>
        <v>-85.78899999999976</v>
      </c>
      <c r="AA129" s="20">
        <f t="shared" ref="AA129:AD129" si="1050">+AA188</f>
        <v>25.628000000000156</v>
      </c>
      <c r="AB129" s="20">
        <f t="shared" si="1050"/>
        <v>-4990.1735121293259</v>
      </c>
      <c r="AC129" s="20">
        <f t="shared" si="1050"/>
        <v>-8513.4488996911623</v>
      </c>
      <c r="AD129" s="20">
        <f t="shared" si="1050"/>
        <v>-12557.07306324075</v>
      </c>
      <c r="AE129" s="20">
        <f t="shared" ref="AE129" si="1051">+AE188</f>
        <v>-17476.930246100455</v>
      </c>
      <c r="AL129" s="161" t="e">
        <f t="shared" ref="AL129:AM129" si="1052">+AL188</f>
        <v>#DIV/0!</v>
      </c>
      <c r="AM129" s="161">
        <f t="shared" si="1052"/>
        <v>0</v>
      </c>
      <c r="AN129" s="161" t="e">
        <f t="shared" ref="AN129:AO129" si="1053">+AN188</f>
        <v>#DIV/0!</v>
      </c>
      <c r="AO129" s="161">
        <f t="shared" si="1053"/>
        <v>0</v>
      </c>
      <c r="AP129" s="161" t="e">
        <f t="shared" ref="AP129:CD129" si="1054">+AP188</f>
        <v>#DIV/0!</v>
      </c>
      <c r="AQ129" s="161">
        <f t="shared" si="1054"/>
        <v>0</v>
      </c>
      <c r="AR129" s="161" t="e">
        <f t="shared" si="1054"/>
        <v>#DIV/0!</v>
      </c>
      <c r="AS129" s="161">
        <f t="shared" si="1054"/>
        <v>0</v>
      </c>
      <c r="AT129" s="161" t="e">
        <f t="shared" si="1054"/>
        <v>#DIV/0!</v>
      </c>
      <c r="AU129" s="161">
        <f t="shared" si="1054"/>
        <v>0</v>
      </c>
      <c r="AV129" s="161" t="e">
        <f t="shared" si="1054"/>
        <v>#DIV/0!</v>
      </c>
      <c r="AW129" s="161">
        <f t="shared" si="1054"/>
        <v>1773.857</v>
      </c>
      <c r="AX129" s="161">
        <f t="shared" si="1054"/>
        <v>2239.1618690697624</v>
      </c>
      <c r="AY129" s="161">
        <f t="shared" si="1054"/>
        <v>0</v>
      </c>
      <c r="AZ129" s="161">
        <f t="shared" si="1054"/>
        <v>-10.303000000000083</v>
      </c>
      <c r="BA129" s="161">
        <f t="shared" si="1054"/>
        <v>1303.1420000000001</v>
      </c>
      <c r="BB129" s="161">
        <f t="shared" si="1054"/>
        <v>1575.9173214620278</v>
      </c>
      <c r="BC129" s="161">
        <f t="shared" si="1054"/>
        <v>1648.752</v>
      </c>
      <c r="BD129" s="161">
        <f t="shared" si="1054"/>
        <v>1399.7793801661521</v>
      </c>
      <c r="BE129" s="161">
        <f t="shared" si="1054"/>
        <v>1950.2729999999999</v>
      </c>
      <c r="BF129" s="161">
        <f t="shared" si="1054"/>
        <v>2335.581265024482</v>
      </c>
      <c r="BG129" s="161">
        <f t="shared" si="1054"/>
        <v>1787.2070000000003</v>
      </c>
      <c r="BH129" s="161">
        <f t="shared" si="1054"/>
        <v>1581.4191441153844</v>
      </c>
      <c r="BI129" s="161">
        <f t="shared" si="1054"/>
        <v>2264.2440000000001</v>
      </c>
      <c r="BJ129" s="161">
        <f t="shared" si="1054"/>
        <v>2492.5336101510061</v>
      </c>
      <c r="BK129" s="161">
        <f t="shared" si="1054"/>
        <v>3100.9960000000001</v>
      </c>
      <c r="BL129" s="161">
        <f t="shared" si="1054"/>
        <v>2849.671117926297</v>
      </c>
      <c r="BM129" s="161">
        <f t="shared" si="1054"/>
        <v>2651.4530000000004</v>
      </c>
      <c r="BN129" s="161">
        <f t="shared" si="1054"/>
        <v>2799.7002211175968</v>
      </c>
      <c r="BO129" s="161">
        <f t="shared" si="1054"/>
        <v>2088.91</v>
      </c>
      <c r="BP129" s="161">
        <f t="shared" si="1054"/>
        <v>1992.777078389136</v>
      </c>
      <c r="BQ129" s="161">
        <f t="shared" si="1054"/>
        <v>2503.4299999999998</v>
      </c>
      <c r="BR129" s="161">
        <f t="shared" si="1054"/>
        <v>2808.1205683940148</v>
      </c>
      <c r="BS129" s="161">
        <f t="shared" si="1054"/>
        <v>1585.5629999999999</v>
      </c>
      <c r="BT129" s="161">
        <f t="shared" si="1054"/>
        <v>1309.9600746011756</v>
      </c>
      <c r="BU129" s="161">
        <f t="shared" si="1054"/>
        <v>3005.2730000000001</v>
      </c>
      <c r="BV129" s="161">
        <f t="shared" si="1054"/>
        <v>3327.5551250946214</v>
      </c>
      <c r="BW129" s="161">
        <f t="shared" si="1054"/>
        <v>2055.5080000000003</v>
      </c>
      <c r="BX129" s="161">
        <f t="shared" si="1054"/>
        <v>1259.0766747741684</v>
      </c>
      <c r="BY129" s="161">
        <f t="shared" si="1054"/>
        <v>3409.5450000000001</v>
      </c>
      <c r="BZ129" s="161">
        <f t="shared" si="1054"/>
        <v>4045.0170289048237</v>
      </c>
      <c r="CA129" s="161">
        <f t="shared" si="1054"/>
        <v>3171.627</v>
      </c>
      <c r="CB129" s="161">
        <f t="shared" si="1054"/>
        <v>2159.6134668666987</v>
      </c>
      <c r="CC129" s="161">
        <f t="shared" si="1054"/>
        <v>4734.5250000000005</v>
      </c>
      <c r="CD129" s="161">
        <f t="shared" si="1054"/>
        <v>5214.7372433058899</v>
      </c>
      <c r="CE129" s="161">
        <f t="shared" ref="CE129:CF129" si="1055">+CE188</f>
        <v>5880.8010000000004</v>
      </c>
      <c r="CF129" s="161">
        <f t="shared" si="1055"/>
        <v>4429.126510111716</v>
      </c>
      <c r="CG129" s="161">
        <f t="shared" ref="CG129:CH129" si="1056">+CG188</f>
        <v>-85.78899999999976</v>
      </c>
      <c r="CH129" s="161">
        <f t="shared" si="1056"/>
        <v>139.29187970107205</v>
      </c>
      <c r="CI129" s="161">
        <f t="shared" ref="CI129:CJ129" si="1057">+CI188</f>
        <v>-514.91600000000017</v>
      </c>
      <c r="CJ129" s="161">
        <f t="shared" si="1057"/>
        <v>-2174.4050071838401</v>
      </c>
      <c r="CK129" s="161">
        <f t="shared" ref="CK129:CL129" si="1058">+CK188</f>
        <v>25.628000000000156</v>
      </c>
      <c r="CL129" s="161">
        <f t="shared" si="1058"/>
        <v>-2099.7490116526283</v>
      </c>
      <c r="CM129" s="20">
        <f t="shared" ref="CM129:DA129" si="1059">+CM188</f>
        <v>-2489.7730748696945</v>
      </c>
      <c r="CN129" s="20">
        <f t="shared" si="1059"/>
        <v>-4176.7991095575107</v>
      </c>
      <c r="CO129" s="20">
        <f t="shared" si="1059"/>
        <v>-4990.1735121293259</v>
      </c>
      <c r="CP129" s="20">
        <f t="shared" si="1059"/>
        <v>-4627.1546683240213</v>
      </c>
      <c r="CQ129" s="20">
        <f t="shared" si="1059"/>
        <v>-5292.2821555272003</v>
      </c>
      <c r="CR129" s="20">
        <f t="shared" si="1059"/>
        <v>-7430.015691773744</v>
      </c>
      <c r="CS129" s="20">
        <f t="shared" si="1059"/>
        <v>-8513.4488996911623</v>
      </c>
      <c r="CT129" s="20">
        <f t="shared" si="1059"/>
        <v>-8350.7482466956499</v>
      </c>
      <c r="CU129" s="20">
        <f t="shared" si="1059"/>
        <v>-9056.975841389718</v>
      </c>
      <c r="CV129" s="20">
        <f t="shared" si="1059"/>
        <v>-11349.798397286433</v>
      </c>
      <c r="CW129" s="20">
        <f t="shared" si="1059"/>
        <v>-12557.07306324075</v>
      </c>
      <c r="CX129" s="20">
        <f t="shared" si="1059"/>
        <v>-12125.873718584269</v>
      </c>
      <c r="CY129" s="20">
        <f t="shared" si="1059"/>
        <v>-13065.529281881994</v>
      </c>
      <c r="CZ129" s="20">
        <f t="shared" si="1059"/>
        <v>-15922.891376005386</v>
      </c>
      <c r="DA129" s="20">
        <f t="shared" si="1059"/>
        <v>-17476.930246100455</v>
      </c>
      <c r="DB129"/>
      <c r="DD129" s="21"/>
    </row>
    <row r="130" spans="1:108" s="161" customFormat="1" hidden="1" outlineLevel="1" x14ac:dyDescent="0.25">
      <c r="A130" s="48" t="s">
        <v>342</v>
      </c>
      <c r="B130" s="161" t="e">
        <f>+B127+B129</f>
        <v>#DIV/0!</v>
      </c>
      <c r="C130" s="161" t="e">
        <f t="shared" ref="C130:W130" si="1060">+C127+C129</f>
        <v>#DIV/0!</v>
      </c>
      <c r="D130" s="161" t="e">
        <f t="shared" si="1060"/>
        <v>#DIV/0!</v>
      </c>
      <c r="E130" s="161">
        <f t="shared" si="1060"/>
        <v>0</v>
      </c>
      <c r="F130" s="161">
        <f t="shared" si="1060"/>
        <v>168.73049689999999</v>
      </c>
      <c r="G130" s="161">
        <f t="shared" si="1060"/>
        <v>140.04683589999999</v>
      </c>
      <c r="H130" s="161">
        <f t="shared" si="1060"/>
        <v>118.52675889999999</v>
      </c>
      <c r="I130" s="161">
        <f t="shared" si="1060"/>
        <v>123.57951099999998</v>
      </c>
      <c r="J130" s="161">
        <f t="shared" si="1060"/>
        <v>233.18201040000002</v>
      </c>
      <c r="K130" s="161">
        <f t="shared" si="1060"/>
        <v>380.15127150000001</v>
      </c>
      <c r="L130" s="161">
        <f t="shared" si="1060"/>
        <v>536.2395788</v>
      </c>
      <c r="M130" s="161">
        <f t="shared" si="1060"/>
        <v>884.88499999999999</v>
      </c>
      <c r="N130" s="161">
        <f t="shared" si="1060"/>
        <v>1901.8309999999999</v>
      </c>
      <c r="O130" s="161">
        <f t="shared" si="1060"/>
        <v>2280.75</v>
      </c>
      <c r="P130" s="161">
        <f t="shared" si="1060"/>
        <v>2078.9259999999995</v>
      </c>
      <c r="Q130" s="161">
        <f t="shared" si="1060"/>
        <v>2019.2709999999997</v>
      </c>
      <c r="R130" s="161">
        <f t="shared" si="1060"/>
        <v>11589.507933333329</v>
      </c>
      <c r="S130" s="161">
        <f t="shared" si="1060"/>
        <v>15886.199453333318</v>
      </c>
      <c r="T130" s="161">
        <f t="shared" si="1060"/>
        <v>19730.082733333329</v>
      </c>
      <c r="U130" s="161">
        <f t="shared" si="1060"/>
        <v>26958.339833333332</v>
      </c>
      <c r="V130" s="161">
        <f t="shared" si="1060"/>
        <v>33062.08290666667</v>
      </c>
      <c r="W130" s="161">
        <f t="shared" si="1060"/>
        <v>49001.764999999999</v>
      </c>
      <c r="X130" s="161">
        <f t="shared" ref="X130:Y130" si="1061">+X127+X129</f>
        <v>100276.127895</v>
      </c>
      <c r="Y130" s="161">
        <f t="shared" si="1061"/>
        <v>191487.04670999997</v>
      </c>
      <c r="Z130" s="161">
        <f t="shared" ref="Z130" si="1062">+Z127+Z129</f>
        <v>230857.18598000001</v>
      </c>
      <c r="AA130" s="20">
        <f t="shared" ref="AA130:AD130" si="1063">+AA127+AA129</f>
        <v>224495.27314999999</v>
      </c>
      <c r="AB130" s="20">
        <f t="shared" si="1063"/>
        <v>172061.11672380133</v>
      </c>
      <c r="AC130" s="20">
        <f t="shared" si="1063"/>
        <v>224567.20950206259</v>
      </c>
      <c r="AD130" s="20">
        <f t="shared" si="1063"/>
        <v>238249.39157182694</v>
      </c>
      <c r="AE130" s="20">
        <f t="shared" ref="AE130" si="1064">+AE127+AE129</f>
        <v>301119.14797278825</v>
      </c>
      <c r="AL130" s="161" t="e">
        <f t="shared" ref="AL130" si="1065">+AL127+AL129</f>
        <v>#DIV/0!</v>
      </c>
      <c r="AM130" s="161">
        <f t="shared" ref="AM130:AO130" si="1066">+AM127+AM129</f>
        <v>0</v>
      </c>
      <c r="AN130" s="161" t="e">
        <f t="shared" si="1066"/>
        <v>#DIV/0!</v>
      </c>
      <c r="AO130" s="161">
        <f t="shared" si="1066"/>
        <v>0</v>
      </c>
      <c r="AP130" s="161" t="e">
        <f t="shared" ref="AP130:CD130" si="1067">+AP127+AP129</f>
        <v>#DIV/0!</v>
      </c>
      <c r="AQ130" s="161">
        <f t="shared" si="1067"/>
        <v>0</v>
      </c>
      <c r="AR130" s="161" t="e">
        <f t="shared" si="1067"/>
        <v>#DIV/0!</v>
      </c>
      <c r="AS130" s="161">
        <f t="shared" si="1067"/>
        <v>0</v>
      </c>
      <c r="AT130" s="161" t="e">
        <f t="shared" si="1067"/>
        <v>#DIV/0!</v>
      </c>
      <c r="AU130" s="161">
        <f t="shared" si="1067"/>
        <v>0</v>
      </c>
      <c r="AV130" s="161" t="e">
        <f t="shared" si="1067"/>
        <v>#DIV/0!</v>
      </c>
      <c r="AW130" s="161">
        <f t="shared" si="1067"/>
        <v>1773.857</v>
      </c>
      <c r="AX130" s="161">
        <f t="shared" si="1067"/>
        <v>2239.1618690697624</v>
      </c>
      <c r="AY130" s="161">
        <f t="shared" si="1067"/>
        <v>0</v>
      </c>
      <c r="AZ130" s="161">
        <f t="shared" si="1067"/>
        <v>-10.303000000000083</v>
      </c>
      <c r="BA130" s="161">
        <f t="shared" si="1067"/>
        <v>10742.56813333333</v>
      </c>
      <c r="BB130" s="161">
        <f t="shared" si="1067"/>
        <v>9961.1739970175931</v>
      </c>
      <c r="BC130" s="161">
        <f t="shared" si="1067"/>
        <v>12831.766400000011</v>
      </c>
      <c r="BD130" s="161">
        <f t="shared" si="1067"/>
        <v>12889.424820166141</v>
      </c>
      <c r="BE130" s="161">
        <f t="shared" si="1067"/>
        <v>15276.698493333319</v>
      </c>
      <c r="BF130" s="161">
        <f t="shared" si="1067"/>
        <v>17597.990971691153</v>
      </c>
      <c r="BG130" s="161">
        <f t="shared" si="1067"/>
        <v>17599.748866666683</v>
      </c>
      <c r="BH130" s="161">
        <f t="shared" si="1067"/>
        <v>18596.435677448717</v>
      </c>
      <c r="BI130" s="161">
        <f t="shared" si="1067"/>
        <v>19126.947075555541</v>
      </c>
      <c r="BJ130" s="161">
        <f t="shared" si="1067"/>
        <v>20098.766854595466</v>
      </c>
      <c r="BK130" s="161">
        <f t="shared" si="1067"/>
        <v>22400.714400000012</v>
      </c>
      <c r="BL130" s="161">
        <f t="shared" si="1067"/>
        <v>23386.435331259618</v>
      </c>
      <c r="BM130" s="161">
        <f t="shared" si="1067"/>
        <v>26362.750333333333</v>
      </c>
      <c r="BN130" s="161">
        <f t="shared" si="1067"/>
        <v>28952.021127784268</v>
      </c>
      <c r="BO130" s="161">
        <f t="shared" si="1067"/>
        <v>24286.592346666683</v>
      </c>
      <c r="BP130" s="161">
        <f t="shared" si="1067"/>
        <v>25952.084811722456</v>
      </c>
      <c r="BQ130" s="161">
        <f t="shared" si="1067"/>
        <v>32538.240986666675</v>
      </c>
      <c r="BR130" s="161">
        <f t="shared" si="1067"/>
        <v>35751.417155060684</v>
      </c>
      <c r="BS130" s="161">
        <f t="shared" si="1067"/>
        <v>43007.809080000006</v>
      </c>
      <c r="BT130" s="161">
        <f t="shared" si="1067"/>
        <v>44346.528394601068</v>
      </c>
      <c r="BU130" s="161">
        <f t="shared" si="1067"/>
        <v>48999.929000000004</v>
      </c>
      <c r="BV130" s="161">
        <f t="shared" si="1067"/>
        <v>49096.747125094516</v>
      </c>
      <c r="BW130" s="161">
        <f t="shared" si="1067"/>
        <v>56535.50164000001</v>
      </c>
      <c r="BX130" s="161">
        <f t="shared" si="1067"/>
        <v>82074.392834774175</v>
      </c>
      <c r="BY130" s="161">
        <f t="shared" si="1067"/>
        <v>100272.26136000002</v>
      </c>
      <c r="BZ130" s="161">
        <f t="shared" si="1067"/>
        <v>98381.409268904827</v>
      </c>
      <c r="CA130" s="161">
        <f t="shared" si="1067"/>
        <v>121347.45528000001</v>
      </c>
      <c r="CB130" s="161">
        <f t="shared" si="1067"/>
        <v>134617.4588268667</v>
      </c>
      <c r="CC130" s="161">
        <f t="shared" si="1067"/>
        <v>191479.59227999998</v>
      </c>
      <c r="CD130" s="161">
        <f t="shared" si="1067"/>
        <v>216289.62476330591</v>
      </c>
      <c r="CE130" s="161">
        <f t="shared" ref="CE130:CF130" si="1068">+CE127+CE129</f>
        <v>232296.25908000002</v>
      </c>
      <c r="CF130" s="161">
        <f t="shared" si="1068"/>
        <v>235362.88315011174</v>
      </c>
      <c r="CG130" s="161">
        <f t="shared" ref="CG130:CH130" si="1069">+CG127+CG129</f>
        <v>223698.50420000005</v>
      </c>
      <c r="CH130" s="161">
        <f t="shared" si="1069"/>
        <v>224599.97707970112</v>
      </c>
      <c r="CI130" s="161">
        <f t="shared" ref="CI130:CJ130" si="1070">+CI127+CI129</f>
        <v>191749.51</v>
      </c>
      <c r="CJ130" s="161">
        <f t="shared" si="1070"/>
        <v>178422.25899281618</v>
      </c>
      <c r="CK130" s="161">
        <f t="shared" ref="CK130:CL130" si="1071">+CK127+CK129</f>
        <v>169395.68720000001</v>
      </c>
      <c r="CL130" s="161">
        <f t="shared" si="1071"/>
        <v>170978.96261334736</v>
      </c>
      <c r="CM130" s="20">
        <f t="shared" ref="CM130:DA130" si="1072">+CM127+CM129</f>
        <v>160402.73468126651</v>
      </c>
      <c r="CN130" s="20">
        <f t="shared" si="1072"/>
        <v>155491.27075434741</v>
      </c>
      <c r="CO130" s="20">
        <f t="shared" si="1072"/>
        <v>172061.11672380133</v>
      </c>
      <c r="CP130" s="20">
        <f t="shared" si="1072"/>
        <v>188374.61017660151</v>
      </c>
      <c r="CQ130" s="20">
        <f t="shared" si="1072"/>
        <v>202251.32245235893</v>
      </c>
      <c r="CR130" s="20">
        <f t="shared" si="1072"/>
        <v>213970.50412120309</v>
      </c>
      <c r="CS130" s="20">
        <f t="shared" si="1072"/>
        <v>224567.20950206259</v>
      </c>
      <c r="CT130" s="20">
        <f t="shared" si="1072"/>
        <v>229415.19361384539</v>
      </c>
      <c r="CU130" s="20">
        <f t="shared" si="1072"/>
        <v>233594.58531255042</v>
      </c>
      <c r="CV130" s="20">
        <f t="shared" si="1072"/>
        <v>234444.73125157488</v>
      </c>
      <c r="CW130" s="20">
        <f t="shared" si="1072"/>
        <v>238249.39157182694</v>
      </c>
      <c r="CX130" s="20">
        <f t="shared" si="1072"/>
        <v>256049.63429949406</v>
      </c>
      <c r="CY130" s="20">
        <f t="shared" si="1072"/>
        <v>275324.35716339137</v>
      </c>
      <c r="CZ130" s="20">
        <f t="shared" si="1072"/>
        <v>288193.17545462609</v>
      </c>
      <c r="DA130" s="20">
        <f t="shared" si="1072"/>
        <v>301119.14797278825</v>
      </c>
      <c r="DB130"/>
      <c r="DD130" s="21"/>
    </row>
    <row r="131" spans="1:108" s="161" customFormat="1" hidden="1" outlineLevel="1" x14ac:dyDescent="0.25">
      <c r="A131" s="48" t="s">
        <v>345</v>
      </c>
      <c r="B131" s="161" t="e">
        <f>+B128+B129</f>
        <v>#DIV/0!</v>
      </c>
      <c r="C131" s="161" t="e">
        <f t="shared" ref="C131:W131" si="1073">+C128+C129</f>
        <v>#DIV/0!</v>
      </c>
      <c r="D131" s="161" t="e">
        <f t="shared" si="1073"/>
        <v>#DIV/0!</v>
      </c>
      <c r="E131" s="161">
        <f t="shared" si="1073"/>
        <v>0</v>
      </c>
      <c r="F131" s="161">
        <f t="shared" si="1073"/>
        <v>168.73049689999999</v>
      </c>
      <c r="G131" s="161">
        <f t="shared" si="1073"/>
        <v>140.04683589999999</v>
      </c>
      <c r="H131" s="161">
        <f t="shared" si="1073"/>
        <v>118.52675889999999</v>
      </c>
      <c r="I131" s="161">
        <f t="shared" si="1073"/>
        <v>123.57951099999998</v>
      </c>
      <c r="J131" s="161">
        <f t="shared" si="1073"/>
        <v>233.18201040000002</v>
      </c>
      <c r="K131" s="161">
        <f t="shared" si="1073"/>
        <v>380.15127150000001</v>
      </c>
      <c r="L131" s="161">
        <f t="shared" si="1073"/>
        <v>536.2395788</v>
      </c>
      <c r="M131" s="161">
        <f t="shared" si="1073"/>
        <v>884.88499999999999</v>
      </c>
      <c r="N131" s="161">
        <f t="shared" si="1073"/>
        <v>1901.8309999999999</v>
      </c>
      <c r="O131" s="161">
        <f t="shared" si="1073"/>
        <v>2280.75</v>
      </c>
      <c r="P131" s="161">
        <f t="shared" si="1073"/>
        <v>2078.9259999999995</v>
      </c>
      <c r="Q131" s="161">
        <f t="shared" si="1073"/>
        <v>2019.2709999999997</v>
      </c>
      <c r="R131" s="161">
        <f t="shared" si="1073"/>
        <v>9064.210333333318</v>
      </c>
      <c r="S131" s="161">
        <f t="shared" si="1073"/>
        <v>9398.5896666666595</v>
      </c>
      <c r="T131" s="161">
        <f t="shared" si="1073"/>
        <v>14595.310946666672</v>
      </c>
      <c r="U131" s="161">
        <f t="shared" si="1073"/>
        <v>18176.417008888893</v>
      </c>
      <c r="V131" s="161">
        <f t="shared" si="1073"/>
        <v>17608.163486666683</v>
      </c>
      <c r="W131" s="161">
        <f t="shared" si="1073"/>
        <v>28709.195</v>
      </c>
      <c r="X131" s="161">
        <f t="shared" ref="X131:Y131" si="1074">+X128+X129</f>
        <v>41101.866410000112</v>
      </c>
      <c r="Y131" s="161">
        <f t="shared" si="1074"/>
        <v>79140.614999999991</v>
      </c>
      <c r="Z131" s="161">
        <f t="shared" ref="Z131" si="1075">+Z128+Z129</f>
        <v>161740.69256000002</v>
      </c>
      <c r="AA131" s="20">
        <f t="shared" ref="AA131:AD131" si="1076">+AA128+AA129</f>
        <v>141870.6923</v>
      </c>
      <c r="AB131" s="20">
        <f t="shared" si="1076"/>
        <v>113883.36751014279</v>
      </c>
      <c r="AC131" s="20">
        <f t="shared" si="1076"/>
        <v>135177.16645139162</v>
      </c>
      <c r="AD131" s="20">
        <f t="shared" si="1076"/>
        <v>164460.65795554989</v>
      </c>
      <c r="AE131" s="20">
        <f t="shared" ref="AE131" si="1077">+AE128+AE129</f>
        <v>182180.84905021195</v>
      </c>
      <c r="AL131" s="161" t="e">
        <f t="shared" ref="AL131:AM131" si="1078">+AL128+AL129</f>
        <v>#DIV/0!</v>
      </c>
      <c r="AM131" s="161">
        <f t="shared" si="1078"/>
        <v>0</v>
      </c>
      <c r="AN131" s="161" t="e">
        <f t="shared" ref="AN131:AO131" si="1079">+AN128+AN129</f>
        <v>#DIV/0!</v>
      </c>
      <c r="AO131" s="161">
        <f t="shared" si="1079"/>
        <v>0</v>
      </c>
      <c r="AP131" s="161" t="e">
        <f t="shared" ref="AP131:CD131" si="1080">+AP128+AP129</f>
        <v>#DIV/0!</v>
      </c>
      <c r="AQ131" s="161">
        <f t="shared" si="1080"/>
        <v>0</v>
      </c>
      <c r="AR131" s="161" t="e">
        <f t="shared" si="1080"/>
        <v>#DIV/0!</v>
      </c>
      <c r="AS131" s="161">
        <f t="shared" si="1080"/>
        <v>0</v>
      </c>
      <c r="AT131" s="161" t="e">
        <f t="shared" si="1080"/>
        <v>#DIV/0!</v>
      </c>
      <c r="AU131" s="161">
        <f t="shared" si="1080"/>
        <v>0</v>
      </c>
      <c r="AV131" s="161" t="e">
        <f t="shared" si="1080"/>
        <v>#DIV/0!</v>
      </c>
      <c r="AW131" s="161">
        <f t="shared" si="1080"/>
        <v>1773.857</v>
      </c>
      <c r="AX131" s="161">
        <f t="shared" si="1080"/>
        <v>2239.1618690697624</v>
      </c>
      <c r="AY131" s="161">
        <f t="shared" si="1080"/>
        <v>0</v>
      </c>
      <c r="AZ131" s="161">
        <f t="shared" si="1080"/>
        <v>-10.303000000000083</v>
      </c>
      <c r="BA131" s="161">
        <f t="shared" si="1080"/>
        <v>1303.1420000000001</v>
      </c>
      <c r="BB131" s="161">
        <f t="shared" si="1080"/>
        <v>8414.9919881286878</v>
      </c>
      <c r="BC131" s="161">
        <f t="shared" si="1080"/>
        <v>9677.2745244444577</v>
      </c>
      <c r="BD131" s="161">
        <f t="shared" si="1080"/>
        <v>11043.626206832834</v>
      </c>
      <c r="BE131" s="161">
        <f t="shared" si="1080"/>
        <v>11690.317800000001</v>
      </c>
      <c r="BF131" s="161">
        <f t="shared" si="1080"/>
        <v>14216.030971691154</v>
      </c>
      <c r="BG131" s="161">
        <f t="shared" si="1080"/>
        <v>14347.054893333341</v>
      </c>
      <c r="BH131" s="161">
        <f t="shared" si="1080"/>
        <v>15011.057046337599</v>
      </c>
      <c r="BI131" s="161">
        <f t="shared" si="1080"/>
        <v>15944.39745777779</v>
      </c>
      <c r="BJ131" s="161">
        <f t="shared" si="1080"/>
        <v>17422.258659039901</v>
      </c>
      <c r="BK131" s="161">
        <f t="shared" si="1080"/>
        <v>19053.826577777789</v>
      </c>
      <c r="BL131" s="161">
        <f t="shared" si="1080"/>
        <v>20172.821784592958</v>
      </c>
      <c r="BM131" s="161">
        <f t="shared" si="1080"/>
        <v>20434.550226666663</v>
      </c>
      <c r="BN131" s="161">
        <f t="shared" si="1080"/>
        <v>17381.208647784282</v>
      </c>
      <c r="BO131" s="161">
        <f t="shared" si="1080"/>
        <v>17181.470160000012</v>
      </c>
      <c r="BP131" s="161">
        <f t="shared" si="1080"/>
        <v>21893.732811722453</v>
      </c>
      <c r="BQ131" s="161">
        <f t="shared" si="1080"/>
        <v>21899.346373333334</v>
      </c>
      <c r="BR131" s="161">
        <f t="shared" si="1080"/>
        <v>28511.016568394014</v>
      </c>
      <c r="BS131" s="161">
        <f t="shared" si="1080"/>
        <v>27859.63446666667</v>
      </c>
      <c r="BT131" s="161">
        <f t="shared" si="1080"/>
        <v>33325.848074601192</v>
      </c>
      <c r="BU131" s="161">
        <f t="shared" si="1080"/>
        <v>39449.273960000006</v>
      </c>
      <c r="BV131" s="161">
        <f t="shared" si="1080"/>
        <v>41018.372005094738</v>
      </c>
      <c r="BW131" s="161">
        <f t="shared" si="1080"/>
        <v>44066.215120000008</v>
      </c>
      <c r="BX131" s="161">
        <f t="shared" si="1080"/>
        <v>54048.09031477417</v>
      </c>
      <c r="BY131" s="161">
        <f t="shared" si="1080"/>
        <v>68569.768320000003</v>
      </c>
      <c r="BZ131" s="161">
        <f t="shared" si="1080"/>
        <v>78448.137028904835</v>
      </c>
      <c r="CA131" s="161">
        <f t="shared" si="1080"/>
        <v>96175.527000000002</v>
      </c>
      <c r="CB131" s="161">
        <f t="shared" si="1080"/>
        <v>108353.1574668667</v>
      </c>
      <c r="CC131" s="161">
        <f t="shared" si="1080"/>
        <v>116772.09587999999</v>
      </c>
      <c r="CD131" s="161">
        <f t="shared" si="1080"/>
        <v>167034.75932330592</v>
      </c>
      <c r="CE131" s="161">
        <f t="shared" ref="CE131:CF131" si="1081">+CE128+CE129</f>
        <v>184583.5674</v>
      </c>
      <c r="CF131" s="161">
        <f t="shared" si="1081"/>
        <v>190301.64811011174</v>
      </c>
      <c r="CG131" s="161">
        <f t="shared" ref="CG131:CH131" si="1082">+CG128+CG129</f>
        <v>181796.01980000001</v>
      </c>
      <c r="CH131" s="161">
        <f t="shared" si="1082"/>
        <v>141978.69427970107</v>
      </c>
      <c r="CI131" s="161">
        <f t="shared" ref="CI131:CJ131" si="1083">+CI128+CI129</f>
        <v>150185.22160000002</v>
      </c>
      <c r="CJ131" s="161">
        <f t="shared" si="1083"/>
        <v>147003.85059281619</v>
      </c>
      <c r="CK131" s="161">
        <f t="shared" ref="CK131:CL131" si="1084">+CK128+CK129</f>
        <v>145890.8567</v>
      </c>
      <c r="CL131" s="161">
        <f t="shared" si="1084"/>
        <v>126758.07048834737</v>
      </c>
      <c r="CM131" s="20">
        <f t="shared" ref="CM131:DA131" si="1085">+CM128+CM129</f>
        <v>118784.37534738315</v>
      </c>
      <c r="CN131" s="20">
        <f t="shared" si="1085"/>
        <v>114696.74191271461</v>
      </c>
      <c r="CO131" s="20">
        <f t="shared" si="1085"/>
        <v>126825.24725951614</v>
      </c>
      <c r="CP131" s="20">
        <f t="shared" si="1085"/>
        <v>139063.46068275877</v>
      </c>
      <c r="CQ131" s="20">
        <f t="shared" si="1085"/>
        <v>149224.79328287946</v>
      </c>
      <c r="CR131" s="20">
        <f t="shared" si="1085"/>
        <v>157403.59065652944</v>
      </c>
      <c r="CS131" s="20">
        <f t="shared" si="1085"/>
        <v>165016.06912877623</v>
      </c>
      <c r="CT131" s="20">
        <f t="shared" si="1085"/>
        <v>168666.98277209498</v>
      </c>
      <c r="CU131" s="20">
        <f t="shared" si="1085"/>
        <v>171598.11902847092</v>
      </c>
      <c r="CV131" s="20">
        <f t="shared" si="1085"/>
        <v>171645.24956796251</v>
      </c>
      <c r="CW131" s="20">
        <f t="shared" si="1085"/>
        <v>174169.38131088874</v>
      </c>
      <c r="CX131" s="20">
        <f t="shared" si="1085"/>
        <v>187531.90557772812</v>
      </c>
      <c r="CY131" s="20">
        <f t="shared" si="1085"/>
        <v>201641.93869202939</v>
      </c>
      <c r="CZ131" s="20">
        <f t="shared" si="1085"/>
        <v>210492.78319648228</v>
      </c>
      <c r="DA131" s="20">
        <f t="shared" si="1085"/>
        <v>219719.17293200723</v>
      </c>
      <c r="DB131"/>
      <c r="DD131" s="21"/>
    </row>
    <row r="132" spans="1:108" s="161" customFormat="1" hidden="1" outlineLevel="1" x14ac:dyDescent="0.25">
      <c r="A132" s="48" t="s">
        <v>13</v>
      </c>
      <c r="B132" s="161">
        <f t="shared" ref="B132:AE132" si="1086">+B48</f>
        <v>0</v>
      </c>
      <c r="C132" s="161">
        <f t="shared" si="1086"/>
        <v>0</v>
      </c>
      <c r="D132" s="161">
        <f t="shared" si="1086"/>
        <v>0</v>
      </c>
      <c r="E132" s="161">
        <f t="shared" si="1086"/>
        <v>0</v>
      </c>
      <c r="F132" s="161">
        <f t="shared" si="1086"/>
        <v>61.175458699999979</v>
      </c>
      <c r="G132" s="161">
        <f t="shared" si="1086"/>
        <v>55.275756500000057</v>
      </c>
      <c r="H132" s="161">
        <f t="shared" si="1086"/>
        <v>54.498528700000037</v>
      </c>
      <c r="I132" s="161">
        <f t="shared" si="1086"/>
        <v>59.218150399999999</v>
      </c>
      <c r="J132" s="161">
        <f t="shared" si="1086"/>
        <v>67.323799699999938</v>
      </c>
      <c r="K132" s="161">
        <f t="shared" si="1086"/>
        <v>90.900891500000085</v>
      </c>
      <c r="L132" s="161">
        <f t="shared" si="1086"/>
        <v>120.49912449999999</v>
      </c>
      <c r="M132" s="161">
        <f t="shared" si="1086"/>
        <v>139.6640000000001</v>
      </c>
      <c r="N132" s="161">
        <f t="shared" si="1086"/>
        <v>228.45599999999979</v>
      </c>
      <c r="O132" s="161">
        <f t="shared" si="1086"/>
        <v>292.56900000000007</v>
      </c>
      <c r="P132" s="161">
        <f t="shared" si="1086"/>
        <v>386.50100000000009</v>
      </c>
      <c r="Q132" s="161">
        <f t="shared" si="1086"/>
        <v>638.43599999999992</v>
      </c>
      <c r="R132" s="161">
        <f t="shared" si="1086"/>
        <v>798.17500000000041</v>
      </c>
      <c r="S132" s="161">
        <f t="shared" si="1086"/>
        <v>838.3250000000005</v>
      </c>
      <c r="T132" s="161">
        <f t="shared" si="1086"/>
        <v>1016.827</v>
      </c>
      <c r="U132" s="161">
        <f t="shared" si="1086"/>
        <v>1462.3199999999988</v>
      </c>
      <c r="V132" s="161">
        <f t="shared" si="1086"/>
        <v>1214.5039999999999</v>
      </c>
      <c r="W132" s="161">
        <f t="shared" si="1086"/>
        <v>1676.9129999999996</v>
      </c>
      <c r="X132" s="161">
        <f t="shared" si="1086"/>
        <v>2806.0699999999997</v>
      </c>
      <c r="Y132" s="161">
        <f t="shared" si="1086"/>
        <v>3632.9810000000025</v>
      </c>
      <c r="Z132" s="161">
        <f t="shared" si="1086"/>
        <v>4743.5429999999997</v>
      </c>
      <c r="AA132" s="20">
        <f t="shared" si="1086"/>
        <v>5049.3689999999933</v>
      </c>
      <c r="AB132" s="20">
        <f t="shared" si="1086"/>
        <v>5722.5170971687894</v>
      </c>
      <c r="AC132" s="20">
        <f t="shared" si="1086"/>
        <v>6890.1598916206312</v>
      </c>
      <c r="AD132" s="20">
        <f t="shared" si="1086"/>
        <v>7250.6543395674234</v>
      </c>
      <c r="AE132" s="20">
        <f t="shared" si="1086"/>
        <v>8690.0656465610991</v>
      </c>
      <c r="AL132" s="161">
        <f t="shared" ref="AL132:BQ132" si="1087">+SUM(AI48:AL48)</f>
        <v>0</v>
      </c>
      <c r="AM132" s="161">
        <f t="shared" si="1087"/>
        <v>0</v>
      </c>
      <c r="AN132" s="161">
        <f t="shared" si="1087"/>
        <v>0</v>
      </c>
      <c r="AO132" s="161">
        <f t="shared" si="1087"/>
        <v>0</v>
      </c>
      <c r="AP132" s="161">
        <f t="shared" si="1087"/>
        <v>0</v>
      </c>
      <c r="AQ132" s="161">
        <f t="shared" si="1087"/>
        <v>0</v>
      </c>
      <c r="AR132" s="161">
        <f t="shared" si="1087"/>
        <v>0</v>
      </c>
      <c r="AS132" s="161">
        <f t="shared" si="1087"/>
        <v>0</v>
      </c>
      <c r="AT132" s="161">
        <f t="shared" si="1087"/>
        <v>0</v>
      </c>
      <c r="AU132" s="161">
        <f t="shared" si="1087"/>
        <v>0</v>
      </c>
      <c r="AV132" s="161">
        <f t="shared" si="1087"/>
        <v>0</v>
      </c>
      <c r="AW132" s="161">
        <f t="shared" si="1087"/>
        <v>3.2979999999999734</v>
      </c>
      <c r="AX132" s="161">
        <f t="shared" si="1087"/>
        <v>122.76099999999988</v>
      </c>
      <c r="AY132" s="161">
        <f t="shared" si="1087"/>
        <v>588.40499999999997</v>
      </c>
      <c r="AZ132" s="161">
        <f t="shared" si="1087"/>
        <v>762.95900000000006</v>
      </c>
      <c r="BA132" s="161">
        <f t="shared" si="1087"/>
        <v>785.85500000000002</v>
      </c>
      <c r="BB132" s="161">
        <f t="shared" si="1087"/>
        <v>803.62799999999993</v>
      </c>
      <c r="BC132" s="161">
        <f t="shared" si="1087"/>
        <v>818.48399999999992</v>
      </c>
      <c r="BD132" s="161">
        <f t="shared" si="1087"/>
        <v>829.37099999999975</v>
      </c>
      <c r="BE132" s="161">
        <f t="shared" si="1087"/>
        <v>825.79199999999969</v>
      </c>
      <c r="BF132" s="161">
        <f t="shared" si="1087"/>
        <v>861.24999999999977</v>
      </c>
      <c r="BG132" s="161">
        <f t="shared" si="1087"/>
        <v>955.6080000000004</v>
      </c>
      <c r="BH132" s="161">
        <f t="shared" si="1087"/>
        <v>981.40800000000058</v>
      </c>
      <c r="BI132" s="161">
        <f t="shared" si="1087"/>
        <v>1006.5870000000003</v>
      </c>
      <c r="BJ132" s="161">
        <f t="shared" si="1087"/>
        <v>1052.2680000000005</v>
      </c>
      <c r="BK132" s="161">
        <f t="shared" si="1087"/>
        <v>1265.2879999999998</v>
      </c>
      <c r="BL132" s="161">
        <f t="shared" si="1087"/>
        <v>1379.7089999999996</v>
      </c>
      <c r="BM132" s="161">
        <f t="shared" si="1087"/>
        <v>1447.6529999999998</v>
      </c>
      <c r="BN132" s="161">
        <f t="shared" si="1087"/>
        <v>1500.4339999999997</v>
      </c>
      <c r="BO132" s="161">
        <f t="shared" si="1087"/>
        <v>1090.2529999999997</v>
      </c>
      <c r="BP132" s="161">
        <f t="shared" si="1087"/>
        <v>1145.3809999999999</v>
      </c>
      <c r="BQ132" s="161">
        <f t="shared" si="1087"/>
        <v>1201.8679999999993</v>
      </c>
      <c r="BR132" s="161">
        <f t="shared" ref="BR132:CW132" si="1088">+SUM(BO48:BR48)</f>
        <v>1312.3339999999994</v>
      </c>
      <c r="BS132" s="161">
        <f t="shared" si="1088"/>
        <v>1505.4369999999994</v>
      </c>
      <c r="BT132" s="161">
        <f t="shared" si="1088"/>
        <v>1619.3019999999997</v>
      </c>
      <c r="BU132" s="161">
        <f t="shared" si="1088"/>
        <v>1654.6450000000004</v>
      </c>
      <c r="BV132" s="161">
        <f t="shared" si="1088"/>
        <v>1804.0199999999995</v>
      </c>
      <c r="BW132" s="161">
        <f t="shared" si="1088"/>
        <v>2483.837</v>
      </c>
      <c r="BX132" s="161">
        <f t="shared" si="1088"/>
        <v>2688.1679999999997</v>
      </c>
      <c r="BY132" s="161">
        <f t="shared" si="1088"/>
        <v>2788.1049999999996</v>
      </c>
      <c r="BZ132" s="161">
        <f t="shared" si="1088"/>
        <v>3055.1460000000006</v>
      </c>
      <c r="CA132" s="161">
        <f t="shared" si="1088"/>
        <v>3315.5490000000009</v>
      </c>
      <c r="CB132" s="161">
        <f t="shared" si="1088"/>
        <v>3498.7030000000013</v>
      </c>
      <c r="CC132" s="161">
        <f t="shared" si="1088"/>
        <v>3609.4850000000006</v>
      </c>
      <c r="CD132" s="161">
        <f t="shared" si="1088"/>
        <v>3800.2079999999987</v>
      </c>
      <c r="CE132" s="161">
        <f t="shared" si="1088"/>
        <v>4280.404999999997</v>
      </c>
      <c r="CF132" s="161">
        <f t="shared" si="1088"/>
        <v>4549.386999999997</v>
      </c>
      <c r="CG132" s="161">
        <f t="shared" si="1088"/>
        <v>4711.0709999999981</v>
      </c>
      <c r="CH132" s="161">
        <f t="shared" si="1088"/>
        <v>4986.2739999999985</v>
      </c>
      <c r="CI132" s="161">
        <f t="shared" si="1088"/>
        <v>4993.83</v>
      </c>
      <c r="CJ132" s="161">
        <f t="shared" si="1088"/>
        <v>4990.0840000000007</v>
      </c>
      <c r="CK132" s="161">
        <f t="shared" ref="CK132" si="1089">+SUM(CH48:CK48)</f>
        <v>5049.3690000000006</v>
      </c>
      <c r="CL132" s="161">
        <f t="shared" ref="CL132" si="1090">+SUM(CI48:CL48)</f>
        <v>5314.3320000000012</v>
      </c>
      <c r="CM132" s="20">
        <f t="shared" si="1088"/>
        <v>5164.4713051041335</v>
      </c>
      <c r="CN132" s="20">
        <f t="shared" si="1088"/>
        <v>5273.4554165921045</v>
      </c>
      <c r="CO132" s="20">
        <f t="shared" si="1088"/>
        <v>5722.5170971687921</v>
      </c>
      <c r="CP132" s="20">
        <f t="shared" si="1088"/>
        <v>6047.7741416784338</v>
      </c>
      <c r="CQ132" s="20">
        <f t="shared" si="1088"/>
        <v>6368.9268967770822</v>
      </c>
      <c r="CR132" s="20">
        <f t="shared" si="1088"/>
        <v>6664.705772455869</v>
      </c>
      <c r="CS132" s="20">
        <f t="shared" si="1088"/>
        <v>6890.1598916206322</v>
      </c>
      <c r="CT132" s="20">
        <f t="shared" si="1088"/>
        <v>6987.6413709544031</v>
      </c>
      <c r="CU132" s="20">
        <f t="shared" si="1088"/>
        <v>7085.6799139551476</v>
      </c>
      <c r="CV132" s="20">
        <f t="shared" si="1088"/>
        <v>7141.930073767765</v>
      </c>
      <c r="CW132" s="20">
        <f t="shared" si="1088"/>
        <v>7250.6543395674234</v>
      </c>
      <c r="CX132" s="20">
        <f t="shared" ref="CX132:DA132" si="1091">+SUM(CU48:CX48)</f>
        <v>7622.2877201278843</v>
      </c>
      <c r="CY132" s="20">
        <f t="shared" si="1091"/>
        <v>8066.8256549387079</v>
      </c>
      <c r="CZ132" s="20">
        <f t="shared" si="1091"/>
        <v>8397.9880822894575</v>
      </c>
      <c r="DA132" s="20">
        <f t="shared" si="1091"/>
        <v>8690.0656465610955</v>
      </c>
      <c r="DB132"/>
      <c r="DD132" s="21"/>
    </row>
    <row r="133" spans="1:108" s="161" customFormat="1" hidden="1" outlineLevel="1" x14ac:dyDescent="0.25">
      <c r="A133" s="48" t="s">
        <v>343</v>
      </c>
      <c r="B133" s="161" t="e">
        <f>+B130/B132</f>
        <v>#DIV/0!</v>
      </c>
      <c r="C133" s="161" t="e">
        <f t="shared" ref="C133:W133" si="1092">+C130/C132</f>
        <v>#DIV/0!</v>
      </c>
      <c r="D133" s="161" t="e">
        <f t="shared" si="1092"/>
        <v>#DIV/0!</v>
      </c>
      <c r="E133" s="161" t="e">
        <f t="shared" si="1092"/>
        <v>#DIV/0!</v>
      </c>
      <c r="F133" s="161">
        <f t="shared" si="1092"/>
        <v>2.7581402818316758</v>
      </c>
      <c r="G133" s="161">
        <f t="shared" si="1092"/>
        <v>2.5336032424992654</v>
      </c>
      <c r="H133" s="161">
        <f t="shared" si="1092"/>
        <v>2.1748616288791647</v>
      </c>
      <c r="I133" s="161">
        <f t="shared" si="1092"/>
        <v>2.0868519223457542</v>
      </c>
      <c r="J133" s="161">
        <f t="shared" si="1092"/>
        <v>3.4635895692025271</v>
      </c>
      <c r="K133" s="161">
        <f t="shared" si="1092"/>
        <v>4.1820411794311134</v>
      </c>
      <c r="L133" s="161">
        <f t="shared" si="1092"/>
        <v>4.4501533187488018</v>
      </c>
      <c r="M133" s="161">
        <f t="shared" si="1092"/>
        <v>6.3358130942834183</v>
      </c>
      <c r="N133" s="161">
        <f t="shared" si="1092"/>
        <v>8.3247146058759753</v>
      </c>
      <c r="O133" s="161">
        <f t="shared" si="1092"/>
        <v>7.795596936107378</v>
      </c>
      <c r="P133" s="161">
        <f t="shared" si="1092"/>
        <v>5.3788373121932391</v>
      </c>
      <c r="Q133" s="161">
        <f t="shared" si="1092"/>
        <v>3.1628401280629537</v>
      </c>
      <c r="R133" s="161">
        <f t="shared" si="1092"/>
        <v>14.520008686482692</v>
      </c>
      <c r="S133" s="161">
        <f t="shared" si="1092"/>
        <v>18.949929267686528</v>
      </c>
      <c r="T133" s="161">
        <f t="shared" si="1092"/>
        <v>19.403578714307674</v>
      </c>
      <c r="U133" s="161">
        <f t="shared" si="1092"/>
        <v>18.435321840180915</v>
      </c>
      <c r="V133" s="161">
        <f t="shared" si="1092"/>
        <v>27.222704006464099</v>
      </c>
      <c r="W133" s="161">
        <f t="shared" si="1092"/>
        <v>29.221411605730299</v>
      </c>
      <c r="X133" s="161">
        <f t="shared" ref="X133:Y133" si="1093">+X130/X132</f>
        <v>35.735433504866236</v>
      </c>
      <c r="Y133" s="161">
        <f t="shared" si="1093"/>
        <v>52.707968114889624</v>
      </c>
      <c r="Z133" s="161">
        <f t="shared" ref="Z133" si="1094">+Z130/Z132</f>
        <v>48.667670131798118</v>
      </c>
      <c r="AA133" s="20">
        <f t="shared" ref="AA133:AD133" si="1095">+AA130/AA132</f>
        <v>44.460064841765437</v>
      </c>
      <c r="AB133" s="20">
        <f t="shared" si="1095"/>
        <v>30.067383600990624</v>
      </c>
      <c r="AC133" s="20">
        <f t="shared" si="1095"/>
        <v>32.59245257503629</v>
      </c>
      <c r="AD133" s="20">
        <f t="shared" si="1095"/>
        <v>32.8590193952124</v>
      </c>
      <c r="AE133" s="20">
        <f t="shared" ref="AE133" si="1096">+AE130/AE132</f>
        <v>34.650963550770122</v>
      </c>
      <c r="AL133" s="161" t="e">
        <f t="shared" ref="AL133" si="1097">+AL130/AL132</f>
        <v>#DIV/0!</v>
      </c>
      <c r="AM133" s="161" t="e">
        <f t="shared" ref="AM133:AO133" si="1098">+AM130/AM132</f>
        <v>#DIV/0!</v>
      </c>
      <c r="AN133" s="161" t="e">
        <f t="shared" si="1098"/>
        <v>#DIV/0!</v>
      </c>
      <c r="AO133" s="161" t="e">
        <f t="shared" si="1098"/>
        <v>#DIV/0!</v>
      </c>
      <c r="AP133" s="161" t="e">
        <f t="shared" ref="AP133:CD133" si="1099">+AP130/AP132</f>
        <v>#DIV/0!</v>
      </c>
      <c r="AQ133" s="161" t="e">
        <f t="shared" si="1099"/>
        <v>#DIV/0!</v>
      </c>
      <c r="AR133" s="161" t="e">
        <f t="shared" si="1099"/>
        <v>#DIV/0!</v>
      </c>
      <c r="AS133" s="161" t="e">
        <f t="shared" si="1099"/>
        <v>#DIV/0!</v>
      </c>
      <c r="AT133" s="161" t="e">
        <f t="shared" si="1099"/>
        <v>#DIV/0!</v>
      </c>
      <c r="AU133" s="161" t="e">
        <f t="shared" si="1099"/>
        <v>#DIV/0!</v>
      </c>
      <c r="AV133" s="161" t="e">
        <f t="shared" si="1099"/>
        <v>#DIV/0!</v>
      </c>
      <c r="AW133" s="161">
        <f t="shared" si="1099"/>
        <v>537.85839902971929</v>
      </c>
      <c r="AX133" s="161">
        <f t="shared" si="1099"/>
        <v>18.240010011891108</v>
      </c>
      <c r="AY133" s="161">
        <f t="shared" si="1099"/>
        <v>0</v>
      </c>
      <c r="AZ133" s="161">
        <f t="shared" si="1099"/>
        <v>-1.350400218098231E-2</v>
      </c>
      <c r="BA133" s="161">
        <f t="shared" si="1099"/>
        <v>13.669911285584911</v>
      </c>
      <c r="BB133" s="161">
        <f t="shared" si="1099"/>
        <v>12.395255014779964</v>
      </c>
      <c r="BC133" s="161">
        <f t="shared" si="1099"/>
        <v>15.677479828561111</v>
      </c>
      <c r="BD133" s="161">
        <f t="shared" si="1099"/>
        <v>15.541205106238516</v>
      </c>
      <c r="BE133" s="161">
        <f t="shared" si="1099"/>
        <v>18.49945082216021</v>
      </c>
      <c r="BF133" s="161">
        <f t="shared" si="1099"/>
        <v>20.433080954068107</v>
      </c>
      <c r="BG133" s="161">
        <f t="shared" si="1099"/>
        <v>18.417331025553025</v>
      </c>
      <c r="BH133" s="161">
        <f t="shared" si="1099"/>
        <v>18.948730474429297</v>
      </c>
      <c r="BI133" s="161">
        <f t="shared" si="1099"/>
        <v>19.001782335312829</v>
      </c>
      <c r="BJ133" s="161">
        <f t="shared" si="1099"/>
        <v>19.100425798936637</v>
      </c>
      <c r="BK133" s="161">
        <f t="shared" si="1099"/>
        <v>17.704043980500895</v>
      </c>
      <c r="BL133" s="161">
        <f t="shared" si="1099"/>
        <v>16.950266564369461</v>
      </c>
      <c r="BM133" s="161">
        <f t="shared" si="1099"/>
        <v>18.210683315223562</v>
      </c>
      <c r="BN133" s="161">
        <f t="shared" si="1099"/>
        <v>19.295764510657765</v>
      </c>
      <c r="BO133" s="161">
        <f t="shared" si="1099"/>
        <v>22.276106873053035</v>
      </c>
      <c r="BP133" s="161">
        <f t="shared" si="1099"/>
        <v>22.658036768308939</v>
      </c>
      <c r="BQ133" s="161">
        <f t="shared" si="1099"/>
        <v>27.07305709667509</v>
      </c>
      <c r="BR133" s="161">
        <f t="shared" si="1099"/>
        <v>27.242620518146069</v>
      </c>
      <c r="BS133" s="161">
        <f t="shared" si="1099"/>
        <v>28.568322075251253</v>
      </c>
      <c r="BT133" s="161">
        <f t="shared" si="1099"/>
        <v>27.386199976657274</v>
      </c>
      <c r="BU133" s="161">
        <f t="shared" si="1099"/>
        <v>29.613560008340151</v>
      </c>
      <c r="BV133" s="161">
        <f t="shared" si="1099"/>
        <v>27.215190033976636</v>
      </c>
      <c r="BW133" s="161">
        <f t="shared" si="1099"/>
        <v>22.761357383757474</v>
      </c>
      <c r="BX133" s="161">
        <f t="shared" si="1099"/>
        <v>30.531720054242957</v>
      </c>
      <c r="BY133" s="161">
        <f t="shared" si="1099"/>
        <v>35.964305992780055</v>
      </c>
      <c r="BZ133" s="161">
        <f t="shared" si="1099"/>
        <v>32.201868345704199</v>
      </c>
      <c r="CA133" s="161">
        <f t="shared" si="1099"/>
        <v>36.599505927977532</v>
      </c>
      <c r="CB133" s="161">
        <f t="shared" si="1099"/>
        <v>38.47638934395593</v>
      </c>
      <c r="CC133" s="161">
        <f t="shared" si="1099"/>
        <v>53.049006237731959</v>
      </c>
      <c r="CD133" s="161">
        <f t="shared" si="1099"/>
        <v>56.915206947437085</v>
      </c>
      <c r="CE133" s="161">
        <f t="shared" ref="CE133:CF133" si="1100">+CE130/CE132</f>
        <v>54.269691554887956</v>
      </c>
      <c r="CF133" s="161">
        <f t="shared" si="1100"/>
        <v>51.735076209192997</v>
      </c>
      <c r="CG133" s="161">
        <f t="shared" ref="CG133:CH133" si="1101">+CG130/CG132</f>
        <v>47.483577343665623</v>
      </c>
      <c r="CH133" s="161">
        <f t="shared" si="1101"/>
        <v>45.043649241838935</v>
      </c>
      <c r="CI133" s="161">
        <f t="shared" ref="CI133:CJ133" si="1102">+CI130/CI132</f>
        <v>38.397284248762979</v>
      </c>
      <c r="CJ133" s="161">
        <f t="shared" si="1102"/>
        <v>35.755361832148751</v>
      </c>
      <c r="CK133" s="161">
        <f t="shared" ref="CK133:CL133" si="1103">+CK130/CK132</f>
        <v>33.547892261389492</v>
      </c>
      <c r="CL133" s="161">
        <f t="shared" si="1103"/>
        <v>32.173180488789058</v>
      </c>
      <c r="CM133" s="20">
        <f t="shared" ref="CM133:DA133" si="1104">+CM130/CM132</f>
        <v>31.058887774773343</v>
      </c>
      <c r="CN133" s="20">
        <f t="shared" si="1104"/>
        <v>29.485651905791862</v>
      </c>
      <c r="CO133" s="20">
        <f t="shared" si="1104"/>
        <v>30.06738360099061</v>
      </c>
      <c r="CP133" s="20">
        <f t="shared" si="1104"/>
        <v>31.147758789206712</v>
      </c>
      <c r="CQ133" s="20">
        <f t="shared" si="1104"/>
        <v>31.755949743230016</v>
      </c>
      <c r="CR133" s="20">
        <f t="shared" si="1104"/>
        <v>32.105018800005837</v>
      </c>
      <c r="CS133" s="20">
        <f t="shared" si="1104"/>
        <v>32.592452575036283</v>
      </c>
      <c r="CT133" s="20">
        <f t="shared" si="1104"/>
        <v>32.831563818867089</v>
      </c>
      <c r="CU133" s="20">
        <f t="shared" si="1104"/>
        <v>32.967137684626302</v>
      </c>
      <c r="CV133" s="20">
        <f t="shared" si="1104"/>
        <v>32.82652291887986</v>
      </c>
      <c r="CW133" s="20">
        <f t="shared" si="1104"/>
        <v>32.8590193952124</v>
      </c>
      <c r="CX133" s="20">
        <f t="shared" si="1104"/>
        <v>33.592228960782151</v>
      </c>
      <c r="CY133" s="20">
        <f t="shared" si="1104"/>
        <v>34.130445969763962</v>
      </c>
      <c r="CZ133" s="20">
        <f t="shared" si="1104"/>
        <v>34.316930749449092</v>
      </c>
      <c r="DA133" s="20">
        <f t="shared" si="1104"/>
        <v>34.650963550770136</v>
      </c>
      <c r="DB133"/>
      <c r="DD133" s="21"/>
    </row>
    <row r="134" spans="1:108" s="161" customFormat="1" hidden="1" outlineLevel="1" x14ac:dyDescent="0.25">
      <c r="A134" s="48" t="s">
        <v>344</v>
      </c>
      <c r="B134" s="161" t="e">
        <f>+B131/B132</f>
        <v>#DIV/0!</v>
      </c>
      <c r="C134" s="161" t="e">
        <f t="shared" ref="C134:W134" si="1105">+C131/C132</f>
        <v>#DIV/0!</v>
      </c>
      <c r="D134" s="161" t="e">
        <f t="shared" si="1105"/>
        <v>#DIV/0!</v>
      </c>
      <c r="E134" s="161" t="e">
        <f t="shared" si="1105"/>
        <v>#DIV/0!</v>
      </c>
      <c r="F134" s="161">
        <f t="shared" si="1105"/>
        <v>2.7581402818316758</v>
      </c>
      <c r="G134" s="161">
        <f t="shared" si="1105"/>
        <v>2.5336032424992654</v>
      </c>
      <c r="H134" s="161">
        <f t="shared" si="1105"/>
        <v>2.1748616288791647</v>
      </c>
      <c r="I134" s="161">
        <f t="shared" si="1105"/>
        <v>2.0868519223457542</v>
      </c>
      <c r="J134" s="161">
        <f t="shared" si="1105"/>
        <v>3.4635895692025271</v>
      </c>
      <c r="K134" s="161">
        <f t="shared" si="1105"/>
        <v>4.1820411794311134</v>
      </c>
      <c r="L134" s="161">
        <f t="shared" si="1105"/>
        <v>4.4501533187488018</v>
      </c>
      <c r="M134" s="161">
        <f t="shared" si="1105"/>
        <v>6.3358130942834183</v>
      </c>
      <c r="N134" s="161">
        <f t="shared" si="1105"/>
        <v>8.3247146058759753</v>
      </c>
      <c r="O134" s="161">
        <f t="shared" si="1105"/>
        <v>7.795596936107378</v>
      </c>
      <c r="P134" s="161">
        <f t="shared" si="1105"/>
        <v>5.3788373121932391</v>
      </c>
      <c r="Q134" s="161">
        <f t="shared" si="1105"/>
        <v>3.1628401280629537</v>
      </c>
      <c r="R134" s="161">
        <f t="shared" si="1105"/>
        <v>11.356169177603048</v>
      </c>
      <c r="S134" s="161">
        <f t="shared" si="1105"/>
        <v>11.211152794759377</v>
      </c>
      <c r="T134" s="161">
        <f t="shared" si="1105"/>
        <v>14.353779892416972</v>
      </c>
      <c r="U134" s="161">
        <f t="shared" si="1105"/>
        <v>12.429849149904882</v>
      </c>
      <c r="V134" s="161">
        <f t="shared" si="1105"/>
        <v>14.49823424761605</v>
      </c>
      <c r="W134" s="161">
        <f t="shared" si="1105"/>
        <v>17.120265034620168</v>
      </c>
      <c r="X134" s="161">
        <f t="shared" ref="X134:Y134" si="1106">+X131/X132</f>
        <v>14.647484349998438</v>
      </c>
      <c r="Y134" s="161">
        <f t="shared" si="1106"/>
        <v>21.78393308415319</v>
      </c>
      <c r="Z134" s="161">
        <f t="shared" ref="Z134" si="1107">+Z131/Z132</f>
        <v>34.097022533578809</v>
      </c>
      <c r="AA134" s="20">
        <f t="shared" ref="AA134:AD134" si="1108">+AA131/AA132</f>
        <v>28.096717094749895</v>
      </c>
      <c r="AB134" s="20">
        <f t="shared" si="1108"/>
        <v>19.9009221949702</v>
      </c>
      <c r="AC134" s="20">
        <f t="shared" si="1108"/>
        <v>19.618872214530956</v>
      </c>
      <c r="AD134" s="20">
        <f t="shared" si="1108"/>
        <v>22.682181531958353</v>
      </c>
      <c r="AE134" s="20">
        <f t="shared" ref="AE134" si="1109">+AE131/AE132</f>
        <v>20.964266147092456</v>
      </c>
      <c r="AL134" s="161" t="e">
        <f t="shared" ref="AL134:AM134" si="1110">+AL131/AL132</f>
        <v>#DIV/0!</v>
      </c>
      <c r="AM134" s="161" t="e">
        <f t="shared" si="1110"/>
        <v>#DIV/0!</v>
      </c>
      <c r="AN134" s="161" t="e">
        <f t="shared" ref="AN134:AO134" si="1111">+AN131/AN132</f>
        <v>#DIV/0!</v>
      </c>
      <c r="AO134" s="161" t="e">
        <f t="shared" si="1111"/>
        <v>#DIV/0!</v>
      </c>
      <c r="AP134" s="161" t="e">
        <f t="shared" ref="AP134:CD134" si="1112">+AP131/AP132</f>
        <v>#DIV/0!</v>
      </c>
      <c r="AQ134" s="161" t="e">
        <f t="shared" si="1112"/>
        <v>#DIV/0!</v>
      </c>
      <c r="AR134" s="161" t="e">
        <f t="shared" si="1112"/>
        <v>#DIV/0!</v>
      </c>
      <c r="AS134" s="161" t="e">
        <f t="shared" si="1112"/>
        <v>#DIV/0!</v>
      </c>
      <c r="AT134" s="161" t="e">
        <f t="shared" si="1112"/>
        <v>#DIV/0!</v>
      </c>
      <c r="AU134" s="161" t="e">
        <f t="shared" si="1112"/>
        <v>#DIV/0!</v>
      </c>
      <c r="AV134" s="161" t="e">
        <f t="shared" si="1112"/>
        <v>#DIV/0!</v>
      </c>
      <c r="AW134" s="161">
        <f t="shared" si="1112"/>
        <v>537.85839902971929</v>
      </c>
      <c r="AX134" s="161">
        <f t="shared" si="1112"/>
        <v>18.240010011891108</v>
      </c>
      <c r="AY134" s="161">
        <f t="shared" si="1112"/>
        <v>0</v>
      </c>
      <c r="AZ134" s="161">
        <f t="shared" si="1112"/>
        <v>-1.350400218098231E-2</v>
      </c>
      <c r="BA134" s="161">
        <f t="shared" si="1112"/>
        <v>1.658247386604399</v>
      </c>
      <c r="BB134" s="161">
        <f t="shared" si="1112"/>
        <v>10.471252853470373</v>
      </c>
      <c r="BC134" s="161">
        <f t="shared" si="1112"/>
        <v>11.823413193714792</v>
      </c>
      <c r="BD134" s="161">
        <f t="shared" si="1112"/>
        <v>13.315664771052807</v>
      </c>
      <c r="BE134" s="161">
        <f t="shared" si="1112"/>
        <v>14.156491949546623</v>
      </c>
      <c r="BF134" s="161">
        <f t="shared" si="1112"/>
        <v>16.506276890207442</v>
      </c>
      <c r="BG134" s="161">
        <f t="shared" si="1112"/>
        <v>15.013535773385463</v>
      </c>
      <c r="BH134" s="161">
        <f t="shared" si="1112"/>
        <v>15.295429674852446</v>
      </c>
      <c r="BI134" s="161">
        <f t="shared" si="1112"/>
        <v>15.840058989215819</v>
      </c>
      <c r="BJ134" s="161">
        <f t="shared" si="1112"/>
        <v>16.556864467074824</v>
      </c>
      <c r="BK134" s="161">
        <f t="shared" si="1112"/>
        <v>15.058885074210608</v>
      </c>
      <c r="BL134" s="161">
        <f t="shared" si="1112"/>
        <v>14.621069939090752</v>
      </c>
      <c r="BM134" s="161">
        <f t="shared" si="1112"/>
        <v>14.11564112854853</v>
      </c>
      <c r="BN134" s="161">
        <f t="shared" si="1112"/>
        <v>11.584120759583085</v>
      </c>
      <c r="BO134" s="161">
        <f t="shared" si="1112"/>
        <v>15.759158800755436</v>
      </c>
      <c r="BP134" s="161">
        <f t="shared" si="1112"/>
        <v>19.114803555954268</v>
      </c>
      <c r="BQ134" s="161">
        <f t="shared" si="1112"/>
        <v>18.221091145894015</v>
      </c>
      <c r="BR134" s="161">
        <f t="shared" si="1112"/>
        <v>21.725427039453393</v>
      </c>
      <c r="BS134" s="161">
        <f t="shared" si="1112"/>
        <v>18.506011521350068</v>
      </c>
      <c r="BT134" s="161">
        <f t="shared" si="1112"/>
        <v>20.580378505430858</v>
      </c>
      <c r="BU134" s="161">
        <f t="shared" si="1112"/>
        <v>23.841533356097528</v>
      </c>
      <c r="BV134" s="161">
        <f t="shared" si="1112"/>
        <v>22.737204690133563</v>
      </c>
      <c r="BW134" s="161">
        <f t="shared" si="1112"/>
        <v>17.741186366094073</v>
      </c>
      <c r="BX134" s="161">
        <f t="shared" si="1112"/>
        <v>20.105919836399426</v>
      </c>
      <c r="BY134" s="161">
        <f t="shared" si="1112"/>
        <v>24.593682203503818</v>
      </c>
      <c r="BZ134" s="161">
        <f t="shared" si="1112"/>
        <v>25.677377457216387</v>
      </c>
      <c r="CA134" s="161">
        <f t="shared" si="1112"/>
        <v>29.007421395370713</v>
      </c>
      <c r="CB134" s="161">
        <f t="shared" si="1112"/>
        <v>30.969521410324528</v>
      </c>
      <c r="CC134" s="161">
        <f t="shared" si="1112"/>
        <v>32.351456199430103</v>
      </c>
      <c r="CD134" s="161">
        <f t="shared" si="1112"/>
        <v>43.954109702233659</v>
      </c>
      <c r="CE134" s="161">
        <f t="shared" ref="CE134:CF134" si="1113">+CE131/CE132</f>
        <v>43.122921172178827</v>
      </c>
      <c r="CF134" s="161">
        <f t="shared" si="1113"/>
        <v>41.830173627812243</v>
      </c>
      <c r="CG134" s="161">
        <f t="shared" ref="CG134:CH134" si="1114">+CG131/CG132</f>
        <v>38.589106341212023</v>
      </c>
      <c r="CH134" s="161">
        <f t="shared" si="1114"/>
        <v>28.473905421102231</v>
      </c>
      <c r="CI134" s="161">
        <f t="shared" ref="CI134:CJ134" si="1115">+CI131/CI132</f>
        <v>30.074155828292117</v>
      </c>
      <c r="CJ134" s="161">
        <f t="shared" si="1115"/>
        <v>29.459193591293488</v>
      </c>
      <c r="CK134" s="161">
        <f t="shared" ref="CK134:CL134" si="1116">+CK131/CK132</f>
        <v>28.892888735206316</v>
      </c>
      <c r="CL134" s="161">
        <f t="shared" si="1116"/>
        <v>23.85211734764545</v>
      </c>
      <c r="CM134" s="20">
        <f t="shared" ref="CM134:DA134" si="1117">+CM131/CM132</f>
        <v>23.000297286962667</v>
      </c>
      <c r="CN134" s="20">
        <f t="shared" si="1117"/>
        <v>21.749826793232995</v>
      </c>
      <c r="CO134" s="20">
        <f t="shared" si="1117"/>
        <v>22.162493375906692</v>
      </c>
      <c r="CP134" s="20">
        <f t="shared" si="1117"/>
        <v>22.994155771194954</v>
      </c>
      <c r="CQ134" s="20">
        <f t="shared" si="1117"/>
        <v>23.430131276650837</v>
      </c>
      <c r="CR134" s="20">
        <f t="shared" si="1117"/>
        <v>23.617485307011233</v>
      </c>
      <c r="CS134" s="20">
        <f t="shared" si="1117"/>
        <v>23.949526821497731</v>
      </c>
      <c r="CT134" s="20">
        <f t="shared" si="1117"/>
        <v>24.137899159106055</v>
      </c>
      <c r="CU134" s="20">
        <f t="shared" si="1117"/>
        <v>24.217593951783062</v>
      </c>
      <c r="CV134" s="20">
        <f t="shared" si="1117"/>
        <v>24.033454233669094</v>
      </c>
      <c r="CW134" s="20">
        <f t="shared" si="1117"/>
        <v>24.021194936908238</v>
      </c>
      <c r="CX134" s="20">
        <f t="shared" si="1117"/>
        <v>24.603099812477527</v>
      </c>
      <c r="CY134" s="20">
        <f t="shared" si="1117"/>
        <v>24.996441886478515</v>
      </c>
      <c r="CZ134" s="20">
        <f t="shared" si="1117"/>
        <v>25.064668005470399</v>
      </c>
      <c r="DA134" s="20">
        <f t="shared" si="1117"/>
        <v>25.283948576263786</v>
      </c>
      <c r="DB134"/>
      <c r="DD134" s="21"/>
    </row>
    <row r="135" spans="1:108" s="10" customFormat="1" collapsed="1" x14ac:dyDescent="0.25">
      <c r="A135" s="148" t="s">
        <v>491</v>
      </c>
      <c r="AA135" s="19"/>
      <c r="AB135" s="19"/>
      <c r="AC135" s="19"/>
      <c r="AD135" s="19"/>
      <c r="AE135" s="19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/>
      <c r="DD135" s="125"/>
    </row>
    <row r="136" spans="1:108" x14ac:dyDescent="0.25">
      <c r="A136" s="151" t="s">
        <v>492</v>
      </c>
    </row>
    <row r="137" spans="1:108" s="22" customFormat="1" outlineLevel="1" x14ac:dyDescent="0.25">
      <c r="A137" s="22" t="s">
        <v>41</v>
      </c>
      <c r="B137" s="22">
        <f>'Annual Raw'!C41</f>
        <v>0</v>
      </c>
      <c r="C137" s="22">
        <f>'Annual Raw'!D41</f>
        <v>0</v>
      </c>
      <c r="D137" s="22">
        <f>'Annual Raw'!E41</f>
        <v>0</v>
      </c>
      <c r="E137" s="22">
        <f>'Annual Raw'!F41</f>
        <v>0</v>
      </c>
      <c r="F137" s="22">
        <f>'Annual Raw'!G41</f>
        <v>85.376350000000002</v>
      </c>
      <c r="G137" s="22">
        <f>'Annual Raw'!H41</f>
        <v>85.376350000000002</v>
      </c>
      <c r="H137" s="22">
        <f>'Annual Raw'!I41</f>
        <v>85.376350000000002</v>
      </c>
      <c r="I137" s="22">
        <f>'Annual Raw'!J41</f>
        <v>85.376350000000002</v>
      </c>
      <c r="J137" s="22">
        <f>'Annual Raw'!K41</f>
        <v>85.376350000000002</v>
      </c>
      <c r="K137" s="22">
        <f>'Annual Raw'!L41</f>
        <v>85.376350000000002</v>
      </c>
      <c r="L137" s="22">
        <f>'Annual Raw'!M41</f>
        <v>85.376350000000002</v>
      </c>
      <c r="M137" s="22">
        <f>'Annual Raw'!N41</f>
        <v>8</v>
      </c>
      <c r="N137" s="22">
        <f>'Annual Raw'!O41</f>
        <v>8</v>
      </c>
      <c r="O137" s="22">
        <f>'Annual Raw'!P41</f>
        <v>133.76599999999999</v>
      </c>
      <c r="P137" s="22">
        <f>'Annual Raw'!Q41</f>
        <v>333.76600000000002</v>
      </c>
      <c r="Q137" s="22">
        <f>'Annual Raw'!R41</f>
        <v>583.76599999999996</v>
      </c>
      <c r="R137" s="22">
        <f>'Annual Raw'!S41</f>
        <v>182.31299999999999</v>
      </c>
      <c r="S137" s="22">
        <f>'Annual Raw'!T41</f>
        <v>182.58699999999999</v>
      </c>
      <c r="T137" s="22">
        <f>'Annual Raw'!U41</f>
        <v>182.642</v>
      </c>
      <c r="U137" s="22">
        <f>'Annual Raw'!V41</f>
        <v>288.68900000000002</v>
      </c>
      <c r="V137" s="22">
        <f>'Annual Raw'!W41</f>
        <v>288.68900000000002</v>
      </c>
      <c r="W137" s="22">
        <f>'Annual Raw'!X41</f>
        <v>433.03300000000002</v>
      </c>
      <c r="X137" s="22">
        <f>'Annual Raw'!Y41</f>
        <v>649.54999999999995</v>
      </c>
      <c r="Y137" s="22">
        <f>'Annual Raw'!Z41</f>
        <v>649.60699999999997</v>
      </c>
      <c r="Z137" s="22">
        <f>'Annual Raw'!AA41</f>
        <v>676.30200000000002</v>
      </c>
      <c r="AA137" s="23">
        <f>+CK137</f>
        <v>676.39800000000002</v>
      </c>
      <c r="AB137" s="23">
        <f>+CO137</f>
        <v>676.39800000000002</v>
      </c>
      <c r="AC137" s="23">
        <f>+CS137</f>
        <v>676.39800000000002</v>
      </c>
      <c r="AD137" s="23">
        <f>+CW137</f>
        <v>676.39800000000002</v>
      </c>
      <c r="AE137" s="23">
        <f>+DA137</f>
        <v>676.39800000000002</v>
      </c>
      <c r="AI137" s="22">
        <f>+'QTR Raw'!C56</f>
        <v>0</v>
      </c>
      <c r="AJ137" s="22">
        <f t="shared" ref="AJ137:AJ138" si="1118">+AI137</f>
        <v>0</v>
      </c>
      <c r="AK137" s="22">
        <f>+'QTR Raw'!E56</f>
        <v>0</v>
      </c>
      <c r="AL137" s="22">
        <f t="shared" ref="AL137:AL138" si="1119">+AK137</f>
        <v>0</v>
      </c>
      <c r="AM137" s="22">
        <f>+'QTR Raw'!G56</f>
        <v>0</v>
      </c>
      <c r="AN137" s="22">
        <f t="shared" ref="AN137:AN138" si="1120">+AM137</f>
        <v>0</v>
      </c>
      <c r="AO137" s="22">
        <f>+'QTR Raw'!I56</f>
        <v>0</v>
      </c>
      <c r="AP137" s="22">
        <f t="shared" ref="AP137:AP138" si="1121">+AO137</f>
        <v>0</v>
      </c>
      <c r="AQ137" s="22">
        <f>+'QTR Raw'!K56</f>
        <v>0</v>
      </c>
      <c r="AR137" s="22">
        <f t="shared" ref="AR137:AR138" si="1122">+AQ137</f>
        <v>0</v>
      </c>
      <c r="AS137" s="22">
        <f>+'QTR Raw'!M56</f>
        <v>0</v>
      </c>
      <c r="AT137" s="22">
        <f t="shared" ref="AT137:AT138" si="1123">+AS137</f>
        <v>0</v>
      </c>
      <c r="AU137" s="22">
        <f>+'QTR Raw'!O56</f>
        <v>0</v>
      </c>
      <c r="AV137" s="22">
        <f t="shared" ref="AV137:AV138" si="1124">+AU137</f>
        <v>0</v>
      </c>
      <c r="AW137" s="22">
        <f>+'QTR Raw'!Q56</f>
        <v>583.76599999999996</v>
      </c>
      <c r="AX137" s="22">
        <f t="shared" ref="AX137:AX138" si="1125">+AW137</f>
        <v>583.76599999999996</v>
      </c>
      <c r="AY137" s="22">
        <f>+'QTR Raw'!S56</f>
        <v>0</v>
      </c>
      <c r="AZ137" s="22">
        <f t="shared" ref="AZ137:AZ138" si="1126">+AY137</f>
        <v>0</v>
      </c>
      <c r="BA137" s="22">
        <f>+'QTR Raw'!U56</f>
        <v>182.31299999999999</v>
      </c>
      <c r="BB137" s="22">
        <f t="shared" ref="BB137:BB138" si="1127">+BA137</f>
        <v>182.31299999999999</v>
      </c>
      <c r="BC137" s="22">
        <f>+'QTR Raw'!W56</f>
        <v>182.51</v>
      </c>
      <c r="BD137" s="22">
        <f t="shared" ref="BD137:BD138" si="1128">+BC137</f>
        <v>182.51</v>
      </c>
      <c r="BE137" s="22">
        <f>+'QTR Raw'!Y56</f>
        <v>182.58699999999999</v>
      </c>
      <c r="BF137" s="22">
        <f t="shared" ref="BF137:BF138" si="1129">+BE137</f>
        <v>182.58699999999999</v>
      </c>
      <c r="BG137" s="22">
        <f>+'QTR Raw'!AA56</f>
        <v>182.61500000000001</v>
      </c>
      <c r="BH137" s="22">
        <f t="shared" ref="BH137:BH138" si="1130">+BG137</f>
        <v>182.61500000000001</v>
      </c>
      <c r="BI137" s="22">
        <f>+'QTR Raw'!AC56</f>
        <v>182.642</v>
      </c>
      <c r="BJ137" s="22">
        <f t="shared" ref="BJ137:BJ138" si="1131">+BI137</f>
        <v>182.642</v>
      </c>
      <c r="BK137" s="22">
        <f>+'QTR Raw'!AE56</f>
        <v>182.655</v>
      </c>
      <c r="BL137" s="22">
        <f t="shared" ref="BL137:BL138" si="1132">+BK137</f>
        <v>182.655</v>
      </c>
      <c r="BM137" s="22">
        <f>+'QTR Raw'!AG56</f>
        <v>288.68900000000002</v>
      </c>
      <c r="BN137" s="22">
        <f t="shared" ref="BN137:BN138" si="1133">+BM137</f>
        <v>288.68900000000002</v>
      </c>
      <c r="BO137" s="22">
        <f>+'QTR Raw'!AI56</f>
        <v>288.68900000000002</v>
      </c>
      <c r="BP137" s="22">
        <f t="shared" ref="BP137:BP138" si="1134">+BO137</f>
        <v>288.68900000000002</v>
      </c>
      <c r="BQ137" s="22">
        <f>+'QTR Raw'!AK56</f>
        <v>288.68900000000002</v>
      </c>
      <c r="BR137" s="22">
        <f t="shared" ref="BR137:BR138" si="1135">+BQ137</f>
        <v>288.68900000000002</v>
      </c>
      <c r="BS137" s="22">
        <f>+'QTR Raw'!AM56</f>
        <v>433.03300000000002</v>
      </c>
      <c r="BT137" s="22">
        <f t="shared" ref="BT137:BT138" si="1136">+BS137</f>
        <v>433.03300000000002</v>
      </c>
      <c r="BU137" s="22">
        <f>+'QTR Raw'!AO56</f>
        <v>433.03300000000002</v>
      </c>
      <c r="BV137" s="22">
        <f t="shared" ref="BV137:BV138" si="1137">+BU137</f>
        <v>433.03300000000002</v>
      </c>
      <c r="BW137" s="22">
        <f>+'QTR Raw'!AQ56</f>
        <v>649.54999999999995</v>
      </c>
      <c r="BX137" s="22">
        <f t="shared" ref="BX137:BX138" si="1138">+BW137</f>
        <v>649.54999999999995</v>
      </c>
      <c r="BY137" s="22">
        <f>+'QTR Raw'!AS56</f>
        <v>649.54999999999995</v>
      </c>
      <c r="BZ137" s="22">
        <f t="shared" ref="BZ137:BZ138" si="1139">+BY137</f>
        <v>649.54999999999995</v>
      </c>
      <c r="CA137" s="22">
        <f>+'QTR Raw'!AU56</f>
        <v>649.56799999999998</v>
      </c>
      <c r="CB137" s="22">
        <f t="shared" ref="CB137:CB138" si="1140">+CA137</f>
        <v>649.56799999999998</v>
      </c>
      <c r="CC137" s="22">
        <f>+'QTR Raw'!AW56</f>
        <v>649.60699999999997</v>
      </c>
      <c r="CD137" s="22">
        <f t="shared" ref="CD137:CD138" si="1141">+CC137</f>
        <v>649.60699999999997</v>
      </c>
      <c r="CE137" s="22">
        <f>+'QTR Raw'!AY56</f>
        <v>649.72</v>
      </c>
      <c r="CF137" s="22">
        <f t="shared" ref="CF137:CJ137" si="1142">+CE137</f>
        <v>649.72</v>
      </c>
      <c r="CG137" s="22">
        <f>+Z137</f>
        <v>676.30200000000002</v>
      </c>
      <c r="CH137" s="22">
        <f t="shared" si="1142"/>
        <v>676.30200000000002</v>
      </c>
      <c r="CI137" s="22">
        <f>+'QTR Raw'!BC56</f>
        <v>676.38300000000004</v>
      </c>
      <c r="CJ137" s="22">
        <f t="shared" si="1142"/>
        <v>676.38300000000004</v>
      </c>
      <c r="CK137" s="22">
        <f>+'QTR Raw'!BE56</f>
        <v>676.39800000000002</v>
      </c>
      <c r="CL137" s="22">
        <f t="shared" ref="CL137:DA137" si="1143">CK137</f>
        <v>676.39800000000002</v>
      </c>
      <c r="CM137" s="23">
        <f t="shared" si="1143"/>
        <v>676.39800000000002</v>
      </c>
      <c r="CN137" s="23">
        <f t="shared" si="1143"/>
        <v>676.39800000000002</v>
      </c>
      <c r="CO137" s="23">
        <f t="shared" si="1143"/>
        <v>676.39800000000002</v>
      </c>
      <c r="CP137" s="23">
        <f t="shared" si="1143"/>
        <v>676.39800000000002</v>
      </c>
      <c r="CQ137" s="23">
        <f t="shared" si="1143"/>
        <v>676.39800000000002</v>
      </c>
      <c r="CR137" s="23">
        <f t="shared" si="1143"/>
        <v>676.39800000000002</v>
      </c>
      <c r="CS137" s="23">
        <f t="shared" si="1143"/>
        <v>676.39800000000002</v>
      </c>
      <c r="CT137" s="23">
        <f t="shared" si="1143"/>
        <v>676.39800000000002</v>
      </c>
      <c r="CU137" s="23">
        <f t="shared" si="1143"/>
        <v>676.39800000000002</v>
      </c>
      <c r="CV137" s="23">
        <f t="shared" si="1143"/>
        <v>676.39800000000002</v>
      </c>
      <c r="CW137" s="23">
        <f t="shared" si="1143"/>
        <v>676.39800000000002</v>
      </c>
      <c r="CX137" s="23">
        <f t="shared" si="1143"/>
        <v>676.39800000000002</v>
      </c>
      <c r="CY137" s="23">
        <f t="shared" si="1143"/>
        <v>676.39800000000002</v>
      </c>
      <c r="CZ137" s="23">
        <f t="shared" si="1143"/>
        <v>676.39800000000002</v>
      </c>
      <c r="DA137" s="23">
        <f t="shared" si="1143"/>
        <v>676.39800000000002</v>
      </c>
      <c r="DB137"/>
      <c r="DD137" s="122"/>
    </row>
    <row r="138" spans="1:108" s="22" customFormat="1" outlineLevel="1" x14ac:dyDescent="0.25">
      <c r="A138" s="22" t="s">
        <v>42</v>
      </c>
      <c r="B138" s="22">
        <f>'Annual Raw'!C42</f>
        <v>0</v>
      </c>
      <c r="C138" s="22">
        <f>'Annual Raw'!D42</f>
        <v>0</v>
      </c>
      <c r="D138" s="22">
        <f>'Annual Raw'!E42</f>
        <v>0</v>
      </c>
      <c r="E138" s="22">
        <f>'Annual Raw'!F42</f>
        <v>0</v>
      </c>
      <c r="F138" s="22">
        <f>'Annual Raw'!G42</f>
        <v>0</v>
      </c>
      <c r="G138" s="22">
        <f>'Annual Raw'!H42</f>
        <v>0</v>
      </c>
      <c r="H138" s="22">
        <f>'Annual Raw'!I42</f>
        <v>0</v>
      </c>
      <c r="I138" s="22">
        <f>'Annual Raw'!J42</f>
        <v>0</v>
      </c>
      <c r="J138" s="22">
        <f>'Annual Raw'!K42</f>
        <v>0</v>
      </c>
      <c r="K138" s="22">
        <f>'Annual Raw'!L42</f>
        <v>0</v>
      </c>
      <c r="L138" s="22">
        <f>'Annual Raw'!M42</f>
        <v>0</v>
      </c>
      <c r="M138" s="22">
        <f>'Annual Raw'!N42</f>
        <v>0</v>
      </c>
      <c r="N138" s="22">
        <f>'Annual Raw'!O42</f>
        <v>18.753</v>
      </c>
      <c r="O138" s="22">
        <f>'Annual Raw'!P42</f>
        <v>40</v>
      </c>
      <c r="P138" s="22">
        <f>'Annual Raw'!Q42</f>
        <v>0</v>
      </c>
      <c r="Q138" s="22">
        <f>'Annual Raw'!R42</f>
        <v>0</v>
      </c>
      <c r="R138" s="22">
        <f>'Annual Raw'!S42</f>
        <v>0.58599999999999997</v>
      </c>
      <c r="S138" s="22">
        <f>'Annual Raw'!T42</f>
        <v>0.23799999999999999</v>
      </c>
      <c r="T138" s="22">
        <f>'Annual Raw'!U42</f>
        <v>3.9E-2</v>
      </c>
      <c r="U138" s="22">
        <f>'Annual Raw'!V42</f>
        <v>0</v>
      </c>
      <c r="V138" s="22">
        <f>'Annual Raw'!W42</f>
        <v>0</v>
      </c>
      <c r="W138" s="22">
        <f>'Annual Raw'!X42</f>
        <v>0</v>
      </c>
      <c r="X138" s="22">
        <f>'Annual Raw'!Y42</f>
        <v>2.9060000000000001</v>
      </c>
      <c r="Y138" s="22">
        <f>'Annual Raw'!Z42</f>
        <v>8.8480000000000008</v>
      </c>
      <c r="Z138" s="22">
        <f>'Annual Raw'!AA42</f>
        <v>18.469000000000001</v>
      </c>
      <c r="AA138" s="23">
        <f t="shared" ref="AA138:AA139" si="1144">+CK138</f>
        <v>0</v>
      </c>
      <c r="AB138" s="23">
        <f t="shared" ref="AB138:AB139" si="1145">+CO138</f>
        <v>0</v>
      </c>
      <c r="AC138" s="23">
        <f t="shared" ref="AC138:AC139" si="1146">+CS138</f>
        <v>0</v>
      </c>
      <c r="AD138" s="23">
        <f t="shared" ref="AD138:AD139" si="1147">+CW138</f>
        <v>0</v>
      </c>
      <c r="AE138" s="23">
        <f t="shared" ref="AE138:AE139" si="1148">+DA138</f>
        <v>0</v>
      </c>
      <c r="AI138" s="22">
        <f>+'QTR Raw'!C57</f>
        <v>0</v>
      </c>
      <c r="AJ138" s="22">
        <f t="shared" si="1118"/>
        <v>0</v>
      </c>
      <c r="AK138" s="22">
        <f>+'QTR Raw'!E57</f>
        <v>0</v>
      </c>
      <c r="AL138" s="22">
        <f t="shared" si="1119"/>
        <v>0</v>
      </c>
      <c r="AM138" s="22">
        <f>+'QTR Raw'!G57</f>
        <v>0</v>
      </c>
      <c r="AN138" s="22">
        <f t="shared" si="1120"/>
        <v>0</v>
      </c>
      <c r="AO138" s="22">
        <f>+'QTR Raw'!I57</f>
        <v>0</v>
      </c>
      <c r="AP138" s="22">
        <f t="shared" si="1121"/>
        <v>0</v>
      </c>
      <c r="AQ138" s="22">
        <f>+'QTR Raw'!K57</f>
        <v>0</v>
      </c>
      <c r="AR138" s="22">
        <f t="shared" si="1122"/>
        <v>0</v>
      </c>
      <c r="AS138" s="22">
        <f>+'QTR Raw'!M57</f>
        <v>0</v>
      </c>
      <c r="AT138" s="22">
        <f t="shared" si="1123"/>
        <v>0</v>
      </c>
      <c r="AU138" s="22">
        <f>+'QTR Raw'!O57</f>
        <v>0</v>
      </c>
      <c r="AV138" s="22">
        <f t="shared" si="1124"/>
        <v>0</v>
      </c>
      <c r="AW138" s="22">
        <f>+'QTR Raw'!Q57</f>
        <v>0</v>
      </c>
      <c r="AX138" s="22">
        <f t="shared" si="1125"/>
        <v>0</v>
      </c>
      <c r="AY138" s="22">
        <f>+'QTR Raw'!S57</f>
        <v>0</v>
      </c>
      <c r="AZ138" s="22">
        <f t="shared" si="1126"/>
        <v>0</v>
      </c>
      <c r="BA138" s="22">
        <f>+'QTR Raw'!U57</f>
        <v>0</v>
      </c>
      <c r="BB138" s="22">
        <f t="shared" si="1127"/>
        <v>0</v>
      </c>
      <c r="BC138" s="22">
        <f>+'QTR Raw'!W57</f>
        <v>0</v>
      </c>
      <c r="BD138" s="22">
        <f t="shared" si="1128"/>
        <v>0</v>
      </c>
      <c r="BE138" s="22">
        <f>+'QTR Raw'!Y57</f>
        <v>0</v>
      </c>
      <c r="BF138" s="22">
        <f t="shared" si="1129"/>
        <v>0</v>
      </c>
      <c r="BG138" s="22">
        <f>+'QTR Raw'!AA57</f>
        <v>0</v>
      </c>
      <c r="BH138" s="22">
        <f t="shared" si="1130"/>
        <v>0</v>
      </c>
      <c r="BI138" s="22">
        <f>+'QTR Raw'!AC57</f>
        <v>0</v>
      </c>
      <c r="BJ138" s="22">
        <f t="shared" si="1131"/>
        <v>0</v>
      </c>
      <c r="BK138" s="22">
        <f>+'QTR Raw'!AE57</f>
        <v>0</v>
      </c>
      <c r="BL138" s="22">
        <f t="shared" si="1132"/>
        <v>0</v>
      </c>
      <c r="BM138" s="22">
        <f>+'QTR Raw'!AG57</f>
        <v>0</v>
      </c>
      <c r="BN138" s="22">
        <f t="shared" si="1133"/>
        <v>0</v>
      </c>
      <c r="BO138" s="22">
        <f>+'QTR Raw'!AI57</f>
        <v>0</v>
      </c>
      <c r="BP138" s="22">
        <f t="shared" si="1134"/>
        <v>0</v>
      </c>
      <c r="BQ138" s="22">
        <f>+'QTR Raw'!AK57</f>
        <v>0</v>
      </c>
      <c r="BR138" s="22">
        <f t="shared" si="1135"/>
        <v>0</v>
      </c>
      <c r="BS138" s="22">
        <f>+'QTR Raw'!AM57</f>
        <v>0</v>
      </c>
      <c r="BT138" s="22">
        <f t="shared" si="1136"/>
        <v>0</v>
      </c>
      <c r="BU138" s="22">
        <f>+'QTR Raw'!AO57</f>
        <v>0</v>
      </c>
      <c r="BV138" s="22">
        <f t="shared" si="1137"/>
        <v>0</v>
      </c>
      <c r="BW138" s="22">
        <f>+'QTR Raw'!AQ57</f>
        <v>0</v>
      </c>
      <c r="BX138" s="22">
        <f t="shared" si="1138"/>
        <v>0</v>
      </c>
      <c r="BY138" s="22">
        <f>+'QTR Raw'!AS57</f>
        <v>0</v>
      </c>
      <c r="BZ138" s="22">
        <f t="shared" si="1139"/>
        <v>0</v>
      </c>
      <c r="CA138" s="22">
        <f>+'QTR Raw'!AU57</f>
        <v>0</v>
      </c>
      <c r="CB138" s="22">
        <f t="shared" si="1140"/>
        <v>0</v>
      </c>
      <c r="CC138" s="22">
        <f>+'QTR Raw'!AW57</f>
        <v>0</v>
      </c>
      <c r="CD138" s="22">
        <f t="shared" si="1141"/>
        <v>0</v>
      </c>
      <c r="CE138" s="22">
        <f>+'QTR Raw'!AY57</f>
        <v>0</v>
      </c>
      <c r="CF138" s="22">
        <f t="shared" ref="CF138:CJ138" si="1149">+CE138</f>
        <v>0</v>
      </c>
      <c r="CG138" s="22">
        <f t="shared" ref="CG138:CG139" si="1150">+Z138</f>
        <v>18.469000000000001</v>
      </c>
      <c r="CH138" s="22">
        <f t="shared" si="1149"/>
        <v>18.469000000000001</v>
      </c>
      <c r="CI138" s="22">
        <f>+'QTR Raw'!BC57</f>
        <v>0</v>
      </c>
      <c r="CJ138" s="22">
        <f t="shared" si="1149"/>
        <v>0</v>
      </c>
      <c r="CK138" s="22">
        <f>+'QTR Raw'!BE57</f>
        <v>0</v>
      </c>
      <c r="CL138" s="22">
        <f t="shared" ref="CL138:DA138" si="1151">CK138</f>
        <v>0</v>
      </c>
      <c r="CM138" s="23">
        <f t="shared" si="1151"/>
        <v>0</v>
      </c>
      <c r="CN138" s="23">
        <f t="shared" si="1151"/>
        <v>0</v>
      </c>
      <c r="CO138" s="23">
        <f t="shared" si="1151"/>
        <v>0</v>
      </c>
      <c r="CP138" s="23">
        <f t="shared" si="1151"/>
        <v>0</v>
      </c>
      <c r="CQ138" s="23">
        <f t="shared" si="1151"/>
        <v>0</v>
      </c>
      <c r="CR138" s="23">
        <f t="shared" si="1151"/>
        <v>0</v>
      </c>
      <c r="CS138" s="23">
        <f t="shared" si="1151"/>
        <v>0</v>
      </c>
      <c r="CT138" s="23">
        <f t="shared" si="1151"/>
        <v>0</v>
      </c>
      <c r="CU138" s="23">
        <f t="shared" si="1151"/>
        <v>0</v>
      </c>
      <c r="CV138" s="23">
        <f t="shared" si="1151"/>
        <v>0</v>
      </c>
      <c r="CW138" s="23">
        <f t="shared" si="1151"/>
        <v>0</v>
      </c>
      <c r="CX138" s="23">
        <f t="shared" si="1151"/>
        <v>0</v>
      </c>
      <c r="CY138" s="23">
        <f t="shared" si="1151"/>
        <v>0</v>
      </c>
      <c r="CZ138" s="23">
        <f t="shared" si="1151"/>
        <v>0</v>
      </c>
      <c r="DA138" s="23">
        <f t="shared" si="1151"/>
        <v>0</v>
      </c>
      <c r="DB138"/>
      <c r="DD138" s="122"/>
    </row>
    <row r="139" spans="1:108" s="22" customFormat="1" outlineLevel="1" x14ac:dyDescent="0.25">
      <c r="A139" s="22" t="s">
        <v>43</v>
      </c>
      <c r="B139" s="22">
        <f>'Annual Raw'!C43</f>
        <v>0</v>
      </c>
      <c r="C139" s="22">
        <f>'Annual Raw'!D43</f>
        <v>0</v>
      </c>
      <c r="D139" s="22">
        <f>'Annual Raw'!E43</f>
        <v>0</v>
      </c>
      <c r="E139" s="22">
        <f>'Annual Raw'!F43</f>
        <v>0</v>
      </c>
      <c r="F139" s="22">
        <f>'Annual Raw'!G43</f>
        <v>62.854671699999997</v>
      </c>
      <c r="G139" s="22">
        <f>'Annual Raw'!H43</f>
        <v>74.238344900000001</v>
      </c>
      <c r="H139" s="22">
        <f>'Annual Raw'!I43</f>
        <v>87.674491000000003</v>
      </c>
      <c r="I139" s="22">
        <f>'Annual Raw'!J43</f>
        <v>108.877751</v>
      </c>
      <c r="J139" s="22">
        <f>'Annual Raw'!K43</f>
        <v>129.80048540000001</v>
      </c>
      <c r="K139" s="22">
        <f>'Annual Raw'!L43</f>
        <v>109.48390759999999</v>
      </c>
      <c r="L139" s="22">
        <f>'Annual Raw'!M43</f>
        <v>102.4276534</v>
      </c>
      <c r="M139" s="22">
        <f>'Annual Raw'!N43</f>
        <v>102.25700000000001</v>
      </c>
      <c r="N139" s="22">
        <f>'Annual Raw'!O43</f>
        <v>144.857</v>
      </c>
      <c r="O139" s="22">
        <f>'Annual Raw'!P43</f>
        <v>41.591000000000001</v>
      </c>
      <c r="P139" s="22">
        <f>'Annual Raw'!Q43</f>
        <v>9.3119999999999994</v>
      </c>
      <c r="Q139" s="22">
        <f>'Annual Raw'!R43</f>
        <v>90.510999999999996</v>
      </c>
      <c r="R139" s="22">
        <f>'Annual Raw'!S43</f>
        <v>1510.6959999999999</v>
      </c>
      <c r="S139" s="22">
        <f>'Annual Raw'!T43</f>
        <v>1586.6030000000001</v>
      </c>
      <c r="T139" s="22">
        <f>'Annual Raw'!U43</f>
        <v>1815.8230000000001</v>
      </c>
      <c r="U139" s="22">
        <f>'Annual Raw'!V43</f>
        <v>3039.7330000000002</v>
      </c>
      <c r="V139" s="22">
        <f>'Annual Raw'!W43</f>
        <v>3235.3119999999999</v>
      </c>
      <c r="W139" s="22">
        <f>'Annual Raw'!X43</f>
        <v>3646.875</v>
      </c>
      <c r="X139" s="22">
        <f>'Annual Raw'!Y43</f>
        <v>4449.924</v>
      </c>
      <c r="Y139" s="22">
        <f>'Annual Raw'!Z43</f>
        <v>6278.0429999999997</v>
      </c>
      <c r="Z139" s="22">
        <f>'Annual Raw'!AA43</f>
        <v>15915.057000000001</v>
      </c>
      <c r="AA139" s="23">
        <f t="shared" si="1144"/>
        <v>18902.306</v>
      </c>
      <c r="AB139" s="23">
        <f t="shared" si="1145"/>
        <v>22157.796874193231</v>
      </c>
      <c r="AC139" s="23">
        <f t="shared" si="1146"/>
        <v>26443.515184219246</v>
      </c>
      <c r="AD139" s="23">
        <f t="shared" si="1147"/>
        <v>31055.162779218983</v>
      </c>
      <c r="AE139" s="23">
        <f t="shared" si="1148"/>
        <v>36913.276684027216</v>
      </c>
      <c r="AI139" s="22">
        <f>+'QTR Raw'!C58</f>
        <v>0</v>
      </c>
      <c r="AJ139" s="22">
        <f>+AI139+AJ68</f>
        <v>0</v>
      </c>
      <c r="AK139" s="22">
        <f>+'QTR Raw'!E58</f>
        <v>0</v>
      </c>
      <c r="AL139" s="22">
        <f>+AK139+AL68</f>
        <v>0</v>
      </c>
      <c r="AM139" s="22">
        <f>+'QTR Raw'!G58</f>
        <v>0</v>
      </c>
      <c r="AN139" s="22">
        <f>+AM139+AN68</f>
        <v>0</v>
      </c>
      <c r="AO139" s="22">
        <f>+'QTR Raw'!I58</f>
        <v>0</v>
      </c>
      <c r="AP139" s="22">
        <f>+AO139+AP68</f>
        <v>0</v>
      </c>
      <c r="AQ139" s="22">
        <f>+'QTR Raw'!K58</f>
        <v>0</v>
      </c>
      <c r="AR139" s="22">
        <f>+AQ139+AR68</f>
        <v>0</v>
      </c>
      <c r="AS139" s="22">
        <f>+'QTR Raw'!M58</f>
        <v>0</v>
      </c>
      <c r="AT139" s="22">
        <f>+AS139+AT68</f>
        <v>0</v>
      </c>
      <c r="AU139" s="22">
        <f>+'QTR Raw'!O58</f>
        <v>0</v>
      </c>
      <c r="AV139" s="22">
        <f>+AU139+AV68</f>
        <v>0</v>
      </c>
      <c r="AW139" s="22">
        <f>+'QTR Raw'!Q58</f>
        <v>90.510999999999996</v>
      </c>
      <c r="AX139" s="22">
        <f>+AW139+AX68</f>
        <v>38.724999999999895</v>
      </c>
      <c r="AY139" s="22">
        <f>+'QTR Raw'!S58</f>
        <v>0</v>
      </c>
      <c r="AZ139" s="22">
        <f>+AY139+AZ68</f>
        <v>10.303000000000086</v>
      </c>
      <c r="BA139" s="22">
        <f>+'QTR Raw'!U58</f>
        <v>1711.5540000000001</v>
      </c>
      <c r="BB139" s="22">
        <f>+BA139+BB68</f>
        <v>1716.0619999999999</v>
      </c>
      <c r="BC139" s="22">
        <f>+'QTR Raw'!W58</f>
        <v>1671.739</v>
      </c>
      <c r="BD139" s="22">
        <f>+BC139+BD68</f>
        <v>1704.62</v>
      </c>
      <c r="BE139" s="22">
        <f>+'QTR Raw'!Y58</f>
        <v>1586.8409999999999</v>
      </c>
      <c r="BF139" s="22">
        <f>+BE139+BF68</f>
        <v>1605.473</v>
      </c>
      <c r="BG139" s="22">
        <f>+'QTR Raw'!AA58</f>
        <v>1919.98</v>
      </c>
      <c r="BH139" s="22">
        <f>+BG139+BH68</f>
        <v>1962.2550000000001</v>
      </c>
      <c r="BI139" s="22">
        <f>+'QTR Raw'!AC58</f>
        <v>1815.8620000000001</v>
      </c>
      <c r="BJ139" s="22">
        <f>+BI139+BJ68</f>
        <v>1856.4880000000001</v>
      </c>
      <c r="BK139" s="22">
        <f>+'QTR Raw'!AE58</f>
        <v>2316.962</v>
      </c>
      <c r="BL139" s="22">
        <f>+BK139+BL68</f>
        <v>2397.694</v>
      </c>
      <c r="BM139" s="22">
        <f>+'QTR Raw'!AG58</f>
        <v>3039.7330000000002</v>
      </c>
      <c r="BN139" s="22">
        <f>+BM139+BN68</f>
        <v>3094.652</v>
      </c>
      <c r="BO139" s="22">
        <f>+'QTR Raw'!AI58</f>
        <v>3169.1060000000002</v>
      </c>
      <c r="BP139" s="22">
        <f>+BO139+BP68</f>
        <v>3322.1370000000002</v>
      </c>
      <c r="BQ139" s="22">
        <f>+'QTR Raw'!AK58</f>
        <v>3235.3119999999999</v>
      </c>
      <c r="BR139" s="22">
        <f>+BQ139+BR68</f>
        <v>3364.567</v>
      </c>
      <c r="BS139" s="22">
        <f>+'QTR Raw'!AM58</f>
        <v>3528.549</v>
      </c>
      <c r="BT139" s="22">
        <f>+BS139+BT68</f>
        <v>3768.69</v>
      </c>
      <c r="BU139" s="22">
        <f>+'QTR Raw'!AO58</f>
        <v>3646.875</v>
      </c>
      <c r="BV139" s="22">
        <f>+BU139+BV68</f>
        <v>3901.0819999999994</v>
      </c>
      <c r="BW139" s="22">
        <f>+'QTR Raw'!AQ58</f>
        <v>4165.3059999999996</v>
      </c>
      <c r="BX139" s="22">
        <f>+BW139+BX68</f>
        <v>4546.3429999999998</v>
      </c>
      <c r="BY139" s="22">
        <f>+'QTR Raw'!AS58</f>
        <v>4452.83</v>
      </c>
      <c r="BZ139" s="22">
        <f>+BY139+BZ68</f>
        <v>4881.902</v>
      </c>
      <c r="CA139" s="22">
        <f>+'QTR Raw'!AU58</f>
        <v>5838.9809999999998</v>
      </c>
      <c r="CB139" s="22">
        <f>+CA139+CB68</f>
        <v>6340.0479999999998</v>
      </c>
      <c r="CC139" s="22">
        <f>+'QTR Raw'!AW58</f>
        <v>6286.8909999999996</v>
      </c>
      <c r="CD139" s="22">
        <f>+CC139+CD68</f>
        <v>6824.1619999999984</v>
      </c>
      <c r="CE139" s="22">
        <f>+'QTR Raw'!AY58</f>
        <v>7928.0460000000003</v>
      </c>
      <c r="CF139" s="22">
        <f>+CE139+CF68</f>
        <v>8547.6589999999997</v>
      </c>
      <c r="CG139" s="22">
        <f t="shared" si="1150"/>
        <v>15915.057000000001</v>
      </c>
      <c r="CH139" s="22">
        <f>+CG139+CH68</f>
        <v>16641.545000000002</v>
      </c>
      <c r="CI139" s="22">
        <f>+'QTR Raw'!BC58</f>
        <v>17686.940999999999</v>
      </c>
      <c r="CJ139" s="22">
        <f>+CI139+CJ68</f>
        <v>18428.131000000001</v>
      </c>
      <c r="CK139" s="22">
        <f>+'QTR Raw'!BE58</f>
        <v>18902.306</v>
      </c>
      <c r="CL139" s="22">
        <f t="shared" ref="CL139:DA139" si="1152">CK139+CL68</f>
        <v>19774.661</v>
      </c>
      <c r="CM139" s="23">
        <f t="shared" si="1152"/>
        <v>20904.441034384825</v>
      </c>
      <c r="CN139" s="23">
        <f t="shared" si="1152"/>
        <v>21586.37199269484</v>
      </c>
      <c r="CO139" s="23">
        <f t="shared" si="1152"/>
        <v>22157.796874193231</v>
      </c>
      <c r="CP139" s="23">
        <f t="shared" si="1152"/>
        <v>23323.43764725616</v>
      </c>
      <c r="CQ139" s="23">
        <f t="shared" si="1152"/>
        <v>24720.602497528031</v>
      </c>
      <c r="CR139" s="23">
        <f t="shared" si="1152"/>
        <v>25657.324375093864</v>
      </c>
      <c r="CS139" s="23">
        <f t="shared" si="1152"/>
        <v>26443.515184219246</v>
      </c>
      <c r="CT139" s="23">
        <f t="shared" si="1152"/>
        <v>27695.305555642994</v>
      </c>
      <c r="CU139" s="23">
        <f t="shared" si="1152"/>
        <v>29182.303634485237</v>
      </c>
      <c r="CV139" s="23">
        <f t="shared" si="1152"/>
        <v>30176.816140063205</v>
      </c>
      <c r="CW139" s="23">
        <f t="shared" si="1152"/>
        <v>31055.162779218983</v>
      </c>
      <c r="CX139" s="23">
        <f t="shared" si="1152"/>
        <v>32626.322538753422</v>
      </c>
      <c r="CY139" s="23">
        <f t="shared" si="1152"/>
        <v>34485.007965423116</v>
      </c>
      <c r="CZ139" s="23">
        <f t="shared" si="1152"/>
        <v>35768.682084351807</v>
      </c>
      <c r="DA139" s="23">
        <f t="shared" si="1152"/>
        <v>36913.276684027216</v>
      </c>
      <c r="DB139"/>
      <c r="DD139" s="122"/>
    </row>
    <row r="140" spans="1:108" s="21" customFormat="1" x14ac:dyDescent="0.25">
      <c r="A140" s="21" t="s">
        <v>44</v>
      </c>
      <c r="B140" s="21">
        <f>B137+B138+B139</f>
        <v>0</v>
      </c>
      <c r="C140" s="21">
        <f t="shared" ref="C140:V140" si="1153">C137+C138+C139</f>
        <v>0</v>
      </c>
      <c r="D140" s="21">
        <f t="shared" si="1153"/>
        <v>0</v>
      </c>
      <c r="E140" s="21">
        <f t="shared" si="1153"/>
        <v>0</v>
      </c>
      <c r="F140" s="21">
        <f t="shared" si="1153"/>
        <v>148.23102169999999</v>
      </c>
      <c r="G140" s="21">
        <f t="shared" si="1153"/>
        <v>159.61469490000002</v>
      </c>
      <c r="H140" s="21">
        <f t="shared" si="1153"/>
        <v>173.05084099999999</v>
      </c>
      <c r="I140" s="21">
        <f t="shared" si="1153"/>
        <v>194.25410099999999</v>
      </c>
      <c r="J140" s="21">
        <f t="shared" si="1153"/>
        <v>215.17683540000002</v>
      </c>
      <c r="K140" s="21">
        <f t="shared" si="1153"/>
        <v>194.86025760000001</v>
      </c>
      <c r="L140" s="21">
        <f t="shared" si="1153"/>
        <v>187.8040034</v>
      </c>
      <c r="M140" s="21">
        <f>M137+M138+M139</f>
        <v>110.25700000000001</v>
      </c>
      <c r="N140" s="21">
        <f t="shared" si="1153"/>
        <v>171.61</v>
      </c>
      <c r="O140" s="21">
        <f t="shared" si="1153"/>
        <v>215.357</v>
      </c>
      <c r="P140" s="21">
        <f t="shared" si="1153"/>
        <v>343.07800000000003</v>
      </c>
      <c r="Q140" s="21">
        <f t="shared" si="1153"/>
        <v>674.27699999999993</v>
      </c>
      <c r="R140" s="21">
        <f t="shared" si="1153"/>
        <v>1693.5949999999998</v>
      </c>
      <c r="S140" s="21">
        <f t="shared" si="1153"/>
        <v>1769.4280000000001</v>
      </c>
      <c r="T140" s="21">
        <f t="shared" si="1153"/>
        <v>1998.5040000000001</v>
      </c>
      <c r="U140" s="21">
        <f t="shared" si="1153"/>
        <v>3328.422</v>
      </c>
      <c r="V140" s="21">
        <f t="shared" si="1153"/>
        <v>3524.0009999999997</v>
      </c>
      <c r="W140" s="21">
        <f t="shared" ref="W140" si="1154">W137+W138+W139</f>
        <v>4079.9079999999999</v>
      </c>
      <c r="X140" s="21">
        <f t="shared" ref="X140:Y140" si="1155">X137+X138+X139</f>
        <v>5102.38</v>
      </c>
      <c r="Y140" s="21">
        <f t="shared" si="1155"/>
        <v>6936.4979999999996</v>
      </c>
      <c r="Z140" s="21">
        <f t="shared" ref="Z140" si="1156">Z137+Z138+Z139</f>
        <v>16609.828000000001</v>
      </c>
      <c r="AA140" s="20">
        <f t="shared" ref="AA140:AD140" si="1157">AA137+AA138+AA139</f>
        <v>19578.704000000002</v>
      </c>
      <c r="AB140" s="20">
        <f t="shared" si="1157"/>
        <v>22834.194874193232</v>
      </c>
      <c r="AC140" s="20">
        <f t="shared" si="1157"/>
        <v>27119.913184219247</v>
      </c>
      <c r="AD140" s="20">
        <f t="shared" si="1157"/>
        <v>31731.560779218984</v>
      </c>
      <c r="AE140" s="20">
        <f t="shared" ref="AE140" si="1158">AE137+AE138+AE139</f>
        <v>37589.674684027217</v>
      </c>
      <c r="AI140" s="21">
        <f t="shared" ref="AI140:AL140" si="1159">AI137+AI138+AI139</f>
        <v>0</v>
      </c>
      <c r="AJ140" s="21">
        <f t="shared" si="1159"/>
        <v>0</v>
      </c>
      <c r="AK140" s="21">
        <f t="shared" si="1159"/>
        <v>0</v>
      </c>
      <c r="AL140" s="21">
        <f t="shared" si="1159"/>
        <v>0</v>
      </c>
      <c r="AM140" s="21">
        <f t="shared" ref="AM140:AP140" si="1160">AM137+AM138+AM139</f>
        <v>0</v>
      </c>
      <c r="AN140" s="21">
        <f t="shared" si="1160"/>
        <v>0</v>
      </c>
      <c r="AO140" s="21">
        <f t="shared" si="1160"/>
        <v>0</v>
      </c>
      <c r="AP140" s="21">
        <f t="shared" si="1160"/>
        <v>0</v>
      </c>
      <c r="AQ140" s="21">
        <f t="shared" ref="AQ140:AT140" si="1161">AQ137+AQ138+AQ139</f>
        <v>0</v>
      </c>
      <c r="AR140" s="21">
        <f t="shared" si="1161"/>
        <v>0</v>
      </c>
      <c r="AS140" s="21">
        <f t="shared" si="1161"/>
        <v>0</v>
      </c>
      <c r="AT140" s="21">
        <f t="shared" si="1161"/>
        <v>0</v>
      </c>
      <c r="AU140" s="21">
        <f t="shared" ref="AU140:AX140" si="1162">AU137+AU138+AU139</f>
        <v>0</v>
      </c>
      <c r="AV140" s="21">
        <f t="shared" si="1162"/>
        <v>0</v>
      </c>
      <c r="AW140" s="21">
        <f t="shared" si="1162"/>
        <v>674.27699999999993</v>
      </c>
      <c r="AX140" s="21">
        <f t="shared" si="1162"/>
        <v>622.49099999999987</v>
      </c>
      <c r="AY140" s="21">
        <f t="shared" ref="AY140:BB140" si="1163">AY137+AY138+AY139</f>
        <v>0</v>
      </c>
      <c r="AZ140" s="21">
        <f t="shared" si="1163"/>
        <v>10.303000000000086</v>
      </c>
      <c r="BA140" s="21">
        <f t="shared" si="1163"/>
        <v>1893.8670000000002</v>
      </c>
      <c r="BB140" s="21">
        <f t="shared" si="1163"/>
        <v>1898.375</v>
      </c>
      <c r="BC140" s="21">
        <f t="shared" ref="BC140:BF140" si="1164">BC137+BC138+BC139</f>
        <v>1854.249</v>
      </c>
      <c r="BD140" s="21">
        <f t="shared" si="1164"/>
        <v>1887.1299999999999</v>
      </c>
      <c r="BE140" s="21">
        <f t="shared" si="1164"/>
        <v>1769.4279999999999</v>
      </c>
      <c r="BF140" s="21">
        <f t="shared" si="1164"/>
        <v>1788.06</v>
      </c>
      <c r="BG140" s="21">
        <f t="shared" ref="BG140:BJ140" si="1165">BG137+BG138+BG139</f>
        <v>2102.5950000000003</v>
      </c>
      <c r="BH140" s="21">
        <f t="shared" si="1165"/>
        <v>2144.87</v>
      </c>
      <c r="BI140" s="21">
        <f t="shared" si="1165"/>
        <v>1998.5040000000001</v>
      </c>
      <c r="BJ140" s="21">
        <f t="shared" si="1165"/>
        <v>2039.13</v>
      </c>
      <c r="BK140" s="21">
        <f t="shared" ref="BK140:BN140" si="1166">BK137+BK138+BK139</f>
        <v>2499.6170000000002</v>
      </c>
      <c r="BL140" s="21">
        <f t="shared" si="1166"/>
        <v>2580.3490000000002</v>
      </c>
      <c r="BM140" s="21">
        <f t="shared" si="1166"/>
        <v>3328.422</v>
      </c>
      <c r="BN140" s="21">
        <f t="shared" si="1166"/>
        <v>3383.3409999999999</v>
      </c>
      <c r="BO140" s="21">
        <f t="shared" ref="BO140:BR140" si="1167">BO137+BO138+BO139</f>
        <v>3457.7950000000001</v>
      </c>
      <c r="BP140" s="21">
        <f t="shared" si="1167"/>
        <v>3610.826</v>
      </c>
      <c r="BQ140" s="21">
        <f t="shared" si="1167"/>
        <v>3524.0009999999997</v>
      </c>
      <c r="BR140" s="21">
        <f t="shared" si="1167"/>
        <v>3653.2559999999999</v>
      </c>
      <c r="BS140" s="21">
        <f t="shared" ref="BS140:BV140" si="1168">BS137+BS138+BS139</f>
        <v>3961.5819999999999</v>
      </c>
      <c r="BT140" s="21">
        <f t="shared" si="1168"/>
        <v>4201.723</v>
      </c>
      <c r="BU140" s="21">
        <f t="shared" si="1168"/>
        <v>4079.9079999999999</v>
      </c>
      <c r="BV140" s="21">
        <f t="shared" si="1168"/>
        <v>4334.1149999999998</v>
      </c>
      <c r="BW140" s="21">
        <f t="shared" ref="BW140:BZ140" si="1169">BW137+BW138+BW139</f>
        <v>4814.8559999999998</v>
      </c>
      <c r="BX140" s="21">
        <f t="shared" si="1169"/>
        <v>5195.893</v>
      </c>
      <c r="BY140" s="21">
        <f t="shared" si="1169"/>
        <v>5102.38</v>
      </c>
      <c r="BZ140" s="21">
        <f t="shared" si="1169"/>
        <v>5531.4520000000002</v>
      </c>
      <c r="CA140" s="21">
        <f t="shared" ref="CA140:CD140" si="1170">CA137+CA138+CA139</f>
        <v>6488.549</v>
      </c>
      <c r="CB140" s="21">
        <f t="shared" si="1170"/>
        <v>6989.616</v>
      </c>
      <c r="CC140" s="21">
        <f t="shared" si="1170"/>
        <v>6936.4979999999996</v>
      </c>
      <c r="CD140" s="21">
        <f t="shared" si="1170"/>
        <v>7473.7689999999984</v>
      </c>
      <c r="CE140" s="21">
        <f t="shared" ref="CE140" si="1171">CE137+CE138+CE139</f>
        <v>8577.7659999999996</v>
      </c>
      <c r="CF140" s="21">
        <f t="shared" ref="CF140:CH140" si="1172">CF137+CF138+CF139</f>
        <v>9197.378999999999</v>
      </c>
      <c r="CG140" s="21">
        <f t="shared" ref="CG140" si="1173">CG137+CG138+CG139</f>
        <v>16609.828000000001</v>
      </c>
      <c r="CH140" s="21">
        <f t="shared" si="1172"/>
        <v>17336.316000000003</v>
      </c>
      <c r="CI140" s="21">
        <f t="shared" ref="CI140:CJ140" si="1174">CI137+CI138+CI139</f>
        <v>18363.324000000001</v>
      </c>
      <c r="CJ140" s="21">
        <f t="shared" si="1174"/>
        <v>19104.514000000003</v>
      </c>
      <c r="CK140" s="21">
        <f t="shared" ref="CK140:CL140" si="1175">CK137+CK138+CK139</f>
        <v>19578.704000000002</v>
      </c>
      <c r="CL140" s="21">
        <f t="shared" ref="CL140:DA140" si="1176">CL137+CL138+CL139</f>
        <v>20451.059000000001</v>
      </c>
      <c r="CM140" s="20">
        <f t="shared" si="1176"/>
        <v>21580.839034384826</v>
      </c>
      <c r="CN140" s="20">
        <f t="shared" si="1176"/>
        <v>22262.769992694841</v>
      </c>
      <c r="CO140" s="20">
        <f t="shared" si="1176"/>
        <v>22834.194874193232</v>
      </c>
      <c r="CP140" s="20">
        <f t="shared" si="1176"/>
        <v>23999.835647256161</v>
      </c>
      <c r="CQ140" s="20">
        <f t="shared" si="1176"/>
        <v>25397.000497528032</v>
      </c>
      <c r="CR140" s="20">
        <f t="shared" si="1176"/>
        <v>26333.722375093865</v>
      </c>
      <c r="CS140" s="20">
        <f t="shared" si="1176"/>
        <v>27119.913184219247</v>
      </c>
      <c r="CT140" s="20">
        <f t="shared" si="1176"/>
        <v>28371.703555642995</v>
      </c>
      <c r="CU140" s="20">
        <f t="shared" si="1176"/>
        <v>29858.701634485238</v>
      </c>
      <c r="CV140" s="20">
        <f t="shared" si="1176"/>
        <v>30853.214140063206</v>
      </c>
      <c r="CW140" s="20">
        <f t="shared" si="1176"/>
        <v>31731.560779218984</v>
      </c>
      <c r="CX140" s="20">
        <f t="shared" si="1176"/>
        <v>33302.72053875342</v>
      </c>
      <c r="CY140" s="20">
        <f t="shared" si="1176"/>
        <v>35161.405965423117</v>
      </c>
      <c r="CZ140" s="20">
        <f t="shared" si="1176"/>
        <v>36445.080084351808</v>
      </c>
      <c r="DA140" s="20">
        <f t="shared" si="1176"/>
        <v>37589.674684027217</v>
      </c>
      <c r="DB140"/>
      <c r="DD140" s="125"/>
    </row>
    <row r="141" spans="1:108" s="21" customFormat="1" x14ac:dyDescent="0.25">
      <c r="AA141" s="20"/>
      <c r="AB141" s="20"/>
      <c r="AC141" s="20"/>
      <c r="AD141" s="20"/>
      <c r="AE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/>
      <c r="DD141" s="125"/>
    </row>
    <row r="142" spans="1:108" s="22" customFormat="1" x14ac:dyDescent="0.25">
      <c r="A142" s="22" t="s">
        <v>23</v>
      </c>
      <c r="B142" s="22">
        <f>'Annual Raw'!C45</f>
        <v>0</v>
      </c>
      <c r="C142" s="22">
        <f>'Annual Raw'!D45</f>
        <v>0</v>
      </c>
      <c r="D142" s="22">
        <f>'Annual Raw'!E45</f>
        <v>0</v>
      </c>
      <c r="E142" s="22">
        <f>'Annual Raw'!F45</f>
        <v>0</v>
      </c>
      <c r="F142" s="22">
        <f>'Annual Raw'!G45</f>
        <v>0</v>
      </c>
      <c r="G142" s="22">
        <f>'Annual Raw'!H45</f>
        <v>0</v>
      </c>
      <c r="H142" s="22">
        <f>'Annual Raw'!I45</f>
        <v>0</v>
      </c>
      <c r="I142" s="22">
        <f>'Annual Raw'!J45</f>
        <v>0</v>
      </c>
      <c r="J142" s="22">
        <f>'Annual Raw'!K45</f>
        <v>0</v>
      </c>
      <c r="K142" s="22">
        <f>'Annual Raw'!L45</f>
        <v>0</v>
      </c>
      <c r="L142" s="22">
        <f>'Annual Raw'!M45</f>
        <v>0</v>
      </c>
      <c r="M142" s="22">
        <f>'Annual Raw'!N45</f>
        <v>0</v>
      </c>
      <c r="N142" s="22">
        <f>'Annual Raw'!O45</f>
        <v>0.01</v>
      </c>
      <c r="O142" s="22">
        <f>'Annual Raw'!P45</f>
        <v>0.01</v>
      </c>
      <c r="P142" s="22">
        <f>'Annual Raw'!Q45</f>
        <v>0</v>
      </c>
      <c r="Q142" s="22">
        <f>'Annual Raw'!R45</f>
        <v>0</v>
      </c>
      <c r="R142" s="22">
        <f>'Annual Raw'!S45</f>
        <v>-12.906000000000001</v>
      </c>
      <c r="S142" s="22">
        <f>'Annual Raw'!T45</f>
        <v>-1.4319999999999999</v>
      </c>
      <c r="T142" s="22">
        <f>'Annual Raw'!U45</f>
        <v>7.7679999999999998</v>
      </c>
      <c r="U142" s="22">
        <f>'Annual Raw'!V45</f>
        <v>30.678999999999998</v>
      </c>
      <c r="V142" s="22">
        <f>'Annual Raw'!W45</f>
        <v>64.787999999999997</v>
      </c>
      <c r="W142" s="22">
        <f>'Annual Raw'!X45</f>
        <v>116.789</v>
      </c>
      <c r="X142" s="22">
        <f>'Annual Raw'!Y45</f>
        <v>113.107</v>
      </c>
      <c r="Y142" s="22">
        <f>'Annual Raw'!Z45</f>
        <v>148.155</v>
      </c>
      <c r="Z142" s="22">
        <f>'Annual Raw'!AA45</f>
        <v>129.80699999999999</v>
      </c>
      <c r="AA142" s="23">
        <f t="shared" ref="AA142" si="1177">+CK142</f>
        <v>162.251</v>
      </c>
      <c r="AB142" s="23">
        <f t="shared" ref="AB142" si="1178">+CO142</f>
        <v>162.251</v>
      </c>
      <c r="AC142" s="23">
        <f t="shared" ref="AC142" si="1179">+CS142</f>
        <v>162.251</v>
      </c>
      <c r="AD142" s="23">
        <f t="shared" ref="AD142" si="1180">+CW142</f>
        <v>162.251</v>
      </c>
      <c r="AE142" s="23">
        <f t="shared" ref="AE142" si="1181">+DA142</f>
        <v>162.251</v>
      </c>
      <c r="AI142" s="22">
        <f>+'QTR Raw'!C60</f>
        <v>0</v>
      </c>
      <c r="AJ142" s="22">
        <f t="shared" ref="AJ142" si="1182">+AI142</f>
        <v>0</v>
      </c>
      <c r="AK142" s="22">
        <f>+'QTR Raw'!E60</f>
        <v>0</v>
      </c>
      <c r="AL142" s="22">
        <f t="shared" ref="AL142" si="1183">+AK142</f>
        <v>0</v>
      </c>
      <c r="AM142" s="22">
        <f>+'QTR Raw'!G60</f>
        <v>0</v>
      </c>
      <c r="AN142" s="22">
        <f t="shared" ref="AN142" si="1184">+AM142</f>
        <v>0</v>
      </c>
      <c r="AO142" s="22">
        <f>+'QTR Raw'!I60</f>
        <v>0</v>
      </c>
      <c r="AP142" s="22">
        <f t="shared" ref="AP142" si="1185">+AO142</f>
        <v>0</v>
      </c>
      <c r="AQ142" s="22">
        <f>+'QTR Raw'!K60</f>
        <v>0</v>
      </c>
      <c r="AR142" s="22">
        <f t="shared" ref="AR142" si="1186">+AQ142</f>
        <v>0</v>
      </c>
      <c r="AS142" s="22">
        <f>+'QTR Raw'!M60</f>
        <v>0</v>
      </c>
      <c r="AT142" s="22">
        <f t="shared" ref="AT142" si="1187">+AS142</f>
        <v>0</v>
      </c>
      <c r="AU142" s="22">
        <f>+'QTR Raw'!O60</f>
        <v>0</v>
      </c>
      <c r="AV142" s="22">
        <f t="shared" ref="AV142" si="1188">+AU142</f>
        <v>0</v>
      </c>
      <c r="AW142" s="22">
        <f>+'QTR Raw'!Q60</f>
        <v>0</v>
      </c>
      <c r="AX142" s="22">
        <f t="shared" ref="AX142" si="1189">+AW142</f>
        <v>0</v>
      </c>
      <c r="AY142" s="22">
        <f>+'QTR Raw'!S60</f>
        <v>0</v>
      </c>
      <c r="AZ142" s="22">
        <f t="shared" ref="AZ142" si="1190">+AY142</f>
        <v>0</v>
      </c>
      <c r="BA142" s="22">
        <f>+'QTR Raw'!U60</f>
        <v>5.8000000000000003E-2</v>
      </c>
      <c r="BB142" s="22">
        <f t="shared" ref="BB142" si="1191">+BA142</f>
        <v>5.8000000000000003E-2</v>
      </c>
      <c r="BC142" s="22">
        <f>+'QTR Raw'!W60</f>
        <v>-1.2949999999999999</v>
      </c>
      <c r="BD142" s="22">
        <f t="shared" ref="BD142" si="1192">+BC142</f>
        <v>-1.2949999999999999</v>
      </c>
      <c r="BE142" s="22">
        <f>+'QTR Raw'!Y60</f>
        <v>-1.4319999999999999</v>
      </c>
      <c r="BF142" s="22">
        <f t="shared" ref="BF142" si="1193">+BE142</f>
        <v>-1.4319999999999999</v>
      </c>
      <c r="BG142" s="22">
        <f>+'QTR Raw'!AA60</f>
        <v>3.02</v>
      </c>
      <c r="BH142" s="22">
        <f t="shared" ref="BH142" si="1194">+BG142</f>
        <v>3.02</v>
      </c>
      <c r="BI142" s="22">
        <f>+'QTR Raw'!AC60</f>
        <v>7.7679999999999998</v>
      </c>
      <c r="BJ142" s="22">
        <f t="shared" ref="BJ142" si="1195">+BI142</f>
        <v>7.7679999999999998</v>
      </c>
      <c r="BK142" s="22">
        <f>+'QTR Raw'!AE60</f>
        <v>5.2460000000000004</v>
      </c>
      <c r="BL142" s="22">
        <f t="shared" ref="BL142" si="1196">+BK142</f>
        <v>5.2460000000000004</v>
      </c>
      <c r="BM142" s="22">
        <f>+'QTR Raw'!AG60</f>
        <v>30.678999999999998</v>
      </c>
      <c r="BN142" s="22">
        <f t="shared" ref="BN142" si="1197">+BM142</f>
        <v>30.678999999999998</v>
      </c>
      <c r="BO142" s="22">
        <f>+'QTR Raw'!AI60</f>
        <v>38.024999999999999</v>
      </c>
      <c r="BP142" s="22">
        <f t="shared" ref="BP142" si="1198">+BO142</f>
        <v>38.024999999999999</v>
      </c>
      <c r="BQ142" s="22">
        <f>+'QTR Raw'!AK60</f>
        <v>64.787999999999997</v>
      </c>
      <c r="BR142" s="22">
        <f t="shared" ref="BR142" si="1199">+BQ142</f>
        <v>64.787999999999997</v>
      </c>
      <c r="BS142" s="22">
        <f>+'QTR Raw'!AM60</f>
        <v>82.936000000000007</v>
      </c>
      <c r="BT142" s="22">
        <f t="shared" ref="BT142" si="1200">+BS142</f>
        <v>82.936000000000007</v>
      </c>
      <c r="BU142" s="22">
        <f>+'QTR Raw'!AO60</f>
        <v>116.789</v>
      </c>
      <c r="BV142" s="22">
        <f t="shared" ref="BV142" si="1201">+BU142</f>
        <v>116.789</v>
      </c>
      <c r="BW142" s="22">
        <f>+'QTR Raw'!AQ60</f>
        <v>148.23599999999999</v>
      </c>
      <c r="BX142" s="22">
        <f t="shared" ref="BX142" si="1202">+BW142</f>
        <v>148.23599999999999</v>
      </c>
      <c r="BY142" s="22">
        <f>+'QTR Raw'!AS60</f>
        <v>113.107</v>
      </c>
      <c r="BZ142" s="22">
        <f t="shared" ref="BZ142" si="1203">+BY142</f>
        <v>113.107</v>
      </c>
      <c r="CA142" s="22">
        <f>+'QTR Raw'!AU60</f>
        <v>134.07400000000001</v>
      </c>
      <c r="CB142" s="22">
        <f t="shared" ref="CB142" si="1204">+CA142</f>
        <v>134.07400000000001</v>
      </c>
      <c r="CC142" s="22">
        <f>+'QTR Raw'!AW60</f>
        <v>148.155</v>
      </c>
      <c r="CD142" s="22">
        <f t="shared" ref="CD142" si="1205">+CC142</f>
        <v>148.155</v>
      </c>
      <c r="CE142" s="22">
        <f>+'QTR Raw'!AY60</f>
        <v>168.15</v>
      </c>
      <c r="CF142" s="22">
        <f t="shared" ref="CF142:CJ142" si="1206">+CE142</f>
        <v>168.15</v>
      </c>
      <c r="CG142" s="22">
        <f t="shared" ref="CG142:CG147" si="1207">+Z142</f>
        <v>129.80699999999999</v>
      </c>
      <c r="CH142" s="22">
        <f t="shared" si="1206"/>
        <v>129.80699999999999</v>
      </c>
      <c r="CI142" s="22">
        <f>+'QTR Raw'!BC60</f>
        <v>143.328</v>
      </c>
      <c r="CJ142" s="22">
        <f t="shared" si="1206"/>
        <v>143.328</v>
      </c>
      <c r="CK142" s="22">
        <f>+'QTR Raw'!BE60</f>
        <v>162.251</v>
      </c>
      <c r="CL142" s="22">
        <f t="shared" ref="CL142" si="1208">+CK142</f>
        <v>162.251</v>
      </c>
      <c r="CM142" s="23">
        <f t="shared" ref="CM142" si="1209">+CL142</f>
        <v>162.251</v>
      </c>
      <c r="CN142" s="23">
        <f t="shared" ref="CN142" si="1210">+CM142</f>
        <v>162.251</v>
      </c>
      <c r="CO142" s="23">
        <f t="shared" ref="CO142" si="1211">+CN142</f>
        <v>162.251</v>
      </c>
      <c r="CP142" s="23">
        <f t="shared" ref="CP142" si="1212">+CO142</f>
        <v>162.251</v>
      </c>
      <c r="CQ142" s="23">
        <f t="shared" ref="CQ142" si="1213">+CP142</f>
        <v>162.251</v>
      </c>
      <c r="CR142" s="23">
        <f t="shared" ref="CR142" si="1214">+CQ142</f>
        <v>162.251</v>
      </c>
      <c r="CS142" s="23">
        <f t="shared" ref="CS142" si="1215">+CR142</f>
        <v>162.251</v>
      </c>
      <c r="CT142" s="23">
        <f t="shared" ref="CT142" si="1216">+CS142</f>
        <v>162.251</v>
      </c>
      <c r="CU142" s="23">
        <f t="shared" ref="CU142" si="1217">+CT142</f>
        <v>162.251</v>
      </c>
      <c r="CV142" s="23">
        <f t="shared" ref="CV142" si="1218">+CU142</f>
        <v>162.251</v>
      </c>
      <c r="CW142" s="23">
        <f t="shared" ref="CW142" si="1219">+CV142</f>
        <v>162.251</v>
      </c>
      <c r="CX142" s="23">
        <f t="shared" ref="CX142" si="1220">+CW142</f>
        <v>162.251</v>
      </c>
      <c r="CY142" s="23">
        <f t="shared" ref="CY142" si="1221">+CX142</f>
        <v>162.251</v>
      </c>
      <c r="CZ142" s="23">
        <f t="shared" ref="CZ142" si="1222">+CY142</f>
        <v>162.251</v>
      </c>
      <c r="DA142" s="23">
        <f t="shared" ref="DA142" si="1223">+CZ142</f>
        <v>162.251</v>
      </c>
      <c r="DB142"/>
      <c r="DD142" s="122"/>
    </row>
    <row r="143" spans="1:108" s="22" customFormat="1" x14ac:dyDescent="0.25">
      <c r="AA143" s="23"/>
      <c r="AB143" s="23"/>
      <c r="AC143" s="23"/>
      <c r="AD143" s="23"/>
      <c r="AE143" s="23"/>
      <c r="CG143" s="22">
        <f t="shared" si="1207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/>
      <c r="DD143" s="122"/>
    </row>
    <row r="144" spans="1:108" s="22" customFormat="1" outlineLevel="1" x14ac:dyDescent="0.25">
      <c r="A144" s="22" t="s">
        <v>45</v>
      </c>
      <c r="B144" s="22">
        <f>'Annual Raw'!C47</f>
        <v>0</v>
      </c>
      <c r="C144" s="22">
        <f>'Annual Raw'!D47</f>
        <v>0</v>
      </c>
      <c r="D144" s="22">
        <f>'Annual Raw'!E47</f>
        <v>0</v>
      </c>
      <c r="E144" s="22">
        <f>'Annual Raw'!F47</f>
        <v>0</v>
      </c>
      <c r="F144" s="22">
        <f>'Annual Raw'!G47</f>
        <v>165.50053689999999</v>
      </c>
      <c r="G144" s="22">
        <f>'Annual Raw'!H47</f>
        <v>139.91500919999999</v>
      </c>
      <c r="H144" s="22">
        <f>'Annual Raw'!I47</f>
        <v>124.5594869</v>
      </c>
      <c r="I144" s="22">
        <f>'Annual Raw'!J47</f>
        <v>105.705096</v>
      </c>
      <c r="J144" s="22">
        <f>'Annual Raw'!K47</f>
        <v>200.72581360000001</v>
      </c>
      <c r="K144" s="22">
        <f>'Annual Raw'!L47</f>
        <v>246.0109209</v>
      </c>
      <c r="L144" s="22">
        <f>'Annual Raw'!M47</f>
        <v>399.5980232</v>
      </c>
      <c r="M144" s="22">
        <f>'Annual Raw'!N47</f>
        <v>436.69600000000003</v>
      </c>
      <c r="N144" s="22">
        <f>'Annual Raw'!O47</f>
        <v>792.73400000000004</v>
      </c>
      <c r="O144" s="22">
        <f>'Annual Raw'!P47</f>
        <v>1133.2809999999999</v>
      </c>
      <c r="P144" s="22">
        <f>'Annual Raw'!Q47</f>
        <v>989.33199999999999</v>
      </c>
      <c r="Q144" s="22">
        <f>'Annual Raw'!R47</f>
        <v>759.61300000000006</v>
      </c>
      <c r="R144" s="22">
        <f>'Annual Raw'!S47</f>
        <v>1143.3779999999999</v>
      </c>
      <c r="S144" s="22">
        <f>'Annual Raw'!T47</f>
        <v>1632.5150000000001</v>
      </c>
      <c r="T144" s="22">
        <f>'Annual Raw'!U47</f>
        <v>1973.6590000000001</v>
      </c>
      <c r="U144" s="22">
        <f>'Annual Raw'!V47</f>
        <v>2355.3760000000002</v>
      </c>
      <c r="V144" s="22">
        <f>'Annual Raw'!W47</f>
        <v>1979.6220000000001</v>
      </c>
      <c r="W144" s="22">
        <f>'Annual Raw'!X47</f>
        <v>1813.327</v>
      </c>
      <c r="X144" s="22">
        <f>'Annual Raw'!Y47</f>
        <v>1727.0219999999999</v>
      </c>
      <c r="Y144" s="22">
        <f>'Annual Raw'!Z47</f>
        <v>3188.9380000000001</v>
      </c>
      <c r="Z144" s="22">
        <f>'Annual Raw'!AA47</f>
        <v>840.68899999999996</v>
      </c>
      <c r="AA144" s="23">
        <f t="shared" ref="AA144:AA147" si="1224">+CK144</f>
        <v>0</v>
      </c>
      <c r="AB144" s="23">
        <f t="shared" ref="AB144:AB147" si="1225">+CO144</f>
        <v>0</v>
      </c>
      <c r="AC144" s="23">
        <f t="shared" ref="AC144:AC147" si="1226">+CS144</f>
        <v>0</v>
      </c>
      <c r="AD144" s="23">
        <f t="shared" ref="AD144:AD147" si="1227">+CW144</f>
        <v>0</v>
      </c>
      <c r="AE144" s="23">
        <f t="shared" ref="AE144:AE147" si="1228">+DA144</f>
        <v>0</v>
      </c>
      <c r="AI144" s="22">
        <f>+'QTR Raw'!C62</f>
        <v>0</v>
      </c>
      <c r="AJ144" s="22">
        <f t="shared" ref="AJ144:AJ147" si="1229">+AI144</f>
        <v>0</v>
      </c>
      <c r="AK144" s="22">
        <f>+'QTR Raw'!E62</f>
        <v>0</v>
      </c>
      <c r="AL144" s="22">
        <f t="shared" ref="AL144:AL147" si="1230">+AK144</f>
        <v>0</v>
      </c>
      <c r="AM144" s="22">
        <f>+'QTR Raw'!G62</f>
        <v>0</v>
      </c>
      <c r="AN144" s="22">
        <f t="shared" ref="AN144:AN147" si="1231">+AM144</f>
        <v>0</v>
      </c>
      <c r="AO144" s="22">
        <f>+'QTR Raw'!I62</f>
        <v>0</v>
      </c>
      <c r="AP144" s="22">
        <f t="shared" ref="AP144:AP147" si="1232">+AO144</f>
        <v>0</v>
      </c>
      <c r="AQ144" s="22">
        <f>+'QTR Raw'!K62</f>
        <v>0</v>
      </c>
      <c r="AR144" s="22">
        <f t="shared" ref="AR144:AR147" si="1233">+AQ144</f>
        <v>0</v>
      </c>
      <c r="AS144" s="22">
        <f>+'QTR Raw'!M62</f>
        <v>0</v>
      </c>
      <c r="AT144" s="22">
        <f t="shared" ref="AT144:AT147" si="1234">+AS144</f>
        <v>0</v>
      </c>
      <c r="AU144" s="22">
        <f>+'QTR Raw'!O62</f>
        <v>0</v>
      </c>
      <c r="AV144" s="22">
        <f t="shared" ref="AV144:AV147" si="1235">+AU144</f>
        <v>0</v>
      </c>
      <c r="AW144" s="22">
        <f>+'QTR Raw'!Q62</f>
        <v>0</v>
      </c>
      <c r="AX144" s="22">
        <f t="shared" ref="AX144:AX147" si="1236">+AW144</f>
        <v>0</v>
      </c>
      <c r="AY144" s="22">
        <f>+'QTR Raw'!S62</f>
        <v>0</v>
      </c>
      <c r="AZ144" s="22">
        <f t="shared" ref="AZ144:AZ147" si="1237">+AY144</f>
        <v>0</v>
      </c>
      <c r="BA144" s="22">
        <f>+'QTR Raw'!U62</f>
        <v>0</v>
      </c>
      <c r="BB144" s="22">
        <f t="shared" ref="BB144:BB147" si="1238">+BA144</f>
        <v>0</v>
      </c>
      <c r="BC144" s="22">
        <f>+'QTR Raw'!W62</f>
        <v>0</v>
      </c>
      <c r="BD144" s="22">
        <f t="shared" ref="BD144:BD147" si="1239">+BC144</f>
        <v>0</v>
      </c>
      <c r="BE144" s="22">
        <f>+'QTR Raw'!Y62</f>
        <v>0</v>
      </c>
      <c r="BF144" s="22">
        <f t="shared" ref="BF144:BF147" si="1240">+BE144</f>
        <v>0</v>
      </c>
      <c r="BG144" s="22">
        <f>+'QTR Raw'!AA62</f>
        <v>0</v>
      </c>
      <c r="BH144" s="22">
        <f t="shared" ref="BH144:BH147" si="1241">+BG144</f>
        <v>0</v>
      </c>
      <c r="BI144" s="22">
        <f>+'QTR Raw'!AC62</f>
        <v>0</v>
      </c>
      <c r="BJ144" s="22">
        <f t="shared" ref="BJ144:BJ147" si="1242">+BI144</f>
        <v>0</v>
      </c>
      <c r="BK144" s="22">
        <f>+'QTR Raw'!AE62</f>
        <v>0</v>
      </c>
      <c r="BL144" s="22">
        <f t="shared" ref="BL144:BL147" si="1243">+BK144</f>
        <v>0</v>
      </c>
      <c r="BM144" s="22">
        <f>+'QTR Raw'!AG62</f>
        <v>0</v>
      </c>
      <c r="BN144" s="22">
        <f t="shared" ref="BN144:BN147" si="1244">+BM144</f>
        <v>0</v>
      </c>
      <c r="BO144" s="22">
        <f>+'QTR Raw'!AI62</f>
        <v>0</v>
      </c>
      <c r="BP144" s="22">
        <f t="shared" ref="BP144:BP147" si="1245">+BO144</f>
        <v>0</v>
      </c>
      <c r="BQ144" s="22">
        <f>+'QTR Raw'!AK62</f>
        <v>0</v>
      </c>
      <c r="BR144" s="22">
        <f t="shared" ref="BR144:BR147" si="1246">+BQ144</f>
        <v>0</v>
      </c>
      <c r="BS144" s="22">
        <f>+'QTR Raw'!AM62</f>
        <v>0</v>
      </c>
      <c r="BT144" s="22">
        <f t="shared" ref="BT144:BT147" si="1247">+BS144</f>
        <v>0</v>
      </c>
      <c r="BU144" s="22">
        <f>+'QTR Raw'!AO62</f>
        <v>0</v>
      </c>
      <c r="BV144" s="22">
        <f t="shared" ref="BV144:BV147" si="1248">+BU144</f>
        <v>0</v>
      </c>
      <c r="BW144" s="22">
        <f>+'QTR Raw'!AQ62</f>
        <v>0</v>
      </c>
      <c r="BX144" s="22">
        <f t="shared" ref="BX144:BX147" si="1249">+BW144</f>
        <v>0</v>
      </c>
      <c r="BY144" s="22">
        <f>+'QTR Raw'!AS62</f>
        <v>0</v>
      </c>
      <c r="BZ144" s="22">
        <f t="shared" ref="BZ144:BZ147" si="1250">+BY144</f>
        <v>0</v>
      </c>
      <c r="CA144" s="22">
        <f>+'QTR Raw'!AU62</f>
        <v>0</v>
      </c>
      <c r="CB144" s="22">
        <f t="shared" ref="CB144:CB147" si="1251">+CA144</f>
        <v>0</v>
      </c>
      <c r="CC144" s="22">
        <f>+'QTR Raw'!AW62</f>
        <v>0</v>
      </c>
      <c r="CD144" s="22">
        <f t="shared" ref="CD144:CD147" si="1252">+CC144</f>
        <v>0</v>
      </c>
      <c r="CE144" s="22">
        <f>+'QTR Raw'!AY62</f>
        <v>0</v>
      </c>
      <c r="CF144" s="22">
        <f t="shared" ref="CF144:CJ147" si="1253">+CE144</f>
        <v>0</v>
      </c>
      <c r="CG144" s="22">
        <f t="shared" si="1207"/>
        <v>840.68899999999996</v>
      </c>
      <c r="CH144" s="22">
        <f t="shared" si="1253"/>
        <v>840.68899999999996</v>
      </c>
      <c r="CI144" s="22">
        <f>+'QTR Raw'!BC62</f>
        <v>0</v>
      </c>
      <c r="CJ144" s="22">
        <f t="shared" si="1253"/>
        <v>0</v>
      </c>
      <c r="CK144" s="22">
        <f>+'QTR Raw'!BE62</f>
        <v>0</v>
      </c>
      <c r="CL144" s="22">
        <f t="shared" ref="CL144:CL147" si="1254">+CK144</f>
        <v>0</v>
      </c>
      <c r="CM144" s="23">
        <f t="shared" ref="CM144:CM147" si="1255">+CL144</f>
        <v>0</v>
      </c>
      <c r="CN144" s="23">
        <f t="shared" ref="CN144:CN147" si="1256">+CM144</f>
        <v>0</v>
      </c>
      <c r="CO144" s="23">
        <f t="shared" ref="CO144:CO147" si="1257">+CN144</f>
        <v>0</v>
      </c>
      <c r="CP144" s="23">
        <f t="shared" ref="CP144:CP147" si="1258">+CO144</f>
        <v>0</v>
      </c>
      <c r="CQ144" s="23">
        <f t="shared" ref="CQ144:CQ147" si="1259">+CP144</f>
        <v>0</v>
      </c>
      <c r="CR144" s="23">
        <f t="shared" ref="CR144:CR147" si="1260">+CQ144</f>
        <v>0</v>
      </c>
      <c r="CS144" s="23">
        <f t="shared" ref="CS144:CS147" si="1261">+CR144</f>
        <v>0</v>
      </c>
      <c r="CT144" s="23">
        <f t="shared" ref="CT144:CT147" si="1262">+CS144</f>
        <v>0</v>
      </c>
      <c r="CU144" s="23">
        <f t="shared" ref="CU144:CU147" si="1263">+CT144</f>
        <v>0</v>
      </c>
      <c r="CV144" s="23">
        <f t="shared" ref="CV144:CV147" si="1264">+CU144</f>
        <v>0</v>
      </c>
      <c r="CW144" s="23">
        <f t="shared" ref="CW144:CW147" si="1265">+CV144</f>
        <v>0</v>
      </c>
      <c r="CX144" s="23">
        <f t="shared" ref="CX144:CX147" si="1266">+CW144</f>
        <v>0</v>
      </c>
      <c r="CY144" s="23">
        <f t="shared" ref="CY144:CY147" si="1267">+CX144</f>
        <v>0</v>
      </c>
      <c r="CZ144" s="23">
        <f t="shared" ref="CZ144:CZ147" si="1268">+CY144</f>
        <v>0</v>
      </c>
      <c r="DA144" s="23">
        <f t="shared" ref="DA144:DA147" si="1269">+CZ144</f>
        <v>0</v>
      </c>
      <c r="DB144"/>
      <c r="DD144" s="122"/>
    </row>
    <row r="145" spans="1:108" s="22" customFormat="1" outlineLevel="1" x14ac:dyDescent="0.25">
      <c r="A145" s="22" t="s">
        <v>46</v>
      </c>
      <c r="B145" s="22">
        <f>'Annual Raw'!C48</f>
        <v>0</v>
      </c>
      <c r="C145" s="22">
        <f>'Annual Raw'!D48</f>
        <v>0</v>
      </c>
      <c r="D145" s="22">
        <f>'Annual Raw'!E48</f>
        <v>0</v>
      </c>
      <c r="E145" s="22">
        <f>'Annual Raw'!F48</f>
        <v>0</v>
      </c>
      <c r="F145" s="22">
        <f>'Annual Raw'!G48</f>
        <v>5</v>
      </c>
      <c r="G145" s="22">
        <f>'Annual Raw'!H48</f>
        <v>5</v>
      </c>
      <c r="H145" s="22">
        <f>'Annual Raw'!I48</f>
        <v>8.9282734000000001</v>
      </c>
      <c r="I145" s="22">
        <f>'Annual Raw'!J48</f>
        <v>22.4055781</v>
      </c>
      <c r="J145" s="22">
        <f>'Annual Raw'!K48</f>
        <v>36.577232000000002</v>
      </c>
      <c r="K145" s="22">
        <f>'Annual Raw'!L48</f>
        <v>145.94052490000001</v>
      </c>
      <c r="L145" s="22">
        <f>'Annual Raw'!M48</f>
        <v>155.1311384</v>
      </c>
      <c r="M145" s="22">
        <f>'Annual Raw'!N48</f>
        <v>124.782</v>
      </c>
      <c r="N145" s="22">
        <f>'Annual Raw'!O48</f>
        <v>570.07799999999997</v>
      </c>
      <c r="O145" s="22">
        <f>'Annual Raw'!P48</f>
        <v>561.90599999999995</v>
      </c>
      <c r="P145" s="22">
        <f>'Annual Raw'!Q48</f>
        <v>640.90599999999995</v>
      </c>
      <c r="Q145" s="22">
        <f>'Annual Raw'!R48</f>
        <v>819.90599999999995</v>
      </c>
      <c r="R145" s="22">
        <f>'Annual Raw'!S48</f>
        <v>74.983000000000004</v>
      </c>
      <c r="S145" s="22">
        <f>'Annual Raw'!T48</f>
        <v>58.853000000000002</v>
      </c>
      <c r="T145" s="22">
        <f>'Annual Raw'!U48</f>
        <v>6.41</v>
      </c>
      <c r="U145" s="22">
        <f>'Annual Raw'!V48</f>
        <v>0</v>
      </c>
      <c r="V145" s="22">
        <f>'Annual Raw'!W48</f>
        <v>0</v>
      </c>
      <c r="W145" s="22">
        <f>'Annual Raw'!X48</f>
        <v>0</v>
      </c>
      <c r="X145" s="22">
        <f>'Annual Raw'!Y48</f>
        <v>0</v>
      </c>
      <c r="Y145" s="22">
        <f>'Annual Raw'!Z48</f>
        <v>0</v>
      </c>
      <c r="Z145" s="22">
        <f>'Annual Raw'!AA48</f>
        <v>0</v>
      </c>
      <c r="AA145" s="23">
        <f t="shared" si="1224"/>
        <v>540.44899999999996</v>
      </c>
      <c r="AB145" s="23">
        <f t="shared" si="1225"/>
        <v>540.44899999999996</v>
      </c>
      <c r="AC145" s="23">
        <f t="shared" si="1226"/>
        <v>540.44899999999996</v>
      </c>
      <c r="AD145" s="23">
        <f t="shared" si="1227"/>
        <v>540.44899999999996</v>
      </c>
      <c r="AE145" s="23">
        <f t="shared" si="1228"/>
        <v>540.44899999999996</v>
      </c>
      <c r="AI145" s="22">
        <f>+'QTR Raw'!C63</f>
        <v>0</v>
      </c>
      <c r="AJ145" s="22">
        <f t="shared" si="1229"/>
        <v>0</v>
      </c>
      <c r="AK145" s="22">
        <f>+'QTR Raw'!E63</f>
        <v>0</v>
      </c>
      <c r="AL145" s="22">
        <f t="shared" si="1230"/>
        <v>0</v>
      </c>
      <c r="AM145" s="22">
        <f>+'QTR Raw'!G63</f>
        <v>0</v>
      </c>
      <c r="AN145" s="22">
        <f t="shared" si="1231"/>
        <v>0</v>
      </c>
      <c r="AO145" s="22">
        <f>+'QTR Raw'!I63</f>
        <v>0</v>
      </c>
      <c r="AP145" s="22">
        <f t="shared" si="1232"/>
        <v>0</v>
      </c>
      <c r="AQ145" s="22">
        <f>+'QTR Raw'!K63</f>
        <v>0</v>
      </c>
      <c r="AR145" s="22">
        <f t="shared" si="1233"/>
        <v>0</v>
      </c>
      <c r="AS145" s="22">
        <f>+'QTR Raw'!M63</f>
        <v>0</v>
      </c>
      <c r="AT145" s="22">
        <f t="shared" si="1234"/>
        <v>0</v>
      </c>
      <c r="AU145" s="22">
        <f>+'QTR Raw'!O63</f>
        <v>0</v>
      </c>
      <c r="AV145" s="22">
        <f t="shared" si="1235"/>
        <v>0</v>
      </c>
      <c r="AW145" s="22">
        <f>+'QTR Raw'!Q63</f>
        <v>1579.519</v>
      </c>
      <c r="AX145" s="22">
        <f t="shared" si="1236"/>
        <v>1579.519</v>
      </c>
      <c r="AY145" s="22">
        <f>+'QTR Raw'!S63</f>
        <v>0</v>
      </c>
      <c r="AZ145" s="22">
        <f t="shared" si="1237"/>
        <v>0</v>
      </c>
      <c r="BA145" s="22">
        <f>+'QTR Raw'!U63</f>
        <v>963.274</v>
      </c>
      <c r="BB145" s="22">
        <f t="shared" si="1238"/>
        <v>963.274</v>
      </c>
      <c r="BC145" s="22">
        <f>+'QTR Raw'!W63</f>
        <v>1395.164</v>
      </c>
      <c r="BD145" s="22">
        <f t="shared" si="1239"/>
        <v>1395.164</v>
      </c>
      <c r="BE145" s="22">
        <f>+'QTR Raw'!Y63</f>
        <v>1691.3679999999999</v>
      </c>
      <c r="BF145" s="22">
        <f t="shared" si="1240"/>
        <v>1691.3679999999999</v>
      </c>
      <c r="BG145" s="22">
        <f>+'QTR Raw'!AA63</f>
        <v>1551.5340000000001</v>
      </c>
      <c r="BH145" s="22">
        <f t="shared" si="1241"/>
        <v>1551.5340000000001</v>
      </c>
      <c r="BI145" s="22">
        <f>+'QTR Raw'!AC63</f>
        <v>1980.069</v>
      </c>
      <c r="BJ145" s="22">
        <f t="shared" si="1242"/>
        <v>1980.069</v>
      </c>
      <c r="BK145" s="22">
        <f>+'QTR Raw'!AE63</f>
        <v>3101.732</v>
      </c>
      <c r="BL145" s="22">
        <f t="shared" si="1243"/>
        <v>3101.732</v>
      </c>
      <c r="BM145" s="22">
        <f>+'QTR Raw'!AG63</f>
        <v>2355.3760000000002</v>
      </c>
      <c r="BN145" s="22">
        <f t="shared" si="1244"/>
        <v>2355.3760000000002</v>
      </c>
      <c r="BO145" s="22">
        <f>+'QTR Raw'!AI63</f>
        <v>1945.2</v>
      </c>
      <c r="BP145" s="22">
        <f t="shared" si="1245"/>
        <v>1945.2</v>
      </c>
      <c r="BQ145" s="22">
        <f>+'QTR Raw'!AK63</f>
        <v>1979.6220000000001</v>
      </c>
      <c r="BR145" s="22">
        <f t="shared" si="1246"/>
        <v>1979.6220000000001</v>
      </c>
      <c r="BS145" s="22">
        <f>+'QTR Raw'!AM63</f>
        <v>1308.7539999999999</v>
      </c>
      <c r="BT145" s="22">
        <f t="shared" si="1247"/>
        <v>1308.7539999999999</v>
      </c>
      <c r="BU145" s="22">
        <f>+'QTR Raw'!AO63</f>
        <v>1813.327</v>
      </c>
      <c r="BV145" s="22">
        <f t="shared" si="1248"/>
        <v>1813.327</v>
      </c>
      <c r="BW145" s="22">
        <f>+'QTR Raw'!AQ63</f>
        <v>897.36800000000005</v>
      </c>
      <c r="BX145" s="22">
        <f t="shared" si="1249"/>
        <v>897.36800000000005</v>
      </c>
      <c r="BY145" s="22">
        <f>+'QTR Raw'!AS63</f>
        <v>1727.0219999999999</v>
      </c>
      <c r="BZ145" s="22">
        <f t="shared" si="1250"/>
        <v>1727.0219999999999</v>
      </c>
      <c r="CA145" s="22">
        <f>+'QTR Raw'!AU63</f>
        <v>1787.1780000000001</v>
      </c>
      <c r="CB145" s="22">
        <f t="shared" si="1251"/>
        <v>1787.1780000000001</v>
      </c>
      <c r="CC145" s="22">
        <f>+'QTR Raw'!AW63</f>
        <v>3188.9380000000001</v>
      </c>
      <c r="CD145" s="22">
        <f t="shared" si="1252"/>
        <v>3188.9380000000001</v>
      </c>
      <c r="CE145" s="22">
        <f>+'QTR Raw'!AY63</f>
        <v>3541.2330000000002</v>
      </c>
      <c r="CF145" s="22">
        <f t="shared" si="1253"/>
        <v>3541.2330000000002</v>
      </c>
      <c r="CG145" s="22">
        <f t="shared" si="1207"/>
        <v>0</v>
      </c>
      <c r="CH145" s="22">
        <f t="shared" si="1253"/>
        <v>0</v>
      </c>
      <c r="CI145" s="22">
        <f>+'QTR Raw'!BC63</f>
        <v>578.822</v>
      </c>
      <c r="CJ145" s="22">
        <f t="shared" si="1253"/>
        <v>578.822</v>
      </c>
      <c r="CK145" s="22">
        <f>+'QTR Raw'!BE63</f>
        <v>540.44899999999996</v>
      </c>
      <c r="CL145" s="22">
        <f t="shared" si="1254"/>
        <v>540.44899999999996</v>
      </c>
      <c r="CM145" s="23">
        <f t="shared" si="1255"/>
        <v>540.44899999999996</v>
      </c>
      <c r="CN145" s="23">
        <f t="shared" si="1256"/>
        <v>540.44899999999996</v>
      </c>
      <c r="CO145" s="23">
        <f t="shared" si="1257"/>
        <v>540.44899999999996</v>
      </c>
      <c r="CP145" s="23">
        <f t="shared" si="1258"/>
        <v>540.44899999999996</v>
      </c>
      <c r="CQ145" s="23">
        <f t="shared" si="1259"/>
        <v>540.44899999999996</v>
      </c>
      <c r="CR145" s="23">
        <f t="shared" si="1260"/>
        <v>540.44899999999996</v>
      </c>
      <c r="CS145" s="23">
        <f t="shared" si="1261"/>
        <v>540.44899999999996</v>
      </c>
      <c r="CT145" s="23">
        <f t="shared" si="1262"/>
        <v>540.44899999999996</v>
      </c>
      <c r="CU145" s="23">
        <f t="shared" si="1263"/>
        <v>540.44899999999996</v>
      </c>
      <c r="CV145" s="23">
        <f t="shared" si="1264"/>
        <v>540.44899999999996</v>
      </c>
      <c r="CW145" s="23">
        <f t="shared" si="1265"/>
        <v>540.44899999999996</v>
      </c>
      <c r="CX145" s="23">
        <f t="shared" si="1266"/>
        <v>540.44899999999996</v>
      </c>
      <c r="CY145" s="23">
        <f t="shared" si="1267"/>
        <v>540.44899999999996</v>
      </c>
      <c r="CZ145" s="23">
        <f t="shared" si="1268"/>
        <v>540.44899999999996</v>
      </c>
      <c r="DA145" s="23">
        <f t="shared" si="1269"/>
        <v>540.44899999999996</v>
      </c>
      <c r="DB145"/>
      <c r="DD145" s="122"/>
    </row>
    <row r="146" spans="1:108" s="22" customFormat="1" outlineLevel="1" x14ac:dyDescent="0.25">
      <c r="A146" s="22" t="s">
        <v>47</v>
      </c>
      <c r="B146" s="22">
        <f>'Annual Raw'!C87+'Annual Raw'!C88+'Annual Raw'!C89+'Annual Raw'!C90</f>
        <v>0</v>
      </c>
      <c r="C146" s="22">
        <f>'Annual Raw'!D87+'Annual Raw'!D88+'Annual Raw'!D89+'Annual Raw'!D90</f>
        <v>0</v>
      </c>
      <c r="D146" s="22">
        <f>'Annual Raw'!E87+'Annual Raw'!E88+'Annual Raw'!E89+'Annual Raw'!E90</f>
        <v>0</v>
      </c>
      <c r="E146" s="22">
        <f>'Annual Raw'!F87+'Annual Raw'!F88+'Annual Raw'!F89+'Annual Raw'!F90</f>
        <v>0</v>
      </c>
      <c r="F146" s="22">
        <f>'Annual Raw'!G87+'Annual Raw'!G88+'Annual Raw'!G89+'Annual Raw'!G90</f>
        <v>0</v>
      </c>
      <c r="G146" s="22">
        <f>'Annual Raw'!H87+'Annual Raw'!H88+'Annual Raw'!H89+'Annual Raw'!H90</f>
        <v>0</v>
      </c>
      <c r="H146" s="22">
        <f>'Annual Raw'!I87+'Annual Raw'!I88+'Annual Raw'!I89+'Annual Raw'!I90</f>
        <v>0</v>
      </c>
      <c r="I146" s="22">
        <f>'Annual Raw'!J87+'Annual Raw'!J88+'Annual Raw'!J89+'Annual Raw'!J90</f>
        <v>0</v>
      </c>
      <c r="J146" s="22">
        <f>'Annual Raw'!K87+'Annual Raw'!K88+'Annual Raw'!K89+'Annual Raw'!K90</f>
        <v>0</v>
      </c>
      <c r="K146" s="22">
        <f>'Annual Raw'!L87+'Annual Raw'!L88+'Annual Raw'!L89+'Annual Raw'!L90</f>
        <v>0</v>
      </c>
      <c r="L146" s="22">
        <f>'Annual Raw'!M87+'Annual Raw'!M88+'Annual Raw'!M89+'Annual Raw'!M90</f>
        <v>0</v>
      </c>
      <c r="M146" s="22">
        <f>'Annual Raw'!N87+'Annual Raw'!N88+'Annual Raw'!N89+'Annual Raw'!N90</f>
        <v>91.465999999999994</v>
      </c>
      <c r="N146" s="22">
        <f>'Annual Raw'!O87+'Annual Raw'!O88+'Annual Raw'!O89+'Annual Raw'!O90</f>
        <v>238.964</v>
      </c>
      <c r="O146" s="22">
        <f>'Annual Raw'!P87+'Annual Raw'!P88+'Annual Raw'!P89+'Annual Raw'!P90</f>
        <v>298.81099999999998</v>
      </c>
      <c r="P146" s="22">
        <f>'Annual Raw'!Q87+'Annual Raw'!Q88+'Annual Raw'!Q89+'Annual Raw'!Q90</f>
        <v>276.56</v>
      </c>
      <c r="Q146" s="22">
        <f>'Annual Raw'!R87+'Annual Raw'!R88+'Annual Raw'!R89+'Annual Raw'!R90</f>
        <v>245.41399999999999</v>
      </c>
      <c r="R146" s="22">
        <f>'Annual Raw'!S87+'Annual Raw'!S88+'Annual Raw'!S89+'Annual Raw'!S90</f>
        <v>585.91700000000003</v>
      </c>
      <c r="S146" s="22">
        <f>'Annual Raw'!T87+'Annual Raw'!T88+'Annual Raw'!T89+'Annual Raw'!T90</f>
        <v>608.96899999999994</v>
      </c>
      <c r="T146" s="22">
        <f>'Annual Raw'!U87+'Annual Raw'!U88+'Annual Raw'!U89+'Annual Raw'!U90</f>
        <v>450.14300000000003</v>
      </c>
      <c r="U146" s="22">
        <f>'Annual Raw'!V87+'Annual Raw'!V88+'Annual Raw'!V89+'Annual Raw'!V90</f>
        <v>594.64300000000003</v>
      </c>
      <c r="V146" s="22">
        <f>'Annual Raw'!W87+'Annual Raw'!W88+'Annual Raw'!W89+'Annual Raw'!W90</f>
        <v>522.64300000000003</v>
      </c>
      <c r="W146" s="22">
        <f>'Annual Raw'!X87+'Annual Raw'!X88+'Annual Raw'!X89+'Annual Raw'!X90</f>
        <v>900.07600000000002</v>
      </c>
      <c r="X146" s="22">
        <f>'Annual Raw'!Y87+'Annual Raw'!Y88+'Annual Raw'!Y89+'Annual Raw'!Y90</f>
        <v>1340.095</v>
      </c>
      <c r="Y146" s="22">
        <f>'Annual Raw'!Z87+'Annual Raw'!Z88+'Annual Raw'!Z89+'Annual Raw'!Z90</f>
        <v>1002.244</v>
      </c>
      <c r="Z146" s="22">
        <f>'Annual Raw'!AA87+'Annual Raw'!AA88+'Annual Raw'!AA89+'Annual Raw'!AA90</f>
        <v>236.965</v>
      </c>
      <c r="AA146" s="23">
        <f t="shared" si="1224"/>
        <v>0</v>
      </c>
      <c r="AB146" s="23">
        <f t="shared" si="1225"/>
        <v>0</v>
      </c>
      <c r="AC146" s="23">
        <f t="shared" si="1226"/>
        <v>0</v>
      </c>
      <c r="AD146" s="23">
        <f t="shared" si="1227"/>
        <v>0</v>
      </c>
      <c r="AE146" s="23">
        <f t="shared" si="1228"/>
        <v>0</v>
      </c>
      <c r="AI146" s="22">
        <f>+'QTR Raw'!C90</f>
        <v>0</v>
      </c>
      <c r="AJ146" s="22">
        <f t="shared" si="1229"/>
        <v>0</v>
      </c>
      <c r="AK146" s="22">
        <f>+'QTR Raw'!E90</f>
        <v>0</v>
      </c>
      <c r="AL146" s="22">
        <f t="shared" si="1230"/>
        <v>0</v>
      </c>
      <c r="AM146" s="22">
        <f>+'QTR Raw'!G90</f>
        <v>0</v>
      </c>
      <c r="AN146" s="22">
        <f t="shared" si="1231"/>
        <v>0</v>
      </c>
      <c r="AO146" s="22">
        <f>+'QTR Raw'!I90</f>
        <v>0</v>
      </c>
      <c r="AP146" s="22">
        <f t="shared" si="1232"/>
        <v>0</v>
      </c>
      <c r="AQ146" s="22">
        <f>+'QTR Raw'!K90</f>
        <v>0</v>
      </c>
      <c r="AR146" s="22">
        <f t="shared" si="1233"/>
        <v>0</v>
      </c>
      <c r="AS146" s="22">
        <f>+'QTR Raw'!M90</f>
        <v>0</v>
      </c>
      <c r="AT146" s="22">
        <f t="shared" si="1234"/>
        <v>0</v>
      </c>
      <c r="AU146" s="22">
        <f>+'QTR Raw'!O90</f>
        <v>0</v>
      </c>
      <c r="AV146" s="22">
        <f t="shared" si="1235"/>
        <v>0</v>
      </c>
      <c r="AW146" s="22">
        <f>+'QTR Raw'!Q90</f>
        <v>0</v>
      </c>
      <c r="AX146" s="22">
        <f t="shared" si="1236"/>
        <v>0</v>
      </c>
      <c r="AY146" s="22">
        <f>+'QTR Raw'!S90</f>
        <v>0</v>
      </c>
      <c r="AZ146" s="22">
        <f t="shared" si="1237"/>
        <v>0</v>
      </c>
      <c r="BA146" s="22">
        <f>+'QTR Raw'!U90</f>
        <v>0</v>
      </c>
      <c r="BB146" s="22">
        <f t="shared" si="1238"/>
        <v>0</v>
      </c>
      <c r="BC146" s="22">
        <f>+'QTR Raw'!W90</f>
        <v>0</v>
      </c>
      <c r="BD146" s="22">
        <f t="shared" si="1239"/>
        <v>0</v>
      </c>
      <c r="BE146" s="22">
        <f>+'QTR Raw'!Y90</f>
        <v>0</v>
      </c>
      <c r="BF146" s="22">
        <f t="shared" si="1240"/>
        <v>0</v>
      </c>
      <c r="BG146" s="22">
        <f>+'QTR Raw'!AA90</f>
        <v>0</v>
      </c>
      <c r="BH146" s="22">
        <f t="shared" si="1241"/>
        <v>0</v>
      </c>
      <c r="BI146" s="22">
        <f>+'QTR Raw'!AC90</f>
        <v>0</v>
      </c>
      <c r="BJ146" s="22">
        <f t="shared" si="1242"/>
        <v>0</v>
      </c>
      <c r="BK146" s="22">
        <f>+'QTR Raw'!AE90</f>
        <v>0</v>
      </c>
      <c r="BL146" s="22">
        <f t="shared" si="1243"/>
        <v>0</v>
      </c>
      <c r="BM146" s="22">
        <f>+'QTR Raw'!AG90</f>
        <v>0</v>
      </c>
      <c r="BN146" s="22">
        <f t="shared" si="1244"/>
        <v>0</v>
      </c>
      <c r="BO146" s="22">
        <f>+'QTR Raw'!AI90</f>
        <v>0</v>
      </c>
      <c r="BP146" s="22">
        <f t="shared" si="1245"/>
        <v>0</v>
      </c>
      <c r="BQ146" s="22">
        <f>+'QTR Raw'!AK90</f>
        <v>0</v>
      </c>
      <c r="BR146" s="22">
        <f t="shared" si="1246"/>
        <v>0</v>
      </c>
      <c r="BS146" s="22">
        <f>+'QTR Raw'!AM90</f>
        <v>0</v>
      </c>
      <c r="BT146" s="22">
        <f t="shared" si="1247"/>
        <v>0</v>
      </c>
      <c r="BU146" s="22">
        <f>+'QTR Raw'!AO90</f>
        <v>0</v>
      </c>
      <c r="BV146" s="22">
        <f t="shared" si="1248"/>
        <v>0</v>
      </c>
      <c r="BW146" s="22">
        <f>+'QTR Raw'!AQ90</f>
        <v>0</v>
      </c>
      <c r="BX146" s="22">
        <f t="shared" si="1249"/>
        <v>0</v>
      </c>
      <c r="BY146" s="22">
        <f>+'QTR Raw'!AS90</f>
        <v>0</v>
      </c>
      <c r="BZ146" s="22">
        <f t="shared" si="1250"/>
        <v>0</v>
      </c>
      <c r="CA146" s="22">
        <f>+'QTR Raw'!AU90</f>
        <v>0</v>
      </c>
      <c r="CB146" s="22">
        <f t="shared" si="1251"/>
        <v>0</v>
      </c>
      <c r="CC146" s="22">
        <f>+'QTR Raw'!AW90</f>
        <v>0</v>
      </c>
      <c r="CD146" s="22">
        <f t="shared" si="1252"/>
        <v>0</v>
      </c>
      <c r="CE146" s="22">
        <f>+'QTR Raw'!AY90</f>
        <v>0</v>
      </c>
      <c r="CF146" s="22">
        <f t="shared" si="1253"/>
        <v>0</v>
      </c>
      <c r="CG146" s="22">
        <f t="shared" si="1207"/>
        <v>236.965</v>
      </c>
      <c r="CH146" s="22">
        <f t="shared" si="1253"/>
        <v>236.965</v>
      </c>
      <c r="CI146" s="22">
        <f>+'QTR Raw'!BC90</f>
        <v>0</v>
      </c>
      <c r="CJ146" s="22">
        <f t="shared" si="1253"/>
        <v>0</v>
      </c>
      <c r="CK146" s="22">
        <f>+'QTR Raw'!BE90</f>
        <v>0</v>
      </c>
      <c r="CL146" s="22">
        <f t="shared" si="1254"/>
        <v>0</v>
      </c>
      <c r="CM146" s="23">
        <f t="shared" si="1255"/>
        <v>0</v>
      </c>
      <c r="CN146" s="23">
        <f t="shared" si="1256"/>
        <v>0</v>
      </c>
      <c r="CO146" s="23">
        <f t="shared" si="1257"/>
        <v>0</v>
      </c>
      <c r="CP146" s="23">
        <f t="shared" si="1258"/>
        <v>0</v>
      </c>
      <c r="CQ146" s="23">
        <f t="shared" si="1259"/>
        <v>0</v>
      </c>
      <c r="CR146" s="23">
        <f t="shared" si="1260"/>
        <v>0</v>
      </c>
      <c r="CS146" s="23">
        <f t="shared" si="1261"/>
        <v>0</v>
      </c>
      <c r="CT146" s="23">
        <f t="shared" si="1262"/>
        <v>0</v>
      </c>
      <c r="CU146" s="23">
        <f t="shared" si="1263"/>
        <v>0</v>
      </c>
      <c r="CV146" s="23">
        <f t="shared" si="1264"/>
        <v>0</v>
      </c>
      <c r="CW146" s="23">
        <f t="shared" si="1265"/>
        <v>0</v>
      </c>
      <c r="CX146" s="23">
        <f t="shared" si="1266"/>
        <v>0</v>
      </c>
      <c r="CY146" s="23">
        <f t="shared" si="1267"/>
        <v>0</v>
      </c>
      <c r="CZ146" s="23">
        <f t="shared" si="1268"/>
        <v>0</v>
      </c>
      <c r="DA146" s="23">
        <f t="shared" si="1269"/>
        <v>0</v>
      </c>
      <c r="DB146"/>
      <c r="DD146" s="122"/>
    </row>
    <row r="147" spans="1:108" s="22" customFormat="1" outlineLevel="1" x14ac:dyDescent="0.25">
      <c r="A147" s="22" t="s">
        <v>48</v>
      </c>
      <c r="B147" s="22">
        <f>'Annual Raw'!C56</f>
        <v>0</v>
      </c>
      <c r="C147" s="22">
        <f>'Annual Raw'!D56</f>
        <v>0</v>
      </c>
      <c r="D147" s="22">
        <f>'Annual Raw'!E56</f>
        <v>0</v>
      </c>
      <c r="E147" s="22">
        <f>'Annual Raw'!F56</f>
        <v>0</v>
      </c>
      <c r="F147" s="22">
        <f>'Annual Raw'!G56</f>
        <v>0</v>
      </c>
      <c r="G147" s="22">
        <f>'Annual Raw'!H56</f>
        <v>0</v>
      </c>
      <c r="H147" s="22">
        <f>'Annual Raw'!I56</f>
        <v>0</v>
      </c>
      <c r="I147" s="22">
        <f>'Annual Raw'!J56</f>
        <v>0</v>
      </c>
      <c r="J147" s="22">
        <f>'Annual Raw'!K56</f>
        <v>0</v>
      </c>
      <c r="K147" s="22">
        <f>'Annual Raw'!L56</f>
        <v>0</v>
      </c>
      <c r="L147" s="22">
        <f>'Annual Raw'!M56</f>
        <v>0</v>
      </c>
      <c r="M147" s="22">
        <f>'Annual Raw'!N56</f>
        <v>235.71799999999999</v>
      </c>
      <c r="N147" s="22">
        <f>'Annual Raw'!O56</f>
        <v>338.44</v>
      </c>
      <c r="O147" s="22">
        <f>'Annual Raw'!P56</f>
        <v>337.649</v>
      </c>
      <c r="P147" s="22">
        <f>'Annual Raw'!Q56</f>
        <v>508.517</v>
      </c>
      <c r="Q147" s="22">
        <f>'Annual Raw'!R56</f>
        <v>252.41200000000001</v>
      </c>
      <c r="R147" s="22">
        <f>'Annual Raw'!S56</f>
        <v>411.12900000000002</v>
      </c>
      <c r="S147" s="22">
        <f>'Annual Raw'!T56</f>
        <v>353.36500000000001</v>
      </c>
      <c r="T147" s="22">
        <f>'Annual Raw'!U56</f>
        <v>377.65499999999997</v>
      </c>
      <c r="U147" s="22">
        <f>'Annual Raw'!V56</f>
        <v>467.154</v>
      </c>
      <c r="V147" s="22">
        <f>'Annual Raw'!W56</f>
        <v>713.85799999999995</v>
      </c>
      <c r="W147" s="22">
        <f>'Annual Raw'!X56</f>
        <v>628.49199999999996</v>
      </c>
      <c r="X147" s="22">
        <f>'Annual Raw'!Y56</f>
        <v>627.69500000000005</v>
      </c>
      <c r="Y147" s="22">
        <f>'Annual Raw'!Z56</f>
        <v>1003.205</v>
      </c>
      <c r="Z147" s="22">
        <f>'Annual Raw'!AA56</f>
        <v>1286.6110000000001</v>
      </c>
      <c r="AA147" s="23">
        <f t="shared" si="1224"/>
        <v>1483.67</v>
      </c>
      <c r="AB147" s="23">
        <f t="shared" si="1225"/>
        <v>1483.67</v>
      </c>
      <c r="AC147" s="23">
        <f t="shared" si="1226"/>
        <v>1483.67</v>
      </c>
      <c r="AD147" s="23">
        <f t="shared" si="1227"/>
        <v>1483.67</v>
      </c>
      <c r="AE147" s="23">
        <f t="shared" si="1228"/>
        <v>1483.67</v>
      </c>
      <c r="AI147" s="22">
        <f>+'QTR Raw'!C88</f>
        <v>0</v>
      </c>
      <c r="AJ147" s="22">
        <f t="shared" si="1229"/>
        <v>0</v>
      </c>
      <c r="AK147" s="22">
        <f>+'QTR Raw'!E88</f>
        <v>0</v>
      </c>
      <c r="AL147" s="22">
        <f t="shared" si="1230"/>
        <v>0</v>
      </c>
      <c r="AM147" s="22">
        <f>+'QTR Raw'!G88</f>
        <v>0</v>
      </c>
      <c r="AN147" s="22">
        <f t="shared" si="1231"/>
        <v>0</v>
      </c>
      <c r="AO147" s="22">
        <f>+'QTR Raw'!I88</f>
        <v>0</v>
      </c>
      <c r="AP147" s="22">
        <f t="shared" si="1232"/>
        <v>0</v>
      </c>
      <c r="AQ147" s="22">
        <f>+'QTR Raw'!K88</f>
        <v>0</v>
      </c>
      <c r="AR147" s="22">
        <f t="shared" si="1233"/>
        <v>0</v>
      </c>
      <c r="AS147" s="22">
        <f>+'QTR Raw'!M88</f>
        <v>0</v>
      </c>
      <c r="AT147" s="22">
        <f t="shared" si="1234"/>
        <v>0</v>
      </c>
      <c r="AU147" s="22">
        <f>+'QTR Raw'!O88</f>
        <v>0</v>
      </c>
      <c r="AV147" s="22">
        <f t="shared" si="1235"/>
        <v>0</v>
      </c>
      <c r="AW147" s="22">
        <f>+'QTR Raw'!Q88</f>
        <v>252.41200000000001</v>
      </c>
      <c r="AX147" s="22">
        <f t="shared" si="1236"/>
        <v>252.41200000000001</v>
      </c>
      <c r="AY147" s="22">
        <f>+'QTR Raw'!S88</f>
        <v>0</v>
      </c>
      <c r="AZ147" s="22">
        <f t="shared" si="1237"/>
        <v>0</v>
      </c>
      <c r="BA147" s="22">
        <f>+'QTR Raw'!U88</f>
        <v>405.57100000000003</v>
      </c>
      <c r="BB147" s="22">
        <f t="shared" si="1238"/>
        <v>405.57100000000003</v>
      </c>
      <c r="BC147" s="22">
        <f>+'QTR Raw'!W88</f>
        <v>371.25599999999997</v>
      </c>
      <c r="BD147" s="22">
        <f t="shared" si="1239"/>
        <v>371.25599999999997</v>
      </c>
      <c r="BE147" s="22">
        <f>+'QTR Raw'!Y88</f>
        <v>353.36500000000001</v>
      </c>
      <c r="BF147" s="22">
        <f t="shared" si="1240"/>
        <v>353.36500000000001</v>
      </c>
      <c r="BG147" s="22">
        <f>+'QTR Raw'!AA88</f>
        <v>348.74400000000003</v>
      </c>
      <c r="BH147" s="22">
        <f t="shared" si="1241"/>
        <v>348.74400000000003</v>
      </c>
      <c r="BI147" s="22">
        <f>+'QTR Raw'!AC88</f>
        <v>377.65499999999997</v>
      </c>
      <c r="BJ147" s="22">
        <f t="shared" si="1242"/>
        <v>377.65499999999997</v>
      </c>
      <c r="BK147" s="22">
        <f>+'QTR Raw'!AE88</f>
        <v>151.58799999999999</v>
      </c>
      <c r="BL147" s="22">
        <f t="shared" si="1243"/>
        <v>151.58799999999999</v>
      </c>
      <c r="BM147" s="22">
        <f>+'QTR Raw'!AG88</f>
        <v>467.154</v>
      </c>
      <c r="BN147" s="22">
        <f t="shared" si="1244"/>
        <v>467.154</v>
      </c>
      <c r="BO147" s="22">
        <f>+'QTR Raw'!AI88</f>
        <v>355.62599999999998</v>
      </c>
      <c r="BP147" s="22">
        <f t="shared" si="1245"/>
        <v>355.62599999999998</v>
      </c>
      <c r="BQ147" s="22">
        <f>+'QTR Raw'!AK88</f>
        <v>713.85799999999995</v>
      </c>
      <c r="BR147" s="22">
        <f t="shared" si="1246"/>
        <v>713.85799999999995</v>
      </c>
      <c r="BS147" s="22">
        <f>+'QTR Raw'!AM88</f>
        <v>425.17399999999998</v>
      </c>
      <c r="BT147" s="22">
        <f t="shared" si="1247"/>
        <v>425.17399999999998</v>
      </c>
      <c r="BU147" s="22">
        <f>+'QTR Raw'!AO88</f>
        <v>1528.568</v>
      </c>
      <c r="BV147" s="22">
        <f t="shared" si="1248"/>
        <v>1528.568</v>
      </c>
      <c r="BW147" s="22">
        <f>+'QTR Raw'!AQ88</f>
        <v>1459.6859999999999</v>
      </c>
      <c r="BX147" s="22">
        <f t="shared" si="1249"/>
        <v>1459.6859999999999</v>
      </c>
      <c r="BY147" s="22">
        <f>+'QTR Raw'!AS88</f>
        <v>1967.79</v>
      </c>
      <c r="BZ147" s="22">
        <f t="shared" si="1250"/>
        <v>1967.79</v>
      </c>
      <c r="CA147" s="22">
        <f>+'QTR Raw'!AU88</f>
        <v>1696.6769999999999</v>
      </c>
      <c r="CB147" s="22">
        <f t="shared" si="1251"/>
        <v>1696.6769999999999</v>
      </c>
      <c r="CC147" s="22">
        <f>+'QTR Raw'!AW88</f>
        <v>2005.4490000000001</v>
      </c>
      <c r="CD147" s="22">
        <f t="shared" si="1252"/>
        <v>2005.4490000000001</v>
      </c>
      <c r="CE147" s="22">
        <f>+'QTR Raw'!AY88</f>
        <v>2747.3159999999998</v>
      </c>
      <c r="CF147" s="22">
        <f t="shared" si="1253"/>
        <v>2747.3159999999998</v>
      </c>
      <c r="CG147" s="22">
        <f t="shared" si="1207"/>
        <v>1286.6110000000001</v>
      </c>
      <c r="CH147" s="22">
        <f t="shared" si="1253"/>
        <v>1286.6110000000001</v>
      </c>
      <c r="CI147" s="22">
        <f>+'QTR Raw'!BC88</f>
        <v>1055.231</v>
      </c>
      <c r="CJ147" s="22">
        <f t="shared" si="1253"/>
        <v>1055.231</v>
      </c>
      <c r="CK147" s="22">
        <f>+'QTR Raw'!BE88</f>
        <v>1483.67</v>
      </c>
      <c r="CL147" s="22">
        <f t="shared" si="1254"/>
        <v>1483.67</v>
      </c>
      <c r="CM147" s="23">
        <f t="shared" si="1255"/>
        <v>1483.67</v>
      </c>
      <c r="CN147" s="23">
        <f t="shared" si="1256"/>
        <v>1483.67</v>
      </c>
      <c r="CO147" s="23">
        <f t="shared" si="1257"/>
        <v>1483.67</v>
      </c>
      <c r="CP147" s="23">
        <f t="shared" si="1258"/>
        <v>1483.67</v>
      </c>
      <c r="CQ147" s="23">
        <f t="shared" si="1259"/>
        <v>1483.67</v>
      </c>
      <c r="CR147" s="23">
        <f t="shared" si="1260"/>
        <v>1483.67</v>
      </c>
      <c r="CS147" s="23">
        <f t="shared" si="1261"/>
        <v>1483.67</v>
      </c>
      <c r="CT147" s="23">
        <f t="shared" si="1262"/>
        <v>1483.67</v>
      </c>
      <c r="CU147" s="23">
        <f t="shared" si="1263"/>
        <v>1483.67</v>
      </c>
      <c r="CV147" s="23">
        <f t="shared" si="1264"/>
        <v>1483.67</v>
      </c>
      <c r="CW147" s="23">
        <f t="shared" si="1265"/>
        <v>1483.67</v>
      </c>
      <c r="CX147" s="23">
        <f t="shared" si="1266"/>
        <v>1483.67</v>
      </c>
      <c r="CY147" s="23">
        <f t="shared" si="1267"/>
        <v>1483.67</v>
      </c>
      <c r="CZ147" s="23">
        <f t="shared" si="1268"/>
        <v>1483.67</v>
      </c>
      <c r="DA147" s="23">
        <f t="shared" si="1269"/>
        <v>1483.67</v>
      </c>
      <c r="DB147"/>
      <c r="DD147" s="122"/>
    </row>
    <row r="148" spans="1:108" s="21" customFormat="1" x14ac:dyDescent="0.25">
      <c r="A148" s="21" t="s">
        <v>49</v>
      </c>
      <c r="B148" s="21">
        <f>SUM(B144:B147)</f>
        <v>0</v>
      </c>
      <c r="C148" s="21">
        <f t="shared" ref="C148:V148" si="1270">SUM(C144:C147)</f>
        <v>0</v>
      </c>
      <c r="D148" s="21">
        <f t="shared" si="1270"/>
        <v>0</v>
      </c>
      <c r="E148" s="21">
        <f t="shared" si="1270"/>
        <v>0</v>
      </c>
      <c r="F148" s="21">
        <f t="shared" si="1270"/>
        <v>170.50053689999999</v>
      </c>
      <c r="G148" s="21">
        <f t="shared" si="1270"/>
        <v>144.91500919999999</v>
      </c>
      <c r="H148" s="21">
        <f t="shared" si="1270"/>
        <v>133.48776029999999</v>
      </c>
      <c r="I148" s="21">
        <f t="shared" si="1270"/>
        <v>128.11067409999998</v>
      </c>
      <c r="J148" s="21">
        <f t="shared" si="1270"/>
        <v>237.30304560000002</v>
      </c>
      <c r="K148" s="21">
        <f t="shared" si="1270"/>
        <v>391.95144579999999</v>
      </c>
      <c r="L148" s="21">
        <f t="shared" si="1270"/>
        <v>554.7291616</v>
      </c>
      <c r="M148" s="21">
        <f t="shared" si="1270"/>
        <v>888.66200000000003</v>
      </c>
      <c r="N148" s="21">
        <f t="shared" si="1270"/>
        <v>1940.2159999999999</v>
      </c>
      <c r="O148" s="21">
        <f t="shared" si="1270"/>
        <v>2331.6469999999999</v>
      </c>
      <c r="P148" s="21">
        <f t="shared" si="1270"/>
        <v>2415.3149999999996</v>
      </c>
      <c r="Q148" s="21">
        <f t="shared" si="1270"/>
        <v>2077.3449999999998</v>
      </c>
      <c r="R148" s="21">
        <f t="shared" si="1270"/>
        <v>2215.4069999999997</v>
      </c>
      <c r="S148" s="21">
        <f t="shared" si="1270"/>
        <v>2653.7020000000002</v>
      </c>
      <c r="T148" s="21">
        <f t="shared" si="1270"/>
        <v>2807.8670000000002</v>
      </c>
      <c r="U148" s="21">
        <f t="shared" si="1270"/>
        <v>3417.1730000000002</v>
      </c>
      <c r="V148" s="21">
        <f t="shared" si="1270"/>
        <v>3216.1230000000005</v>
      </c>
      <c r="W148" s="21">
        <f t="shared" ref="W148" si="1271">SUM(W144:W147)</f>
        <v>3341.8950000000004</v>
      </c>
      <c r="X148" s="21">
        <f t="shared" ref="X148:Y148" si="1272">SUM(X144:X147)</f>
        <v>3694.8120000000004</v>
      </c>
      <c r="Y148" s="21">
        <f t="shared" si="1272"/>
        <v>5194.3869999999997</v>
      </c>
      <c r="Z148" s="21">
        <f t="shared" ref="Z148" si="1273">SUM(Z144:Z147)</f>
        <v>2364.2650000000003</v>
      </c>
      <c r="AA148" s="20">
        <f t="shared" ref="AA148:AD148" si="1274">SUM(AA144:AA147)</f>
        <v>2024.1190000000001</v>
      </c>
      <c r="AB148" s="20">
        <f t="shared" si="1274"/>
        <v>2024.1190000000001</v>
      </c>
      <c r="AC148" s="20">
        <f t="shared" si="1274"/>
        <v>2024.1190000000001</v>
      </c>
      <c r="AD148" s="20">
        <f t="shared" si="1274"/>
        <v>2024.1190000000001</v>
      </c>
      <c r="AE148" s="20">
        <f t="shared" ref="AE148" si="1275">SUM(AE144:AE147)</f>
        <v>2024.1190000000001</v>
      </c>
      <c r="AI148" s="21">
        <f t="shared" ref="AI148:AL148" si="1276">SUM(AI144:AI147)</f>
        <v>0</v>
      </c>
      <c r="AJ148" s="21">
        <f t="shared" si="1276"/>
        <v>0</v>
      </c>
      <c r="AK148" s="21">
        <f t="shared" si="1276"/>
        <v>0</v>
      </c>
      <c r="AL148" s="21">
        <f t="shared" si="1276"/>
        <v>0</v>
      </c>
      <c r="AM148" s="21">
        <f t="shared" ref="AM148:AP148" si="1277">SUM(AM144:AM147)</f>
        <v>0</v>
      </c>
      <c r="AN148" s="21">
        <f t="shared" si="1277"/>
        <v>0</v>
      </c>
      <c r="AO148" s="21">
        <f t="shared" si="1277"/>
        <v>0</v>
      </c>
      <c r="AP148" s="21">
        <f t="shared" si="1277"/>
        <v>0</v>
      </c>
      <c r="AQ148" s="21">
        <f t="shared" ref="AQ148:AT148" si="1278">SUM(AQ144:AQ147)</f>
        <v>0</v>
      </c>
      <c r="AR148" s="21">
        <f t="shared" si="1278"/>
        <v>0</v>
      </c>
      <c r="AS148" s="21">
        <f t="shared" si="1278"/>
        <v>0</v>
      </c>
      <c r="AT148" s="21">
        <f t="shared" si="1278"/>
        <v>0</v>
      </c>
      <c r="AU148" s="21">
        <f t="shared" ref="AU148:AX148" si="1279">SUM(AU144:AU147)</f>
        <v>0</v>
      </c>
      <c r="AV148" s="21">
        <f t="shared" si="1279"/>
        <v>0</v>
      </c>
      <c r="AW148" s="21">
        <f t="shared" si="1279"/>
        <v>1831.931</v>
      </c>
      <c r="AX148" s="21">
        <f t="shared" si="1279"/>
        <v>1831.931</v>
      </c>
      <c r="AY148" s="21">
        <f t="shared" ref="AY148:BB148" si="1280">SUM(AY144:AY147)</f>
        <v>0</v>
      </c>
      <c r="AZ148" s="21">
        <f t="shared" si="1280"/>
        <v>0</v>
      </c>
      <c r="BA148" s="21">
        <f t="shared" si="1280"/>
        <v>1368.845</v>
      </c>
      <c r="BB148" s="21">
        <f t="shared" si="1280"/>
        <v>1368.845</v>
      </c>
      <c r="BC148" s="21">
        <f t="shared" ref="BC148:BF148" si="1281">SUM(BC144:BC147)</f>
        <v>1766.42</v>
      </c>
      <c r="BD148" s="21">
        <f t="shared" si="1281"/>
        <v>1766.42</v>
      </c>
      <c r="BE148" s="21">
        <f t="shared" si="1281"/>
        <v>2044.7329999999999</v>
      </c>
      <c r="BF148" s="21">
        <f t="shared" si="1281"/>
        <v>2044.7329999999999</v>
      </c>
      <c r="BG148" s="21">
        <f t="shared" ref="BG148:BJ148" si="1282">SUM(BG144:BG147)</f>
        <v>1900.2780000000002</v>
      </c>
      <c r="BH148" s="21">
        <f t="shared" si="1282"/>
        <v>1900.2780000000002</v>
      </c>
      <c r="BI148" s="21">
        <f t="shared" si="1282"/>
        <v>2357.7240000000002</v>
      </c>
      <c r="BJ148" s="21">
        <f t="shared" si="1282"/>
        <v>2357.7240000000002</v>
      </c>
      <c r="BK148" s="21">
        <f t="shared" ref="BK148:BN148" si="1283">SUM(BK144:BK147)</f>
        <v>3253.32</v>
      </c>
      <c r="BL148" s="21">
        <f t="shared" si="1283"/>
        <v>3253.32</v>
      </c>
      <c r="BM148" s="21">
        <f t="shared" si="1283"/>
        <v>2822.53</v>
      </c>
      <c r="BN148" s="21">
        <f t="shared" si="1283"/>
        <v>2822.53</v>
      </c>
      <c r="BO148" s="21">
        <f t="shared" ref="BO148:BR148" si="1284">SUM(BO144:BO147)</f>
        <v>2300.826</v>
      </c>
      <c r="BP148" s="21">
        <f t="shared" si="1284"/>
        <v>2300.826</v>
      </c>
      <c r="BQ148" s="21">
        <f t="shared" si="1284"/>
        <v>2693.48</v>
      </c>
      <c r="BR148" s="21">
        <f t="shared" si="1284"/>
        <v>2693.48</v>
      </c>
      <c r="BS148" s="21">
        <f t="shared" ref="BS148:BV148" si="1285">SUM(BS144:BS147)</f>
        <v>1733.9279999999999</v>
      </c>
      <c r="BT148" s="21">
        <f t="shared" si="1285"/>
        <v>1733.9279999999999</v>
      </c>
      <c r="BU148" s="21">
        <f t="shared" si="1285"/>
        <v>3341.895</v>
      </c>
      <c r="BV148" s="21">
        <f t="shared" si="1285"/>
        <v>3341.895</v>
      </c>
      <c r="BW148" s="21">
        <f t="shared" ref="BW148:BZ148" si="1286">SUM(BW144:BW147)</f>
        <v>2357.0540000000001</v>
      </c>
      <c r="BX148" s="21">
        <f t="shared" si="1286"/>
        <v>2357.0540000000001</v>
      </c>
      <c r="BY148" s="21">
        <f t="shared" si="1286"/>
        <v>3694.8119999999999</v>
      </c>
      <c r="BZ148" s="21">
        <f t="shared" si="1286"/>
        <v>3694.8119999999999</v>
      </c>
      <c r="CA148" s="21">
        <f t="shared" ref="CA148:CD148" si="1287">SUM(CA144:CA147)</f>
        <v>3483.855</v>
      </c>
      <c r="CB148" s="21">
        <f t="shared" si="1287"/>
        <v>3483.855</v>
      </c>
      <c r="CC148" s="21">
        <f t="shared" si="1287"/>
        <v>5194.3870000000006</v>
      </c>
      <c r="CD148" s="21">
        <f t="shared" si="1287"/>
        <v>5194.3870000000006</v>
      </c>
      <c r="CE148" s="21">
        <f t="shared" ref="CE148" si="1288">SUM(CE144:CE147)</f>
        <v>6288.549</v>
      </c>
      <c r="CF148" s="21">
        <f t="shared" ref="CF148:CH148" si="1289">SUM(CF144:CF147)</f>
        <v>6288.549</v>
      </c>
      <c r="CG148" s="21">
        <f t="shared" ref="CG148" si="1290">SUM(CG144:CG147)</f>
        <v>2364.2650000000003</v>
      </c>
      <c r="CH148" s="21">
        <f t="shared" si="1289"/>
        <v>2364.2650000000003</v>
      </c>
      <c r="CI148" s="21">
        <f t="shared" ref="CI148:CJ148" si="1291">SUM(CI144:CI147)</f>
        <v>1634.0529999999999</v>
      </c>
      <c r="CJ148" s="21">
        <f t="shared" si="1291"/>
        <v>1634.0529999999999</v>
      </c>
      <c r="CK148" s="21">
        <f t="shared" ref="CK148:CL148" si="1292">SUM(CK144:CK147)</f>
        <v>2024.1190000000001</v>
      </c>
      <c r="CL148" s="21">
        <f t="shared" ref="CL148:DA148" si="1293">SUM(CL144:CL147)</f>
        <v>2024.1190000000001</v>
      </c>
      <c r="CM148" s="20">
        <f t="shared" si="1293"/>
        <v>2024.1190000000001</v>
      </c>
      <c r="CN148" s="20">
        <f t="shared" si="1293"/>
        <v>2024.1190000000001</v>
      </c>
      <c r="CO148" s="20">
        <f t="shared" si="1293"/>
        <v>2024.1190000000001</v>
      </c>
      <c r="CP148" s="20">
        <f t="shared" si="1293"/>
        <v>2024.1190000000001</v>
      </c>
      <c r="CQ148" s="20">
        <f t="shared" si="1293"/>
        <v>2024.1190000000001</v>
      </c>
      <c r="CR148" s="20">
        <f t="shared" si="1293"/>
        <v>2024.1190000000001</v>
      </c>
      <c r="CS148" s="20">
        <f t="shared" si="1293"/>
        <v>2024.1190000000001</v>
      </c>
      <c r="CT148" s="20">
        <f t="shared" si="1293"/>
        <v>2024.1190000000001</v>
      </c>
      <c r="CU148" s="20">
        <f t="shared" si="1293"/>
        <v>2024.1190000000001</v>
      </c>
      <c r="CV148" s="20">
        <f t="shared" si="1293"/>
        <v>2024.1190000000001</v>
      </c>
      <c r="CW148" s="20">
        <f t="shared" si="1293"/>
        <v>2024.1190000000001</v>
      </c>
      <c r="CX148" s="20">
        <f t="shared" si="1293"/>
        <v>2024.1190000000001</v>
      </c>
      <c r="CY148" s="20">
        <f t="shared" si="1293"/>
        <v>2024.1190000000001</v>
      </c>
      <c r="CZ148" s="20">
        <f t="shared" si="1293"/>
        <v>2024.1190000000001</v>
      </c>
      <c r="DA148" s="20">
        <f t="shared" si="1293"/>
        <v>2024.1190000000001</v>
      </c>
      <c r="DB148"/>
      <c r="DD148" s="125"/>
    </row>
    <row r="149" spans="1:108" s="25" customFormat="1" x14ac:dyDescent="0.25">
      <c r="A149" s="25" t="s">
        <v>437</v>
      </c>
      <c r="B149" s="25">
        <f>B148+B140+B142</f>
        <v>0</v>
      </c>
      <c r="C149" s="25">
        <f t="shared" ref="C149:V149" si="1294">C148+C140+C142</f>
        <v>0</v>
      </c>
      <c r="D149" s="25">
        <f>D148+D140+D142</f>
        <v>0</v>
      </c>
      <c r="E149" s="25">
        <f t="shared" si="1294"/>
        <v>0</v>
      </c>
      <c r="F149" s="25">
        <f t="shared" si="1294"/>
        <v>318.73155859999997</v>
      </c>
      <c r="G149" s="25">
        <f t="shared" si="1294"/>
        <v>304.5297041</v>
      </c>
      <c r="H149" s="25">
        <f t="shared" si="1294"/>
        <v>306.53860129999998</v>
      </c>
      <c r="I149" s="25">
        <f t="shared" si="1294"/>
        <v>322.36477509999997</v>
      </c>
      <c r="J149" s="25">
        <f t="shared" si="1294"/>
        <v>452.47988100000003</v>
      </c>
      <c r="K149" s="25">
        <f t="shared" si="1294"/>
        <v>586.81170339999994</v>
      </c>
      <c r="L149" s="25">
        <f t="shared" si="1294"/>
        <v>742.53316500000005</v>
      </c>
      <c r="M149" s="25">
        <f t="shared" si="1294"/>
        <v>998.9190000000001</v>
      </c>
      <c r="N149" s="25">
        <f t="shared" si="1294"/>
        <v>2111.8360000000002</v>
      </c>
      <c r="O149" s="25">
        <f t="shared" si="1294"/>
        <v>2547.0140000000001</v>
      </c>
      <c r="P149" s="25">
        <f t="shared" si="1294"/>
        <v>2758.3929999999996</v>
      </c>
      <c r="Q149" s="25">
        <f t="shared" si="1294"/>
        <v>2751.6219999999998</v>
      </c>
      <c r="R149" s="25">
        <f t="shared" si="1294"/>
        <v>3896.0959999999995</v>
      </c>
      <c r="S149" s="25">
        <f t="shared" si="1294"/>
        <v>4421.6980000000003</v>
      </c>
      <c r="T149" s="25">
        <f t="shared" si="1294"/>
        <v>4814.1390000000001</v>
      </c>
      <c r="U149" s="25">
        <f t="shared" si="1294"/>
        <v>6776.2740000000003</v>
      </c>
      <c r="V149" s="25">
        <f t="shared" si="1294"/>
        <v>6804.9119999999994</v>
      </c>
      <c r="W149" s="25">
        <f t="shared" ref="W149" si="1295">W148+W140+W142</f>
        <v>7538.5919999999996</v>
      </c>
      <c r="X149" s="25">
        <f t="shared" ref="X149:Y149" si="1296">X148+X140+X142</f>
        <v>8910.2990000000009</v>
      </c>
      <c r="Y149" s="25">
        <f t="shared" si="1296"/>
        <v>12279.039999999999</v>
      </c>
      <c r="Z149" s="25">
        <f t="shared" ref="Z149" si="1297">Z148+Z140+Z142</f>
        <v>19103.900000000001</v>
      </c>
      <c r="AA149" s="26">
        <f t="shared" ref="AA149:AD149" si="1298">AA148+AA140+AA142</f>
        <v>21765.074000000001</v>
      </c>
      <c r="AB149" s="26">
        <f t="shared" si="1298"/>
        <v>25020.564874193231</v>
      </c>
      <c r="AC149" s="26">
        <f t="shared" si="1298"/>
        <v>29306.283184219246</v>
      </c>
      <c r="AD149" s="26">
        <f t="shared" si="1298"/>
        <v>33917.930779218979</v>
      </c>
      <c r="AE149" s="26">
        <f t="shared" ref="AE149" si="1299">AE148+AE140+AE142</f>
        <v>39776.044684027212</v>
      </c>
      <c r="AI149" s="25">
        <f t="shared" ref="AI149:AL149" si="1300">AI148+AI140+AI142</f>
        <v>0</v>
      </c>
      <c r="AJ149" s="25">
        <f t="shared" si="1300"/>
        <v>0</v>
      </c>
      <c r="AK149" s="25">
        <f t="shared" si="1300"/>
        <v>0</v>
      </c>
      <c r="AL149" s="25">
        <f t="shared" si="1300"/>
        <v>0</v>
      </c>
      <c r="AM149" s="25">
        <f t="shared" ref="AM149:AP149" si="1301">AM148+AM140+AM142</f>
        <v>0</v>
      </c>
      <c r="AN149" s="25">
        <f t="shared" si="1301"/>
        <v>0</v>
      </c>
      <c r="AO149" s="25">
        <f t="shared" si="1301"/>
        <v>0</v>
      </c>
      <c r="AP149" s="25">
        <f t="shared" si="1301"/>
        <v>0</v>
      </c>
      <c r="AQ149" s="25">
        <f t="shared" ref="AQ149:AT149" si="1302">AQ148+AQ140+AQ142</f>
        <v>0</v>
      </c>
      <c r="AR149" s="25">
        <f t="shared" si="1302"/>
        <v>0</v>
      </c>
      <c r="AS149" s="25">
        <f t="shared" si="1302"/>
        <v>0</v>
      </c>
      <c r="AT149" s="25">
        <f t="shared" si="1302"/>
        <v>0</v>
      </c>
      <c r="AU149" s="25">
        <f t="shared" ref="AU149:AX149" si="1303">AU148+AU140+AU142</f>
        <v>0</v>
      </c>
      <c r="AV149" s="25">
        <f t="shared" si="1303"/>
        <v>0</v>
      </c>
      <c r="AW149" s="25">
        <f t="shared" si="1303"/>
        <v>2506.2080000000001</v>
      </c>
      <c r="AX149" s="25">
        <f t="shared" si="1303"/>
        <v>2454.422</v>
      </c>
      <c r="AY149" s="25">
        <f t="shared" ref="AY149:BB149" si="1304">AY148+AY140+AY142</f>
        <v>0</v>
      </c>
      <c r="AZ149" s="25">
        <f t="shared" si="1304"/>
        <v>10.303000000000086</v>
      </c>
      <c r="BA149" s="25">
        <f t="shared" si="1304"/>
        <v>3262.7700000000004</v>
      </c>
      <c r="BB149" s="25">
        <f t="shared" si="1304"/>
        <v>3267.2780000000002</v>
      </c>
      <c r="BC149" s="25">
        <f t="shared" ref="BC149:BF149" si="1305">BC148+BC140+BC142</f>
        <v>3619.3739999999998</v>
      </c>
      <c r="BD149" s="25">
        <f t="shared" si="1305"/>
        <v>3652.2550000000001</v>
      </c>
      <c r="BE149" s="25">
        <f t="shared" si="1305"/>
        <v>3812.7290000000003</v>
      </c>
      <c r="BF149" s="25">
        <f t="shared" si="1305"/>
        <v>3831.3609999999999</v>
      </c>
      <c r="BG149" s="25">
        <f t="shared" ref="BG149:BJ149" si="1306">BG148+BG140+BG142</f>
        <v>4005.8930000000005</v>
      </c>
      <c r="BH149" s="25">
        <f t="shared" si="1306"/>
        <v>4048.1680000000001</v>
      </c>
      <c r="BI149" s="25">
        <f t="shared" si="1306"/>
        <v>4363.9960000000001</v>
      </c>
      <c r="BJ149" s="25">
        <f t="shared" si="1306"/>
        <v>4404.6220000000003</v>
      </c>
      <c r="BK149" s="25">
        <f t="shared" ref="BK149:BN149" si="1307">BK148+BK140+BK142</f>
        <v>5758.183</v>
      </c>
      <c r="BL149" s="25">
        <f t="shared" si="1307"/>
        <v>5838.915</v>
      </c>
      <c r="BM149" s="25">
        <f t="shared" si="1307"/>
        <v>6181.6310000000003</v>
      </c>
      <c r="BN149" s="25">
        <f t="shared" si="1307"/>
        <v>6236.55</v>
      </c>
      <c r="BO149" s="25">
        <f t="shared" ref="BO149:BR149" si="1308">BO148+BO140+BO142</f>
        <v>5796.6459999999997</v>
      </c>
      <c r="BP149" s="25">
        <f t="shared" si="1308"/>
        <v>5949.6769999999997</v>
      </c>
      <c r="BQ149" s="25">
        <f t="shared" si="1308"/>
        <v>6282.2689999999993</v>
      </c>
      <c r="BR149" s="25">
        <f t="shared" si="1308"/>
        <v>6411.5239999999994</v>
      </c>
      <c r="BS149" s="25">
        <f t="shared" ref="BS149:BV149" si="1309">BS148+BS140+BS142</f>
        <v>5778.4459999999999</v>
      </c>
      <c r="BT149" s="25">
        <f t="shared" si="1309"/>
        <v>6018.5869999999995</v>
      </c>
      <c r="BU149" s="25">
        <f t="shared" si="1309"/>
        <v>7538.5919999999996</v>
      </c>
      <c r="BV149" s="25">
        <f t="shared" si="1309"/>
        <v>7792.799</v>
      </c>
      <c r="BW149" s="25">
        <f t="shared" ref="BW149:BZ149" si="1310">BW148+BW140+BW142</f>
        <v>7320.1459999999997</v>
      </c>
      <c r="BX149" s="25">
        <f t="shared" si="1310"/>
        <v>7701.183</v>
      </c>
      <c r="BY149" s="25">
        <f t="shared" si="1310"/>
        <v>8910.2989999999991</v>
      </c>
      <c r="BZ149" s="25">
        <f t="shared" si="1310"/>
        <v>9339.3709999999992</v>
      </c>
      <c r="CA149" s="25">
        <f t="shared" ref="CA149:CD149" si="1311">CA148+CA140+CA142</f>
        <v>10106.478000000001</v>
      </c>
      <c r="CB149" s="25">
        <f t="shared" si="1311"/>
        <v>10607.545</v>
      </c>
      <c r="CC149" s="25">
        <f t="shared" si="1311"/>
        <v>12279.04</v>
      </c>
      <c r="CD149" s="25">
        <f t="shared" si="1311"/>
        <v>12816.311</v>
      </c>
      <c r="CE149" s="25">
        <f t="shared" ref="CE149" si="1312">CE148+CE140+CE142</f>
        <v>15034.464999999998</v>
      </c>
      <c r="CF149" s="25">
        <f t="shared" ref="CF149:CH149" si="1313">CF148+CF140+CF142</f>
        <v>15654.078</v>
      </c>
      <c r="CG149" s="25">
        <f t="shared" ref="CG149" si="1314">CG148+CG140+CG142</f>
        <v>19103.900000000001</v>
      </c>
      <c r="CH149" s="25">
        <f t="shared" si="1313"/>
        <v>19830.388000000003</v>
      </c>
      <c r="CI149" s="25">
        <f t="shared" ref="CI149:CJ149" si="1315">CI148+CI140+CI142</f>
        <v>20140.705000000002</v>
      </c>
      <c r="CJ149" s="25">
        <f t="shared" si="1315"/>
        <v>20881.895000000004</v>
      </c>
      <c r="CK149" s="25">
        <f t="shared" ref="CK149:CL149" si="1316">CK148+CK140+CK142</f>
        <v>21765.074000000001</v>
      </c>
      <c r="CL149" s="25">
        <f t="shared" ref="CL149:DA149" si="1317">CL148+CL140+CL142</f>
        <v>22637.429</v>
      </c>
      <c r="CM149" s="26">
        <f t="shared" si="1317"/>
        <v>23767.209034384825</v>
      </c>
      <c r="CN149" s="26">
        <f t="shared" si="1317"/>
        <v>24449.13999269484</v>
      </c>
      <c r="CO149" s="26">
        <f t="shared" si="1317"/>
        <v>25020.564874193231</v>
      </c>
      <c r="CP149" s="26">
        <f t="shared" si="1317"/>
        <v>26186.20564725616</v>
      </c>
      <c r="CQ149" s="26">
        <f t="shared" si="1317"/>
        <v>27583.370497528031</v>
      </c>
      <c r="CR149" s="26">
        <f t="shared" si="1317"/>
        <v>28520.092375093864</v>
      </c>
      <c r="CS149" s="26">
        <f t="shared" si="1317"/>
        <v>29306.283184219246</v>
      </c>
      <c r="CT149" s="26">
        <f t="shared" si="1317"/>
        <v>30558.073555642994</v>
      </c>
      <c r="CU149" s="26">
        <f t="shared" si="1317"/>
        <v>32045.071634485237</v>
      </c>
      <c r="CV149" s="26">
        <f t="shared" si="1317"/>
        <v>33039.584140063205</v>
      </c>
      <c r="CW149" s="26">
        <f t="shared" si="1317"/>
        <v>33917.930779218979</v>
      </c>
      <c r="CX149" s="26">
        <f t="shared" si="1317"/>
        <v>35489.090538753415</v>
      </c>
      <c r="CY149" s="26">
        <f t="shared" si="1317"/>
        <v>37347.775965423112</v>
      </c>
      <c r="CZ149" s="26">
        <f t="shared" si="1317"/>
        <v>38631.450084351804</v>
      </c>
      <c r="DA149" s="26">
        <f t="shared" si="1317"/>
        <v>39776.044684027212</v>
      </c>
      <c r="DB149"/>
      <c r="DD149" s="120"/>
    </row>
    <row r="150" spans="1:108" s="22" customFormat="1" x14ac:dyDescent="0.25">
      <c r="AA150" s="23"/>
      <c r="AB150" s="23"/>
      <c r="AC150" s="23"/>
      <c r="AD150" s="23"/>
      <c r="AE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/>
      <c r="DD150" s="122"/>
    </row>
    <row r="151" spans="1:108" s="22" customFormat="1" outlineLevel="1" x14ac:dyDescent="0.25">
      <c r="A151" s="22" t="s">
        <v>50</v>
      </c>
      <c r="B151" s="22">
        <f>'Annual Raw'!C62</f>
        <v>0</v>
      </c>
      <c r="C151" s="22">
        <f>'Annual Raw'!D62</f>
        <v>0</v>
      </c>
      <c r="D151" s="22">
        <f>'Annual Raw'!E62</f>
        <v>0</v>
      </c>
      <c r="E151" s="22">
        <f>'Annual Raw'!F62-E155</f>
        <v>0</v>
      </c>
      <c r="F151" s="22">
        <f>'Annual Raw'!G62-F155</f>
        <v>407.36907889999998</v>
      </c>
      <c r="G151" s="22">
        <f>'Annual Raw'!H62-G155</f>
        <v>414.09677090000002</v>
      </c>
      <c r="H151" s="22">
        <f>'Annual Raw'!I62-H155</f>
        <v>436.4532246</v>
      </c>
      <c r="I151" s="22">
        <f>'Annual Raw'!J62-I155</f>
        <v>455.65571740000001</v>
      </c>
      <c r="J151" s="22">
        <f>'Annual Raw'!K62-J155</f>
        <v>514.24857610000004</v>
      </c>
      <c r="K151" s="22">
        <f>'Annual Raw'!L62-K155</f>
        <v>663.21772269999997</v>
      </c>
      <c r="L151" s="22">
        <f>'Annual Raw'!M62-L155</f>
        <v>797.59072920000006</v>
      </c>
      <c r="M151" s="22">
        <f>'Annual Raw'!N62-M155</f>
        <v>1004.734</v>
      </c>
      <c r="N151" s="22">
        <f>'Annual Raw'!O62-N155</f>
        <v>2230.5739999999996</v>
      </c>
      <c r="O151" s="22">
        <f>'Annual Raw'!P62-O155</f>
        <v>3054.54</v>
      </c>
      <c r="P151" s="22">
        <f>'Annual Raw'!Q62-P155</f>
        <v>3213.7109999999998</v>
      </c>
      <c r="Q151" s="22">
        <f>'Annual Raw'!R62-Q155</f>
        <v>4632.4669999999996</v>
      </c>
      <c r="R151" s="22">
        <f>'Annual Raw'!S62-R155</f>
        <v>5158.9290000000001</v>
      </c>
      <c r="S151" s="22">
        <f>'Annual Raw'!T62-S155</f>
        <v>5632.6020000000008</v>
      </c>
      <c r="T151" s="22">
        <f>'Annual Raw'!U62-T155</f>
        <v>6169.7040000000006</v>
      </c>
      <c r="U151" s="22">
        <f>'Annual Raw'!V62-U155</f>
        <v>8720.3050000000003</v>
      </c>
      <c r="V151" s="22">
        <f>'Annual Raw'!W62-V155</f>
        <v>9008.6040000000012</v>
      </c>
      <c r="W151" s="22">
        <f>'Annual Raw'!X62-W155</f>
        <v>9385.6610000000001</v>
      </c>
      <c r="X151" s="22">
        <f>'Annual Raw'!Y62-X155</f>
        <v>10417.192000000001</v>
      </c>
      <c r="Y151" s="22">
        <f>'Annual Raw'!Z62-Y155</f>
        <v>12420.862000000001</v>
      </c>
      <c r="Z151" s="22">
        <f>'Annual Raw'!AA62-Z155</f>
        <v>18500.906999999999</v>
      </c>
      <c r="AA151" s="23">
        <f t="shared" ref="AA151:AA153" si="1318">+CK151</f>
        <v>15984.1</v>
      </c>
      <c r="AB151" s="23">
        <f t="shared" ref="AB151:AB153" si="1319">+CO151</f>
        <v>17840.894</v>
      </c>
      <c r="AC151" s="23">
        <f t="shared" ref="AC151:AC153" si="1320">+CS151</f>
        <v>19840.894</v>
      </c>
      <c r="AD151" s="23">
        <f t="shared" ref="AD151:AD153" si="1321">+CW151</f>
        <v>21840.894</v>
      </c>
      <c r="AE151" s="23">
        <f t="shared" ref="AE151:AE153" si="1322">+DA151</f>
        <v>23840.894</v>
      </c>
      <c r="AI151" s="22">
        <f>+'QTR Raw'!C68</f>
        <v>0</v>
      </c>
      <c r="AK151" s="22">
        <f>+'QTR Raw'!E68</f>
        <v>0</v>
      </c>
      <c r="AM151" s="22">
        <f>+'QTR Raw'!G68</f>
        <v>0</v>
      </c>
      <c r="AO151" s="22">
        <f>+'QTR Raw'!I68</f>
        <v>0</v>
      </c>
      <c r="AQ151" s="22">
        <f>+'QTR Raw'!K68</f>
        <v>0</v>
      </c>
      <c r="AS151" s="22">
        <f>+'QTR Raw'!M68</f>
        <v>0</v>
      </c>
      <c r="AU151" s="22">
        <f>+'QTR Raw'!O68</f>
        <v>0</v>
      </c>
      <c r="AW151" s="22">
        <f>+'QTR Raw'!Q68</f>
        <v>3533.4789999999998</v>
      </c>
      <c r="AY151" s="22">
        <f>+'QTR Raw'!S68</f>
        <v>0</v>
      </c>
      <c r="BA151" s="22">
        <f>+'QTR Raw'!U68</f>
        <v>3845.7190000000001</v>
      </c>
      <c r="BC151" s="22">
        <f>+'QTR Raw'!W68</f>
        <v>3936.2109999999998</v>
      </c>
      <c r="BE151" s="22">
        <f>+'QTR Raw'!Y68</f>
        <v>3978.5810000000001</v>
      </c>
      <c r="BG151" s="22">
        <f>+'QTR Raw'!AA68</f>
        <v>4354.53</v>
      </c>
      <c r="BI151" s="22">
        <f>+'QTR Raw'!AC68</f>
        <v>4385.0339999999997</v>
      </c>
      <c r="BK151" s="22">
        <f>+'QTR Raw'!AE68</f>
        <v>6511.7150000000001</v>
      </c>
      <c r="BM151" s="22">
        <f>+'QTR Raw'!AG68</f>
        <v>6454.8130000000001</v>
      </c>
      <c r="BO151" s="22">
        <f>+'QTR Raw'!AI68</f>
        <v>6439.0510000000004</v>
      </c>
      <c r="BQ151" s="22">
        <f>+'QTR Raw'!AK68</f>
        <v>6384.3890000000001</v>
      </c>
      <c r="BS151" s="22">
        <f>+'QTR Raw'!AM68</f>
        <v>6314.8490000000002</v>
      </c>
      <c r="BU151" s="22">
        <f>+'QTR Raw'!AO68</f>
        <v>5713.7460000000001</v>
      </c>
      <c r="BW151" s="22">
        <f>+'QTR Raw'!AQ68</f>
        <v>6012.7070000000003</v>
      </c>
      <c r="BY151" s="22">
        <f>+'QTR Raw'!AS68</f>
        <v>5992.4880000000003</v>
      </c>
      <c r="CA151" s="22">
        <f>+'QTR Raw'!AU68</f>
        <v>7534.6719999999996</v>
      </c>
      <c r="CC151" s="22">
        <f>+'QTR Raw'!AW68</f>
        <v>7350.232</v>
      </c>
      <c r="CE151" s="22">
        <f>+'QTR Raw'!AY68</f>
        <v>10293.299000000001</v>
      </c>
      <c r="CG151" s="22">
        <f t="shared" ref="CG151:CG157" si="1323">+Z151</f>
        <v>18500.906999999999</v>
      </c>
      <c r="CI151" s="22">
        <f>+CI152+CI154</f>
        <v>14215.941000000001</v>
      </c>
      <c r="CJ151" s="22">
        <f>+CJ152+CJ154</f>
        <v>14523.541000000001</v>
      </c>
      <c r="CK151" s="22">
        <f>+CK152+CK154</f>
        <v>15984.1</v>
      </c>
      <c r="CL151" s="22">
        <f t="shared" ref="CL151:DA151" si="1324">+CL152+CL154</f>
        <v>16340.894</v>
      </c>
      <c r="CM151" s="23">
        <f>+CL151+500</f>
        <v>16840.894</v>
      </c>
      <c r="CN151" s="23">
        <f t="shared" ref="CN151:DA151" si="1325">+CM151+500</f>
        <v>17340.894</v>
      </c>
      <c r="CO151" s="23">
        <f t="shared" si="1325"/>
        <v>17840.894</v>
      </c>
      <c r="CP151" s="23">
        <f t="shared" si="1325"/>
        <v>18340.894</v>
      </c>
      <c r="CQ151" s="23">
        <f t="shared" si="1325"/>
        <v>18840.894</v>
      </c>
      <c r="CR151" s="23">
        <f t="shared" si="1325"/>
        <v>19340.894</v>
      </c>
      <c r="CS151" s="23">
        <f t="shared" si="1325"/>
        <v>19840.894</v>
      </c>
      <c r="CT151" s="23">
        <f t="shared" si="1325"/>
        <v>20340.894</v>
      </c>
      <c r="CU151" s="23">
        <f t="shared" si="1325"/>
        <v>20840.894</v>
      </c>
      <c r="CV151" s="23">
        <f t="shared" si="1325"/>
        <v>21340.894</v>
      </c>
      <c r="CW151" s="23">
        <f t="shared" si="1325"/>
        <v>21840.894</v>
      </c>
      <c r="CX151" s="23">
        <f t="shared" si="1325"/>
        <v>22340.894</v>
      </c>
      <c r="CY151" s="23">
        <f t="shared" si="1325"/>
        <v>22840.894</v>
      </c>
      <c r="CZ151" s="23">
        <f t="shared" si="1325"/>
        <v>23340.894</v>
      </c>
      <c r="DA151" s="23">
        <f t="shared" si="1325"/>
        <v>23840.894</v>
      </c>
      <c r="DB151"/>
      <c r="DD151" s="122"/>
    </row>
    <row r="152" spans="1:108" s="22" customFormat="1" outlineLevel="1" x14ac:dyDescent="0.25">
      <c r="A152" s="22" t="s">
        <v>51</v>
      </c>
      <c r="B152" s="22">
        <f>'Annual Raw'!C63</f>
        <v>0</v>
      </c>
      <c r="C152" s="22">
        <f>'Annual Raw'!D63</f>
        <v>0</v>
      </c>
      <c r="D152" s="22">
        <f>'Annual Raw'!E63</f>
        <v>0</v>
      </c>
      <c r="E152" s="22">
        <f>'Annual Raw'!F63</f>
        <v>0</v>
      </c>
      <c r="F152" s="22">
        <f>'Annual Raw'!G63</f>
        <v>100.87414200000001</v>
      </c>
      <c r="G152" s="22">
        <f>'Annual Raw'!H63</f>
        <v>120.48380400000001</v>
      </c>
      <c r="H152" s="22">
        <f>'Annual Raw'!I63</f>
        <v>143.223669</v>
      </c>
      <c r="I152" s="22">
        <f>'Annual Raw'!J63</f>
        <v>150.7021785</v>
      </c>
      <c r="J152" s="22">
        <f>'Annual Raw'!K63</f>
        <v>157.30134760000001</v>
      </c>
      <c r="K152" s="22">
        <f>'Annual Raw'!L63</f>
        <v>166.0897784</v>
      </c>
      <c r="L152" s="22">
        <f>'Annual Raw'!M63</f>
        <v>211.13117769999999</v>
      </c>
      <c r="M152" s="22">
        <f>'Annual Raw'!N63</f>
        <v>265.33300000000003</v>
      </c>
      <c r="N152" s="22">
        <f>'Annual Raw'!O63</f>
        <v>527.37199999999996</v>
      </c>
      <c r="O152" s="22">
        <f>'Annual Raw'!P63</f>
        <v>689.45500000000004</v>
      </c>
      <c r="P152" s="22">
        <f>'Annual Raw'!Q63</f>
        <v>868.38599999999997</v>
      </c>
      <c r="Q152" s="22">
        <f>'Annual Raw'!R63</f>
        <v>1136.9000000000001</v>
      </c>
      <c r="R152" s="22">
        <f>'Annual Raw'!S63</f>
        <v>1443.434</v>
      </c>
      <c r="S152" s="22">
        <f>'Annual Raw'!T63</f>
        <v>1654.021</v>
      </c>
      <c r="T152" s="22">
        <f>'Annual Raw'!U63</f>
        <v>1784.67</v>
      </c>
      <c r="U152" s="22">
        <f>'Annual Raw'!V63</f>
        <v>2265.4920000000002</v>
      </c>
      <c r="V152" s="22">
        <f>'Annual Raw'!W63</f>
        <v>2624.2150000000001</v>
      </c>
      <c r="W152" s="22">
        <f>'Annual Raw'!X63</f>
        <v>3099.116</v>
      </c>
      <c r="X152" s="22">
        <f>'Annual Raw'!Y63</f>
        <v>3509.203</v>
      </c>
      <c r="Y152" s="22">
        <f>'Annual Raw'!Z63</f>
        <v>4035.9229999999998</v>
      </c>
      <c r="Z152" s="22">
        <f>'Annual Raw'!AA63</f>
        <v>5400.1080000000002</v>
      </c>
      <c r="AA152" s="23">
        <f t="shared" si="1318"/>
        <v>943.95</v>
      </c>
      <c r="AB152" s="23">
        <f t="shared" si="1319"/>
        <v>2482.3006214764</v>
      </c>
      <c r="AC152" s="23">
        <f t="shared" si="1320"/>
        <v>4095.0294181398785</v>
      </c>
      <c r="AD152" s="23">
        <f t="shared" si="1321"/>
        <v>5746.4906976906568</v>
      </c>
      <c r="AE152" s="23">
        <f t="shared" si="1322"/>
        <v>7432.8106755103836</v>
      </c>
      <c r="CG152" s="22">
        <f t="shared" si="1323"/>
        <v>5400.1080000000002</v>
      </c>
      <c r="CI152" s="22">
        <f t="shared" ref="CI152:CL152" si="1326">CH152+CI52</f>
        <v>306.15100000000001</v>
      </c>
      <c r="CJ152" s="22">
        <f t="shared" si="1326"/>
        <v>613.75099999999998</v>
      </c>
      <c r="CK152" s="22">
        <f t="shared" si="1326"/>
        <v>943.95</v>
      </c>
      <c r="CL152" s="22">
        <f t="shared" ref="CL152" si="1327">CK152+CL52</f>
        <v>1300.7440000000001</v>
      </c>
      <c r="CM152" s="23">
        <f t="shared" ref="CM152" si="1328">CL152+CM52</f>
        <v>1691.7879</v>
      </c>
      <c r="CN152" s="23">
        <f t="shared" ref="CN152" si="1329">CM152+CN52</f>
        <v>2085.6646586000002</v>
      </c>
      <c r="CO152" s="23">
        <f t="shared" ref="CO152" si="1330">CN152+CO52</f>
        <v>2482.3006214764</v>
      </c>
      <c r="CP152" s="23">
        <f t="shared" ref="CP152" si="1331">CO152+CP52</f>
        <v>2881.6240493180135</v>
      </c>
      <c r="CQ152" s="23">
        <f t="shared" ref="CQ152" si="1332">CP152+CQ52</f>
        <v>3283.5650680357453</v>
      </c>
      <c r="CR152" s="23">
        <f t="shared" ref="CR152" si="1333">CQ152+CR52</f>
        <v>3688.0556202668158</v>
      </c>
      <c r="CS152" s="23">
        <f t="shared" ref="CS152" si="1334">CR152+CS52</f>
        <v>4095.0294181398785</v>
      </c>
      <c r="CT152" s="23">
        <f t="shared" ref="CT152" si="1335">CS152+CT52</f>
        <v>4504.421897268242</v>
      </c>
      <c r="CU152" s="23">
        <f t="shared" ref="CU152" si="1336">CT152+CU52</f>
        <v>4916.1701719392677</v>
      </c>
      <c r="CV152" s="23">
        <f t="shared" ref="CV152" si="1337">CU152+CV52</f>
        <v>5330.2129914688467</v>
      </c>
      <c r="CW152" s="23">
        <f t="shared" ref="CW152" si="1338">CV152+CW52</f>
        <v>5746.4906976906568</v>
      </c>
      <c r="CX152" s="23">
        <f t="shared" ref="CX152" si="1339">CW152+CX52</f>
        <v>6164.9451835506998</v>
      </c>
      <c r="CY152" s="23">
        <f t="shared" ref="CY152" si="1340">CX152+CY52</f>
        <v>6585.5198527783814</v>
      </c>
      <c r="CZ152" s="23">
        <f t="shared" ref="CZ152" si="1341">CY152+CZ52</f>
        <v>7008.1595806061432</v>
      </c>
      <c r="DA152" s="23">
        <f t="shared" ref="DA152" si="1342">CZ152+DA52</f>
        <v>7432.8106755103836</v>
      </c>
      <c r="DB152"/>
      <c r="DD152" s="122"/>
    </row>
    <row r="153" spans="1:108" s="22" customFormat="1" outlineLevel="1" x14ac:dyDescent="0.25">
      <c r="A153" s="22" t="s">
        <v>52</v>
      </c>
      <c r="B153" s="22">
        <f>'Annual Raw'!C64</f>
        <v>0</v>
      </c>
      <c r="C153" s="22">
        <f>'Annual Raw'!D64</f>
        <v>0</v>
      </c>
      <c r="D153" s="22">
        <f>'Annual Raw'!E64</f>
        <v>0</v>
      </c>
      <c r="E153" s="22">
        <f>'Annual Raw'!F64</f>
        <v>0</v>
      </c>
      <c r="F153" s="22">
        <f>'Annual Raw'!G64</f>
        <v>0</v>
      </c>
      <c r="G153" s="22">
        <f>'Annual Raw'!H64</f>
        <v>0</v>
      </c>
      <c r="H153" s="22">
        <f>'Annual Raw'!I64</f>
        <v>0</v>
      </c>
      <c r="I153" s="22">
        <f>'Annual Raw'!J64</f>
        <v>0</v>
      </c>
      <c r="J153" s="22">
        <f>'Annual Raw'!K64</f>
        <v>0</v>
      </c>
      <c r="K153" s="22">
        <f>'Annual Raw'!L64</f>
        <v>0</v>
      </c>
      <c r="L153" s="22">
        <f>'Annual Raw'!M64</f>
        <v>0</v>
      </c>
      <c r="M153" s="22">
        <f>'Annual Raw'!N64</f>
        <v>0</v>
      </c>
      <c r="N153" s="22">
        <f>'Annual Raw'!O64</f>
        <v>0</v>
      </c>
      <c r="O153" s="22">
        <f>'Annual Raw'!P64</f>
        <v>0</v>
      </c>
      <c r="P153" s="22">
        <f>'Annual Raw'!Q64</f>
        <v>0</v>
      </c>
      <c r="Q153" s="22">
        <f>'Annual Raw'!R64</f>
        <v>0</v>
      </c>
      <c r="R153" s="22">
        <f>'Annual Raw'!S64</f>
        <v>0</v>
      </c>
      <c r="S153" s="22">
        <f>'Annual Raw'!T64</f>
        <v>0</v>
      </c>
      <c r="T153" s="22">
        <f>'Annual Raw'!U64</f>
        <v>0</v>
      </c>
      <c r="U153" s="22">
        <f>'Annual Raw'!V64</f>
        <v>0</v>
      </c>
      <c r="V153" s="22">
        <f>'Annual Raw'!W64</f>
        <v>0</v>
      </c>
      <c r="W153" s="22">
        <f>'Annual Raw'!X64</f>
        <v>0</v>
      </c>
      <c r="X153" s="22">
        <f>'Annual Raw'!Y64</f>
        <v>0</v>
      </c>
      <c r="Y153" s="22">
        <f>'Annual Raw'!Z64</f>
        <v>0</v>
      </c>
      <c r="Z153" s="22">
        <f>'Annual Raw'!AA64</f>
        <v>0</v>
      </c>
      <c r="AA153" s="23">
        <f t="shared" si="1318"/>
        <v>0</v>
      </c>
      <c r="AB153" s="23">
        <f t="shared" si="1319"/>
        <v>0</v>
      </c>
      <c r="AC153" s="23">
        <f t="shared" si="1320"/>
        <v>0</v>
      </c>
      <c r="AD153" s="23">
        <f t="shared" si="1321"/>
        <v>0</v>
      </c>
      <c r="AE153" s="23">
        <f t="shared" si="1322"/>
        <v>0</v>
      </c>
      <c r="AI153" s="22">
        <f>+'QTR Raw'!C70</f>
        <v>0</v>
      </c>
      <c r="AK153" s="22">
        <f>+'QTR Raw'!E70</f>
        <v>0</v>
      </c>
      <c r="AM153" s="22">
        <f>+'QTR Raw'!G70</f>
        <v>0</v>
      </c>
      <c r="AO153" s="22">
        <f>+'QTR Raw'!I70</f>
        <v>0</v>
      </c>
      <c r="AQ153" s="22">
        <f>+'QTR Raw'!K70</f>
        <v>0</v>
      </c>
      <c r="AS153" s="22">
        <f>+'QTR Raw'!M70</f>
        <v>0</v>
      </c>
      <c r="AU153" s="22">
        <f>+'QTR Raw'!O70</f>
        <v>0</v>
      </c>
      <c r="AW153" s="22">
        <f>+'QTR Raw'!Q70</f>
        <v>0</v>
      </c>
      <c r="AY153" s="22">
        <f>+'QTR Raw'!S70</f>
        <v>0</v>
      </c>
      <c r="BA153" s="22">
        <f>+'QTR Raw'!U70</f>
        <v>0</v>
      </c>
      <c r="BC153" s="22">
        <f>+'QTR Raw'!W70</f>
        <v>0</v>
      </c>
      <c r="BE153" s="22">
        <f>+'QTR Raw'!Y70</f>
        <v>0</v>
      </c>
      <c r="BG153" s="22">
        <f>+'QTR Raw'!AA70</f>
        <v>0</v>
      </c>
      <c r="BI153" s="22">
        <f>+'QTR Raw'!AC70</f>
        <v>0</v>
      </c>
      <c r="BK153" s="22">
        <f>+'QTR Raw'!AE70</f>
        <v>0</v>
      </c>
      <c r="BM153" s="22">
        <f>+'QTR Raw'!AG70</f>
        <v>0</v>
      </c>
      <c r="BO153" s="22">
        <f>+'QTR Raw'!AI70</f>
        <v>0</v>
      </c>
      <c r="BQ153" s="22">
        <f>+'QTR Raw'!AK70</f>
        <v>0</v>
      </c>
      <c r="BS153" s="22">
        <f>+'QTR Raw'!AM70</f>
        <v>0</v>
      </c>
      <c r="BU153" s="22">
        <f>+'QTR Raw'!AO70</f>
        <v>0</v>
      </c>
      <c r="BW153" s="22">
        <f>+'QTR Raw'!AQ70</f>
        <v>0</v>
      </c>
      <c r="BY153" s="22">
        <f>+'QTR Raw'!AS70</f>
        <v>0</v>
      </c>
      <c r="CA153" s="22">
        <f>+'QTR Raw'!AU70</f>
        <v>0</v>
      </c>
      <c r="CC153" s="22">
        <f>+'QTR Raw'!AW70</f>
        <v>0</v>
      </c>
      <c r="CE153" s="22">
        <f>+'QTR Raw'!AY70</f>
        <v>0</v>
      </c>
      <c r="CG153" s="22">
        <f t="shared" si="1323"/>
        <v>0</v>
      </c>
      <c r="CI153" s="22">
        <f>+'QTR Raw'!BC70</f>
        <v>0</v>
      </c>
      <c r="CJ153" s="22">
        <f t="shared" ref="CJ153" si="1343">+CI153</f>
        <v>0</v>
      </c>
      <c r="CK153" s="22">
        <f>+'QTR Raw'!BE70</f>
        <v>0</v>
      </c>
      <c r="CL153" s="22">
        <f t="shared" ref="CL153:DA154" si="1344">+CK153</f>
        <v>0</v>
      </c>
      <c r="CM153" s="23">
        <f t="shared" si="1344"/>
        <v>0</v>
      </c>
      <c r="CN153" s="23">
        <f t="shared" si="1344"/>
        <v>0</v>
      </c>
      <c r="CO153" s="23">
        <f t="shared" si="1344"/>
        <v>0</v>
      </c>
      <c r="CP153" s="23">
        <f t="shared" si="1344"/>
        <v>0</v>
      </c>
      <c r="CQ153" s="23">
        <f t="shared" si="1344"/>
        <v>0</v>
      </c>
      <c r="CR153" s="23">
        <f t="shared" si="1344"/>
        <v>0</v>
      </c>
      <c r="CS153" s="23">
        <f t="shared" si="1344"/>
        <v>0</v>
      </c>
      <c r="CT153" s="23">
        <f t="shared" si="1344"/>
        <v>0</v>
      </c>
      <c r="CU153" s="23">
        <f t="shared" si="1344"/>
        <v>0</v>
      </c>
      <c r="CV153" s="23">
        <f t="shared" si="1344"/>
        <v>0</v>
      </c>
      <c r="CW153" s="23">
        <f t="shared" si="1344"/>
        <v>0</v>
      </c>
      <c r="CX153" s="23">
        <f t="shared" si="1344"/>
        <v>0</v>
      </c>
      <c r="CY153" s="23">
        <f t="shared" si="1344"/>
        <v>0</v>
      </c>
      <c r="CZ153" s="23">
        <f t="shared" si="1344"/>
        <v>0</v>
      </c>
      <c r="DA153" s="23">
        <f t="shared" si="1344"/>
        <v>0</v>
      </c>
      <c r="DB153"/>
      <c r="DD153" s="122"/>
    </row>
    <row r="154" spans="1:108" s="21" customFormat="1" outlineLevel="1" x14ac:dyDescent="0.25">
      <c r="A154" s="21" t="s">
        <v>53</v>
      </c>
      <c r="B154" s="21">
        <f>+B151-B152-B153</f>
        <v>0</v>
      </c>
      <c r="C154" s="21">
        <f t="shared" ref="C154:W154" si="1345">+C151-C152-C153</f>
        <v>0</v>
      </c>
      <c r="D154" s="21">
        <f t="shared" si="1345"/>
        <v>0</v>
      </c>
      <c r="E154" s="21">
        <f t="shared" si="1345"/>
        <v>0</v>
      </c>
      <c r="F154" s="21">
        <f t="shared" si="1345"/>
        <v>306.49493689999997</v>
      </c>
      <c r="G154" s="21">
        <f t="shared" si="1345"/>
        <v>293.6129669</v>
      </c>
      <c r="H154" s="21">
        <f t="shared" si="1345"/>
        <v>293.22955560000003</v>
      </c>
      <c r="I154" s="21">
        <f t="shared" si="1345"/>
        <v>304.95353890000001</v>
      </c>
      <c r="J154" s="21">
        <f t="shared" si="1345"/>
        <v>356.94722850000005</v>
      </c>
      <c r="K154" s="21">
        <f t="shared" si="1345"/>
        <v>497.12794429999997</v>
      </c>
      <c r="L154" s="21">
        <f t="shared" si="1345"/>
        <v>586.45955150000009</v>
      </c>
      <c r="M154" s="21">
        <f t="shared" si="1345"/>
        <v>739.40100000000007</v>
      </c>
      <c r="N154" s="21">
        <f t="shared" si="1345"/>
        <v>1703.2019999999998</v>
      </c>
      <c r="O154" s="21">
        <f t="shared" si="1345"/>
        <v>2365.085</v>
      </c>
      <c r="P154" s="21">
        <f t="shared" si="1345"/>
        <v>2345.3249999999998</v>
      </c>
      <c r="Q154" s="21">
        <f t="shared" si="1345"/>
        <v>3495.5669999999996</v>
      </c>
      <c r="R154" s="21">
        <f t="shared" si="1345"/>
        <v>3715.4949999999999</v>
      </c>
      <c r="S154" s="21">
        <f t="shared" si="1345"/>
        <v>3978.581000000001</v>
      </c>
      <c r="T154" s="21">
        <f t="shared" si="1345"/>
        <v>4385.0340000000006</v>
      </c>
      <c r="U154" s="21">
        <f t="shared" si="1345"/>
        <v>6454.8130000000001</v>
      </c>
      <c r="V154" s="21">
        <f t="shared" si="1345"/>
        <v>6384.389000000001</v>
      </c>
      <c r="W154" s="21">
        <f t="shared" si="1345"/>
        <v>6286.5450000000001</v>
      </c>
      <c r="X154" s="21">
        <f t="shared" ref="X154:Y154" si="1346">+X151-X152-X153</f>
        <v>6907.9890000000014</v>
      </c>
      <c r="Y154" s="21">
        <f t="shared" si="1346"/>
        <v>8384.9390000000021</v>
      </c>
      <c r="Z154" s="21">
        <f t="shared" ref="Z154:AE154" si="1347">+Z151-Z152-Z153</f>
        <v>13100.798999999999</v>
      </c>
      <c r="AA154" s="20">
        <f t="shared" si="1347"/>
        <v>15040.15</v>
      </c>
      <c r="AB154" s="20">
        <f t="shared" si="1347"/>
        <v>15358.593378523601</v>
      </c>
      <c r="AC154" s="20">
        <f t="shared" si="1347"/>
        <v>15745.864581860122</v>
      </c>
      <c r="AD154" s="20">
        <f t="shared" si="1347"/>
        <v>16094.403302309343</v>
      </c>
      <c r="AE154" s="20">
        <f t="shared" si="1347"/>
        <v>16408.083324489617</v>
      </c>
      <c r="AI154" s="21">
        <f t="shared" ref="AI154" si="1348">+AI151-AI152-AI153</f>
        <v>0</v>
      </c>
      <c r="AJ154" s="21">
        <f>+AI154</f>
        <v>0</v>
      </c>
      <c r="AK154" s="21">
        <f t="shared" ref="AK154" si="1349">+AK151-AK152-AK153</f>
        <v>0</v>
      </c>
      <c r="AL154" s="21">
        <f>+AK154</f>
        <v>0</v>
      </c>
      <c r="AM154" s="21">
        <f t="shared" ref="AM154" si="1350">+AM151-AM152-AM153</f>
        <v>0</v>
      </c>
      <c r="AN154" s="21">
        <f>+AM154</f>
        <v>0</v>
      </c>
      <c r="AO154" s="21">
        <f t="shared" ref="AO154" si="1351">+AO151-AO152-AO153</f>
        <v>0</v>
      </c>
      <c r="AP154" s="21">
        <f>+AO154</f>
        <v>0</v>
      </c>
      <c r="AQ154" s="21">
        <f t="shared" ref="AQ154" si="1352">+AQ151-AQ152-AQ153</f>
        <v>0</v>
      </c>
      <c r="AR154" s="21">
        <f>+AQ154</f>
        <v>0</v>
      </c>
      <c r="AS154" s="21">
        <f t="shared" ref="AS154" si="1353">+AS151-AS152-AS153</f>
        <v>0</v>
      </c>
      <c r="AT154" s="21">
        <f>+AS154</f>
        <v>0</v>
      </c>
      <c r="AU154" s="21">
        <f t="shared" ref="AU154" si="1354">+AU151-AU152-AU153</f>
        <v>0</v>
      </c>
      <c r="AV154" s="21">
        <f>+AU154</f>
        <v>0</v>
      </c>
      <c r="AW154" s="21">
        <f t="shared" ref="AW154" si="1355">+AW151-AW152-AW153</f>
        <v>3533.4789999999998</v>
      </c>
      <c r="AX154" s="21">
        <f>+AW154</f>
        <v>3533.4789999999998</v>
      </c>
      <c r="AY154" s="21">
        <f t="shared" ref="AY154" si="1356">+AY151-AY152-AY153</f>
        <v>0</v>
      </c>
      <c r="AZ154" s="21">
        <f>+AY154</f>
        <v>0</v>
      </c>
      <c r="BA154" s="21">
        <f t="shared" ref="BA154" si="1357">+BA151-BA152-BA153</f>
        <v>3845.7190000000001</v>
      </c>
      <c r="BB154" s="21">
        <f>+BA154</f>
        <v>3845.7190000000001</v>
      </c>
      <c r="BC154" s="21">
        <f t="shared" ref="BC154" si="1358">+BC151-BC152-BC153</f>
        <v>3936.2109999999998</v>
      </c>
      <c r="BD154" s="21">
        <f>+BC154</f>
        <v>3936.2109999999998</v>
      </c>
      <c r="BE154" s="21">
        <f t="shared" ref="BE154" si="1359">+BE151-BE152-BE153</f>
        <v>3978.5810000000001</v>
      </c>
      <c r="BF154" s="21">
        <f>+BE154</f>
        <v>3978.5810000000001</v>
      </c>
      <c r="BG154" s="21">
        <f t="shared" ref="BG154" si="1360">+BG151-BG152-BG153</f>
        <v>4354.53</v>
      </c>
      <c r="BH154" s="21">
        <f>+BG154</f>
        <v>4354.53</v>
      </c>
      <c r="BI154" s="21">
        <f t="shared" ref="BI154" si="1361">+BI151-BI152-BI153</f>
        <v>4385.0339999999997</v>
      </c>
      <c r="BJ154" s="21">
        <f>+BI154</f>
        <v>4385.0339999999997</v>
      </c>
      <c r="BK154" s="21">
        <f t="shared" ref="BK154" si="1362">+BK151-BK152-BK153</f>
        <v>6511.7150000000001</v>
      </c>
      <c r="BL154" s="21">
        <f>+BK154</f>
        <v>6511.7150000000001</v>
      </c>
      <c r="BM154" s="21">
        <f t="shared" ref="BM154" si="1363">+BM151-BM152-BM153</f>
        <v>6454.8130000000001</v>
      </c>
      <c r="BN154" s="21">
        <f>+BM154</f>
        <v>6454.8130000000001</v>
      </c>
      <c r="BO154" s="21">
        <f t="shared" ref="BO154" si="1364">+BO151-BO152-BO153</f>
        <v>6439.0510000000004</v>
      </c>
      <c r="BP154" s="21">
        <f>+BO154</f>
        <v>6439.0510000000004</v>
      </c>
      <c r="BQ154" s="21">
        <f t="shared" ref="BQ154" si="1365">+BQ151-BQ152-BQ153</f>
        <v>6384.3890000000001</v>
      </c>
      <c r="BR154" s="21">
        <f>+BQ154</f>
        <v>6384.3890000000001</v>
      </c>
      <c r="BS154" s="21">
        <f t="shared" ref="BS154" si="1366">+BS151-BS152-BS153</f>
        <v>6314.8490000000002</v>
      </c>
      <c r="BT154" s="21">
        <f>+BS154</f>
        <v>6314.8490000000002</v>
      </c>
      <c r="BU154" s="21">
        <f t="shared" ref="BU154" si="1367">+BU151-BU152-BU153</f>
        <v>5713.7460000000001</v>
      </c>
      <c r="BV154" s="21">
        <f>+BU154</f>
        <v>5713.7460000000001</v>
      </c>
      <c r="BW154" s="21">
        <f t="shared" ref="BW154" si="1368">+BW151-BW152-BW153</f>
        <v>6012.7070000000003</v>
      </c>
      <c r="BX154" s="21">
        <f>+BW154</f>
        <v>6012.7070000000003</v>
      </c>
      <c r="BY154" s="21">
        <f t="shared" ref="BY154" si="1369">+BY151-BY152-BY153</f>
        <v>5992.4880000000003</v>
      </c>
      <c r="BZ154" s="21">
        <f>+BY154</f>
        <v>5992.4880000000003</v>
      </c>
      <c r="CA154" s="21">
        <f t="shared" ref="CA154" si="1370">+CA151-CA152-CA153</f>
        <v>7534.6719999999996</v>
      </c>
      <c r="CB154" s="21">
        <f>+CA154</f>
        <v>7534.6719999999996</v>
      </c>
      <c r="CC154" s="21">
        <f t="shared" ref="CC154" si="1371">+CC151-CC152-CC153</f>
        <v>7350.232</v>
      </c>
      <c r="CD154" s="21">
        <f>+CC154</f>
        <v>7350.232</v>
      </c>
      <c r="CE154" s="21">
        <f t="shared" ref="CE154:CG154" si="1372">+CE151-CE152-CE153</f>
        <v>10293.299000000001</v>
      </c>
      <c r="CF154" s="21">
        <f>+CE154</f>
        <v>10293.299000000001</v>
      </c>
      <c r="CG154" s="21">
        <f t="shared" si="1372"/>
        <v>13100.798999999999</v>
      </c>
      <c r="CH154" s="21">
        <f t="shared" ref="CH154:CJ154" si="1373">+CG154</f>
        <v>13100.798999999999</v>
      </c>
      <c r="CI154" s="21">
        <f>+'QTR Raw'!BC68</f>
        <v>13909.79</v>
      </c>
      <c r="CJ154" s="21">
        <f t="shared" si="1373"/>
        <v>13909.79</v>
      </c>
      <c r="CK154" s="21">
        <f>+'QTR Raw'!BE68</f>
        <v>15040.15</v>
      </c>
      <c r="CL154" s="21">
        <f t="shared" si="1344"/>
        <v>15040.15</v>
      </c>
      <c r="CM154" s="20">
        <f>+CM151-CM152-CM153</f>
        <v>15149.106100000001</v>
      </c>
      <c r="CN154" s="20">
        <f t="shared" ref="CN154:DA154" si="1374">+CN151-CN152-CN153</f>
        <v>15255.2293414</v>
      </c>
      <c r="CO154" s="20">
        <f t="shared" si="1374"/>
        <v>15358.593378523601</v>
      </c>
      <c r="CP154" s="20">
        <f t="shared" si="1374"/>
        <v>15459.269950681986</v>
      </c>
      <c r="CQ154" s="20">
        <f t="shared" si="1374"/>
        <v>15557.328931964255</v>
      </c>
      <c r="CR154" s="20">
        <f t="shared" si="1374"/>
        <v>15652.838379733184</v>
      </c>
      <c r="CS154" s="20">
        <f t="shared" si="1374"/>
        <v>15745.864581860122</v>
      </c>
      <c r="CT154" s="20">
        <f t="shared" si="1374"/>
        <v>15836.472102731757</v>
      </c>
      <c r="CU154" s="20">
        <f t="shared" si="1374"/>
        <v>15924.723828060733</v>
      </c>
      <c r="CV154" s="20">
        <f t="shared" si="1374"/>
        <v>16010.681008531154</v>
      </c>
      <c r="CW154" s="20">
        <f t="shared" si="1374"/>
        <v>16094.403302309343</v>
      </c>
      <c r="CX154" s="20">
        <f t="shared" si="1374"/>
        <v>16175.948816449301</v>
      </c>
      <c r="CY154" s="20">
        <f t="shared" si="1374"/>
        <v>16255.374147221619</v>
      </c>
      <c r="CZ154" s="20">
        <f t="shared" si="1374"/>
        <v>16332.734419393857</v>
      </c>
      <c r="DA154" s="20">
        <f t="shared" si="1374"/>
        <v>16408.083324489617</v>
      </c>
      <c r="DB154"/>
      <c r="DD154" s="125"/>
    </row>
    <row r="155" spans="1:108" s="22" customFormat="1" outlineLevel="1" x14ac:dyDescent="0.25">
      <c r="A155" s="22" t="s">
        <v>54</v>
      </c>
      <c r="B155" s="22">
        <f>'Annual Raw'!C86</f>
        <v>0</v>
      </c>
      <c r="C155" s="22">
        <f>'Annual Raw'!D86</f>
        <v>0</v>
      </c>
      <c r="D155" s="22">
        <f>'Annual Raw'!E86</f>
        <v>0</v>
      </c>
      <c r="E155" s="22">
        <f>'Annual Raw'!F86</f>
        <v>0</v>
      </c>
      <c r="F155" s="22">
        <f>'Annual Raw'!G86</f>
        <v>0</v>
      </c>
      <c r="G155" s="22">
        <f>'Annual Raw'!H86</f>
        <v>0</v>
      </c>
      <c r="H155" s="22">
        <f>'Annual Raw'!I86</f>
        <v>0</v>
      </c>
      <c r="I155" s="22">
        <f>'Annual Raw'!J86</f>
        <v>0</v>
      </c>
      <c r="J155" s="22">
        <f>'Annual Raw'!K86</f>
        <v>0</v>
      </c>
      <c r="K155" s="22">
        <f>'Annual Raw'!L86</f>
        <v>0</v>
      </c>
      <c r="L155" s="22">
        <f>'Annual Raw'!M86</f>
        <v>0</v>
      </c>
      <c r="M155" s="22">
        <f>'Annual Raw'!N86</f>
        <v>0</v>
      </c>
      <c r="N155" s="22">
        <f>'Annual Raw'!O86</f>
        <v>9.5410000000000004</v>
      </c>
      <c r="O155" s="22">
        <f>'Annual Raw'!P86</f>
        <v>9.5419999999999998</v>
      </c>
      <c r="P155" s="22">
        <f>'Annual Raw'!Q86</f>
        <v>9.5410000000000004</v>
      </c>
      <c r="Q155" s="22">
        <f>'Annual Raw'!R86</f>
        <v>0</v>
      </c>
      <c r="R155" s="22">
        <f>'Annual Raw'!S86</f>
        <v>0</v>
      </c>
      <c r="S155" s="22">
        <f>'Annual Raw'!T86</f>
        <v>1.94</v>
      </c>
      <c r="T155" s="22">
        <f>'Annual Raw'!U86</f>
        <v>1.94</v>
      </c>
      <c r="U155" s="22">
        <f>'Annual Raw'!V86</f>
        <v>24.23</v>
      </c>
      <c r="V155" s="22">
        <f>'Annual Raw'!W86</f>
        <v>24.23</v>
      </c>
      <c r="W155" s="22">
        <f>'Annual Raw'!X86</f>
        <v>24.23</v>
      </c>
      <c r="X155" s="22">
        <f>'Annual Raw'!Y86</f>
        <v>24.23</v>
      </c>
      <c r="Y155" s="22">
        <f>'Annual Raw'!Z86</f>
        <v>24.23</v>
      </c>
      <c r="Z155" s="22">
        <f>'Annual Raw'!AA86</f>
        <v>300.93700000000001</v>
      </c>
      <c r="AA155" s="23">
        <f t="shared" ref="AA155:AA157" si="1375">+CK155</f>
        <v>354.21300000000002</v>
      </c>
      <c r="AB155" s="23">
        <f t="shared" ref="AB155:AB157" si="1376">+CO155</f>
        <v>354.21300000000002</v>
      </c>
      <c r="AC155" s="23">
        <f t="shared" ref="AC155:AC157" si="1377">+CS155</f>
        <v>354.21300000000002</v>
      </c>
      <c r="AD155" s="23">
        <f t="shared" ref="AD155:AD157" si="1378">+CW155</f>
        <v>354.21300000000002</v>
      </c>
      <c r="AE155" s="23">
        <f t="shared" ref="AE155:AE157" si="1379">+DA155</f>
        <v>354.21300000000002</v>
      </c>
      <c r="AI155" s="22">
        <f>+'QTR Raw'!C72</f>
        <v>0</v>
      </c>
      <c r="AJ155" s="22">
        <f t="shared" ref="AJ155:AJ157" si="1380">+AI155</f>
        <v>0</v>
      </c>
      <c r="AK155" s="22">
        <f>+'QTR Raw'!E72</f>
        <v>0</v>
      </c>
      <c r="AL155" s="22">
        <f t="shared" ref="AL155:AL157" si="1381">+AK155</f>
        <v>0</v>
      </c>
      <c r="AM155" s="22">
        <f>+'QTR Raw'!G72</f>
        <v>0</v>
      </c>
      <c r="AN155" s="22">
        <f t="shared" ref="AN155:AN157" si="1382">+AM155</f>
        <v>0</v>
      </c>
      <c r="AO155" s="22">
        <f>+'QTR Raw'!I72</f>
        <v>0</v>
      </c>
      <c r="AP155" s="22">
        <f t="shared" ref="AP155:AP157" si="1383">+AO155</f>
        <v>0</v>
      </c>
      <c r="AQ155" s="22">
        <f>+'QTR Raw'!K72</f>
        <v>0</v>
      </c>
      <c r="AR155" s="22">
        <f t="shared" ref="AR155:AR157" si="1384">+AQ155</f>
        <v>0</v>
      </c>
      <c r="AS155" s="22">
        <f>+'QTR Raw'!M72</f>
        <v>0</v>
      </c>
      <c r="AT155" s="22">
        <f t="shared" ref="AT155:AT157" si="1385">+AS155</f>
        <v>0</v>
      </c>
      <c r="AU155" s="22">
        <f>+'QTR Raw'!O72</f>
        <v>0</v>
      </c>
      <c r="AV155" s="22">
        <f t="shared" ref="AV155:AV157" si="1386">+AU155</f>
        <v>0</v>
      </c>
      <c r="AW155" s="22">
        <f>+'QTR Raw'!Q72</f>
        <v>0</v>
      </c>
      <c r="AX155" s="22">
        <f t="shared" ref="AX155:AX157" si="1387">+AW155</f>
        <v>0</v>
      </c>
      <c r="AY155" s="22">
        <f>+'QTR Raw'!S72</f>
        <v>0</v>
      </c>
      <c r="AZ155" s="22">
        <f t="shared" ref="AZ155:AZ157" si="1388">+AY155</f>
        <v>0</v>
      </c>
      <c r="BA155" s="22">
        <f>+'QTR Raw'!U72</f>
        <v>213.208</v>
      </c>
      <c r="BB155" s="22">
        <f t="shared" ref="BB155:BB157" si="1389">+BA155</f>
        <v>213.208</v>
      </c>
      <c r="BC155" s="22">
        <f>+'QTR Raw'!W72</f>
        <v>0</v>
      </c>
      <c r="BD155" s="22">
        <f t="shared" ref="BD155:BD157" si="1390">+BC155</f>
        <v>0</v>
      </c>
      <c r="BE155" s="22">
        <f>+'QTR Raw'!Y72</f>
        <v>1.94</v>
      </c>
      <c r="BF155" s="22">
        <f t="shared" ref="BF155:BF157" si="1391">+BE155</f>
        <v>1.94</v>
      </c>
      <c r="BG155" s="22">
        <f>+'QTR Raw'!AA72</f>
        <v>3.06</v>
      </c>
      <c r="BH155" s="22">
        <f t="shared" ref="BH155:BH157" si="1392">+BG155</f>
        <v>3.06</v>
      </c>
      <c r="BI155" s="22">
        <f>+'QTR Raw'!AC72</f>
        <v>1.94</v>
      </c>
      <c r="BJ155" s="22">
        <f t="shared" ref="BJ155:BJ157" si="1393">+BI155</f>
        <v>1.94</v>
      </c>
      <c r="BK155" s="22">
        <f>+'QTR Raw'!AE72</f>
        <v>1.94</v>
      </c>
      <c r="BL155" s="22">
        <f t="shared" ref="BL155:BL157" si="1394">+BK155</f>
        <v>1.94</v>
      </c>
      <c r="BM155" s="22">
        <f>+'QTR Raw'!AG72</f>
        <v>24.23</v>
      </c>
      <c r="BN155" s="22">
        <f t="shared" ref="BN155:BN157" si="1395">+BM155</f>
        <v>24.23</v>
      </c>
      <c r="BO155" s="22">
        <f>+'QTR Raw'!AI72</f>
        <v>24.23</v>
      </c>
      <c r="BP155" s="22">
        <f t="shared" ref="BP155:BP157" si="1396">+BO155</f>
        <v>24.23</v>
      </c>
      <c r="BQ155" s="22">
        <f>+'QTR Raw'!AK72</f>
        <v>24.23</v>
      </c>
      <c r="BR155" s="22">
        <f t="shared" ref="BR155:BR157" si="1397">+BQ155</f>
        <v>24.23</v>
      </c>
      <c r="BS155" s="22">
        <f>+'QTR Raw'!AM72</f>
        <v>24.23</v>
      </c>
      <c r="BT155" s="22">
        <f t="shared" ref="BT155:BT157" si="1398">+BS155</f>
        <v>24.23</v>
      </c>
      <c r="BU155" s="22">
        <f>+'QTR Raw'!AO72</f>
        <v>24.23</v>
      </c>
      <c r="BV155" s="22">
        <f t="shared" ref="BV155:BV157" si="1399">+BU155</f>
        <v>24.23</v>
      </c>
      <c r="BW155" s="22">
        <f>+'QTR Raw'!AQ72</f>
        <v>24.23</v>
      </c>
      <c r="BX155" s="22">
        <f t="shared" ref="BX155:BX157" si="1400">+BW155</f>
        <v>24.23</v>
      </c>
      <c r="BY155" s="22">
        <f>+'QTR Raw'!AS72</f>
        <v>24.23</v>
      </c>
      <c r="BZ155" s="22">
        <f t="shared" ref="BZ155:BZ157" si="1401">+BY155</f>
        <v>24.23</v>
      </c>
      <c r="CA155" s="22">
        <f>+'QTR Raw'!AU72</f>
        <v>24.23</v>
      </c>
      <c r="CB155" s="22">
        <f t="shared" ref="CB155:CB157" si="1402">+CA155</f>
        <v>24.23</v>
      </c>
      <c r="CC155" s="22">
        <f>+'QTR Raw'!AW72</f>
        <v>24.23</v>
      </c>
      <c r="CD155" s="22">
        <f t="shared" ref="CD155:CD157" si="1403">+CC155</f>
        <v>24.23</v>
      </c>
      <c r="CE155" s="22">
        <f>+'QTR Raw'!AY72</f>
        <v>693.12400000000002</v>
      </c>
      <c r="CF155" s="22">
        <f t="shared" ref="CF155:CJ157" si="1404">+CE155</f>
        <v>693.12400000000002</v>
      </c>
      <c r="CG155" s="22">
        <f t="shared" si="1323"/>
        <v>300.93700000000001</v>
      </c>
      <c r="CH155" s="22">
        <f t="shared" si="1404"/>
        <v>300.93700000000001</v>
      </c>
      <c r="CI155" s="22">
        <f>+'QTR Raw'!BC72</f>
        <v>317.81</v>
      </c>
      <c r="CJ155" s="22">
        <f t="shared" si="1404"/>
        <v>317.81</v>
      </c>
      <c r="CK155" s="22">
        <f>+'QTR Raw'!BE72</f>
        <v>354.21300000000002</v>
      </c>
      <c r="CL155" s="22">
        <f t="shared" ref="CL155:CL157" si="1405">+CK155</f>
        <v>354.21300000000002</v>
      </c>
      <c r="CM155" s="23">
        <f t="shared" ref="CM155:CM157" si="1406">+CL155</f>
        <v>354.21300000000002</v>
      </c>
      <c r="CN155" s="23">
        <f t="shared" ref="CN155:CN157" si="1407">+CM155</f>
        <v>354.21300000000002</v>
      </c>
      <c r="CO155" s="23">
        <f t="shared" ref="CO155:CO157" si="1408">+CN155</f>
        <v>354.21300000000002</v>
      </c>
      <c r="CP155" s="23">
        <f t="shared" ref="CP155:CP157" si="1409">+CO155</f>
        <v>354.21300000000002</v>
      </c>
      <c r="CQ155" s="23">
        <f t="shared" ref="CQ155:CQ157" si="1410">+CP155</f>
        <v>354.21300000000002</v>
      </c>
      <c r="CR155" s="23">
        <f t="shared" ref="CR155:CR157" si="1411">+CQ155</f>
        <v>354.21300000000002</v>
      </c>
      <c r="CS155" s="23">
        <f t="shared" ref="CS155:CS157" si="1412">+CR155</f>
        <v>354.21300000000002</v>
      </c>
      <c r="CT155" s="23">
        <f t="shared" ref="CT155:CT157" si="1413">+CS155</f>
        <v>354.21300000000002</v>
      </c>
      <c r="CU155" s="23">
        <f t="shared" ref="CU155:CU157" si="1414">+CT155</f>
        <v>354.21300000000002</v>
      </c>
      <c r="CV155" s="23">
        <f t="shared" ref="CV155:CV157" si="1415">+CU155</f>
        <v>354.21300000000002</v>
      </c>
      <c r="CW155" s="23">
        <f t="shared" ref="CW155:CW157" si="1416">+CV155</f>
        <v>354.21300000000002</v>
      </c>
      <c r="CX155" s="23">
        <f t="shared" ref="CX155:CX157" si="1417">+CW155</f>
        <v>354.21300000000002</v>
      </c>
      <c r="CY155" s="23">
        <f t="shared" ref="CY155:CY157" si="1418">+CX155</f>
        <v>354.21300000000002</v>
      </c>
      <c r="CZ155" s="23">
        <f t="shared" ref="CZ155:CZ157" si="1419">+CY155</f>
        <v>354.21300000000002</v>
      </c>
      <c r="DA155" s="23">
        <f t="shared" ref="DA155:DA157" si="1420">+CZ155</f>
        <v>354.21300000000002</v>
      </c>
      <c r="DB155"/>
      <c r="DD155" s="122"/>
    </row>
    <row r="156" spans="1:108" s="22" customFormat="1" outlineLevel="1" x14ac:dyDescent="0.25">
      <c r="A156" s="22" t="s">
        <v>55</v>
      </c>
      <c r="B156" s="22">
        <f>'Annual Raw'!C68</f>
        <v>0</v>
      </c>
      <c r="C156" s="22">
        <f>'Annual Raw'!D68</f>
        <v>0</v>
      </c>
      <c r="D156" s="22">
        <f>'Annual Raw'!E68</f>
        <v>0</v>
      </c>
      <c r="E156" s="22">
        <f>'Annual Raw'!F68</f>
        <v>0</v>
      </c>
      <c r="F156" s="22">
        <f>'Annual Raw'!G68</f>
        <v>0</v>
      </c>
      <c r="G156" s="22">
        <f>'Annual Raw'!H68</f>
        <v>0</v>
      </c>
      <c r="H156" s="22">
        <f>'Annual Raw'!I68</f>
        <v>0</v>
      </c>
      <c r="I156" s="22">
        <f>'Annual Raw'!J68</f>
        <v>0</v>
      </c>
      <c r="J156" s="22">
        <f>'Annual Raw'!K68</f>
        <v>0</v>
      </c>
      <c r="K156" s="22">
        <f>'Annual Raw'!L68</f>
        <v>0</v>
      </c>
      <c r="L156" s="22">
        <f>'Annual Raw'!M68</f>
        <v>0</v>
      </c>
      <c r="M156" s="22">
        <f>'Annual Raw'!N68</f>
        <v>0</v>
      </c>
      <c r="N156" s="22">
        <f>'Annual Raw'!O68</f>
        <v>0</v>
      </c>
      <c r="O156" s="22">
        <f>'Annual Raw'!P68</f>
        <v>0</v>
      </c>
      <c r="P156" s="22">
        <f>'Annual Raw'!Q68</f>
        <v>0</v>
      </c>
      <c r="Q156" s="22">
        <f>'Annual Raw'!R68</f>
        <v>0</v>
      </c>
      <c r="R156" s="22">
        <f>'Annual Raw'!S68</f>
        <v>0</v>
      </c>
      <c r="S156" s="22">
        <f>'Annual Raw'!T68</f>
        <v>0</v>
      </c>
      <c r="T156" s="22">
        <f>'Annual Raw'!U68</f>
        <v>0</v>
      </c>
      <c r="U156" s="22">
        <f>'Annual Raw'!V68</f>
        <v>0</v>
      </c>
      <c r="V156" s="22">
        <f>'Annual Raw'!W68</f>
        <v>0</v>
      </c>
      <c r="W156" s="22">
        <f>'Annual Raw'!X68</f>
        <v>0</v>
      </c>
      <c r="X156" s="22">
        <f>'Annual Raw'!Y68</f>
        <v>0</v>
      </c>
      <c r="Y156" s="22">
        <f>'Annual Raw'!Z68</f>
        <v>0</v>
      </c>
      <c r="Z156" s="22">
        <f>'Annual Raw'!AA68</f>
        <v>4.3689999999999998</v>
      </c>
      <c r="AA156" s="23">
        <f t="shared" si="1375"/>
        <v>0</v>
      </c>
      <c r="AB156" s="23">
        <f t="shared" si="1376"/>
        <v>0</v>
      </c>
      <c r="AC156" s="23">
        <f t="shared" si="1377"/>
        <v>0</v>
      </c>
      <c r="AD156" s="23">
        <f t="shared" si="1378"/>
        <v>0</v>
      </c>
      <c r="AE156" s="23">
        <f t="shared" si="1379"/>
        <v>0</v>
      </c>
      <c r="AJ156" s="22">
        <f t="shared" si="1380"/>
        <v>0</v>
      </c>
      <c r="AL156" s="22">
        <f t="shared" si="1381"/>
        <v>0</v>
      </c>
      <c r="AN156" s="22">
        <f t="shared" si="1382"/>
        <v>0</v>
      </c>
      <c r="AP156" s="22">
        <f t="shared" si="1383"/>
        <v>0</v>
      </c>
      <c r="AR156" s="22">
        <f t="shared" si="1384"/>
        <v>0</v>
      </c>
      <c r="AT156" s="22">
        <f t="shared" si="1385"/>
        <v>0</v>
      </c>
      <c r="AV156" s="22">
        <f t="shared" si="1386"/>
        <v>0</v>
      </c>
      <c r="AX156" s="22">
        <f t="shared" si="1387"/>
        <v>0</v>
      </c>
      <c r="AZ156" s="22">
        <f t="shared" si="1388"/>
        <v>0</v>
      </c>
      <c r="BB156" s="22">
        <f t="shared" si="1389"/>
        <v>0</v>
      </c>
      <c r="BD156" s="22">
        <f t="shared" si="1390"/>
        <v>0</v>
      </c>
      <c r="BF156" s="22">
        <f t="shared" si="1391"/>
        <v>0</v>
      </c>
      <c r="BH156" s="22">
        <f t="shared" si="1392"/>
        <v>0</v>
      </c>
      <c r="BJ156" s="22">
        <f t="shared" si="1393"/>
        <v>0</v>
      </c>
      <c r="BL156" s="22">
        <f t="shared" si="1394"/>
        <v>0</v>
      </c>
      <c r="BN156" s="22">
        <f t="shared" si="1395"/>
        <v>0</v>
      </c>
      <c r="BP156" s="22">
        <f t="shared" si="1396"/>
        <v>0</v>
      </c>
      <c r="BR156" s="22">
        <f t="shared" si="1397"/>
        <v>0</v>
      </c>
      <c r="BT156" s="22">
        <f t="shared" si="1398"/>
        <v>0</v>
      </c>
      <c r="BV156" s="22">
        <f t="shared" si="1399"/>
        <v>0</v>
      </c>
      <c r="BX156" s="22">
        <f t="shared" si="1400"/>
        <v>0</v>
      </c>
      <c r="BZ156" s="22">
        <f t="shared" si="1401"/>
        <v>0</v>
      </c>
      <c r="CB156" s="22">
        <f t="shared" si="1402"/>
        <v>0</v>
      </c>
      <c r="CD156" s="22">
        <f t="shared" si="1403"/>
        <v>0</v>
      </c>
      <c r="CF156" s="22">
        <f t="shared" si="1404"/>
        <v>0</v>
      </c>
      <c r="CG156" s="22">
        <f t="shared" si="1323"/>
        <v>4.3689999999999998</v>
      </c>
      <c r="CH156" s="22">
        <f t="shared" si="1404"/>
        <v>4.3689999999999998</v>
      </c>
      <c r="CJ156" s="22">
        <f t="shared" si="1404"/>
        <v>0</v>
      </c>
      <c r="CL156" s="22">
        <f t="shared" si="1405"/>
        <v>0</v>
      </c>
      <c r="CM156" s="23">
        <f t="shared" si="1406"/>
        <v>0</v>
      </c>
      <c r="CN156" s="23">
        <f t="shared" si="1407"/>
        <v>0</v>
      </c>
      <c r="CO156" s="23">
        <f t="shared" si="1408"/>
        <v>0</v>
      </c>
      <c r="CP156" s="23">
        <f t="shared" si="1409"/>
        <v>0</v>
      </c>
      <c r="CQ156" s="23">
        <f t="shared" si="1410"/>
        <v>0</v>
      </c>
      <c r="CR156" s="23">
        <f t="shared" si="1411"/>
        <v>0</v>
      </c>
      <c r="CS156" s="23">
        <f t="shared" si="1412"/>
        <v>0</v>
      </c>
      <c r="CT156" s="23">
        <f t="shared" si="1413"/>
        <v>0</v>
      </c>
      <c r="CU156" s="23">
        <f t="shared" si="1414"/>
        <v>0</v>
      </c>
      <c r="CV156" s="23">
        <f t="shared" si="1415"/>
        <v>0</v>
      </c>
      <c r="CW156" s="23">
        <f t="shared" si="1416"/>
        <v>0</v>
      </c>
      <c r="CX156" s="23">
        <f t="shared" si="1417"/>
        <v>0</v>
      </c>
      <c r="CY156" s="23">
        <f t="shared" si="1418"/>
        <v>0</v>
      </c>
      <c r="CZ156" s="23">
        <f t="shared" si="1419"/>
        <v>0</v>
      </c>
      <c r="DA156" s="23">
        <f t="shared" si="1420"/>
        <v>0</v>
      </c>
      <c r="DB156"/>
      <c r="DD156" s="122"/>
    </row>
    <row r="157" spans="1:108" s="22" customFormat="1" outlineLevel="1" x14ac:dyDescent="0.25">
      <c r="A157" s="22" t="s">
        <v>56</v>
      </c>
      <c r="B157" s="22">
        <f>'Annual Raw'!C67+'Annual Raw'!C66+'Annual Raw'!C69+'Annual Raw'!C70</f>
        <v>0</v>
      </c>
      <c r="C157" s="22">
        <f>'Annual Raw'!D67+'Annual Raw'!D66+'Annual Raw'!D69+'Annual Raw'!D70</f>
        <v>0</v>
      </c>
      <c r="D157" s="22">
        <f>'Annual Raw'!E67+'Annual Raw'!E66+'Annual Raw'!E69+'Annual Raw'!E70</f>
        <v>0</v>
      </c>
      <c r="E157" s="22">
        <f>'Annual Raw'!F67+'Annual Raw'!F66+'Annual Raw'!F69+'Annual Raw'!F70</f>
        <v>0</v>
      </c>
      <c r="F157" s="22">
        <f>'Annual Raw'!G67+'Annual Raw'!G66+'Annual Raw'!G69+'Annual Raw'!G70</f>
        <v>0.17218510000000001</v>
      </c>
      <c r="G157" s="22">
        <f>'Annual Raw'!H67+'Annual Raw'!H66+'Annual Raw'!H69+'Annual Raw'!H70</f>
        <v>5.4787353000000003</v>
      </c>
      <c r="H157" s="22">
        <f>'Annual Raw'!I67+'Annual Raw'!I66+'Annual Raw'!I69+'Annual Raw'!I70</f>
        <v>4.0167162000000003</v>
      </c>
      <c r="I157" s="22">
        <f>'Annual Raw'!J67+'Annual Raw'!J66+'Annual Raw'!J69+'Annual Raw'!J70</f>
        <v>13.9623557</v>
      </c>
      <c r="J157" s="22">
        <f>'Annual Raw'!K67+'Annual Raw'!K66+'Annual Raw'!K69+'Annual Raw'!K70</f>
        <v>17.7980372</v>
      </c>
      <c r="K157" s="22">
        <f>'Annual Raw'!L67+'Annual Raw'!L66+'Annual Raw'!L69+'Annual Raw'!L70</f>
        <v>18.975753699999999</v>
      </c>
      <c r="L157" s="22">
        <f>'Annual Raw'!M67+'Annual Raw'!M66+'Annual Raw'!M69+'Annual Raw'!M70</f>
        <v>35.666137200000001</v>
      </c>
      <c r="M157" s="22">
        <f>'Annual Raw'!N67+'Annual Raw'!N66+'Annual Raw'!N69+'Annual Raw'!N70</f>
        <v>108.961</v>
      </c>
      <c r="N157" s="22">
        <f>'Annual Raw'!O67+'Annual Raw'!O66+'Annual Raw'!O69+'Annual Raw'!O70</f>
        <v>189.34800000000001</v>
      </c>
      <c r="O157" s="22">
        <f>'Annual Raw'!P67+'Annual Raw'!P66+'Annual Raw'!P69+'Annual Raw'!P70</f>
        <v>27.434000000000001</v>
      </c>
      <c r="P157" s="22">
        <f>'Annual Raw'!Q67+'Annual Raw'!Q66+'Annual Raw'!Q69+'Annual Raw'!Q70</f>
        <v>24.75</v>
      </c>
      <c r="Q157" s="22">
        <f>'Annual Raw'!R67+'Annual Raw'!R66+'Annual Raw'!R69+'Annual Raw'!R70</f>
        <v>37.911999999999999</v>
      </c>
      <c r="R157" s="22">
        <f>'Annual Raw'!S67+'Annual Raw'!S66+'Annual Raw'!S69+'Annual Raw'!S70</f>
        <v>95.578000000000003</v>
      </c>
      <c r="S157" s="22">
        <f>'Annual Raw'!T67+'Annual Raw'!T66+'Annual Raw'!T69+'Annual Raw'!T70</f>
        <v>145.43799999999999</v>
      </c>
      <c r="T157" s="22">
        <f>'Annual Raw'!U67+'Annual Raw'!U66+'Annual Raw'!U69+'Annual Raw'!U70</f>
        <v>352.35700000000003</v>
      </c>
      <c r="U157" s="22">
        <f>'Annual Raw'!V67+'Annual Raw'!V66+'Annual Raw'!V69+'Annual Raw'!V70</f>
        <v>63.823999999999998</v>
      </c>
      <c r="V157" s="22">
        <f>'Annual Raw'!W67+'Annual Raw'!W66+'Annual Raw'!W69+'Annual Raw'!W70</f>
        <v>66.814999999999998</v>
      </c>
      <c r="W157" s="22">
        <f>'Annual Raw'!X67+'Annual Raw'!X66+'Annual Raw'!X69+'Annual Raw'!X70</f>
        <v>496.608</v>
      </c>
      <c r="X157" s="22">
        <f>'Annual Raw'!Y67+'Annual Raw'!Y66+'Annual Raw'!Y69+'Annual Raw'!Y70</f>
        <v>606.63199999999995</v>
      </c>
      <c r="Y157" s="22">
        <f>'Annual Raw'!Z67+'Annual Raw'!Z66+'Annual Raw'!Z69+'Annual Raw'!Z70</f>
        <v>1922.222</v>
      </c>
      <c r="Z157" s="22">
        <f>'Annual Raw'!AA67+'Annual Raw'!AA66+'Annual Raw'!AA69+'Annual Raw'!AA70</f>
        <v>1162.3430000000001</v>
      </c>
      <c r="AA157" s="23">
        <f t="shared" si="1375"/>
        <v>266.30399999999997</v>
      </c>
      <c r="AB157" s="23">
        <f t="shared" si="1376"/>
        <v>266.30399999999997</v>
      </c>
      <c r="AC157" s="23">
        <f t="shared" si="1377"/>
        <v>266.30399999999997</v>
      </c>
      <c r="AD157" s="23">
        <f t="shared" si="1378"/>
        <v>266.30399999999997</v>
      </c>
      <c r="AE157" s="23">
        <f t="shared" si="1379"/>
        <v>266.30399999999997</v>
      </c>
      <c r="AI157" s="22">
        <f>+'QTR Raw'!C74</f>
        <v>0</v>
      </c>
      <c r="AJ157" s="22">
        <f t="shared" si="1380"/>
        <v>0</v>
      </c>
      <c r="AK157" s="22">
        <f>+'QTR Raw'!E74</f>
        <v>0</v>
      </c>
      <c r="AL157" s="22">
        <f t="shared" si="1381"/>
        <v>0</v>
      </c>
      <c r="AM157" s="22">
        <f>+'QTR Raw'!G74</f>
        <v>0</v>
      </c>
      <c r="AN157" s="22">
        <f t="shared" si="1382"/>
        <v>0</v>
      </c>
      <c r="AO157" s="22">
        <f>+'QTR Raw'!I74</f>
        <v>0</v>
      </c>
      <c r="AP157" s="22">
        <f t="shared" si="1383"/>
        <v>0</v>
      </c>
      <c r="AQ157" s="22">
        <f>+'QTR Raw'!K74</f>
        <v>0</v>
      </c>
      <c r="AR157" s="22">
        <f t="shared" si="1384"/>
        <v>0</v>
      </c>
      <c r="AS157" s="22">
        <f>+'QTR Raw'!M74</f>
        <v>0</v>
      </c>
      <c r="AT157" s="22">
        <f t="shared" si="1385"/>
        <v>0</v>
      </c>
      <c r="AU157" s="22">
        <f>+'QTR Raw'!O74</f>
        <v>0</v>
      </c>
      <c r="AV157" s="22">
        <f t="shared" si="1386"/>
        <v>0</v>
      </c>
      <c r="AW157" s="22">
        <f>+'QTR Raw'!Q74</f>
        <v>0</v>
      </c>
      <c r="AX157" s="22">
        <f t="shared" si="1387"/>
        <v>0</v>
      </c>
      <c r="AY157" s="22">
        <f>+'QTR Raw'!S74</f>
        <v>0</v>
      </c>
      <c r="AZ157" s="22">
        <f t="shared" si="1388"/>
        <v>0</v>
      </c>
      <c r="BA157" s="22">
        <f>+'QTR Raw'!U74</f>
        <v>0</v>
      </c>
      <c r="BB157" s="22">
        <f t="shared" si="1389"/>
        <v>0</v>
      </c>
      <c r="BC157" s="22">
        <f>+'QTR Raw'!W74</f>
        <v>108.06100000000001</v>
      </c>
      <c r="BD157" s="22">
        <f t="shared" si="1390"/>
        <v>108.06100000000001</v>
      </c>
      <c r="BE157" s="22">
        <f>+'QTR Raw'!Y74</f>
        <v>145.43799999999999</v>
      </c>
      <c r="BF157" s="22">
        <f t="shared" si="1391"/>
        <v>145.43799999999999</v>
      </c>
      <c r="BG157" s="22">
        <f>+'QTR Raw'!AA74</f>
        <v>48.234999999999999</v>
      </c>
      <c r="BH157" s="22">
        <f t="shared" si="1392"/>
        <v>48.234999999999999</v>
      </c>
      <c r="BI157" s="22">
        <f>+'QTR Raw'!AC74</f>
        <v>352.35700000000003</v>
      </c>
      <c r="BJ157" s="22">
        <f t="shared" si="1393"/>
        <v>352.35700000000003</v>
      </c>
      <c r="BK157" s="22">
        <f>+'QTR Raw'!AE74</f>
        <v>63.741</v>
      </c>
      <c r="BL157" s="22">
        <f t="shared" si="1394"/>
        <v>63.741</v>
      </c>
      <c r="BM157" s="22">
        <f>+'QTR Raw'!AG74</f>
        <v>63.823999999999998</v>
      </c>
      <c r="BN157" s="22">
        <f t="shared" si="1395"/>
        <v>63.823999999999998</v>
      </c>
      <c r="BO157" s="22">
        <f>+'QTR Raw'!AI74</f>
        <v>66.986000000000004</v>
      </c>
      <c r="BP157" s="22">
        <f t="shared" si="1396"/>
        <v>66.986000000000004</v>
      </c>
      <c r="BQ157" s="22">
        <f>+'QTR Raw'!AK74</f>
        <v>66.814999999999998</v>
      </c>
      <c r="BR157" s="22">
        <f t="shared" si="1397"/>
        <v>66.814999999999998</v>
      </c>
      <c r="BS157" s="22">
        <f>+'QTR Raw'!AM74</f>
        <v>134.483</v>
      </c>
      <c r="BT157" s="22">
        <f t="shared" si="1398"/>
        <v>134.483</v>
      </c>
      <c r="BU157" s="22">
        <f>+'QTR Raw'!AO74</f>
        <v>496.608</v>
      </c>
      <c r="BV157" s="22">
        <f t="shared" si="1399"/>
        <v>496.608</v>
      </c>
      <c r="BW157" s="22">
        <f>+'QTR Raw'!AQ74</f>
        <v>145.63800000000001</v>
      </c>
      <c r="BX157" s="22">
        <f t="shared" si="1400"/>
        <v>145.63800000000001</v>
      </c>
      <c r="BY157" s="22">
        <f>+'QTR Raw'!AS74</f>
        <v>606.63199999999995</v>
      </c>
      <c r="BZ157" s="22">
        <f t="shared" si="1401"/>
        <v>606.63199999999995</v>
      </c>
      <c r="CA157" s="22">
        <f>+'QTR Raw'!AU74</f>
        <v>531.23800000000006</v>
      </c>
      <c r="CB157" s="22">
        <f t="shared" si="1402"/>
        <v>531.23800000000006</v>
      </c>
      <c r="CC157" s="22">
        <f>+'QTR Raw'!AW74</f>
        <v>1922.222</v>
      </c>
      <c r="CD157" s="22">
        <f t="shared" si="1403"/>
        <v>1922.222</v>
      </c>
      <c r="CE157" s="22">
        <f>+'QTR Raw'!AY74</f>
        <v>942.08500000000004</v>
      </c>
      <c r="CF157" s="22">
        <f t="shared" si="1404"/>
        <v>942.08500000000004</v>
      </c>
      <c r="CG157" s="22">
        <f t="shared" si="1323"/>
        <v>1162.3430000000001</v>
      </c>
      <c r="CH157" s="22">
        <f t="shared" si="1404"/>
        <v>1162.3430000000001</v>
      </c>
      <c r="CI157" s="22">
        <f>+'QTR Raw'!BC74</f>
        <v>590.73900000000003</v>
      </c>
      <c r="CJ157" s="22">
        <f t="shared" si="1404"/>
        <v>590.73900000000003</v>
      </c>
      <c r="CK157" s="22">
        <f>+'QTR Raw'!BE74</f>
        <v>266.30399999999997</v>
      </c>
      <c r="CL157" s="22">
        <f t="shared" si="1405"/>
        <v>266.30399999999997</v>
      </c>
      <c r="CM157" s="23">
        <f t="shared" si="1406"/>
        <v>266.30399999999997</v>
      </c>
      <c r="CN157" s="23">
        <f t="shared" si="1407"/>
        <v>266.30399999999997</v>
      </c>
      <c r="CO157" s="23">
        <f t="shared" si="1408"/>
        <v>266.30399999999997</v>
      </c>
      <c r="CP157" s="23">
        <f t="shared" si="1409"/>
        <v>266.30399999999997</v>
      </c>
      <c r="CQ157" s="23">
        <f t="shared" si="1410"/>
        <v>266.30399999999997</v>
      </c>
      <c r="CR157" s="23">
        <f t="shared" si="1411"/>
        <v>266.30399999999997</v>
      </c>
      <c r="CS157" s="23">
        <f t="shared" si="1412"/>
        <v>266.30399999999997</v>
      </c>
      <c r="CT157" s="23">
        <f t="shared" si="1413"/>
        <v>266.30399999999997</v>
      </c>
      <c r="CU157" s="23">
        <f t="shared" si="1414"/>
        <v>266.30399999999997</v>
      </c>
      <c r="CV157" s="23">
        <f t="shared" si="1415"/>
        <v>266.30399999999997</v>
      </c>
      <c r="CW157" s="23">
        <f t="shared" si="1416"/>
        <v>266.30399999999997</v>
      </c>
      <c r="CX157" s="23">
        <f t="shared" si="1417"/>
        <v>266.30399999999997</v>
      </c>
      <c r="CY157" s="23">
        <f t="shared" si="1418"/>
        <v>266.30399999999997</v>
      </c>
      <c r="CZ157" s="23">
        <f t="shared" si="1419"/>
        <v>266.30399999999997</v>
      </c>
      <c r="DA157" s="23">
        <f t="shared" si="1420"/>
        <v>266.30399999999997</v>
      </c>
      <c r="DB157"/>
      <c r="DD157" s="122"/>
    </row>
    <row r="158" spans="1:108" s="21" customFormat="1" x14ac:dyDescent="0.25">
      <c r="A158" s="21" t="s">
        <v>57</v>
      </c>
      <c r="B158" s="21">
        <f>B154+B157+B156</f>
        <v>0</v>
      </c>
      <c r="C158" s="21">
        <f t="shared" ref="C158:D158" si="1421">C154+C157+C156</f>
        <v>0</v>
      </c>
      <c r="D158" s="21">
        <f t="shared" si="1421"/>
        <v>0</v>
      </c>
      <c r="E158" s="21">
        <f t="shared" ref="E158:Y158" si="1422">E154+E157+E156+E155</f>
        <v>0</v>
      </c>
      <c r="F158" s="21">
        <f t="shared" si="1422"/>
        <v>306.66712199999995</v>
      </c>
      <c r="G158" s="21">
        <f t="shared" si="1422"/>
        <v>299.09170219999999</v>
      </c>
      <c r="H158" s="21">
        <f t="shared" si="1422"/>
        <v>297.24627180000005</v>
      </c>
      <c r="I158" s="21">
        <f t="shared" si="1422"/>
        <v>318.9158946</v>
      </c>
      <c r="J158" s="21">
        <f t="shared" si="1422"/>
        <v>374.74526570000006</v>
      </c>
      <c r="K158" s="21">
        <f t="shared" si="1422"/>
        <v>516.10369800000001</v>
      </c>
      <c r="L158" s="21">
        <f t="shared" si="1422"/>
        <v>622.12568870000007</v>
      </c>
      <c r="M158" s="21">
        <f t="shared" si="1422"/>
        <v>848.36200000000008</v>
      </c>
      <c r="N158" s="21">
        <f t="shared" si="1422"/>
        <v>1902.0909999999997</v>
      </c>
      <c r="O158" s="21">
        <f t="shared" si="1422"/>
        <v>2402.0610000000001</v>
      </c>
      <c r="P158" s="21">
        <f t="shared" si="1422"/>
        <v>2379.616</v>
      </c>
      <c r="Q158" s="21">
        <f t="shared" si="1422"/>
        <v>3533.4789999999994</v>
      </c>
      <c r="R158" s="21">
        <f t="shared" si="1422"/>
        <v>3811.0729999999999</v>
      </c>
      <c r="S158" s="21">
        <f t="shared" si="1422"/>
        <v>4125.9590000000007</v>
      </c>
      <c r="T158" s="21">
        <f t="shared" si="1422"/>
        <v>4739.3310000000001</v>
      </c>
      <c r="U158" s="21">
        <f t="shared" si="1422"/>
        <v>6542.8669999999993</v>
      </c>
      <c r="V158" s="21">
        <f t="shared" si="1422"/>
        <v>6475.4340000000002</v>
      </c>
      <c r="W158" s="21">
        <f t="shared" si="1422"/>
        <v>6807.3829999999998</v>
      </c>
      <c r="X158" s="21">
        <f t="shared" si="1422"/>
        <v>7538.8510000000006</v>
      </c>
      <c r="Y158" s="21">
        <f t="shared" si="1422"/>
        <v>10331.391000000001</v>
      </c>
      <c r="Z158" s="21">
        <f>Z154+Z157+Z156+Z155</f>
        <v>14568.448</v>
      </c>
      <c r="AA158" s="160">
        <f>AA154+AA157+AA156+AA155</f>
        <v>15660.666999999999</v>
      </c>
      <c r="AB158" s="160">
        <f t="shared" ref="AB158:AE158" si="1423">AB154+AB157+AB156+AB155</f>
        <v>15979.110378523601</v>
      </c>
      <c r="AC158" s="160">
        <f t="shared" si="1423"/>
        <v>16366.381581860122</v>
      </c>
      <c r="AD158" s="160">
        <f t="shared" si="1423"/>
        <v>16714.920302309343</v>
      </c>
      <c r="AE158" s="160">
        <f t="shared" si="1423"/>
        <v>17028.600324489616</v>
      </c>
      <c r="AI158" s="21">
        <f t="shared" ref="AI158:AL158" si="1424">AI154+AI157+AI155+AI156</f>
        <v>0</v>
      </c>
      <c r="AJ158" s="21">
        <f t="shared" si="1424"/>
        <v>0</v>
      </c>
      <c r="AK158" s="21">
        <f t="shared" si="1424"/>
        <v>0</v>
      </c>
      <c r="AL158" s="21">
        <f t="shared" si="1424"/>
        <v>0</v>
      </c>
      <c r="AM158" s="21">
        <f t="shared" ref="AM158:AP158" si="1425">AM154+AM157+AM155+AM156</f>
        <v>0</v>
      </c>
      <c r="AN158" s="21">
        <f t="shared" si="1425"/>
        <v>0</v>
      </c>
      <c r="AO158" s="21">
        <f t="shared" si="1425"/>
        <v>0</v>
      </c>
      <c r="AP158" s="21">
        <f t="shared" si="1425"/>
        <v>0</v>
      </c>
      <c r="AQ158" s="21">
        <f t="shared" ref="AQ158:AT158" si="1426">AQ154+AQ157+AQ155+AQ156</f>
        <v>0</v>
      </c>
      <c r="AR158" s="21">
        <f t="shared" si="1426"/>
        <v>0</v>
      </c>
      <c r="AS158" s="21">
        <f t="shared" si="1426"/>
        <v>0</v>
      </c>
      <c r="AT158" s="21">
        <f t="shared" si="1426"/>
        <v>0</v>
      </c>
      <c r="AU158" s="21">
        <f t="shared" ref="AU158:AX158" si="1427">AU154+AU157+AU155+AU156</f>
        <v>0</v>
      </c>
      <c r="AV158" s="21">
        <f t="shared" si="1427"/>
        <v>0</v>
      </c>
      <c r="AW158" s="21">
        <f t="shared" si="1427"/>
        <v>3533.4789999999998</v>
      </c>
      <c r="AX158" s="21">
        <f t="shared" si="1427"/>
        <v>3533.4789999999998</v>
      </c>
      <c r="AY158" s="21">
        <f t="shared" ref="AY158:BB158" si="1428">AY154+AY157+AY155+AY156</f>
        <v>0</v>
      </c>
      <c r="AZ158" s="21">
        <f t="shared" si="1428"/>
        <v>0</v>
      </c>
      <c r="BA158" s="21">
        <f t="shared" si="1428"/>
        <v>4058.9270000000001</v>
      </c>
      <c r="BB158" s="21">
        <f t="shared" si="1428"/>
        <v>4058.9270000000001</v>
      </c>
      <c r="BC158" s="21">
        <f t="shared" ref="BC158:BF158" si="1429">BC154+BC157+BC155+BC156</f>
        <v>4044.2719999999999</v>
      </c>
      <c r="BD158" s="21">
        <f t="shared" si="1429"/>
        <v>4044.2719999999999</v>
      </c>
      <c r="BE158" s="21">
        <f t="shared" si="1429"/>
        <v>4125.9589999999998</v>
      </c>
      <c r="BF158" s="21">
        <f t="shared" si="1429"/>
        <v>4125.9589999999998</v>
      </c>
      <c r="BG158" s="21">
        <f t="shared" ref="BG158:BJ158" si="1430">BG154+BG157+BG155+BG156</f>
        <v>4405.8249999999998</v>
      </c>
      <c r="BH158" s="21">
        <f t="shared" si="1430"/>
        <v>4405.8249999999998</v>
      </c>
      <c r="BI158" s="21">
        <f t="shared" si="1430"/>
        <v>4739.3309999999992</v>
      </c>
      <c r="BJ158" s="21">
        <f t="shared" si="1430"/>
        <v>4739.3309999999992</v>
      </c>
      <c r="BK158" s="21">
        <f t="shared" ref="BK158:BN158" si="1431">BK154+BK157+BK155+BK156</f>
        <v>6577.3959999999997</v>
      </c>
      <c r="BL158" s="21">
        <f t="shared" si="1431"/>
        <v>6577.3959999999997</v>
      </c>
      <c r="BM158" s="21">
        <f t="shared" si="1431"/>
        <v>6542.8669999999993</v>
      </c>
      <c r="BN158" s="21">
        <f t="shared" si="1431"/>
        <v>6542.8669999999993</v>
      </c>
      <c r="BO158" s="21">
        <f t="shared" ref="BO158:BR158" si="1432">BO154+BO157+BO155+BO156</f>
        <v>6530.2669999999998</v>
      </c>
      <c r="BP158" s="21">
        <f t="shared" si="1432"/>
        <v>6530.2669999999998</v>
      </c>
      <c r="BQ158" s="21">
        <f t="shared" si="1432"/>
        <v>6475.4339999999993</v>
      </c>
      <c r="BR158" s="21">
        <f t="shared" si="1432"/>
        <v>6475.4339999999993</v>
      </c>
      <c r="BS158" s="21">
        <f t="shared" ref="BS158:BV158" si="1433">BS154+BS157+BS155+BS156</f>
        <v>6473.5619999999999</v>
      </c>
      <c r="BT158" s="21">
        <f t="shared" si="1433"/>
        <v>6473.5619999999999</v>
      </c>
      <c r="BU158" s="21">
        <f t="shared" si="1433"/>
        <v>6234.5839999999998</v>
      </c>
      <c r="BV158" s="21">
        <f t="shared" si="1433"/>
        <v>6234.5839999999998</v>
      </c>
      <c r="BW158" s="21">
        <f t="shared" ref="BW158:BZ158" si="1434">BW154+BW157+BW155+BW156</f>
        <v>6182.5749999999998</v>
      </c>
      <c r="BX158" s="21">
        <f t="shared" si="1434"/>
        <v>6182.5749999999998</v>
      </c>
      <c r="BY158" s="21">
        <f t="shared" si="1434"/>
        <v>6623.3499999999995</v>
      </c>
      <c r="BZ158" s="21">
        <f t="shared" si="1434"/>
        <v>6623.3499999999995</v>
      </c>
      <c r="CA158" s="21">
        <f t="shared" ref="CA158:CD158" si="1435">CA154+CA157+CA155+CA156</f>
        <v>8090.1399999999994</v>
      </c>
      <c r="CB158" s="21">
        <f t="shared" si="1435"/>
        <v>8090.1399999999994</v>
      </c>
      <c r="CC158" s="21">
        <f t="shared" si="1435"/>
        <v>9296.6839999999993</v>
      </c>
      <c r="CD158" s="21">
        <f t="shared" si="1435"/>
        <v>9296.6839999999993</v>
      </c>
      <c r="CE158" s="21">
        <f>CE151+CE157+CE155+CE156</f>
        <v>11928.508000000002</v>
      </c>
      <c r="CF158" s="21">
        <f t="shared" ref="CF158:CH158" si="1436">CF154+CF157+CF155+CF156</f>
        <v>11928.508000000002</v>
      </c>
      <c r="CG158" s="21">
        <f t="shared" ref="CG158:CJ158" si="1437">CG154+CG157+CG155+CG156</f>
        <v>14568.448</v>
      </c>
      <c r="CH158" s="21">
        <f t="shared" si="1436"/>
        <v>14568.448</v>
      </c>
      <c r="CI158" s="21">
        <f t="shared" si="1437"/>
        <v>14818.339</v>
      </c>
      <c r="CJ158" s="21">
        <f t="shared" si="1437"/>
        <v>14818.339</v>
      </c>
      <c r="CK158" s="21">
        <f t="shared" ref="CK158:CL158" si="1438">CK154+CK157+CK155+CK156</f>
        <v>15660.666999999999</v>
      </c>
      <c r="CL158" s="21">
        <f t="shared" ref="CL158:DA158" si="1439">CL154+CL157+CL155+CL156</f>
        <v>15660.666999999999</v>
      </c>
      <c r="CM158" s="20">
        <f t="shared" si="1439"/>
        <v>15769.623100000001</v>
      </c>
      <c r="CN158" s="20">
        <f t="shared" si="1439"/>
        <v>15875.746341399999</v>
      </c>
      <c r="CO158" s="20">
        <f t="shared" si="1439"/>
        <v>15979.110378523601</v>
      </c>
      <c r="CP158" s="20">
        <f t="shared" si="1439"/>
        <v>16079.786950681986</v>
      </c>
      <c r="CQ158" s="20">
        <f t="shared" si="1439"/>
        <v>16177.845931964255</v>
      </c>
      <c r="CR158" s="20">
        <f t="shared" si="1439"/>
        <v>16273.355379733184</v>
      </c>
      <c r="CS158" s="20">
        <f t="shared" si="1439"/>
        <v>16366.381581860122</v>
      </c>
      <c r="CT158" s="20">
        <f t="shared" si="1439"/>
        <v>16456.989102731757</v>
      </c>
      <c r="CU158" s="20">
        <f t="shared" si="1439"/>
        <v>16545.240828060734</v>
      </c>
      <c r="CV158" s="20">
        <f t="shared" si="1439"/>
        <v>16631.198008531155</v>
      </c>
      <c r="CW158" s="20">
        <f t="shared" si="1439"/>
        <v>16714.920302309343</v>
      </c>
      <c r="CX158" s="20">
        <f t="shared" si="1439"/>
        <v>16796.465816449301</v>
      </c>
      <c r="CY158" s="20">
        <f t="shared" si="1439"/>
        <v>16875.891147221617</v>
      </c>
      <c r="CZ158" s="20">
        <f t="shared" si="1439"/>
        <v>16953.251419393855</v>
      </c>
      <c r="DA158" s="20">
        <f t="shared" si="1439"/>
        <v>17028.600324489616</v>
      </c>
      <c r="DB158"/>
      <c r="DD158" s="125"/>
    </row>
    <row r="159" spans="1:108" s="22" customFormat="1" x14ac:dyDescent="0.25">
      <c r="AA159" s="23"/>
      <c r="AB159" s="23"/>
      <c r="AC159" s="23"/>
      <c r="AD159" s="23"/>
      <c r="AE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/>
      <c r="DD159" s="122"/>
    </row>
    <row r="160" spans="1:108" s="22" customFormat="1" x14ac:dyDescent="0.25">
      <c r="A160" s="22" t="s">
        <v>58</v>
      </c>
      <c r="B160" s="22">
        <f>'Annual Raw'!C71</f>
        <v>0</v>
      </c>
      <c r="C160" s="22">
        <f>'Annual Raw'!D71</f>
        <v>0</v>
      </c>
      <c r="D160" s="22">
        <f>'Annual Raw'!E71</f>
        <v>0</v>
      </c>
      <c r="E160" s="22">
        <f>'Annual Raw'!F71</f>
        <v>0</v>
      </c>
      <c r="F160" s="22">
        <f>'Annual Raw'!G71</f>
        <v>27.149766899999999</v>
      </c>
      <c r="G160" s="22">
        <f>'Annual Raw'!H71</f>
        <v>27.149766899999999</v>
      </c>
      <c r="H160" s="22">
        <f>'Annual Raw'!I71</f>
        <v>27.149766899999999</v>
      </c>
      <c r="I160" s="22">
        <f>'Annual Raw'!J71</f>
        <v>5.9120606000000002</v>
      </c>
      <c r="J160" s="22">
        <f>'Annual Raw'!K71</f>
        <v>0</v>
      </c>
      <c r="K160" s="22">
        <f>'Annual Raw'!L71</f>
        <v>0</v>
      </c>
      <c r="L160" s="22">
        <f>'Annual Raw'!M71</f>
        <v>0</v>
      </c>
      <c r="M160" s="22">
        <f>'Annual Raw'!N71</f>
        <v>0</v>
      </c>
      <c r="N160" s="22">
        <f>'Annual Raw'!O71</f>
        <v>1.4E-2</v>
      </c>
      <c r="O160" s="22">
        <f>'Annual Raw'!P71</f>
        <v>0.876</v>
      </c>
      <c r="P160" s="22">
        <f>'Annual Raw'!Q71</f>
        <v>1.7569999999999999</v>
      </c>
      <c r="Q160" s="22">
        <f>'Annual Raw'!R71</f>
        <v>3.2730000000000001</v>
      </c>
      <c r="R160" s="22">
        <f>'Annual Raw'!S71</f>
        <v>6.8739999999999997</v>
      </c>
      <c r="S160" s="22">
        <f>'Annual Raw'!T71</f>
        <v>8.2270000000000003</v>
      </c>
      <c r="T160" s="22">
        <f>'Annual Raw'!U71</f>
        <v>11.244</v>
      </c>
      <c r="U160" s="22">
        <f>'Annual Raw'!V71</f>
        <v>1E-3</v>
      </c>
      <c r="V160" s="22">
        <f>'Annual Raw'!W71</f>
        <v>1E-3</v>
      </c>
      <c r="W160" s="22">
        <f>'Annual Raw'!X71</f>
        <v>1E-3</v>
      </c>
      <c r="X160" s="22">
        <f>'Annual Raw'!Y71</f>
        <v>5.0000000000000001E-3</v>
      </c>
      <c r="Y160" s="22">
        <f>'Annual Raw'!Z71</f>
        <v>21.082999999999998</v>
      </c>
      <c r="Z160" s="22">
        <f>'Annual Raw'!AA71</f>
        <v>59.502000000000002</v>
      </c>
      <c r="AA160" s="23">
        <f t="shared" ref="AA160" si="1440">+CK160</f>
        <v>174.27799999999999</v>
      </c>
      <c r="AB160" s="23">
        <f t="shared" ref="AB160" si="1441">+CO160</f>
        <v>174.27799999999999</v>
      </c>
      <c r="AC160" s="23">
        <f t="shared" ref="AC160" si="1442">+CS160</f>
        <v>174.27799999999999</v>
      </c>
      <c r="AD160" s="23">
        <f t="shared" ref="AD160" si="1443">+CW160</f>
        <v>174.27799999999999</v>
      </c>
      <c r="AE160" s="23">
        <f t="shared" ref="AE160" si="1444">+DA160</f>
        <v>174.27799999999999</v>
      </c>
      <c r="AI160" s="22">
        <f>+'QTR Raw'!C77</f>
        <v>0</v>
      </c>
      <c r="AJ160" s="22">
        <f t="shared" ref="AJ160" si="1445">+AI160</f>
        <v>0</v>
      </c>
      <c r="AK160" s="22">
        <f>+'QTR Raw'!E77</f>
        <v>0</v>
      </c>
      <c r="AL160" s="22">
        <f t="shared" ref="AL160" si="1446">+AK160</f>
        <v>0</v>
      </c>
      <c r="AM160" s="22">
        <f>+'QTR Raw'!G77</f>
        <v>0</v>
      </c>
      <c r="AN160" s="22">
        <f t="shared" ref="AN160" si="1447">+AM160</f>
        <v>0</v>
      </c>
      <c r="AO160" s="22">
        <f>+'QTR Raw'!I77</f>
        <v>0</v>
      </c>
      <c r="AP160" s="22">
        <f t="shared" ref="AP160" si="1448">+AO160</f>
        <v>0</v>
      </c>
      <c r="AQ160" s="22">
        <f>+'QTR Raw'!K77</f>
        <v>0</v>
      </c>
      <c r="AR160" s="22">
        <f t="shared" ref="AR160" si="1449">+AQ160</f>
        <v>0</v>
      </c>
      <c r="AS160" s="22">
        <f>+'QTR Raw'!M77</f>
        <v>0</v>
      </c>
      <c r="AT160" s="22">
        <f t="shared" ref="AT160" si="1450">+AS160</f>
        <v>0</v>
      </c>
      <c r="AU160" s="22">
        <f>+'QTR Raw'!O77</f>
        <v>0</v>
      </c>
      <c r="AV160" s="22">
        <f t="shared" ref="AV160" si="1451">+AU160</f>
        <v>0</v>
      </c>
      <c r="AW160" s="22">
        <f>+'QTR Raw'!Q77</f>
        <v>3.2730000000000001</v>
      </c>
      <c r="AX160" s="22">
        <f t="shared" ref="AX160" si="1452">+AW160</f>
        <v>3.2730000000000001</v>
      </c>
      <c r="AY160" s="22">
        <f>+'QTR Raw'!S77</f>
        <v>0</v>
      </c>
      <c r="AZ160" s="22">
        <f t="shared" ref="AZ160" si="1453">+AY160</f>
        <v>0</v>
      </c>
      <c r="BA160" s="22">
        <f>+'QTR Raw'!U77</f>
        <v>5.6189999999999998</v>
      </c>
      <c r="BB160" s="22">
        <f t="shared" ref="BB160" si="1454">+BA160</f>
        <v>5.6189999999999998</v>
      </c>
      <c r="BC160" s="22">
        <f>+'QTR Raw'!W77</f>
        <v>7.6680000000000001</v>
      </c>
      <c r="BD160" s="22">
        <f t="shared" ref="BD160" si="1455">+BC160</f>
        <v>7.6680000000000001</v>
      </c>
      <c r="BE160" s="22">
        <f>+'QTR Raw'!Y77</f>
        <v>8.2270000000000003</v>
      </c>
      <c r="BF160" s="22">
        <f t="shared" ref="BF160" si="1456">+BE160</f>
        <v>8.2270000000000003</v>
      </c>
      <c r="BG160" s="22">
        <f>+'QTR Raw'!AA77</f>
        <v>9.9860000000000007</v>
      </c>
      <c r="BH160" s="22">
        <f t="shared" ref="BH160" si="1457">+BG160</f>
        <v>9.9860000000000007</v>
      </c>
      <c r="BI160" s="22">
        <f>+'QTR Raw'!AC77</f>
        <v>11.244</v>
      </c>
      <c r="BJ160" s="22">
        <f t="shared" ref="BJ160" si="1458">+BI160</f>
        <v>11.244</v>
      </c>
      <c r="BK160" s="22">
        <f>+'QTR Raw'!AE77</f>
        <v>13.347</v>
      </c>
      <c r="BL160" s="22">
        <f t="shared" ref="BL160" si="1459">+BK160</f>
        <v>13.347</v>
      </c>
      <c r="BM160" s="22">
        <f>+'QTR Raw'!AG77</f>
        <v>1E-3</v>
      </c>
      <c r="BN160" s="22">
        <f t="shared" ref="BN160" si="1460">+BM160</f>
        <v>1E-3</v>
      </c>
      <c r="BO160" s="22">
        <f>+'QTR Raw'!AI77</f>
        <v>1E-3</v>
      </c>
      <c r="BP160" s="22">
        <f t="shared" ref="BP160" si="1461">+BO160</f>
        <v>1E-3</v>
      </c>
      <c r="BQ160" s="22">
        <f>+'QTR Raw'!AK77</f>
        <v>1E-3</v>
      </c>
      <c r="BR160" s="22">
        <f t="shared" ref="BR160" si="1462">+BQ160</f>
        <v>1E-3</v>
      </c>
      <c r="BS160" s="22">
        <f>+'QTR Raw'!AM77</f>
        <v>1E-3</v>
      </c>
      <c r="BT160" s="22">
        <f t="shared" ref="BT160" si="1463">+BS160</f>
        <v>1E-3</v>
      </c>
      <c r="BU160" s="22">
        <f>+'QTR Raw'!AO77</f>
        <v>1E-3</v>
      </c>
      <c r="BV160" s="22">
        <f t="shared" ref="BV160" si="1464">+BU160</f>
        <v>1E-3</v>
      </c>
      <c r="BW160" s="22">
        <f>+'QTR Raw'!AQ77</f>
        <v>1E-3</v>
      </c>
      <c r="BX160" s="22">
        <f t="shared" ref="BX160" si="1465">+BW160</f>
        <v>1E-3</v>
      </c>
      <c r="BY160" s="22">
        <f>+'QTR Raw'!AS77</f>
        <v>5.0000000000000001E-3</v>
      </c>
      <c r="BZ160" s="22">
        <f t="shared" ref="BZ160" si="1466">+BY160</f>
        <v>5.0000000000000001E-3</v>
      </c>
      <c r="CA160" s="22">
        <f>+'QTR Raw'!AU77</f>
        <v>10.303000000000001</v>
      </c>
      <c r="CB160" s="22">
        <f t="shared" ref="CB160" si="1467">+CA160</f>
        <v>10.303000000000001</v>
      </c>
      <c r="CC160" s="22">
        <f>+'QTR Raw'!AW77</f>
        <v>21.082999999999998</v>
      </c>
      <c r="CD160" s="22">
        <f t="shared" ref="CD160" si="1468">+CC160</f>
        <v>21.082999999999998</v>
      </c>
      <c r="CE160" s="22">
        <f>+'QTR Raw'!AY77</f>
        <v>44.298000000000002</v>
      </c>
      <c r="CF160" s="22">
        <f t="shared" ref="CF160:CJ160" si="1469">+CE160</f>
        <v>44.298000000000002</v>
      </c>
      <c r="CG160" s="22">
        <f t="shared" ref="CG160" si="1470">+Z160</f>
        <v>59.502000000000002</v>
      </c>
      <c r="CH160" s="22">
        <f t="shared" si="1469"/>
        <v>59.502000000000002</v>
      </c>
      <c r="CI160" s="22">
        <f>+'QTR Raw'!BC77</f>
        <v>135.048</v>
      </c>
      <c r="CJ160" s="22">
        <f t="shared" si="1469"/>
        <v>135.048</v>
      </c>
      <c r="CK160" s="22">
        <f>+'QTR Raw'!BE77</f>
        <v>174.27799999999999</v>
      </c>
      <c r="CL160" s="22">
        <f t="shared" ref="CL160" si="1471">+CK160</f>
        <v>174.27799999999999</v>
      </c>
      <c r="CM160" s="23">
        <f t="shared" ref="CM160" si="1472">+CL160</f>
        <v>174.27799999999999</v>
      </c>
      <c r="CN160" s="23">
        <f t="shared" ref="CN160" si="1473">+CM160</f>
        <v>174.27799999999999</v>
      </c>
      <c r="CO160" s="23">
        <f t="shared" ref="CO160" si="1474">+CN160</f>
        <v>174.27799999999999</v>
      </c>
      <c r="CP160" s="23">
        <f t="shared" ref="CP160" si="1475">+CO160</f>
        <v>174.27799999999999</v>
      </c>
      <c r="CQ160" s="23">
        <f t="shared" ref="CQ160" si="1476">+CP160</f>
        <v>174.27799999999999</v>
      </c>
      <c r="CR160" s="23">
        <f t="shared" ref="CR160" si="1477">+CQ160</f>
        <v>174.27799999999999</v>
      </c>
      <c r="CS160" s="23">
        <f t="shared" ref="CS160" si="1478">+CR160</f>
        <v>174.27799999999999</v>
      </c>
      <c r="CT160" s="23">
        <f t="shared" ref="CT160" si="1479">+CS160</f>
        <v>174.27799999999999</v>
      </c>
      <c r="CU160" s="23">
        <f t="shared" ref="CU160" si="1480">+CT160</f>
        <v>174.27799999999999</v>
      </c>
      <c r="CV160" s="23">
        <f t="shared" ref="CV160" si="1481">+CU160</f>
        <v>174.27799999999999</v>
      </c>
      <c r="CW160" s="23">
        <f t="shared" ref="CW160" si="1482">+CV160</f>
        <v>174.27799999999999</v>
      </c>
      <c r="CX160" s="23">
        <f t="shared" ref="CX160" si="1483">+CW160</f>
        <v>174.27799999999999</v>
      </c>
      <c r="CY160" s="23">
        <f t="shared" ref="CY160" si="1484">+CX160</f>
        <v>174.27799999999999</v>
      </c>
      <c r="CZ160" s="23">
        <f t="shared" ref="CZ160" si="1485">+CY160</f>
        <v>174.27799999999999</v>
      </c>
      <c r="DA160" s="23">
        <f t="shared" ref="DA160" si="1486">+CZ160</f>
        <v>174.27799999999999</v>
      </c>
      <c r="DB160"/>
      <c r="DD160" s="122"/>
    </row>
    <row r="161" spans="1:108" s="22" customFormat="1" x14ac:dyDescent="0.25">
      <c r="AA161" s="23"/>
      <c r="AB161" s="23"/>
      <c r="AC161" s="23"/>
      <c r="AD161" s="23"/>
      <c r="AE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/>
      <c r="DD161" s="122"/>
    </row>
    <row r="162" spans="1:108" s="22" customFormat="1" outlineLevel="1" x14ac:dyDescent="0.25">
      <c r="A162" s="22" t="s">
        <v>59</v>
      </c>
      <c r="B162" s="22">
        <f>'Annual Raw'!C72</f>
        <v>0</v>
      </c>
      <c r="C162" s="22">
        <f>'Annual Raw'!D72</f>
        <v>0</v>
      </c>
      <c r="D162" s="22">
        <f>'Annual Raw'!E72</f>
        <v>0</v>
      </c>
      <c r="E162" s="22">
        <f>'Annual Raw'!F72+'Annual Raw'!F61</f>
        <v>0</v>
      </c>
      <c r="F162" s="22">
        <f>'Annual Raw'!G72+'Annual Raw'!G61</f>
        <v>0</v>
      </c>
      <c r="G162" s="22">
        <f>'Annual Raw'!H72+'Annual Raw'!H61</f>
        <v>0</v>
      </c>
      <c r="H162" s="22">
        <f>'Annual Raw'!I72+'Annual Raw'!I61</f>
        <v>0</v>
      </c>
      <c r="I162" s="22">
        <f>'Annual Raw'!J72+'Annual Raw'!J61</f>
        <v>0</v>
      </c>
      <c r="J162" s="22">
        <f>'Annual Raw'!K72+'Annual Raw'!K61</f>
        <v>0</v>
      </c>
      <c r="K162" s="22">
        <f>'Annual Raw'!L72+'Annual Raw'!L61</f>
        <v>0</v>
      </c>
      <c r="L162" s="22">
        <f>'Annual Raw'!M72+'Annual Raw'!M61</f>
        <v>0</v>
      </c>
      <c r="M162" s="22">
        <f>'Annual Raw'!N72+'Annual Raw'!N61</f>
        <v>25.222000000000001</v>
      </c>
      <c r="N162" s="22">
        <f>'Annual Raw'!O72+'Annual Raw'!O61</f>
        <v>64.418999999999997</v>
      </c>
      <c r="O162" s="22">
        <f>'Annual Raw'!P72+'Annual Raw'!P61</f>
        <v>36.926000000000002</v>
      </c>
      <c r="P162" s="22">
        <f>'Annual Raw'!Q72+'Annual Raw'!Q61</f>
        <v>44.600999999999999</v>
      </c>
      <c r="Q162" s="22">
        <f>'Annual Raw'!R72+'Annual Raw'!R61</f>
        <v>159.27699999999999</v>
      </c>
      <c r="R162" s="22">
        <f>'Annual Raw'!S72+'Annual Raw'!S61</f>
        <v>150.93299999999999</v>
      </c>
      <c r="S162" s="22">
        <f>'Annual Raw'!T72+'Annual Raw'!T61</f>
        <v>169.03100000000001</v>
      </c>
      <c r="T162" s="22">
        <f>'Annual Raw'!U72+'Annual Raw'!U61</f>
        <v>102.78400000000001</v>
      </c>
      <c r="U162" s="22">
        <f>'Annual Raw'!V72+'Annual Raw'!V61</f>
        <v>156.12799999999999</v>
      </c>
      <c r="V162" s="22">
        <f>'Annual Raw'!W72+'Annual Raw'!W61</f>
        <v>168.71600000000001</v>
      </c>
      <c r="W162" s="22">
        <f>'Annual Raw'!X72+'Annual Raw'!X61</f>
        <v>222.114</v>
      </c>
      <c r="X162" s="22">
        <f>'Annual Raw'!Y72+'Annual Raw'!Y61</f>
        <v>671.73900000000003</v>
      </c>
      <c r="Y162" s="22">
        <f>'Annual Raw'!Z72+'Annual Raw'!Z61</f>
        <v>591.15700000000004</v>
      </c>
      <c r="Z162" s="22">
        <f>'Annual Raw'!AA72+'Annual Raw'!AA61</f>
        <v>622.36199999999997</v>
      </c>
      <c r="AA162" s="23">
        <f t="shared" ref="AA162:AA167" si="1487">+CK162</f>
        <v>26.100999999999999</v>
      </c>
      <c r="AB162" s="23">
        <f t="shared" ref="AB162:AB167" si="1488">+CO162</f>
        <v>0</v>
      </c>
      <c r="AC162" s="23">
        <f t="shared" ref="AC162:AC167" si="1489">+CS162</f>
        <v>0</v>
      </c>
      <c r="AD162" s="23">
        <f t="shared" ref="AD162:AD167" si="1490">+CW162</f>
        <v>0</v>
      </c>
      <c r="AE162" s="23">
        <f t="shared" ref="AE162:AE167" si="1491">+DA162</f>
        <v>0</v>
      </c>
      <c r="AI162" s="22">
        <f>+'QTR Raw'!C78</f>
        <v>0</v>
      </c>
      <c r="AJ162" s="22">
        <f t="shared" ref="AJ162:AJ163" si="1492">+AI162</f>
        <v>0</v>
      </c>
      <c r="AK162" s="22">
        <f>+'QTR Raw'!E78</f>
        <v>0</v>
      </c>
      <c r="AL162" s="22">
        <f t="shared" ref="AL162:AL163" si="1493">+AK162</f>
        <v>0</v>
      </c>
      <c r="AM162" s="22">
        <f>+'QTR Raw'!G78</f>
        <v>0</v>
      </c>
      <c r="AN162" s="22">
        <f t="shared" ref="AN162:AN163" si="1494">+AM162</f>
        <v>0</v>
      </c>
      <c r="AO162" s="22">
        <f>+'QTR Raw'!I78</f>
        <v>0</v>
      </c>
      <c r="AP162" s="22">
        <f t="shared" ref="AP162:AP163" si="1495">+AO162</f>
        <v>0</v>
      </c>
      <c r="AQ162" s="22">
        <f>+'QTR Raw'!K78</f>
        <v>0</v>
      </c>
      <c r="AR162" s="22">
        <f t="shared" ref="AR162:AR163" si="1496">+AQ162</f>
        <v>0</v>
      </c>
      <c r="AS162" s="22">
        <f>+'QTR Raw'!M78</f>
        <v>0</v>
      </c>
      <c r="AT162" s="22">
        <f t="shared" ref="AT162:AT163" si="1497">+AS162</f>
        <v>0</v>
      </c>
      <c r="AU162" s="22">
        <f>+'QTR Raw'!O78</f>
        <v>0</v>
      </c>
      <c r="AV162" s="22">
        <f t="shared" ref="AV162:AV163" si="1498">+AU162</f>
        <v>0</v>
      </c>
      <c r="AW162" s="22">
        <f>+'QTR Raw'!Q78</f>
        <v>159.27699999999999</v>
      </c>
      <c r="AX162" s="22">
        <f t="shared" ref="AX162:AX163" si="1499">+AW162</f>
        <v>159.27699999999999</v>
      </c>
      <c r="AY162" s="22">
        <f>+'QTR Raw'!S78</f>
        <v>0</v>
      </c>
      <c r="AZ162" s="22">
        <f t="shared" ref="AZ162:AZ163" si="1500">+AY162</f>
        <v>0</v>
      </c>
      <c r="BA162" s="22">
        <f>+'QTR Raw'!U78</f>
        <v>279.07600000000002</v>
      </c>
      <c r="BB162" s="22">
        <f t="shared" ref="BB162:BB163" si="1501">+BA162</f>
        <v>279.07600000000002</v>
      </c>
      <c r="BC162" s="22">
        <f>+'QTR Raw'!W78</f>
        <v>11.305999999999999</v>
      </c>
      <c r="BD162" s="22">
        <f t="shared" ref="BD162:BD163" si="1502">+BC162</f>
        <v>11.305999999999999</v>
      </c>
      <c r="BE162" s="22">
        <f>+'QTR Raw'!Y78</f>
        <v>19.315999999999999</v>
      </c>
      <c r="BF162" s="22">
        <f t="shared" ref="BF162:BF163" si="1503">+BE162</f>
        <v>19.315999999999999</v>
      </c>
      <c r="BG162" s="22">
        <f>+'QTR Raw'!AA78</f>
        <v>20.603000000000002</v>
      </c>
      <c r="BH162" s="22">
        <f t="shared" ref="BH162:BH163" si="1504">+BG162</f>
        <v>20.603000000000002</v>
      </c>
      <c r="BI162" s="22">
        <f>+'QTR Raw'!AC78</f>
        <v>20.091999999999999</v>
      </c>
      <c r="BJ162" s="22">
        <f t="shared" ref="BJ162:BJ163" si="1505">+BI162</f>
        <v>20.091999999999999</v>
      </c>
      <c r="BK162" s="22">
        <f>+'QTR Raw'!AE78</f>
        <v>55.500999999999998</v>
      </c>
      <c r="BL162" s="22">
        <f t="shared" ref="BL162:BL163" si="1506">+BK162</f>
        <v>55.500999999999998</v>
      </c>
      <c r="BM162" s="22">
        <f>+'QTR Raw'!AG78</f>
        <v>44.548000000000002</v>
      </c>
      <c r="BN162" s="22">
        <f t="shared" ref="BN162:BN163" si="1507">+BM162</f>
        <v>44.548000000000002</v>
      </c>
      <c r="BO162" s="22">
        <f>+'QTR Raw'!AI78</f>
        <v>40.79</v>
      </c>
      <c r="BP162" s="22">
        <f t="shared" ref="BP162:BP163" si="1508">+BO162</f>
        <v>40.79</v>
      </c>
      <c r="BQ162" s="22">
        <f>+'QTR Raw'!AK78</f>
        <v>41.789000000000001</v>
      </c>
      <c r="BR162" s="22">
        <f t="shared" ref="BR162:BR163" si="1509">+BQ162</f>
        <v>41.789000000000001</v>
      </c>
      <c r="BS162" s="22">
        <f>+'QTR Raw'!AM78</f>
        <v>41.680999999999997</v>
      </c>
      <c r="BT162" s="22">
        <f t="shared" ref="BT162:BT163" si="1510">+BS162</f>
        <v>41.680999999999997</v>
      </c>
      <c r="BU162" s="22">
        <f>+'QTR Raw'!AO78</f>
        <v>0</v>
      </c>
      <c r="BV162" s="22">
        <f t="shared" ref="BV162:BV163" si="1511">+BU162</f>
        <v>0</v>
      </c>
      <c r="BW162" s="22">
        <f>+'QTR Raw'!AQ78</f>
        <v>0</v>
      </c>
      <c r="BX162" s="22">
        <f t="shared" ref="BX162:BX163" si="1512">+BW162</f>
        <v>0</v>
      </c>
      <c r="BY162" s="22">
        <f>+'QTR Raw'!AS78</f>
        <v>0</v>
      </c>
      <c r="BZ162" s="22">
        <f t="shared" ref="BZ162:BZ163" si="1513">+BY162</f>
        <v>0</v>
      </c>
      <c r="CA162" s="22">
        <f>+'QTR Raw'!AU78</f>
        <v>0</v>
      </c>
      <c r="CB162" s="22">
        <f t="shared" ref="CB162:CB163" si="1514">+CA162</f>
        <v>0</v>
      </c>
      <c r="CC162" s="22">
        <f>+'QTR Raw'!AW78</f>
        <v>0</v>
      </c>
      <c r="CD162" s="22">
        <f t="shared" ref="CD162:CD163" si="1515">+CC162</f>
        <v>0</v>
      </c>
      <c r="CE162" s="22">
        <f>+'QTR Raw'!AY78</f>
        <v>22.064</v>
      </c>
      <c r="CF162" s="22">
        <f t="shared" ref="CF162:CJ167" si="1516">+CE162</f>
        <v>22.064</v>
      </c>
      <c r="CG162" s="22">
        <f t="shared" ref="CG162:CG167" si="1517">+Z162</f>
        <v>622.36199999999997</v>
      </c>
      <c r="CH162" s="22">
        <f t="shared" si="1516"/>
        <v>622.36199999999997</v>
      </c>
      <c r="CI162" s="22">
        <f>+'QTR Raw'!BC78</f>
        <v>23.225000000000001</v>
      </c>
      <c r="CJ162" s="22">
        <f t="shared" si="1516"/>
        <v>23.225000000000001</v>
      </c>
      <c r="CK162" s="22">
        <f>+'QTR Raw'!BE78</f>
        <v>26.100999999999999</v>
      </c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/>
      <c r="DD162" s="122"/>
    </row>
    <row r="163" spans="1:108" s="22" customFormat="1" outlineLevel="1" x14ac:dyDescent="0.25">
      <c r="A163" s="22" t="s">
        <v>60</v>
      </c>
      <c r="B163" s="22">
        <f>'Annual Raw'!C73+'Annual Raw'!C81</f>
        <v>0</v>
      </c>
      <c r="C163" s="22">
        <f>'Annual Raw'!D73+'Annual Raw'!D81</f>
        <v>0</v>
      </c>
      <c r="D163" s="22">
        <f>'Annual Raw'!E73+'Annual Raw'!E81</f>
        <v>0</v>
      </c>
      <c r="E163" s="22">
        <f>'Annual Raw'!F73+'Annual Raw'!F81</f>
        <v>0</v>
      </c>
      <c r="F163" s="22">
        <f>'Annual Raw'!G73+'Annual Raw'!G81</f>
        <v>0</v>
      </c>
      <c r="G163" s="22">
        <f>'Annual Raw'!H73+'Annual Raw'!H81</f>
        <v>0</v>
      </c>
      <c r="H163" s="22">
        <f>'Annual Raw'!I73+'Annual Raw'!I81</f>
        <v>0</v>
      </c>
      <c r="I163" s="22">
        <f>'Annual Raw'!J73+'Annual Raw'!J81</f>
        <v>0</v>
      </c>
      <c r="J163" s="22">
        <f>'Annual Raw'!K73+'Annual Raw'!K81</f>
        <v>0</v>
      </c>
      <c r="K163" s="22">
        <f>'Annual Raw'!L73+'Annual Raw'!L81</f>
        <v>0</v>
      </c>
      <c r="L163" s="22">
        <f>'Annual Raw'!M73+'Annual Raw'!M81</f>
        <v>0</v>
      </c>
      <c r="M163" s="22">
        <f>'Annual Raw'!N73+'Annual Raw'!N81</f>
        <v>0.31</v>
      </c>
      <c r="N163" s="22">
        <f>'Annual Raw'!O73+'Annual Raw'!O81</f>
        <v>2.4940000000000002</v>
      </c>
      <c r="O163" s="22">
        <f>'Annual Raw'!P73+'Annual Raw'!P81</f>
        <v>2.0670000000000002</v>
      </c>
      <c r="P163" s="22">
        <f>'Annual Raw'!Q73+'Annual Raw'!Q81</f>
        <v>6.7690000000000001</v>
      </c>
      <c r="Q163" s="22">
        <f>'Annual Raw'!R73+'Annual Raw'!R81</f>
        <v>5.0119999999999996</v>
      </c>
      <c r="R163" s="22">
        <f>'Annual Raw'!S73+'Annual Raw'!S81</f>
        <v>2.9780000000000002</v>
      </c>
      <c r="S163" s="22">
        <f>'Annual Raw'!T73+'Annual Raw'!T81</f>
        <v>42.260999999999996</v>
      </c>
      <c r="T163" s="22">
        <f>'Annual Raw'!U73+'Annual Raw'!U81</f>
        <v>3.9020000000000001</v>
      </c>
      <c r="U163" s="22">
        <f>'Annual Raw'!V73+'Annual Raw'!V81</f>
        <v>4.7060000000000004</v>
      </c>
      <c r="V163" s="22">
        <f>'Annual Raw'!W73+'Annual Raw'!W81</f>
        <v>3.5379999999999998</v>
      </c>
      <c r="W163" s="22">
        <f>'Annual Raw'!X73+'Annual Raw'!X81</f>
        <v>3.8719999999999999</v>
      </c>
      <c r="X163" s="22">
        <f>'Annual Raw'!Y73+'Annual Raw'!Y81</f>
        <v>3.6179999999999999</v>
      </c>
      <c r="Y163" s="22">
        <f>'Annual Raw'!Z73+'Annual Raw'!Z81</f>
        <v>7.9219999999999997</v>
      </c>
      <c r="Z163" s="22">
        <f>'Annual Raw'!AA73+'Annual Raw'!AA81</f>
        <v>9.9930000000000003</v>
      </c>
      <c r="AA163" s="23">
        <f t="shared" si="1487"/>
        <v>1790.2670000000001</v>
      </c>
      <c r="AB163" s="23">
        <f t="shared" si="1488"/>
        <v>0</v>
      </c>
      <c r="AC163" s="23">
        <f t="shared" si="1489"/>
        <v>0</v>
      </c>
      <c r="AD163" s="23">
        <f t="shared" si="1490"/>
        <v>0</v>
      </c>
      <c r="AE163" s="23">
        <f t="shared" si="1491"/>
        <v>0</v>
      </c>
      <c r="AI163" s="22">
        <f>+'QTR Raw'!C79</f>
        <v>0</v>
      </c>
      <c r="AJ163" s="22">
        <f t="shared" si="1492"/>
        <v>0</v>
      </c>
      <c r="AK163" s="22">
        <f>+'QTR Raw'!E79</f>
        <v>0</v>
      </c>
      <c r="AL163" s="22">
        <f t="shared" si="1493"/>
        <v>0</v>
      </c>
      <c r="AM163" s="22">
        <f>+'QTR Raw'!G79</f>
        <v>0</v>
      </c>
      <c r="AN163" s="22">
        <f t="shared" si="1494"/>
        <v>0</v>
      </c>
      <c r="AO163" s="22">
        <f>+'QTR Raw'!I79</f>
        <v>0</v>
      </c>
      <c r="AP163" s="22">
        <f t="shared" si="1495"/>
        <v>0</v>
      </c>
      <c r="AQ163" s="22">
        <f>+'QTR Raw'!K79</f>
        <v>0</v>
      </c>
      <c r="AR163" s="22">
        <f t="shared" si="1496"/>
        <v>0</v>
      </c>
      <c r="AS163" s="22">
        <f>+'QTR Raw'!M79</f>
        <v>0</v>
      </c>
      <c r="AT163" s="22">
        <f t="shared" si="1497"/>
        <v>0</v>
      </c>
      <c r="AU163" s="22">
        <f>+'QTR Raw'!O79</f>
        <v>0</v>
      </c>
      <c r="AV163" s="22">
        <f t="shared" si="1498"/>
        <v>0</v>
      </c>
      <c r="AW163" s="22">
        <f>+'QTR Raw'!Q79</f>
        <v>5.0119999999999996</v>
      </c>
      <c r="AX163" s="22">
        <f t="shared" si="1499"/>
        <v>5.0119999999999996</v>
      </c>
      <c r="AY163" s="22">
        <f>+'QTR Raw'!S79</f>
        <v>0</v>
      </c>
      <c r="AZ163" s="22">
        <f t="shared" si="1500"/>
        <v>0</v>
      </c>
      <c r="BA163" s="22">
        <f>+'QTR Raw'!U79</f>
        <v>4.2990000000000004</v>
      </c>
      <c r="BB163" s="22">
        <f t="shared" si="1501"/>
        <v>4.2990000000000004</v>
      </c>
      <c r="BC163" s="22">
        <f>+'QTR Raw'!W79</f>
        <v>106.373</v>
      </c>
      <c r="BD163" s="22">
        <f t="shared" si="1502"/>
        <v>106.373</v>
      </c>
      <c r="BE163" s="22">
        <f>+'QTR Raw'!Y79</f>
        <v>153.48099999999999</v>
      </c>
      <c r="BF163" s="22">
        <f t="shared" si="1503"/>
        <v>153.48099999999999</v>
      </c>
      <c r="BG163" s="22">
        <f>+'QTR Raw'!AA79</f>
        <v>116.556</v>
      </c>
      <c r="BH163" s="22">
        <f t="shared" si="1504"/>
        <v>116.556</v>
      </c>
      <c r="BI163" s="22">
        <f>+'QTR Raw'!AC79</f>
        <v>86.593999999999994</v>
      </c>
      <c r="BJ163" s="22">
        <f t="shared" si="1505"/>
        <v>86.593999999999994</v>
      </c>
      <c r="BK163" s="22">
        <f>+'QTR Raw'!AE79</f>
        <v>87.92</v>
      </c>
      <c r="BL163" s="22">
        <f t="shared" si="1506"/>
        <v>87.92</v>
      </c>
      <c r="BM163" s="22">
        <f>+'QTR Raw'!AG79</f>
        <v>116.286</v>
      </c>
      <c r="BN163" s="22">
        <f t="shared" si="1507"/>
        <v>116.286</v>
      </c>
      <c r="BO163" s="22">
        <f>+'QTR Raw'!AI79</f>
        <v>147.78</v>
      </c>
      <c r="BP163" s="22">
        <f t="shared" si="1508"/>
        <v>147.78</v>
      </c>
      <c r="BQ163" s="22">
        <f>+'QTR Raw'!AK79</f>
        <v>130.465</v>
      </c>
      <c r="BR163" s="22">
        <f t="shared" si="1509"/>
        <v>130.465</v>
      </c>
      <c r="BS163" s="22">
        <f>+'QTR Raw'!AM79</f>
        <v>189.63300000000001</v>
      </c>
      <c r="BT163" s="22">
        <f t="shared" si="1510"/>
        <v>189.63300000000001</v>
      </c>
      <c r="BU163" s="22">
        <f>+'QTR Raw'!AO79</f>
        <v>798.78499999999997</v>
      </c>
      <c r="BV163" s="22">
        <f t="shared" si="1511"/>
        <v>798.78499999999997</v>
      </c>
      <c r="BW163" s="22">
        <f>+'QTR Raw'!AQ79</f>
        <v>928.39599999999996</v>
      </c>
      <c r="BX163" s="22">
        <f t="shared" si="1512"/>
        <v>928.39599999999996</v>
      </c>
      <c r="BY163" s="22">
        <f>+'QTR Raw'!AS79</f>
        <v>1590.8579999999999</v>
      </c>
      <c r="BZ163" s="22">
        <f t="shared" si="1513"/>
        <v>1590.8579999999999</v>
      </c>
      <c r="CA163" s="22">
        <f>+'QTR Raw'!AU79</f>
        <v>1461.13</v>
      </c>
      <c r="CB163" s="22">
        <f t="shared" si="1514"/>
        <v>1461.13</v>
      </c>
      <c r="CC163" s="22">
        <f>+'QTR Raw'!AW79</f>
        <v>1633.7860000000001</v>
      </c>
      <c r="CD163" s="22">
        <f t="shared" si="1515"/>
        <v>1633.7860000000001</v>
      </c>
      <c r="CE163" s="22">
        <f>+'QTR Raw'!AY79</f>
        <v>1714.9770000000001</v>
      </c>
      <c r="CF163" s="22">
        <f t="shared" si="1516"/>
        <v>1714.9770000000001</v>
      </c>
      <c r="CG163" s="22">
        <f t="shared" si="1517"/>
        <v>9.9930000000000003</v>
      </c>
      <c r="CH163" s="22">
        <f t="shared" si="1516"/>
        <v>9.9930000000000003</v>
      </c>
      <c r="CI163" s="22">
        <f>+'QTR Raw'!BC79</f>
        <v>1704.9749999999999</v>
      </c>
      <c r="CJ163" s="22">
        <f t="shared" si="1516"/>
        <v>1704.9749999999999</v>
      </c>
      <c r="CK163" s="22">
        <f>+'QTR Raw'!BE79</f>
        <v>1790.2670000000001</v>
      </c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/>
      <c r="DD163" s="122"/>
    </row>
    <row r="164" spans="1:108" s="22" customFormat="1" outlineLevel="1" x14ac:dyDescent="0.25">
      <c r="A164" s="22" t="s">
        <v>61</v>
      </c>
      <c r="B164" s="22">
        <f>'Annual Raw'!C76</f>
        <v>0</v>
      </c>
      <c r="C164" s="22">
        <f>'Annual Raw'!D76</f>
        <v>0</v>
      </c>
      <c r="D164" s="22">
        <f>'Annual Raw'!E76</f>
        <v>0</v>
      </c>
      <c r="E164" s="22">
        <f>'Annual Raw'!F76</f>
        <v>0</v>
      </c>
      <c r="F164" s="22">
        <f>'Annual Raw'!G76</f>
        <v>31.991942900000002</v>
      </c>
      <c r="G164" s="22">
        <f>'Annual Raw'!H76</f>
        <v>28.974369899999999</v>
      </c>
      <c r="H164" s="22">
        <f>'Annual Raw'!I76</f>
        <v>27.904665000000001</v>
      </c>
      <c r="I164" s="22">
        <f>'Annual Raw'!J76</f>
        <v>36.604550500000002</v>
      </c>
      <c r="J164" s="22">
        <f>'Annual Raw'!K76</f>
        <v>55.723019700000002</v>
      </c>
      <c r="K164" s="22">
        <f>'Annual Raw'!L76</f>
        <v>94.712744499999999</v>
      </c>
      <c r="L164" s="22">
        <f>'Annual Raw'!M76</f>
        <v>121.9791118</v>
      </c>
      <c r="M164" s="22">
        <f>'Annual Raw'!N76</f>
        <v>170.03299999999999</v>
      </c>
      <c r="N164" s="22">
        <f>'Annual Raw'!O76</f>
        <v>230.578</v>
      </c>
      <c r="O164" s="22">
        <f>'Annual Raw'!P76</f>
        <v>246.40600000000001</v>
      </c>
      <c r="P164" s="22">
        <f>'Annual Raw'!Q76</f>
        <v>289.25</v>
      </c>
      <c r="Q164" s="22">
        <f>'Annual Raw'!R76</f>
        <v>424.661</v>
      </c>
      <c r="R164" s="22">
        <f>'Annual Raw'!S76</f>
        <v>489.92599999999999</v>
      </c>
      <c r="S164" s="22">
        <f>'Annual Raw'!T76</f>
        <v>438.89400000000001</v>
      </c>
      <c r="T164" s="22">
        <f>'Annual Raw'!U76</f>
        <v>578.39700000000005</v>
      </c>
      <c r="U164" s="22">
        <f>'Annual Raw'!V76</f>
        <v>881.51300000000003</v>
      </c>
      <c r="V164" s="22">
        <f>'Annual Raw'!W76</f>
        <v>928.80399999999997</v>
      </c>
      <c r="W164" s="22">
        <f>'Annual Raw'!X76</f>
        <v>1448.087</v>
      </c>
      <c r="X164" s="22">
        <f>'Annual Raw'!Y76</f>
        <v>1993.885</v>
      </c>
      <c r="Y164" s="22">
        <f>'Annual Raw'!Z76</f>
        <v>2150.5329999999999</v>
      </c>
      <c r="Z164" s="22">
        <f>'Annual Raw'!AA76</f>
        <v>2791.2339999999999</v>
      </c>
      <c r="AA164" s="23">
        <f t="shared" si="1487"/>
        <v>2951.7890000000002</v>
      </c>
      <c r="AB164" s="23">
        <f t="shared" si="1488"/>
        <v>2109.1549787323488</v>
      </c>
      <c r="AC164" s="23">
        <f t="shared" si="1489"/>
        <v>2432.4445955703632</v>
      </c>
      <c r="AD164" s="23">
        <f t="shared" si="1490"/>
        <v>2621.5769968245927</v>
      </c>
      <c r="AE164" s="23">
        <f t="shared" si="1491"/>
        <v>3159.7816419495734</v>
      </c>
      <c r="AI164" s="22">
        <f>+'QTR Raw'!C81</f>
        <v>0</v>
      </c>
      <c r="AJ164" s="22" t="e">
        <f>+AJ199*AJ30/90</f>
        <v>#DIV/0!</v>
      </c>
      <c r="AK164" s="22">
        <f>+'QTR Raw'!E81</f>
        <v>0</v>
      </c>
      <c r="AL164" s="22" t="e">
        <f>+AL199*AL30/90</f>
        <v>#DIV/0!</v>
      </c>
      <c r="AM164" s="22">
        <f>+'QTR Raw'!G81</f>
        <v>0</v>
      </c>
      <c r="AN164" s="22" t="e">
        <f>+AN199*AN30/90</f>
        <v>#DIV/0!</v>
      </c>
      <c r="AO164" s="22">
        <f>+'QTR Raw'!I81</f>
        <v>0</v>
      </c>
      <c r="AP164" s="22" t="e">
        <f>+AP199*AP30/90</f>
        <v>#DIV/0!</v>
      </c>
      <c r="AQ164" s="22">
        <f>+'QTR Raw'!K81</f>
        <v>0</v>
      </c>
      <c r="AR164" s="22" t="e">
        <f>+AR199*AR30/90</f>
        <v>#DIV/0!</v>
      </c>
      <c r="AS164" s="22">
        <f>+'QTR Raw'!M81</f>
        <v>0</v>
      </c>
      <c r="AT164" s="22" t="e">
        <f>+AT199*AT30/90</f>
        <v>#DIV/0!</v>
      </c>
      <c r="AU164" s="22">
        <f>+'QTR Raw'!O81</f>
        <v>0</v>
      </c>
      <c r="AV164" s="22" t="e">
        <f>+AV199*AV30/90</f>
        <v>#DIV/0!</v>
      </c>
      <c r="AW164" s="22">
        <f>+'QTR Raw'!Q81</f>
        <v>424.661</v>
      </c>
      <c r="AX164" s="22">
        <f>+AX199*AX30/90</f>
        <v>944.17882299664575</v>
      </c>
      <c r="AY164" s="22">
        <f>+'QTR Raw'!S81</f>
        <v>0</v>
      </c>
      <c r="AZ164" s="22">
        <f>+AZ199*AZ30/90</f>
        <v>0</v>
      </c>
      <c r="BA164" s="22">
        <f>+'QTR Raw'!U81</f>
        <v>489.92500000000001</v>
      </c>
      <c r="BB164" s="22">
        <f>+BB199*BB30/90</f>
        <v>882.94920748068523</v>
      </c>
      <c r="BC164" s="22">
        <f>+'QTR Raw'!W81</f>
        <v>496.69600000000003</v>
      </c>
      <c r="BD164" s="22">
        <f>+BD199*BD30/90</f>
        <v>247.43486854390906</v>
      </c>
      <c r="BE164" s="22">
        <f>+'QTR Raw'!Y81</f>
        <v>438.89400000000001</v>
      </c>
      <c r="BF164" s="22">
        <f>+BF199*BF30/90</f>
        <v>884.12271742510529</v>
      </c>
      <c r="BG164" s="22">
        <f>+'QTR Raw'!AA81</f>
        <v>565.125</v>
      </c>
      <c r="BH164" s="22">
        <f>+BH199*BH30/90</f>
        <v>314.13507792256712</v>
      </c>
      <c r="BI164" s="22">
        <f>+'QTR Raw'!AC81</f>
        <v>578.39700000000005</v>
      </c>
      <c r="BJ164" s="22">
        <f>+BJ199*BJ30/90</f>
        <v>977.60131739367807</v>
      </c>
      <c r="BK164" s="22">
        <f>+'QTR Raw'!AE81</f>
        <v>806.95600000000002</v>
      </c>
      <c r="BL164" s="22">
        <f>+BL199*BL30/90</f>
        <v>492.34051399792173</v>
      </c>
      <c r="BM164" s="22">
        <f>+'QTR Raw'!AG81</f>
        <v>881.51300000000003</v>
      </c>
      <c r="BN164" s="22">
        <f>+BN199*BN30/90</f>
        <v>1192.2199571952385</v>
      </c>
      <c r="BO164" s="22">
        <f>+'QTR Raw'!AI81</f>
        <v>984.52300000000002</v>
      </c>
      <c r="BP164" s="22">
        <f>+BP199*BP30/90</f>
        <v>1065.4651427228355</v>
      </c>
      <c r="BQ164" s="22">
        <f>+'QTR Raw'!AK81</f>
        <v>928.80399999999997</v>
      </c>
      <c r="BR164" s="22">
        <f>+BR199*BR30/90</f>
        <v>1540.2126728881503</v>
      </c>
      <c r="BS164" s="22">
        <f>+'QTR Raw'!AM81</f>
        <v>1274.693</v>
      </c>
      <c r="BT164" s="22">
        <f>+BT199*BT30/90</f>
        <v>1231.1160074062323</v>
      </c>
      <c r="BU164" s="22">
        <f>+'QTR Raw'!AO81</f>
        <v>1448.087</v>
      </c>
      <c r="BV164" s="22">
        <f>+BV199*BV30/90</f>
        <v>2319.8719081394452</v>
      </c>
      <c r="BW164" s="22">
        <f>+'QTR Raw'!AQ81</f>
        <v>1795.2280000000001</v>
      </c>
      <c r="BX164" s="22">
        <f>+BX199*BX30/90</f>
        <v>1136.5564379924565</v>
      </c>
      <c r="BY164" s="22">
        <f>+'QTR Raw'!AS81</f>
        <v>1993.885</v>
      </c>
      <c r="BZ164" s="22">
        <f>+BZ199*BZ30/90</f>
        <v>3438.8361771392979</v>
      </c>
      <c r="CA164" s="22">
        <f>+'QTR Raw'!AU81</f>
        <v>2090.7240000000002</v>
      </c>
      <c r="CB164" s="22">
        <f>+CB199*CB30/90</f>
        <v>1419.7467114886413</v>
      </c>
      <c r="CC164" s="22">
        <f>+'QTR Raw'!AW81</f>
        <v>2150.5329999999999</v>
      </c>
      <c r="CD164" s="22">
        <f>+CD199*CD30/90</f>
        <v>3399.701674280167</v>
      </c>
      <c r="CE164" s="22">
        <f>+'QTR Raw'!AY81</f>
        <v>2796.018</v>
      </c>
      <c r="CF164" s="22">
        <f>+CF199*CF30/90</f>
        <v>1831.8217875429937</v>
      </c>
      <c r="CG164" s="22">
        <f t="shared" si="1517"/>
        <v>2791.2339999999999</v>
      </c>
      <c r="CH164" s="22">
        <f>+CH199*CH30/90</f>
        <v>4070.2423496842925</v>
      </c>
      <c r="CI164" s="22">
        <f>+'QTR Raw'!BC81</f>
        <v>3073.3389999999999</v>
      </c>
      <c r="CJ164" s="22">
        <f>+CJ199*CJ30/90</f>
        <v>2100.9383351451856</v>
      </c>
      <c r="CK164" s="22">
        <f>+'QTR Raw'!BE81</f>
        <v>2951.7890000000002</v>
      </c>
      <c r="CL164" s="22">
        <f t="shared" ref="CL164:DA164" si="1518">+CL199*CL30/90</f>
        <v>2820.6973734140947</v>
      </c>
      <c r="CM164" s="23">
        <f t="shared" si="1518"/>
        <v>3364.2645941136393</v>
      </c>
      <c r="CN164" s="23">
        <f t="shared" si="1518"/>
        <v>2406.715488298642</v>
      </c>
      <c r="CO164" s="23">
        <f t="shared" si="1518"/>
        <v>2109.1549787323488</v>
      </c>
      <c r="CP164" s="23">
        <f t="shared" si="1518"/>
        <v>3339.6637506857605</v>
      </c>
      <c r="CQ164" s="23">
        <f t="shared" si="1518"/>
        <v>3885.9699291148845</v>
      </c>
      <c r="CR164" s="23">
        <f t="shared" si="1518"/>
        <v>2768.7433623014203</v>
      </c>
      <c r="CS164" s="23">
        <f t="shared" si="1518"/>
        <v>2432.4445955703632</v>
      </c>
      <c r="CT164" s="23">
        <f t="shared" si="1518"/>
        <v>3573.2496423773259</v>
      </c>
      <c r="CU164" s="23">
        <f t="shared" si="1518"/>
        <v>4170.0007106944295</v>
      </c>
      <c r="CV164" s="23">
        <f t="shared" si="1518"/>
        <v>2977.162338751551</v>
      </c>
      <c r="CW164" s="23">
        <f t="shared" si="1518"/>
        <v>2621.5769968245927</v>
      </c>
      <c r="CX164" s="23">
        <f t="shared" si="1518"/>
        <v>4276.7632965507801</v>
      </c>
      <c r="CY164" s="23">
        <f t="shared" si="1518"/>
        <v>5000.2598017530809</v>
      </c>
      <c r="CZ164" s="23">
        <f t="shared" si="1518"/>
        <v>3577.5332793130874</v>
      </c>
      <c r="DA164" s="23">
        <f t="shared" si="1518"/>
        <v>3159.7816419495734</v>
      </c>
      <c r="DB164"/>
      <c r="DD164" s="122"/>
    </row>
    <row r="165" spans="1:108" s="22" customFormat="1" outlineLevel="1" x14ac:dyDescent="0.25">
      <c r="A165" s="22" t="s">
        <v>62</v>
      </c>
      <c r="B165" s="22">
        <f>'Annual Raw'!C77</f>
        <v>0</v>
      </c>
      <c r="C165" s="22">
        <f>'Annual Raw'!D77</f>
        <v>0</v>
      </c>
      <c r="D165" s="22">
        <f>'Annual Raw'!E77</f>
        <v>0</v>
      </c>
      <c r="E165" s="22">
        <f>'Annual Raw'!F77</f>
        <v>0</v>
      </c>
      <c r="F165" s="22">
        <f>'Annual Raw'!G77</f>
        <v>21.581258500000001</v>
      </c>
      <c r="G165" s="22">
        <f>'Annual Raw'!H77</f>
        <v>24.531050100000002</v>
      </c>
      <c r="H165" s="22">
        <f>'Annual Raw'!I77</f>
        <v>31.467520199999999</v>
      </c>
      <c r="I165" s="22">
        <f>'Annual Raw'!J77</f>
        <v>42.074909499999997</v>
      </c>
      <c r="J165" s="22">
        <f>'Annual Raw'!K77</f>
        <v>93.6080367</v>
      </c>
      <c r="K165" s="22">
        <f>'Annual Raw'!L77</f>
        <v>64.306281400000003</v>
      </c>
      <c r="L165" s="22">
        <f>'Annual Raw'!M77</f>
        <v>83.332298100000003</v>
      </c>
      <c r="M165" s="22">
        <f>'Annual Raw'!N77</f>
        <v>86.905000000000001</v>
      </c>
      <c r="N165" s="22">
        <f>'Annual Raw'!O77</f>
        <v>90.65</v>
      </c>
      <c r="O165" s="22">
        <f>'Annual Raw'!P77</f>
        <v>65.206999999999994</v>
      </c>
      <c r="P165" s="22">
        <f>'Annual Raw'!Q77</f>
        <v>97.287999999999997</v>
      </c>
      <c r="Q165" s="22">
        <f>'Annual Raw'!R77</f>
        <v>97.91</v>
      </c>
      <c r="R165" s="22">
        <f>'Annual Raw'!S77</f>
        <v>131.345</v>
      </c>
      <c r="S165" s="22">
        <f>'Annual Raw'!T77</f>
        <v>150.245</v>
      </c>
      <c r="T165" s="22">
        <f>'Annual Raw'!U77</f>
        <v>128.02500000000001</v>
      </c>
      <c r="U165" s="22">
        <f>'Annual Raw'!V77</f>
        <v>172.55500000000001</v>
      </c>
      <c r="V165" s="22">
        <f>'Annual Raw'!W77</f>
        <v>241.797</v>
      </c>
      <c r="W165" s="22">
        <f>'Annual Raw'!X77</f>
        <v>221.249</v>
      </c>
      <c r="X165" s="22">
        <f>'Annual Raw'!Y77</f>
        <v>299.33800000000002</v>
      </c>
      <c r="Y165" s="22">
        <f>'Annual Raw'!Z77</f>
        <v>359.38499999999999</v>
      </c>
      <c r="Z165" s="22">
        <f>'Annual Raw'!AA77</f>
        <v>845.84199999999998</v>
      </c>
      <c r="AA165" s="23">
        <f t="shared" si="1487"/>
        <v>1249.0309999999999</v>
      </c>
      <c r="AB165" s="23">
        <f t="shared" si="1488"/>
        <v>822.72265058421135</v>
      </c>
      <c r="AC165" s="23">
        <f t="shared" si="1489"/>
        <v>948.82893160827518</v>
      </c>
      <c r="AD165" s="23">
        <f t="shared" si="1490"/>
        <v>1022.6042169904606</v>
      </c>
      <c r="AE165" s="23">
        <f t="shared" si="1491"/>
        <v>1232.5428685636552</v>
      </c>
      <c r="AI165" s="22">
        <f>+'QTR Raw'!C82</f>
        <v>0</v>
      </c>
      <c r="AJ165" s="22" t="e">
        <f>+AJ200*AJ30/90</f>
        <v>#DIV/0!</v>
      </c>
      <c r="AK165" s="22">
        <f>+'QTR Raw'!E82</f>
        <v>0</v>
      </c>
      <c r="AL165" s="22" t="e">
        <f>+AL200*AL30/90</f>
        <v>#DIV/0!</v>
      </c>
      <c r="AM165" s="22">
        <f>+'QTR Raw'!G82</f>
        <v>0</v>
      </c>
      <c r="AN165" s="22" t="e">
        <f>+AN200*AN30/90</f>
        <v>#DIV/0!</v>
      </c>
      <c r="AO165" s="22">
        <f>+'QTR Raw'!I82</f>
        <v>0</v>
      </c>
      <c r="AP165" s="22" t="e">
        <f>+AP200*AP30/90</f>
        <v>#DIV/0!</v>
      </c>
      <c r="AQ165" s="22">
        <f>+'QTR Raw'!K82</f>
        <v>0</v>
      </c>
      <c r="AR165" s="22" t="e">
        <f>+AR200*AR30/90</f>
        <v>#DIV/0!</v>
      </c>
      <c r="AS165" s="22">
        <f>+'QTR Raw'!M82</f>
        <v>0</v>
      </c>
      <c r="AT165" s="22" t="e">
        <f>+AT200*AT30/90</f>
        <v>#DIV/0!</v>
      </c>
      <c r="AU165" s="22">
        <f>+'QTR Raw'!O82</f>
        <v>0</v>
      </c>
      <c r="AV165" s="22" t="e">
        <f>+AV200*AV30/90</f>
        <v>#DIV/0!</v>
      </c>
      <c r="AW165" s="22">
        <f>+'QTR Raw'!Q82</f>
        <v>97.91</v>
      </c>
      <c r="AX165" s="22">
        <f>+AX200*AX30/90</f>
        <v>217.69022481367861</v>
      </c>
      <c r="AY165" s="22">
        <f>+'QTR Raw'!S82</f>
        <v>0</v>
      </c>
      <c r="AZ165" s="22">
        <f>+AZ200*AZ30/90</f>
        <v>0</v>
      </c>
      <c r="BA165" s="22">
        <f>+'QTR Raw'!U82</f>
        <v>130.315</v>
      </c>
      <c r="BB165" s="22">
        <f>+BB200*BB30/90</f>
        <v>234.85538801417664</v>
      </c>
      <c r="BC165" s="22">
        <f>+'QTR Raw'!W82</f>
        <v>237.96199999999999</v>
      </c>
      <c r="BD165" s="22">
        <f>+BD200*BD30/90</f>
        <v>118.54352800998133</v>
      </c>
      <c r="BE165" s="22">
        <f>+'QTR Raw'!Y82</f>
        <v>150.245</v>
      </c>
      <c r="BF165" s="22">
        <f>+BF200*BF30/90</f>
        <v>302.65854096783039</v>
      </c>
      <c r="BG165" s="22">
        <f>+'QTR Raw'!AA82</f>
        <v>218.017</v>
      </c>
      <c r="BH165" s="22">
        <f>+BH200*BH30/90</f>
        <v>121.18874104568782</v>
      </c>
      <c r="BI165" s="22">
        <f>+'QTR Raw'!AC82</f>
        <v>128.02500000000001</v>
      </c>
      <c r="BJ165" s="22">
        <f>+BJ200*BJ30/90</f>
        <v>216.38668364345878</v>
      </c>
      <c r="BK165" s="22">
        <f>+'QTR Raw'!AE82</f>
        <v>267.95999999999998</v>
      </c>
      <c r="BL165" s="22">
        <f>+BL200*BL30/90</f>
        <v>163.48792763283637</v>
      </c>
      <c r="BM165" s="22">
        <f>+'QTR Raw'!AG82</f>
        <v>172.55500000000001</v>
      </c>
      <c r="BN165" s="22">
        <f>+BN200*BN30/90</f>
        <v>233.37547456909246</v>
      </c>
      <c r="BO165" s="22">
        <f>+'QTR Raw'!AI82</f>
        <v>237.577</v>
      </c>
      <c r="BP165" s="22">
        <f>+BP200*BP30/90</f>
        <v>257.10929273634349</v>
      </c>
      <c r="BQ165" s="22">
        <f>+'QTR Raw'!AK82</f>
        <v>241.797</v>
      </c>
      <c r="BR165" s="22">
        <f>+BR200*BR30/90</f>
        <v>400.96597739279332</v>
      </c>
      <c r="BS165" s="22">
        <f>+'QTR Raw'!AM82</f>
        <v>323.84399999999999</v>
      </c>
      <c r="BT165" s="22">
        <f>+BT200*BT30/90</f>
        <v>312.77298322220634</v>
      </c>
      <c r="BU165" s="22">
        <f>+'QTR Raw'!AO82</f>
        <v>221.249</v>
      </c>
      <c r="BV165" s="22">
        <f>+BV200*BV30/90</f>
        <v>354.44647994488184</v>
      </c>
      <c r="BW165" s="22">
        <f>+'QTR Raw'!AQ82</f>
        <v>322.19299999999998</v>
      </c>
      <c r="BX165" s="22">
        <f>+BX200*BX30/90</f>
        <v>203.97995598670673</v>
      </c>
      <c r="BY165" s="22">
        <f>+'QTR Raw'!AS82</f>
        <v>299.33800000000002</v>
      </c>
      <c r="BZ165" s="22">
        <f>+BZ200*BZ30/90</f>
        <v>516.26565403346899</v>
      </c>
      <c r="CA165" s="22">
        <f>+'QTR Raw'!AU82</f>
        <v>603.57600000000002</v>
      </c>
      <c r="CB165" s="22">
        <f>+CB200*CB30/90</f>
        <v>409.86999772971853</v>
      </c>
      <c r="CC165" s="22">
        <f>+'QTR Raw'!AW82</f>
        <v>359.38499999999999</v>
      </c>
      <c r="CD165" s="22">
        <f>+CD200*CD30/90</f>
        <v>568.13905492786103</v>
      </c>
      <c r="CE165" s="22">
        <f>+'QTR Raw'!AY82</f>
        <v>1025.4839999999999</v>
      </c>
      <c r="CF165" s="22">
        <f>+CF200*CF30/90</f>
        <v>671.84972842690536</v>
      </c>
      <c r="CG165" s="22">
        <f t="shared" si="1517"/>
        <v>845.84199999999998</v>
      </c>
      <c r="CH165" s="22">
        <f>+CH200*CH30/90</f>
        <v>1233.4264807399386</v>
      </c>
      <c r="CI165" s="22">
        <f>+'QTR Raw'!BC82</f>
        <v>1198.8240000000001</v>
      </c>
      <c r="CJ165" s="22">
        <f>+CJ200*CJ30/90</f>
        <v>819.51756662447326</v>
      </c>
      <c r="CK165" s="22">
        <f>+'QTR Raw'!BE82</f>
        <v>1249.0309999999999</v>
      </c>
      <c r="CL165" s="22">
        <f t="shared" ref="CL165:DA165" si="1519">+CL200*CL30/90</f>
        <v>1100.2755335437382</v>
      </c>
      <c r="CM165" s="23">
        <f t="shared" si="1519"/>
        <v>1312.3059765856253</v>
      </c>
      <c r="CN165" s="23">
        <f t="shared" si="1519"/>
        <v>938.79272301042317</v>
      </c>
      <c r="CO165" s="23">
        <f t="shared" si="1519"/>
        <v>822.72265058421135</v>
      </c>
      <c r="CP165" s="23">
        <f t="shared" si="1519"/>
        <v>1302.7098723089466</v>
      </c>
      <c r="CQ165" s="23">
        <f t="shared" si="1519"/>
        <v>1515.8087065244742</v>
      </c>
      <c r="CR165" s="23">
        <f t="shared" si="1519"/>
        <v>1080.0097199064726</v>
      </c>
      <c r="CS165" s="23">
        <f t="shared" si="1519"/>
        <v>948.82893160827518</v>
      </c>
      <c r="CT165" s="23">
        <f t="shared" si="1519"/>
        <v>1393.825226983862</v>
      </c>
      <c r="CU165" s="23">
        <f t="shared" si="1519"/>
        <v>1626.601208652068</v>
      </c>
      <c r="CV165" s="23">
        <f t="shared" si="1519"/>
        <v>1161.3081614463908</v>
      </c>
      <c r="CW165" s="23">
        <f t="shared" si="1519"/>
        <v>1022.6042169904606</v>
      </c>
      <c r="CX165" s="23">
        <f t="shared" si="1519"/>
        <v>1668.2463217445886</v>
      </c>
      <c r="CY165" s="23">
        <f t="shared" si="1519"/>
        <v>1950.462170485207</v>
      </c>
      <c r="CZ165" s="23">
        <f t="shared" si="1519"/>
        <v>1395.4961545209405</v>
      </c>
      <c r="DA165" s="23">
        <f t="shared" si="1519"/>
        <v>1232.5428685636552</v>
      </c>
      <c r="DB165"/>
      <c r="DD165" s="122"/>
    </row>
    <row r="166" spans="1:108" s="22" customFormat="1" outlineLevel="1" x14ac:dyDescent="0.25">
      <c r="A166" s="22" t="s">
        <v>63</v>
      </c>
      <c r="B166" s="22">
        <f>'Annual Raw'!C79</f>
        <v>0</v>
      </c>
      <c r="C166" s="22">
        <f>'Annual Raw'!D79</f>
        <v>0</v>
      </c>
      <c r="D166" s="22">
        <f>'Annual Raw'!E79</f>
        <v>0</v>
      </c>
      <c r="E166" s="22">
        <f>'Annual Raw'!F79</f>
        <v>0</v>
      </c>
      <c r="F166" s="22">
        <f>'Annual Raw'!G79</f>
        <v>0.35789840000000001</v>
      </c>
      <c r="G166" s="22">
        <f>'Annual Raw'!H79</f>
        <v>0.61204740000000002</v>
      </c>
      <c r="H166" s="22">
        <f>'Annual Raw'!I79</f>
        <v>0.82777009999999995</v>
      </c>
      <c r="I166" s="22">
        <f>'Annual Raw'!J79</f>
        <v>0.3742337</v>
      </c>
      <c r="J166" s="22">
        <f>'Annual Raw'!K79</f>
        <v>0.31738240000000001</v>
      </c>
      <c r="K166" s="22">
        <f>'Annual Raw'!L79</f>
        <v>4.4148209999999999</v>
      </c>
      <c r="L166" s="22">
        <f>'Annual Raw'!M79</f>
        <v>4.4728668000000003</v>
      </c>
      <c r="M166" s="22">
        <f>'Annual Raw'!N79</f>
        <v>3.5880000000000001</v>
      </c>
      <c r="N166" s="22">
        <f>'Annual Raw'!O79</f>
        <v>24.050999999999998</v>
      </c>
      <c r="O166" s="22">
        <f>'Annual Raw'!P79</f>
        <v>15.930999999999999</v>
      </c>
      <c r="P166" s="22">
        <f>'Annual Raw'!Q79</f>
        <v>41.029000000000003</v>
      </c>
      <c r="Q166" s="22">
        <f>'Annual Raw'!R79</f>
        <v>40.216000000000001</v>
      </c>
      <c r="R166" s="22">
        <f>'Annual Raw'!S79</f>
        <v>24.46</v>
      </c>
      <c r="S166" s="22">
        <f>'Annual Raw'!T79</f>
        <v>100.223</v>
      </c>
      <c r="T166" s="22">
        <f>'Annual Raw'!U79</f>
        <v>149.267</v>
      </c>
      <c r="U166" s="22">
        <f>'Annual Raw'!V79</f>
        <v>233.887</v>
      </c>
      <c r="V166" s="22">
        <f>'Annual Raw'!W79</f>
        <v>192.64599999999999</v>
      </c>
      <c r="W166" s="22">
        <f>'Annual Raw'!X79</f>
        <v>251.268</v>
      </c>
      <c r="X166" s="22">
        <f>'Annual Raw'!Y79</f>
        <v>401.53300000000002</v>
      </c>
      <c r="Y166" s="22">
        <f>'Annual Raw'!Z79</f>
        <v>739.88699999999994</v>
      </c>
      <c r="Z166" s="22">
        <f>'Annual Raw'!AA79</f>
        <v>858.79399999999998</v>
      </c>
      <c r="AA166" s="23">
        <f t="shared" si="1487"/>
        <v>1690.0920000000001</v>
      </c>
      <c r="AB166" s="23">
        <f t="shared" si="1488"/>
        <v>2278.7437655760518</v>
      </c>
      <c r="AC166" s="23">
        <f t="shared" si="1489"/>
        <v>2628.0278183239757</v>
      </c>
      <c r="AD166" s="23">
        <f t="shared" si="1490"/>
        <v>2832.3676058561059</v>
      </c>
      <c r="AE166" s="23">
        <f t="shared" si="1491"/>
        <v>3413.847151953632</v>
      </c>
      <c r="AI166" s="22">
        <f>+'QTR Raw'!C84</f>
        <v>0</v>
      </c>
      <c r="AJ166" s="22">
        <f t="shared" ref="AJ166:AJ167" si="1520">+AI166</f>
        <v>0</v>
      </c>
      <c r="AK166" s="22">
        <f>+'QTR Raw'!E84</f>
        <v>0</v>
      </c>
      <c r="AL166" s="22">
        <f t="shared" ref="AL166:AL167" si="1521">+AK166</f>
        <v>0</v>
      </c>
      <c r="AM166" s="22">
        <f>+'QTR Raw'!G84</f>
        <v>0</v>
      </c>
      <c r="AN166" s="22">
        <f t="shared" ref="AN166:AN167" si="1522">+AM166</f>
        <v>0</v>
      </c>
      <c r="AO166" s="22">
        <f>+'QTR Raw'!I84</f>
        <v>0</v>
      </c>
      <c r="AP166" s="22">
        <f t="shared" ref="AP166:AP167" si="1523">+AO166</f>
        <v>0</v>
      </c>
      <c r="AQ166" s="22">
        <f>+'QTR Raw'!K84</f>
        <v>0</v>
      </c>
      <c r="AR166" s="22">
        <f t="shared" ref="AR166:AR167" si="1524">+AQ166</f>
        <v>0</v>
      </c>
      <c r="AS166" s="22">
        <f>+'QTR Raw'!M84</f>
        <v>0</v>
      </c>
      <c r="AT166" s="22">
        <f t="shared" ref="AT166:AT167" si="1525">+AS166</f>
        <v>0</v>
      </c>
      <c r="AU166" s="22">
        <f>+'QTR Raw'!O84</f>
        <v>0</v>
      </c>
      <c r="AV166" s="22">
        <f t="shared" ref="AV166:AV167" si="1526">+AU166</f>
        <v>0</v>
      </c>
      <c r="AW166" s="22">
        <f>+'QTR Raw'!Q84</f>
        <v>9.4160000000000004</v>
      </c>
      <c r="AX166" s="22">
        <f t="shared" ref="AX166:AX167" si="1527">+AW166</f>
        <v>9.4160000000000004</v>
      </c>
      <c r="AY166" s="22">
        <f>+'QTR Raw'!S84</f>
        <v>0</v>
      </c>
      <c r="AZ166" s="22">
        <f t="shared" ref="AZ166:AZ167" si="1528">+AY166</f>
        <v>0</v>
      </c>
      <c r="BA166" s="22">
        <f>+'QTR Raw'!U84</f>
        <v>9.8529999999999998</v>
      </c>
      <c r="BB166" s="22">
        <f t="shared" ref="BB166:BB167" si="1529">+BA166</f>
        <v>9.8529999999999998</v>
      </c>
      <c r="BC166" s="22">
        <f>+'QTR Raw'!W84</f>
        <v>338.50200000000001</v>
      </c>
      <c r="BD166" s="22">
        <f t="shared" ref="BD166:BD167" si="1530">+BC166</f>
        <v>338.50200000000001</v>
      </c>
      <c r="BE166" s="22">
        <f>+'QTR Raw'!Y84</f>
        <v>284.99599999999998</v>
      </c>
      <c r="BF166" s="22">
        <f t="shared" ref="BF166:BF167" si="1531">+BE166</f>
        <v>284.99599999999998</v>
      </c>
      <c r="BG166" s="22">
        <f>+'QTR Raw'!AA84</f>
        <v>322.399</v>
      </c>
      <c r="BH166" s="22">
        <f t="shared" ref="BH166:BH167" si="1532">+BG166</f>
        <v>322.399</v>
      </c>
      <c r="BI166" s="22">
        <f>+'QTR Raw'!AC84</f>
        <v>339.29199999999997</v>
      </c>
      <c r="BJ166" s="22">
        <f t="shared" ref="BJ166:BJ167" si="1533">+BI166</f>
        <v>339.29199999999997</v>
      </c>
      <c r="BK166" s="22">
        <f>+'QTR Raw'!AE84</f>
        <v>474.572</v>
      </c>
      <c r="BL166" s="22">
        <f t="shared" ref="BL166:BL167" si="1534">+BK166</f>
        <v>474.572</v>
      </c>
      <c r="BM166" s="22">
        <f>+'QTR Raw'!AG84</f>
        <v>439.80200000000002</v>
      </c>
      <c r="BN166" s="22">
        <f t="shared" ref="BN166:BN167" si="1535">+BM166</f>
        <v>439.80200000000002</v>
      </c>
      <c r="BO166" s="22">
        <f>+'QTR Raw'!AI84</f>
        <v>333.15800000000002</v>
      </c>
      <c r="BP166" s="22">
        <f t="shared" ref="BP166:BP167" si="1536">+BO166</f>
        <v>333.15800000000002</v>
      </c>
      <c r="BQ166" s="22">
        <f>+'QTR Raw'!AK84</f>
        <v>429.00900000000001</v>
      </c>
      <c r="BR166" s="22">
        <f t="shared" ref="BR166:BR167" si="1537">+BQ166</f>
        <v>429.00900000000001</v>
      </c>
      <c r="BS166" s="22">
        <f>+'QTR Raw'!AM84</f>
        <v>340.33499999999998</v>
      </c>
      <c r="BT166" s="22">
        <f t="shared" ref="BT166:BT167" si="1538">+BS166</f>
        <v>340.33499999999998</v>
      </c>
      <c r="BU166" s="22">
        <f>+'QTR Raw'!AO84</f>
        <v>540.15499999999997</v>
      </c>
      <c r="BV166" s="22">
        <f t="shared" ref="BV166:BV167" si="1539">+BU166</f>
        <v>540.15499999999997</v>
      </c>
      <c r="BW166" s="22">
        <f>+'QTR Raw'!AQ84</f>
        <v>640.42200000000003</v>
      </c>
      <c r="BX166" s="22">
        <f t="shared" ref="BX166:BX167" si="1540">+BW166</f>
        <v>640.42200000000003</v>
      </c>
      <c r="BY166" s="22">
        <f>+'QTR Raw'!AS84</f>
        <v>825.54</v>
      </c>
      <c r="BZ166" s="22">
        <f t="shared" ref="BZ166:BZ167" si="1541">+BY166</f>
        <v>825.54</v>
      </c>
      <c r="CA166" s="22">
        <f>+'QTR Raw'!AU84</f>
        <v>849.52</v>
      </c>
      <c r="CB166" s="22">
        <f t="shared" ref="CB166:CB167" si="1542">+CA166</f>
        <v>849.52</v>
      </c>
      <c r="CC166" s="22">
        <f>+'QTR Raw'!AW84</f>
        <v>1265.8499999999999</v>
      </c>
      <c r="CD166" s="22">
        <f t="shared" ref="CD166:CD167" si="1543">+CC166</f>
        <v>1265.8499999999999</v>
      </c>
      <c r="CE166" s="22">
        <f>+'QTR Raw'!AY84</f>
        <v>1441.06</v>
      </c>
      <c r="CF166" s="22">
        <f t="shared" si="1516"/>
        <v>1441.06</v>
      </c>
      <c r="CG166" s="22">
        <f t="shared" si="1517"/>
        <v>858.79399999999998</v>
      </c>
      <c r="CH166" s="22">
        <f t="shared" si="1516"/>
        <v>858.79399999999998</v>
      </c>
      <c r="CI166" s="22">
        <f>+'QTR Raw'!BC84</f>
        <v>1592.2539999999999</v>
      </c>
      <c r="CJ166" s="22">
        <f t="shared" si="1516"/>
        <v>1592.2539999999999</v>
      </c>
      <c r="CK166" s="22">
        <f>+'QTR Raw'!BE84</f>
        <v>1690.0920000000001</v>
      </c>
      <c r="CL166" s="22">
        <f t="shared" ref="CL166:DA166" si="1544">CL30/90*CL201</f>
        <v>3047.498462207494</v>
      </c>
      <c r="CM166" s="23">
        <f t="shared" si="1544"/>
        <v>3634.7717673133361</v>
      </c>
      <c r="CN166" s="23">
        <f t="shared" si="1544"/>
        <v>2600.229935579242</v>
      </c>
      <c r="CO166" s="23">
        <f t="shared" si="1544"/>
        <v>2278.7437655760518</v>
      </c>
      <c r="CP166" s="23">
        <f t="shared" si="1544"/>
        <v>3608.1928676333873</v>
      </c>
      <c r="CQ166" s="23">
        <f t="shared" si="1544"/>
        <v>4198.4253591970246</v>
      </c>
      <c r="CR166" s="23">
        <f t="shared" si="1544"/>
        <v>2991.3670351130136</v>
      </c>
      <c r="CS166" s="23">
        <f t="shared" si="1544"/>
        <v>2628.0278183239757</v>
      </c>
      <c r="CT166" s="23">
        <f t="shared" si="1544"/>
        <v>3860.5604744645329</v>
      </c>
      <c r="CU166" s="23">
        <f t="shared" si="1544"/>
        <v>4505.2939294455155</v>
      </c>
      <c r="CV166" s="23">
        <f t="shared" si="1544"/>
        <v>3216.5441548611902</v>
      </c>
      <c r="CW166" s="23">
        <f t="shared" si="1544"/>
        <v>2832.3676058561059</v>
      </c>
      <c r="CX166" s="23">
        <f t="shared" si="1544"/>
        <v>4620.6408714057297</v>
      </c>
      <c r="CY166" s="23">
        <f t="shared" si="1544"/>
        <v>5402.3108611741864</v>
      </c>
      <c r="CZ166" s="23">
        <f t="shared" si="1544"/>
        <v>3865.1885416572172</v>
      </c>
      <c r="DA166" s="23">
        <f t="shared" si="1544"/>
        <v>3413.847151953632</v>
      </c>
      <c r="DB166"/>
      <c r="DD166" s="122"/>
    </row>
    <row r="167" spans="1:108" s="22" customFormat="1" outlineLevel="1" x14ac:dyDescent="0.25">
      <c r="A167" s="22" t="s">
        <v>64</v>
      </c>
      <c r="B167" s="22">
        <f>'Annual Raw'!C80</f>
        <v>0</v>
      </c>
      <c r="C167" s="22">
        <f>'Annual Raw'!D80</f>
        <v>0</v>
      </c>
      <c r="D167" s="22">
        <f>'Annual Raw'!E80</f>
        <v>0</v>
      </c>
      <c r="E167" s="22">
        <f>'Annual Raw'!F80</f>
        <v>0</v>
      </c>
      <c r="F167" s="22">
        <f>'Annual Raw'!G80</f>
        <v>16.756686500000001</v>
      </c>
      <c r="G167" s="22">
        <f>'Annual Raw'!H80</f>
        <v>19.022771299999999</v>
      </c>
      <c r="H167" s="22">
        <f>'Annual Raw'!I80</f>
        <v>18.676386000000001</v>
      </c>
      <c r="I167" s="22">
        <f>'Annual Raw'!J80</f>
        <v>38.075248299999998</v>
      </c>
      <c r="J167" s="22">
        <f>'Annual Raw'!K80</f>
        <v>47.667590599999997</v>
      </c>
      <c r="K167" s="22">
        <f>'Annual Raw'!L80</f>
        <v>79.193884100000005</v>
      </c>
      <c r="L167" s="22">
        <f>'Annual Raw'!M80</f>
        <v>73.267803700000002</v>
      </c>
      <c r="M167" s="22">
        <f>'Annual Raw'!N80</f>
        <v>114.179</v>
      </c>
      <c r="N167" s="22">
        <f>'Annual Raw'!O80</f>
        <v>200.78</v>
      </c>
      <c r="O167" s="22">
        <f>'Annual Raw'!P80</f>
        <v>165.19900000000001</v>
      </c>
      <c r="P167" s="22">
        <f>'Annual Raw'!Q80</f>
        <v>94.936999999999998</v>
      </c>
      <c r="Q167" s="22">
        <f>'Annual Raw'!R80</f>
        <v>109.34099999999999</v>
      </c>
      <c r="R167" s="22">
        <f>'Annual Raw'!S80</f>
        <v>141.131</v>
      </c>
      <c r="S167" s="22">
        <f>'Annual Raw'!T80</f>
        <v>146.304</v>
      </c>
      <c r="T167" s="22">
        <f>'Annual Raw'!U80</f>
        <v>191.578</v>
      </c>
      <c r="U167" s="22">
        <f>'Annual Raw'!V80</f>
        <v>212.852</v>
      </c>
      <c r="V167" s="22">
        <f>'Annual Raw'!W80</f>
        <v>246.37899999999999</v>
      </c>
      <c r="W167" s="22">
        <f>'Annual Raw'!X80</f>
        <v>288.887</v>
      </c>
      <c r="X167" s="22">
        <f>'Annual Raw'!Y80</f>
        <v>424.00700000000001</v>
      </c>
      <c r="Y167" s="22">
        <f>'Annual Raw'!Z80</f>
        <v>525.96299999999997</v>
      </c>
      <c r="Z167" s="22">
        <f>'Annual Raw'!AA80</f>
        <v>918.05</v>
      </c>
      <c r="AA167" s="23">
        <f t="shared" si="1487"/>
        <v>0</v>
      </c>
      <c r="AB167" s="23">
        <f t="shared" si="1488"/>
        <v>0</v>
      </c>
      <c r="AC167" s="23">
        <f t="shared" si="1489"/>
        <v>0</v>
      </c>
      <c r="AD167" s="23">
        <f t="shared" si="1490"/>
        <v>0</v>
      </c>
      <c r="AE167" s="23">
        <f t="shared" si="1491"/>
        <v>0</v>
      </c>
      <c r="AI167" s="22">
        <f>+'QTR Raw'!C85</f>
        <v>0</v>
      </c>
      <c r="AJ167" s="22">
        <f t="shared" si="1520"/>
        <v>0</v>
      </c>
      <c r="AK167" s="22">
        <f>+'QTR Raw'!E85</f>
        <v>0</v>
      </c>
      <c r="AL167" s="22">
        <f t="shared" si="1521"/>
        <v>0</v>
      </c>
      <c r="AM167" s="22">
        <f>+'QTR Raw'!G85</f>
        <v>0</v>
      </c>
      <c r="AN167" s="22">
        <f t="shared" si="1522"/>
        <v>0</v>
      </c>
      <c r="AO167" s="22">
        <f>+'QTR Raw'!I85</f>
        <v>0</v>
      </c>
      <c r="AP167" s="22">
        <f t="shared" si="1523"/>
        <v>0</v>
      </c>
      <c r="AQ167" s="22">
        <f>+'QTR Raw'!K85</f>
        <v>0</v>
      </c>
      <c r="AR167" s="22">
        <f t="shared" si="1524"/>
        <v>0</v>
      </c>
      <c r="AS167" s="22">
        <f>+'QTR Raw'!M85</f>
        <v>0</v>
      </c>
      <c r="AT167" s="22">
        <f t="shared" si="1525"/>
        <v>0</v>
      </c>
      <c r="AU167" s="22">
        <f>+'QTR Raw'!O85</f>
        <v>0</v>
      </c>
      <c r="AV167" s="22">
        <f t="shared" si="1526"/>
        <v>0</v>
      </c>
      <c r="AW167" s="22">
        <f>+'QTR Raw'!Q85</f>
        <v>140.14099999999999</v>
      </c>
      <c r="AX167" s="22">
        <f t="shared" si="1527"/>
        <v>140.14099999999999</v>
      </c>
      <c r="AY167" s="22">
        <f>+'QTR Raw'!S85</f>
        <v>0</v>
      </c>
      <c r="AZ167" s="22">
        <f t="shared" si="1528"/>
        <v>0</v>
      </c>
      <c r="BA167" s="22">
        <f>+'QTR Raw'!U85</f>
        <v>178.61699999999999</v>
      </c>
      <c r="BB167" s="22">
        <f t="shared" si="1529"/>
        <v>178.61699999999999</v>
      </c>
      <c r="BC167" s="22">
        <f>+'QTR Raw'!W85</f>
        <v>5.5E-2</v>
      </c>
      <c r="BD167" s="22">
        <f t="shared" si="1530"/>
        <v>5.5E-2</v>
      </c>
      <c r="BE167" s="22">
        <f>+'QTR Raw'!Y85</f>
        <v>2.5999999999999999E-2</v>
      </c>
      <c r="BF167" s="22">
        <f t="shared" si="1531"/>
        <v>2.5999999999999999E-2</v>
      </c>
      <c r="BG167" s="22">
        <f>+'QTR Raw'!AA85</f>
        <v>0</v>
      </c>
      <c r="BH167" s="22">
        <f t="shared" si="1532"/>
        <v>0</v>
      </c>
      <c r="BI167" s="22">
        <f>+'QTR Raw'!AC85</f>
        <v>1.5529999999999999</v>
      </c>
      <c r="BJ167" s="22">
        <f t="shared" si="1533"/>
        <v>1.5529999999999999</v>
      </c>
      <c r="BK167" s="22">
        <f>+'QTR Raw'!AE85</f>
        <v>16.448</v>
      </c>
      <c r="BL167" s="22">
        <f t="shared" si="1534"/>
        <v>16.448</v>
      </c>
      <c r="BM167" s="22">
        <f>+'QTR Raw'!AG85</f>
        <v>6.9370000000000003</v>
      </c>
      <c r="BN167" s="22">
        <f t="shared" si="1535"/>
        <v>6.9370000000000003</v>
      </c>
      <c r="BO167" s="22">
        <f>+'QTR Raw'!AI85</f>
        <v>10.757</v>
      </c>
      <c r="BP167" s="22">
        <f t="shared" si="1536"/>
        <v>10.757</v>
      </c>
      <c r="BQ167" s="22">
        <f>+'QTR Raw'!AK85</f>
        <v>10.016</v>
      </c>
      <c r="BR167" s="22">
        <f t="shared" si="1537"/>
        <v>10.016</v>
      </c>
      <c r="BS167" s="22">
        <f>+'QTR Raw'!AM85</f>
        <v>9.2940000000000005</v>
      </c>
      <c r="BT167" s="22">
        <f t="shared" si="1538"/>
        <v>9.2940000000000005</v>
      </c>
      <c r="BU167" s="22">
        <f>+'QTR Raw'!AO85</f>
        <v>0</v>
      </c>
      <c r="BV167" s="22">
        <f t="shared" si="1539"/>
        <v>0</v>
      </c>
      <c r="BW167" s="22">
        <f>+'QTR Raw'!AQ85</f>
        <v>0</v>
      </c>
      <c r="BX167" s="22">
        <f t="shared" si="1540"/>
        <v>0</v>
      </c>
      <c r="BY167" s="22">
        <f>+'QTR Raw'!AS85</f>
        <v>0</v>
      </c>
      <c r="BZ167" s="22">
        <f t="shared" si="1541"/>
        <v>0</v>
      </c>
      <c r="CA167" s="22">
        <f>+'QTR Raw'!AU85</f>
        <v>1</v>
      </c>
      <c r="CB167" s="22">
        <f t="shared" si="1542"/>
        <v>1</v>
      </c>
      <c r="CC167" s="22">
        <f>+'QTR Raw'!AW85</f>
        <v>0</v>
      </c>
      <c r="CD167" s="22">
        <f t="shared" si="1543"/>
        <v>0</v>
      </c>
      <c r="CE167" s="22">
        <f>+'QTR Raw'!AY85</f>
        <v>0</v>
      </c>
      <c r="CF167" s="22">
        <f t="shared" si="1516"/>
        <v>0</v>
      </c>
      <c r="CG167" s="22">
        <f t="shared" si="1517"/>
        <v>918.05</v>
      </c>
      <c r="CH167" s="22">
        <f t="shared" si="1516"/>
        <v>918.05</v>
      </c>
      <c r="CI167" s="22">
        <f>+'QTR Raw'!BC85</f>
        <v>0</v>
      </c>
      <c r="CJ167" s="22">
        <f t="shared" si="1516"/>
        <v>0</v>
      </c>
      <c r="CK167" s="22">
        <f>+'QTR Raw'!BE85</f>
        <v>0</v>
      </c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/>
      <c r="DD167" s="122"/>
    </row>
    <row r="168" spans="1:108" s="21" customFormat="1" x14ac:dyDescent="0.25">
      <c r="A168" s="21" t="s">
        <v>65</v>
      </c>
      <c r="B168" s="21">
        <f>SUM(B162:B167)</f>
        <v>0</v>
      </c>
      <c r="C168" s="21">
        <f t="shared" ref="C168:V168" si="1545">SUM(C162:C167)</f>
        <v>0</v>
      </c>
      <c r="D168" s="21">
        <f t="shared" si="1545"/>
        <v>0</v>
      </c>
      <c r="E168" s="21">
        <f t="shared" si="1545"/>
        <v>0</v>
      </c>
      <c r="F168" s="21">
        <f t="shared" si="1545"/>
        <v>70.687786299999999</v>
      </c>
      <c r="G168" s="21">
        <f t="shared" si="1545"/>
        <v>73.140238699999998</v>
      </c>
      <c r="H168" s="21">
        <f t="shared" si="1545"/>
        <v>78.876341300000007</v>
      </c>
      <c r="I168" s="21">
        <f t="shared" si="1545"/>
        <v>117.12894200000001</v>
      </c>
      <c r="J168" s="21">
        <f t="shared" si="1545"/>
        <v>197.31602939999999</v>
      </c>
      <c r="K168" s="21">
        <f t="shared" si="1545"/>
        <v>242.62773099999998</v>
      </c>
      <c r="L168" s="21">
        <f>SUM(L162:L167)</f>
        <v>283.05208040000002</v>
      </c>
      <c r="M168" s="21">
        <f>SUM(M162:M167)</f>
        <v>400.23700000000008</v>
      </c>
      <c r="N168" s="21">
        <f t="shared" si="1545"/>
        <v>612.97199999999998</v>
      </c>
      <c r="O168" s="21">
        <f t="shared" si="1545"/>
        <v>531.73599999999999</v>
      </c>
      <c r="P168" s="21">
        <f t="shared" si="1545"/>
        <v>573.87400000000002</v>
      </c>
      <c r="Q168" s="21">
        <f t="shared" si="1545"/>
        <v>836.41700000000003</v>
      </c>
      <c r="R168" s="21">
        <f t="shared" si="1545"/>
        <v>940.77300000000002</v>
      </c>
      <c r="S168" s="21">
        <f t="shared" si="1545"/>
        <v>1046.9580000000001</v>
      </c>
      <c r="T168" s="21">
        <f t="shared" si="1545"/>
        <v>1153.953</v>
      </c>
      <c r="U168" s="21">
        <f t="shared" si="1545"/>
        <v>1661.6410000000001</v>
      </c>
      <c r="V168" s="21">
        <f t="shared" si="1545"/>
        <v>1781.8799999999999</v>
      </c>
      <c r="W168" s="21">
        <f t="shared" ref="W168" si="1546">SUM(W162:W167)</f>
        <v>2435.4769999999999</v>
      </c>
      <c r="X168" s="21">
        <f t="shared" ref="X168:Y168" si="1547">SUM(X162:X167)</f>
        <v>3794.1200000000003</v>
      </c>
      <c r="Y168" s="21">
        <f t="shared" si="1547"/>
        <v>4374.8469999999998</v>
      </c>
      <c r="Z168" s="21">
        <f t="shared" ref="Z168" si="1548">SUM(Z162:Z167)</f>
        <v>6046.2749999999996</v>
      </c>
      <c r="AA168" s="20">
        <f t="shared" ref="AA168:AD168" si="1549">SUM(AA162:AA167)</f>
        <v>7707.2800000000007</v>
      </c>
      <c r="AB168" s="20">
        <f t="shared" si="1549"/>
        <v>5210.6213948926124</v>
      </c>
      <c r="AC168" s="20">
        <f t="shared" si="1549"/>
        <v>6009.3013455026139</v>
      </c>
      <c r="AD168" s="20">
        <f t="shared" si="1549"/>
        <v>6476.5488196711594</v>
      </c>
      <c r="AE168" s="20">
        <f t="shared" ref="AE168" si="1550">SUM(AE162:AE167)</f>
        <v>7806.1716624668607</v>
      </c>
      <c r="AI168" s="21">
        <f t="shared" ref="AI168:AL168" si="1551">SUM(AI162:AI167)</f>
        <v>0</v>
      </c>
      <c r="AJ168" s="21" t="e">
        <f t="shared" si="1551"/>
        <v>#DIV/0!</v>
      </c>
      <c r="AK168" s="21">
        <f t="shared" si="1551"/>
        <v>0</v>
      </c>
      <c r="AL168" s="21" t="e">
        <f t="shared" si="1551"/>
        <v>#DIV/0!</v>
      </c>
      <c r="AM168" s="21">
        <f t="shared" ref="AM168:AP168" si="1552">SUM(AM162:AM167)</f>
        <v>0</v>
      </c>
      <c r="AN168" s="21" t="e">
        <f t="shared" si="1552"/>
        <v>#DIV/0!</v>
      </c>
      <c r="AO168" s="21">
        <f t="shared" si="1552"/>
        <v>0</v>
      </c>
      <c r="AP168" s="21" t="e">
        <f t="shared" si="1552"/>
        <v>#DIV/0!</v>
      </c>
      <c r="AQ168" s="21">
        <f t="shared" ref="AQ168:AT168" si="1553">SUM(AQ162:AQ167)</f>
        <v>0</v>
      </c>
      <c r="AR168" s="21" t="e">
        <f t="shared" si="1553"/>
        <v>#DIV/0!</v>
      </c>
      <c r="AS168" s="21">
        <f t="shared" si="1553"/>
        <v>0</v>
      </c>
      <c r="AT168" s="21" t="e">
        <f t="shared" si="1553"/>
        <v>#DIV/0!</v>
      </c>
      <c r="AU168" s="21">
        <f t="shared" ref="AU168:AX168" si="1554">SUM(AU162:AU167)</f>
        <v>0</v>
      </c>
      <c r="AV168" s="21" t="e">
        <f t="shared" si="1554"/>
        <v>#DIV/0!</v>
      </c>
      <c r="AW168" s="21">
        <f t="shared" si="1554"/>
        <v>836.41700000000003</v>
      </c>
      <c r="AX168" s="21">
        <f t="shared" si="1554"/>
        <v>1475.7150478103244</v>
      </c>
      <c r="AY168" s="21">
        <f t="shared" ref="AY168:BB168" si="1555">SUM(AY162:AY167)</f>
        <v>0</v>
      </c>
      <c r="AZ168" s="21">
        <f t="shared" si="1555"/>
        <v>0</v>
      </c>
      <c r="BA168" s="21">
        <f t="shared" si="1555"/>
        <v>1092.085</v>
      </c>
      <c r="BB168" s="21">
        <f t="shared" si="1555"/>
        <v>1589.6495954948621</v>
      </c>
      <c r="BC168" s="21">
        <f t="shared" ref="BC168:BF168" si="1556">SUM(BC162:BC167)</f>
        <v>1190.894</v>
      </c>
      <c r="BD168" s="21">
        <f t="shared" si="1556"/>
        <v>822.21439655389042</v>
      </c>
      <c r="BE168" s="21">
        <f t="shared" si="1556"/>
        <v>1046.9580000000001</v>
      </c>
      <c r="BF168" s="21">
        <f t="shared" si="1556"/>
        <v>1644.600258392936</v>
      </c>
      <c r="BG168" s="21">
        <f t="shared" ref="BG168:BJ168" si="1557">SUM(BG162:BG167)</f>
        <v>1242.6999999999998</v>
      </c>
      <c r="BH168" s="21">
        <f t="shared" si="1557"/>
        <v>894.88181896825495</v>
      </c>
      <c r="BI168" s="21">
        <f t="shared" si="1557"/>
        <v>1153.9530000000002</v>
      </c>
      <c r="BJ168" s="21">
        <f t="shared" si="1557"/>
        <v>1641.5190010371368</v>
      </c>
      <c r="BK168" s="21">
        <f t="shared" ref="BK168:BN168" si="1558">SUM(BK162:BK167)</f>
        <v>1709.3570000000002</v>
      </c>
      <c r="BL168" s="21">
        <f t="shared" si="1558"/>
        <v>1290.2694416307584</v>
      </c>
      <c r="BM168" s="21">
        <f t="shared" si="1558"/>
        <v>1661.6410000000001</v>
      </c>
      <c r="BN168" s="21">
        <f t="shared" si="1558"/>
        <v>2033.1684317643308</v>
      </c>
      <c r="BO168" s="21">
        <f t="shared" ref="BO168:BR168" si="1559">SUM(BO162:BO167)</f>
        <v>1754.585</v>
      </c>
      <c r="BP168" s="21">
        <f t="shared" si="1559"/>
        <v>1855.059435459179</v>
      </c>
      <c r="BQ168" s="21">
        <f t="shared" si="1559"/>
        <v>1781.88</v>
      </c>
      <c r="BR168" s="21">
        <f t="shared" si="1559"/>
        <v>2552.4576502809437</v>
      </c>
      <c r="BS168" s="21">
        <f t="shared" ref="BS168:BV168" si="1560">SUM(BS162:BS167)</f>
        <v>2179.48</v>
      </c>
      <c r="BT168" s="21">
        <f t="shared" si="1560"/>
        <v>2124.8319906284387</v>
      </c>
      <c r="BU168" s="21">
        <f t="shared" si="1560"/>
        <v>3008.2759999999998</v>
      </c>
      <c r="BV168" s="21">
        <f t="shared" si="1560"/>
        <v>4013.2583880843267</v>
      </c>
      <c r="BW168" s="21">
        <f t="shared" ref="BW168:BZ168" si="1561">SUM(BW162:BW167)</f>
        <v>3686.239</v>
      </c>
      <c r="BX168" s="21">
        <f t="shared" si="1561"/>
        <v>2909.354393979163</v>
      </c>
      <c r="BY168" s="21">
        <f t="shared" si="1561"/>
        <v>4709.6210000000001</v>
      </c>
      <c r="BZ168" s="21">
        <f t="shared" si="1561"/>
        <v>6371.4998311727668</v>
      </c>
      <c r="CA168" s="21">
        <f t="shared" ref="CA168:CD168" si="1562">SUM(CA162:CA167)</f>
        <v>5005.9500000000007</v>
      </c>
      <c r="CB168" s="21">
        <f t="shared" si="1562"/>
        <v>4141.2667092183601</v>
      </c>
      <c r="CC168" s="21">
        <f t="shared" si="1562"/>
        <v>5409.5540000000001</v>
      </c>
      <c r="CD168" s="21">
        <f t="shared" si="1562"/>
        <v>6867.4767292080287</v>
      </c>
      <c r="CE168" s="21">
        <f t="shared" ref="CE168" si="1563">SUM(CE162:CE167)</f>
        <v>6999.6029999999992</v>
      </c>
      <c r="CF168" s="21">
        <f t="shared" ref="CF168:CH168" si="1564">SUM(CF162:CF167)</f>
        <v>5681.7725159698984</v>
      </c>
      <c r="CG168" s="21">
        <f t="shared" ref="CG168" si="1565">SUM(CG162:CG167)</f>
        <v>6046.2749999999996</v>
      </c>
      <c r="CH168" s="21">
        <f t="shared" si="1564"/>
        <v>7712.8678304242312</v>
      </c>
      <c r="CI168" s="21">
        <f t="shared" ref="CI168:CJ168" si="1566">SUM(CI162:CI167)</f>
        <v>7592.6169999999993</v>
      </c>
      <c r="CJ168" s="21">
        <f t="shared" si="1566"/>
        <v>6240.909901769659</v>
      </c>
      <c r="CK168" s="21">
        <f t="shared" ref="CK168:CL168" si="1567">SUM(CK162:CK167)</f>
        <v>7707.2800000000007</v>
      </c>
      <c r="CL168" s="21">
        <f t="shared" ref="CL168:DA168" si="1568">SUM(CL162:CL167)</f>
        <v>6968.4713691653269</v>
      </c>
      <c r="CM168" s="20">
        <f t="shared" si="1568"/>
        <v>8311.3423380126005</v>
      </c>
      <c r="CN168" s="20">
        <f t="shared" si="1568"/>
        <v>5945.7381468883068</v>
      </c>
      <c r="CO168" s="20">
        <f t="shared" si="1568"/>
        <v>5210.6213948926124</v>
      </c>
      <c r="CP168" s="20">
        <f t="shared" si="1568"/>
        <v>8250.5664906280945</v>
      </c>
      <c r="CQ168" s="20">
        <f t="shared" si="1568"/>
        <v>9600.2039948363836</v>
      </c>
      <c r="CR168" s="20">
        <f t="shared" si="1568"/>
        <v>6840.1201173209065</v>
      </c>
      <c r="CS168" s="20">
        <f t="shared" si="1568"/>
        <v>6009.3013455026139</v>
      </c>
      <c r="CT168" s="20">
        <f t="shared" si="1568"/>
        <v>8827.6353438257211</v>
      </c>
      <c r="CU168" s="20">
        <f t="shared" si="1568"/>
        <v>10301.895848792014</v>
      </c>
      <c r="CV168" s="20">
        <f t="shared" si="1568"/>
        <v>7355.0146550591326</v>
      </c>
      <c r="CW168" s="20">
        <f t="shared" si="1568"/>
        <v>6476.5488196711594</v>
      </c>
      <c r="CX168" s="20">
        <f t="shared" si="1568"/>
        <v>10565.650489701098</v>
      </c>
      <c r="CY168" s="20">
        <f t="shared" si="1568"/>
        <v>12353.032833412475</v>
      </c>
      <c r="CZ168" s="20">
        <f t="shared" si="1568"/>
        <v>8838.2179754912449</v>
      </c>
      <c r="DA168" s="20">
        <f t="shared" si="1568"/>
        <v>7806.1716624668607</v>
      </c>
      <c r="DB168"/>
      <c r="DD168" s="125"/>
    </row>
    <row r="169" spans="1:108" s="22" customFormat="1" outlineLevel="1" x14ac:dyDescent="0.25">
      <c r="A169" s="22" t="s">
        <v>66</v>
      </c>
      <c r="B169" s="22">
        <f>'Annual Raw'!C50+'Annual Raw'!C58</f>
        <v>0</v>
      </c>
      <c r="C169" s="22">
        <f>'Annual Raw'!D50+'Annual Raw'!D58</f>
        <v>0</v>
      </c>
      <c r="D169" s="22">
        <f>'Annual Raw'!E50+'Annual Raw'!E58</f>
        <v>0</v>
      </c>
      <c r="E169" s="22">
        <f>'Annual Raw'!F50+'Annual Raw'!F58</f>
        <v>0</v>
      </c>
      <c r="F169" s="22">
        <f>'Annual Raw'!G50+'Annual Raw'!G58</f>
        <v>0</v>
      </c>
      <c r="G169" s="22">
        <f>'Annual Raw'!H50+'Annual Raw'!H58</f>
        <v>0</v>
      </c>
      <c r="H169" s="22">
        <f>'Annual Raw'!I50+'Annual Raw'!I58</f>
        <v>0</v>
      </c>
      <c r="I169" s="22">
        <f>'Annual Raw'!J50+'Annual Raw'!J58</f>
        <v>0</v>
      </c>
      <c r="J169" s="22">
        <f>'Annual Raw'!K50+'Annual Raw'!K58</f>
        <v>0</v>
      </c>
      <c r="K169" s="22">
        <f>'Annual Raw'!L50+'Annual Raw'!L58</f>
        <v>0</v>
      </c>
      <c r="L169" s="22">
        <f>'Annual Raw'!M50+'Annual Raw'!M58</f>
        <v>0</v>
      </c>
      <c r="M169" s="22">
        <f>'Annual Raw'!N50+'Annual Raw'!N58</f>
        <v>54.487000000000002</v>
      </c>
      <c r="N169" s="22">
        <f>'Annual Raw'!O50+'Annual Raw'!O58</f>
        <v>35.21</v>
      </c>
      <c r="O169" s="22">
        <f>'Annual Raw'!P50+'Annual Raw'!P58</f>
        <v>31.42</v>
      </c>
      <c r="P169" s="22">
        <f>'Annual Raw'!Q50+'Annual Raw'!Q58</f>
        <v>11.074</v>
      </c>
      <c r="Q169" s="22">
        <f>'Annual Raw'!R50+'Annual Raw'!R58</f>
        <v>636.28399999999999</v>
      </c>
      <c r="R169" s="22">
        <f>'Annual Raw'!S50+'Annual Raw'!S58</f>
        <v>15.446999999999999</v>
      </c>
      <c r="S169" s="22">
        <f>'Annual Raw'!T50+'Annual Raw'!T58</f>
        <v>11.981</v>
      </c>
      <c r="T169" s="22">
        <f>'Annual Raw'!U50+'Annual Raw'!U58</f>
        <v>6.7750000000000004</v>
      </c>
      <c r="U169" s="22">
        <f>'Annual Raw'!V50+'Annual Raw'!V58</f>
        <v>0.82299999999999995</v>
      </c>
      <c r="V169" s="22">
        <f>'Annual Raw'!W50+'Annual Raw'!W58</f>
        <v>25.172999999999998</v>
      </c>
      <c r="W169" s="22">
        <f>'Annual Raw'!X50+'Annual Raw'!X58</f>
        <v>31.936</v>
      </c>
      <c r="X169" s="22">
        <f>'Annual Raw'!Y50+'Annual Raw'!Y58</f>
        <v>166.01900000000001</v>
      </c>
      <c r="Y169" s="22">
        <f>'Annual Raw'!Z50+'Annual Raw'!Z58</f>
        <v>204.72499999999999</v>
      </c>
      <c r="Z169" s="22">
        <f>'Annual Raw'!AA50+'Annual Raw'!AA58</f>
        <v>361.81700000000001</v>
      </c>
      <c r="AA169" s="23">
        <f t="shared" ref="AA169:AA175" si="1569">+CK169</f>
        <v>400.154</v>
      </c>
      <c r="AB169" s="23">
        <f t="shared" ref="AB169:AB175" si="1570">+CO169</f>
        <v>0</v>
      </c>
      <c r="AC169" s="23">
        <f t="shared" ref="AC169:AC175" si="1571">+CS169</f>
        <v>0</v>
      </c>
      <c r="AD169" s="23">
        <f t="shared" ref="AD169:AD175" si="1572">+CW169</f>
        <v>0</v>
      </c>
      <c r="AE169" s="23">
        <f t="shared" ref="AE169:AE175" si="1573">+DA169</f>
        <v>0</v>
      </c>
      <c r="AI169" s="22">
        <f>+'QTR Raw'!C64</f>
        <v>0</v>
      </c>
      <c r="AJ169" s="22">
        <f t="shared" ref="AJ169:AJ172" si="1574">+AI169</f>
        <v>0</v>
      </c>
      <c r="AK169" s="22">
        <f>+'QTR Raw'!E64</f>
        <v>0</v>
      </c>
      <c r="AL169" s="22">
        <f t="shared" ref="AL169:AL172" si="1575">+AK169</f>
        <v>0</v>
      </c>
      <c r="AM169" s="22">
        <f>+'QTR Raw'!G64</f>
        <v>0</v>
      </c>
      <c r="AN169" s="22">
        <f t="shared" ref="AN169:AN172" si="1576">+AM169</f>
        <v>0</v>
      </c>
      <c r="AO169" s="22">
        <f>+'QTR Raw'!I64</f>
        <v>0</v>
      </c>
      <c r="AP169" s="22">
        <f t="shared" ref="AP169:AP172" si="1577">+AO169</f>
        <v>0</v>
      </c>
      <c r="AQ169" s="22">
        <f>+'QTR Raw'!K64</f>
        <v>0</v>
      </c>
      <c r="AR169" s="22">
        <f t="shared" ref="AR169:AR172" si="1578">+AQ169</f>
        <v>0</v>
      </c>
      <c r="AS169" s="22">
        <f>+'QTR Raw'!M64</f>
        <v>0</v>
      </c>
      <c r="AT169" s="22">
        <f t="shared" ref="AT169:AT172" si="1579">+AS169</f>
        <v>0</v>
      </c>
      <c r="AU169" s="22">
        <f>+'QTR Raw'!O64</f>
        <v>0</v>
      </c>
      <c r="AV169" s="22">
        <f t="shared" ref="AV169:AV172" si="1580">+AU169</f>
        <v>0</v>
      </c>
      <c r="AW169" s="22">
        <f>+'QTR Raw'!Q64</f>
        <v>636.28399999999999</v>
      </c>
      <c r="AX169" s="22">
        <f t="shared" ref="AX169:AX172" si="1581">+AW169</f>
        <v>636.28399999999999</v>
      </c>
      <c r="AY169" s="22">
        <f>+'QTR Raw'!S64</f>
        <v>0</v>
      </c>
      <c r="AZ169" s="22">
        <f t="shared" ref="AZ169:AZ172" si="1582">+AY169</f>
        <v>0</v>
      </c>
      <c r="BA169" s="22">
        <f>+'QTR Raw'!U64</f>
        <v>345.53899999999999</v>
      </c>
      <c r="BB169" s="22">
        <f t="shared" ref="BB169:BB172" si="1583">+BA169</f>
        <v>345.53899999999999</v>
      </c>
      <c r="BC169" s="22">
        <f>+'QTR Raw'!W64</f>
        <v>79.688000000000002</v>
      </c>
      <c r="BD169" s="22">
        <f t="shared" ref="BD169:BD172" si="1584">+BC169</f>
        <v>79.688000000000002</v>
      </c>
      <c r="BE169" s="22">
        <f>+'QTR Raw'!Y64</f>
        <v>11.981</v>
      </c>
      <c r="BF169" s="22">
        <f t="shared" ref="BF169:BF172" si="1585">+BE169</f>
        <v>11.981</v>
      </c>
      <c r="BG169" s="22">
        <f>+'QTR Raw'!AA64</f>
        <v>11.91</v>
      </c>
      <c r="BH169" s="22">
        <f t="shared" ref="BH169:BH172" si="1586">+BG169</f>
        <v>11.91</v>
      </c>
      <c r="BI169" s="22">
        <f>+'QTR Raw'!AC64</f>
        <v>6.7750000000000004</v>
      </c>
      <c r="BJ169" s="22">
        <f t="shared" ref="BJ169:BJ172" si="1587">+BI169</f>
        <v>6.7750000000000004</v>
      </c>
      <c r="BK169" s="22">
        <f>+'QTR Raw'!AE64</f>
        <v>4.4009999999999998</v>
      </c>
      <c r="BL169" s="22">
        <f t="shared" ref="BL169:BL172" si="1588">+BK169</f>
        <v>4.4009999999999998</v>
      </c>
      <c r="BM169" s="22">
        <f>+'QTR Raw'!AG64</f>
        <v>0.82299999999999995</v>
      </c>
      <c r="BN169" s="22">
        <f t="shared" ref="BN169:BN172" si="1589">+BM169</f>
        <v>0.82299999999999995</v>
      </c>
      <c r="BO169" s="22">
        <f>+'QTR Raw'!AI64</f>
        <v>25.384</v>
      </c>
      <c r="BP169" s="22">
        <f t="shared" ref="BP169:BP172" si="1590">+BO169</f>
        <v>25.384</v>
      </c>
      <c r="BQ169" s="22">
        <f>+'QTR Raw'!AK64</f>
        <v>25.172999999999998</v>
      </c>
      <c r="BR169" s="22">
        <f t="shared" ref="BR169:BR172" si="1591">+BQ169</f>
        <v>25.172999999999998</v>
      </c>
      <c r="BS169" s="22">
        <f>+'QTR Raw'!AM64</f>
        <v>29.524000000000001</v>
      </c>
      <c r="BT169" s="22">
        <f t="shared" ref="BT169:BT172" si="1592">+BS169</f>
        <v>29.524000000000001</v>
      </c>
      <c r="BU169" s="22">
        <f>+'QTR Raw'!AO64</f>
        <v>31.936</v>
      </c>
      <c r="BV169" s="22">
        <f t="shared" ref="BV169:BV172" si="1593">+BU169</f>
        <v>31.936</v>
      </c>
      <c r="BW169" s="22">
        <f>+'QTR Raw'!AQ64</f>
        <v>61.28</v>
      </c>
      <c r="BX169" s="22">
        <f t="shared" ref="BX169:BX172" si="1594">+BW169</f>
        <v>61.28</v>
      </c>
      <c r="BY169" s="22">
        <f>+'QTR Raw'!AS64</f>
        <v>166.01900000000001</v>
      </c>
      <c r="BZ169" s="22">
        <f t="shared" ref="BZ169:BZ172" si="1595">+BY169</f>
        <v>166.01900000000001</v>
      </c>
      <c r="CA169" s="22">
        <f>+'QTR Raw'!AU64</f>
        <v>203.83</v>
      </c>
      <c r="CB169" s="22">
        <f t="shared" ref="CB169:CB172" si="1596">+CA169</f>
        <v>203.83</v>
      </c>
      <c r="CC169" s="22">
        <f>+'QTR Raw'!AW64</f>
        <v>204.72499999999999</v>
      </c>
      <c r="CD169" s="22">
        <f t="shared" ref="CD169:CD172" si="1597">+CC169</f>
        <v>204.72499999999999</v>
      </c>
      <c r="CE169" s="22">
        <f>+'QTR Raw'!AY64</f>
        <v>395.13900000000001</v>
      </c>
      <c r="CF169" s="22">
        <f t="shared" ref="CF169:CJ175" si="1598">+CE169</f>
        <v>395.13900000000001</v>
      </c>
      <c r="CG169" s="22">
        <f t="shared" ref="CG169:CG175" si="1599">+Z169</f>
        <v>361.81700000000001</v>
      </c>
      <c r="CH169" s="22">
        <f t="shared" si="1598"/>
        <v>361.81700000000001</v>
      </c>
      <c r="CI169" s="22">
        <f>+'QTR Raw'!BC64</f>
        <v>416.08</v>
      </c>
      <c r="CJ169" s="22">
        <f t="shared" si="1598"/>
        <v>416.08</v>
      </c>
      <c r="CK169" s="22">
        <f>+'QTR Raw'!BE64</f>
        <v>400.154</v>
      </c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/>
      <c r="DD169" s="122"/>
    </row>
    <row r="170" spans="1:108" s="22" customFormat="1" outlineLevel="1" x14ac:dyDescent="0.25">
      <c r="A170" s="22" t="s">
        <v>67</v>
      </c>
      <c r="B170" s="22">
        <f>'Annual Raw'!C51</f>
        <v>0</v>
      </c>
      <c r="C170" s="22">
        <f>'Annual Raw'!D51</f>
        <v>0</v>
      </c>
      <c r="D170" s="22">
        <f>'Annual Raw'!E51</f>
        <v>0</v>
      </c>
      <c r="E170" s="22">
        <f>'Annual Raw'!F51</f>
        <v>0</v>
      </c>
      <c r="F170" s="22">
        <f>'Annual Raw'!G51</f>
        <v>0</v>
      </c>
      <c r="G170" s="22">
        <f>'Annual Raw'!H51</f>
        <v>0</v>
      </c>
      <c r="H170" s="22">
        <f>'Annual Raw'!I51</f>
        <v>0</v>
      </c>
      <c r="I170" s="22">
        <f>'Annual Raw'!J51</f>
        <v>0</v>
      </c>
      <c r="J170" s="22">
        <f>'Annual Raw'!K51</f>
        <v>0</v>
      </c>
      <c r="K170" s="22">
        <f>'Annual Raw'!L51</f>
        <v>0</v>
      </c>
      <c r="L170" s="22">
        <f>'Annual Raw'!M51</f>
        <v>0</v>
      </c>
      <c r="M170" s="22">
        <f>'Annual Raw'!N51</f>
        <v>0</v>
      </c>
      <c r="N170" s="22">
        <f>'Annual Raw'!O51</f>
        <v>0</v>
      </c>
      <c r="O170" s="22">
        <f>'Annual Raw'!P51</f>
        <v>0</v>
      </c>
      <c r="P170" s="22">
        <f>'Annual Raw'!Q51</f>
        <v>0</v>
      </c>
      <c r="Q170" s="22">
        <f>'Annual Raw'!R51</f>
        <v>0</v>
      </c>
      <c r="R170" s="22">
        <f>'Annual Raw'!S51</f>
        <v>0</v>
      </c>
      <c r="S170" s="22">
        <f>'Annual Raw'!T51</f>
        <v>0</v>
      </c>
      <c r="T170" s="22">
        <f>'Annual Raw'!U51</f>
        <v>0</v>
      </c>
      <c r="U170" s="22">
        <f>'Annual Raw'!V51</f>
        <v>0</v>
      </c>
      <c r="V170" s="22">
        <f>'Annual Raw'!W51</f>
        <v>0</v>
      </c>
      <c r="W170" s="22">
        <f>'Annual Raw'!X51</f>
        <v>0</v>
      </c>
      <c r="X170" s="22">
        <f>'Annual Raw'!Y51</f>
        <v>0</v>
      </c>
      <c r="Y170" s="22">
        <f>'Annual Raw'!Z51</f>
        <v>0</v>
      </c>
      <c r="Z170" s="22">
        <f>'Annual Raw'!AA51</f>
        <v>0</v>
      </c>
      <c r="AA170" s="23">
        <f t="shared" si="1569"/>
        <v>0</v>
      </c>
      <c r="AB170" s="23">
        <f t="shared" si="1570"/>
        <v>0</v>
      </c>
      <c r="AC170" s="23">
        <f t="shared" si="1571"/>
        <v>0</v>
      </c>
      <c r="AD170" s="23">
        <f t="shared" si="1572"/>
        <v>0</v>
      </c>
      <c r="AE170" s="23">
        <f t="shared" si="1573"/>
        <v>0</v>
      </c>
      <c r="AI170" s="22">
        <f>+'QTR Raw'!C65</f>
        <v>0</v>
      </c>
      <c r="AJ170" s="22">
        <f t="shared" si="1574"/>
        <v>0</v>
      </c>
      <c r="AK170" s="22">
        <f>+'QTR Raw'!E65</f>
        <v>0</v>
      </c>
      <c r="AL170" s="22">
        <f t="shared" si="1575"/>
        <v>0</v>
      </c>
      <c r="AM170" s="22">
        <f>+'QTR Raw'!G65</f>
        <v>0</v>
      </c>
      <c r="AN170" s="22">
        <f t="shared" si="1576"/>
        <v>0</v>
      </c>
      <c r="AO170" s="22">
        <f>+'QTR Raw'!I65</f>
        <v>0</v>
      </c>
      <c r="AP170" s="22">
        <f t="shared" si="1577"/>
        <v>0</v>
      </c>
      <c r="AQ170" s="22">
        <f>+'QTR Raw'!K65</f>
        <v>0</v>
      </c>
      <c r="AR170" s="22">
        <f t="shared" si="1578"/>
        <v>0</v>
      </c>
      <c r="AS170" s="22">
        <f>+'QTR Raw'!M65</f>
        <v>0</v>
      </c>
      <c r="AT170" s="22">
        <f t="shared" si="1579"/>
        <v>0</v>
      </c>
      <c r="AU170" s="22">
        <f>+'QTR Raw'!O65</f>
        <v>0</v>
      </c>
      <c r="AV170" s="22">
        <f t="shared" si="1580"/>
        <v>0</v>
      </c>
      <c r="AW170" s="22">
        <f>+'QTR Raw'!Q65</f>
        <v>0</v>
      </c>
      <c r="AX170" s="22">
        <f t="shared" si="1581"/>
        <v>0</v>
      </c>
      <c r="AY170" s="22">
        <f>+'QTR Raw'!S65</f>
        <v>0</v>
      </c>
      <c r="AZ170" s="22">
        <f t="shared" si="1582"/>
        <v>0</v>
      </c>
      <c r="BA170" s="22">
        <f>+'QTR Raw'!U65</f>
        <v>0</v>
      </c>
      <c r="BB170" s="22">
        <f t="shared" si="1583"/>
        <v>0</v>
      </c>
      <c r="BC170" s="22">
        <f>+'QTR Raw'!W65</f>
        <v>0</v>
      </c>
      <c r="BD170" s="22">
        <f t="shared" si="1584"/>
        <v>0</v>
      </c>
      <c r="BE170" s="22">
        <f>+'QTR Raw'!Y65</f>
        <v>0</v>
      </c>
      <c r="BF170" s="22">
        <f t="shared" si="1585"/>
        <v>0</v>
      </c>
      <c r="BG170" s="22">
        <f>+'QTR Raw'!AA65</f>
        <v>0</v>
      </c>
      <c r="BH170" s="22">
        <f t="shared" si="1586"/>
        <v>0</v>
      </c>
      <c r="BI170" s="22">
        <f>+'QTR Raw'!AC65</f>
        <v>0</v>
      </c>
      <c r="BJ170" s="22">
        <f t="shared" si="1587"/>
        <v>0</v>
      </c>
      <c r="BK170" s="22">
        <f>+'QTR Raw'!AE65</f>
        <v>0</v>
      </c>
      <c r="BL170" s="22">
        <f t="shared" si="1588"/>
        <v>0</v>
      </c>
      <c r="BM170" s="22">
        <f>+'QTR Raw'!AG65</f>
        <v>0</v>
      </c>
      <c r="BN170" s="22">
        <f t="shared" si="1589"/>
        <v>0</v>
      </c>
      <c r="BO170" s="22">
        <f>+'QTR Raw'!AI65</f>
        <v>0</v>
      </c>
      <c r="BP170" s="22">
        <f t="shared" si="1590"/>
        <v>0</v>
      </c>
      <c r="BQ170" s="22">
        <f>+'QTR Raw'!AK65</f>
        <v>0</v>
      </c>
      <c r="BR170" s="22">
        <f t="shared" si="1591"/>
        <v>0</v>
      </c>
      <c r="BS170" s="22">
        <f>+'QTR Raw'!AM65</f>
        <v>0</v>
      </c>
      <c r="BT170" s="22">
        <f t="shared" si="1592"/>
        <v>0</v>
      </c>
      <c r="BU170" s="22">
        <f>+'QTR Raw'!AO65</f>
        <v>0</v>
      </c>
      <c r="BV170" s="22">
        <f t="shared" si="1593"/>
        <v>0</v>
      </c>
      <c r="BW170" s="22">
        <f>+'QTR Raw'!AQ65</f>
        <v>0</v>
      </c>
      <c r="BX170" s="22">
        <f t="shared" si="1594"/>
        <v>0</v>
      </c>
      <c r="BY170" s="22">
        <f>+'QTR Raw'!AS65</f>
        <v>0</v>
      </c>
      <c r="BZ170" s="22">
        <f t="shared" si="1595"/>
        <v>0</v>
      </c>
      <c r="CA170" s="22">
        <f>+'QTR Raw'!AU65</f>
        <v>0</v>
      </c>
      <c r="CB170" s="22">
        <f t="shared" si="1596"/>
        <v>0</v>
      </c>
      <c r="CC170" s="22">
        <f>+'QTR Raw'!AW65</f>
        <v>0</v>
      </c>
      <c r="CD170" s="22">
        <f t="shared" si="1597"/>
        <v>0</v>
      </c>
      <c r="CE170" s="22">
        <f>+'QTR Raw'!AY65</f>
        <v>0</v>
      </c>
      <c r="CF170" s="22">
        <f t="shared" si="1598"/>
        <v>0</v>
      </c>
      <c r="CG170" s="22">
        <f t="shared" si="1599"/>
        <v>0</v>
      </c>
      <c r="CH170" s="22">
        <f t="shared" si="1598"/>
        <v>0</v>
      </c>
      <c r="CI170" s="22">
        <f>+'QTR Raw'!BC65</f>
        <v>0</v>
      </c>
      <c r="CJ170" s="22">
        <f t="shared" si="1598"/>
        <v>0</v>
      </c>
      <c r="CK170" s="22">
        <f>+'QTR Raw'!BE65</f>
        <v>0</v>
      </c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/>
      <c r="DD170" s="122"/>
    </row>
    <row r="171" spans="1:108" s="22" customFormat="1" outlineLevel="1" x14ac:dyDescent="0.25">
      <c r="A171" s="22" t="s">
        <v>68</v>
      </c>
      <c r="B171" s="22">
        <f>'Annual Raw'!C52</f>
        <v>0</v>
      </c>
      <c r="C171" s="22">
        <f>'Annual Raw'!D52</f>
        <v>0</v>
      </c>
      <c r="D171" s="22">
        <f>'Annual Raw'!E52</f>
        <v>0</v>
      </c>
      <c r="E171" s="22">
        <f>'Annual Raw'!F52</f>
        <v>0</v>
      </c>
      <c r="F171" s="22">
        <f>'Annual Raw'!G52</f>
        <v>0</v>
      </c>
      <c r="G171" s="22">
        <f>'Annual Raw'!H52</f>
        <v>0</v>
      </c>
      <c r="H171" s="22">
        <f>'Annual Raw'!I52</f>
        <v>0</v>
      </c>
      <c r="I171" s="22">
        <f>'Annual Raw'!J52</f>
        <v>0</v>
      </c>
      <c r="J171" s="22">
        <f>'Annual Raw'!K52</f>
        <v>0</v>
      </c>
      <c r="K171" s="22">
        <f>'Annual Raw'!L52</f>
        <v>0</v>
      </c>
      <c r="L171" s="22">
        <f>'Annual Raw'!M52</f>
        <v>0</v>
      </c>
      <c r="M171" s="22">
        <f>'Annual Raw'!N52</f>
        <v>7.8689999999999998</v>
      </c>
      <c r="N171" s="22">
        <f>'Annual Raw'!O52</f>
        <v>13.842000000000001</v>
      </c>
      <c r="O171" s="22">
        <f>'Annual Raw'!P52</f>
        <v>17.599</v>
      </c>
      <c r="P171" s="22">
        <f>'Annual Raw'!Q52</f>
        <v>25.911000000000001</v>
      </c>
      <c r="Q171" s="22">
        <f>'Annual Raw'!R52</f>
        <v>44.313000000000002</v>
      </c>
      <c r="R171" s="22">
        <f>'Annual Raw'!S52</f>
        <v>60.588000000000001</v>
      </c>
      <c r="S171" s="22">
        <f>'Annual Raw'!T52</f>
        <v>73.263999999999996</v>
      </c>
      <c r="T171" s="22">
        <f>'Annual Raw'!U52</f>
        <v>105.255</v>
      </c>
      <c r="U171" s="22">
        <f>'Annual Raw'!V52</f>
        <v>170.33500000000001</v>
      </c>
      <c r="V171" s="22">
        <f>'Annual Raw'!W52</f>
        <v>203.90600000000001</v>
      </c>
      <c r="W171" s="22">
        <f>'Annual Raw'!X52</f>
        <v>208.54300000000001</v>
      </c>
      <c r="X171" s="22">
        <f>'Annual Raw'!Y52</f>
        <v>204.113</v>
      </c>
      <c r="Y171" s="22">
        <f>'Annual Raw'!Z52</f>
        <v>212.64400000000001</v>
      </c>
      <c r="Z171" s="22">
        <f>'Annual Raw'!AA52</f>
        <v>189.434</v>
      </c>
      <c r="AA171" s="23">
        <f t="shared" si="1569"/>
        <v>190.46100000000001</v>
      </c>
      <c r="AB171" s="23">
        <f t="shared" si="1570"/>
        <v>0</v>
      </c>
      <c r="AC171" s="23">
        <f t="shared" si="1571"/>
        <v>0</v>
      </c>
      <c r="AD171" s="23">
        <f t="shared" si="1572"/>
        <v>0</v>
      </c>
      <c r="AE171" s="23">
        <f t="shared" si="1573"/>
        <v>0</v>
      </c>
      <c r="AI171" s="22">
        <f>+'QTR Raw'!C66</f>
        <v>0</v>
      </c>
      <c r="AJ171" s="22">
        <f t="shared" si="1574"/>
        <v>0</v>
      </c>
      <c r="AK171" s="22">
        <f>+'QTR Raw'!E66</f>
        <v>0</v>
      </c>
      <c r="AL171" s="22">
        <f t="shared" si="1575"/>
        <v>0</v>
      </c>
      <c r="AM171" s="22">
        <f>+'QTR Raw'!G66</f>
        <v>0</v>
      </c>
      <c r="AN171" s="22">
        <f t="shared" si="1576"/>
        <v>0</v>
      </c>
      <c r="AO171" s="22">
        <f>+'QTR Raw'!I66</f>
        <v>0</v>
      </c>
      <c r="AP171" s="22">
        <f t="shared" si="1577"/>
        <v>0</v>
      </c>
      <c r="AQ171" s="22">
        <f>+'QTR Raw'!K66</f>
        <v>0</v>
      </c>
      <c r="AR171" s="22">
        <f t="shared" si="1578"/>
        <v>0</v>
      </c>
      <c r="AS171" s="22">
        <f>+'QTR Raw'!M66</f>
        <v>0</v>
      </c>
      <c r="AT171" s="22">
        <f t="shared" si="1579"/>
        <v>0</v>
      </c>
      <c r="AU171" s="22">
        <f>+'QTR Raw'!O66</f>
        <v>0</v>
      </c>
      <c r="AV171" s="22">
        <f t="shared" si="1580"/>
        <v>0</v>
      </c>
      <c r="AW171" s="22">
        <f>+'QTR Raw'!Q66</f>
        <v>44.313000000000002</v>
      </c>
      <c r="AX171" s="22">
        <f t="shared" si="1581"/>
        <v>44.313000000000002</v>
      </c>
      <c r="AY171" s="22">
        <f>+'QTR Raw'!S66</f>
        <v>0</v>
      </c>
      <c r="AZ171" s="22">
        <f t="shared" si="1582"/>
        <v>0</v>
      </c>
      <c r="BA171" s="22">
        <f>+'QTR Raw'!U66</f>
        <v>62.34</v>
      </c>
      <c r="BB171" s="22">
        <f t="shared" si="1583"/>
        <v>62.34</v>
      </c>
      <c r="BC171" s="22">
        <f>+'QTR Raw'!W66</f>
        <v>73.27</v>
      </c>
      <c r="BD171" s="22">
        <f t="shared" si="1584"/>
        <v>73.27</v>
      </c>
      <c r="BE171" s="22">
        <f>+'QTR Raw'!Y66</f>
        <v>73.263999999999996</v>
      </c>
      <c r="BF171" s="22">
        <f t="shared" si="1585"/>
        <v>73.263999999999996</v>
      </c>
      <c r="BG171" s="22">
        <f>+'QTR Raw'!AA66</f>
        <v>96.665000000000006</v>
      </c>
      <c r="BH171" s="22">
        <f t="shared" si="1586"/>
        <v>96.665000000000006</v>
      </c>
      <c r="BI171" s="22">
        <f>+'QTR Raw'!AC66</f>
        <v>105.255</v>
      </c>
      <c r="BJ171" s="22">
        <f t="shared" si="1587"/>
        <v>105.255</v>
      </c>
      <c r="BK171" s="22">
        <f>+'QTR Raw'!AE66</f>
        <v>146.488</v>
      </c>
      <c r="BL171" s="22">
        <f t="shared" si="1588"/>
        <v>146.488</v>
      </c>
      <c r="BM171" s="22">
        <f>+'QTR Raw'!AG66</f>
        <v>170.33500000000001</v>
      </c>
      <c r="BN171" s="22">
        <f t="shared" si="1589"/>
        <v>170.33500000000001</v>
      </c>
      <c r="BO171" s="22">
        <f>+'QTR Raw'!AI66</f>
        <v>185.346</v>
      </c>
      <c r="BP171" s="22">
        <f t="shared" si="1590"/>
        <v>185.346</v>
      </c>
      <c r="BQ171" s="22">
        <f>+'QTR Raw'!AK66</f>
        <v>203.90600000000001</v>
      </c>
      <c r="BR171" s="22">
        <f t="shared" si="1591"/>
        <v>203.90600000000001</v>
      </c>
      <c r="BS171" s="22">
        <f>+'QTR Raw'!AM66</f>
        <v>195.60300000000001</v>
      </c>
      <c r="BT171" s="22">
        <f t="shared" si="1592"/>
        <v>195.60300000000001</v>
      </c>
      <c r="BU171" s="22">
        <f>+'QTR Raw'!AO66</f>
        <v>208.54300000000001</v>
      </c>
      <c r="BV171" s="22">
        <f t="shared" si="1593"/>
        <v>208.54300000000001</v>
      </c>
      <c r="BW171" s="22">
        <f>+'QTR Raw'!AQ66</f>
        <v>205.88</v>
      </c>
      <c r="BX171" s="22">
        <f t="shared" si="1594"/>
        <v>205.88</v>
      </c>
      <c r="BY171" s="22">
        <f>+'QTR Raw'!AS66</f>
        <v>204.113</v>
      </c>
      <c r="BZ171" s="22">
        <f t="shared" si="1595"/>
        <v>204.113</v>
      </c>
      <c r="CA171" s="22">
        <f>+'QTR Raw'!AU66</f>
        <v>200.86099999999999</v>
      </c>
      <c r="CB171" s="22">
        <f t="shared" si="1596"/>
        <v>200.86099999999999</v>
      </c>
      <c r="CC171" s="22">
        <f>+'QTR Raw'!AW66</f>
        <v>212.64400000000001</v>
      </c>
      <c r="CD171" s="22">
        <f t="shared" si="1597"/>
        <v>212.64400000000001</v>
      </c>
      <c r="CE171" s="22">
        <f>+'QTR Raw'!AY66</f>
        <v>224.59700000000001</v>
      </c>
      <c r="CF171" s="22">
        <f t="shared" si="1598"/>
        <v>224.59700000000001</v>
      </c>
      <c r="CG171" s="22">
        <f t="shared" si="1599"/>
        <v>189.434</v>
      </c>
      <c r="CH171" s="22">
        <f t="shared" si="1598"/>
        <v>189.434</v>
      </c>
      <c r="CI171" s="22">
        <f>+'QTR Raw'!BC66</f>
        <v>207.23099999999999</v>
      </c>
      <c r="CJ171" s="22">
        <f t="shared" si="1598"/>
        <v>207.23099999999999</v>
      </c>
      <c r="CK171" s="22">
        <f>+'QTR Raw'!BE66</f>
        <v>190.46100000000001</v>
      </c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/>
      <c r="DD171" s="122"/>
    </row>
    <row r="172" spans="1:108" s="22" customFormat="1" outlineLevel="1" x14ac:dyDescent="0.25">
      <c r="A172" s="22" t="s">
        <v>69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3">
        <f t="shared" si="1569"/>
        <v>0</v>
      </c>
      <c r="AB172" s="23">
        <f t="shared" si="1570"/>
        <v>1822.9152673339534</v>
      </c>
      <c r="AC172" s="23">
        <f t="shared" si="1571"/>
        <v>2102.3302862619416</v>
      </c>
      <c r="AD172" s="23">
        <f t="shared" si="1572"/>
        <v>2265.7949653729484</v>
      </c>
      <c r="AE172" s="23">
        <f t="shared" si="1573"/>
        <v>2730.9582532495206</v>
      </c>
      <c r="AI172" s="22">
        <f>+'QTR Raw'!C87</f>
        <v>0</v>
      </c>
      <c r="AJ172" s="22">
        <f t="shared" si="1574"/>
        <v>0</v>
      </c>
      <c r="AK172" s="22">
        <f>+'QTR Raw'!E87</f>
        <v>0</v>
      </c>
      <c r="AL172" s="22">
        <f t="shared" si="1575"/>
        <v>0</v>
      </c>
      <c r="AM172" s="22">
        <f>+'QTR Raw'!G87</f>
        <v>0</v>
      </c>
      <c r="AN172" s="22">
        <f t="shared" si="1576"/>
        <v>0</v>
      </c>
      <c r="AO172" s="22">
        <f>+'QTR Raw'!I87</f>
        <v>0</v>
      </c>
      <c r="AP172" s="22">
        <f t="shared" si="1577"/>
        <v>0</v>
      </c>
      <c r="AQ172" s="22">
        <f>+'QTR Raw'!K87</f>
        <v>0</v>
      </c>
      <c r="AR172" s="22">
        <f t="shared" si="1578"/>
        <v>0</v>
      </c>
      <c r="AS172" s="22">
        <f>+'QTR Raw'!M87</f>
        <v>0</v>
      </c>
      <c r="AT172" s="22">
        <f t="shared" si="1579"/>
        <v>0</v>
      </c>
      <c r="AU172" s="22">
        <f>+'QTR Raw'!O87</f>
        <v>0</v>
      </c>
      <c r="AV172" s="22">
        <f t="shared" si="1580"/>
        <v>0</v>
      </c>
      <c r="AW172" s="22">
        <f>+'QTR Raw'!Q87</f>
        <v>0</v>
      </c>
      <c r="AX172" s="22">
        <f t="shared" si="1581"/>
        <v>0</v>
      </c>
      <c r="AY172" s="22">
        <f>+'QTR Raw'!S87</f>
        <v>0</v>
      </c>
      <c r="AZ172" s="22">
        <f t="shared" si="1582"/>
        <v>0</v>
      </c>
      <c r="BA172" s="22">
        <f>+'QTR Raw'!U87</f>
        <v>0</v>
      </c>
      <c r="BB172" s="22">
        <f t="shared" si="1583"/>
        <v>0</v>
      </c>
      <c r="BC172" s="22">
        <f>+'QTR Raw'!W87</f>
        <v>0</v>
      </c>
      <c r="BD172" s="22">
        <f t="shared" si="1584"/>
        <v>0</v>
      </c>
      <c r="BE172" s="22">
        <f>+'QTR Raw'!Y87</f>
        <v>0</v>
      </c>
      <c r="BF172" s="22">
        <f t="shared" si="1585"/>
        <v>0</v>
      </c>
      <c r="BG172" s="22">
        <f>+'QTR Raw'!AA87</f>
        <v>0</v>
      </c>
      <c r="BH172" s="22">
        <f t="shared" si="1586"/>
        <v>0</v>
      </c>
      <c r="BI172" s="22">
        <f>+'QTR Raw'!AC87</f>
        <v>0</v>
      </c>
      <c r="BJ172" s="22">
        <f t="shared" si="1587"/>
        <v>0</v>
      </c>
      <c r="BK172" s="22">
        <f>+'QTR Raw'!AE87</f>
        <v>0</v>
      </c>
      <c r="BL172" s="22">
        <f t="shared" si="1588"/>
        <v>0</v>
      </c>
      <c r="BM172" s="22">
        <f>+'QTR Raw'!AG87</f>
        <v>0</v>
      </c>
      <c r="BN172" s="22">
        <f t="shared" si="1589"/>
        <v>0</v>
      </c>
      <c r="BO172" s="22">
        <f>+'QTR Raw'!AI87</f>
        <v>0</v>
      </c>
      <c r="BP172" s="22">
        <f t="shared" si="1590"/>
        <v>0</v>
      </c>
      <c r="BQ172" s="22">
        <f>+'QTR Raw'!AK87</f>
        <v>0</v>
      </c>
      <c r="BR172" s="22">
        <f t="shared" si="1591"/>
        <v>0</v>
      </c>
      <c r="BS172" s="22">
        <f>+'QTR Raw'!AM87</f>
        <v>0</v>
      </c>
      <c r="BT172" s="22">
        <f t="shared" si="1592"/>
        <v>0</v>
      </c>
      <c r="BU172" s="22">
        <f>+'QTR Raw'!AO87</f>
        <v>0</v>
      </c>
      <c r="BV172" s="22">
        <f t="shared" si="1593"/>
        <v>0</v>
      </c>
      <c r="BW172" s="22">
        <f>+'QTR Raw'!AQ87</f>
        <v>0</v>
      </c>
      <c r="BX172" s="22">
        <f t="shared" si="1594"/>
        <v>0</v>
      </c>
      <c r="BY172" s="22">
        <f>+'QTR Raw'!AS87</f>
        <v>0</v>
      </c>
      <c r="BZ172" s="22">
        <f t="shared" si="1595"/>
        <v>0</v>
      </c>
      <c r="CA172" s="22">
        <f>+'QTR Raw'!AU87</f>
        <v>0</v>
      </c>
      <c r="CB172" s="22">
        <f t="shared" si="1596"/>
        <v>0</v>
      </c>
      <c r="CC172" s="22">
        <f>+'QTR Raw'!AW87</f>
        <v>0</v>
      </c>
      <c r="CD172" s="22">
        <f t="shared" si="1597"/>
        <v>0</v>
      </c>
      <c r="CE172" s="22">
        <f>+'QTR Raw'!AY87</f>
        <v>0</v>
      </c>
      <c r="CF172" s="22">
        <f t="shared" si="1598"/>
        <v>0</v>
      </c>
      <c r="CG172" s="22">
        <f t="shared" si="1599"/>
        <v>0</v>
      </c>
      <c r="CH172" s="22">
        <f t="shared" si="1598"/>
        <v>0</v>
      </c>
      <c r="CI172" s="22">
        <f>+'QTR Raw'!BC87</f>
        <v>0</v>
      </c>
      <c r="CJ172" s="22">
        <f t="shared" si="1598"/>
        <v>0</v>
      </c>
      <c r="CK172" s="22">
        <f>+'QTR Raw'!BE87</f>
        <v>0</v>
      </c>
      <c r="CL172" s="22">
        <f t="shared" ref="CL172:DA172" si="1600">CL30/90*CL204</f>
        <v>2437.8921219035933</v>
      </c>
      <c r="CM172" s="23">
        <f t="shared" si="1600"/>
        <v>2907.6902142329795</v>
      </c>
      <c r="CN172" s="23">
        <f t="shared" si="1600"/>
        <v>2080.0929528590245</v>
      </c>
      <c r="CO172" s="23">
        <f t="shared" si="1600"/>
        <v>1822.9152673339534</v>
      </c>
      <c r="CP172" s="23">
        <f t="shared" si="1600"/>
        <v>2886.4280246233161</v>
      </c>
      <c r="CQ172" s="23">
        <f t="shared" si="1600"/>
        <v>3358.593362561573</v>
      </c>
      <c r="CR172" s="23">
        <f t="shared" si="1600"/>
        <v>2392.9889445593412</v>
      </c>
      <c r="CS172" s="23">
        <f t="shared" si="1600"/>
        <v>2102.3302862619416</v>
      </c>
      <c r="CT172" s="23">
        <f t="shared" si="1600"/>
        <v>3088.3132784296959</v>
      </c>
      <c r="CU172" s="23">
        <f t="shared" si="1600"/>
        <v>3604.0774798289235</v>
      </c>
      <c r="CV172" s="23">
        <f t="shared" si="1600"/>
        <v>2573.1227602362737</v>
      </c>
      <c r="CW172" s="23">
        <f t="shared" si="1600"/>
        <v>2265.7949653729484</v>
      </c>
      <c r="CX172" s="23">
        <f t="shared" si="1600"/>
        <v>3696.3509968061185</v>
      </c>
      <c r="CY172" s="23">
        <f t="shared" si="1600"/>
        <v>4321.659633911916</v>
      </c>
      <c r="CZ172" s="23">
        <f t="shared" si="1600"/>
        <v>3092.0155702236393</v>
      </c>
      <c r="DA172" s="23">
        <f t="shared" si="1600"/>
        <v>2730.9582532495206</v>
      </c>
      <c r="DB172"/>
      <c r="DD172" s="122"/>
    </row>
    <row r="173" spans="1:108" s="22" customFormat="1" outlineLevel="1" x14ac:dyDescent="0.25">
      <c r="A173" s="22" t="s">
        <v>70</v>
      </c>
      <c r="B173" s="22">
        <f>'Annual Raw'!C54</f>
        <v>0</v>
      </c>
      <c r="C173" s="22">
        <f>'Annual Raw'!D54</f>
        <v>0</v>
      </c>
      <c r="D173" s="22">
        <f>'Annual Raw'!E54</f>
        <v>0</v>
      </c>
      <c r="E173" s="22">
        <f>'Annual Raw'!F54</f>
        <v>0</v>
      </c>
      <c r="F173" s="22">
        <f>'Annual Raw'!G54</f>
        <v>15.234545799999999</v>
      </c>
      <c r="G173" s="22">
        <f>'Annual Raw'!H54</f>
        <v>17.247636100000001</v>
      </c>
      <c r="H173" s="22">
        <f>'Annual Raw'!I54</f>
        <v>18.7599956</v>
      </c>
      <c r="I173" s="22">
        <f>'Annual Raw'!J54</f>
        <v>28.7060028</v>
      </c>
      <c r="J173" s="22">
        <f>'Annual Raw'!K54</f>
        <v>31.0876999</v>
      </c>
      <c r="K173" s="22">
        <f>'Annual Raw'!L54</f>
        <v>82.368639700000003</v>
      </c>
      <c r="L173" s="22">
        <f>'Annual Raw'!M54</f>
        <v>69.616975400000001</v>
      </c>
      <c r="M173" s="22">
        <f>'Annual Raw'!N54</f>
        <v>28.805</v>
      </c>
      <c r="N173" s="22">
        <f>'Annual Raw'!O54</f>
        <v>90.661000000000001</v>
      </c>
      <c r="O173" s="22">
        <f>'Annual Raw'!P54</f>
        <v>139.18100000000001</v>
      </c>
      <c r="P173" s="22">
        <f>'Annual Raw'!Q54</f>
        <v>180.63200000000001</v>
      </c>
      <c r="Q173" s="22">
        <f>'Annual Raw'!R54</f>
        <v>184.55500000000001</v>
      </c>
      <c r="R173" s="22">
        <f>'Annual Raw'!S54</f>
        <v>274.58999999999997</v>
      </c>
      <c r="S173" s="22">
        <f>'Annual Raw'!T54</f>
        <v>190.946</v>
      </c>
      <c r="T173" s="22">
        <f>'Annual Raw'!U54</f>
        <v>316.79700000000003</v>
      </c>
      <c r="U173" s="22">
        <f>'Annual Raw'!V54</f>
        <v>477.661</v>
      </c>
      <c r="V173" s="22">
        <f>'Annual Raw'!W54</f>
        <v>511.38499999999999</v>
      </c>
      <c r="W173" s="22">
        <f>'Annual Raw'!X54</f>
        <v>711.75300000000004</v>
      </c>
      <c r="X173" s="22">
        <f>'Annual Raw'!Y54</f>
        <v>824.26099999999997</v>
      </c>
      <c r="Y173" s="22">
        <f>'Annual Raw'!Z54</f>
        <v>758.24800000000005</v>
      </c>
      <c r="Z173" s="22">
        <f>'Annual Raw'!AA54</f>
        <v>1560.4269999999999</v>
      </c>
      <c r="AA173" s="23">
        <f t="shared" si="1569"/>
        <v>1401.3040000000001</v>
      </c>
      <c r="AB173" s="23">
        <f t="shared" si="1570"/>
        <v>940.07014401835625</v>
      </c>
      <c r="AC173" s="23">
        <f t="shared" si="1571"/>
        <v>1084.1633565727088</v>
      </c>
      <c r="AD173" s="23">
        <f t="shared" si="1572"/>
        <v>1168.4614406293208</v>
      </c>
      <c r="AE173" s="23">
        <f t="shared" si="1573"/>
        <v>1408.3442957801913</v>
      </c>
      <c r="AI173" s="22">
        <f>+'QTR Raw'!C89</f>
        <v>0</v>
      </c>
      <c r="AJ173" s="22" t="e">
        <f>+AJ203*AJ30/90</f>
        <v>#DIV/0!</v>
      </c>
      <c r="AK173" s="22">
        <f>+'QTR Raw'!E89</f>
        <v>0</v>
      </c>
      <c r="AL173" s="22" t="e">
        <f>+AL203*AL30/90</f>
        <v>#DIV/0!</v>
      </c>
      <c r="AM173" s="22">
        <f>+'QTR Raw'!G89</f>
        <v>0</v>
      </c>
      <c r="AN173" s="22" t="e">
        <f>+AN203*AN30/90</f>
        <v>#DIV/0!</v>
      </c>
      <c r="AO173" s="22">
        <f>+'QTR Raw'!I89</f>
        <v>0</v>
      </c>
      <c r="AP173" s="22" t="e">
        <f>+AP203*AP30/90</f>
        <v>#DIV/0!</v>
      </c>
      <c r="AQ173" s="22">
        <f>+'QTR Raw'!K89</f>
        <v>0</v>
      </c>
      <c r="AR173" s="22" t="e">
        <f>+AR203*AR30/90</f>
        <v>#DIV/0!</v>
      </c>
      <c r="AS173" s="22">
        <f>+'QTR Raw'!M89</f>
        <v>0</v>
      </c>
      <c r="AT173" s="22" t="e">
        <f>+AT203*AT30/90</f>
        <v>#DIV/0!</v>
      </c>
      <c r="AU173" s="22">
        <f>+'QTR Raw'!O89</f>
        <v>0</v>
      </c>
      <c r="AV173" s="22" t="e">
        <f>+AV203*AV30/90</f>
        <v>#DIV/0!</v>
      </c>
      <c r="AW173" s="22">
        <f>+'QTR Raw'!Q89</f>
        <v>184.55500000000001</v>
      </c>
      <c r="AX173" s="22">
        <f>+AX203*AX30/90</f>
        <v>410.33417874056232</v>
      </c>
      <c r="AY173" s="22">
        <f>+'QTR Raw'!S89</f>
        <v>0</v>
      </c>
      <c r="AZ173" s="22">
        <f>+AZ203*AZ30/90</f>
        <v>0</v>
      </c>
      <c r="BA173" s="22">
        <f>+'QTR Raw'!U89</f>
        <v>274.59199999999998</v>
      </c>
      <c r="BB173" s="22">
        <f>+BB203*BB30/90</f>
        <v>494.87327403283422</v>
      </c>
      <c r="BC173" s="22">
        <f>+'QTR Raw'!W89</f>
        <v>304.05799999999999</v>
      </c>
      <c r="BD173" s="22">
        <f>+BD203*BD30/90</f>
        <v>151.47001638773799</v>
      </c>
      <c r="BE173" s="22">
        <f>+'QTR Raw'!Y89</f>
        <v>190.946</v>
      </c>
      <c r="BF173" s="22">
        <f>+BF203*BF30/90</f>
        <v>384.6479933684538</v>
      </c>
      <c r="BG173" s="22">
        <f>+'QTR Raw'!AA89</f>
        <v>414.97899999999998</v>
      </c>
      <c r="BH173" s="22">
        <f>+BH203*BH30/90</f>
        <v>230.6736748528715</v>
      </c>
      <c r="BI173" s="22">
        <f>+'QTR Raw'!AC89</f>
        <v>316.79700000000003</v>
      </c>
      <c r="BJ173" s="22">
        <f>+BJ203*BJ30/90</f>
        <v>535.44739088613017</v>
      </c>
      <c r="BK173" s="22">
        <f>+'QTR Raw'!AE89</f>
        <v>637.36300000000006</v>
      </c>
      <c r="BL173" s="22">
        <f>+BL203*BL30/90</f>
        <v>388.86832370446155</v>
      </c>
      <c r="BM173" s="22">
        <f>+'QTR Raw'!AG89</f>
        <v>477.661</v>
      </c>
      <c r="BN173" s="22">
        <f>+BN203*BN30/90</f>
        <v>646.02221064673438</v>
      </c>
      <c r="BO173" s="22">
        <f>+'QTR Raw'!AI89</f>
        <v>530.03200000000004</v>
      </c>
      <c r="BP173" s="22">
        <f>+BP203*BP30/90</f>
        <v>573.60835707004298</v>
      </c>
      <c r="BQ173" s="22">
        <f>+'QTR Raw'!AK89</f>
        <v>511.38499999999999</v>
      </c>
      <c r="BR173" s="22">
        <f>+BR203*BR30/90</f>
        <v>848.01708188692828</v>
      </c>
      <c r="BS173" s="22">
        <f>+'QTR Raw'!AM89</f>
        <v>561.22199999999998</v>
      </c>
      <c r="BT173" s="22">
        <f>+BT203*BT30/90</f>
        <v>542.0359160272634</v>
      </c>
      <c r="BU173" s="22">
        <f>+'QTR Raw'!AO89</f>
        <v>711.75300000000004</v>
      </c>
      <c r="BV173" s="22">
        <f>+BV203*BV30/90</f>
        <v>1140.2462629897061</v>
      </c>
      <c r="BW173" s="22">
        <f>+'QTR Raw'!AQ89</f>
        <v>985.25199999999995</v>
      </c>
      <c r="BX173" s="22">
        <f>+BX203*BX30/90</f>
        <v>623.76171920499439</v>
      </c>
      <c r="BY173" s="22">
        <f>+'QTR Raw'!AS89</f>
        <v>824.26099999999997</v>
      </c>
      <c r="BZ173" s="22">
        <f>+BZ203*BZ30/90</f>
        <v>1421.5958022679415</v>
      </c>
      <c r="CA173" s="22">
        <f>+'QTR Raw'!AU89</f>
        <v>1102.222</v>
      </c>
      <c r="CB173" s="22">
        <f>+CB203*CB30/90</f>
        <v>748.48524235166064</v>
      </c>
      <c r="CC173" s="22">
        <f>+'QTR Raw'!AW89</f>
        <v>758.24800000000005</v>
      </c>
      <c r="CD173" s="22">
        <f>+CD203*CD30/90</f>
        <v>1198.6874859021405</v>
      </c>
      <c r="CE173" s="22">
        <f>+'QTR Raw'!AY89</f>
        <v>1408.654</v>
      </c>
      <c r="CF173" s="22">
        <f>+CF203*CF30/90</f>
        <v>922.88500585818406</v>
      </c>
      <c r="CG173" s="22">
        <f t="shared" si="1599"/>
        <v>1560.4269999999999</v>
      </c>
      <c r="CH173" s="22">
        <f>+CH203*CH30/90</f>
        <v>2275.450950723161</v>
      </c>
      <c r="CI173" s="22">
        <f>+'QTR Raw'!BC89</f>
        <v>1369.816</v>
      </c>
      <c r="CJ173" s="22">
        <f>+CJ203*CJ30/90</f>
        <v>936.40790895349892</v>
      </c>
      <c r="CK173" s="22">
        <f>+'QTR Raw'!BE89</f>
        <v>1401.3040000000001</v>
      </c>
      <c r="CL173" s="22">
        <f t="shared" ref="CL173:DA173" si="1601">+CL203*CL30/90</f>
        <v>1257.2112589143605</v>
      </c>
      <c r="CM173" s="23">
        <f t="shared" si="1601"/>
        <v>1499.4842642644919</v>
      </c>
      <c r="CN173" s="23">
        <f t="shared" si="1601"/>
        <v>1072.6956522919509</v>
      </c>
      <c r="CO173" s="23">
        <f t="shared" si="1601"/>
        <v>940.07014401835625</v>
      </c>
      <c r="CP173" s="23">
        <f t="shared" si="1601"/>
        <v>1488.5194377546263</v>
      </c>
      <c r="CQ173" s="23">
        <f t="shared" si="1601"/>
        <v>1732.0132222382349</v>
      </c>
      <c r="CR173" s="23">
        <f t="shared" si="1601"/>
        <v>1234.0548691746283</v>
      </c>
      <c r="CS173" s="23">
        <f t="shared" si="1601"/>
        <v>1084.1633565727088</v>
      </c>
      <c r="CT173" s="23">
        <f t="shared" si="1601"/>
        <v>1592.630859180435</v>
      </c>
      <c r="CU173" s="23">
        <f t="shared" si="1601"/>
        <v>1858.6084039283007</v>
      </c>
      <c r="CV173" s="23">
        <f t="shared" si="1601"/>
        <v>1326.94916057724</v>
      </c>
      <c r="CW173" s="23">
        <f t="shared" si="1601"/>
        <v>1168.4614406293208</v>
      </c>
      <c r="CX173" s="23">
        <f t="shared" si="1601"/>
        <v>1906.1934891751296</v>
      </c>
      <c r="CY173" s="23">
        <f t="shared" si="1601"/>
        <v>2228.6626631810545</v>
      </c>
      <c r="CZ173" s="23">
        <f t="shared" si="1601"/>
        <v>1594.5401163150359</v>
      </c>
      <c r="DA173" s="23">
        <f t="shared" si="1601"/>
        <v>1408.3442957801913</v>
      </c>
      <c r="DB173"/>
      <c r="DD173" s="122"/>
    </row>
    <row r="174" spans="1:108" s="22" customFormat="1" outlineLevel="1" x14ac:dyDescent="0.25">
      <c r="A174" s="22" t="s">
        <v>71</v>
      </c>
      <c r="B174" s="22">
        <f>'Annual Raw'!C55-Template!B146</f>
        <v>0</v>
      </c>
      <c r="C174" s="22">
        <f>'Annual Raw'!D55-Template!C146</f>
        <v>0</v>
      </c>
      <c r="D174" s="22">
        <f>'Annual Raw'!E55-Template!D146</f>
        <v>0</v>
      </c>
      <c r="E174" s="22">
        <f>'Annual Raw'!F55-Template!E146</f>
        <v>0</v>
      </c>
      <c r="F174" s="22">
        <f>'Annual Raw'!G55-Template!F146</f>
        <v>32.704368500000001</v>
      </c>
      <c r="G174" s="22">
        <f>'Annual Raw'!H55-Template!G146</f>
        <v>36.154086700000001</v>
      </c>
      <c r="H174" s="22">
        <f>'Annual Raw'!I55-Template!H146</f>
        <v>43.798346299999999</v>
      </c>
      <c r="I174" s="22">
        <f>'Annual Raw'!J55-Template!I146</f>
        <v>36.219710200000002</v>
      </c>
      <c r="J174" s="22">
        <f>'Annual Raw'!K55-Template!J146</f>
        <v>26.295652199999999</v>
      </c>
      <c r="K174" s="22">
        <f>'Annual Raw'!L55-Template!K146</f>
        <v>30.274596500000001</v>
      </c>
      <c r="L174" s="22">
        <f>'Annual Raw'!M55-Template!L146</f>
        <v>36.164772300000003</v>
      </c>
      <c r="M174" s="22">
        <f>'Annual Raw'!N55-Template!M146</f>
        <v>90.835999999999999</v>
      </c>
      <c r="N174" s="22">
        <f>'Annual Raw'!O55-Template!N146</f>
        <v>224.29500000000002</v>
      </c>
      <c r="O174" s="22">
        <f>'Annual Raw'!P55-Template!O146</f>
        <v>184.04300000000001</v>
      </c>
      <c r="P174" s="22">
        <f>'Annual Raw'!Q55-Template!P146</f>
        <v>220.18599999999998</v>
      </c>
      <c r="Q174" s="22">
        <f>'Annual Raw'!R55-Template!Q146</f>
        <v>634.37800000000004</v>
      </c>
      <c r="R174" s="22">
        <f>'Annual Raw'!S55-Template!R146</f>
        <v>433.38299999999992</v>
      </c>
      <c r="S174" s="22">
        <f>'Annual Raw'!T55-Template!S146</f>
        <v>411.98300000000006</v>
      </c>
      <c r="T174" s="22">
        <f>'Annual Raw'!U55-Template!T146</f>
        <v>547.755</v>
      </c>
      <c r="U174" s="22">
        <f>'Annual Raw'!V55-Template!U146</f>
        <v>635.65499999999997</v>
      </c>
      <c r="V174" s="22">
        <f>'Annual Raw'!W55-Template!V146</f>
        <v>650</v>
      </c>
      <c r="W174" s="22">
        <f>'Annual Raw'!X55-Template!W146</f>
        <v>716.24399999999991</v>
      </c>
      <c r="X174" s="22">
        <f>'Annual Raw'!Y55-Template!X146</f>
        <v>1071.9440000000002</v>
      </c>
      <c r="Y174" s="22">
        <f>'Annual Raw'!Z55-Template!Y146</f>
        <v>1267.9699999999998</v>
      </c>
      <c r="Z174" s="22">
        <f>'Annual Raw'!AA55-Template!Z146</f>
        <v>1300.9000000000001</v>
      </c>
      <c r="AA174" s="23">
        <f t="shared" si="1569"/>
        <v>1138.4449999999999</v>
      </c>
      <c r="AB174" s="23">
        <f t="shared" si="1570"/>
        <v>0</v>
      </c>
      <c r="AC174" s="23">
        <f t="shared" si="1571"/>
        <v>0</v>
      </c>
      <c r="AD174" s="23">
        <f t="shared" si="1572"/>
        <v>0</v>
      </c>
      <c r="AE174" s="23">
        <f t="shared" si="1573"/>
        <v>0</v>
      </c>
      <c r="AI174" s="22">
        <f>+'QTR Raw'!C91</f>
        <v>0</v>
      </c>
      <c r="AJ174" s="22">
        <f t="shared" ref="AJ174:AJ175" si="1602">+AI174</f>
        <v>0</v>
      </c>
      <c r="AK174" s="22">
        <f>+'QTR Raw'!E91</f>
        <v>0</v>
      </c>
      <c r="AL174" s="22">
        <f t="shared" ref="AL174:AL175" si="1603">+AK174</f>
        <v>0</v>
      </c>
      <c r="AM174" s="22">
        <f>+'QTR Raw'!G91</f>
        <v>0</v>
      </c>
      <c r="AN174" s="22">
        <f t="shared" ref="AN174:AN175" si="1604">+AM174</f>
        <v>0</v>
      </c>
      <c r="AO174" s="22">
        <f>+'QTR Raw'!I91</f>
        <v>0</v>
      </c>
      <c r="AP174" s="22">
        <f t="shared" ref="AP174:AP175" si="1605">+AO174</f>
        <v>0</v>
      </c>
      <c r="AQ174" s="22">
        <f>+'QTR Raw'!K91</f>
        <v>0</v>
      </c>
      <c r="AR174" s="22">
        <f t="shared" ref="AR174:AR175" si="1606">+AQ174</f>
        <v>0</v>
      </c>
      <c r="AS174" s="22">
        <f>+'QTR Raw'!M91</f>
        <v>0</v>
      </c>
      <c r="AT174" s="22">
        <f t="shared" ref="AT174:AT175" si="1607">+AS174</f>
        <v>0</v>
      </c>
      <c r="AU174" s="22">
        <f>+'QTR Raw'!O91</f>
        <v>0</v>
      </c>
      <c r="AV174" s="22">
        <f t="shared" ref="AV174:AV175" si="1608">+AU174</f>
        <v>0</v>
      </c>
      <c r="AW174" s="22">
        <f>+'QTR Raw'!Q91</f>
        <v>879.79200000000003</v>
      </c>
      <c r="AX174" s="22">
        <f t="shared" ref="AX174:AX175" si="1609">+AW174</f>
        <v>879.79200000000003</v>
      </c>
      <c r="AY174" s="22">
        <f>+'QTR Raw'!S91</f>
        <v>0</v>
      </c>
      <c r="AZ174" s="22">
        <f t="shared" ref="AZ174:AZ175" si="1610">+AY174</f>
        <v>0</v>
      </c>
      <c r="BA174" s="22">
        <f>+'QTR Raw'!U91</f>
        <v>1018.301</v>
      </c>
      <c r="BB174" s="22">
        <f t="shared" ref="BB174:BB175" si="1611">+BA174</f>
        <v>1018.301</v>
      </c>
      <c r="BC174" s="22">
        <f>+'QTR Raw'!W91</f>
        <v>1144.9480000000001</v>
      </c>
      <c r="BD174" s="22">
        <f t="shared" ref="BD174:BD175" si="1612">+BC174</f>
        <v>1144.9480000000001</v>
      </c>
      <c r="BE174" s="22">
        <f>+'QTR Raw'!Y91</f>
        <v>1027.787</v>
      </c>
      <c r="BF174" s="22">
        <f t="shared" ref="BF174:BF175" si="1613">+BE174</f>
        <v>1027.787</v>
      </c>
      <c r="BG174" s="22">
        <f>+'QTR Raw'!AA91</f>
        <v>1055.894</v>
      </c>
      <c r="BH174" s="22">
        <f t="shared" ref="BH174:BH175" si="1614">+BG174</f>
        <v>1055.894</v>
      </c>
      <c r="BI174" s="22">
        <f>+'QTR Raw'!AC91</f>
        <v>1030.4000000000001</v>
      </c>
      <c r="BJ174" s="22">
        <f t="shared" ref="BJ174:BJ175" si="1615">+BI174</f>
        <v>1030.4000000000001</v>
      </c>
      <c r="BK174" s="22">
        <f>+'QTR Raw'!AE91</f>
        <v>1642.954</v>
      </c>
      <c r="BL174" s="22">
        <f t="shared" ref="BL174:BL175" si="1616">+BK174</f>
        <v>1642.954</v>
      </c>
      <c r="BM174" s="22">
        <f>+'QTR Raw'!AG91</f>
        <v>1245.498</v>
      </c>
      <c r="BN174" s="22">
        <f t="shared" ref="BN174:BN175" si="1617">+BM174</f>
        <v>1245.498</v>
      </c>
      <c r="BO174" s="22">
        <f>+'QTR Raw'!AI91</f>
        <v>1729.097</v>
      </c>
      <c r="BP174" s="22">
        <f t="shared" ref="BP174:BP175" si="1618">+BO174</f>
        <v>1729.097</v>
      </c>
      <c r="BQ174" s="22">
        <f>+'QTR Raw'!AK91</f>
        <v>1176.5350000000001</v>
      </c>
      <c r="BR174" s="22">
        <f t="shared" ref="BR174:BR175" si="1619">+BQ174</f>
        <v>1176.5350000000001</v>
      </c>
      <c r="BS174" s="22">
        <f>+'QTR Raw'!AM91</f>
        <v>1889.143</v>
      </c>
      <c r="BT174" s="22">
        <f t="shared" ref="BT174:BT175" si="1620">+BS174</f>
        <v>1889.143</v>
      </c>
      <c r="BU174" s="22">
        <f>+'QTR Raw'!AO91</f>
        <v>730.18499999999995</v>
      </c>
      <c r="BV174" s="22">
        <f t="shared" ref="BV174:BV175" si="1621">+BU174</f>
        <v>730.18499999999995</v>
      </c>
      <c r="BW174" s="22">
        <f>+'QTR Raw'!AQ91</f>
        <v>1230.354</v>
      </c>
      <c r="BX174" s="22">
        <f t="shared" ref="BX174:BX175" si="1622">+BW174</f>
        <v>1230.354</v>
      </c>
      <c r="BY174" s="22">
        <f>+'QTR Raw'!AS91</f>
        <v>1147.5119999999999</v>
      </c>
      <c r="BZ174" s="22">
        <f t="shared" ref="BZ174:BZ175" si="1623">+BY174</f>
        <v>1147.5119999999999</v>
      </c>
      <c r="CA174" s="22">
        <f>+'QTR Raw'!AU91</f>
        <v>1434.962</v>
      </c>
      <c r="CB174" s="22">
        <f t="shared" ref="CB174:CB175" si="1624">+CA174</f>
        <v>1434.962</v>
      </c>
      <c r="CC174" s="22">
        <f>+'QTR Raw'!AW91</f>
        <v>1306.972</v>
      </c>
      <c r="CD174" s="22">
        <f t="shared" ref="CD174:CD175" si="1625">+CC174</f>
        <v>1306.972</v>
      </c>
      <c r="CE174" s="22">
        <f>+'QTR Raw'!AY91</f>
        <v>1837.0909999999999</v>
      </c>
      <c r="CF174" s="22">
        <f t="shared" si="1598"/>
        <v>1837.0909999999999</v>
      </c>
      <c r="CG174" s="22">
        <f t="shared" si="1599"/>
        <v>1300.9000000000001</v>
      </c>
      <c r="CH174" s="22">
        <f t="shared" si="1598"/>
        <v>1300.9000000000001</v>
      </c>
      <c r="CI174" s="22">
        <f>+'QTR Raw'!BC91</f>
        <v>1954.9169999999999</v>
      </c>
      <c r="CJ174" s="22">
        <f t="shared" si="1598"/>
        <v>1954.9169999999999</v>
      </c>
      <c r="CK174" s="22">
        <f>+'QTR Raw'!BE91</f>
        <v>1138.4449999999999</v>
      </c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/>
      <c r="DD174" s="122"/>
    </row>
    <row r="175" spans="1:108" s="22" customFormat="1" outlineLevel="1" x14ac:dyDescent="0.25">
      <c r="A175" s="22" t="s">
        <v>72</v>
      </c>
      <c r="B175" s="22">
        <f>'Annual Raw'!C57</f>
        <v>0</v>
      </c>
      <c r="C175" s="22">
        <f>'Annual Raw'!D57</f>
        <v>0</v>
      </c>
      <c r="D175" s="22">
        <f>'Annual Raw'!E57</f>
        <v>0</v>
      </c>
      <c r="E175" s="22">
        <f>'Annual Raw'!F57</f>
        <v>0</v>
      </c>
      <c r="F175" s="22">
        <f>'Annual Raw'!G57</f>
        <v>2.5</v>
      </c>
      <c r="G175" s="22">
        <f>'Annual Raw'!H57</f>
        <v>2.1</v>
      </c>
      <c r="H175" s="22">
        <f>'Annual Raw'!I57</f>
        <v>2.75</v>
      </c>
      <c r="I175" s="22">
        <f>'Annual Raw'!J57</f>
        <v>8.4571778999999996</v>
      </c>
      <c r="J175" s="22">
        <f>'Annual Raw'!K57</f>
        <v>11.2636617</v>
      </c>
      <c r="K175" s="22">
        <f>'Annual Raw'!L57</f>
        <v>7.5</v>
      </c>
      <c r="L175" s="22">
        <f>'Annual Raw'!M57</f>
        <v>9</v>
      </c>
      <c r="M175" s="22">
        <f>'Annual Raw'!N57</f>
        <v>1.2869999999999999</v>
      </c>
      <c r="N175" s="22">
        <f>'Annual Raw'!O57</f>
        <v>6.4889999999999999</v>
      </c>
      <c r="O175" s="22">
        <f>'Annual Raw'!P57</f>
        <v>6.2880000000000003</v>
      </c>
      <c r="P175" s="22">
        <f>'Annual Raw'!Q57</f>
        <v>17.628</v>
      </c>
      <c r="Q175" s="22">
        <f>'Annual Raw'!R57</f>
        <v>37.206000000000003</v>
      </c>
      <c r="R175" s="22">
        <f>'Annual Raw'!S57</f>
        <v>22.513999999999999</v>
      </c>
      <c r="S175" s="22">
        <f>'Annual Raw'!T57</f>
        <v>23.585000000000001</v>
      </c>
      <c r="T175" s="22">
        <f>'Annual Raw'!U57</f>
        <v>48.521000000000001</v>
      </c>
      <c r="U175" s="22">
        <f>'Annual Raw'!V57</f>
        <v>45.179000000000002</v>
      </c>
      <c r="V175" s="22">
        <f>'Annual Raw'!W57</f>
        <v>37.064</v>
      </c>
      <c r="W175" s="22">
        <f>'Annual Raw'!X57</f>
        <v>63.680999999999997</v>
      </c>
      <c r="X175" s="22">
        <f>'Annual Raw'!Y57</f>
        <v>104.759</v>
      </c>
      <c r="Y175" s="22">
        <f>'Annual Raw'!Z57</f>
        <v>121.545</v>
      </c>
      <c r="Z175" s="22">
        <f>'Annual Raw'!AA57</f>
        <v>139.523</v>
      </c>
      <c r="AA175" s="23">
        <f t="shared" si="1569"/>
        <v>50.526000000000003</v>
      </c>
      <c r="AB175" s="23">
        <f t="shared" si="1570"/>
        <v>0</v>
      </c>
      <c r="AC175" s="23">
        <f t="shared" si="1571"/>
        <v>0</v>
      </c>
      <c r="AD175" s="23">
        <f t="shared" si="1572"/>
        <v>0</v>
      </c>
      <c r="AE175" s="23">
        <f t="shared" si="1573"/>
        <v>0</v>
      </c>
      <c r="AI175" s="22">
        <f>+'QTR Raw'!C92</f>
        <v>0</v>
      </c>
      <c r="AJ175" s="22">
        <f t="shared" si="1602"/>
        <v>0</v>
      </c>
      <c r="AK175" s="22">
        <f>+'QTR Raw'!E92</f>
        <v>0</v>
      </c>
      <c r="AL175" s="22">
        <f t="shared" si="1603"/>
        <v>0</v>
      </c>
      <c r="AM175" s="22">
        <f>+'QTR Raw'!G92</f>
        <v>0</v>
      </c>
      <c r="AN175" s="22">
        <f t="shared" si="1604"/>
        <v>0</v>
      </c>
      <c r="AO175" s="22">
        <f>+'QTR Raw'!I92</f>
        <v>0</v>
      </c>
      <c r="AP175" s="22">
        <f t="shared" si="1605"/>
        <v>0</v>
      </c>
      <c r="AQ175" s="22">
        <f>+'QTR Raw'!K92</f>
        <v>0</v>
      </c>
      <c r="AR175" s="22">
        <f t="shared" si="1606"/>
        <v>0</v>
      </c>
      <c r="AS175" s="22">
        <f>+'QTR Raw'!M92</f>
        <v>0</v>
      </c>
      <c r="AT175" s="22">
        <f t="shared" si="1607"/>
        <v>0</v>
      </c>
      <c r="AU175" s="22">
        <f>+'QTR Raw'!O92</f>
        <v>0</v>
      </c>
      <c r="AV175" s="22">
        <f t="shared" si="1608"/>
        <v>0</v>
      </c>
      <c r="AW175" s="22">
        <f>+'QTR Raw'!Q92</f>
        <v>37.206000000000003</v>
      </c>
      <c r="AX175" s="22">
        <f t="shared" si="1609"/>
        <v>37.206000000000003</v>
      </c>
      <c r="AY175" s="22">
        <f>+'QTR Raw'!S92</f>
        <v>0</v>
      </c>
      <c r="AZ175" s="22">
        <f t="shared" si="1610"/>
        <v>0</v>
      </c>
      <c r="BA175" s="22">
        <f>+'QTR Raw'!U92</f>
        <v>43.008000000000003</v>
      </c>
      <c r="BB175" s="22">
        <f t="shared" si="1611"/>
        <v>43.008000000000003</v>
      </c>
      <c r="BC175" s="22">
        <f>+'QTR Raw'!W92</f>
        <v>14.744999999999999</v>
      </c>
      <c r="BD175" s="22">
        <f t="shared" si="1612"/>
        <v>14.744999999999999</v>
      </c>
      <c r="BE175" s="22">
        <f>+'QTR Raw'!Y92</f>
        <v>16.75</v>
      </c>
      <c r="BF175" s="22">
        <f t="shared" si="1613"/>
        <v>16.75</v>
      </c>
      <c r="BG175" s="22">
        <f>+'QTR Raw'!AA92</f>
        <v>27.800999999999998</v>
      </c>
      <c r="BH175" s="22">
        <f t="shared" si="1614"/>
        <v>27.800999999999998</v>
      </c>
      <c r="BI175" s="22">
        <f>+'QTR Raw'!AC92</f>
        <v>16.018999999999998</v>
      </c>
      <c r="BJ175" s="22">
        <f t="shared" si="1615"/>
        <v>16.018999999999998</v>
      </c>
      <c r="BK175" s="22">
        <f>+'QTR Raw'!AE92</f>
        <v>25.187000000000001</v>
      </c>
      <c r="BL175" s="22">
        <f t="shared" si="1616"/>
        <v>25.187000000000001</v>
      </c>
      <c r="BM175" s="22">
        <f>+'QTR Raw'!AG92</f>
        <v>29.978999999999999</v>
      </c>
      <c r="BN175" s="22">
        <f t="shared" si="1617"/>
        <v>29.978999999999999</v>
      </c>
      <c r="BO175" s="22">
        <f>+'QTR Raw'!AI92</f>
        <v>30.431999999999999</v>
      </c>
      <c r="BP175" s="22">
        <f t="shared" si="1618"/>
        <v>30.431999999999999</v>
      </c>
      <c r="BQ175" s="22">
        <f>+'QTR Raw'!AK92</f>
        <v>33.171999999999997</v>
      </c>
      <c r="BR175" s="22">
        <f t="shared" si="1619"/>
        <v>33.171999999999997</v>
      </c>
      <c r="BS175" s="22">
        <f>+'QTR Raw'!AM92</f>
        <v>66.165999999999997</v>
      </c>
      <c r="BT175" s="22">
        <f t="shared" si="1620"/>
        <v>66.165999999999997</v>
      </c>
      <c r="BU175" s="22">
        <f>+'QTR Raw'!AO92</f>
        <v>49.74</v>
      </c>
      <c r="BV175" s="22">
        <f t="shared" si="1621"/>
        <v>49.74</v>
      </c>
      <c r="BW175" s="22">
        <f>+'QTR Raw'!AQ92</f>
        <v>27.951000000000001</v>
      </c>
      <c r="BX175" s="22">
        <f t="shared" si="1622"/>
        <v>27.951000000000001</v>
      </c>
      <c r="BY175" s="22">
        <f>+'QTR Raw'!AS92</f>
        <v>29.190999999999999</v>
      </c>
      <c r="BZ175" s="22">
        <f t="shared" si="1623"/>
        <v>29.190999999999999</v>
      </c>
      <c r="CA175" s="22">
        <f>+'QTR Raw'!AU92</f>
        <v>30.135000000000002</v>
      </c>
      <c r="CB175" s="22">
        <f t="shared" si="1624"/>
        <v>30.135000000000002</v>
      </c>
      <c r="CC175" s="22">
        <f>+'QTR Raw'!AW92</f>
        <v>82.543000000000006</v>
      </c>
      <c r="CD175" s="22">
        <f t="shared" si="1625"/>
        <v>82.543000000000006</v>
      </c>
      <c r="CE175" s="22">
        <f>+'QTR Raw'!AY92</f>
        <v>95.227999999999994</v>
      </c>
      <c r="CF175" s="22">
        <f t="shared" si="1598"/>
        <v>95.227999999999994</v>
      </c>
      <c r="CG175" s="22">
        <f t="shared" si="1599"/>
        <v>139.523</v>
      </c>
      <c r="CH175" s="22">
        <f t="shared" si="1598"/>
        <v>139.523</v>
      </c>
      <c r="CI175" s="22">
        <f>+'QTR Raw'!BC92</f>
        <v>78.019000000000005</v>
      </c>
      <c r="CJ175" s="22">
        <f t="shared" si="1598"/>
        <v>78.019000000000005</v>
      </c>
      <c r="CK175" s="22">
        <f>+'QTR Raw'!BE92</f>
        <v>50.526000000000003</v>
      </c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/>
      <c r="DD175" s="122"/>
    </row>
    <row r="176" spans="1:108" s="21" customFormat="1" x14ac:dyDescent="0.25">
      <c r="A176" s="21" t="s">
        <v>73</v>
      </c>
      <c r="B176" s="21">
        <f>SUM(B169:B175)</f>
        <v>0</v>
      </c>
      <c r="C176" s="21">
        <f t="shared" ref="C176:V176" si="1626">SUM(C169:C175)</f>
        <v>0</v>
      </c>
      <c r="D176" s="21">
        <f t="shared" si="1626"/>
        <v>0</v>
      </c>
      <c r="E176" s="21">
        <f t="shared" si="1626"/>
        <v>0</v>
      </c>
      <c r="F176" s="21">
        <f t="shared" si="1626"/>
        <v>50.4389143</v>
      </c>
      <c r="G176" s="21">
        <f t="shared" si="1626"/>
        <v>55.501722800000003</v>
      </c>
      <c r="H176" s="21">
        <f t="shared" si="1626"/>
        <v>65.308341900000002</v>
      </c>
      <c r="I176" s="21">
        <f t="shared" si="1626"/>
        <v>73.382890900000007</v>
      </c>
      <c r="J176" s="21">
        <f t="shared" si="1626"/>
        <v>68.647013799999996</v>
      </c>
      <c r="K176" s="21">
        <f t="shared" si="1626"/>
        <v>120.1432362</v>
      </c>
      <c r="L176" s="21">
        <f t="shared" si="1626"/>
        <v>114.78174770000001</v>
      </c>
      <c r="M176" s="21">
        <f t="shared" si="1626"/>
        <v>183.28400000000002</v>
      </c>
      <c r="N176" s="21">
        <f t="shared" si="1626"/>
        <v>370.49700000000001</v>
      </c>
      <c r="O176" s="21">
        <f t="shared" si="1626"/>
        <v>378.53100000000006</v>
      </c>
      <c r="P176" s="21">
        <f t="shared" si="1626"/>
        <v>455.43099999999998</v>
      </c>
      <c r="Q176" s="21">
        <f t="shared" si="1626"/>
        <v>1536.7360000000001</v>
      </c>
      <c r="R176" s="21">
        <f t="shared" si="1626"/>
        <v>806.52199999999993</v>
      </c>
      <c r="S176" s="21">
        <f t="shared" si="1626"/>
        <v>711.75900000000001</v>
      </c>
      <c r="T176" s="21">
        <f t="shared" si="1626"/>
        <v>1025.1030000000001</v>
      </c>
      <c r="U176" s="21">
        <f t="shared" si="1626"/>
        <v>1329.653</v>
      </c>
      <c r="V176" s="21">
        <f t="shared" si="1626"/>
        <v>1427.528</v>
      </c>
      <c r="W176" s="21">
        <f t="shared" ref="W176" si="1627">SUM(W169:W175)</f>
        <v>1732.1570000000002</v>
      </c>
      <c r="X176" s="21">
        <f t="shared" ref="X176:Y176" si="1628">SUM(X169:X175)</f>
        <v>2371.0960000000005</v>
      </c>
      <c r="Y176" s="21">
        <f t="shared" si="1628"/>
        <v>2565.1320000000001</v>
      </c>
      <c r="Z176" s="21">
        <f t="shared" ref="Z176" si="1629">SUM(Z169:Z175)</f>
        <v>3552.1010000000001</v>
      </c>
      <c r="AA176" s="20">
        <f t="shared" ref="AA176:AD176" si="1630">SUM(AA169:AA175)</f>
        <v>3180.89</v>
      </c>
      <c r="AB176" s="20">
        <f t="shared" si="1630"/>
        <v>2762.9854113523097</v>
      </c>
      <c r="AC176" s="20">
        <f t="shared" si="1630"/>
        <v>3186.4936428346505</v>
      </c>
      <c r="AD176" s="20">
        <f t="shared" si="1630"/>
        <v>3434.2564060022692</v>
      </c>
      <c r="AE176" s="20">
        <f t="shared" ref="AE176" si="1631">SUM(AE169:AE175)</f>
        <v>4139.3025490297114</v>
      </c>
      <c r="AI176" s="21">
        <f t="shared" ref="AI176:AL176" si="1632">SUM(AI169:AI175)</f>
        <v>0</v>
      </c>
      <c r="AJ176" s="21" t="e">
        <f t="shared" si="1632"/>
        <v>#DIV/0!</v>
      </c>
      <c r="AK176" s="21">
        <f t="shared" si="1632"/>
        <v>0</v>
      </c>
      <c r="AL176" s="21" t="e">
        <f t="shared" si="1632"/>
        <v>#DIV/0!</v>
      </c>
      <c r="AM176" s="21">
        <f t="shared" ref="AM176:AP176" si="1633">SUM(AM169:AM175)</f>
        <v>0</v>
      </c>
      <c r="AN176" s="21" t="e">
        <f t="shared" si="1633"/>
        <v>#DIV/0!</v>
      </c>
      <c r="AO176" s="21">
        <f t="shared" si="1633"/>
        <v>0</v>
      </c>
      <c r="AP176" s="21" t="e">
        <f t="shared" si="1633"/>
        <v>#DIV/0!</v>
      </c>
      <c r="AQ176" s="21">
        <f t="shared" ref="AQ176:AT176" si="1634">SUM(AQ169:AQ175)</f>
        <v>0</v>
      </c>
      <c r="AR176" s="21" t="e">
        <f t="shared" si="1634"/>
        <v>#DIV/0!</v>
      </c>
      <c r="AS176" s="21">
        <f t="shared" si="1634"/>
        <v>0</v>
      </c>
      <c r="AT176" s="21" t="e">
        <f t="shared" si="1634"/>
        <v>#DIV/0!</v>
      </c>
      <c r="AU176" s="21">
        <f t="shared" ref="AU176:AX176" si="1635">SUM(AU169:AU175)</f>
        <v>0</v>
      </c>
      <c r="AV176" s="21" t="e">
        <f t="shared" si="1635"/>
        <v>#DIV/0!</v>
      </c>
      <c r="AW176" s="21">
        <f t="shared" si="1635"/>
        <v>1782.1499999999999</v>
      </c>
      <c r="AX176" s="21">
        <f t="shared" si="1635"/>
        <v>2007.9291787405621</v>
      </c>
      <c r="AY176" s="21">
        <f t="shared" ref="AY176:BB176" si="1636">SUM(AY169:AY175)</f>
        <v>0</v>
      </c>
      <c r="AZ176" s="21">
        <f t="shared" si="1636"/>
        <v>0</v>
      </c>
      <c r="BA176" s="21">
        <f t="shared" si="1636"/>
        <v>1743.78</v>
      </c>
      <c r="BB176" s="21">
        <f t="shared" si="1636"/>
        <v>1964.0612740328345</v>
      </c>
      <c r="BC176" s="21">
        <f t="shared" ref="BC176:BF176" si="1637">SUM(BC169:BC175)</f>
        <v>1616.7089999999998</v>
      </c>
      <c r="BD176" s="21">
        <f t="shared" si="1637"/>
        <v>1464.1210163877381</v>
      </c>
      <c r="BE176" s="21">
        <f t="shared" si="1637"/>
        <v>1320.7280000000001</v>
      </c>
      <c r="BF176" s="21">
        <f t="shared" si="1637"/>
        <v>1514.4299933684538</v>
      </c>
      <c r="BG176" s="21">
        <f t="shared" ref="BG176:BJ176" si="1638">SUM(BG169:BG175)</f>
        <v>1607.2489999999998</v>
      </c>
      <c r="BH176" s="21">
        <f t="shared" si="1638"/>
        <v>1422.9436748528715</v>
      </c>
      <c r="BI176" s="21">
        <f t="shared" si="1638"/>
        <v>1475.2460000000001</v>
      </c>
      <c r="BJ176" s="21">
        <f t="shared" si="1638"/>
        <v>1693.8963908861303</v>
      </c>
      <c r="BK176" s="21">
        <f t="shared" ref="BK176:BN176" si="1639">SUM(BK169:BK175)</f>
        <v>2456.393</v>
      </c>
      <c r="BL176" s="21">
        <f t="shared" si="1639"/>
        <v>2207.8983237044613</v>
      </c>
      <c r="BM176" s="21">
        <f t="shared" si="1639"/>
        <v>1924.296</v>
      </c>
      <c r="BN176" s="21">
        <f t="shared" si="1639"/>
        <v>2092.6572106467343</v>
      </c>
      <c r="BO176" s="21">
        <f t="shared" ref="BO176:BR176" si="1640">SUM(BO169:BO175)</f>
        <v>2500.2909999999997</v>
      </c>
      <c r="BP176" s="21">
        <f t="shared" si="1640"/>
        <v>2543.867357070043</v>
      </c>
      <c r="BQ176" s="21">
        <f t="shared" si="1640"/>
        <v>1950.171</v>
      </c>
      <c r="BR176" s="21">
        <f t="shared" si="1640"/>
        <v>2286.8030818869283</v>
      </c>
      <c r="BS176" s="21">
        <f t="shared" ref="BS176:BV176" si="1641">SUM(BS169:BS175)</f>
        <v>2741.6580000000004</v>
      </c>
      <c r="BT176" s="21">
        <f t="shared" si="1641"/>
        <v>2722.4719160272634</v>
      </c>
      <c r="BU176" s="21">
        <f t="shared" si="1641"/>
        <v>1732.1569999999999</v>
      </c>
      <c r="BV176" s="21">
        <f t="shared" si="1641"/>
        <v>2160.6502629897059</v>
      </c>
      <c r="BW176" s="21">
        <f t="shared" ref="BW176:BZ176" si="1642">SUM(BW169:BW175)</f>
        <v>2510.7169999999996</v>
      </c>
      <c r="BX176" s="21">
        <f t="shared" si="1642"/>
        <v>2149.2267192049944</v>
      </c>
      <c r="BY176" s="21">
        <f t="shared" si="1642"/>
        <v>2371.0959999999995</v>
      </c>
      <c r="BZ176" s="21">
        <f t="shared" si="1642"/>
        <v>2968.4308022679415</v>
      </c>
      <c r="CA176" s="21">
        <f t="shared" ref="CA176:CD176" si="1643">SUM(CA169:CA175)</f>
        <v>2972.01</v>
      </c>
      <c r="CB176" s="21">
        <f t="shared" si="1643"/>
        <v>2618.2732423516609</v>
      </c>
      <c r="CC176" s="21">
        <f t="shared" si="1643"/>
        <v>2565.1320000000001</v>
      </c>
      <c r="CD176" s="21">
        <f t="shared" si="1643"/>
        <v>3005.5714859021405</v>
      </c>
      <c r="CE176" s="21">
        <f t="shared" ref="CE176" si="1644">SUM(CE169:CE175)</f>
        <v>3960.7089999999998</v>
      </c>
      <c r="CF176" s="21">
        <f t="shared" ref="CF176:CH176" si="1645">SUM(CF169:CF175)</f>
        <v>3474.9400058581841</v>
      </c>
      <c r="CG176" s="21">
        <f t="shared" ref="CG176" si="1646">SUM(CG169:CG175)</f>
        <v>3552.1010000000001</v>
      </c>
      <c r="CH176" s="21">
        <f t="shared" si="1645"/>
        <v>4267.1249507231614</v>
      </c>
      <c r="CI176" s="21">
        <f t="shared" ref="CI176:CJ176" si="1647">SUM(CI169:CI175)</f>
        <v>4026.0630000000001</v>
      </c>
      <c r="CJ176" s="21">
        <f t="shared" si="1647"/>
        <v>3592.6549089534992</v>
      </c>
      <c r="CK176" s="21">
        <f t="shared" ref="CK176:CL176" si="1648">SUM(CK169:CK175)</f>
        <v>3180.89</v>
      </c>
      <c r="CL176" s="21">
        <f t="shared" ref="CL176:DA176" si="1649">SUM(CL169:CL175)</f>
        <v>3695.1033808179536</v>
      </c>
      <c r="CM176" s="20">
        <f t="shared" si="1649"/>
        <v>4407.1744784974717</v>
      </c>
      <c r="CN176" s="20">
        <f t="shared" si="1649"/>
        <v>3152.7886051509754</v>
      </c>
      <c r="CO176" s="20">
        <f t="shared" si="1649"/>
        <v>2762.9854113523097</v>
      </c>
      <c r="CP176" s="20">
        <f t="shared" si="1649"/>
        <v>4374.9474623779424</v>
      </c>
      <c r="CQ176" s="20">
        <f t="shared" si="1649"/>
        <v>5090.6065847998079</v>
      </c>
      <c r="CR176" s="20">
        <f t="shared" si="1649"/>
        <v>3627.0438137339697</v>
      </c>
      <c r="CS176" s="20">
        <f t="shared" si="1649"/>
        <v>3186.4936428346505</v>
      </c>
      <c r="CT176" s="20">
        <f t="shared" si="1649"/>
        <v>4680.9441376101313</v>
      </c>
      <c r="CU176" s="20">
        <f t="shared" si="1649"/>
        <v>5462.6858837572245</v>
      </c>
      <c r="CV176" s="20">
        <f t="shared" si="1649"/>
        <v>3900.0719208135138</v>
      </c>
      <c r="CW176" s="20">
        <f t="shared" si="1649"/>
        <v>3434.2564060022692</v>
      </c>
      <c r="CX176" s="20">
        <f t="shared" si="1649"/>
        <v>5602.5444859812478</v>
      </c>
      <c r="CY176" s="20">
        <f t="shared" si="1649"/>
        <v>6550.322297092971</v>
      </c>
      <c r="CZ176" s="20">
        <f t="shared" si="1649"/>
        <v>4686.5556865386752</v>
      </c>
      <c r="DA176" s="20">
        <f t="shared" si="1649"/>
        <v>4139.3025490297114</v>
      </c>
      <c r="DB176"/>
      <c r="DD176" s="125"/>
    </row>
    <row r="177" spans="1:108" s="21" customFormat="1" x14ac:dyDescent="0.25">
      <c r="A177" s="21" t="s">
        <v>74</v>
      </c>
      <c r="B177" s="21">
        <f>B168-B176</f>
        <v>0</v>
      </c>
      <c r="C177" s="21">
        <f t="shared" ref="C177:V177" si="1650">C168-C176</f>
        <v>0</v>
      </c>
      <c r="D177" s="21">
        <f t="shared" si="1650"/>
        <v>0</v>
      </c>
      <c r="E177" s="21">
        <f t="shared" si="1650"/>
        <v>0</v>
      </c>
      <c r="F177" s="21">
        <f t="shared" si="1650"/>
        <v>20.248871999999999</v>
      </c>
      <c r="G177" s="21">
        <f t="shared" si="1650"/>
        <v>17.638515899999994</v>
      </c>
      <c r="H177" s="21">
        <f t="shared" si="1650"/>
        <v>13.567999400000005</v>
      </c>
      <c r="I177" s="21">
        <f t="shared" si="1650"/>
        <v>43.746051100000003</v>
      </c>
      <c r="J177" s="21">
        <f t="shared" si="1650"/>
        <v>128.66901559999999</v>
      </c>
      <c r="K177" s="21">
        <f t="shared" si="1650"/>
        <v>122.48449479999998</v>
      </c>
      <c r="L177" s="21">
        <f t="shared" si="1650"/>
        <v>168.27033270000001</v>
      </c>
      <c r="M177" s="21">
        <f t="shared" si="1650"/>
        <v>216.95300000000006</v>
      </c>
      <c r="N177" s="21">
        <f t="shared" si="1650"/>
        <v>242.47499999999997</v>
      </c>
      <c r="O177" s="21">
        <f t="shared" si="1650"/>
        <v>153.20499999999993</v>
      </c>
      <c r="P177" s="21">
        <f t="shared" si="1650"/>
        <v>118.44300000000004</v>
      </c>
      <c r="Q177" s="21">
        <f t="shared" si="1650"/>
        <v>-700.31900000000007</v>
      </c>
      <c r="R177" s="21">
        <f t="shared" si="1650"/>
        <v>134.25100000000009</v>
      </c>
      <c r="S177" s="21">
        <f t="shared" si="1650"/>
        <v>335.19900000000007</v>
      </c>
      <c r="T177" s="21">
        <f t="shared" si="1650"/>
        <v>128.84999999999991</v>
      </c>
      <c r="U177" s="21">
        <f t="shared" si="1650"/>
        <v>331.98800000000006</v>
      </c>
      <c r="V177" s="21">
        <f t="shared" si="1650"/>
        <v>354.35199999999986</v>
      </c>
      <c r="W177" s="21">
        <f t="shared" ref="W177" si="1651">W168-W176</f>
        <v>703.31999999999971</v>
      </c>
      <c r="X177" s="21">
        <f t="shared" ref="X177:Y177" si="1652">X168-X176</f>
        <v>1423.0239999999999</v>
      </c>
      <c r="Y177" s="21">
        <f t="shared" si="1652"/>
        <v>1809.7149999999997</v>
      </c>
      <c r="Z177" s="21">
        <f t="shared" ref="Z177" si="1653">Z168-Z176</f>
        <v>2494.1739999999995</v>
      </c>
      <c r="AA177" s="20">
        <f t="shared" ref="AA177:AD177" si="1654">AA168-AA176</f>
        <v>4526.3900000000012</v>
      </c>
      <c r="AB177" s="20">
        <f t="shared" si="1654"/>
        <v>2447.6359835403027</v>
      </c>
      <c r="AC177" s="20">
        <f t="shared" si="1654"/>
        <v>2822.8077026679634</v>
      </c>
      <c r="AD177" s="20">
        <f t="shared" si="1654"/>
        <v>3042.2924136688903</v>
      </c>
      <c r="AE177" s="20">
        <f t="shared" ref="AE177" si="1655">AE168-AE176</f>
        <v>3666.8691134371493</v>
      </c>
      <c r="AI177" s="21">
        <f t="shared" ref="AI177:AL177" si="1656">AI168-AI176</f>
        <v>0</v>
      </c>
      <c r="AJ177" s="21" t="e">
        <f t="shared" si="1656"/>
        <v>#DIV/0!</v>
      </c>
      <c r="AK177" s="21">
        <f t="shared" si="1656"/>
        <v>0</v>
      </c>
      <c r="AL177" s="21" t="e">
        <f t="shared" si="1656"/>
        <v>#DIV/0!</v>
      </c>
      <c r="AM177" s="21">
        <f t="shared" ref="AM177:AP177" si="1657">AM168-AM176</f>
        <v>0</v>
      </c>
      <c r="AN177" s="21" t="e">
        <f t="shared" si="1657"/>
        <v>#DIV/0!</v>
      </c>
      <c r="AO177" s="21">
        <f t="shared" si="1657"/>
        <v>0</v>
      </c>
      <c r="AP177" s="21" t="e">
        <f t="shared" si="1657"/>
        <v>#DIV/0!</v>
      </c>
      <c r="AQ177" s="21">
        <f t="shared" ref="AQ177:AT177" si="1658">AQ168-AQ176</f>
        <v>0</v>
      </c>
      <c r="AR177" s="21" t="e">
        <f t="shared" si="1658"/>
        <v>#DIV/0!</v>
      </c>
      <c r="AS177" s="21">
        <f t="shared" si="1658"/>
        <v>0</v>
      </c>
      <c r="AT177" s="21" t="e">
        <f t="shared" si="1658"/>
        <v>#DIV/0!</v>
      </c>
      <c r="AU177" s="21">
        <f t="shared" ref="AU177:AX177" si="1659">AU168-AU176</f>
        <v>0</v>
      </c>
      <c r="AV177" s="21" t="e">
        <f t="shared" si="1659"/>
        <v>#DIV/0!</v>
      </c>
      <c r="AW177" s="21">
        <f t="shared" si="1659"/>
        <v>-945.73299999999983</v>
      </c>
      <c r="AX177" s="21">
        <f t="shared" si="1659"/>
        <v>-532.21413093023762</v>
      </c>
      <c r="AY177" s="21">
        <f t="shared" ref="AY177:BB177" si="1660">AY168-AY176</f>
        <v>0</v>
      </c>
      <c r="AZ177" s="21">
        <f t="shared" si="1660"/>
        <v>0</v>
      </c>
      <c r="BA177" s="21">
        <f t="shared" si="1660"/>
        <v>-651.69499999999994</v>
      </c>
      <c r="BB177" s="21">
        <f t="shared" si="1660"/>
        <v>-374.41167853797242</v>
      </c>
      <c r="BC177" s="21">
        <f t="shared" ref="BC177:BF177" si="1661">BC168-BC176</f>
        <v>-425.81499999999983</v>
      </c>
      <c r="BD177" s="21">
        <f t="shared" si="1661"/>
        <v>-641.90661983384769</v>
      </c>
      <c r="BE177" s="21">
        <f t="shared" si="1661"/>
        <v>-273.77</v>
      </c>
      <c r="BF177" s="21">
        <f t="shared" si="1661"/>
        <v>130.17026502448221</v>
      </c>
      <c r="BG177" s="21">
        <f t="shared" ref="BG177:BJ177" si="1662">BG168-BG176</f>
        <v>-364.54899999999998</v>
      </c>
      <c r="BH177" s="21">
        <f t="shared" si="1662"/>
        <v>-528.06185588461653</v>
      </c>
      <c r="BI177" s="21">
        <f t="shared" si="1662"/>
        <v>-321.29299999999989</v>
      </c>
      <c r="BJ177" s="21">
        <f t="shared" si="1662"/>
        <v>-52.377389848993516</v>
      </c>
      <c r="BK177" s="21">
        <f t="shared" ref="BK177:BN177" si="1663">BK168-BK176</f>
        <v>-747.03599999999983</v>
      </c>
      <c r="BL177" s="21">
        <f t="shared" si="1663"/>
        <v>-917.62888207370293</v>
      </c>
      <c r="BM177" s="21">
        <f t="shared" si="1663"/>
        <v>-262.65499999999997</v>
      </c>
      <c r="BN177" s="21">
        <f t="shared" si="1663"/>
        <v>-59.488778882403494</v>
      </c>
      <c r="BO177" s="21">
        <f t="shared" ref="BO177:BR177" si="1664">BO168-BO176</f>
        <v>-745.70599999999968</v>
      </c>
      <c r="BP177" s="21">
        <f t="shared" si="1664"/>
        <v>-688.80792161086401</v>
      </c>
      <c r="BQ177" s="21">
        <f t="shared" si="1664"/>
        <v>-168.29099999999994</v>
      </c>
      <c r="BR177" s="21">
        <f t="shared" si="1664"/>
        <v>265.65456839401531</v>
      </c>
      <c r="BS177" s="21">
        <f t="shared" ref="BS177:BV177" si="1665">BS168-BS176</f>
        <v>-562.17800000000034</v>
      </c>
      <c r="BT177" s="21">
        <f t="shared" si="1665"/>
        <v>-597.63992539882474</v>
      </c>
      <c r="BU177" s="21">
        <f t="shared" si="1665"/>
        <v>1276.1189999999999</v>
      </c>
      <c r="BV177" s="21">
        <f t="shared" si="1665"/>
        <v>1852.6081250946208</v>
      </c>
      <c r="BW177" s="21">
        <f t="shared" ref="BW177:BZ177" si="1666">BW168-BW176</f>
        <v>1175.5220000000004</v>
      </c>
      <c r="BX177" s="21">
        <f t="shared" si="1666"/>
        <v>760.12767477416855</v>
      </c>
      <c r="BY177" s="21">
        <f t="shared" si="1666"/>
        <v>2338.5250000000005</v>
      </c>
      <c r="BZ177" s="21">
        <f t="shared" si="1666"/>
        <v>3403.0690289048252</v>
      </c>
      <c r="CA177" s="21">
        <f t="shared" ref="CA177:CD177" si="1667">CA168-CA176</f>
        <v>2033.9400000000005</v>
      </c>
      <c r="CB177" s="21">
        <f t="shared" si="1667"/>
        <v>1522.9934668666992</v>
      </c>
      <c r="CC177" s="21">
        <f t="shared" si="1667"/>
        <v>2844.422</v>
      </c>
      <c r="CD177" s="21">
        <f t="shared" si="1667"/>
        <v>3861.9052433058882</v>
      </c>
      <c r="CE177" s="21">
        <f t="shared" ref="CE177" si="1668">CE168-CE176</f>
        <v>3038.8939999999993</v>
      </c>
      <c r="CF177" s="21">
        <f t="shared" ref="CF177:CH177" si="1669">CF168-CF176</f>
        <v>2206.8325101117143</v>
      </c>
      <c r="CG177" s="21">
        <f t="shared" ref="CG177" si="1670">CG168-CG176</f>
        <v>2494.1739999999995</v>
      </c>
      <c r="CH177" s="21">
        <f t="shared" si="1669"/>
        <v>3445.7428797010698</v>
      </c>
      <c r="CI177" s="21">
        <f t="shared" ref="CI177:CJ177" si="1671">CI168-CI176</f>
        <v>3566.5539999999992</v>
      </c>
      <c r="CJ177" s="21">
        <f t="shared" si="1671"/>
        <v>2648.2549928161598</v>
      </c>
      <c r="CK177" s="21">
        <f t="shared" ref="CK177:CL177" si="1672">CK168-CK176</f>
        <v>4526.3900000000012</v>
      </c>
      <c r="CL177" s="21">
        <f t="shared" ref="CL177:DA177" si="1673">CL168-CL176</f>
        <v>3273.3679883473733</v>
      </c>
      <c r="CM177" s="20">
        <f t="shared" si="1673"/>
        <v>3904.1678595151288</v>
      </c>
      <c r="CN177" s="20">
        <f t="shared" si="1673"/>
        <v>2792.9495417373314</v>
      </c>
      <c r="CO177" s="20">
        <f t="shared" si="1673"/>
        <v>2447.6359835403027</v>
      </c>
      <c r="CP177" s="20">
        <f t="shared" si="1673"/>
        <v>3875.619028250152</v>
      </c>
      <c r="CQ177" s="20">
        <f t="shared" si="1673"/>
        <v>4509.5974100365756</v>
      </c>
      <c r="CR177" s="20">
        <f t="shared" si="1673"/>
        <v>3213.0763035869368</v>
      </c>
      <c r="CS177" s="20">
        <f t="shared" si="1673"/>
        <v>2822.8077026679634</v>
      </c>
      <c r="CT177" s="20">
        <f t="shared" si="1673"/>
        <v>4146.6912062155898</v>
      </c>
      <c r="CU177" s="20">
        <f t="shared" si="1673"/>
        <v>4839.2099650347891</v>
      </c>
      <c r="CV177" s="20">
        <f t="shared" si="1673"/>
        <v>3454.9427342456188</v>
      </c>
      <c r="CW177" s="20">
        <f t="shared" si="1673"/>
        <v>3042.2924136688903</v>
      </c>
      <c r="CX177" s="20">
        <f t="shared" si="1673"/>
        <v>4963.1060037198504</v>
      </c>
      <c r="CY177" s="20">
        <f t="shared" si="1673"/>
        <v>5802.7105363195042</v>
      </c>
      <c r="CZ177" s="20">
        <f t="shared" si="1673"/>
        <v>4151.6622889525697</v>
      </c>
      <c r="DA177" s="20">
        <f t="shared" si="1673"/>
        <v>3666.8691134371493</v>
      </c>
      <c r="DB177"/>
      <c r="DD177" s="125"/>
    </row>
    <row r="178" spans="1:108" s="22" customFormat="1" x14ac:dyDescent="0.25">
      <c r="AA178" s="23"/>
      <c r="AB178" s="23"/>
      <c r="AC178" s="23"/>
      <c r="AD178" s="23"/>
      <c r="AE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/>
      <c r="DD178" s="122"/>
    </row>
    <row r="179" spans="1:108" s="22" customFormat="1" outlineLevel="1" x14ac:dyDescent="0.25">
      <c r="A179" s="22" t="s">
        <v>75</v>
      </c>
      <c r="B179" s="22">
        <f>'Annual Raw'!C75</f>
        <v>0</v>
      </c>
      <c r="C179" s="22">
        <f>'Annual Raw'!D75</f>
        <v>0</v>
      </c>
      <c r="D179" s="22">
        <f>'Annual Raw'!E75</f>
        <v>0</v>
      </c>
      <c r="E179" s="22">
        <f>'Annual Raw'!F75</f>
        <v>0</v>
      </c>
      <c r="F179" s="22">
        <f>'Annual Raw'!G75</f>
        <v>0</v>
      </c>
      <c r="G179" s="22">
        <f>'Annual Raw'!H75</f>
        <v>0</v>
      </c>
      <c r="H179" s="22">
        <f>'Annual Raw'!I75</f>
        <v>0</v>
      </c>
      <c r="I179" s="22">
        <f>'Annual Raw'!J75</f>
        <v>0</v>
      </c>
      <c r="J179" s="22">
        <f>'Annual Raw'!K75</f>
        <v>0</v>
      </c>
      <c r="K179" s="22">
        <f>'Annual Raw'!L75</f>
        <v>0</v>
      </c>
      <c r="L179" s="22">
        <f>'Annual Raw'!M75</f>
        <v>0</v>
      </c>
      <c r="M179" s="22">
        <f>'Annual Raw'!N75</f>
        <v>0</v>
      </c>
      <c r="N179" s="22">
        <f>'Annual Raw'!O75</f>
        <v>1E-3</v>
      </c>
      <c r="O179" s="22">
        <f>'Annual Raw'!P75</f>
        <v>1E-3</v>
      </c>
      <c r="P179" s="22">
        <f>'Annual Raw'!Q75</f>
        <v>301.98</v>
      </c>
      <c r="Q179" s="22">
        <f>'Annual Raw'!R75</f>
        <v>1E-3</v>
      </c>
      <c r="R179" s="22">
        <f>'Annual Raw'!S75</f>
        <v>0</v>
      </c>
      <c r="S179" s="22">
        <f>'Annual Raw'!T75</f>
        <v>0</v>
      </c>
      <c r="T179" s="22">
        <f>'Annual Raw'!U75</f>
        <v>0</v>
      </c>
      <c r="U179" s="22">
        <f>'Annual Raw'!V75</f>
        <v>0</v>
      </c>
      <c r="V179" s="22">
        <f>'Annual Raw'!W75</f>
        <v>0</v>
      </c>
      <c r="W179" s="22">
        <f>'Annual Raw'!X75</f>
        <v>0</v>
      </c>
      <c r="X179" s="22">
        <f>'Annual Raw'!Y75</f>
        <v>0</v>
      </c>
      <c r="Y179" s="22">
        <f>'Annual Raw'!Z75</f>
        <v>0</v>
      </c>
      <c r="Z179" s="22">
        <f>'Annual Raw'!AA75</f>
        <v>0</v>
      </c>
      <c r="AA179" s="23">
        <f t="shared" ref="AA179:AA180" si="1674">+CK179</f>
        <v>0</v>
      </c>
      <c r="AB179" s="23">
        <f t="shared" ref="AB179:AB180" si="1675">+CO179</f>
        <v>0</v>
      </c>
      <c r="AC179" s="23">
        <f t="shared" ref="AC179:AC180" si="1676">+CS179</f>
        <v>0</v>
      </c>
      <c r="AD179" s="23">
        <f t="shared" ref="AD179:AD180" si="1677">+CW179</f>
        <v>0</v>
      </c>
      <c r="AE179" s="23">
        <f t="shared" ref="AE179:AE180" si="1678">+DA179</f>
        <v>0</v>
      </c>
      <c r="AI179" s="22">
        <f>+'QTR Raw'!C80</f>
        <v>0</v>
      </c>
      <c r="AK179" s="22">
        <f>+'QTR Raw'!E80</f>
        <v>0</v>
      </c>
      <c r="AM179" s="22">
        <f>+'QTR Raw'!G80</f>
        <v>0</v>
      </c>
      <c r="AO179" s="22">
        <f>+'QTR Raw'!I80</f>
        <v>0</v>
      </c>
      <c r="AQ179" s="22">
        <f>+'QTR Raw'!K80</f>
        <v>0</v>
      </c>
      <c r="AS179" s="22">
        <f>+'QTR Raw'!M80</f>
        <v>0</v>
      </c>
      <c r="AU179" s="22">
        <f>+'QTR Raw'!O80</f>
        <v>0</v>
      </c>
      <c r="AW179" s="22">
        <f>+'QTR Raw'!Q80</f>
        <v>1E-3</v>
      </c>
      <c r="AY179" s="22">
        <f>+'QTR Raw'!S80</f>
        <v>0</v>
      </c>
      <c r="BA179" s="22">
        <f>+'QTR Raw'!U80</f>
        <v>1E-3</v>
      </c>
      <c r="BC179" s="22">
        <f>+'QTR Raw'!W80</f>
        <v>1E-3</v>
      </c>
      <c r="BE179" s="22">
        <f>+'QTR Raw'!Y80</f>
        <v>0</v>
      </c>
      <c r="BG179" s="22">
        <f>+'QTR Raw'!AA80</f>
        <v>0</v>
      </c>
      <c r="BI179" s="22">
        <f>+'QTR Raw'!AC80</f>
        <v>0</v>
      </c>
      <c r="BK179" s="22">
        <f>+'QTR Raw'!AE80</f>
        <v>0</v>
      </c>
      <c r="BM179" s="22">
        <f>+'QTR Raw'!AG80</f>
        <v>0</v>
      </c>
      <c r="BO179" s="22">
        <f>+'QTR Raw'!AI80</f>
        <v>0</v>
      </c>
      <c r="BQ179" s="22">
        <f>+'QTR Raw'!AK80</f>
        <v>0</v>
      </c>
      <c r="BS179" s="22">
        <f>+'QTR Raw'!AM80</f>
        <v>0</v>
      </c>
      <c r="BU179" s="22">
        <f>+'QTR Raw'!AO80</f>
        <v>0</v>
      </c>
      <c r="BW179" s="22">
        <f>+'QTR Raw'!AQ80</f>
        <v>0</v>
      </c>
      <c r="BY179" s="22">
        <f>+'QTR Raw'!AS80</f>
        <v>0</v>
      </c>
      <c r="CA179" s="22">
        <f>+'QTR Raw'!AU80</f>
        <v>0</v>
      </c>
      <c r="CC179" s="22">
        <f>+'QTR Raw'!AW80</f>
        <v>0</v>
      </c>
      <c r="CE179" s="22">
        <f>+'QTR Raw'!AY80</f>
        <v>0</v>
      </c>
      <c r="CG179" s="22">
        <f t="shared" ref="CG179:CG180" si="1679">+Z179</f>
        <v>0</v>
      </c>
      <c r="CI179" s="22">
        <f>+'QTR Raw'!BC80</f>
        <v>0</v>
      </c>
      <c r="CK179" s="22">
        <f>+'QTR Raw'!BE80</f>
        <v>0</v>
      </c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/>
      <c r="DD179" s="122"/>
    </row>
    <row r="180" spans="1:108" s="22" customFormat="1" outlineLevel="1" x14ac:dyDescent="0.25">
      <c r="A180" s="22" t="s">
        <v>76</v>
      </c>
      <c r="B180" s="22">
        <f>'Annual Raw'!C78</f>
        <v>0</v>
      </c>
      <c r="C180" s="22">
        <f>'Annual Raw'!D78</f>
        <v>0</v>
      </c>
      <c r="D180" s="22">
        <f>'Annual Raw'!E78</f>
        <v>0</v>
      </c>
      <c r="E180" s="22">
        <f>'Annual Raw'!F78</f>
        <v>0</v>
      </c>
      <c r="F180" s="22">
        <f>'Annual Raw'!G78</f>
        <v>1.7700400000000001</v>
      </c>
      <c r="G180" s="22">
        <f>'Annual Raw'!H78</f>
        <v>4.8681732999999996</v>
      </c>
      <c r="H180" s="22">
        <f>'Annual Raw'!I78</f>
        <v>14.961001400000001</v>
      </c>
      <c r="I180" s="22">
        <f>'Annual Raw'!J78</f>
        <v>4.5311630999999997</v>
      </c>
      <c r="J180" s="22">
        <f>'Annual Raw'!K78</f>
        <v>4.1210351999999997</v>
      </c>
      <c r="K180" s="22">
        <f>'Annual Raw'!L78</f>
        <v>11.8001743</v>
      </c>
      <c r="L180" s="22">
        <f>'Annual Raw'!M78</f>
        <v>18.489582800000001</v>
      </c>
      <c r="M180" s="22">
        <f>'Annual Raw'!N78</f>
        <v>3.7770000000000001</v>
      </c>
      <c r="N180" s="22">
        <f>'Annual Raw'!O78</f>
        <v>38.384</v>
      </c>
      <c r="O180" s="22">
        <f>'Annual Raw'!P78</f>
        <v>50.896000000000001</v>
      </c>
      <c r="P180" s="22">
        <f>'Annual Raw'!Q78</f>
        <v>34.408999999999999</v>
      </c>
      <c r="Q180" s="22">
        <f>'Annual Raw'!R78</f>
        <v>58.073</v>
      </c>
      <c r="R180" s="22">
        <f>'Annual Raw'!S78</f>
        <v>65.701999999999998</v>
      </c>
      <c r="S180" s="22">
        <f>'Annual Raw'!T78</f>
        <v>94.46</v>
      </c>
      <c r="T180" s="22">
        <f>'Annual Raw'!U78</f>
        <v>93.48</v>
      </c>
      <c r="U180" s="22">
        <f>'Annual Raw'!V78</f>
        <v>171.077</v>
      </c>
      <c r="V180" s="22">
        <f>'Annual Raw'!W78</f>
        <v>190.05</v>
      </c>
      <c r="W180" s="22">
        <f>'Annual Raw'!X78</f>
        <v>336.62200000000001</v>
      </c>
      <c r="X180" s="22">
        <f>'Annual Raw'!Y78</f>
        <v>285.267</v>
      </c>
      <c r="Y180" s="22">
        <f>'Annual Raw'!Z78</f>
        <v>459.86200000000002</v>
      </c>
      <c r="Z180" s="22">
        <f>'Annual Raw'!AA78</f>
        <v>2450.0540000000001</v>
      </c>
      <c r="AA180" s="23">
        <f t="shared" si="1674"/>
        <v>1998.491</v>
      </c>
      <c r="AB180" s="23">
        <f t="shared" si="1675"/>
        <v>7014.2925121293265</v>
      </c>
      <c r="AC180" s="23">
        <f t="shared" si="1676"/>
        <v>10537.567899691163</v>
      </c>
      <c r="AD180" s="23">
        <f t="shared" si="1677"/>
        <v>14581.192063240751</v>
      </c>
      <c r="AE180" s="23">
        <f t="shared" si="1678"/>
        <v>19501.049246100454</v>
      </c>
      <c r="AI180" s="22">
        <f>+'QTR Raw'!C83</f>
        <v>0</v>
      </c>
      <c r="AJ180" s="22" t="e">
        <f t="shared" ref="AJ180" si="1680">+AJ230</f>
        <v>#DIV/0!</v>
      </c>
      <c r="AK180" s="22">
        <f>+'QTR Raw'!E83</f>
        <v>0</v>
      </c>
      <c r="AL180" s="22" t="e">
        <f t="shared" ref="AL180" si="1681">+AL230</f>
        <v>#DIV/0!</v>
      </c>
      <c r="AM180" s="22">
        <f>+'QTR Raw'!G83</f>
        <v>0</v>
      </c>
      <c r="AN180" s="22" t="e">
        <f t="shared" ref="AN180" si="1682">+AN230</f>
        <v>#DIV/0!</v>
      </c>
      <c r="AO180" s="22">
        <f>+'QTR Raw'!I83</f>
        <v>0</v>
      </c>
      <c r="AP180" s="22" t="e">
        <f t="shared" ref="AP180" si="1683">+AP230</f>
        <v>#DIV/0!</v>
      </c>
      <c r="AQ180" s="22">
        <f>+'QTR Raw'!K83</f>
        <v>0</v>
      </c>
      <c r="AR180" s="22" t="e">
        <f t="shared" ref="AR180" si="1684">+AR230</f>
        <v>#DIV/0!</v>
      </c>
      <c r="AS180" s="22">
        <f>+'QTR Raw'!M83</f>
        <v>0</v>
      </c>
      <c r="AT180" s="22" t="e">
        <f t="shared" ref="AT180" si="1685">+AT230</f>
        <v>#DIV/0!</v>
      </c>
      <c r="AU180" s="22">
        <f>+'QTR Raw'!O83</f>
        <v>0</v>
      </c>
      <c r="AV180" s="22" t="e">
        <f t="shared" ref="AV180" si="1686">+AV230</f>
        <v>#DIV/0!</v>
      </c>
      <c r="AW180" s="22">
        <f>+'QTR Raw'!Q83</f>
        <v>58.073</v>
      </c>
      <c r="AX180" s="22">
        <f t="shared" ref="AX180" si="1687">+AX230</f>
        <v>-407.23086906976215</v>
      </c>
      <c r="AY180" s="22">
        <f>+'QTR Raw'!S83</f>
        <v>0</v>
      </c>
      <c r="AZ180" s="22">
        <f t="shared" ref="AZ180" si="1688">+AZ230</f>
        <v>10.303000000000083</v>
      </c>
      <c r="BA180" s="22">
        <f>+'QTR Raw'!U83</f>
        <v>65.701999999999998</v>
      </c>
      <c r="BB180" s="22">
        <f t="shared" ref="BB180" si="1689">+BB230</f>
        <v>-207.07232146202776</v>
      </c>
      <c r="BC180" s="22">
        <f>+'QTR Raw'!W83</f>
        <v>117.667</v>
      </c>
      <c r="BD180" s="22">
        <f t="shared" ref="BD180" si="1690">+BD230</f>
        <v>366.64061983384789</v>
      </c>
      <c r="BE180" s="22">
        <f>+'QTR Raw'!Y83</f>
        <v>94.46</v>
      </c>
      <c r="BF180" s="22">
        <f t="shared" ref="BF180" si="1691">+BF230</f>
        <v>-290.8482650244822</v>
      </c>
      <c r="BG180" s="22">
        <f>+'QTR Raw'!AA83</f>
        <v>113.071</v>
      </c>
      <c r="BH180" s="22">
        <f t="shared" ref="BH180" si="1692">+BH230</f>
        <v>318.85885588461588</v>
      </c>
      <c r="BI180" s="22">
        <f>+'QTR Raw'!AC83</f>
        <v>93.48</v>
      </c>
      <c r="BJ180" s="22">
        <f t="shared" ref="BJ180" si="1693">+BJ230</f>
        <v>-134.80961015100593</v>
      </c>
      <c r="BK180" s="22">
        <f>+'QTR Raw'!AE83</f>
        <v>152.32400000000001</v>
      </c>
      <c r="BL180" s="22">
        <f t="shared" ref="BL180" si="1694">+BL230</f>
        <v>403.64888207370308</v>
      </c>
      <c r="BM180" s="22">
        <f>+'QTR Raw'!AG83</f>
        <v>171.077</v>
      </c>
      <c r="BN180" s="22">
        <f t="shared" ref="BN180" si="1695">+BN230</f>
        <v>22.829778882403559</v>
      </c>
      <c r="BO180" s="22">
        <f>+'QTR Raw'!AI83</f>
        <v>211.916</v>
      </c>
      <c r="BP180" s="22">
        <f t="shared" ref="BP180" si="1696">+BP230</f>
        <v>308.04892161086406</v>
      </c>
      <c r="BQ180" s="22">
        <f>+'QTR Raw'!AK83</f>
        <v>190.05</v>
      </c>
      <c r="BR180" s="22">
        <f t="shared" ref="BR180" si="1697">+BR230</f>
        <v>-114.64056839401468</v>
      </c>
      <c r="BS180" s="22">
        <f>+'QTR Raw'!AM83</f>
        <v>148.36500000000001</v>
      </c>
      <c r="BT180" s="22">
        <f t="shared" ref="BT180" si="1698">+BT230</f>
        <v>423.96792539882438</v>
      </c>
      <c r="BU180" s="22">
        <f>+'QTR Raw'!AO83</f>
        <v>336.62200000000001</v>
      </c>
      <c r="BV180" s="22">
        <f t="shared" ref="BV180" si="1699">+BV230</f>
        <v>14.339874905378622</v>
      </c>
      <c r="BW180" s="22">
        <f>+'QTR Raw'!AQ83</f>
        <v>301.54599999999999</v>
      </c>
      <c r="BX180" s="22">
        <f t="shared" ref="BX180" si="1700">+BX230</f>
        <v>1097.9773252258317</v>
      </c>
      <c r="BY180" s="22">
        <f>+'QTR Raw'!AS83</f>
        <v>285.267</v>
      </c>
      <c r="BZ180" s="22">
        <f t="shared" ref="BZ180" si="1701">+BZ230</f>
        <v>-350.20502890482391</v>
      </c>
      <c r="CA180" s="22">
        <f>+'QTR Raw'!AU83</f>
        <v>312.22800000000001</v>
      </c>
      <c r="CB180" s="22">
        <f t="shared" ref="CB180" si="1702">+CB230</f>
        <v>1324.2415331333013</v>
      </c>
      <c r="CC180" s="22">
        <f>+'QTR Raw'!AW83</f>
        <v>459.86200000000002</v>
      </c>
      <c r="CD180" s="22">
        <f t="shared" ref="CD180" si="1703">+CD230</f>
        <v>-20.350243305889023</v>
      </c>
      <c r="CE180" s="22">
        <f>+'QTR Raw'!AY83</f>
        <v>407.74799999999999</v>
      </c>
      <c r="CF180" s="22">
        <f t="shared" ref="CF180:CH180" si="1704">+CF230</f>
        <v>1859.422489888284</v>
      </c>
      <c r="CG180" s="22">
        <f t="shared" si="1679"/>
        <v>2450.0540000000001</v>
      </c>
      <c r="CH180" s="22">
        <f t="shared" si="1704"/>
        <v>2224.9731202989283</v>
      </c>
      <c r="CI180" s="22">
        <f>+'QTR Raw'!BC83</f>
        <v>2148.9690000000001</v>
      </c>
      <c r="CJ180" s="22">
        <f t="shared" ref="CJ180" si="1705">+CJ230</f>
        <v>3808.45800718384</v>
      </c>
      <c r="CK180" s="22">
        <f>+'QTR Raw'!BE83</f>
        <v>1998.491</v>
      </c>
      <c r="CL180" s="22">
        <f t="shared" ref="CL180:DA180" si="1706">+CL230</f>
        <v>4123.8680116526284</v>
      </c>
      <c r="CM180" s="23">
        <f t="shared" si="1706"/>
        <v>4513.8920748696946</v>
      </c>
      <c r="CN180" s="23">
        <f t="shared" si="1706"/>
        <v>6200.9181095575104</v>
      </c>
      <c r="CO180" s="23">
        <f t="shared" si="1706"/>
        <v>7014.2925121293265</v>
      </c>
      <c r="CP180" s="23">
        <f t="shared" si="1706"/>
        <v>6651.2736683240209</v>
      </c>
      <c r="CQ180" s="23">
        <f t="shared" si="1706"/>
        <v>7316.4011555272009</v>
      </c>
      <c r="CR180" s="23">
        <f t="shared" si="1706"/>
        <v>9454.1346917737446</v>
      </c>
      <c r="CS180" s="23">
        <f t="shared" si="1706"/>
        <v>10537.567899691163</v>
      </c>
      <c r="CT180" s="23">
        <f t="shared" si="1706"/>
        <v>10374.86724669565</v>
      </c>
      <c r="CU180" s="23">
        <f t="shared" si="1706"/>
        <v>11081.094841389719</v>
      </c>
      <c r="CV180" s="23">
        <f t="shared" si="1706"/>
        <v>13373.917397286434</v>
      </c>
      <c r="CW180" s="23">
        <f t="shared" si="1706"/>
        <v>14581.192063240751</v>
      </c>
      <c r="CX180" s="23">
        <f t="shared" si="1706"/>
        <v>14149.99271858427</v>
      </c>
      <c r="CY180" s="23">
        <f t="shared" si="1706"/>
        <v>15089.648281881995</v>
      </c>
      <c r="CZ180" s="23">
        <f t="shared" si="1706"/>
        <v>17947.010376005386</v>
      </c>
      <c r="DA180" s="23">
        <f t="shared" si="1706"/>
        <v>19501.049246100454</v>
      </c>
      <c r="DB180"/>
      <c r="DD180" s="122"/>
    </row>
    <row r="181" spans="1:108" s="21" customFormat="1" x14ac:dyDescent="0.25">
      <c r="A181" s="21" t="s">
        <v>77</v>
      </c>
      <c r="B181" s="21">
        <f>B179+B180</f>
        <v>0</v>
      </c>
      <c r="C181" s="21">
        <f t="shared" ref="C181:V181" si="1707">C179+C180</f>
        <v>0</v>
      </c>
      <c r="D181" s="21">
        <f t="shared" si="1707"/>
        <v>0</v>
      </c>
      <c r="E181" s="21">
        <f t="shared" si="1707"/>
        <v>0</v>
      </c>
      <c r="F181" s="21">
        <f t="shared" si="1707"/>
        <v>1.7700400000000001</v>
      </c>
      <c r="G181" s="21">
        <f t="shared" si="1707"/>
        <v>4.8681732999999996</v>
      </c>
      <c r="H181" s="21">
        <f t="shared" si="1707"/>
        <v>14.961001400000001</v>
      </c>
      <c r="I181" s="21">
        <f t="shared" si="1707"/>
        <v>4.5311630999999997</v>
      </c>
      <c r="J181" s="21">
        <f t="shared" si="1707"/>
        <v>4.1210351999999997</v>
      </c>
      <c r="K181" s="21">
        <f t="shared" si="1707"/>
        <v>11.8001743</v>
      </c>
      <c r="L181" s="21">
        <f t="shared" si="1707"/>
        <v>18.489582800000001</v>
      </c>
      <c r="M181" s="21">
        <f t="shared" si="1707"/>
        <v>3.7770000000000001</v>
      </c>
      <c r="N181" s="21">
        <f t="shared" si="1707"/>
        <v>38.384999999999998</v>
      </c>
      <c r="O181" s="21">
        <f t="shared" si="1707"/>
        <v>50.896999999999998</v>
      </c>
      <c r="P181" s="21">
        <f t="shared" si="1707"/>
        <v>336.38900000000001</v>
      </c>
      <c r="Q181" s="21">
        <f t="shared" si="1707"/>
        <v>58.073999999999998</v>
      </c>
      <c r="R181" s="21">
        <f t="shared" si="1707"/>
        <v>65.701999999999998</v>
      </c>
      <c r="S181" s="21">
        <f t="shared" si="1707"/>
        <v>94.46</v>
      </c>
      <c r="T181" s="21">
        <f t="shared" si="1707"/>
        <v>93.48</v>
      </c>
      <c r="U181" s="21">
        <f t="shared" si="1707"/>
        <v>171.077</v>
      </c>
      <c r="V181" s="21">
        <f t="shared" si="1707"/>
        <v>190.05</v>
      </c>
      <c r="W181" s="21">
        <f t="shared" ref="W181" si="1708">W179+W180</f>
        <v>336.62200000000001</v>
      </c>
      <c r="X181" s="21">
        <f t="shared" ref="X181:Y181" si="1709">X179+X180</f>
        <v>285.267</v>
      </c>
      <c r="Y181" s="21">
        <f t="shared" si="1709"/>
        <v>459.86200000000002</v>
      </c>
      <c r="Z181" s="21">
        <f t="shared" ref="Z181" si="1710">Z179+Z180</f>
        <v>2450.0540000000001</v>
      </c>
      <c r="AA181" s="20">
        <f t="shared" ref="AA181:AD181" si="1711">AA179+AA180</f>
        <v>1998.491</v>
      </c>
      <c r="AB181" s="20">
        <f t="shared" si="1711"/>
        <v>7014.2925121293265</v>
      </c>
      <c r="AC181" s="20">
        <f t="shared" si="1711"/>
        <v>10537.567899691163</v>
      </c>
      <c r="AD181" s="20">
        <f t="shared" si="1711"/>
        <v>14581.192063240751</v>
      </c>
      <c r="AE181" s="20">
        <f t="shared" ref="AE181" si="1712">AE179+AE180</f>
        <v>19501.049246100454</v>
      </c>
      <c r="AI181" s="21">
        <f t="shared" ref="AI181:AL181" si="1713">AI179+AI180</f>
        <v>0</v>
      </c>
      <c r="AJ181" s="21" t="e">
        <f t="shared" si="1713"/>
        <v>#DIV/0!</v>
      </c>
      <c r="AK181" s="21">
        <f t="shared" si="1713"/>
        <v>0</v>
      </c>
      <c r="AL181" s="21" t="e">
        <f t="shared" si="1713"/>
        <v>#DIV/0!</v>
      </c>
      <c r="AM181" s="21">
        <f t="shared" ref="AM181:AP181" si="1714">AM179+AM180</f>
        <v>0</v>
      </c>
      <c r="AN181" s="21" t="e">
        <f t="shared" si="1714"/>
        <v>#DIV/0!</v>
      </c>
      <c r="AO181" s="21">
        <f t="shared" si="1714"/>
        <v>0</v>
      </c>
      <c r="AP181" s="21" t="e">
        <f t="shared" si="1714"/>
        <v>#DIV/0!</v>
      </c>
      <c r="AQ181" s="21">
        <f t="shared" ref="AQ181:AT181" si="1715">AQ179+AQ180</f>
        <v>0</v>
      </c>
      <c r="AR181" s="21" t="e">
        <f t="shared" si="1715"/>
        <v>#DIV/0!</v>
      </c>
      <c r="AS181" s="21">
        <f t="shared" si="1715"/>
        <v>0</v>
      </c>
      <c r="AT181" s="21" t="e">
        <f t="shared" si="1715"/>
        <v>#DIV/0!</v>
      </c>
      <c r="AU181" s="21">
        <f t="shared" ref="AU181:AX181" si="1716">AU179+AU180</f>
        <v>0</v>
      </c>
      <c r="AV181" s="21" t="e">
        <f t="shared" si="1716"/>
        <v>#DIV/0!</v>
      </c>
      <c r="AW181" s="21">
        <f t="shared" si="1716"/>
        <v>58.073999999999998</v>
      </c>
      <c r="AX181" s="21">
        <f t="shared" si="1716"/>
        <v>-407.23086906976215</v>
      </c>
      <c r="AY181" s="21">
        <f t="shared" ref="AY181:BB181" si="1717">AY179+AY180</f>
        <v>0</v>
      </c>
      <c r="AZ181" s="21">
        <f t="shared" si="1717"/>
        <v>10.303000000000083</v>
      </c>
      <c r="BA181" s="21">
        <f t="shared" si="1717"/>
        <v>65.703000000000003</v>
      </c>
      <c r="BB181" s="21">
        <f t="shared" si="1717"/>
        <v>-207.07232146202776</v>
      </c>
      <c r="BC181" s="21">
        <f t="shared" ref="BC181:BF181" si="1718">BC179+BC180</f>
        <v>117.66800000000001</v>
      </c>
      <c r="BD181" s="21">
        <f t="shared" si="1718"/>
        <v>366.64061983384789</v>
      </c>
      <c r="BE181" s="21">
        <f t="shared" si="1718"/>
        <v>94.46</v>
      </c>
      <c r="BF181" s="21">
        <f t="shared" si="1718"/>
        <v>-290.8482650244822</v>
      </c>
      <c r="BG181" s="21">
        <f t="shared" ref="BG181:BJ181" si="1719">BG179+BG180</f>
        <v>113.071</v>
      </c>
      <c r="BH181" s="21">
        <f t="shared" si="1719"/>
        <v>318.85885588461588</v>
      </c>
      <c r="BI181" s="21">
        <f t="shared" si="1719"/>
        <v>93.48</v>
      </c>
      <c r="BJ181" s="21">
        <f t="shared" si="1719"/>
        <v>-134.80961015100593</v>
      </c>
      <c r="BK181" s="21">
        <f t="shared" ref="BK181:BN181" si="1720">BK179+BK180</f>
        <v>152.32400000000001</v>
      </c>
      <c r="BL181" s="21">
        <f t="shared" si="1720"/>
        <v>403.64888207370308</v>
      </c>
      <c r="BM181" s="21">
        <f t="shared" si="1720"/>
        <v>171.077</v>
      </c>
      <c r="BN181" s="21">
        <f t="shared" si="1720"/>
        <v>22.829778882403559</v>
      </c>
      <c r="BO181" s="21">
        <f t="shared" ref="BO181:BR181" si="1721">BO179+BO180</f>
        <v>211.916</v>
      </c>
      <c r="BP181" s="21">
        <f t="shared" si="1721"/>
        <v>308.04892161086406</v>
      </c>
      <c r="BQ181" s="21">
        <f t="shared" si="1721"/>
        <v>190.05</v>
      </c>
      <c r="BR181" s="21">
        <f t="shared" si="1721"/>
        <v>-114.64056839401468</v>
      </c>
      <c r="BS181" s="21">
        <f t="shared" ref="BS181:BV181" si="1722">BS179+BS180</f>
        <v>148.36500000000001</v>
      </c>
      <c r="BT181" s="21">
        <f t="shared" si="1722"/>
        <v>423.96792539882438</v>
      </c>
      <c r="BU181" s="21">
        <f t="shared" si="1722"/>
        <v>336.62200000000001</v>
      </c>
      <c r="BV181" s="21">
        <f t="shared" si="1722"/>
        <v>14.339874905378622</v>
      </c>
      <c r="BW181" s="21">
        <f t="shared" ref="BW181:BZ181" si="1723">BW179+BW180</f>
        <v>301.54599999999999</v>
      </c>
      <c r="BX181" s="21">
        <f t="shared" si="1723"/>
        <v>1097.9773252258317</v>
      </c>
      <c r="BY181" s="21">
        <f t="shared" si="1723"/>
        <v>285.267</v>
      </c>
      <c r="BZ181" s="21">
        <f t="shared" si="1723"/>
        <v>-350.20502890482391</v>
      </c>
      <c r="CA181" s="21">
        <f t="shared" ref="CA181:CD181" si="1724">CA179+CA180</f>
        <v>312.22800000000001</v>
      </c>
      <c r="CB181" s="21">
        <f t="shared" si="1724"/>
        <v>1324.2415331333013</v>
      </c>
      <c r="CC181" s="21">
        <f t="shared" si="1724"/>
        <v>459.86200000000002</v>
      </c>
      <c r="CD181" s="21">
        <f t="shared" si="1724"/>
        <v>-20.350243305889023</v>
      </c>
      <c r="CE181" s="21">
        <f t="shared" ref="CE181" si="1725">CE179+CE180</f>
        <v>407.74799999999999</v>
      </c>
      <c r="CF181" s="21">
        <f t="shared" ref="CF181:CH181" si="1726">CF179+CF180</f>
        <v>1859.422489888284</v>
      </c>
      <c r="CG181" s="21">
        <f t="shared" ref="CG181" si="1727">CG179+CG180</f>
        <v>2450.0540000000001</v>
      </c>
      <c r="CH181" s="21">
        <f t="shared" si="1726"/>
        <v>2224.9731202989283</v>
      </c>
      <c r="CI181" s="21">
        <f t="shared" ref="CI181:CJ181" si="1728">CI179+CI180</f>
        <v>2148.9690000000001</v>
      </c>
      <c r="CJ181" s="21">
        <f t="shared" si="1728"/>
        <v>3808.45800718384</v>
      </c>
      <c r="CK181" s="21">
        <f t="shared" ref="CK181:CL181" si="1729">CK179+CK180</f>
        <v>1998.491</v>
      </c>
      <c r="CL181" s="21">
        <f t="shared" ref="CL181:DA181" si="1730">CL179+CL180</f>
        <v>4123.8680116526284</v>
      </c>
      <c r="CM181" s="20">
        <f t="shared" si="1730"/>
        <v>4513.8920748696946</v>
      </c>
      <c r="CN181" s="20">
        <f t="shared" si="1730"/>
        <v>6200.9181095575104</v>
      </c>
      <c r="CO181" s="20">
        <f t="shared" si="1730"/>
        <v>7014.2925121293265</v>
      </c>
      <c r="CP181" s="20">
        <f t="shared" si="1730"/>
        <v>6651.2736683240209</v>
      </c>
      <c r="CQ181" s="20">
        <f t="shared" si="1730"/>
        <v>7316.4011555272009</v>
      </c>
      <c r="CR181" s="20">
        <f t="shared" si="1730"/>
        <v>9454.1346917737446</v>
      </c>
      <c r="CS181" s="20">
        <f t="shared" si="1730"/>
        <v>10537.567899691163</v>
      </c>
      <c r="CT181" s="20">
        <f t="shared" si="1730"/>
        <v>10374.86724669565</v>
      </c>
      <c r="CU181" s="20">
        <f t="shared" si="1730"/>
        <v>11081.094841389719</v>
      </c>
      <c r="CV181" s="20">
        <f t="shared" si="1730"/>
        <v>13373.917397286434</v>
      </c>
      <c r="CW181" s="20">
        <f t="shared" si="1730"/>
        <v>14581.192063240751</v>
      </c>
      <c r="CX181" s="20">
        <f t="shared" si="1730"/>
        <v>14149.99271858427</v>
      </c>
      <c r="CY181" s="20">
        <f t="shared" si="1730"/>
        <v>15089.648281881995</v>
      </c>
      <c r="CZ181" s="20">
        <f t="shared" si="1730"/>
        <v>17947.010376005386</v>
      </c>
      <c r="DA181" s="20">
        <f t="shared" si="1730"/>
        <v>19501.049246100454</v>
      </c>
      <c r="DB181"/>
      <c r="DD181" s="125"/>
    </row>
    <row r="182" spans="1:108" s="22" customFormat="1" x14ac:dyDescent="0.25">
      <c r="AA182" s="23"/>
      <c r="AB182" s="23"/>
      <c r="AC182" s="23"/>
      <c r="AD182" s="23"/>
      <c r="AE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/>
      <c r="DD182" s="122"/>
    </row>
    <row r="183" spans="1:108" s="22" customFormat="1" x14ac:dyDescent="0.25">
      <c r="A183" s="22" t="s">
        <v>78</v>
      </c>
      <c r="B183" s="22">
        <f>-'Annual Raw'!C49</f>
        <v>0</v>
      </c>
      <c r="C183" s="22">
        <f>-'Annual Raw'!D49</f>
        <v>0</v>
      </c>
      <c r="D183" s="22">
        <f>-'Annual Raw'!E49</f>
        <v>0</v>
      </c>
      <c r="E183" s="22">
        <f>-'Annual Raw'!F49</f>
        <v>0</v>
      </c>
      <c r="F183" s="22">
        <f>-'Annual Raw'!G49</f>
        <v>-37.210960300000004</v>
      </c>
      <c r="G183" s="22">
        <f>-'Annual Raw'!H49</f>
        <v>-44.297338799999999</v>
      </c>
      <c r="H183" s="22">
        <f>-'Annual Raw'!I49</f>
        <v>-46.438748199999999</v>
      </c>
      <c r="I183" s="22">
        <f>-'Annual Raw'!J49</f>
        <v>-50.766549300000001</v>
      </c>
      <c r="J183" s="22">
        <f>-'Annual Raw'!K49</f>
        <v>-55.055435500000002</v>
      </c>
      <c r="K183" s="22">
        <f>-'Annual Raw'!L49</f>
        <v>-63.576663699999997</v>
      </c>
      <c r="L183" s="22">
        <f>-'Annual Raw'!M49</f>
        <v>-66.352439200000006</v>
      </c>
      <c r="M183" s="22">
        <f>-'Annual Raw'!N49</f>
        <v>-70.173000000000002</v>
      </c>
      <c r="N183" s="22">
        <f>-'Annual Raw'!O49</f>
        <v>-71.129000000000005</v>
      </c>
      <c r="O183" s="22">
        <f>-'Annual Raw'!P49</f>
        <v>-60.024999999999999</v>
      </c>
      <c r="P183" s="22">
        <f>-'Annual Raw'!Q49</f>
        <v>-77.811999999999998</v>
      </c>
      <c r="Q183" s="22">
        <f>-'Annual Raw'!R49</f>
        <v>-142.88499999999999</v>
      </c>
      <c r="R183" s="22">
        <f>-'Annual Raw'!S49</f>
        <v>-121.804</v>
      </c>
      <c r="S183" s="22">
        <f>-'Annual Raw'!T49</f>
        <v>-142.14699999999999</v>
      </c>
      <c r="T183" s="22">
        <f>-'Annual Raw'!U49</f>
        <v>-158.76599999999999</v>
      </c>
      <c r="U183" s="22">
        <f>-'Annual Raw'!V49</f>
        <v>-269.65899999999999</v>
      </c>
      <c r="V183" s="22">
        <f>-'Annual Raw'!W49</f>
        <v>-214.92500000000001</v>
      </c>
      <c r="W183" s="22">
        <f>-'Annual Raw'!X49</f>
        <v>-308.73399999999998</v>
      </c>
      <c r="X183" s="22">
        <f>-'Annual Raw'!Y49</f>
        <v>-336.84800000000001</v>
      </c>
      <c r="Y183" s="22">
        <f>-'Annual Raw'!Z49</f>
        <v>-343.01100000000002</v>
      </c>
      <c r="Z183" s="22">
        <f>-'Annual Raw'!AA49</f>
        <v>-468.27800000000002</v>
      </c>
      <c r="AA183" s="23">
        <f t="shared" ref="AA183:AA184" si="1731">+CK183</f>
        <v>-594.75199999999995</v>
      </c>
      <c r="AB183" s="23">
        <f t="shared" ref="AB183:AB184" si="1732">+CO183</f>
        <v>-594.75199999999995</v>
      </c>
      <c r="AC183" s="23">
        <f t="shared" ref="AC183:AC184" si="1733">+CS183</f>
        <v>-594.75199999999995</v>
      </c>
      <c r="AD183" s="23">
        <f t="shared" ref="AD183:AD184" si="1734">+CW183</f>
        <v>-594.75199999999995</v>
      </c>
      <c r="AE183" s="23">
        <f t="shared" ref="AE183:AE184" si="1735">+DA183</f>
        <v>-594.75199999999995</v>
      </c>
      <c r="AI183" s="22">
        <f>+'QTR Raw'!C96</f>
        <v>0</v>
      </c>
      <c r="AJ183" s="22">
        <f t="shared" ref="AJ183:AJ184" si="1736">+AI183</f>
        <v>0</v>
      </c>
      <c r="AK183" s="22">
        <f>+'QTR Raw'!E96</f>
        <v>0</v>
      </c>
      <c r="AL183" s="22">
        <f t="shared" ref="AL183:AL184" si="1737">+AK183</f>
        <v>0</v>
      </c>
      <c r="AM183" s="22">
        <f>+'QTR Raw'!G96</f>
        <v>0</v>
      </c>
      <c r="AN183" s="22">
        <f t="shared" ref="AN183:AN184" si="1738">+AM183</f>
        <v>0</v>
      </c>
      <c r="AO183" s="22">
        <f>+'QTR Raw'!I96</f>
        <v>0</v>
      </c>
      <c r="AP183" s="22">
        <f t="shared" ref="AP183:AP184" si="1739">+AO183</f>
        <v>0</v>
      </c>
      <c r="AQ183" s="22">
        <f>+'QTR Raw'!K96</f>
        <v>0</v>
      </c>
      <c r="AR183" s="22">
        <f t="shared" ref="AR183:AR184" si="1740">+AQ183</f>
        <v>0</v>
      </c>
      <c r="AS183" s="22">
        <f>+'QTR Raw'!M96</f>
        <v>0</v>
      </c>
      <c r="AT183" s="22">
        <f t="shared" ref="AT183:AT184" si="1741">+AS183</f>
        <v>0</v>
      </c>
      <c r="AU183" s="22">
        <f>+'QTR Raw'!O96</f>
        <v>0</v>
      </c>
      <c r="AV183" s="22">
        <f t="shared" ref="AV183:AV184" si="1742">+AU183</f>
        <v>0</v>
      </c>
      <c r="AW183" s="22">
        <f>+'QTR Raw'!Q96</f>
        <v>-142.88499999999999</v>
      </c>
      <c r="AX183" s="22">
        <f t="shared" ref="AX183:AX184" si="1743">+AW183</f>
        <v>-142.88499999999999</v>
      </c>
      <c r="AY183" s="22">
        <f>+'QTR Raw'!S96</f>
        <v>0</v>
      </c>
      <c r="AZ183" s="22">
        <f t="shared" ref="AZ183:AZ184" si="1744">+AY183</f>
        <v>0</v>
      </c>
      <c r="BA183" s="22">
        <f>+'QTR Raw'!U96</f>
        <v>-215.78399999999999</v>
      </c>
      <c r="BB183" s="22">
        <f t="shared" ref="BB183:BB184" si="1745">+BA183</f>
        <v>-215.78399999999999</v>
      </c>
      <c r="BC183" s="22">
        <f>+'QTR Raw'!W96</f>
        <v>-124.419</v>
      </c>
      <c r="BD183" s="22">
        <f t="shared" ref="BD183:BD184" si="1746">+BC183</f>
        <v>-124.419</v>
      </c>
      <c r="BE183" s="22">
        <f>+'QTR Raw'!Y96</f>
        <v>-142.14699999999999</v>
      </c>
      <c r="BF183" s="22">
        <f t="shared" ref="BF183:BF184" si="1747">+BE183</f>
        <v>-142.14699999999999</v>
      </c>
      <c r="BG183" s="22">
        <f>+'QTR Raw'!AA96</f>
        <v>-158.44</v>
      </c>
      <c r="BH183" s="22">
        <f t="shared" ref="BH183:BH184" si="1748">+BG183</f>
        <v>-158.44</v>
      </c>
      <c r="BI183" s="22">
        <f>+'QTR Raw'!AC96</f>
        <v>-158.76599999999999</v>
      </c>
      <c r="BJ183" s="22">
        <f t="shared" ref="BJ183:BJ184" si="1749">+BI183</f>
        <v>-158.76599999999999</v>
      </c>
      <c r="BK183" s="22">
        <f>+'QTR Raw'!AE96</f>
        <v>-237.84800000000001</v>
      </c>
      <c r="BL183" s="22">
        <f t="shared" ref="BL183:BL184" si="1750">+BK183</f>
        <v>-237.84800000000001</v>
      </c>
      <c r="BM183" s="22">
        <f>+'QTR Raw'!AG96</f>
        <v>-269.65899999999999</v>
      </c>
      <c r="BN183" s="22">
        <f t="shared" ref="BN183:BN184" si="1751">+BM183</f>
        <v>-269.65899999999999</v>
      </c>
      <c r="BO183" s="22">
        <f>+'QTR Raw'!AI96</f>
        <v>-199.83199999999999</v>
      </c>
      <c r="BP183" s="22">
        <f t="shared" ref="BP183:BP184" si="1752">+BO183</f>
        <v>-199.83199999999999</v>
      </c>
      <c r="BQ183" s="22">
        <f>+'QTR Raw'!AK96</f>
        <v>-214.92500000000001</v>
      </c>
      <c r="BR183" s="22">
        <f t="shared" ref="BR183:BR184" si="1753">+BQ183</f>
        <v>-214.92500000000001</v>
      </c>
      <c r="BS183" s="22">
        <f>+'QTR Raw'!AM96</f>
        <v>-281.30399999999997</v>
      </c>
      <c r="BT183" s="22">
        <f t="shared" ref="BT183:BT184" si="1754">+BS183</f>
        <v>-281.30399999999997</v>
      </c>
      <c r="BU183" s="22">
        <f>+'QTR Raw'!AO96</f>
        <v>-308.73399999999998</v>
      </c>
      <c r="BV183" s="22">
        <f t="shared" ref="BV183:BV184" si="1755">+BU183</f>
        <v>-308.73399999999998</v>
      </c>
      <c r="BW183" s="22">
        <f>+'QTR Raw'!AQ96</f>
        <v>-339.49799999999999</v>
      </c>
      <c r="BX183" s="22">
        <f t="shared" ref="BX183:BX184" si="1756">+BW183</f>
        <v>-339.49799999999999</v>
      </c>
      <c r="BY183" s="22">
        <f>+'QTR Raw'!AS96</f>
        <v>-336.84800000000001</v>
      </c>
      <c r="BZ183" s="22">
        <f t="shared" ref="BZ183:BZ184" si="1757">+BY183</f>
        <v>-336.84800000000001</v>
      </c>
      <c r="CA183" s="22">
        <f>+'QTR Raw'!AU96</f>
        <v>-340.13299999999998</v>
      </c>
      <c r="CB183" s="22">
        <f t="shared" ref="CB183:CB184" si="1758">+CA183</f>
        <v>-340.13299999999998</v>
      </c>
      <c r="CC183" s="22">
        <f>+'QTR Raw'!AW96</f>
        <v>-343.01100000000002</v>
      </c>
      <c r="CD183" s="22">
        <f t="shared" ref="CD183:CD184" si="1759">+CC183</f>
        <v>-343.01100000000002</v>
      </c>
      <c r="CE183" s="22">
        <f>+'QTR Raw'!AY96</f>
        <v>-384.983</v>
      </c>
      <c r="CF183" s="22">
        <f t="shared" ref="CF183:CJ183" si="1760">+CE183</f>
        <v>-384.983</v>
      </c>
      <c r="CG183" s="22">
        <f>+'QTR Raw'!BA96</f>
        <v>-468.27800000000002</v>
      </c>
      <c r="CH183" s="22">
        <f t="shared" si="1760"/>
        <v>-468.27800000000002</v>
      </c>
      <c r="CI183" s="22">
        <f>+'QTR Raw'!BC96</f>
        <v>-528.20500000000004</v>
      </c>
      <c r="CJ183" s="22">
        <f t="shared" si="1760"/>
        <v>-528.20500000000004</v>
      </c>
      <c r="CK183" s="22">
        <f>+'QTR Raw'!BE96</f>
        <v>-594.75199999999995</v>
      </c>
      <c r="CL183" s="22">
        <f t="shared" ref="CL183:CL184" si="1761">+CK183</f>
        <v>-594.75199999999995</v>
      </c>
      <c r="CM183" s="23">
        <f t="shared" ref="CM183:CM184" si="1762">+CL183</f>
        <v>-594.75199999999995</v>
      </c>
      <c r="CN183" s="23">
        <f t="shared" ref="CN183:CN184" si="1763">+CM183</f>
        <v>-594.75199999999995</v>
      </c>
      <c r="CO183" s="23">
        <f t="shared" ref="CO183:CO184" si="1764">+CN183</f>
        <v>-594.75199999999995</v>
      </c>
      <c r="CP183" s="23">
        <f t="shared" ref="CP183:CP184" si="1765">+CO183</f>
        <v>-594.75199999999995</v>
      </c>
      <c r="CQ183" s="23">
        <f t="shared" ref="CQ183:CQ184" si="1766">+CP183</f>
        <v>-594.75199999999995</v>
      </c>
      <c r="CR183" s="23">
        <f t="shared" ref="CR183:CR184" si="1767">+CQ183</f>
        <v>-594.75199999999995</v>
      </c>
      <c r="CS183" s="23">
        <f t="shared" ref="CS183:CS184" si="1768">+CR183</f>
        <v>-594.75199999999995</v>
      </c>
      <c r="CT183" s="23">
        <f t="shared" ref="CT183:CT184" si="1769">+CS183</f>
        <v>-594.75199999999995</v>
      </c>
      <c r="CU183" s="23">
        <f t="shared" ref="CU183:CU184" si="1770">+CT183</f>
        <v>-594.75199999999995</v>
      </c>
      <c r="CV183" s="23">
        <f t="shared" ref="CV183:CV184" si="1771">+CU183</f>
        <v>-594.75199999999995</v>
      </c>
      <c r="CW183" s="23">
        <f t="shared" ref="CW183:CW184" si="1772">+CV183</f>
        <v>-594.75199999999995</v>
      </c>
      <c r="CX183" s="23">
        <f t="shared" ref="CX183:CX184" si="1773">+CW183</f>
        <v>-594.75199999999995</v>
      </c>
      <c r="CY183" s="23">
        <f t="shared" ref="CY183:CY184" si="1774">+CX183</f>
        <v>-594.75199999999995</v>
      </c>
      <c r="CZ183" s="23">
        <f t="shared" ref="CZ183:CZ184" si="1775">+CY183</f>
        <v>-594.75199999999995</v>
      </c>
      <c r="DA183" s="23">
        <f t="shared" ref="DA183:DA184" si="1776">+CZ183</f>
        <v>-594.75199999999995</v>
      </c>
      <c r="DB183"/>
      <c r="DD183" s="122"/>
    </row>
    <row r="184" spans="1:108" s="22" customFormat="1" x14ac:dyDescent="0.25">
      <c r="A184" s="22" t="s">
        <v>79</v>
      </c>
      <c r="B184" s="22">
        <f>'Annual Raw'!C83</f>
        <v>0</v>
      </c>
      <c r="C184" s="22">
        <f>'Annual Raw'!D83</f>
        <v>0</v>
      </c>
      <c r="D184" s="22">
        <f>'Annual Raw'!E83</f>
        <v>0</v>
      </c>
      <c r="E184" s="22">
        <f>'Annual Raw'!F83</f>
        <v>0</v>
      </c>
      <c r="F184" s="22">
        <f>'Annual Raw'!G83</f>
        <v>0.10671799999999999</v>
      </c>
      <c r="G184" s="22">
        <f>'Annual Raw'!H83</f>
        <v>7.8884599999999999E-2</v>
      </c>
      <c r="H184" s="22">
        <f>'Annual Raw'!I83</f>
        <v>5.2310000000000002E-2</v>
      </c>
      <c r="I184" s="22">
        <f>'Annual Raw'!J83</f>
        <v>2.6155000000000001E-2</v>
      </c>
      <c r="J184" s="22">
        <f>'Annual Raw'!K83</f>
        <v>0</v>
      </c>
      <c r="K184" s="22">
        <f>'Annual Raw'!L83</f>
        <v>0</v>
      </c>
      <c r="L184" s="22">
        <f>'Annual Raw'!M83</f>
        <v>0</v>
      </c>
      <c r="M184" s="22">
        <f>'Annual Raw'!N83</f>
        <v>0</v>
      </c>
      <c r="N184" s="22">
        <f>'Annual Raw'!O83</f>
        <v>0</v>
      </c>
      <c r="O184" s="22">
        <f>'Annual Raw'!P83</f>
        <v>0</v>
      </c>
      <c r="P184" s="22">
        <f>'Annual Raw'!Q83</f>
        <v>0</v>
      </c>
      <c r="Q184" s="22">
        <f>'Annual Raw'!R83</f>
        <v>0</v>
      </c>
      <c r="R184" s="22">
        <f>'Annual Raw'!S83</f>
        <v>0</v>
      </c>
      <c r="S184" s="22">
        <f>'Annual Raw'!T83</f>
        <v>0</v>
      </c>
      <c r="T184" s="22">
        <f>'Annual Raw'!U83</f>
        <v>0</v>
      </c>
      <c r="U184" s="22">
        <f>'Annual Raw'!V83</f>
        <v>0</v>
      </c>
      <c r="V184" s="22">
        <f>'Annual Raw'!W83</f>
        <v>0</v>
      </c>
      <c r="W184" s="22">
        <f>'Annual Raw'!X83</f>
        <v>0</v>
      </c>
      <c r="X184" s="22">
        <f>'Annual Raw'!Y83</f>
        <v>0</v>
      </c>
      <c r="Y184" s="22">
        <f>'Annual Raw'!Z83</f>
        <v>0</v>
      </c>
      <c r="Z184" s="22">
        <f>'Annual Raw'!AA83</f>
        <v>0</v>
      </c>
      <c r="AA184" s="23">
        <f t="shared" si="1731"/>
        <v>0</v>
      </c>
      <c r="AB184" s="23">
        <f t="shared" si="1732"/>
        <v>0</v>
      </c>
      <c r="AC184" s="23">
        <f t="shared" si="1733"/>
        <v>0</v>
      </c>
      <c r="AD184" s="23">
        <f t="shared" si="1734"/>
        <v>0</v>
      </c>
      <c r="AE184" s="23">
        <f t="shared" si="1735"/>
        <v>0</v>
      </c>
      <c r="AI184" s="22">
        <f>+'QTR Raw'!C95</f>
        <v>0</v>
      </c>
      <c r="AJ184" s="22">
        <f t="shared" si="1736"/>
        <v>0</v>
      </c>
      <c r="AK184" s="22">
        <f>+'QTR Raw'!E95</f>
        <v>0</v>
      </c>
      <c r="AL184" s="22">
        <f t="shared" si="1737"/>
        <v>0</v>
      </c>
      <c r="AM184" s="22">
        <f>+'QTR Raw'!G95</f>
        <v>0</v>
      </c>
      <c r="AN184" s="22">
        <f t="shared" si="1738"/>
        <v>0</v>
      </c>
      <c r="AO184" s="22">
        <f>+'QTR Raw'!I95</f>
        <v>0</v>
      </c>
      <c r="AP184" s="22">
        <f t="shared" si="1739"/>
        <v>0</v>
      </c>
      <c r="AQ184" s="22">
        <f>+'QTR Raw'!K95</f>
        <v>0</v>
      </c>
      <c r="AR184" s="22">
        <f t="shared" si="1740"/>
        <v>0</v>
      </c>
      <c r="AS184" s="22">
        <f>+'QTR Raw'!M95</f>
        <v>0</v>
      </c>
      <c r="AT184" s="22">
        <f t="shared" si="1741"/>
        <v>0</v>
      </c>
      <c r="AU184" s="22">
        <f>+'QTR Raw'!O95</f>
        <v>0</v>
      </c>
      <c r="AV184" s="22">
        <f t="shared" si="1742"/>
        <v>0</v>
      </c>
      <c r="AW184" s="22">
        <f>+'QTR Raw'!Q95</f>
        <v>0</v>
      </c>
      <c r="AX184" s="22">
        <f t="shared" si="1743"/>
        <v>0</v>
      </c>
      <c r="AY184" s="22">
        <f>+'QTR Raw'!S95</f>
        <v>0</v>
      </c>
      <c r="AZ184" s="22">
        <f t="shared" si="1744"/>
        <v>0</v>
      </c>
      <c r="BA184" s="22">
        <f>+'QTR Raw'!U95</f>
        <v>0</v>
      </c>
      <c r="BB184" s="22">
        <f t="shared" si="1745"/>
        <v>0</v>
      </c>
      <c r="BC184" s="22">
        <f>+'QTR Raw'!W95</f>
        <v>0</v>
      </c>
      <c r="BD184" s="22">
        <f t="shared" si="1746"/>
        <v>0</v>
      </c>
      <c r="BE184" s="22">
        <f>+'QTR Raw'!Y95</f>
        <v>0</v>
      </c>
      <c r="BF184" s="22">
        <f t="shared" si="1747"/>
        <v>0</v>
      </c>
      <c r="BG184" s="22">
        <f>+'QTR Raw'!AA95</f>
        <v>0</v>
      </c>
      <c r="BH184" s="22">
        <f t="shared" si="1748"/>
        <v>0</v>
      </c>
      <c r="BI184" s="22">
        <f>+'QTR Raw'!AC95</f>
        <v>0</v>
      </c>
      <c r="BJ184" s="22">
        <f t="shared" si="1749"/>
        <v>0</v>
      </c>
      <c r="BK184" s="22">
        <f>+'QTR Raw'!AE95</f>
        <v>0</v>
      </c>
      <c r="BL184" s="22">
        <f t="shared" si="1750"/>
        <v>0</v>
      </c>
      <c r="BM184" s="22">
        <f>+'QTR Raw'!AG95</f>
        <v>0</v>
      </c>
      <c r="BN184" s="22">
        <f t="shared" si="1751"/>
        <v>0</v>
      </c>
      <c r="BO184" s="22">
        <f>+'QTR Raw'!AI95</f>
        <v>0</v>
      </c>
      <c r="BP184" s="22">
        <f t="shared" si="1752"/>
        <v>0</v>
      </c>
      <c r="BQ184" s="22">
        <f>+'QTR Raw'!AK95</f>
        <v>0</v>
      </c>
      <c r="BR184" s="22">
        <f t="shared" si="1753"/>
        <v>0</v>
      </c>
      <c r="BS184" s="22">
        <f>+'QTR Raw'!AM95</f>
        <v>0</v>
      </c>
      <c r="BT184" s="22">
        <f t="shared" si="1754"/>
        <v>0</v>
      </c>
      <c r="BU184" s="22">
        <f>+'QTR Raw'!AO95</f>
        <v>0</v>
      </c>
      <c r="BV184" s="22">
        <f t="shared" si="1755"/>
        <v>0</v>
      </c>
      <c r="BW184" s="22">
        <f>+'QTR Raw'!AQ95</f>
        <v>0</v>
      </c>
      <c r="BX184" s="22">
        <f t="shared" si="1756"/>
        <v>0</v>
      </c>
      <c r="BY184" s="22">
        <f>+'QTR Raw'!AS95</f>
        <v>0</v>
      </c>
      <c r="BZ184" s="22">
        <f t="shared" si="1757"/>
        <v>0</v>
      </c>
      <c r="CA184" s="22">
        <f>+'QTR Raw'!AU95</f>
        <v>0</v>
      </c>
      <c r="CB184" s="22">
        <f t="shared" si="1758"/>
        <v>0</v>
      </c>
      <c r="CC184" s="22">
        <f>+'QTR Raw'!AW95</f>
        <v>0</v>
      </c>
      <c r="CD184" s="22">
        <f t="shared" si="1759"/>
        <v>0</v>
      </c>
      <c r="CE184" s="22">
        <f>+'QTR Raw'!AY95</f>
        <v>0</v>
      </c>
      <c r="CF184" s="22">
        <f t="shared" ref="CF184:CJ184" si="1777">+CE184</f>
        <v>0</v>
      </c>
      <c r="CG184" s="22">
        <f>+'QTR Raw'!BA95</f>
        <v>0</v>
      </c>
      <c r="CH184" s="22">
        <f t="shared" si="1777"/>
        <v>0</v>
      </c>
      <c r="CI184" s="22">
        <f>+'QTR Raw'!BC95</f>
        <v>0</v>
      </c>
      <c r="CJ184" s="22">
        <f t="shared" si="1777"/>
        <v>0</v>
      </c>
      <c r="CK184" s="22">
        <f>+'QTR Raw'!BE95</f>
        <v>0</v>
      </c>
      <c r="CL184" s="22">
        <f t="shared" si="1761"/>
        <v>0</v>
      </c>
      <c r="CM184" s="23">
        <f t="shared" si="1762"/>
        <v>0</v>
      </c>
      <c r="CN184" s="23">
        <f t="shared" si="1763"/>
        <v>0</v>
      </c>
      <c r="CO184" s="23">
        <f t="shared" si="1764"/>
        <v>0</v>
      </c>
      <c r="CP184" s="23">
        <f t="shared" si="1765"/>
        <v>0</v>
      </c>
      <c r="CQ184" s="23">
        <f t="shared" si="1766"/>
        <v>0</v>
      </c>
      <c r="CR184" s="23">
        <f t="shared" si="1767"/>
        <v>0</v>
      </c>
      <c r="CS184" s="23">
        <f t="shared" si="1768"/>
        <v>0</v>
      </c>
      <c r="CT184" s="23">
        <f t="shared" si="1769"/>
        <v>0</v>
      </c>
      <c r="CU184" s="23">
        <f t="shared" si="1770"/>
        <v>0</v>
      </c>
      <c r="CV184" s="23">
        <f t="shared" si="1771"/>
        <v>0</v>
      </c>
      <c r="CW184" s="23">
        <f t="shared" si="1772"/>
        <v>0</v>
      </c>
      <c r="CX184" s="23">
        <f t="shared" si="1773"/>
        <v>0</v>
      </c>
      <c r="CY184" s="23">
        <f t="shared" si="1774"/>
        <v>0</v>
      </c>
      <c r="CZ184" s="23">
        <f t="shared" si="1775"/>
        <v>0</v>
      </c>
      <c r="DA184" s="23">
        <f t="shared" si="1776"/>
        <v>0</v>
      </c>
      <c r="DB184"/>
      <c r="DD184" s="122"/>
    </row>
    <row r="185" spans="1:108" s="25" customFormat="1" x14ac:dyDescent="0.25">
      <c r="A185" s="25" t="s">
        <v>438</v>
      </c>
      <c r="B185" s="25">
        <f t="shared" ref="B185:W185" si="1778">B183+B181+B177+B160+B158+B184</f>
        <v>0</v>
      </c>
      <c r="C185" s="25">
        <f t="shared" si="1778"/>
        <v>0</v>
      </c>
      <c r="D185" s="25">
        <f t="shared" si="1778"/>
        <v>0</v>
      </c>
      <c r="E185" s="25">
        <f t="shared" si="1778"/>
        <v>0</v>
      </c>
      <c r="F185" s="25">
        <f t="shared" si="1778"/>
        <v>318.73155859999997</v>
      </c>
      <c r="G185" s="25">
        <f t="shared" si="1778"/>
        <v>304.52970409999995</v>
      </c>
      <c r="H185" s="25">
        <f t="shared" si="1778"/>
        <v>306.53860130000004</v>
      </c>
      <c r="I185" s="25">
        <f t="shared" si="1778"/>
        <v>322.36477510000003</v>
      </c>
      <c r="J185" s="25">
        <f t="shared" si="1778"/>
        <v>452.47988100000009</v>
      </c>
      <c r="K185" s="25">
        <f t="shared" si="1778"/>
        <v>586.81170339999994</v>
      </c>
      <c r="L185" s="25">
        <f t="shared" si="1778"/>
        <v>742.53316500000005</v>
      </c>
      <c r="M185" s="25">
        <f t="shared" si="1778"/>
        <v>998.9190000000001</v>
      </c>
      <c r="N185" s="25">
        <f t="shared" si="1778"/>
        <v>2111.8359999999998</v>
      </c>
      <c r="O185" s="25">
        <f t="shared" si="1778"/>
        <v>2547.0140000000001</v>
      </c>
      <c r="P185" s="25">
        <f t="shared" si="1778"/>
        <v>2758.393</v>
      </c>
      <c r="Q185" s="25">
        <f t="shared" si="1778"/>
        <v>2751.6219999999994</v>
      </c>
      <c r="R185" s="25">
        <f t="shared" si="1778"/>
        <v>3896.096</v>
      </c>
      <c r="S185" s="25">
        <f t="shared" si="1778"/>
        <v>4421.6980000000003</v>
      </c>
      <c r="T185" s="25">
        <f t="shared" si="1778"/>
        <v>4814.1390000000001</v>
      </c>
      <c r="U185" s="25">
        <f t="shared" si="1778"/>
        <v>6776.2739999999994</v>
      </c>
      <c r="V185" s="25">
        <f t="shared" si="1778"/>
        <v>6804.9120000000003</v>
      </c>
      <c r="W185" s="25">
        <f t="shared" si="1778"/>
        <v>7538.5919999999996</v>
      </c>
      <c r="X185" s="25">
        <f t="shared" ref="X185:Y185" si="1779">X183+X181+X177+X160+X158+X184</f>
        <v>8910.2990000000009</v>
      </c>
      <c r="Y185" s="25">
        <f t="shared" si="1779"/>
        <v>12279.04</v>
      </c>
      <c r="Z185" s="25">
        <f t="shared" ref="Z185" si="1780">Z183+Z181+Z177+Z160+Z158+Z184</f>
        <v>19103.900000000001</v>
      </c>
      <c r="AA185" s="26">
        <f t="shared" ref="AA185:AD185" si="1781">AA183+AA181+AA177+AA160+AA158+AA184</f>
        <v>21765.074000000001</v>
      </c>
      <c r="AB185" s="26">
        <f t="shared" si="1781"/>
        <v>25020.564874193231</v>
      </c>
      <c r="AC185" s="26">
        <f t="shared" si="1781"/>
        <v>29306.283184219246</v>
      </c>
      <c r="AD185" s="26">
        <f t="shared" si="1781"/>
        <v>33917.930779218979</v>
      </c>
      <c r="AE185" s="26">
        <f t="shared" ref="AE185" si="1782">AE183+AE181+AE177+AE160+AE158+AE184</f>
        <v>39776.04468402722</v>
      </c>
      <c r="AI185" s="25">
        <f t="shared" ref="AI185:AL185" si="1783">AI183+AI181+AI177+AI160+AI158+AI184</f>
        <v>0</v>
      </c>
      <c r="AJ185" s="25" t="e">
        <f t="shared" si="1783"/>
        <v>#DIV/0!</v>
      </c>
      <c r="AK185" s="25">
        <f t="shared" si="1783"/>
        <v>0</v>
      </c>
      <c r="AL185" s="25" t="e">
        <f t="shared" si="1783"/>
        <v>#DIV/0!</v>
      </c>
      <c r="AM185" s="25">
        <f t="shared" ref="AM185:AP185" si="1784">AM183+AM181+AM177+AM160+AM158+AM184</f>
        <v>0</v>
      </c>
      <c r="AN185" s="25" t="e">
        <f t="shared" si="1784"/>
        <v>#DIV/0!</v>
      </c>
      <c r="AO185" s="25">
        <f t="shared" si="1784"/>
        <v>0</v>
      </c>
      <c r="AP185" s="25" t="e">
        <f t="shared" si="1784"/>
        <v>#DIV/0!</v>
      </c>
      <c r="AQ185" s="25">
        <f t="shared" ref="AQ185:AT185" si="1785">AQ183+AQ181+AQ177+AQ160+AQ158+AQ184</f>
        <v>0</v>
      </c>
      <c r="AR185" s="25" t="e">
        <f t="shared" si="1785"/>
        <v>#DIV/0!</v>
      </c>
      <c r="AS185" s="25">
        <f t="shared" si="1785"/>
        <v>0</v>
      </c>
      <c r="AT185" s="25" t="e">
        <f t="shared" si="1785"/>
        <v>#DIV/0!</v>
      </c>
      <c r="AU185" s="25">
        <f t="shared" ref="AU185:AX185" si="1786">AU183+AU181+AU177+AU160+AU158+AU184</f>
        <v>0</v>
      </c>
      <c r="AV185" s="25" t="e">
        <f t="shared" si="1786"/>
        <v>#DIV/0!</v>
      </c>
      <c r="AW185" s="25">
        <f t="shared" si="1786"/>
        <v>2506.2079999999996</v>
      </c>
      <c r="AX185" s="25">
        <f t="shared" si="1786"/>
        <v>2454.422</v>
      </c>
      <c r="AY185" s="25">
        <f t="shared" ref="AY185:BB185" si="1787">AY183+AY181+AY177+AY160+AY158+AY184</f>
        <v>0</v>
      </c>
      <c r="AZ185" s="25">
        <f t="shared" si="1787"/>
        <v>10.303000000000083</v>
      </c>
      <c r="BA185" s="25">
        <f t="shared" si="1787"/>
        <v>3262.7700000000004</v>
      </c>
      <c r="BB185" s="25">
        <f t="shared" si="1787"/>
        <v>3267.2780000000002</v>
      </c>
      <c r="BC185" s="25">
        <f t="shared" ref="BC185:BF185" si="1788">BC183+BC181+BC177+BC160+BC158+BC184</f>
        <v>3619.3740000000003</v>
      </c>
      <c r="BD185" s="25">
        <f t="shared" si="1788"/>
        <v>3652.2550000000001</v>
      </c>
      <c r="BE185" s="25">
        <f t="shared" si="1788"/>
        <v>3812.7289999999998</v>
      </c>
      <c r="BF185" s="25">
        <f t="shared" si="1788"/>
        <v>3831.3609999999999</v>
      </c>
      <c r="BG185" s="25">
        <f t="shared" ref="BG185:BJ185" si="1789">BG183+BG181+BG177+BG160+BG158+BG184</f>
        <v>4005.893</v>
      </c>
      <c r="BH185" s="25">
        <f t="shared" si="1789"/>
        <v>4048.1679999999992</v>
      </c>
      <c r="BI185" s="25">
        <f t="shared" si="1789"/>
        <v>4363.9959999999992</v>
      </c>
      <c r="BJ185" s="25">
        <f t="shared" si="1789"/>
        <v>4404.6219999999994</v>
      </c>
      <c r="BK185" s="25">
        <f t="shared" ref="BK185:BN185" si="1790">BK183+BK181+BK177+BK160+BK158+BK184</f>
        <v>5758.183</v>
      </c>
      <c r="BL185" s="25">
        <f t="shared" si="1790"/>
        <v>5838.915</v>
      </c>
      <c r="BM185" s="25">
        <f t="shared" si="1790"/>
        <v>6181.6309999999994</v>
      </c>
      <c r="BN185" s="25">
        <f t="shared" si="1790"/>
        <v>6236.5499999999993</v>
      </c>
      <c r="BO185" s="25">
        <f t="shared" ref="BO185:BR185" si="1791">BO183+BO181+BO177+BO160+BO158+BO184</f>
        <v>5796.6460000000006</v>
      </c>
      <c r="BP185" s="25">
        <f t="shared" si="1791"/>
        <v>5949.6769999999997</v>
      </c>
      <c r="BQ185" s="25">
        <f t="shared" si="1791"/>
        <v>6282.2689999999993</v>
      </c>
      <c r="BR185" s="25">
        <f t="shared" si="1791"/>
        <v>6411.5240000000003</v>
      </c>
      <c r="BS185" s="25">
        <f t="shared" ref="BS185:BV185" si="1792">BS183+BS181+BS177+BS160+BS158+BS184</f>
        <v>5778.4459999999999</v>
      </c>
      <c r="BT185" s="25">
        <f t="shared" si="1792"/>
        <v>6018.5869999999995</v>
      </c>
      <c r="BU185" s="25">
        <f t="shared" si="1792"/>
        <v>7538.5919999999996</v>
      </c>
      <c r="BV185" s="25">
        <f t="shared" si="1792"/>
        <v>7792.7989999999991</v>
      </c>
      <c r="BW185" s="25">
        <f t="shared" ref="BW185:BZ185" si="1793">BW183+BW181+BW177+BW160+BW158+BW184</f>
        <v>7320.1460000000006</v>
      </c>
      <c r="BX185" s="25">
        <f t="shared" si="1793"/>
        <v>7701.183</v>
      </c>
      <c r="BY185" s="25">
        <f t="shared" si="1793"/>
        <v>8910.2989999999991</v>
      </c>
      <c r="BZ185" s="25">
        <f t="shared" si="1793"/>
        <v>9339.371000000001</v>
      </c>
      <c r="CA185" s="25">
        <f t="shared" ref="CA185:CD185" si="1794">CA183+CA181+CA177+CA160+CA158+CA184</f>
        <v>10106.477999999999</v>
      </c>
      <c r="CB185" s="25">
        <f t="shared" si="1794"/>
        <v>10607.545</v>
      </c>
      <c r="CC185" s="25">
        <f t="shared" si="1794"/>
        <v>12279.039999999999</v>
      </c>
      <c r="CD185" s="25">
        <f t="shared" si="1794"/>
        <v>12816.310999999998</v>
      </c>
      <c r="CE185" s="25">
        <f t="shared" ref="CE185" si="1795">CE183+CE181+CE177+CE160+CE158+CE184</f>
        <v>15034.465</v>
      </c>
      <c r="CF185" s="25">
        <f t="shared" ref="CF185:CH185" si="1796">CF183+CF181+CF177+CF160+CF158+CF184</f>
        <v>15654.078</v>
      </c>
      <c r="CG185" s="25">
        <f t="shared" ref="CG185" si="1797">CG183+CG181+CG177+CG160+CG158+CG184</f>
        <v>19103.900000000001</v>
      </c>
      <c r="CH185" s="25">
        <f t="shared" si="1796"/>
        <v>19830.387999999999</v>
      </c>
      <c r="CI185" s="25">
        <f t="shared" ref="CI185:CJ185" si="1798">CI183+CI181+CI177+CI160+CI158+CI184</f>
        <v>20140.704999999998</v>
      </c>
      <c r="CJ185" s="25">
        <f t="shared" si="1798"/>
        <v>20881.895</v>
      </c>
      <c r="CK185" s="25">
        <f t="shared" ref="CK185:CL185" si="1799">CK183+CK181+CK177+CK160+CK158+CK184</f>
        <v>21765.074000000001</v>
      </c>
      <c r="CL185" s="25">
        <f t="shared" ref="CL185:DA185" si="1800">CL183+CL181+CL177+CL160+CL158+CL184</f>
        <v>22637.429000000004</v>
      </c>
      <c r="CM185" s="26">
        <f t="shared" si="1800"/>
        <v>23767.209034384825</v>
      </c>
      <c r="CN185" s="26">
        <f t="shared" si="1800"/>
        <v>24449.139992694843</v>
      </c>
      <c r="CO185" s="26">
        <f t="shared" si="1800"/>
        <v>25020.564874193231</v>
      </c>
      <c r="CP185" s="26">
        <f t="shared" si="1800"/>
        <v>26186.20564725616</v>
      </c>
      <c r="CQ185" s="26">
        <f t="shared" si="1800"/>
        <v>27583.370497528031</v>
      </c>
      <c r="CR185" s="26">
        <f t="shared" si="1800"/>
        <v>28520.092375093867</v>
      </c>
      <c r="CS185" s="26">
        <f t="shared" si="1800"/>
        <v>29306.283184219246</v>
      </c>
      <c r="CT185" s="26">
        <f t="shared" si="1800"/>
        <v>30558.073555642997</v>
      </c>
      <c r="CU185" s="26">
        <f t="shared" si="1800"/>
        <v>32045.071634485241</v>
      </c>
      <c r="CV185" s="26">
        <f t="shared" si="1800"/>
        <v>33039.584140063205</v>
      </c>
      <c r="CW185" s="26">
        <f t="shared" si="1800"/>
        <v>33917.930779218979</v>
      </c>
      <c r="CX185" s="26">
        <f t="shared" si="1800"/>
        <v>35489.090538753415</v>
      </c>
      <c r="CY185" s="26">
        <f t="shared" si="1800"/>
        <v>37347.775965423119</v>
      </c>
      <c r="CZ185" s="26">
        <f t="shared" si="1800"/>
        <v>38631.450084351811</v>
      </c>
      <c r="DA185" s="26">
        <f t="shared" si="1800"/>
        <v>39776.04468402722</v>
      </c>
      <c r="DB185"/>
      <c r="DD185" s="120"/>
    </row>
    <row r="186" spans="1:108" s="22" customFormat="1" x14ac:dyDescent="0.25">
      <c r="A186" s="27" t="s">
        <v>439</v>
      </c>
      <c r="B186" s="22">
        <f t="shared" ref="B186:W186" si="1801">B185-B149</f>
        <v>0</v>
      </c>
      <c r="C186" s="22">
        <f t="shared" si="1801"/>
        <v>0</v>
      </c>
      <c r="D186" s="22">
        <f t="shared" si="1801"/>
        <v>0</v>
      </c>
      <c r="E186" s="22">
        <f t="shared" si="1801"/>
        <v>0</v>
      </c>
      <c r="F186" s="22">
        <f t="shared" si="1801"/>
        <v>0</v>
      </c>
      <c r="G186" s="22">
        <f t="shared" si="1801"/>
        <v>0</v>
      </c>
      <c r="H186" s="22">
        <f t="shared" si="1801"/>
        <v>0</v>
      </c>
      <c r="I186" s="22">
        <f t="shared" si="1801"/>
        <v>0</v>
      </c>
      <c r="J186" s="22">
        <f t="shared" si="1801"/>
        <v>0</v>
      </c>
      <c r="K186" s="22">
        <f t="shared" si="1801"/>
        <v>0</v>
      </c>
      <c r="L186" s="22">
        <f t="shared" si="1801"/>
        <v>0</v>
      </c>
      <c r="M186" s="22">
        <f t="shared" si="1801"/>
        <v>0</v>
      </c>
      <c r="N186" s="22">
        <f t="shared" si="1801"/>
        <v>0</v>
      </c>
      <c r="O186" s="22">
        <f t="shared" si="1801"/>
        <v>0</v>
      </c>
      <c r="P186" s="22">
        <f t="shared" si="1801"/>
        <v>0</v>
      </c>
      <c r="Q186" s="22">
        <f t="shared" si="1801"/>
        <v>0</v>
      </c>
      <c r="R186" s="22">
        <f t="shared" si="1801"/>
        <v>0</v>
      </c>
      <c r="S186" s="22">
        <f t="shared" si="1801"/>
        <v>0</v>
      </c>
      <c r="T186" s="22">
        <f t="shared" si="1801"/>
        <v>0</v>
      </c>
      <c r="U186" s="22">
        <f t="shared" si="1801"/>
        <v>0</v>
      </c>
      <c r="V186" s="22">
        <f t="shared" si="1801"/>
        <v>0</v>
      </c>
      <c r="W186" s="22">
        <f t="shared" si="1801"/>
        <v>0</v>
      </c>
      <c r="X186" s="22">
        <f t="shared" ref="X186:Y186" si="1802">X185-X149</f>
        <v>0</v>
      </c>
      <c r="Y186" s="22">
        <f t="shared" si="1802"/>
        <v>0</v>
      </c>
      <c r="Z186" s="22">
        <f t="shared" ref="Z186" si="1803">Z185-Z149</f>
        <v>0</v>
      </c>
      <c r="AA186" s="23">
        <f t="shared" ref="AA186:AD186" si="1804">AA185-AA149</f>
        <v>0</v>
      </c>
      <c r="AB186" s="23">
        <f t="shared" si="1804"/>
        <v>0</v>
      </c>
      <c r="AC186" s="23">
        <f t="shared" si="1804"/>
        <v>0</v>
      </c>
      <c r="AD186" s="23">
        <f t="shared" si="1804"/>
        <v>0</v>
      </c>
      <c r="AE186" s="23">
        <f t="shared" ref="AE186" si="1805">AE185-AE149</f>
        <v>0</v>
      </c>
      <c r="AI186" s="22">
        <f t="shared" ref="AI186:AL186" si="1806">AI185-AI149</f>
        <v>0</v>
      </c>
      <c r="AJ186" s="22" t="e">
        <f t="shared" si="1806"/>
        <v>#DIV/0!</v>
      </c>
      <c r="AK186" s="22">
        <f t="shared" si="1806"/>
        <v>0</v>
      </c>
      <c r="AL186" s="22" t="e">
        <f t="shared" si="1806"/>
        <v>#DIV/0!</v>
      </c>
      <c r="AM186" s="22">
        <f t="shared" ref="AM186:AP186" si="1807">AM185-AM149</f>
        <v>0</v>
      </c>
      <c r="AN186" s="22" t="e">
        <f t="shared" si="1807"/>
        <v>#DIV/0!</v>
      </c>
      <c r="AO186" s="22">
        <f t="shared" si="1807"/>
        <v>0</v>
      </c>
      <c r="AP186" s="22" t="e">
        <f t="shared" si="1807"/>
        <v>#DIV/0!</v>
      </c>
      <c r="AQ186" s="22">
        <f t="shared" ref="AQ186:AT186" si="1808">AQ185-AQ149</f>
        <v>0</v>
      </c>
      <c r="AR186" s="22" t="e">
        <f t="shared" si="1808"/>
        <v>#DIV/0!</v>
      </c>
      <c r="AS186" s="22">
        <f t="shared" si="1808"/>
        <v>0</v>
      </c>
      <c r="AT186" s="22" t="e">
        <f t="shared" si="1808"/>
        <v>#DIV/0!</v>
      </c>
      <c r="AU186" s="22">
        <f t="shared" ref="AU186:AX186" si="1809">AU185-AU149</f>
        <v>0</v>
      </c>
      <c r="AV186" s="22" t="e">
        <f t="shared" si="1809"/>
        <v>#DIV/0!</v>
      </c>
      <c r="AW186" s="22">
        <f t="shared" si="1809"/>
        <v>0</v>
      </c>
      <c r="AX186" s="22">
        <f t="shared" si="1809"/>
        <v>0</v>
      </c>
      <c r="AY186" s="22">
        <f t="shared" ref="AY186:BB186" si="1810">AY185-AY149</f>
        <v>0</v>
      </c>
      <c r="AZ186" s="22">
        <f t="shared" si="1810"/>
        <v>0</v>
      </c>
      <c r="BA186" s="22">
        <f t="shared" si="1810"/>
        <v>0</v>
      </c>
      <c r="BB186" s="22">
        <f t="shared" si="1810"/>
        <v>0</v>
      </c>
      <c r="BC186" s="22">
        <f t="shared" ref="BC186:BF186" si="1811">BC185-BC149</f>
        <v>0</v>
      </c>
      <c r="BD186" s="22">
        <f t="shared" si="1811"/>
        <v>0</v>
      </c>
      <c r="BE186" s="22">
        <f t="shared" si="1811"/>
        <v>0</v>
      </c>
      <c r="BF186" s="22">
        <f t="shared" si="1811"/>
        <v>0</v>
      </c>
      <c r="BG186" s="22">
        <f t="shared" ref="BG186:BJ186" si="1812">BG185-BG149</f>
        <v>0</v>
      </c>
      <c r="BH186" s="22">
        <f t="shared" si="1812"/>
        <v>0</v>
      </c>
      <c r="BI186" s="22">
        <f t="shared" si="1812"/>
        <v>0</v>
      </c>
      <c r="BJ186" s="22">
        <f t="shared" si="1812"/>
        <v>0</v>
      </c>
      <c r="BK186" s="22">
        <f t="shared" ref="BK186:BN186" si="1813">BK185-BK149</f>
        <v>0</v>
      </c>
      <c r="BL186" s="22">
        <f t="shared" si="1813"/>
        <v>0</v>
      </c>
      <c r="BM186" s="22">
        <f t="shared" si="1813"/>
        <v>0</v>
      </c>
      <c r="BN186" s="22">
        <f t="shared" si="1813"/>
        <v>0</v>
      </c>
      <c r="BO186" s="22">
        <f t="shared" ref="BO186:BR186" si="1814">BO185-BO149</f>
        <v>0</v>
      </c>
      <c r="BP186" s="22">
        <f t="shared" si="1814"/>
        <v>0</v>
      </c>
      <c r="BQ186" s="22">
        <f t="shared" si="1814"/>
        <v>0</v>
      </c>
      <c r="BR186" s="22">
        <f t="shared" si="1814"/>
        <v>0</v>
      </c>
      <c r="BS186" s="22">
        <f t="shared" ref="BS186:BV186" si="1815">BS185-BS149</f>
        <v>0</v>
      </c>
      <c r="BT186" s="22">
        <f t="shared" si="1815"/>
        <v>0</v>
      </c>
      <c r="BU186" s="22">
        <f t="shared" si="1815"/>
        <v>0</v>
      </c>
      <c r="BV186" s="22">
        <f t="shared" si="1815"/>
        <v>0</v>
      </c>
      <c r="BW186" s="22">
        <f t="shared" ref="BW186:BZ186" si="1816">BW185-BW149</f>
        <v>0</v>
      </c>
      <c r="BX186" s="22">
        <f t="shared" si="1816"/>
        <v>0</v>
      </c>
      <c r="BY186" s="22">
        <f t="shared" si="1816"/>
        <v>0</v>
      </c>
      <c r="BZ186" s="22">
        <f t="shared" si="1816"/>
        <v>0</v>
      </c>
      <c r="CA186" s="22">
        <f t="shared" ref="CA186:CD186" si="1817">CA185-CA149</f>
        <v>0</v>
      </c>
      <c r="CB186" s="22">
        <f t="shared" si="1817"/>
        <v>0</v>
      </c>
      <c r="CC186" s="22">
        <f t="shared" si="1817"/>
        <v>0</v>
      </c>
      <c r="CD186" s="22">
        <f t="shared" si="1817"/>
        <v>0</v>
      </c>
      <c r="CE186" s="22">
        <f t="shared" ref="CE186" si="1818">CE185-CE149</f>
        <v>0</v>
      </c>
      <c r="CF186" s="22">
        <f t="shared" ref="CF186:CH186" si="1819">CF185-CF149</f>
        <v>0</v>
      </c>
      <c r="CG186" s="22">
        <f t="shared" ref="CG186" si="1820">CG185-CG149</f>
        <v>0</v>
      </c>
      <c r="CH186" s="22">
        <f t="shared" si="1819"/>
        <v>0</v>
      </c>
      <c r="CI186" s="22">
        <f t="shared" ref="CI186:CJ186" si="1821">CI185-CI149</f>
        <v>0</v>
      </c>
      <c r="CJ186" s="22">
        <f t="shared" si="1821"/>
        <v>0</v>
      </c>
      <c r="CK186" s="22">
        <f t="shared" ref="CK186:CL186" si="1822">CK185-CK149</f>
        <v>0</v>
      </c>
      <c r="CL186" s="22">
        <f t="shared" ref="CL186:DA186" si="1823">CL185-CL149</f>
        <v>0</v>
      </c>
      <c r="CM186" s="23">
        <f t="shared" si="1823"/>
        <v>0</v>
      </c>
      <c r="CN186" s="23">
        <f t="shared" si="1823"/>
        <v>0</v>
      </c>
      <c r="CO186" s="23">
        <f t="shared" si="1823"/>
        <v>0</v>
      </c>
      <c r="CP186" s="23">
        <f t="shared" si="1823"/>
        <v>0</v>
      </c>
      <c r="CQ186" s="23">
        <f t="shared" si="1823"/>
        <v>0</v>
      </c>
      <c r="CR186" s="23">
        <f t="shared" si="1823"/>
        <v>0</v>
      </c>
      <c r="CS186" s="23">
        <f t="shared" si="1823"/>
        <v>0</v>
      </c>
      <c r="CT186" s="23">
        <f t="shared" si="1823"/>
        <v>0</v>
      </c>
      <c r="CU186" s="23">
        <f t="shared" si="1823"/>
        <v>0</v>
      </c>
      <c r="CV186" s="23">
        <f t="shared" si="1823"/>
        <v>0</v>
      </c>
      <c r="CW186" s="23">
        <f t="shared" si="1823"/>
        <v>0</v>
      </c>
      <c r="CX186" s="23">
        <f t="shared" si="1823"/>
        <v>0</v>
      </c>
      <c r="CY186" s="23">
        <f t="shared" si="1823"/>
        <v>0</v>
      </c>
      <c r="CZ186" s="23">
        <f t="shared" si="1823"/>
        <v>0</v>
      </c>
      <c r="DA186" s="23">
        <f t="shared" si="1823"/>
        <v>0</v>
      </c>
      <c r="DB186"/>
      <c r="DD186" s="122"/>
    </row>
    <row r="187" spans="1:108" s="22" customFormat="1" x14ac:dyDescent="0.25">
      <c r="A187" s="27"/>
      <c r="AA187" s="23"/>
      <c r="AB187" s="23"/>
      <c r="AC187" s="23"/>
      <c r="AD187" s="23"/>
      <c r="AE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/>
      <c r="DD187" s="122"/>
    </row>
    <row r="188" spans="1:108" s="21" customFormat="1" x14ac:dyDescent="0.25">
      <c r="A188" s="21" t="s">
        <v>80</v>
      </c>
      <c r="B188" s="21">
        <f t="shared" ref="B188:W188" si="1824">B148-B181</f>
        <v>0</v>
      </c>
      <c r="C188" s="21">
        <f t="shared" si="1824"/>
        <v>0</v>
      </c>
      <c r="D188" s="21">
        <f t="shared" si="1824"/>
        <v>0</v>
      </c>
      <c r="E188" s="21">
        <f t="shared" si="1824"/>
        <v>0</v>
      </c>
      <c r="F188" s="21">
        <f t="shared" si="1824"/>
        <v>168.73049689999999</v>
      </c>
      <c r="G188" s="21">
        <f t="shared" si="1824"/>
        <v>140.04683589999999</v>
      </c>
      <c r="H188" s="21">
        <f t="shared" si="1824"/>
        <v>118.52675889999999</v>
      </c>
      <c r="I188" s="21">
        <f t="shared" si="1824"/>
        <v>123.57951099999998</v>
      </c>
      <c r="J188" s="21">
        <f t="shared" si="1824"/>
        <v>233.18201040000002</v>
      </c>
      <c r="K188" s="21">
        <f t="shared" si="1824"/>
        <v>380.15127150000001</v>
      </c>
      <c r="L188" s="21">
        <f t="shared" si="1824"/>
        <v>536.2395788</v>
      </c>
      <c r="M188" s="21">
        <f t="shared" si="1824"/>
        <v>884.88499999999999</v>
      </c>
      <c r="N188" s="21">
        <f t="shared" si="1824"/>
        <v>1901.8309999999999</v>
      </c>
      <c r="O188" s="21">
        <f t="shared" si="1824"/>
        <v>2280.75</v>
      </c>
      <c r="P188" s="21">
        <f t="shared" si="1824"/>
        <v>2078.9259999999995</v>
      </c>
      <c r="Q188" s="21">
        <f t="shared" si="1824"/>
        <v>2019.2709999999997</v>
      </c>
      <c r="R188" s="21">
        <f t="shared" si="1824"/>
        <v>2149.7049999999999</v>
      </c>
      <c r="S188" s="21">
        <f t="shared" si="1824"/>
        <v>2559.2420000000002</v>
      </c>
      <c r="T188" s="21">
        <f t="shared" si="1824"/>
        <v>2714.3870000000002</v>
      </c>
      <c r="U188" s="21">
        <f t="shared" si="1824"/>
        <v>3246.0960000000005</v>
      </c>
      <c r="V188" s="21">
        <f t="shared" si="1824"/>
        <v>3026.0730000000003</v>
      </c>
      <c r="W188" s="21">
        <f t="shared" si="1824"/>
        <v>3005.2730000000006</v>
      </c>
      <c r="X188" s="21">
        <f t="shared" ref="X188:Y188" si="1825">X148-X181</f>
        <v>3409.5450000000005</v>
      </c>
      <c r="Y188" s="21">
        <f t="shared" si="1825"/>
        <v>4734.5249999999996</v>
      </c>
      <c r="Z188" s="21">
        <f t="shared" ref="Z188" si="1826">Z148-Z181</f>
        <v>-85.78899999999976</v>
      </c>
      <c r="AA188" s="20">
        <f t="shared" ref="AA188:AD188" si="1827">AA148-AA181</f>
        <v>25.628000000000156</v>
      </c>
      <c r="AB188" s="20">
        <f t="shared" si="1827"/>
        <v>-4990.1735121293259</v>
      </c>
      <c r="AC188" s="20">
        <f t="shared" si="1827"/>
        <v>-8513.4488996911623</v>
      </c>
      <c r="AD188" s="20">
        <f t="shared" si="1827"/>
        <v>-12557.07306324075</v>
      </c>
      <c r="AE188" s="20">
        <f t="shared" ref="AE188" si="1828">AE148-AE181</f>
        <v>-17476.930246100455</v>
      </c>
      <c r="AI188" s="21">
        <f t="shared" ref="AI188:AL188" si="1829">AI148-AI181</f>
        <v>0</v>
      </c>
      <c r="AJ188" s="21" t="e">
        <f t="shared" si="1829"/>
        <v>#DIV/0!</v>
      </c>
      <c r="AK188" s="21">
        <f t="shared" si="1829"/>
        <v>0</v>
      </c>
      <c r="AL188" s="21" t="e">
        <f t="shared" si="1829"/>
        <v>#DIV/0!</v>
      </c>
      <c r="AM188" s="21">
        <f t="shared" ref="AM188:AP188" si="1830">AM148-AM181</f>
        <v>0</v>
      </c>
      <c r="AN188" s="21" t="e">
        <f t="shared" si="1830"/>
        <v>#DIV/0!</v>
      </c>
      <c r="AO188" s="21">
        <f t="shared" si="1830"/>
        <v>0</v>
      </c>
      <c r="AP188" s="21" t="e">
        <f t="shared" si="1830"/>
        <v>#DIV/0!</v>
      </c>
      <c r="AQ188" s="21">
        <f t="shared" ref="AQ188:AT188" si="1831">AQ148-AQ181</f>
        <v>0</v>
      </c>
      <c r="AR188" s="21" t="e">
        <f t="shared" si="1831"/>
        <v>#DIV/0!</v>
      </c>
      <c r="AS188" s="21">
        <f t="shared" si="1831"/>
        <v>0</v>
      </c>
      <c r="AT188" s="21" t="e">
        <f t="shared" si="1831"/>
        <v>#DIV/0!</v>
      </c>
      <c r="AU188" s="21">
        <f t="shared" ref="AU188:AX188" si="1832">AU148-AU181</f>
        <v>0</v>
      </c>
      <c r="AV188" s="21" t="e">
        <f t="shared" si="1832"/>
        <v>#DIV/0!</v>
      </c>
      <c r="AW188" s="21">
        <f t="shared" si="1832"/>
        <v>1773.857</v>
      </c>
      <c r="AX188" s="21">
        <f t="shared" si="1832"/>
        <v>2239.1618690697624</v>
      </c>
      <c r="AY188" s="21">
        <f t="shared" ref="AY188:BB188" si="1833">AY148-AY181</f>
        <v>0</v>
      </c>
      <c r="AZ188" s="21">
        <f t="shared" si="1833"/>
        <v>-10.303000000000083</v>
      </c>
      <c r="BA188" s="21">
        <f t="shared" si="1833"/>
        <v>1303.1420000000001</v>
      </c>
      <c r="BB188" s="21">
        <f t="shared" si="1833"/>
        <v>1575.9173214620278</v>
      </c>
      <c r="BC188" s="21">
        <f t="shared" ref="BC188:BF188" si="1834">BC148-BC181</f>
        <v>1648.752</v>
      </c>
      <c r="BD188" s="21">
        <f t="shared" si="1834"/>
        <v>1399.7793801661521</v>
      </c>
      <c r="BE188" s="21">
        <f t="shared" si="1834"/>
        <v>1950.2729999999999</v>
      </c>
      <c r="BF188" s="21">
        <f t="shared" si="1834"/>
        <v>2335.581265024482</v>
      </c>
      <c r="BG188" s="21">
        <f t="shared" ref="BG188:BJ188" si="1835">BG148-BG181</f>
        <v>1787.2070000000003</v>
      </c>
      <c r="BH188" s="21">
        <f t="shared" si="1835"/>
        <v>1581.4191441153844</v>
      </c>
      <c r="BI188" s="21">
        <f t="shared" si="1835"/>
        <v>2264.2440000000001</v>
      </c>
      <c r="BJ188" s="21">
        <f t="shared" si="1835"/>
        <v>2492.5336101510061</v>
      </c>
      <c r="BK188" s="21">
        <f t="shared" ref="BK188:BN188" si="1836">BK148-BK181</f>
        <v>3100.9960000000001</v>
      </c>
      <c r="BL188" s="21">
        <f t="shared" si="1836"/>
        <v>2849.671117926297</v>
      </c>
      <c r="BM188" s="21">
        <f t="shared" si="1836"/>
        <v>2651.4530000000004</v>
      </c>
      <c r="BN188" s="21">
        <f t="shared" si="1836"/>
        <v>2799.7002211175968</v>
      </c>
      <c r="BO188" s="21">
        <f t="shared" ref="BO188:BR188" si="1837">BO148-BO181</f>
        <v>2088.91</v>
      </c>
      <c r="BP188" s="21">
        <f t="shared" si="1837"/>
        <v>1992.777078389136</v>
      </c>
      <c r="BQ188" s="21">
        <f t="shared" si="1837"/>
        <v>2503.4299999999998</v>
      </c>
      <c r="BR188" s="21">
        <f t="shared" si="1837"/>
        <v>2808.1205683940148</v>
      </c>
      <c r="BS188" s="21">
        <f t="shared" ref="BS188:BV188" si="1838">BS148-BS181</f>
        <v>1585.5629999999999</v>
      </c>
      <c r="BT188" s="21">
        <f t="shared" si="1838"/>
        <v>1309.9600746011756</v>
      </c>
      <c r="BU188" s="21">
        <f t="shared" si="1838"/>
        <v>3005.2730000000001</v>
      </c>
      <c r="BV188" s="21">
        <f t="shared" si="1838"/>
        <v>3327.5551250946214</v>
      </c>
      <c r="BW188" s="21">
        <f t="shared" ref="BW188:BZ188" si="1839">BW148-BW181</f>
        <v>2055.5080000000003</v>
      </c>
      <c r="BX188" s="21">
        <f t="shared" si="1839"/>
        <v>1259.0766747741684</v>
      </c>
      <c r="BY188" s="21">
        <f t="shared" si="1839"/>
        <v>3409.5450000000001</v>
      </c>
      <c r="BZ188" s="21">
        <f t="shared" si="1839"/>
        <v>4045.0170289048237</v>
      </c>
      <c r="CA188" s="21">
        <f t="shared" ref="CA188:CD188" si="1840">CA148-CA181</f>
        <v>3171.627</v>
      </c>
      <c r="CB188" s="21">
        <f t="shared" si="1840"/>
        <v>2159.6134668666987</v>
      </c>
      <c r="CC188" s="21">
        <f t="shared" si="1840"/>
        <v>4734.5250000000005</v>
      </c>
      <c r="CD188" s="21">
        <f t="shared" si="1840"/>
        <v>5214.7372433058899</v>
      </c>
      <c r="CE188" s="21">
        <f t="shared" ref="CE188" si="1841">CE148-CE181</f>
        <v>5880.8010000000004</v>
      </c>
      <c r="CF188" s="21">
        <f t="shared" ref="CF188" si="1842">CF148-CF181</f>
        <v>4429.126510111716</v>
      </c>
      <c r="CG188" s="21">
        <f t="shared" ref="CG188" si="1843">CG148-CG181</f>
        <v>-85.78899999999976</v>
      </c>
      <c r="CH188" s="21">
        <f t="shared" ref="CH188:CI188" si="1844">CH148-CH181</f>
        <v>139.29187970107205</v>
      </c>
      <c r="CI188" s="21">
        <f t="shared" si="1844"/>
        <v>-514.91600000000017</v>
      </c>
      <c r="CJ188" s="21">
        <f t="shared" ref="CJ188" si="1845">CJ148-CJ181</f>
        <v>-2174.4050071838401</v>
      </c>
      <c r="CK188" s="21">
        <f>CK148-CK181</f>
        <v>25.628000000000156</v>
      </c>
      <c r="CL188" s="21">
        <f t="shared" ref="CL188:DA188" si="1846">CL148-CL181</f>
        <v>-2099.7490116526283</v>
      </c>
      <c r="CM188" s="20">
        <f t="shared" si="1846"/>
        <v>-2489.7730748696945</v>
      </c>
      <c r="CN188" s="20">
        <f t="shared" si="1846"/>
        <v>-4176.7991095575107</v>
      </c>
      <c r="CO188" s="20">
        <f t="shared" si="1846"/>
        <v>-4990.1735121293259</v>
      </c>
      <c r="CP188" s="20">
        <f t="shared" si="1846"/>
        <v>-4627.1546683240213</v>
      </c>
      <c r="CQ188" s="20">
        <f t="shared" si="1846"/>
        <v>-5292.2821555272003</v>
      </c>
      <c r="CR188" s="20">
        <f t="shared" si="1846"/>
        <v>-7430.015691773744</v>
      </c>
      <c r="CS188" s="20">
        <f t="shared" si="1846"/>
        <v>-8513.4488996911623</v>
      </c>
      <c r="CT188" s="20">
        <f t="shared" si="1846"/>
        <v>-8350.7482466956499</v>
      </c>
      <c r="CU188" s="20">
        <f t="shared" si="1846"/>
        <v>-9056.975841389718</v>
      </c>
      <c r="CV188" s="20">
        <f t="shared" si="1846"/>
        <v>-11349.798397286433</v>
      </c>
      <c r="CW188" s="20">
        <f t="shared" si="1846"/>
        <v>-12557.07306324075</v>
      </c>
      <c r="CX188" s="20">
        <f t="shared" si="1846"/>
        <v>-12125.873718584269</v>
      </c>
      <c r="CY188" s="20">
        <f t="shared" si="1846"/>
        <v>-13065.529281881994</v>
      </c>
      <c r="CZ188" s="20">
        <f t="shared" si="1846"/>
        <v>-15922.891376005386</v>
      </c>
      <c r="DA188" s="20">
        <f t="shared" si="1846"/>
        <v>-17476.930246100455</v>
      </c>
      <c r="DB188"/>
      <c r="DD188" s="125"/>
    </row>
    <row r="189" spans="1:108" x14ac:dyDescent="0.25">
      <c r="AI189" s="110"/>
      <c r="AK189" s="110"/>
      <c r="AM189" s="110"/>
      <c r="AO189" s="110"/>
      <c r="AQ189" s="110"/>
      <c r="AS189" s="110"/>
      <c r="AU189" s="110"/>
      <c r="AW189" s="110"/>
      <c r="AY189" s="110"/>
      <c r="BA189" s="110"/>
      <c r="BC189" s="110"/>
      <c r="BE189" s="110"/>
      <c r="BG189" s="110"/>
      <c r="BI189" s="110"/>
      <c r="BK189" s="110"/>
      <c r="BM189" s="110"/>
      <c r="BO189" s="110"/>
      <c r="BQ189" s="110"/>
      <c r="BS189" s="110"/>
      <c r="BU189" s="110"/>
      <c r="BW189" s="110"/>
      <c r="BY189" s="110"/>
      <c r="CA189" s="110"/>
      <c r="CC189" s="110"/>
      <c r="CE189" s="110"/>
      <c r="CG189" s="110"/>
    </row>
    <row r="190" spans="1:108" s="48" customFormat="1" x14ac:dyDescent="0.25">
      <c r="A190" s="48" t="s">
        <v>81</v>
      </c>
      <c r="B190" s="48">
        <f>'Annual Raw'!C85</f>
        <v>0</v>
      </c>
      <c r="C190" s="48">
        <f>'Annual Raw'!D85</f>
        <v>0</v>
      </c>
      <c r="D190" s="48">
        <f>'Annual Raw'!E85</f>
        <v>0</v>
      </c>
      <c r="E190" s="48">
        <f>'Annual Raw'!F85</f>
        <v>0</v>
      </c>
      <c r="F190" s="48">
        <f>'Annual Raw'!G85</f>
        <v>37.685499999999998</v>
      </c>
      <c r="G190" s="48">
        <f>'Annual Raw'!H85</f>
        <v>55.9923</v>
      </c>
      <c r="H190" s="48">
        <f>'Annual Raw'!I85</f>
        <v>43.246099999999998</v>
      </c>
      <c r="I190" s="48">
        <f>'Annual Raw'!J85</f>
        <v>87.994500000000002</v>
      </c>
      <c r="J190" s="48">
        <f>'Annual Raw'!K85</f>
        <v>146.86609999999999</v>
      </c>
      <c r="K190" s="48">
        <f>'Annual Raw'!L85</f>
        <v>195.12989999999999</v>
      </c>
      <c r="L190" s="48">
        <f>'Annual Raw'!M85</f>
        <v>180.6728</v>
      </c>
      <c r="M190" s="48">
        <f>'Annual Raw'!N85</f>
        <v>106.74299999999999</v>
      </c>
      <c r="N190" s="48">
        <f>'Annual Raw'!O85</f>
        <v>0</v>
      </c>
      <c r="O190" s="48">
        <f>'Annual Raw'!P85</f>
        <v>0</v>
      </c>
      <c r="P190" s="48">
        <f>'Annual Raw'!Q85</f>
        <v>93.382999999999996</v>
      </c>
      <c r="Q190" s="48">
        <f>'Annual Raw'!R85</f>
        <v>97.712999999999994</v>
      </c>
      <c r="R190" s="48">
        <f>'Annual Raw'!S85</f>
        <v>180.928</v>
      </c>
      <c r="S190" s="48">
        <f>'Annual Raw'!T85</f>
        <v>118.61799999999999</v>
      </c>
      <c r="T190" s="48">
        <f>'Annual Raw'!U85</f>
        <v>206.30799999999999</v>
      </c>
      <c r="U190" s="48">
        <f>'Annual Raw'!V85</f>
        <v>303.93200000000002</v>
      </c>
      <c r="V190" s="48">
        <f>'Annual Raw'!W85</f>
        <v>268.79300000000001</v>
      </c>
      <c r="W190" s="48">
        <f>'Annual Raw'!X85</f>
        <v>282.923</v>
      </c>
      <c r="X190" s="48">
        <f>'Annual Raw'!Y85</f>
        <v>230.04599999999999</v>
      </c>
      <c r="Y190" s="48">
        <f>'Annual Raw'!Z85</f>
        <v>225.399</v>
      </c>
      <c r="Z190" s="48">
        <f>'Annual Raw'!AA85</f>
        <v>302.44200000000001</v>
      </c>
      <c r="AA190" s="49"/>
      <c r="AB190" s="49"/>
      <c r="AC190" s="49"/>
      <c r="AD190" s="49"/>
      <c r="AE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  <c r="DB190"/>
      <c r="DD190" s="137"/>
    </row>
    <row r="191" spans="1:108" s="28" customFormat="1" x14ac:dyDescent="0.25">
      <c r="A191" s="28" t="s">
        <v>82</v>
      </c>
      <c r="B191" s="28">
        <f>'Annual Raw'!C95</f>
        <v>0</v>
      </c>
      <c r="C191" s="28">
        <f>'Annual Raw'!D95</f>
        <v>0</v>
      </c>
      <c r="D191" s="28">
        <f>'Annual Raw'!E95</f>
        <v>0</v>
      </c>
      <c r="E191" s="28">
        <f>'Annual Raw'!F95</f>
        <v>0</v>
      </c>
      <c r="F191" s="28">
        <f>'Annual Raw'!G95</f>
        <v>34.3583</v>
      </c>
      <c r="G191" s="28">
        <f>'Annual Raw'!H95</f>
        <v>34.357300000000002</v>
      </c>
      <c r="H191" s="28">
        <f>'Annual Raw'!I95</f>
        <v>33.204900000000002</v>
      </c>
      <c r="I191" s="28">
        <f>'Annual Raw'!J95</f>
        <v>44.198500000000003</v>
      </c>
      <c r="J191" s="28">
        <f>'Annual Raw'!K95</f>
        <v>108.0842</v>
      </c>
      <c r="K191" s="28">
        <f>'Annual Raw'!L95</f>
        <v>91.034199999999998</v>
      </c>
      <c r="L191" s="28">
        <f>'Annual Raw'!M95</f>
        <v>143.58189999999999</v>
      </c>
      <c r="M191" s="28">
        <f>'Annual Raw'!N95</f>
        <v>93.932000000000002</v>
      </c>
      <c r="N191" s="28">
        <f>'Annual Raw'!O95</f>
        <v>0</v>
      </c>
      <c r="O191" s="28">
        <f>'Annual Raw'!P95</f>
        <v>0</v>
      </c>
      <c r="P191" s="28">
        <f>'Annual Raw'!Q95</f>
        <v>70.325000000000003</v>
      </c>
      <c r="Q191" s="28">
        <f>'Annual Raw'!R95</f>
        <v>75.36</v>
      </c>
      <c r="R191" s="28">
        <f>'Annual Raw'!S95</f>
        <v>33.979999999999997</v>
      </c>
      <c r="S191" s="28">
        <f>'Annual Raw'!T95</f>
        <v>33.889000000000003</v>
      </c>
      <c r="T191" s="28">
        <f>'Annual Raw'!U95</f>
        <v>7.23</v>
      </c>
      <c r="U191" s="28">
        <f>'Annual Raw'!V95</f>
        <v>7.3449999999999998</v>
      </c>
      <c r="V191" s="28">
        <f>'Annual Raw'!W95</f>
        <v>8.1020000000000003</v>
      </c>
      <c r="W191" s="28">
        <f>'Annual Raw'!X95</f>
        <v>7.9269999999999996</v>
      </c>
      <c r="X191" s="28">
        <f>'Annual Raw'!Y95</f>
        <v>35.542999999999999</v>
      </c>
      <c r="Y191" s="28">
        <f>'Annual Raw'!Z95</f>
        <v>37.338999999999999</v>
      </c>
      <c r="Z191" s="28">
        <f>'Annual Raw'!AA95</f>
        <v>45.847999999999999</v>
      </c>
      <c r="AA191" s="29"/>
      <c r="AB191" s="29"/>
      <c r="AC191" s="29"/>
      <c r="AD191" s="29"/>
      <c r="AE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/>
      <c r="DD191" s="138"/>
    </row>
    <row r="192" spans="1:108" s="28" customFormat="1" x14ac:dyDescent="0.25">
      <c r="A192" s="28" t="s">
        <v>83</v>
      </c>
      <c r="B192" s="28">
        <f>'Annual Raw'!C93</f>
        <v>0</v>
      </c>
      <c r="C192" s="28">
        <f>'Annual Raw'!D93</f>
        <v>0</v>
      </c>
      <c r="D192" s="28">
        <f>'Annual Raw'!E93</f>
        <v>0</v>
      </c>
      <c r="E192" s="28">
        <f>'Annual Raw'!F93</f>
        <v>0</v>
      </c>
      <c r="F192" s="28">
        <f>'Annual Raw'!G93</f>
        <v>0</v>
      </c>
      <c r="G192" s="28">
        <f>'Annual Raw'!H93</f>
        <v>0</v>
      </c>
      <c r="H192" s="28">
        <f>'Annual Raw'!I93</f>
        <v>0</v>
      </c>
      <c r="I192" s="28">
        <f>'Annual Raw'!J93</f>
        <v>0</v>
      </c>
      <c r="J192" s="28">
        <f>'Annual Raw'!K93</f>
        <v>0</v>
      </c>
      <c r="K192" s="28">
        <f>'Annual Raw'!L93</f>
        <v>0</v>
      </c>
      <c r="L192" s="28">
        <f>'Annual Raw'!M93</f>
        <v>0</v>
      </c>
      <c r="M192" s="28">
        <f>'Annual Raw'!N93</f>
        <v>12.811</v>
      </c>
      <c r="N192" s="28">
        <f>'Annual Raw'!O93</f>
        <v>0</v>
      </c>
      <c r="O192" s="28">
        <f>'Annual Raw'!P93</f>
        <v>0</v>
      </c>
      <c r="P192" s="28">
        <f>'Annual Raw'!Q93</f>
        <v>23.058</v>
      </c>
      <c r="Q192" s="28">
        <f>'Annual Raw'!R93</f>
        <v>22.353000000000002</v>
      </c>
      <c r="R192" s="28">
        <f>'Annual Raw'!S93</f>
        <v>146.94800000000001</v>
      </c>
      <c r="S192" s="28">
        <f>'Annual Raw'!T93</f>
        <v>84.728999999999999</v>
      </c>
      <c r="T192" s="28">
        <f>'Annual Raw'!U93</f>
        <v>199.078</v>
      </c>
      <c r="U192" s="28">
        <f>'Annual Raw'!V93</f>
        <v>296.58699999999999</v>
      </c>
      <c r="V192" s="28">
        <f>'Annual Raw'!W93</f>
        <v>260.69099999999997</v>
      </c>
      <c r="W192" s="28">
        <f>'Annual Raw'!X93</f>
        <v>274.99599999999998</v>
      </c>
      <c r="X192" s="28">
        <f>'Annual Raw'!Y93</f>
        <v>194.50299999999999</v>
      </c>
      <c r="Y192" s="28">
        <f>'Annual Raw'!Z93</f>
        <v>188.06</v>
      </c>
      <c r="Z192" s="28">
        <f>'Annual Raw'!AA93</f>
        <v>256.59399999999999</v>
      </c>
      <c r="AA192" s="29"/>
      <c r="AB192" s="29"/>
      <c r="AC192" s="29"/>
      <c r="AD192" s="29"/>
      <c r="AE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/>
      <c r="DD192" s="138"/>
    </row>
    <row r="193" spans="1:108" s="28" customFormat="1" x14ac:dyDescent="0.25">
      <c r="A193" s="28" t="s">
        <v>84</v>
      </c>
      <c r="B193" s="28">
        <f t="shared" ref="B193:V193" si="1847">B190-B191-B192</f>
        <v>0</v>
      </c>
      <c r="C193" s="28">
        <f t="shared" si="1847"/>
        <v>0</v>
      </c>
      <c r="D193" s="28">
        <f t="shared" si="1847"/>
        <v>0</v>
      </c>
      <c r="E193" s="28">
        <f t="shared" si="1847"/>
        <v>0</v>
      </c>
      <c r="F193" s="28">
        <f t="shared" si="1847"/>
        <v>3.3271999999999977</v>
      </c>
      <c r="G193" s="28">
        <f t="shared" si="1847"/>
        <v>21.634999999999998</v>
      </c>
      <c r="H193" s="28">
        <f t="shared" si="1847"/>
        <v>10.041199999999996</v>
      </c>
      <c r="I193" s="28">
        <f t="shared" si="1847"/>
        <v>43.795999999999999</v>
      </c>
      <c r="J193" s="28">
        <f t="shared" si="1847"/>
        <v>38.781899999999993</v>
      </c>
      <c r="K193" s="28">
        <f t="shared" si="1847"/>
        <v>104.09569999999999</v>
      </c>
      <c r="L193" s="28">
        <f t="shared" si="1847"/>
        <v>37.090900000000005</v>
      </c>
      <c r="M193" s="28">
        <f t="shared" si="1847"/>
        <v>0</v>
      </c>
      <c r="N193" s="28">
        <f t="shared" si="1847"/>
        <v>0</v>
      </c>
      <c r="O193" s="28">
        <f t="shared" si="1847"/>
        <v>0</v>
      </c>
      <c r="P193" s="28">
        <f t="shared" si="1847"/>
        <v>0</v>
      </c>
      <c r="Q193" s="28">
        <f t="shared" si="1847"/>
        <v>0</v>
      </c>
      <c r="R193" s="28">
        <f t="shared" si="1847"/>
        <v>0</v>
      </c>
      <c r="S193" s="28">
        <f t="shared" si="1847"/>
        <v>0</v>
      </c>
      <c r="T193" s="28">
        <f t="shared" si="1847"/>
        <v>0</v>
      </c>
      <c r="U193" s="28">
        <f t="shared" si="1847"/>
        <v>0</v>
      </c>
      <c r="V193" s="28">
        <f t="shared" si="1847"/>
        <v>0</v>
      </c>
      <c r="W193" s="28">
        <f t="shared" ref="W193" si="1848">W190-W191-W192</f>
        <v>0</v>
      </c>
      <c r="X193" s="28">
        <f t="shared" ref="X193:Y193" si="1849">X190-X191-X192</f>
        <v>0</v>
      </c>
      <c r="Y193" s="28">
        <f t="shared" si="1849"/>
        <v>0</v>
      </c>
      <c r="Z193" s="28">
        <f t="shared" ref="Z193" si="1850">Z190-Z191-Z192</f>
        <v>0</v>
      </c>
      <c r="AA193" s="29">
        <f t="shared" ref="AA193:AD193" si="1851">AA190-AA191-AA192</f>
        <v>0</v>
      </c>
      <c r="AB193" s="29">
        <f t="shared" si="1851"/>
        <v>0</v>
      </c>
      <c r="AC193" s="29">
        <f t="shared" si="1851"/>
        <v>0</v>
      </c>
      <c r="AD193" s="29">
        <f t="shared" si="1851"/>
        <v>0</v>
      </c>
      <c r="AE193" s="29">
        <f t="shared" ref="AE193" si="1852">AE190-AE191-AE192</f>
        <v>0</v>
      </c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/>
      <c r="DD193" s="138"/>
    </row>
    <row r="194" spans="1:108" s="5" customFormat="1" x14ac:dyDescent="0.25">
      <c r="AA194" s="62"/>
      <c r="AB194" s="62"/>
      <c r="AC194" s="62"/>
      <c r="AD194" s="62"/>
      <c r="AE194" s="62"/>
      <c r="AI194" s="111"/>
      <c r="AK194" s="111"/>
      <c r="AM194" s="111"/>
      <c r="AO194" s="111"/>
      <c r="AQ194" s="111"/>
      <c r="AS194" s="111"/>
      <c r="AU194" s="111"/>
      <c r="AW194" s="111"/>
      <c r="AY194" s="111"/>
      <c r="BA194" s="111"/>
      <c r="BC194" s="111"/>
      <c r="BE194" s="111"/>
      <c r="BG194" s="111"/>
      <c r="BI194" s="111"/>
      <c r="BK194" s="111"/>
      <c r="BM194" s="111"/>
      <c r="BO194" s="111"/>
      <c r="BQ194" s="111"/>
      <c r="BS194" s="111"/>
      <c r="BU194" s="111"/>
      <c r="BW194" s="111"/>
      <c r="BY194" s="111"/>
      <c r="CA194" s="111"/>
      <c r="CC194" s="111"/>
      <c r="CE194" s="111"/>
      <c r="CG194" s="111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/>
      <c r="DD194" s="138"/>
    </row>
    <row r="195" spans="1:108" s="94" customFormat="1" x14ac:dyDescent="0.25">
      <c r="A195" s="94" t="s">
        <v>85</v>
      </c>
      <c r="B195" s="94" t="e">
        <f t="shared" ref="B195:W195" si="1853">B190/B140</f>
        <v>#DIV/0!</v>
      </c>
      <c r="C195" s="94" t="e">
        <f t="shared" si="1853"/>
        <v>#DIV/0!</v>
      </c>
      <c r="D195" s="94" t="e">
        <f t="shared" si="1853"/>
        <v>#DIV/0!</v>
      </c>
      <c r="E195" s="94" t="e">
        <f t="shared" si="1853"/>
        <v>#DIV/0!</v>
      </c>
      <c r="F195" s="94">
        <f t="shared" si="1853"/>
        <v>0.2542349068892642</v>
      </c>
      <c r="G195" s="94">
        <f t="shared" si="1853"/>
        <v>0.35079664836047619</v>
      </c>
      <c r="H195" s="94">
        <f t="shared" si="1853"/>
        <v>0.2499040152020989</v>
      </c>
      <c r="I195" s="94">
        <f t="shared" si="1853"/>
        <v>0.45298657555754773</v>
      </c>
      <c r="J195" s="94">
        <f t="shared" si="1853"/>
        <v>0.68253675971665484</v>
      </c>
      <c r="K195" s="94">
        <f t="shared" si="1853"/>
        <v>1.0013837731886484</v>
      </c>
      <c r="L195" s="94">
        <f t="shared" si="1853"/>
        <v>0.96202848037902899</v>
      </c>
      <c r="M195" s="94">
        <f t="shared" si="1853"/>
        <v>0.96812900768205179</v>
      </c>
      <c r="N195" s="94">
        <f t="shared" si="1853"/>
        <v>0</v>
      </c>
      <c r="O195" s="94">
        <f t="shared" si="1853"/>
        <v>0</v>
      </c>
      <c r="P195" s="94">
        <f t="shared" si="1853"/>
        <v>0.27219174648330696</v>
      </c>
      <c r="Q195" s="94">
        <f t="shared" si="1853"/>
        <v>0.14491522030263526</v>
      </c>
      <c r="R195" s="94">
        <f t="shared" si="1853"/>
        <v>0.10683073580165271</v>
      </c>
      <c r="S195" s="94">
        <f t="shared" si="1853"/>
        <v>6.7037483299687797E-2</v>
      </c>
      <c r="T195" s="94">
        <f t="shared" si="1853"/>
        <v>0.1032312169502788</v>
      </c>
      <c r="U195" s="94">
        <f t="shared" si="1853"/>
        <v>9.1314142257201761E-2</v>
      </c>
      <c r="V195" s="94">
        <f t="shared" si="1853"/>
        <v>7.6274949978731563E-2</v>
      </c>
      <c r="W195" s="94">
        <f t="shared" si="1853"/>
        <v>6.9345436220620657E-2</v>
      </c>
      <c r="X195" s="94">
        <f t="shared" ref="X195:Y195" si="1854">X190/X140</f>
        <v>4.5086018681478053E-2</v>
      </c>
      <c r="Y195" s="94">
        <f t="shared" si="1854"/>
        <v>3.2494639225730336E-2</v>
      </c>
      <c r="Z195" s="94">
        <f t="shared" ref="Z195" si="1855">Z190/Z140</f>
        <v>1.8208617211448546E-2</v>
      </c>
      <c r="AA195" s="86">
        <f t="shared" ref="AA195:AD195" si="1856">AA190/AA140</f>
        <v>0</v>
      </c>
      <c r="AB195" s="86">
        <f t="shared" si="1856"/>
        <v>0</v>
      </c>
      <c r="AC195" s="86">
        <f t="shared" si="1856"/>
        <v>0</v>
      </c>
      <c r="AD195" s="86">
        <f t="shared" si="1856"/>
        <v>0</v>
      </c>
      <c r="AE195" s="86">
        <f t="shared" ref="AE195" si="1857">AE190/AE140</f>
        <v>0</v>
      </c>
      <c r="CM195" s="95"/>
      <c r="CN195" s="95"/>
      <c r="CO195" s="95"/>
      <c r="CP195" s="95"/>
      <c r="CQ195" s="95"/>
      <c r="CR195" s="95"/>
      <c r="CS195" s="95"/>
      <c r="CT195" s="95"/>
      <c r="CU195" s="95"/>
      <c r="CV195" s="95"/>
      <c r="CW195" s="95"/>
      <c r="CX195" s="95"/>
      <c r="CY195" s="95"/>
      <c r="CZ195" s="95"/>
      <c r="DA195" s="95"/>
      <c r="DB195"/>
      <c r="DD195" s="139"/>
    </row>
    <row r="196" spans="1:108" x14ac:dyDescent="0.25">
      <c r="A196" s="151" t="s">
        <v>493</v>
      </c>
      <c r="AI196" s="110"/>
      <c r="AK196" s="110"/>
      <c r="AM196" s="110"/>
      <c r="AO196" s="110"/>
      <c r="AQ196" s="110"/>
      <c r="AS196" s="110"/>
      <c r="AU196" s="110"/>
      <c r="AW196" s="110"/>
      <c r="AY196" s="110"/>
      <c r="BA196" s="110"/>
      <c r="BC196" s="110"/>
      <c r="BE196" s="110"/>
      <c r="BG196" s="110"/>
      <c r="BI196" s="110"/>
      <c r="BK196" s="110"/>
      <c r="BM196" s="110"/>
      <c r="BO196" s="110"/>
      <c r="BQ196" s="110"/>
      <c r="BS196" s="110"/>
      <c r="BU196" s="110"/>
      <c r="BW196" s="110"/>
      <c r="BY196" s="110"/>
      <c r="CA196" s="110"/>
      <c r="CC196" s="110"/>
      <c r="CE196" s="110"/>
      <c r="CG196" s="110"/>
    </row>
    <row r="197" spans="1:108" s="6" customFormat="1" x14ac:dyDescent="0.25">
      <c r="AA197" s="18"/>
      <c r="AB197" s="18"/>
      <c r="AC197" s="18"/>
      <c r="AD197" s="18"/>
      <c r="AE197" s="18"/>
      <c r="AI197" s="112"/>
      <c r="AK197" s="112"/>
      <c r="AM197" s="112"/>
      <c r="AO197" s="112"/>
      <c r="AQ197" s="112"/>
      <c r="AS197" s="112"/>
      <c r="AU197" s="112"/>
      <c r="AW197" s="112"/>
      <c r="AY197" s="112"/>
      <c r="BA197" s="112"/>
      <c r="BC197" s="112"/>
      <c r="BE197" s="112"/>
      <c r="BG197" s="112"/>
      <c r="BI197" s="112"/>
      <c r="BK197" s="112"/>
      <c r="BM197" s="112"/>
      <c r="BO197" s="112"/>
      <c r="BQ197" s="112"/>
      <c r="BS197" s="112"/>
      <c r="BU197" s="112"/>
      <c r="BW197" s="112"/>
      <c r="BY197" s="112"/>
      <c r="CA197" s="112"/>
      <c r="CC197" s="112"/>
      <c r="CE197" s="112"/>
      <c r="CG197" s="112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/>
      <c r="DD197" s="122"/>
    </row>
    <row r="198" spans="1:108" s="61" customFormat="1" x14ac:dyDescent="0.25">
      <c r="A198" s="152" t="s">
        <v>494</v>
      </c>
      <c r="AA198" s="62"/>
      <c r="AB198" s="62"/>
      <c r="AC198" s="62"/>
      <c r="AD198" s="62"/>
      <c r="AE198" s="62"/>
      <c r="AI198" s="113"/>
      <c r="AK198" s="113"/>
      <c r="AM198" s="113"/>
      <c r="AO198" s="113"/>
      <c r="AQ198" s="113"/>
      <c r="AS198" s="113"/>
      <c r="AU198" s="113"/>
      <c r="AW198" s="113"/>
      <c r="AY198" s="113"/>
      <c r="BA198" s="113"/>
      <c r="BC198" s="113"/>
      <c r="BE198" s="113"/>
      <c r="BG198" s="113"/>
      <c r="BI198" s="113"/>
      <c r="BK198" s="113"/>
      <c r="BM198" s="113"/>
      <c r="BO198" s="113"/>
      <c r="BQ198" s="113"/>
      <c r="BS198" s="113"/>
      <c r="BU198" s="113"/>
      <c r="BW198" s="113"/>
      <c r="BY198" s="113"/>
      <c r="CA198" s="113"/>
      <c r="CC198" s="113"/>
      <c r="CE198" s="113"/>
      <c r="CG198" s="113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/>
      <c r="DD198" s="138"/>
    </row>
    <row r="199" spans="1:108" s="61" customFormat="1" outlineLevel="1" x14ac:dyDescent="0.25">
      <c r="A199" s="67" t="s">
        <v>464</v>
      </c>
      <c r="B199" s="66" t="e">
        <f t="shared" ref="B199:AE199" si="1858">B164/B28*365</f>
        <v>#DIV/0!</v>
      </c>
      <c r="C199" s="66" t="e">
        <f t="shared" si="1858"/>
        <v>#DIV/0!</v>
      </c>
      <c r="D199" s="66" t="e">
        <f t="shared" si="1858"/>
        <v>#DIV/0!</v>
      </c>
      <c r="E199" s="66" t="e">
        <f t="shared" si="1858"/>
        <v>#DIV/0!</v>
      </c>
      <c r="F199" s="66">
        <f t="shared" si="1858"/>
        <v>34.275210631043464</v>
      </c>
      <c r="G199" s="66">
        <f t="shared" si="1858"/>
        <v>28.762990024368133</v>
      </c>
      <c r="H199" s="66">
        <f t="shared" si="1858"/>
        <v>27.233634010617244</v>
      </c>
      <c r="I199" s="66">
        <f t="shared" si="1858"/>
        <v>31.370878112091688</v>
      </c>
      <c r="J199" s="66">
        <f t="shared" si="1858"/>
        <v>39.613749038751855</v>
      </c>
      <c r="K199" s="66">
        <f t="shared" si="1858"/>
        <v>41.849930718924121</v>
      </c>
      <c r="L199" s="66">
        <f t="shared" si="1858"/>
        <v>42.539223362691907</v>
      </c>
      <c r="M199" s="66">
        <f t="shared" si="1858"/>
        <v>50.132350375293619</v>
      </c>
      <c r="N199" s="66">
        <f t="shared" si="1858"/>
        <v>42.374607148215773</v>
      </c>
      <c r="O199" s="66">
        <f t="shared" si="1858"/>
        <v>38.252476529800241</v>
      </c>
      <c r="P199" s="66">
        <f t="shared" si="1858"/>
        <v>37.557264589975219</v>
      </c>
      <c r="Q199" s="66">
        <f t="shared" si="1858"/>
        <v>39.683940475599186</v>
      </c>
      <c r="R199" s="66">
        <f t="shared" si="1858"/>
        <v>39.462546406114932</v>
      </c>
      <c r="S199" s="66">
        <f t="shared" si="1858"/>
        <v>35.470092509991964</v>
      </c>
      <c r="T199" s="66">
        <f t="shared" si="1858"/>
        <v>34.186788378802383</v>
      </c>
      <c r="U199" s="66">
        <f t="shared" si="1858"/>
        <v>37.27906817230955</v>
      </c>
      <c r="V199" s="66">
        <f t="shared" si="1858"/>
        <v>44.255979476484299</v>
      </c>
      <c r="W199" s="66">
        <f t="shared" si="1858"/>
        <v>56.770506780484411</v>
      </c>
      <c r="X199" s="66">
        <f t="shared" si="1858"/>
        <v>52.845322467931247</v>
      </c>
      <c r="Y199" s="66">
        <f t="shared" si="1858"/>
        <v>47.133135836545868</v>
      </c>
      <c r="Z199" s="66">
        <f t="shared" si="1858"/>
        <v>47.979351462406562</v>
      </c>
      <c r="AA199" s="17">
        <f t="shared" si="1858"/>
        <v>48.475800905838973</v>
      </c>
      <c r="AB199" s="17">
        <f t="shared" si="1858"/>
        <v>30.685965243338948</v>
      </c>
      <c r="AC199" s="17">
        <f t="shared" si="1858"/>
        <v>30.654200892326394</v>
      </c>
      <c r="AD199" s="17">
        <f t="shared" si="1858"/>
        <v>30.771532385725767</v>
      </c>
      <c r="AE199" s="17">
        <f t="shared" si="1858"/>
        <v>30.899765791736847</v>
      </c>
      <c r="AI199" s="66" t="e">
        <f>AI164/AI28*90</f>
        <v>#DIV/0!</v>
      </c>
      <c r="AJ199" s="66" t="e">
        <f t="shared" ref="AJ199:CJ204" si="1859">+AI199</f>
        <v>#DIV/0!</v>
      </c>
      <c r="AK199" s="66" t="e">
        <f>AK164/AK28*90</f>
        <v>#DIV/0!</v>
      </c>
      <c r="AL199" s="66" t="e">
        <f t="shared" si="1859"/>
        <v>#DIV/0!</v>
      </c>
      <c r="AM199" s="66" t="e">
        <f>AM164/AM28*90</f>
        <v>#DIV/0!</v>
      </c>
      <c r="AN199" s="66" t="e">
        <f t="shared" si="1859"/>
        <v>#DIV/0!</v>
      </c>
      <c r="AO199" s="66" t="e">
        <f>AO164/AO28*90</f>
        <v>#DIV/0!</v>
      </c>
      <c r="AP199" s="66" t="e">
        <f t="shared" si="1859"/>
        <v>#DIV/0!</v>
      </c>
      <c r="AQ199" s="66" t="e">
        <f>AQ164/AQ28*90</f>
        <v>#DIV/0!</v>
      </c>
      <c r="AR199" s="66" t="e">
        <f t="shared" si="1859"/>
        <v>#DIV/0!</v>
      </c>
      <c r="AS199" s="66" t="e">
        <f>AS164/AS28*90</f>
        <v>#DIV/0!</v>
      </c>
      <c r="AT199" s="66" t="e">
        <f t="shared" si="1859"/>
        <v>#DIV/0!</v>
      </c>
      <c r="AU199" s="66" t="e">
        <f>AU164/AU28*90</f>
        <v>#DIV/0!</v>
      </c>
      <c r="AV199" s="66" t="e">
        <f t="shared" si="1859"/>
        <v>#DIV/0!</v>
      </c>
      <c r="AW199" s="66">
        <f>AW164/AW28*90</f>
        <v>97.783818634436642</v>
      </c>
      <c r="AX199" s="66">
        <f t="shared" si="1859"/>
        <v>97.783818634436642</v>
      </c>
      <c r="AY199" s="66">
        <f>AY164/AY28*90</f>
        <v>0</v>
      </c>
      <c r="AZ199" s="66">
        <f t="shared" si="1859"/>
        <v>0</v>
      </c>
      <c r="BA199" s="66">
        <f>BA164/BA28*90</f>
        <v>90.384098982664497</v>
      </c>
      <c r="BB199" s="66">
        <f t="shared" si="1859"/>
        <v>90.384098982664497</v>
      </c>
      <c r="BC199" s="66">
        <f>BC164/BC28*90</f>
        <v>23.114001138568785</v>
      </c>
      <c r="BD199" s="66">
        <f t="shared" si="1859"/>
        <v>23.114001138568785</v>
      </c>
      <c r="BE199" s="66">
        <f>BE164/BE28*90</f>
        <v>72.68288733547638</v>
      </c>
      <c r="BF199" s="66">
        <f t="shared" si="1859"/>
        <v>72.68288733547638</v>
      </c>
      <c r="BG199" s="66">
        <f>BG164/BG28*90</f>
        <v>24.252603299913307</v>
      </c>
      <c r="BH199" s="66">
        <f t="shared" si="1859"/>
        <v>24.252603299913307</v>
      </c>
      <c r="BI199" s="66">
        <f>BI164/BI28*90</f>
        <v>64.734902137322379</v>
      </c>
      <c r="BJ199" s="66">
        <f t="shared" si="1859"/>
        <v>64.734902137322379</v>
      </c>
      <c r="BK199" s="66">
        <f>BK164/BK28*90</f>
        <v>25.469782311441268</v>
      </c>
      <c r="BL199" s="66">
        <f t="shared" si="1859"/>
        <v>25.469782311441268</v>
      </c>
      <c r="BM199" s="66">
        <f>BM164/BM28*90</f>
        <v>64.004784052084048</v>
      </c>
      <c r="BN199" s="66">
        <f t="shared" si="1859"/>
        <v>64.004784052084048</v>
      </c>
      <c r="BO199" s="66">
        <f>BO164/BO28*90</f>
        <v>53.195414512904563</v>
      </c>
      <c r="BP199" s="66">
        <f t="shared" si="1859"/>
        <v>53.195414512904563</v>
      </c>
      <c r="BQ199" s="66">
        <f>BQ164/BQ28*90</f>
        <v>61.858911790453767</v>
      </c>
      <c r="BR199" s="66">
        <f t="shared" si="1859"/>
        <v>61.858911790453767</v>
      </c>
      <c r="BS199" s="66">
        <f>BS164/BS28*90</f>
        <v>46.202310551081659</v>
      </c>
      <c r="BT199" s="66">
        <f t="shared" si="1859"/>
        <v>46.202310551081659</v>
      </c>
      <c r="BU199" s="66">
        <f>BU164/BU28*90</f>
        <v>73.842807897850122</v>
      </c>
      <c r="BV199" s="66">
        <f t="shared" si="1859"/>
        <v>73.842807897850122</v>
      </c>
      <c r="BW199" s="66">
        <f>BW164/BW28*90</f>
        <v>32.200917774024305</v>
      </c>
      <c r="BX199" s="66">
        <f t="shared" si="1859"/>
        <v>32.200917774024305</v>
      </c>
      <c r="BY199" s="66">
        <f>BY164/BY28*90</f>
        <v>79.500961589154002</v>
      </c>
      <c r="BZ199" s="66">
        <f t="shared" si="1859"/>
        <v>79.500961589154002</v>
      </c>
      <c r="CA199" s="66">
        <f>CA164/CA28*90</f>
        <v>33.01297218431597</v>
      </c>
      <c r="CB199" s="66">
        <f t="shared" si="1859"/>
        <v>33.01297218431597</v>
      </c>
      <c r="CC199" s="66">
        <f>CC164/CC28*90</f>
        <v>70.87119944400952</v>
      </c>
      <c r="CD199" s="66">
        <f t="shared" si="1859"/>
        <v>70.87119944400952</v>
      </c>
      <c r="CE199" s="66">
        <f>CE164/CE28*90</f>
        <v>34.313181718517001</v>
      </c>
      <c r="CF199" s="66">
        <f t="shared" si="1859"/>
        <v>34.313181718517001</v>
      </c>
      <c r="CG199" s="66">
        <f>CG164/CG28*90</f>
        <v>65.803141490171228</v>
      </c>
      <c r="CH199" s="66">
        <f t="shared" si="1859"/>
        <v>65.803141490171228</v>
      </c>
      <c r="CI199" s="66">
        <f>CI164/CI28*90</f>
        <v>38.615063392945522</v>
      </c>
      <c r="CJ199" s="66">
        <f t="shared" si="1859"/>
        <v>38.615063392945522</v>
      </c>
      <c r="CK199" s="66">
        <f t="shared" ref="CK199:CK200" si="1860">+CJ199</f>
        <v>38.615063392945522</v>
      </c>
      <c r="CL199" s="66">
        <f t="shared" ref="CL199:CL200" si="1861">+CK199</f>
        <v>38.615063392945522</v>
      </c>
      <c r="CM199" s="29">
        <f t="shared" ref="CM199:CM200" si="1862">+CL199</f>
        <v>38.615063392945522</v>
      </c>
      <c r="CN199" s="29">
        <f t="shared" ref="CN199:CN200" si="1863">+CM199</f>
        <v>38.615063392945522</v>
      </c>
      <c r="CO199" s="29">
        <f t="shared" ref="CO199:CO200" si="1864">+CN199</f>
        <v>38.615063392945522</v>
      </c>
      <c r="CP199" s="29">
        <f t="shared" ref="CP199:CP200" si="1865">+CO199</f>
        <v>38.615063392945522</v>
      </c>
      <c r="CQ199" s="29">
        <f t="shared" ref="CQ199:CQ200" si="1866">+CP199</f>
        <v>38.615063392945522</v>
      </c>
      <c r="CR199" s="29">
        <f t="shared" ref="CR199:CR200" si="1867">+CQ199</f>
        <v>38.615063392945522</v>
      </c>
      <c r="CS199" s="29">
        <f t="shared" ref="CS199:CS200" si="1868">+CR199</f>
        <v>38.615063392945522</v>
      </c>
      <c r="CT199" s="29">
        <f t="shared" ref="CT199:CT200" si="1869">+CS199</f>
        <v>38.615063392945522</v>
      </c>
      <c r="CU199" s="29">
        <f t="shared" ref="CU199:CU200" si="1870">+CT199</f>
        <v>38.615063392945522</v>
      </c>
      <c r="CV199" s="29">
        <f t="shared" ref="CV199:CV200" si="1871">+CU199</f>
        <v>38.615063392945522</v>
      </c>
      <c r="CW199" s="29">
        <f t="shared" ref="CW199:CW200" si="1872">+CV199</f>
        <v>38.615063392945522</v>
      </c>
      <c r="CX199" s="29">
        <f t="shared" ref="CX199:CX200" si="1873">+CW199</f>
        <v>38.615063392945522</v>
      </c>
      <c r="CY199" s="29">
        <f t="shared" ref="CY199:CY200" si="1874">+CX199</f>
        <v>38.615063392945522</v>
      </c>
      <c r="CZ199" s="29">
        <f t="shared" ref="CZ199:CZ200" si="1875">+CY199</f>
        <v>38.615063392945522</v>
      </c>
      <c r="DA199" s="29">
        <f t="shared" ref="DA199:DA200" si="1876">+CZ199</f>
        <v>38.615063392945522</v>
      </c>
      <c r="DB199"/>
      <c r="DD199" s="138"/>
    </row>
    <row r="200" spans="1:108" s="61" customFormat="1" outlineLevel="1" x14ac:dyDescent="0.25">
      <c r="A200" s="67" t="s">
        <v>465</v>
      </c>
      <c r="B200" s="66" t="e">
        <f t="shared" ref="B200:AE200" si="1877">B165/B28*365</f>
        <v>#DIV/0!</v>
      </c>
      <c r="C200" s="66" t="e">
        <f t="shared" si="1877"/>
        <v>#DIV/0!</v>
      </c>
      <c r="D200" s="66" t="e">
        <f t="shared" si="1877"/>
        <v>#DIV/0!</v>
      </c>
      <c r="E200" s="66" t="e">
        <f t="shared" si="1877"/>
        <v>#DIV/0!</v>
      </c>
      <c r="F200" s="66">
        <f t="shared" si="1877"/>
        <v>23.121514785227284</v>
      </c>
      <c r="G200" s="66">
        <f t="shared" si="1877"/>
        <v>24.352086059119955</v>
      </c>
      <c r="H200" s="66">
        <f t="shared" si="1877"/>
        <v>30.710812272733076</v>
      </c>
      <c r="I200" s="66">
        <f t="shared" si="1877"/>
        <v>36.059092092984137</v>
      </c>
      <c r="J200" s="66">
        <f t="shared" si="1877"/>
        <v>66.546380540896521</v>
      </c>
      <c r="K200" s="66">
        <f t="shared" si="1877"/>
        <v>28.414480391090756</v>
      </c>
      <c r="L200" s="66">
        <f t="shared" si="1877"/>
        <v>29.061461342779889</v>
      </c>
      <c r="M200" s="66">
        <f t="shared" si="1877"/>
        <v>25.622978535724791</v>
      </c>
      <c r="N200" s="66">
        <f t="shared" si="1877"/>
        <v>16.659256902157878</v>
      </c>
      <c r="O200" s="66">
        <f t="shared" si="1877"/>
        <v>10.122842938397133</v>
      </c>
      <c r="P200" s="66">
        <f t="shared" si="1877"/>
        <v>12.632225263369088</v>
      </c>
      <c r="Q200" s="66">
        <f t="shared" si="1877"/>
        <v>9.149544252865029</v>
      </c>
      <c r="R200" s="66">
        <f t="shared" si="1877"/>
        <v>10.57957356358137</v>
      </c>
      <c r="S200" s="66">
        <f t="shared" si="1877"/>
        <v>12.142348834032234</v>
      </c>
      <c r="T200" s="66">
        <f t="shared" si="1877"/>
        <v>7.5670578896435758</v>
      </c>
      <c r="U200" s="66">
        <f t="shared" si="1877"/>
        <v>7.2973281261568168</v>
      </c>
      <c r="V200" s="66">
        <f t="shared" si="1877"/>
        <v>11.521228450217134</v>
      </c>
      <c r="W200" s="66">
        <f t="shared" si="1877"/>
        <v>8.6738005759843126</v>
      </c>
      <c r="X200" s="66">
        <f t="shared" si="1877"/>
        <v>7.9335634386665266</v>
      </c>
      <c r="Y200" s="66">
        <f t="shared" si="1877"/>
        <v>7.8766250146438281</v>
      </c>
      <c r="Z200" s="66">
        <f t="shared" si="1877"/>
        <v>14.53942972880987</v>
      </c>
      <c r="AA200" s="17">
        <f t="shared" si="1877"/>
        <v>20.512231084681513</v>
      </c>
      <c r="AB200" s="17">
        <f t="shared" si="1877"/>
        <v>11.969740922456188</v>
      </c>
      <c r="AC200" s="17">
        <f t="shared" si="1877"/>
        <v>11.957350533261152</v>
      </c>
      <c r="AD200" s="17">
        <f t="shared" si="1877"/>
        <v>12.003118283009231</v>
      </c>
      <c r="AE200" s="17">
        <f t="shared" si="1877"/>
        <v>12.053138565421236</v>
      </c>
      <c r="AI200" s="66" t="e">
        <f>AI165/AI28*90</f>
        <v>#DIV/0!</v>
      </c>
      <c r="AJ200" s="66" t="e">
        <f t="shared" si="1859"/>
        <v>#DIV/0!</v>
      </c>
      <c r="AK200" s="66" t="e">
        <f>AK165/AK28*90</f>
        <v>#DIV/0!</v>
      </c>
      <c r="AL200" s="66" t="e">
        <f t="shared" si="1859"/>
        <v>#DIV/0!</v>
      </c>
      <c r="AM200" s="66" t="e">
        <f>AM165/AM28*90</f>
        <v>#DIV/0!</v>
      </c>
      <c r="AN200" s="66" t="e">
        <f t="shared" si="1859"/>
        <v>#DIV/0!</v>
      </c>
      <c r="AO200" s="66" t="e">
        <f>AO165/AO28*90</f>
        <v>#DIV/0!</v>
      </c>
      <c r="AP200" s="66" t="e">
        <f t="shared" si="1859"/>
        <v>#DIV/0!</v>
      </c>
      <c r="AQ200" s="66" t="e">
        <f>AQ165/AQ28*90</f>
        <v>#DIV/0!</v>
      </c>
      <c r="AR200" s="66" t="e">
        <f t="shared" si="1859"/>
        <v>#DIV/0!</v>
      </c>
      <c r="AS200" s="66" t="e">
        <f>AS165/AS28*90</f>
        <v>#DIV/0!</v>
      </c>
      <c r="AT200" s="66" t="e">
        <f t="shared" si="1859"/>
        <v>#DIV/0!</v>
      </c>
      <c r="AU200" s="66" t="e">
        <f>AU165/AU28*90</f>
        <v>#DIV/0!</v>
      </c>
      <c r="AV200" s="66" t="e">
        <f t="shared" si="1859"/>
        <v>#DIV/0!</v>
      </c>
      <c r="AW200" s="66">
        <f>AW165/AW28*90</f>
        <v>22.545074029632318</v>
      </c>
      <c r="AX200" s="66">
        <f t="shared" si="1859"/>
        <v>22.545074029632318</v>
      </c>
      <c r="AY200" s="66">
        <f>AY165/AY28*90</f>
        <v>0</v>
      </c>
      <c r="AZ200" s="66">
        <f t="shared" si="1859"/>
        <v>0</v>
      </c>
      <c r="BA200" s="66">
        <f>BA165/BA28*90</f>
        <v>24.041238677197374</v>
      </c>
      <c r="BB200" s="66">
        <f t="shared" si="1859"/>
        <v>24.041238677197374</v>
      </c>
      <c r="BC200" s="66">
        <f>BC165/BC28*90</f>
        <v>11.073682773640424</v>
      </c>
      <c r="BD200" s="66">
        <f t="shared" si="1859"/>
        <v>11.073682773640424</v>
      </c>
      <c r="BE200" s="66">
        <f>BE165/BE28*90</f>
        <v>24.881270666080304</v>
      </c>
      <c r="BF200" s="66">
        <f t="shared" si="1859"/>
        <v>24.881270666080304</v>
      </c>
      <c r="BG200" s="66">
        <f>BG165/BG28*90</f>
        <v>9.3563013733903126</v>
      </c>
      <c r="BH200" s="66">
        <f t="shared" si="1859"/>
        <v>9.3563013733903126</v>
      </c>
      <c r="BI200" s="66">
        <f>BI165/BI28*90</f>
        <v>14.328715131874297</v>
      </c>
      <c r="BJ200" s="66">
        <f t="shared" si="1859"/>
        <v>14.328715131874297</v>
      </c>
      <c r="BK200" s="66">
        <f>BK165/BK28*90</f>
        <v>8.4575650570462351</v>
      </c>
      <c r="BL200" s="66">
        <f t="shared" si="1859"/>
        <v>8.4575650570462351</v>
      </c>
      <c r="BM200" s="66">
        <f>BM165/BM28*90</f>
        <v>12.528851545135877</v>
      </c>
      <c r="BN200" s="66">
        <f t="shared" si="1859"/>
        <v>12.528851545135877</v>
      </c>
      <c r="BO200" s="66">
        <f>BO165/BO28*90</f>
        <v>12.836680294652666</v>
      </c>
      <c r="BP200" s="66">
        <f t="shared" si="1859"/>
        <v>12.836680294652666</v>
      </c>
      <c r="BQ200" s="66">
        <f>BQ165/BQ28*90</f>
        <v>16.103827388982335</v>
      </c>
      <c r="BR200" s="66">
        <f t="shared" si="1859"/>
        <v>16.103827388982335</v>
      </c>
      <c r="BS200" s="66">
        <f>BS165/BS28*90</f>
        <v>11.737995782595879</v>
      </c>
      <c r="BT200" s="66">
        <f t="shared" si="1859"/>
        <v>11.737995782595879</v>
      </c>
      <c r="BU200" s="66">
        <f>BU165/BU28*90</f>
        <v>11.282227797495207</v>
      </c>
      <c r="BV200" s="66">
        <f t="shared" si="1859"/>
        <v>11.282227797495207</v>
      </c>
      <c r="BW200" s="66">
        <f>BW165/BW28*90</f>
        <v>5.7791602517152212</v>
      </c>
      <c r="BX200" s="66">
        <f t="shared" si="1859"/>
        <v>5.7791602517152212</v>
      </c>
      <c r="BY200" s="66">
        <f>BY165/BY28*90</f>
        <v>11.935321666081135</v>
      </c>
      <c r="BZ200" s="66">
        <f t="shared" si="1859"/>
        <v>11.935321666081135</v>
      </c>
      <c r="CA200" s="66">
        <f>CA165/CA28*90</f>
        <v>9.5305921293870899</v>
      </c>
      <c r="CB200" s="66">
        <f t="shared" si="1859"/>
        <v>9.5305921293870899</v>
      </c>
      <c r="CC200" s="66">
        <f>CC165/CC28*90</f>
        <v>11.843596918617553</v>
      </c>
      <c r="CD200" s="66">
        <f t="shared" si="1859"/>
        <v>11.843596918617553</v>
      </c>
      <c r="CE200" s="66">
        <f>CE165/CE28*90</f>
        <v>12.584904260785047</v>
      </c>
      <c r="CF200" s="66">
        <f t="shared" si="1859"/>
        <v>12.584904260785047</v>
      </c>
      <c r="CG200" s="66">
        <f>CG165/CG28*90</f>
        <v>19.940664524840773</v>
      </c>
      <c r="CH200" s="66">
        <f t="shared" si="1859"/>
        <v>19.940664524840773</v>
      </c>
      <c r="CI200" s="66">
        <f>CI165/CI28*90</f>
        <v>15.062661410597569</v>
      </c>
      <c r="CJ200" s="66">
        <f t="shared" si="1859"/>
        <v>15.062661410597569</v>
      </c>
      <c r="CK200" s="66">
        <f t="shared" si="1860"/>
        <v>15.062661410597569</v>
      </c>
      <c r="CL200" s="66">
        <f t="shared" si="1861"/>
        <v>15.062661410597569</v>
      </c>
      <c r="CM200" s="29">
        <f t="shared" si="1862"/>
        <v>15.062661410597569</v>
      </c>
      <c r="CN200" s="29">
        <f t="shared" si="1863"/>
        <v>15.062661410597569</v>
      </c>
      <c r="CO200" s="29">
        <f t="shared" si="1864"/>
        <v>15.062661410597569</v>
      </c>
      <c r="CP200" s="29">
        <f t="shared" si="1865"/>
        <v>15.062661410597569</v>
      </c>
      <c r="CQ200" s="29">
        <f t="shared" si="1866"/>
        <v>15.062661410597569</v>
      </c>
      <c r="CR200" s="29">
        <f t="shared" si="1867"/>
        <v>15.062661410597569</v>
      </c>
      <c r="CS200" s="29">
        <f t="shared" si="1868"/>
        <v>15.062661410597569</v>
      </c>
      <c r="CT200" s="29">
        <f t="shared" si="1869"/>
        <v>15.062661410597569</v>
      </c>
      <c r="CU200" s="29">
        <f t="shared" si="1870"/>
        <v>15.062661410597569</v>
      </c>
      <c r="CV200" s="29">
        <f t="shared" si="1871"/>
        <v>15.062661410597569</v>
      </c>
      <c r="CW200" s="29">
        <f t="shared" si="1872"/>
        <v>15.062661410597569</v>
      </c>
      <c r="CX200" s="29">
        <f t="shared" si="1873"/>
        <v>15.062661410597569</v>
      </c>
      <c r="CY200" s="29">
        <f t="shared" si="1874"/>
        <v>15.062661410597569</v>
      </c>
      <c r="CZ200" s="29">
        <f t="shared" si="1875"/>
        <v>15.062661410597569</v>
      </c>
      <c r="DA200" s="29">
        <f t="shared" si="1876"/>
        <v>15.062661410597569</v>
      </c>
      <c r="DB200"/>
      <c r="DD200" s="138"/>
    </row>
    <row r="201" spans="1:108" s="61" customFormat="1" outlineLevel="1" x14ac:dyDescent="0.25">
      <c r="A201" s="67" t="s">
        <v>466</v>
      </c>
      <c r="B201" s="66" t="e">
        <f>B202-B200-B199</f>
        <v>#DIV/0!</v>
      </c>
      <c r="C201" s="66" t="e">
        <f t="shared" ref="C201:U201" si="1878">C202-C200-C199</f>
        <v>#DIV/0!</v>
      </c>
      <c r="D201" s="66" t="e">
        <f t="shared" si="1878"/>
        <v>#DIV/0!</v>
      </c>
      <c r="E201" s="66" t="e">
        <f t="shared" si="1878"/>
        <v>#DIV/0!</v>
      </c>
      <c r="F201" s="66">
        <f t="shared" si="1878"/>
        <v>18.336054304172187</v>
      </c>
      <c r="G201" s="66">
        <f t="shared" si="1878"/>
        <v>19.491574669182942</v>
      </c>
      <c r="H201" s="66">
        <f t="shared" si="1878"/>
        <v>19.035134409008243</v>
      </c>
      <c r="I201" s="66">
        <f t="shared" si="1878"/>
        <v>32.952023636926342</v>
      </c>
      <c r="J201" s="66">
        <f t="shared" si="1878"/>
        <v>34.112736321310372</v>
      </c>
      <c r="K201" s="66">
        <f t="shared" si="1878"/>
        <v>36.943481412197464</v>
      </c>
      <c r="L201" s="66">
        <f t="shared" si="1878"/>
        <v>27.111426685801909</v>
      </c>
      <c r="M201" s="66">
        <f t="shared" si="1878"/>
        <v>42.250126013357452</v>
      </c>
      <c r="N201" s="66">
        <f t="shared" si="1878"/>
        <v>53.615424662582981</v>
      </c>
      <c r="O201" s="66">
        <f t="shared" si="1878"/>
        <v>34.172259974064012</v>
      </c>
      <c r="P201" s="66">
        <f t="shared" si="1878"/>
        <v>24.324382780389278</v>
      </c>
      <c r="Q201" s="66">
        <f t="shared" si="1878"/>
        <v>29.32844311699192</v>
      </c>
      <c r="R201" s="66">
        <f t="shared" si="1878"/>
        <v>25.735238590820934</v>
      </c>
      <c r="S201" s="66">
        <f t="shared" si="1878"/>
        <v>36.999554067342039</v>
      </c>
      <c r="T201" s="66">
        <f t="shared" si="1878"/>
        <v>26.45181007154914</v>
      </c>
      <c r="U201" s="66">
        <f t="shared" si="1878"/>
        <v>25.694181806342755</v>
      </c>
      <c r="V201" s="66">
        <f>V202-V200-V199</f>
        <v>29.126436663069754</v>
      </c>
      <c r="W201" s="66">
        <f t="shared" ref="W201" si="1879">W202-W200-W199</f>
        <v>30.035635176137262</v>
      </c>
      <c r="X201" s="66">
        <f t="shared" ref="X201:Y201" si="1880">X202-X200-X199</f>
        <v>39.779318243605154</v>
      </c>
      <c r="Y201" s="66">
        <f t="shared" si="1880"/>
        <v>40.87356570790292</v>
      </c>
      <c r="Z201" s="66">
        <f t="shared" ref="Z201" si="1881">Z202-Z200-Z199</f>
        <v>41.412438213305812</v>
      </c>
      <c r="AA201" s="17">
        <f t="shared" ref="AA201:AD201" si="1882">AA202-AA200-AA199</f>
        <v>57.584894057227039</v>
      </c>
      <c r="AB201" s="17">
        <f t="shared" si="1882"/>
        <v>33.153302006744369</v>
      </c>
      <c r="AC201" s="17">
        <f t="shared" si="1882"/>
        <v>33.118983610245614</v>
      </c>
      <c r="AD201" s="17">
        <f t="shared" si="1882"/>
        <v>33.245749263687671</v>
      </c>
      <c r="AE201" s="17">
        <f t="shared" ref="AE201" si="1883">AE202-AE200-AE199</f>
        <v>33.384293409297094</v>
      </c>
      <c r="AI201" s="66" t="e">
        <f t="shared" ref="AI201:AK201" si="1884">AI202-AI200-AI199</f>
        <v>#DIV/0!</v>
      </c>
      <c r="AJ201" s="66" t="e">
        <f t="shared" si="1859"/>
        <v>#DIV/0!</v>
      </c>
      <c r="AK201" s="66" t="e">
        <f t="shared" si="1884"/>
        <v>#DIV/0!</v>
      </c>
      <c r="AL201" s="66" t="e">
        <f t="shared" si="1859"/>
        <v>#DIV/0!</v>
      </c>
      <c r="AM201" s="66" t="e">
        <f t="shared" ref="AM201:AO201" si="1885">AM202-AM200-AM199</f>
        <v>#DIV/0!</v>
      </c>
      <c r="AN201" s="66" t="e">
        <f t="shared" si="1859"/>
        <v>#DIV/0!</v>
      </c>
      <c r="AO201" s="66" t="e">
        <f t="shared" si="1885"/>
        <v>#DIV/0!</v>
      </c>
      <c r="AP201" s="66" t="e">
        <f t="shared" si="1859"/>
        <v>#DIV/0!</v>
      </c>
      <c r="AQ201" s="66" t="e">
        <f t="shared" ref="AQ201:BA201" si="1886">AQ202-AQ200-AQ199</f>
        <v>#DIV/0!</v>
      </c>
      <c r="AR201" s="66" t="e">
        <f t="shared" si="1859"/>
        <v>#DIV/0!</v>
      </c>
      <c r="AS201" s="66" t="e">
        <f t="shared" si="1886"/>
        <v>#DIV/0!</v>
      </c>
      <c r="AT201" s="66" t="e">
        <f t="shared" si="1859"/>
        <v>#DIV/0!</v>
      </c>
      <c r="AU201" s="66" t="e">
        <f t="shared" si="1886"/>
        <v>#DIV/0!</v>
      </c>
      <c r="AV201" s="66" t="e">
        <f t="shared" si="1859"/>
        <v>#DIV/0!</v>
      </c>
      <c r="AW201" s="66">
        <f t="shared" si="1886"/>
        <v>72.267197466080944</v>
      </c>
      <c r="AX201" s="66">
        <f t="shared" si="1859"/>
        <v>72.267197466080944</v>
      </c>
      <c r="AY201" s="66">
        <f t="shared" si="1886"/>
        <v>0</v>
      </c>
      <c r="AZ201" s="66">
        <f t="shared" si="1859"/>
        <v>0</v>
      </c>
      <c r="BA201" s="66">
        <f t="shared" si="1886"/>
        <v>87.048599651937209</v>
      </c>
      <c r="BB201" s="66">
        <f t="shared" si="1859"/>
        <v>87.048599651937209</v>
      </c>
      <c r="BC201" s="66">
        <f t="shared" ref="BC201:BE201" si="1887">BC202-BC200-BC199</f>
        <v>21.23117444766228</v>
      </c>
      <c r="BD201" s="66">
        <f t="shared" si="1859"/>
        <v>21.23117444766228</v>
      </c>
      <c r="BE201" s="66">
        <f t="shared" si="1887"/>
        <v>75.816955340105977</v>
      </c>
      <c r="BF201" s="66">
        <f t="shared" si="1859"/>
        <v>75.816955340105977</v>
      </c>
      <c r="BG201" s="66">
        <f t="shared" ref="BG201:BI201" si="1888">BG202-BG200-BG199</f>
        <v>19.722146192968918</v>
      </c>
      <c r="BH201" s="66">
        <f t="shared" si="1859"/>
        <v>19.722146192968918</v>
      </c>
      <c r="BI201" s="66">
        <f t="shared" si="1888"/>
        <v>50.08821879853808</v>
      </c>
      <c r="BJ201" s="66">
        <f t="shared" si="1859"/>
        <v>50.08821879853808</v>
      </c>
      <c r="BK201" s="66">
        <f t="shared" ref="BK201:BM201" si="1889">BK202-BK200-BK199</f>
        <v>20.024727692034158</v>
      </c>
      <c r="BL201" s="66">
        <f t="shared" si="1859"/>
        <v>20.024727692034158</v>
      </c>
      <c r="BM201" s="66">
        <f t="shared" si="1889"/>
        <v>44.114583291314887</v>
      </c>
      <c r="BN201" s="66">
        <f t="shared" si="1859"/>
        <v>44.114583291314887</v>
      </c>
      <c r="BO201" s="66">
        <f t="shared" ref="BO201:BQ201" si="1890">BO202-BO200-BO199</f>
        <v>28.771049835203428</v>
      </c>
      <c r="BP201" s="66">
        <f t="shared" si="1859"/>
        <v>28.771049835203428</v>
      </c>
      <c r="BQ201" s="66">
        <f t="shared" si="1890"/>
        <v>40.711553503599028</v>
      </c>
      <c r="BR201" s="66">
        <f t="shared" si="1859"/>
        <v>40.711553503599028</v>
      </c>
      <c r="BS201" s="66">
        <f t="shared" ref="BS201:BU201" si="1891">BS202-BS200-BS199</f>
        <v>21.056763392030113</v>
      </c>
      <c r="BT201" s="66">
        <f t="shared" si="1859"/>
        <v>21.056763392030113</v>
      </c>
      <c r="BU201" s="66">
        <f t="shared" si="1891"/>
        <v>68.277036674417644</v>
      </c>
      <c r="BV201" s="66">
        <f t="shared" si="1859"/>
        <v>68.277036674417644</v>
      </c>
      <c r="BW201" s="66">
        <f t="shared" ref="BW201:BY201" si="1892">BW202-BW200-BW199</f>
        <v>28.139812558855631</v>
      </c>
      <c r="BX201" s="66">
        <f t="shared" si="1859"/>
        <v>28.139812558855631</v>
      </c>
      <c r="BY201" s="66">
        <f t="shared" si="1892"/>
        <v>96.347564970952988</v>
      </c>
      <c r="BZ201" s="66">
        <f t="shared" si="1859"/>
        <v>96.347564970952988</v>
      </c>
      <c r="CA201" s="66">
        <f t="shared" ref="CA201:CC201" si="1893">CA202-CA200-CA199</f>
        <v>36.501440242649934</v>
      </c>
      <c r="CB201" s="66">
        <f t="shared" si="1859"/>
        <v>36.501440242649934</v>
      </c>
      <c r="CC201" s="66">
        <f t="shared" si="1893"/>
        <v>95.558022718567898</v>
      </c>
      <c r="CD201" s="66">
        <f t="shared" si="1859"/>
        <v>95.558022718567898</v>
      </c>
      <c r="CE201" s="66">
        <f t="shared" ref="CE201" si="1894">CE202-CE200-CE199</f>
        <v>39.002165627260112</v>
      </c>
      <c r="CF201" s="66">
        <f t="shared" si="1859"/>
        <v>39.002165627260112</v>
      </c>
      <c r="CG201" s="66">
        <f t="shared" ref="CG201" si="1895">CG202-CG200-CG199</f>
        <v>56.796693747274119</v>
      </c>
      <c r="CH201" s="66">
        <f t="shared" si="1859"/>
        <v>56.796693747274119</v>
      </c>
      <c r="CI201" s="66">
        <f t="shared" ref="CI201" si="1896">CI202-CI200-CI199</f>
        <v>41.71994749142852</v>
      </c>
      <c r="CJ201" s="66">
        <f t="shared" si="1859"/>
        <v>41.71994749142852</v>
      </c>
      <c r="CK201" s="66">
        <f t="shared" ref="CK201:DA201" si="1897">CJ201</f>
        <v>41.71994749142852</v>
      </c>
      <c r="CL201" s="66">
        <f t="shared" si="1897"/>
        <v>41.71994749142852</v>
      </c>
      <c r="CM201" s="29">
        <f t="shared" si="1897"/>
        <v>41.71994749142852</v>
      </c>
      <c r="CN201" s="29">
        <f t="shared" si="1897"/>
        <v>41.71994749142852</v>
      </c>
      <c r="CO201" s="29">
        <f t="shared" si="1897"/>
        <v>41.71994749142852</v>
      </c>
      <c r="CP201" s="29">
        <f t="shared" si="1897"/>
        <v>41.71994749142852</v>
      </c>
      <c r="CQ201" s="29">
        <f t="shared" si="1897"/>
        <v>41.71994749142852</v>
      </c>
      <c r="CR201" s="29">
        <f t="shared" si="1897"/>
        <v>41.71994749142852</v>
      </c>
      <c r="CS201" s="29">
        <f t="shared" si="1897"/>
        <v>41.71994749142852</v>
      </c>
      <c r="CT201" s="29">
        <f t="shared" si="1897"/>
        <v>41.71994749142852</v>
      </c>
      <c r="CU201" s="29">
        <f t="shared" si="1897"/>
        <v>41.71994749142852</v>
      </c>
      <c r="CV201" s="29">
        <f t="shared" si="1897"/>
        <v>41.71994749142852</v>
      </c>
      <c r="CW201" s="29">
        <f t="shared" si="1897"/>
        <v>41.71994749142852</v>
      </c>
      <c r="CX201" s="29">
        <f t="shared" si="1897"/>
        <v>41.71994749142852</v>
      </c>
      <c r="CY201" s="29">
        <f t="shared" si="1897"/>
        <v>41.71994749142852</v>
      </c>
      <c r="CZ201" s="29">
        <f t="shared" si="1897"/>
        <v>41.71994749142852</v>
      </c>
      <c r="DA201" s="29">
        <f t="shared" si="1897"/>
        <v>41.71994749142852</v>
      </c>
      <c r="DB201"/>
      <c r="DD201" s="138"/>
    </row>
    <row r="202" spans="1:108" s="7" customFormat="1" outlineLevel="1" x14ac:dyDescent="0.25">
      <c r="A202" s="68" t="s">
        <v>467</v>
      </c>
      <c r="B202" s="69" t="e">
        <f t="shared" ref="B202:AE202" si="1898">B168/B28*365</f>
        <v>#DIV/0!</v>
      </c>
      <c r="C202" s="69" t="e">
        <f t="shared" si="1898"/>
        <v>#DIV/0!</v>
      </c>
      <c r="D202" s="69" t="e">
        <f t="shared" si="1898"/>
        <v>#DIV/0!</v>
      </c>
      <c r="E202" s="69" t="e">
        <f t="shared" si="1898"/>
        <v>#DIV/0!</v>
      </c>
      <c r="F202" s="69">
        <f t="shared" si="1898"/>
        <v>75.732779720442934</v>
      </c>
      <c r="G202" s="69">
        <f t="shared" si="1898"/>
        <v>72.60665075267103</v>
      </c>
      <c r="H202" s="69">
        <f t="shared" si="1898"/>
        <v>76.979580692358567</v>
      </c>
      <c r="I202" s="69">
        <f t="shared" si="1898"/>
        <v>100.38199384200216</v>
      </c>
      <c r="J202" s="69">
        <f t="shared" si="1898"/>
        <v>140.27286590095875</v>
      </c>
      <c r="K202" s="69">
        <f t="shared" si="1898"/>
        <v>107.20789252221233</v>
      </c>
      <c r="L202" s="69">
        <f t="shared" si="1898"/>
        <v>98.712111391273709</v>
      </c>
      <c r="M202" s="69">
        <f t="shared" si="1898"/>
        <v>118.00545492437585</v>
      </c>
      <c r="N202" s="69">
        <f t="shared" si="1898"/>
        <v>112.64928871295663</v>
      </c>
      <c r="O202" s="69">
        <f t="shared" si="1898"/>
        <v>82.54757944226138</v>
      </c>
      <c r="P202" s="69">
        <f t="shared" si="1898"/>
        <v>74.513872633733584</v>
      </c>
      <c r="Q202" s="69">
        <f t="shared" si="1898"/>
        <v>78.161927845456134</v>
      </c>
      <c r="R202" s="69">
        <f t="shared" si="1898"/>
        <v>75.777358560517229</v>
      </c>
      <c r="S202" s="69">
        <f t="shared" si="1898"/>
        <v>84.611995411366237</v>
      </c>
      <c r="T202" s="69">
        <f t="shared" si="1898"/>
        <v>68.205656339995102</v>
      </c>
      <c r="U202" s="69">
        <f t="shared" si="1898"/>
        <v>70.270578104809118</v>
      </c>
      <c r="V202" s="69">
        <f t="shared" si="1898"/>
        <v>84.90364458977119</v>
      </c>
      <c r="W202" s="69">
        <f t="shared" si="1898"/>
        <v>95.479942532605989</v>
      </c>
      <c r="X202" s="69">
        <f t="shared" si="1898"/>
        <v>100.55820415020293</v>
      </c>
      <c r="Y202" s="69">
        <f t="shared" si="1898"/>
        <v>95.883326559092623</v>
      </c>
      <c r="Z202" s="69">
        <f t="shared" si="1898"/>
        <v>103.93121940452224</v>
      </c>
      <c r="AA202" s="70">
        <f t="shared" si="1898"/>
        <v>126.57292604774753</v>
      </c>
      <c r="AB202" s="70">
        <f t="shared" si="1898"/>
        <v>75.809008172539507</v>
      </c>
      <c r="AC202" s="70">
        <f t="shared" si="1898"/>
        <v>75.730535035833157</v>
      </c>
      <c r="AD202" s="70">
        <f t="shared" si="1898"/>
        <v>76.020399932422663</v>
      </c>
      <c r="AE202" s="70">
        <f t="shared" si="1898"/>
        <v>76.337197766455176</v>
      </c>
      <c r="AI202" s="69" t="e">
        <f>AI168/AI28*90</f>
        <v>#DIV/0!</v>
      </c>
      <c r="AJ202" s="69" t="e">
        <f>+AJ199+AJ200+AJ201</f>
        <v>#DIV/0!</v>
      </c>
      <c r="AK202" s="69" t="e">
        <f>AK168/AK28*90</f>
        <v>#DIV/0!</v>
      </c>
      <c r="AL202" s="69" t="e">
        <f>+AL199+AL200+AL201</f>
        <v>#DIV/0!</v>
      </c>
      <c r="AM202" s="69" t="e">
        <f>AM168/AM28*90</f>
        <v>#DIV/0!</v>
      </c>
      <c r="AN202" s="69" t="e">
        <f>+AN199+AN200+AN201</f>
        <v>#DIV/0!</v>
      </c>
      <c r="AO202" s="69" t="e">
        <f>AO168/AO28*90</f>
        <v>#DIV/0!</v>
      </c>
      <c r="AP202" s="69" t="e">
        <f>+AP199+AP200+AP201</f>
        <v>#DIV/0!</v>
      </c>
      <c r="AQ202" s="69" t="e">
        <f>AQ168/AQ28*90</f>
        <v>#DIV/0!</v>
      </c>
      <c r="AR202" s="69" t="e">
        <f>+AR199+AR200+AR201</f>
        <v>#DIV/0!</v>
      </c>
      <c r="AS202" s="69" t="e">
        <f>AS168/AS28*90</f>
        <v>#DIV/0!</v>
      </c>
      <c r="AT202" s="69" t="e">
        <f>+AT199+AT200+AT201</f>
        <v>#DIV/0!</v>
      </c>
      <c r="AU202" s="69" t="e">
        <f>AU168/AU28*90</f>
        <v>#DIV/0!</v>
      </c>
      <c r="AV202" s="69" t="e">
        <f>+AV199+AV200+AV201</f>
        <v>#DIV/0!</v>
      </c>
      <c r="AW202" s="69">
        <f>AW168/AW28*90</f>
        <v>192.59609013014992</v>
      </c>
      <c r="AX202" s="69">
        <f>+AX199+AX200+AX201</f>
        <v>192.59609013014989</v>
      </c>
      <c r="AY202" s="69">
        <f>AY168/AY28*90</f>
        <v>0</v>
      </c>
      <c r="AZ202" s="69">
        <f>+AZ199+AZ200+AZ201</f>
        <v>0</v>
      </c>
      <c r="BA202" s="69">
        <f>BA168/BA28*90</f>
        <v>201.47393731179909</v>
      </c>
      <c r="BB202" s="69">
        <f>+BB199+BB200+BB201</f>
        <v>201.47393731179909</v>
      </c>
      <c r="BC202" s="69">
        <f>BC168/BC28*90</f>
        <v>55.418858359871493</v>
      </c>
      <c r="BD202" s="69">
        <f>+BD199+BD200+BD201</f>
        <v>55.418858359871493</v>
      </c>
      <c r="BE202" s="69">
        <f>BE168/BE28*90</f>
        <v>173.38111334166265</v>
      </c>
      <c r="BF202" s="69">
        <f>+BF199+BF200+BF201</f>
        <v>173.38111334166265</v>
      </c>
      <c r="BG202" s="69">
        <f>BG168/BG28*90</f>
        <v>53.331050866272534</v>
      </c>
      <c r="BH202" s="69">
        <f>+BH199+BH200+BH201</f>
        <v>53.331050866272534</v>
      </c>
      <c r="BI202" s="69">
        <f>BI168/BI28*90</f>
        <v>129.15183606773476</v>
      </c>
      <c r="BJ202" s="69">
        <f>+BJ199+BJ200+BJ201</f>
        <v>129.15183606773473</v>
      </c>
      <c r="BK202" s="69">
        <f>BK168/BK28*90</f>
        <v>53.952075060521665</v>
      </c>
      <c r="BL202" s="69">
        <f>+BL199+BL200+BL201</f>
        <v>53.952075060521665</v>
      </c>
      <c r="BM202" s="69">
        <f>BM168/BM28*90</f>
        <v>120.64821888853481</v>
      </c>
      <c r="BN202" s="69">
        <f>+BN199+BN200+BN201</f>
        <v>120.64821888853481</v>
      </c>
      <c r="BO202" s="69">
        <f>BO168/BO28*90</f>
        <v>94.803144642760657</v>
      </c>
      <c r="BP202" s="69">
        <f>+BP199+BP200+BP201</f>
        <v>94.803144642760657</v>
      </c>
      <c r="BQ202" s="69">
        <f>BQ168/BQ28*90</f>
        <v>118.67429268303513</v>
      </c>
      <c r="BR202" s="69">
        <f>+BR199+BR200+BR201</f>
        <v>118.67429268303513</v>
      </c>
      <c r="BS202" s="69">
        <f>BS168/BS28*90</f>
        <v>78.997069725707647</v>
      </c>
      <c r="BT202" s="69">
        <f>+BT199+BT200+BT201</f>
        <v>78.997069725707661</v>
      </c>
      <c r="BU202" s="69">
        <f>BU168/BU28*90</f>
        <v>153.40207236976298</v>
      </c>
      <c r="BV202" s="69">
        <f>+BV199+BV200+BV201</f>
        <v>153.40207236976298</v>
      </c>
      <c r="BW202" s="69">
        <f>BW168/BW28*90</f>
        <v>66.119890584595154</v>
      </c>
      <c r="BX202" s="69">
        <f>+BX199+BX200+BX201</f>
        <v>66.119890584595154</v>
      </c>
      <c r="BY202" s="69">
        <f>BY168/BY28*90</f>
        <v>187.78384822618813</v>
      </c>
      <c r="BZ202" s="69">
        <f>+BZ199+BZ200+BZ201</f>
        <v>187.78384822618813</v>
      </c>
      <c r="CA202" s="69">
        <f>CA168/CA28*90</f>
        <v>79.045004556352993</v>
      </c>
      <c r="CB202" s="69">
        <f>+CB199+CB200+CB201</f>
        <v>79.045004556352993</v>
      </c>
      <c r="CC202" s="69">
        <f>CC168/CC28*90</f>
        <v>178.27281908119497</v>
      </c>
      <c r="CD202" s="69">
        <f>+CD199+CD200+CD201</f>
        <v>178.27281908119497</v>
      </c>
      <c r="CE202" s="69">
        <f>CE168/CE28*90</f>
        <v>85.900251606562165</v>
      </c>
      <c r="CF202" s="69">
        <f>+CF199+CF200+CF201</f>
        <v>85.900251606562165</v>
      </c>
      <c r="CG202" s="69">
        <f>CG168/CG28*90</f>
        <v>142.54049976228612</v>
      </c>
      <c r="CH202" s="69">
        <f>+CH199+CH200+CH201</f>
        <v>142.54049976228612</v>
      </c>
      <c r="CI202" s="69">
        <f>CI168/CI28*90</f>
        <v>95.397672294971613</v>
      </c>
      <c r="CJ202" s="69">
        <f>+CJ199+CJ200+CJ201</f>
        <v>95.397672294971613</v>
      </c>
      <c r="CK202" s="69">
        <f t="shared" ref="CK202:DA202" si="1899">CK199+CK200+CK201</f>
        <v>95.397672294971613</v>
      </c>
      <c r="CL202" s="69">
        <f t="shared" si="1899"/>
        <v>95.397672294971613</v>
      </c>
      <c r="CM202" s="49">
        <f t="shared" si="1899"/>
        <v>95.397672294971613</v>
      </c>
      <c r="CN202" s="49">
        <f t="shared" si="1899"/>
        <v>95.397672294971613</v>
      </c>
      <c r="CO202" s="49">
        <f t="shared" si="1899"/>
        <v>95.397672294971613</v>
      </c>
      <c r="CP202" s="49">
        <f t="shared" si="1899"/>
        <v>95.397672294971613</v>
      </c>
      <c r="CQ202" s="49">
        <f t="shared" si="1899"/>
        <v>95.397672294971613</v>
      </c>
      <c r="CR202" s="49">
        <f t="shared" si="1899"/>
        <v>95.397672294971613</v>
      </c>
      <c r="CS202" s="49">
        <f t="shared" si="1899"/>
        <v>95.397672294971613</v>
      </c>
      <c r="CT202" s="49">
        <f t="shared" si="1899"/>
        <v>95.397672294971613</v>
      </c>
      <c r="CU202" s="49">
        <f t="shared" si="1899"/>
        <v>95.397672294971613</v>
      </c>
      <c r="CV202" s="49">
        <f t="shared" si="1899"/>
        <v>95.397672294971613</v>
      </c>
      <c r="CW202" s="49">
        <f t="shared" si="1899"/>
        <v>95.397672294971613</v>
      </c>
      <c r="CX202" s="49">
        <f t="shared" si="1899"/>
        <v>95.397672294971613</v>
      </c>
      <c r="CY202" s="49">
        <f t="shared" si="1899"/>
        <v>95.397672294971613</v>
      </c>
      <c r="CZ202" s="49">
        <f t="shared" si="1899"/>
        <v>95.397672294971613</v>
      </c>
      <c r="DA202" s="49">
        <f t="shared" si="1899"/>
        <v>95.397672294971613</v>
      </c>
      <c r="DB202"/>
      <c r="DD202" s="137"/>
    </row>
    <row r="203" spans="1:108" s="61" customFormat="1" outlineLevel="1" x14ac:dyDescent="0.25">
      <c r="A203" s="67" t="s">
        <v>468</v>
      </c>
      <c r="B203" s="66" t="e">
        <f t="shared" ref="B203:AE203" si="1900">B173/B28*365</f>
        <v>#DIV/0!</v>
      </c>
      <c r="C203" s="66" t="e">
        <f t="shared" si="1900"/>
        <v>#DIV/0!</v>
      </c>
      <c r="D203" s="66" t="e">
        <f t="shared" si="1900"/>
        <v>#DIV/0!</v>
      </c>
      <c r="E203" s="66" t="e">
        <f t="shared" si="1900"/>
        <v>#DIV/0!</v>
      </c>
      <c r="F203" s="66">
        <f t="shared" si="1900"/>
        <v>16.321836651042489</v>
      </c>
      <c r="G203" s="66">
        <f t="shared" si="1900"/>
        <v>17.121807542335262</v>
      </c>
      <c r="H203" s="66">
        <f t="shared" si="1900"/>
        <v>18.308868936831523</v>
      </c>
      <c r="I203" s="66">
        <f t="shared" si="1900"/>
        <v>24.601654783990931</v>
      </c>
      <c r="J203" s="66">
        <f t="shared" si="1900"/>
        <v>22.100387751072134</v>
      </c>
      <c r="K203" s="66">
        <f t="shared" si="1900"/>
        <v>36.395544053282322</v>
      </c>
      <c r="L203" s="66">
        <f t="shared" si="1900"/>
        <v>24.278354077797339</v>
      </c>
      <c r="M203" s="66">
        <f t="shared" si="1900"/>
        <v>8.4928358175197332</v>
      </c>
      <c r="N203" s="66">
        <f t="shared" si="1900"/>
        <v>16.661278433607674</v>
      </c>
      <c r="O203" s="66">
        <f t="shared" si="1900"/>
        <v>21.606689512001036</v>
      </c>
      <c r="P203" s="66">
        <f t="shared" si="1900"/>
        <v>23.453911209736919</v>
      </c>
      <c r="Q203" s="66">
        <f t="shared" si="1900"/>
        <v>17.246390967087176</v>
      </c>
      <c r="R203" s="66">
        <f t="shared" si="1900"/>
        <v>22.117668010383404</v>
      </c>
      <c r="S203" s="66">
        <f t="shared" si="1900"/>
        <v>15.431681190476347</v>
      </c>
      <c r="T203" s="66">
        <f t="shared" si="1900"/>
        <v>18.72463376891557</v>
      </c>
      <c r="U203" s="66">
        <f t="shared" si="1900"/>
        <v>20.200220509797983</v>
      </c>
      <c r="V203" s="66">
        <f t="shared" si="1900"/>
        <v>24.366652237266337</v>
      </c>
      <c r="W203" s="66">
        <f t="shared" si="1900"/>
        <v>27.903419140238206</v>
      </c>
      <c r="X203" s="66">
        <f t="shared" si="1900"/>
        <v>21.845963203865558</v>
      </c>
      <c r="Y203" s="66">
        <f t="shared" si="1900"/>
        <v>16.618487594372759</v>
      </c>
      <c r="Z203" s="66">
        <f t="shared" si="1900"/>
        <v>26.822643842984384</v>
      </c>
      <c r="AA203" s="17">
        <f t="shared" si="1900"/>
        <v>23.012936802920464</v>
      </c>
      <c r="AB203" s="17">
        <f t="shared" si="1900"/>
        <v>13.677022341423964</v>
      </c>
      <c r="AC203" s="17">
        <f t="shared" si="1900"/>
        <v>13.662864672437035</v>
      </c>
      <c r="AD203" s="17">
        <f t="shared" si="1900"/>
        <v>13.71516041884261</v>
      </c>
      <c r="AE203" s="17">
        <f t="shared" si="1900"/>
        <v>13.772315249887436</v>
      </c>
      <c r="AI203" s="66" t="e">
        <f>AI173/AI28*90</f>
        <v>#DIV/0!</v>
      </c>
      <c r="AJ203" s="66" t="e">
        <f t="shared" si="1859"/>
        <v>#DIV/0!</v>
      </c>
      <c r="AK203" s="66" t="e">
        <f>AK173/AK28*90</f>
        <v>#DIV/0!</v>
      </c>
      <c r="AL203" s="66" t="e">
        <f t="shared" si="1859"/>
        <v>#DIV/0!</v>
      </c>
      <c r="AM203" s="66" t="e">
        <f>AM173/AM28*90</f>
        <v>#DIV/0!</v>
      </c>
      <c r="AN203" s="66" t="e">
        <f t="shared" si="1859"/>
        <v>#DIV/0!</v>
      </c>
      <c r="AO203" s="66" t="e">
        <f>AO173/AO28*90</f>
        <v>#DIV/0!</v>
      </c>
      <c r="AP203" s="66" t="e">
        <f t="shared" si="1859"/>
        <v>#DIV/0!</v>
      </c>
      <c r="AQ203" s="66" t="e">
        <f>AQ173/AQ28*90</f>
        <v>#DIV/0!</v>
      </c>
      <c r="AR203" s="66" t="e">
        <f t="shared" si="1859"/>
        <v>#DIV/0!</v>
      </c>
      <c r="AS203" s="66" t="e">
        <f>AS173/AS28*90</f>
        <v>#DIV/0!</v>
      </c>
      <c r="AT203" s="66" t="e">
        <f t="shared" si="1859"/>
        <v>#DIV/0!</v>
      </c>
      <c r="AU203" s="66" t="e">
        <f>AU173/AU28*90</f>
        <v>#DIV/0!</v>
      </c>
      <c r="AV203" s="66" t="e">
        <f t="shared" si="1859"/>
        <v>#DIV/0!</v>
      </c>
      <c r="AW203" s="66">
        <f>AW173/AW28*90</f>
        <v>42.49623263751193</v>
      </c>
      <c r="AX203" s="66">
        <f t="shared" si="1859"/>
        <v>42.49623263751193</v>
      </c>
      <c r="AY203" s="66">
        <f>AY173/AY28*90</f>
        <v>0</v>
      </c>
      <c r="AZ203" s="66">
        <f t="shared" si="1859"/>
        <v>0</v>
      </c>
      <c r="BA203" s="66">
        <f>BA173/BA28*90</f>
        <v>50.658265056585826</v>
      </c>
      <c r="BB203" s="66">
        <f t="shared" si="1859"/>
        <v>50.658265056585826</v>
      </c>
      <c r="BC203" s="66">
        <f>BC173/BC28*90</f>
        <v>14.149493771222129</v>
      </c>
      <c r="BD203" s="66">
        <f t="shared" si="1859"/>
        <v>14.149493771222129</v>
      </c>
      <c r="BE203" s="66">
        <f>BE173/BE28*90</f>
        <v>31.621545532998567</v>
      </c>
      <c r="BF203" s="66">
        <f t="shared" si="1859"/>
        <v>31.621545532998567</v>
      </c>
      <c r="BG203" s="66">
        <f>BG173/BG28*90</f>
        <v>17.809017588665739</v>
      </c>
      <c r="BH203" s="66">
        <f t="shared" si="1859"/>
        <v>17.809017588665739</v>
      </c>
      <c r="BI203" s="66">
        <f>BI173/BI28*90</f>
        <v>35.456309061764358</v>
      </c>
      <c r="BJ203" s="66">
        <f t="shared" si="1859"/>
        <v>35.456309061764358</v>
      </c>
      <c r="BK203" s="66">
        <f>BK173/BK28*90</f>
        <v>20.116954162763697</v>
      </c>
      <c r="BL203" s="66">
        <f t="shared" si="1859"/>
        <v>20.116954162763697</v>
      </c>
      <c r="BM203" s="66">
        <f>BM173/BM28*90</f>
        <v>34.681949279366854</v>
      </c>
      <c r="BN203" s="66">
        <f t="shared" si="1859"/>
        <v>34.681949279366854</v>
      </c>
      <c r="BO203" s="66">
        <f>BO173/BO28*90</f>
        <v>28.638510166957836</v>
      </c>
      <c r="BP203" s="66">
        <f t="shared" si="1859"/>
        <v>28.638510166957836</v>
      </c>
      <c r="BQ203" s="66">
        <f>BQ173/BQ28*90</f>
        <v>34.058552295167978</v>
      </c>
      <c r="BR203" s="66">
        <f t="shared" si="1859"/>
        <v>34.058552295167978</v>
      </c>
      <c r="BS203" s="66">
        <f>BS173/BS28*90</f>
        <v>20.341959304788801</v>
      </c>
      <c r="BT203" s="66">
        <f t="shared" si="1859"/>
        <v>20.341959304788801</v>
      </c>
      <c r="BU203" s="66">
        <f>BU173/BU28*90</f>
        <v>36.29467017500918</v>
      </c>
      <c r="BV203" s="66">
        <f t="shared" si="1859"/>
        <v>36.29467017500918</v>
      </c>
      <c r="BW203" s="66">
        <f>BW173/BW28*90</f>
        <v>17.672417452653921</v>
      </c>
      <c r="BX203" s="66">
        <f t="shared" si="1859"/>
        <v>17.672417452653921</v>
      </c>
      <c r="BY203" s="66">
        <f>BY173/BY28*90</f>
        <v>32.865256572188301</v>
      </c>
      <c r="BZ203" s="66">
        <f t="shared" si="1859"/>
        <v>32.865256572188301</v>
      </c>
      <c r="CA203" s="66">
        <f>CA173/CA28*90</f>
        <v>17.404317464639579</v>
      </c>
      <c r="CB203" s="66">
        <f t="shared" si="1859"/>
        <v>17.404317464639579</v>
      </c>
      <c r="CC203" s="66">
        <f>CC173/CC28*90</f>
        <v>24.988198384317435</v>
      </c>
      <c r="CD203" s="66">
        <f t="shared" si="1859"/>
        <v>24.988198384317435</v>
      </c>
      <c r="CE203" s="66">
        <f>CE173/CE28*90</f>
        <v>17.287228008015632</v>
      </c>
      <c r="CF203" s="66">
        <f t="shared" si="1859"/>
        <v>17.287228008015632</v>
      </c>
      <c r="CG203" s="66">
        <f>CG173/CG28*90</f>
        <v>36.786954682439166</v>
      </c>
      <c r="CH203" s="66">
        <f t="shared" si="1859"/>
        <v>36.786954682439166</v>
      </c>
      <c r="CI203" s="66">
        <f>CI173/CI28*90</f>
        <v>17.211095709477888</v>
      </c>
      <c r="CJ203" s="66">
        <f t="shared" si="1859"/>
        <v>17.211095709477888</v>
      </c>
      <c r="CK203" s="66">
        <f t="shared" ref="CK203" si="1901">+CJ203</f>
        <v>17.211095709477888</v>
      </c>
      <c r="CL203" s="66">
        <f t="shared" ref="CL203" si="1902">+CK203</f>
        <v>17.211095709477888</v>
      </c>
      <c r="CM203" s="29">
        <f t="shared" ref="CM203" si="1903">+CL203</f>
        <v>17.211095709477888</v>
      </c>
      <c r="CN203" s="29">
        <f t="shared" ref="CN203" si="1904">+CM203</f>
        <v>17.211095709477888</v>
      </c>
      <c r="CO203" s="29">
        <f t="shared" ref="CO203" si="1905">+CN203</f>
        <v>17.211095709477888</v>
      </c>
      <c r="CP203" s="29">
        <f t="shared" ref="CP203" si="1906">+CO203</f>
        <v>17.211095709477888</v>
      </c>
      <c r="CQ203" s="29">
        <f t="shared" ref="CQ203" si="1907">+CP203</f>
        <v>17.211095709477888</v>
      </c>
      <c r="CR203" s="29">
        <f t="shared" ref="CR203" si="1908">+CQ203</f>
        <v>17.211095709477888</v>
      </c>
      <c r="CS203" s="29">
        <f t="shared" ref="CS203" si="1909">+CR203</f>
        <v>17.211095709477888</v>
      </c>
      <c r="CT203" s="29">
        <f t="shared" ref="CT203" si="1910">+CS203</f>
        <v>17.211095709477888</v>
      </c>
      <c r="CU203" s="29">
        <f t="shared" ref="CU203" si="1911">+CT203</f>
        <v>17.211095709477888</v>
      </c>
      <c r="CV203" s="29">
        <f t="shared" ref="CV203" si="1912">+CU203</f>
        <v>17.211095709477888</v>
      </c>
      <c r="CW203" s="29">
        <f t="shared" ref="CW203" si="1913">+CV203</f>
        <v>17.211095709477888</v>
      </c>
      <c r="CX203" s="29">
        <f t="shared" ref="CX203" si="1914">+CW203</f>
        <v>17.211095709477888</v>
      </c>
      <c r="CY203" s="29">
        <f t="shared" ref="CY203" si="1915">+CX203</f>
        <v>17.211095709477888</v>
      </c>
      <c r="CZ203" s="29">
        <f t="shared" ref="CZ203" si="1916">+CY203</f>
        <v>17.211095709477888</v>
      </c>
      <c r="DA203" s="29">
        <f t="shared" ref="DA203" si="1917">+CZ203</f>
        <v>17.211095709477888</v>
      </c>
      <c r="DB203"/>
      <c r="DD203" s="138"/>
    </row>
    <row r="204" spans="1:108" s="61" customFormat="1" outlineLevel="1" x14ac:dyDescent="0.25">
      <c r="A204" s="67" t="s">
        <v>466</v>
      </c>
      <c r="B204" s="66" t="e">
        <f>B205-B203</f>
        <v>#DIV/0!</v>
      </c>
      <c r="C204" s="66" t="e">
        <f t="shared" ref="C204:V204" si="1918">C205-C203</f>
        <v>#DIV/0!</v>
      </c>
      <c r="D204" s="66" t="e">
        <f t="shared" si="1918"/>
        <v>#DIV/0!</v>
      </c>
      <c r="E204" s="66" t="e">
        <f t="shared" si="1918"/>
        <v>#DIV/0!</v>
      </c>
      <c r="F204" s="66">
        <f t="shared" si="1918"/>
        <v>37.716907323886595</v>
      </c>
      <c r="G204" s="66">
        <f t="shared" si="1918"/>
        <v>37.975007495966764</v>
      </c>
      <c r="H204" s="66">
        <f t="shared" si="1918"/>
        <v>45.428985688725142</v>
      </c>
      <c r="I204" s="66">
        <f t="shared" si="1918"/>
        <v>38.28904307983948</v>
      </c>
      <c r="J204" s="66">
        <f t="shared" si="1918"/>
        <v>26.701087681762957</v>
      </c>
      <c r="K204" s="66">
        <f t="shared" si="1918"/>
        <v>16.691145999473321</v>
      </c>
      <c r="L204" s="66">
        <f t="shared" si="1918"/>
        <v>15.75084708064599</v>
      </c>
      <c r="M204" s="66">
        <f t="shared" si="1918"/>
        <v>45.546425421094646</v>
      </c>
      <c r="N204" s="66">
        <f t="shared" si="1918"/>
        <v>51.427024980388879</v>
      </c>
      <c r="O204" s="66">
        <f t="shared" si="1918"/>
        <v>37.157091375241222</v>
      </c>
      <c r="P204" s="66">
        <f t="shared" si="1918"/>
        <v>35.680894562007254</v>
      </c>
      <c r="Q204" s="66">
        <f t="shared" si="1918"/>
        <v>126.35930852194146</v>
      </c>
      <c r="R204" s="66">
        <f t="shared" si="1918"/>
        <v>42.846044575910504</v>
      </c>
      <c r="S204" s="66">
        <f t="shared" si="1918"/>
        <v>42.090539607300272</v>
      </c>
      <c r="T204" s="66">
        <f t="shared" si="1918"/>
        <v>41.865202152563043</v>
      </c>
      <c r="U204" s="66">
        <f t="shared" si="1918"/>
        <v>36.030628987051074</v>
      </c>
      <c r="V204" s="66">
        <f t="shared" si="1918"/>
        <v>43.652703698008139</v>
      </c>
      <c r="W204" s="66">
        <f t="shared" ref="W204" si="1919">W205-W203</f>
        <v>40.003709860549414</v>
      </c>
      <c r="X204" s="66">
        <f t="shared" ref="X204:Y204" si="1920">X205-X203</f>
        <v>40.996845043561926</v>
      </c>
      <c r="Y204" s="66">
        <f t="shared" si="1920"/>
        <v>39.601396031998277</v>
      </c>
      <c r="Z204" s="66">
        <f t="shared" ref="Z204" si="1921">Z205-Z203</f>
        <v>34.235476797909861</v>
      </c>
      <c r="AA204" s="17">
        <f t="shared" ref="AA204:AD204" si="1922">AA205-AA203</f>
        <v>29.225278849815595</v>
      </c>
      <c r="AB204" s="17">
        <f t="shared" si="1922"/>
        <v>26.521481398480077</v>
      </c>
      <c r="AC204" s="17">
        <f t="shared" si="1922"/>
        <v>26.49402788226072</v>
      </c>
      <c r="AD204" s="17">
        <f t="shared" si="1922"/>
        <v>26.595435968823125</v>
      </c>
      <c r="AE204" s="17">
        <f t="shared" ref="AE204" si="1923">AE205-AE203</f>
        <v>26.706266436928566</v>
      </c>
      <c r="AI204" s="66" t="e">
        <f t="shared" ref="AI204:AK204" si="1924">AI205-AI203</f>
        <v>#DIV/0!</v>
      </c>
      <c r="AJ204" s="66" t="e">
        <f t="shared" si="1859"/>
        <v>#DIV/0!</v>
      </c>
      <c r="AK204" s="66" t="e">
        <f t="shared" si="1924"/>
        <v>#DIV/0!</v>
      </c>
      <c r="AL204" s="66" t="e">
        <f t="shared" si="1859"/>
        <v>#DIV/0!</v>
      </c>
      <c r="AM204" s="66" t="e">
        <f t="shared" ref="AM204:AO204" si="1925">AM205-AM203</f>
        <v>#DIV/0!</v>
      </c>
      <c r="AN204" s="66" t="e">
        <f t="shared" si="1859"/>
        <v>#DIV/0!</v>
      </c>
      <c r="AO204" s="66" t="e">
        <f t="shared" si="1925"/>
        <v>#DIV/0!</v>
      </c>
      <c r="AP204" s="66" t="e">
        <f t="shared" si="1859"/>
        <v>#DIV/0!</v>
      </c>
      <c r="AQ204" s="66" t="e">
        <f t="shared" ref="AQ204:BA204" si="1926">AQ205-AQ203</f>
        <v>#DIV/0!</v>
      </c>
      <c r="AR204" s="66" t="e">
        <f t="shared" si="1859"/>
        <v>#DIV/0!</v>
      </c>
      <c r="AS204" s="66" t="e">
        <f t="shared" si="1926"/>
        <v>#DIV/0!</v>
      </c>
      <c r="AT204" s="66" t="e">
        <f t="shared" si="1859"/>
        <v>#DIV/0!</v>
      </c>
      <c r="AU204" s="66" t="e">
        <f t="shared" si="1926"/>
        <v>#DIV/0!</v>
      </c>
      <c r="AV204" s="66" t="e">
        <f t="shared" si="1859"/>
        <v>#DIV/0!</v>
      </c>
      <c r="AW204" s="66">
        <f t="shared" si="1926"/>
        <v>367.86740419130268</v>
      </c>
      <c r="AX204" s="66">
        <f t="shared" si="1859"/>
        <v>367.86740419130268</v>
      </c>
      <c r="AY204" s="66">
        <f t="shared" si="1926"/>
        <v>0</v>
      </c>
      <c r="AZ204" s="66">
        <f t="shared" si="1859"/>
        <v>0</v>
      </c>
      <c r="BA204" s="66">
        <f t="shared" si="1926"/>
        <v>271.04400391109431</v>
      </c>
      <c r="BB204" s="66">
        <f t="shared" si="1859"/>
        <v>271.04400391109431</v>
      </c>
      <c r="BC204" s="66">
        <f t="shared" ref="BC204:BE204" si="1927">BC205-BC203</f>
        <v>61.084882319453854</v>
      </c>
      <c r="BD204" s="66">
        <f t="shared" si="1859"/>
        <v>61.084882319453854</v>
      </c>
      <c r="BE204" s="66">
        <f t="shared" si="1927"/>
        <v>187.09715288805313</v>
      </c>
      <c r="BF204" s="66">
        <f t="shared" si="1859"/>
        <v>187.09715288805313</v>
      </c>
      <c r="BG204" s="66">
        <f t="shared" ref="BG204:BI204" si="1928">BG205-BG203</f>
        <v>51.166823864432885</v>
      </c>
      <c r="BH204" s="66">
        <f t="shared" si="1859"/>
        <v>51.166823864432885</v>
      </c>
      <c r="BI204" s="66">
        <f t="shared" si="1928"/>
        <v>129.65503390591405</v>
      </c>
      <c r="BJ204" s="66">
        <f t="shared" si="1859"/>
        <v>129.65503390591405</v>
      </c>
      <c r="BK204" s="66">
        <f t="shared" ref="BK204:BM204" si="1929">BK205-BK203</f>
        <v>57.413660866244264</v>
      </c>
      <c r="BL204" s="66">
        <f t="shared" si="1859"/>
        <v>57.413660866244264</v>
      </c>
      <c r="BM204" s="66">
        <f t="shared" si="1929"/>
        <v>105.03709052184891</v>
      </c>
      <c r="BN204" s="66">
        <f t="shared" si="1859"/>
        <v>105.03709052184891</v>
      </c>
      <c r="BO204" s="66">
        <f t="shared" ref="BO204:BQ204" si="1930">BO205-BO203</f>
        <v>106.45636943248741</v>
      </c>
      <c r="BP204" s="66">
        <f t="shared" si="1859"/>
        <v>106.45636943248741</v>
      </c>
      <c r="BQ204" s="66">
        <f t="shared" si="1930"/>
        <v>95.824023431574176</v>
      </c>
      <c r="BR204" s="66">
        <f t="shared" si="1859"/>
        <v>95.824023431574176</v>
      </c>
      <c r="BS204" s="66">
        <f t="shared" ref="BS204:BU204" si="1931">BS205-BS203</f>
        <v>79.031720742765742</v>
      </c>
      <c r="BT204" s="66">
        <f t="shared" si="1859"/>
        <v>79.031720742765742</v>
      </c>
      <c r="BU204" s="66">
        <f t="shared" si="1931"/>
        <v>52.033818790029777</v>
      </c>
      <c r="BV204" s="66">
        <f t="shared" si="1859"/>
        <v>52.033818790029777</v>
      </c>
      <c r="BW204" s="66">
        <f t="shared" ref="BW204:BY204" si="1932">BW205-BW203</f>
        <v>27.36219189548736</v>
      </c>
      <c r="BX204" s="66">
        <f t="shared" si="1859"/>
        <v>27.36219189548736</v>
      </c>
      <c r="BY204" s="66">
        <f t="shared" si="1932"/>
        <v>61.67600935849309</v>
      </c>
      <c r="BZ204" s="66">
        <f t="shared" si="1859"/>
        <v>61.67600935849309</v>
      </c>
      <c r="CA204" s="66">
        <f t="shared" ref="CA204:CC204" si="1933">CA205-CA203</f>
        <v>29.524346223876403</v>
      </c>
      <c r="CB204" s="66">
        <f t="shared" si="1859"/>
        <v>29.524346223876403</v>
      </c>
      <c r="CC204" s="66">
        <f t="shared" si="1933"/>
        <v>59.546185218357358</v>
      </c>
      <c r="CD204" s="66">
        <f t="shared" si="1859"/>
        <v>59.546185218357358</v>
      </c>
      <c r="CE204" s="66">
        <f t="shared" ref="CE204" si="1934">CE205-CE203</f>
        <v>31.319228621078224</v>
      </c>
      <c r="CF204" s="66">
        <f t="shared" si="1859"/>
        <v>31.319228621078224</v>
      </c>
      <c r="CG204" s="66">
        <f t="shared" ref="CG204" si="1935">CG205-CG203</f>
        <v>46.953571798099084</v>
      </c>
      <c r="CH204" s="66">
        <f t="shared" si="1859"/>
        <v>46.953571798099084</v>
      </c>
      <c r="CI204" s="66">
        <f t="shared" ref="CI204" si="1936">CI205-CI203</f>
        <v>33.374497994631035</v>
      </c>
      <c r="CJ204" s="66">
        <f t="shared" si="1859"/>
        <v>33.374497994631035</v>
      </c>
      <c r="CK204" s="66">
        <f t="shared" ref="CK204:DA204" si="1937">CJ204</f>
        <v>33.374497994631035</v>
      </c>
      <c r="CL204" s="66">
        <f t="shared" si="1937"/>
        <v>33.374497994631035</v>
      </c>
      <c r="CM204" s="29">
        <f t="shared" si="1937"/>
        <v>33.374497994631035</v>
      </c>
      <c r="CN204" s="29">
        <f t="shared" si="1937"/>
        <v>33.374497994631035</v>
      </c>
      <c r="CO204" s="29">
        <f t="shared" si="1937"/>
        <v>33.374497994631035</v>
      </c>
      <c r="CP204" s="29">
        <f t="shared" si="1937"/>
        <v>33.374497994631035</v>
      </c>
      <c r="CQ204" s="29">
        <f t="shared" si="1937"/>
        <v>33.374497994631035</v>
      </c>
      <c r="CR204" s="29">
        <f t="shared" si="1937"/>
        <v>33.374497994631035</v>
      </c>
      <c r="CS204" s="29">
        <f t="shared" si="1937"/>
        <v>33.374497994631035</v>
      </c>
      <c r="CT204" s="29">
        <f t="shared" si="1937"/>
        <v>33.374497994631035</v>
      </c>
      <c r="CU204" s="29">
        <f t="shared" si="1937"/>
        <v>33.374497994631035</v>
      </c>
      <c r="CV204" s="29">
        <f t="shared" si="1937"/>
        <v>33.374497994631035</v>
      </c>
      <c r="CW204" s="29">
        <f t="shared" si="1937"/>
        <v>33.374497994631035</v>
      </c>
      <c r="CX204" s="29">
        <f t="shared" si="1937"/>
        <v>33.374497994631035</v>
      </c>
      <c r="CY204" s="29">
        <f t="shared" si="1937"/>
        <v>33.374497994631035</v>
      </c>
      <c r="CZ204" s="29">
        <f t="shared" si="1937"/>
        <v>33.374497994631035</v>
      </c>
      <c r="DA204" s="29">
        <f t="shared" si="1937"/>
        <v>33.374497994631035</v>
      </c>
      <c r="DB204"/>
      <c r="DD204" s="138"/>
    </row>
    <row r="205" spans="1:108" s="7" customFormat="1" outlineLevel="1" x14ac:dyDescent="0.25">
      <c r="A205" s="68" t="s">
        <v>469</v>
      </c>
      <c r="B205" s="69" t="e">
        <f t="shared" ref="B205:AE205" si="1938">B176/B28*365</f>
        <v>#DIV/0!</v>
      </c>
      <c r="C205" s="69" t="e">
        <f t="shared" si="1938"/>
        <v>#DIV/0!</v>
      </c>
      <c r="D205" s="69" t="e">
        <f t="shared" si="1938"/>
        <v>#DIV/0!</v>
      </c>
      <c r="E205" s="69" t="e">
        <f t="shared" si="1938"/>
        <v>#DIV/0!</v>
      </c>
      <c r="F205" s="69">
        <f t="shared" si="1938"/>
        <v>54.038743974929083</v>
      </c>
      <c r="G205" s="69">
        <f t="shared" si="1938"/>
        <v>55.096815038302026</v>
      </c>
      <c r="H205" s="69">
        <f t="shared" si="1938"/>
        <v>63.737854625556665</v>
      </c>
      <c r="I205" s="69">
        <f t="shared" si="1938"/>
        <v>62.890697863830411</v>
      </c>
      <c r="J205" s="69">
        <f t="shared" si="1938"/>
        <v>48.80147543283509</v>
      </c>
      <c r="K205" s="69">
        <f t="shared" si="1938"/>
        <v>53.086690052755642</v>
      </c>
      <c r="L205" s="69">
        <f t="shared" si="1938"/>
        <v>40.029201158443328</v>
      </c>
      <c r="M205" s="69">
        <f t="shared" si="1938"/>
        <v>54.03926123861438</v>
      </c>
      <c r="N205" s="69">
        <f t="shared" si="1938"/>
        <v>68.088303413996556</v>
      </c>
      <c r="O205" s="69">
        <f t="shared" si="1938"/>
        <v>58.763780887242255</v>
      </c>
      <c r="P205" s="69">
        <f t="shared" si="1938"/>
        <v>59.134805771744169</v>
      </c>
      <c r="Q205" s="69">
        <f t="shared" si="1938"/>
        <v>143.60569948902864</v>
      </c>
      <c r="R205" s="69">
        <f t="shared" si="1938"/>
        <v>64.963712586293909</v>
      </c>
      <c r="S205" s="69">
        <f t="shared" si="1938"/>
        <v>57.522220797776619</v>
      </c>
      <c r="T205" s="69">
        <f t="shared" si="1938"/>
        <v>60.58983592147861</v>
      </c>
      <c r="U205" s="69">
        <f t="shared" si="1938"/>
        <v>56.230849496849061</v>
      </c>
      <c r="V205" s="69">
        <f t="shared" si="1938"/>
        <v>68.019355935274476</v>
      </c>
      <c r="W205" s="69">
        <f t="shared" si="1938"/>
        <v>67.90712900078762</v>
      </c>
      <c r="X205" s="69">
        <f t="shared" si="1938"/>
        <v>62.842808247427485</v>
      </c>
      <c r="Y205" s="69">
        <f t="shared" si="1938"/>
        <v>56.219883626371036</v>
      </c>
      <c r="Z205" s="69">
        <f t="shared" si="1938"/>
        <v>61.058120640894245</v>
      </c>
      <c r="AA205" s="70">
        <f t="shared" si="1938"/>
        <v>52.238215652736059</v>
      </c>
      <c r="AB205" s="70">
        <f t="shared" si="1938"/>
        <v>40.198503739904041</v>
      </c>
      <c r="AC205" s="70">
        <f t="shared" si="1938"/>
        <v>40.156892554697755</v>
      </c>
      <c r="AD205" s="70">
        <f t="shared" si="1938"/>
        <v>40.310596387665733</v>
      </c>
      <c r="AE205" s="70">
        <f t="shared" si="1938"/>
        <v>40.478581686816</v>
      </c>
      <c r="AI205" s="69" t="e">
        <f>AI176/AI28*90</f>
        <v>#DIV/0!</v>
      </c>
      <c r="AJ205" s="69" t="e">
        <f>+AJ203+AJ204</f>
        <v>#DIV/0!</v>
      </c>
      <c r="AK205" s="69" t="e">
        <f>AK176/AK28*90</f>
        <v>#DIV/0!</v>
      </c>
      <c r="AL205" s="69" t="e">
        <f>+AL203+AL204</f>
        <v>#DIV/0!</v>
      </c>
      <c r="AM205" s="69" t="e">
        <f>AM176/AM28*90</f>
        <v>#DIV/0!</v>
      </c>
      <c r="AN205" s="69" t="e">
        <f>+AN203+AN204</f>
        <v>#DIV/0!</v>
      </c>
      <c r="AO205" s="69" t="e">
        <f>AO176/AO28*90</f>
        <v>#DIV/0!</v>
      </c>
      <c r="AP205" s="69" t="e">
        <f>+AP203+AP204</f>
        <v>#DIV/0!</v>
      </c>
      <c r="AQ205" s="69" t="e">
        <f>AQ176/AQ28*90</f>
        <v>#DIV/0!</v>
      </c>
      <c r="AR205" s="69" t="e">
        <f>+AR203+AR204</f>
        <v>#DIV/0!</v>
      </c>
      <c r="AS205" s="69" t="e">
        <f>AS176/AS28*90</f>
        <v>#DIV/0!</v>
      </c>
      <c r="AT205" s="69" t="e">
        <f>+AT203+AT204</f>
        <v>#DIV/0!</v>
      </c>
      <c r="AU205" s="69" t="e">
        <f>AU176/AU28*90</f>
        <v>#DIV/0!</v>
      </c>
      <c r="AV205" s="69" t="e">
        <f>+AV203+AV204</f>
        <v>#DIV/0!</v>
      </c>
      <c r="AW205" s="69">
        <f>AW176/AW28*90</f>
        <v>410.36363682881461</v>
      </c>
      <c r="AX205" s="69">
        <f>+AX203+AX204</f>
        <v>410.36363682881461</v>
      </c>
      <c r="AY205" s="69">
        <f>AY176/AY28*90</f>
        <v>0</v>
      </c>
      <c r="AZ205" s="69">
        <f>+AZ203+AZ204</f>
        <v>0</v>
      </c>
      <c r="BA205" s="69">
        <f>BA176/BA28*90</f>
        <v>321.70226896768014</v>
      </c>
      <c r="BB205" s="69">
        <f>+BB203+BB204</f>
        <v>321.70226896768014</v>
      </c>
      <c r="BC205" s="69">
        <f>BC176/BC28*90</f>
        <v>75.23437609067598</v>
      </c>
      <c r="BD205" s="69">
        <f>+BD203+BD204</f>
        <v>75.23437609067598</v>
      </c>
      <c r="BE205" s="69">
        <f>BE176/BE28*90</f>
        <v>218.7186984210517</v>
      </c>
      <c r="BF205" s="69">
        <f>+BF203+BF204</f>
        <v>218.7186984210517</v>
      </c>
      <c r="BG205" s="69">
        <f>BG176/BG28*90</f>
        <v>68.975841453098624</v>
      </c>
      <c r="BH205" s="69">
        <f>+BH203+BH204</f>
        <v>68.975841453098624</v>
      </c>
      <c r="BI205" s="69">
        <f>BI176/BI28*90</f>
        <v>165.11134296767841</v>
      </c>
      <c r="BJ205" s="69">
        <f>+BJ203+BJ204</f>
        <v>165.11134296767841</v>
      </c>
      <c r="BK205" s="69">
        <f>BK176/BK28*90</f>
        <v>77.530615029007961</v>
      </c>
      <c r="BL205" s="69">
        <f>+BL203+BL204</f>
        <v>77.530615029007961</v>
      </c>
      <c r="BM205" s="69">
        <f>BM176/BM28*90</f>
        <v>139.71903980121576</v>
      </c>
      <c r="BN205" s="69">
        <f>+BN203+BN204</f>
        <v>139.71903980121576</v>
      </c>
      <c r="BO205" s="69">
        <f>BO176/BO28*90</f>
        <v>135.09487959944525</v>
      </c>
      <c r="BP205" s="69">
        <f>+BP203+BP204</f>
        <v>135.09487959944525</v>
      </c>
      <c r="BQ205" s="69">
        <f>BQ176/BQ28*90</f>
        <v>129.88257572674215</v>
      </c>
      <c r="BR205" s="69">
        <f>+BR203+BR204</f>
        <v>129.88257572674215</v>
      </c>
      <c r="BS205" s="69">
        <f>BS176/BS28*90</f>
        <v>99.373680047554544</v>
      </c>
      <c r="BT205" s="69">
        <f>+BT203+BT204</f>
        <v>99.373680047554544</v>
      </c>
      <c r="BU205" s="69">
        <f>BU176/BU28*90</f>
        <v>88.328488965038957</v>
      </c>
      <c r="BV205" s="69">
        <f>+BV203+BV204</f>
        <v>88.328488965038957</v>
      </c>
      <c r="BW205" s="69">
        <f>BW176/BW28*90</f>
        <v>45.034609348141281</v>
      </c>
      <c r="BX205" s="69">
        <f>+BX203+BX204</f>
        <v>45.034609348141281</v>
      </c>
      <c r="BY205" s="69">
        <f>BY176/BY28*90</f>
        <v>94.541265930681391</v>
      </c>
      <c r="BZ205" s="69">
        <f>+BZ203+BZ204</f>
        <v>94.541265930681391</v>
      </c>
      <c r="CA205" s="69">
        <f>CA176/CA28*90</f>
        <v>46.928663688515982</v>
      </c>
      <c r="CB205" s="69">
        <f>+CB203+CB204</f>
        <v>46.928663688515982</v>
      </c>
      <c r="CC205" s="69">
        <f>CC176/CC28*90</f>
        <v>84.534383602674794</v>
      </c>
      <c r="CD205" s="69">
        <f>+CD203+CD204</f>
        <v>84.534383602674794</v>
      </c>
      <c r="CE205" s="69">
        <f>CE176/CE28*90</f>
        <v>48.606456629093856</v>
      </c>
      <c r="CF205" s="69">
        <f>+CF203+CF204</f>
        <v>48.606456629093856</v>
      </c>
      <c r="CG205" s="69">
        <f>CG176/CG28*90</f>
        <v>83.74052648053825</v>
      </c>
      <c r="CH205" s="69">
        <f>+CH203+CH204</f>
        <v>83.74052648053825</v>
      </c>
      <c r="CI205" s="69">
        <f>CI176/CI28*90</f>
        <v>50.585593704108923</v>
      </c>
      <c r="CJ205" s="69">
        <f>+CJ203+CJ204</f>
        <v>50.585593704108923</v>
      </c>
      <c r="CK205" s="69">
        <f t="shared" ref="CK205:DA205" si="1939">CK203+CK204</f>
        <v>50.585593704108923</v>
      </c>
      <c r="CL205" s="69">
        <f t="shared" si="1939"/>
        <v>50.585593704108923</v>
      </c>
      <c r="CM205" s="49">
        <f t="shared" si="1939"/>
        <v>50.585593704108923</v>
      </c>
      <c r="CN205" s="49">
        <f t="shared" si="1939"/>
        <v>50.585593704108923</v>
      </c>
      <c r="CO205" s="49">
        <f t="shared" si="1939"/>
        <v>50.585593704108923</v>
      </c>
      <c r="CP205" s="49">
        <f t="shared" si="1939"/>
        <v>50.585593704108923</v>
      </c>
      <c r="CQ205" s="49">
        <f t="shared" si="1939"/>
        <v>50.585593704108923</v>
      </c>
      <c r="CR205" s="49">
        <f t="shared" si="1939"/>
        <v>50.585593704108923</v>
      </c>
      <c r="CS205" s="49">
        <f t="shared" si="1939"/>
        <v>50.585593704108923</v>
      </c>
      <c r="CT205" s="49">
        <f t="shared" si="1939"/>
        <v>50.585593704108923</v>
      </c>
      <c r="CU205" s="49">
        <f t="shared" si="1939"/>
        <v>50.585593704108923</v>
      </c>
      <c r="CV205" s="49">
        <f t="shared" si="1939"/>
        <v>50.585593704108923</v>
      </c>
      <c r="CW205" s="49">
        <f t="shared" si="1939"/>
        <v>50.585593704108923</v>
      </c>
      <c r="CX205" s="49">
        <f t="shared" si="1939"/>
        <v>50.585593704108923</v>
      </c>
      <c r="CY205" s="49">
        <f t="shared" si="1939"/>
        <v>50.585593704108923</v>
      </c>
      <c r="CZ205" s="49">
        <f t="shared" si="1939"/>
        <v>50.585593704108923</v>
      </c>
      <c r="DA205" s="49">
        <f t="shared" si="1939"/>
        <v>50.585593704108923</v>
      </c>
      <c r="DB205"/>
      <c r="DD205" s="137"/>
    </row>
    <row r="206" spans="1:108" s="7" customFormat="1" x14ac:dyDescent="0.25">
      <c r="A206" s="68" t="s">
        <v>470</v>
      </c>
      <c r="B206" s="69" t="e">
        <f>B202-B205</f>
        <v>#DIV/0!</v>
      </c>
      <c r="C206" s="69" t="e">
        <f t="shared" ref="C206:V206" si="1940">C202-C205</f>
        <v>#DIV/0!</v>
      </c>
      <c r="D206" s="69" t="e">
        <f t="shared" si="1940"/>
        <v>#DIV/0!</v>
      </c>
      <c r="E206" s="69" t="e">
        <f t="shared" si="1940"/>
        <v>#DIV/0!</v>
      </c>
      <c r="F206" s="69">
        <f t="shared" si="1940"/>
        <v>21.694035745513851</v>
      </c>
      <c r="G206" s="69">
        <f t="shared" si="1940"/>
        <v>17.509835714369004</v>
      </c>
      <c r="H206" s="69">
        <f t="shared" si="1940"/>
        <v>13.241726066801903</v>
      </c>
      <c r="I206" s="69">
        <f t="shared" si="1940"/>
        <v>37.491295978171749</v>
      </c>
      <c r="J206" s="69">
        <f t="shared" si="1940"/>
        <v>91.471390468123658</v>
      </c>
      <c r="K206" s="69">
        <f t="shared" si="1940"/>
        <v>54.121202469456691</v>
      </c>
      <c r="L206" s="69">
        <f t="shared" si="1940"/>
        <v>58.68291023283038</v>
      </c>
      <c r="M206" s="69">
        <f t="shared" si="1940"/>
        <v>63.966193685761475</v>
      </c>
      <c r="N206" s="69">
        <f t="shared" si="1940"/>
        <v>44.560985298960077</v>
      </c>
      <c r="O206" s="69">
        <f t="shared" si="1940"/>
        <v>23.783798555019125</v>
      </c>
      <c r="P206" s="69">
        <f t="shared" si="1940"/>
        <v>15.379066861989415</v>
      </c>
      <c r="Q206" s="69">
        <f t="shared" si="1940"/>
        <v>-65.443771643572504</v>
      </c>
      <c r="R206" s="69">
        <f t="shared" si="1940"/>
        <v>10.81364597422332</v>
      </c>
      <c r="S206" s="69">
        <f t="shared" si="1940"/>
        <v>27.089774613589618</v>
      </c>
      <c r="T206" s="69">
        <f t="shared" si="1940"/>
        <v>7.6158204185164919</v>
      </c>
      <c r="U206" s="69">
        <f t="shared" si="1940"/>
        <v>14.039728607960058</v>
      </c>
      <c r="V206" s="69">
        <f t="shared" si="1940"/>
        <v>16.884288654496714</v>
      </c>
      <c r="W206" s="69">
        <f t="shared" ref="W206" si="1941">W202-W205</f>
        <v>27.572813531818369</v>
      </c>
      <c r="X206" s="69">
        <f t="shared" ref="X206:Y206" si="1942">X202-X205</f>
        <v>37.715395902775441</v>
      </c>
      <c r="Y206" s="69">
        <f t="shared" si="1942"/>
        <v>39.663442932721587</v>
      </c>
      <c r="Z206" s="69">
        <f t="shared" ref="Z206" si="1943">Z202-Z205</f>
        <v>42.873098763627993</v>
      </c>
      <c r="AA206" s="70">
        <f t="shared" ref="AA206:AD206" si="1944">AA202-AA205</f>
        <v>74.33471039501147</v>
      </c>
      <c r="AB206" s="70">
        <f t="shared" si="1944"/>
        <v>35.610504432635466</v>
      </c>
      <c r="AC206" s="70">
        <f t="shared" si="1944"/>
        <v>35.573642481135401</v>
      </c>
      <c r="AD206" s="70">
        <f t="shared" si="1944"/>
        <v>35.70980354475693</v>
      </c>
      <c r="AE206" s="70">
        <f t="shared" ref="AE206" si="1945">AE202-AE205</f>
        <v>35.858616079639177</v>
      </c>
      <c r="AI206" s="69" t="e">
        <f t="shared" ref="AI206:AL206" si="1946">AI202-AI205</f>
        <v>#DIV/0!</v>
      </c>
      <c r="AJ206" s="69" t="e">
        <f t="shared" si="1946"/>
        <v>#DIV/0!</v>
      </c>
      <c r="AK206" s="69" t="e">
        <f t="shared" si="1946"/>
        <v>#DIV/0!</v>
      </c>
      <c r="AL206" s="69" t="e">
        <f t="shared" si="1946"/>
        <v>#DIV/0!</v>
      </c>
      <c r="AM206" s="69" t="e">
        <f t="shared" ref="AM206:AP206" si="1947">AM202-AM205</f>
        <v>#DIV/0!</v>
      </c>
      <c r="AN206" s="69" t="e">
        <f t="shared" si="1947"/>
        <v>#DIV/0!</v>
      </c>
      <c r="AO206" s="69" t="e">
        <f t="shared" si="1947"/>
        <v>#DIV/0!</v>
      </c>
      <c r="AP206" s="69" t="e">
        <f t="shared" si="1947"/>
        <v>#DIV/0!</v>
      </c>
      <c r="AQ206" s="69" t="e">
        <f t="shared" ref="AQ206:BB206" si="1948">AQ202-AQ205</f>
        <v>#DIV/0!</v>
      </c>
      <c r="AR206" s="69" t="e">
        <f t="shared" si="1948"/>
        <v>#DIV/0!</v>
      </c>
      <c r="AS206" s="69" t="e">
        <f t="shared" si="1948"/>
        <v>#DIV/0!</v>
      </c>
      <c r="AT206" s="69" t="e">
        <f t="shared" si="1948"/>
        <v>#DIV/0!</v>
      </c>
      <c r="AU206" s="69" t="e">
        <f t="shared" si="1948"/>
        <v>#DIV/0!</v>
      </c>
      <c r="AV206" s="69" t="e">
        <f t="shared" si="1948"/>
        <v>#DIV/0!</v>
      </c>
      <c r="AW206" s="69">
        <f t="shared" si="1948"/>
        <v>-217.76754669866469</v>
      </c>
      <c r="AX206" s="69">
        <f t="shared" si="1948"/>
        <v>-217.76754669866472</v>
      </c>
      <c r="AY206" s="69">
        <f t="shared" si="1948"/>
        <v>0</v>
      </c>
      <c r="AZ206" s="69">
        <f t="shared" si="1948"/>
        <v>0</v>
      </c>
      <c r="BA206" s="69">
        <f t="shared" si="1948"/>
        <v>-120.22833165588105</v>
      </c>
      <c r="BB206" s="69">
        <f t="shared" si="1948"/>
        <v>-120.22833165588105</v>
      </c>
      <c r="BC206" s="69">
        <f t="shared" ref="BC206:BF206" si="1949">BC202-BC205</f>
        <v>-19.815517730804487</v>
      </c>
      <c r="BD206" s="69">
        <f t="shared" si="1949"/>
        <v>-19.815517730804487</v>
      </c>
      <c r="BE206" s="69">
        <f t="shared" si="1949"/>
        <v>-45.337585079389044</v>
      </c>
      <c r="BF206" s="69">
        <f t="shared" si="1949"/>
        <v>-45.337585079389044</v>
      </c>
      <c r="BG206" s="69">
        <f t="shared" ref="BG206:BJ206" si="1950">BG202-BG205</f>
        <v>-15.64479058682609</v>
      </c>
      <c r="BH206" s="69">
        <f t="shared" si="1950"/>
        <v>-15.64479058682609</v>
      </c>
      <c r="BI206" s="69">
        <f t="shared" si="1950"/>
        <v>-35.959506899943648</v>
      </c>
      <c r="BJ206" s="69">
        <f t="shared" si="1950"/>
        <v>-35.959506899943676</v>
      </c>
      <c r="BK206" s="69">
        <f t="shared" ref="BK206:BN206" si="1951">BK202-BK205</f>
        <v>-23.578539968486297</v>
      </c>
      <c r="BL206" s="69">
        <f t="shared" si="1951"/>
        <v>-23.578539968486297</v>
      </c>
      <c r="BM206" s="69">
        <f t="shared" si="1951"/>
        <v>-19.070820912680944</v>
      </c>
      <c r="BN206" s="69">
        <f t="shared" si="1951"/>
        <v>-19.070820912680944</v>
      </c>
      <c r="BO206" s="69">
        <f t="shared" ref="BO206:BR206" si="1952">BO202-BO205</f>
        <v>-40.291734956684593</v>
      </c>
      <c r="BP206" s="69">
        <f t="shared" si="1952"/>
        <v>-40.291734956684593</v>
      </c>
      <c r="BQ206" s="69">
        <f t="shared" si="1952"/>
        <v>-11.208283043707013</v>
      </c>
      <c r="BR206" s="69">
        <f t="shared" si="1952"/>
        <v>-11.208283043707013</v>
      </c>
      <c r="BS206" s="69">
        <f t="shared" ref="BS206:BV206" si="1953">BS202-BS205</f>
        <v>-20.376610321846897</v>
      </c>
      <c r="BT206" s="69">
        <f t="shared" si="1953"/>
        <v>-20.376610321846883</v>
      </c>
      <c r="BU206" s="69">
        <f t="shared" si="1953"/>
        <v>65.073583404724019</v>
      </c>
      <c r="BV206" s="69">
        <f t="shared" si="1953"/>
        <v>65.073583404724019</v>
      </c>
      <c r="BW206" s="69">
        <f t="shared" ref="BW206:BZ206" si="1954">BW202-BW205</f>
        <v>21.085281236453874</v>
      </c>
      <c r="BX206" s="69">
        <f t="shared" si="1954"/>
        <v>21.085281236453874</v>
      </c>
      <c r="BY206" s="69">
        <f t="shared" si="1954"/>
        <v>93.242582295506736</v>
      </c>
      <c r="BZ206" s="69">
        <f t="shared" si="1954"/>
        <v>93.242582295506736</v>
      </c>
      <c r="CA206" s="69">
        <f t="shared" ref="CA206:CD206" si="1955">CA202-CA205</f>
        <v>32.11634086783701</v>
      </c>
      <c r="CB206" s="69">
        <f t="shared" si="1955"/>
        <v>32.11634086783701</v>
      </c>
      <c r="CC206" s="69">
        <f t="shared" si="1955"/>
        <v>93.738435478520174</v>
      </c>
      <c r="CD206" s="69">
        <f t="shared" si="1955"/>
        <v>93.738435478520174</v>
      </c>
      <c r="CE206" s="69">
        <f t="shared" ref="CE206:CF206" si="1956">CE202-CE205</f>
        <v>37.293794977468309</v>
      </c>
      <c r="CF206" s="69">
        <f t="shared" si="1956"/>
        <v>37.293794977468309</v>
      </c>
      <c r="CG206" s="69">
        <f t="shared" ref="CG206:CI206" si="1957">CG202-CG205</f>
        <v>58.799973281747867</v>
      </c>
      <c r="CH206" s="69">
        <f t="shared" ref="CH206:CJ206" si="1958">CH202-CH205</f>
        <v>58.799973281747867</v>
      </c>
      <c r="CI206" s="69">
        <f t="shared" si="1957"/>
        <v>44.81207859086269</v>
      </c>
      <c r="CJ206" s="69">
        <f t="shared" si="1958"/>
        <v>44.81207859086269</v>
      </c>
      <c r="CK206" s="69">
        <f t="shared" ref="CK206:DA206" si="1959">CK202-CK205</f>
        <v>44.81207859086269</v>
      </c>
      <c r="CL206" s="69">
        <f t="shared" si="1959"/>
        <v>44.81207859086269</v>
      </c>
      <c r="CM206" s="49">
        <f t="shared" si="1959"/>
        <v>44.81207859086269</v>
      </c>
      <c r="CN206" s="49">
        <f t="shared" si="1959"/>
        <v>44.81207859086269</v>
      </c>
      <c r="CO206" s="49">
        <f t="shared" si="1959"/>
        <v>44.81207859086269</v>
      </c>
      <c r="CP206" s="49">
        <f t="shared" si="1959"/>
        <v>44.81207859086269</v>
      </c>
      <c r="CQ206" s="49">
        <f t="shared" si="1959"/>
        <v>44.81207859086269</v>
      </c>
      <c r="CR206" s="49">
        <f t="shared" si="1959"/>
        <v>44.81207859086269</v>
      </c>
      <c r="CS206" s="49">
        <f t="shared" si="1959"/>
        <v>44.81207859086269</v>
      </c>
      <c r="CT206" s="49">
        <f t="shared" si="1959"/>
        <v>44.81207859086269</v>
      </c>
      <c r="CU206" s="49">
        <f t="shared" si="1959"/>
        <v>44.81207859086269</v>
      </c>
      <c r="CV206" s="49">
        <f t="shared" si="1959"/>
        <v>44.81207859086269</v>
      </c>
      <c r="CW206" s="49">
        <f t="shared" si="1959"/>
        <v>44.81207859086269</v>
      </c>
      <c r="CX206" s="49">
        <f t="shared" si="1959"/>
        <v>44.81207859086269</v>
      </c>
      <c r="CY206" s="49">
        <f t="shared" si="1959"/>
        <v>44.81207859086269</v>
      </c>
      <c r="CZ206" s="49">
        <f t="shared" si="1959"/>
        <v>44.81207859086269</v>
      </c>
      <c r="DA206" s="49">
        <f t="shared" si="1959"/>
        <v>44.81207859086269</v>
      </c>
      <c r="DB206"/>
      <c r="DD206" s="137"/>
    </row>
    <row r="207" spans="1:108" s="7" customFormat="1" x14ac:dyDescent="0.25">
      <c r="A207" s="68" t="s">
        <v>86</v>
      </c>
      <c r="AA207" s="76"/>
      <c r="AB207" s="76"/>
      <c r="AC207" s="76"/>
      <c r="AD207" s="76"/>
      <c r="AE207" s="76"/>
      <c r="CE207" s="114"/>
      <c r="CG207" s="114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/>
      <c r="DD207" s="137"/>
    </row>
    <row r="208" spans="1:108" s="85" customFormat="1" x14ac:dyDescent="0.25">
      <c r="A208" s="85" t="s">
        <v>440</v>
      </c>
      <c r="C208" s="85" t="e">
        <f t="shared" ref="C208:AE208" si="1960">C30/B30-1</f>
        <v>#DIV/0!</v>
      </c>
      <c r="D208" s="85" t="e">
        <f t="shared" si="1960"/>
        <v>#DIV/0!</v>
      </c>
      <c r="E208" s="85" t="e">
        <f t="shared" si="1960"/>
        <v>#DIV/0!</v>
      </c>
      <c r="F208" s="85" t="e">
        <f t="shared" si="1960"/>
        <v>#DIV/0!</v>
      </c>
      <c r="G208" s="85">
        <f t="shared" si="1960"/>
        <v>8.2684090680103184E-2</v>
      </c>
      <c r="H208" s="85">
        <f t="shared" si="1960"/>
        <v>6.8162154032207045E-2</v>
      </c>
      <c r="I208" s="85">
        <f t="shared" si="1960"/>
        <v>0.13688427894873412</v>
      </c>
      <c r="J208" s="85">
        <f t="shared" si="1960"/>
        <v>0.23371978980625308</v>
      </c>
      <c r="K208" s="85">
        <f t="shared" si="1960"/>
        <v>0.67793882215019408</v>
      </c>
      <c r="L208" s="85">
        <f t="shared" si="1960"/>
        <v>0.2513445028131458</v>
      </c>
      <c r="M208" s="85">
        <f t="shared" si="1960"/>
        <v>0.18029153270249876</v>
      </c>
      <c r="N208" s="85">
        <f t="shared" si="1960"/>
        <v>0.579490770478166</v>
      </c>
      <c r="O208" s="85">
        <f t="shared" si="1960"/>
        <v>0.17508669473342686</v>
      </c>
      <c r="P208" s="85">
        <f t="shared" si="1960"/>
        <v>0.18308781083507597</v>
      </c>
      <c r="Q208" s="85">
        <f t="shared" si="1960"/>
        <v>0.35635370265508359</v>
      </c>
      <c r="R208" s="85">
        <f t="shared" si="1960"/>
        <v>0.13759973413070559</v>
      </c>
      <c r="S208" s="85">
        <f t="shared" si="1960"/>
        <v>3.686875240049492E-2</v>
      </c>
      <c r="T208" s="85">
        <f t="shared" si="1960"/>
        <v>0.27518521108818694</v>
      </c>
      <c r="U208" s="85">
        <f t="shared" si="1960"/>
        <v>0.39651750989911361</v>
      </c>
      <c r="V208" s="85">
        <f t="shared" si="1960"/>
        <v>-9.5298206990652168E-2</v>
      </c>
      <c r="W208" s="85">
        <f t="shared" si="1960"/>
        <v>0.36791252037552047</v>
      </c>
      <c r="X208" s="85">
        <f t="shared" si="1960"/>
        <v>0.49300675602925459</v>
      </c>
      <c r="Y208" s="85">
        <f t="shared" si="1960"/>
        <v>0.21782495019031933</v>
      </c>
      <c r="Z208" s="85">
        <f t="shared" si="1960"/>
        <v>0.24715904504393649</v>
      </c>
      <c r="AA208" s="86">
        <f t="shared" si="1960"/>
        <v>8.3854375701293948E-2</v>
      </c>
      <c r="AB208" s="86">
        <f t="shared" si="1960"/>
        <v>0.15010185504163154</v>
      </c>
      <c r="AC208" s="86">
        <f t="shared" si="1960"/>
        <v>0.16129485380404263</v>
      </c>
      <c r="AD208" s="86">
        <f t="shared" si="1960"/>
        <v>7.3644579254368514E-2</v>
      </c>
      <c r="AE208" s="86">
        <f t="shared" si="1960"/>
        <v>0.20029608726143788</v>
      </c>
      <c r="AN208" s="85" t="e">
        <f t="shared" ref="AN208:BS208" si="1961">+(AN30+AM30)/(AJ30+AI30)-1</f>
        <v>#DIV/0!</v>
      </c>
      <c r="AO208" s="85" t="e">
        <f t="shared" si="1961"/>
        <v>#DIV/0!</v>
      </c>
      <c r="AP208" s="85" t="e">
        <f t="shared" si="1961"/>
        <v>#DIV/0!</v>
      </c>
      <c r="AQ208" s="85" t="e">
        <f t="shared" si="1961"/>
        <v>#DIV/0!</v>
      </c>
      <c r="AR208" s="85" t="e">
        <f t="shared" si="1961"/>
        <v>#DIV/0!</v>
      </c>
      <c r="AS208" s="85" t="e">
        <f t="shared" si="1961"/>
        <v>#DIV/0!</v>
      </c>
      <c r="AT208" s="85" t="e">
        <f t="shared" si="1961"/>
        <v>#DIV/0!</v>
      </c>
      <c r="AU208" s="85" t="e">
        <f t="shared" si="1961"/>
        <v>#DIV/0!</v>
      </c>
      <c r="AV208" s="85" t="e">
        <f t="shared" si="1961"/>
        <v>#DIV/0!</v>
      </c>
      <c r="AW208" s="85" t="e">
        <f t="shared" si="1961"/>
        <v>#DIV/0!</v>
      </c>
      <c r="AX208" s="85" t="e">
        <f t="shared" si="1961"/>
        <v>#DIV/0!</v>
      </c>
      <c r="AY208" s="85" t="e">
        <f t="shared" si="1961"/>
        <v>#DIV/0!</v>
      </c>
      <c r="AZ208" s="85" t="e">
        <f t="shared" si="1961"/>
        <v>#DIV/0!</v>
      </c>
      <c r="BA208" s="85">
        <f t="shared" si="1961"/>
        <v>2.4071207628365365</v>
      </c>
      <c r="BB208" s="85">
        <f t="shared" si="1961"/>
        <v>4.2515261410439154E-2</v>
      </c>
      <c r="BC208" s="85">
        <f t="shared" si="1961"/>
        <v>-6.6788272400006843E-3</v>
      </c>
      <c r="BD208" s="85">
        <f t="shared" si="1961"/>
        <v>1.5217057303221759E-2</v>
      </c>
      <c r="BE208" s="85">
        <f t="shared" si="1961"/>
        <v>0.11958501070438676</v>
      </c>
      <c r="BF208" s="85">
        <f t="shared" si="1961"/>
        <v>0.23512970890965046</v>
      </c>
      <c r="BG208" s="85">
        <f t="shared" si="1961"/>
        <v>0.25523801715519312</v>
      </c>
      <c r="BH208" s="85">
        <f t="shared" si="1961"/>
        <v>0.24184172859121666</v>
      </c>
      <c r="BI208" s="85">
        <f t="shared" si="1961"/>
        <v>0.30880084349018233</v>
      </c>
      <c r="BJ208" s="85">
        <f t="shared" si="1961"/>
        <v>0.32207462382957197</v>
      </c>
      <c r="BK208" s="85">
        <f t="shared" si="1961"/>
        <v>0.32204498492501821</v>
      </c>
      <c r="BL208" s="85">
        <f t="shared" si="1961"/>
        <v>0.41096875903137731</v>
      </c>
      <c r="BM208" s="85">
        <f t="shared" si="1961"/>
        <v>0.5168846862230021</v>
      </c>
      <c r="BN208" s="85">
        <f t="shared" si="1961"/>
        <v>0.35058295512509097</v>
      </c>
      <c r="BO208" s="85">
        <f t="shared" si="1961"/>
        <v>-0.204571710612939</v>
      </c>
      <c r="BP208" s="85">
        <f t="shared" si="1961"/>
        <v>-0.24336818610571698</v>
      </c>
      <c r="BQ208" s="85">
        <f t="shared" si="1961"/>
        <v>5.8630821367313457E-2</v>
      </c>
      <c r="BR208" s="85">
        <f t="shared" si="1961"/>
        <v>0.23306137821967821</v>
      </c>
      <c r="BS208" s="85">
        <f t="shared" si="1961"/>
        <v>0.41431374198467874</v>
      </c>
      <c r="BT208" s="85">
        <f t="shared" ref="BT208:CJ208" si="1962">+(BT30+BS30)/(BP30+BO30)-1</f>
        <v>0.40815007013152327</v>
      </c>
      <c r="BU208" s="85">
        <f t="shared" si="1962"/>
        <v>0.31880007339976579</v>
      </c>
      <c r="BV208" s="85">
        <f t="shared" si="1962"/>
        <v>0.2771792127349284</v>
      </c>
      <c r="BW208" s="85">
        <f t="shared" si="1962"/>
        <v>0.65907553546489628</v>
      </c>
      <c r="BX208" s="85">
        <f t="shared" si="1962"/>
        <v>0.67727515845184061</v>
      </c>
      <c r="BY208" s="85">
        <f t="shared" si="1962"/>
        <v>0.30450432704907171</v>
      </c>
      <c r="BZ208" s="85">
        <f t="shared" si="1962"/>
        <v>0.33876992165604558</v>
      </c>
      <c r="CA208" s="85">
        <f t="shared" si="1962"/>
        <v>0.22128328086589466</v>
      </c>
      <c r="CB208" s="85">
        <f t="shared" si="1962"/>
        <v>0.16608163257776765</v>
      </c>
      <c r="CC208" s="85">
        <f t="shared" si="1962"/>
        <v>0.21283247277101691</v>
      </c>
      <c r="CD208" s="85">
        <f t="shared" si="1962"/>
        <v>0.14373044319746642</v>
      </c>
      <c r="CE208" s="85">
        <f t="shared" si="1962"/>
        <v>0.21146025667963286</v>
      </c>
      <c r="CF208" s="85">
        <f t="shared" si="1962"/>
        <v>0.26572980969987392</v>
      </c>
      <c r="CG208" s="85">
        <f t="shared" si="1962"/>
        <v>0.29905322623766417</v>
      </c>
      <c r="CH208" s="85">
        <f t="shared" si="1962"/>
        <v>0.32508580527249675</v>
      </c>
      <c r="CI208" s="85">
        <f t="shared" si="1962"/>
        <v>9.2940310530281289E-2</v>
      </c>
      <c r="CJ208" s="85">
        <f t="shared" si="1962"/>
        <v>-7.2927277279715153E-3</v>
      </c>
      <c r="CM208" s="86"/>
      <c r="CN208" s="86"/>
      <c r="CO208" s="86"/>
      <c r="CP208" s="86"/>
      <c r="CQ208" s="86"/>
      <c r="CR208" s="86"/>
      <c r="CS208" s="86"/>
      <c r="CT208" s="86"/>
      <c r="CU208" s="86"/>
      <c r="CV208" s="86"/>
      <c r="CW208" s="86"/>
      <c r="CX208" s="86"/>
      <c r="CY208" s="86"/>
      <c r="CZ208" s="86"/>
      <c r="DA208" s="86"/>
      <c r="DB208"/>
      <c r="DD208" s="140"/>
    </row>
    <row r="209" spans="1:108" s="85" customFormat="1" x14ac:dyDescent="0.25">
      <c r="A209" s="85" t="s">
        <v>441</v>
      </c>
      <c r="C209" s="85" t="e">
        <f t="shared" ref="C209" si="1963">C206/B206-1</f>
        <v>#DIV/0!</v>
      </c>
      <c r="D209" s="85" t="e">
        <f t="shared" ref="D209" si="1964">D206/C206-1</f>
        <v>#DIV/0!</v>
      </c>
      <c r="E209" s="85" t="e">
        <f>E206/D206-1</f>
        <v>#DIV/0!</v>
      </c>
      <c r="F209" s="85" t="e">
        <f t="shared" ref="F209" si="1965">F206/E206-1</f>
        <v>#DIV/0!</v>
      </c>
      <c r="G209" s="85">
        <f t="shared" ref="G209" si="1966">G206/F206-1</f>
        <v>-0.1928732892408046</v>
      </c>
      <c r="H209" s="85">
        <f t="shared" ref="H209" si="1967">H206/G206-1</f>
        <v>-0.24375497961209225</v>
      </c>
      <c r="I209" s="85">
        <f t="shared" ref="I209" si="1968">I206/H206-1</f>
        <v>1.8312997708180592</v>
      </c>
      <c r="J209" s="85">
        <f t="shared" ref="J209" si="1969">J206/I206-1</f>
        <v>1.4398033751988808</v>
      </c>
      <c r="K209" s="85">
        <f>K206/J206-1</f>
        <v>-0.40832644838478671</v>
      </c>
      <c r="L209" s="85">
        <f t="shared" ref="L209" si="1970">L206/K206-1</f>
        <v>8.4286888598753773E-2</v>
      </c>
      <c r="M209" s="85">
        <f t="shared" ref="M209" si="1971">M206/L206-1</f>
        <v>9.0031040246114857E-2</v>
      </c>
      <c r="N209" s="85">
        <f t="shared" ref="N209" si="1972">N206/M206-1</f>
        <v>-0.30336662647352253</v>
      </c>
      <c r="O209" s="85">
        <f t="shared" ref="O209" si="1973">O206/N206-1</f>
        <v>-0.46626407842076667</v>
      </c>
      <c r="P209" s="85">
        <f t="shared" ref="P209" si="1974">P206/O206-1</f>
        <v>-0.35338054489433313</v>
      </c>
      <c r="Q209" s="85">
        <f t="shared" ref="Q209" si="1975">Q206/P206-1</f>
        <v>-5.2553798764814514</v>
      </c>
      <c r="R209" s="85">
        <f t="shared" ref="R209" si="1976">R206/Q206-1</f>
        <v>-1.1652356779361353</v>
      </c>
      <c r="S209" s="85">
        <f t="shared" ref="S209" si="1977">S206/R206-1</f>
        <v>1.5051471703590069</v>
      </c>
      <c r="T209" s="85">
        <f t="shared" ref="T209" si="1978">T206/S206-1</f>
        <v>-0.71886733916582657</v>
      </c>
      <c r="U209" s="85">
        <f t="shared" ref="U209" si="1979">U206/T206-1</f>
        <v>0.84349522919749953</v>
      </c>
      <c r="V209" s="85">
        <f t="shared" ref="V209" si="1980">V206/U206-1</f>
        <v>0.20260790831269238</v>
      </c>
      <c r="W209" s="85">
        <f t="shared" ref="W209:Z209" si="1981">W206/V206-1</f>
        <v>0.63304561394566239</v>
      </c>
      <c r="X209" s="85">
        <f t="shared" si="1981"/>
        <v>0.36784720424895245</v>
      </c>
      <c r="Y209" s="85">
        <f t="shared" si="1981"/>
        <v>5.1651241709563811E-2</v>
      </c>
      <c r="Z209" s="85">
        <f t="shared" si="1981"/>
        <v>8.0922269817845338E-2</v>
      </c>
      <c r="AA209" s="86">
        <f t="shared" ref="AA209" si="1982">AA206/Z206-1</f>
        <v>0.73383106280328825</v>
      </c>
      <c r="AB209" s="86">
        <f t="shared" ref="AB209" si="1983">AB206/AA206-1</f>
        <v>-0.52094379269922797</v>
      </c>
      <c r="AC209" s="86">
        <f t="shared" ref="AC209" si="1984">AC206/AB206-1</f>
        <v>-1.0351426380325046E-3</v>
      </c>
      <c r="AD209" s="86">
        <f t="shared" ref="AD209" si="1985">AD206/AC206-1</f>
        <v>3.8275828429359393E-3</v>
      </c>
      <c r="AE209" s="86">
        <f t="shared" ref="AE209" si="1986">AE206/AD206-1</f>
        <v>4.1672739726985597E-3</v>
      </c>
      <c r="AN209" s="85" t="e">
        <f t="shared" ref="AN209:CI209" si="1987">+AN206/AJ206-1</f>
        <v>#DIV/0!</v>
      </c>
      <c r="AO209" s="85" t="e">
        <f t="shared" si="1987"/>
        <v>#DIV/0!</v>
      </c>
      <c r="AP209" s="85" t="e">
        <f t="shared" si="1987"/>
        <v>#DIV/0!</v>
      </c>
      <c r="AQ209" s="85" t="e">
        <f t="shared" si="1987"/>
        <v>#DIV/0!</v>
      </c>
      <c r="AR209" s="85" t="e">
        <f t="shared" si="1987"/>
        <v>#DIV/0!</v>
      </c>
      <c r="AS209" s="85" t="e">
        <f t="shared" si="1987"/>
        <v>#DIV/0!</v>
      </c>
      <c r="AT209" s="85" t="e">
        <f t="shared" si="1987"/>
        <v>#DIV/0!</v>
      </c>
      <c r="AU209" s="85" t="e">
        <f t="shared" si="1987"/>
        <v>#DIV/0!</v>
      </c>
      <c r="AV209" s="85" t="e">
        <f t="shared" si="1987"/>
        <v>#DIV/0!</v>
      </c>
      <c r="AW209" s="85" t="e">
        <f t="shared" si="1987"/>
        <v>#DIV/0!</v>
      </c>
      <c r="AX209" s="85" t="e">
        <f t="shared" si="1987"/>
        <v>#DIV/0!</v>
      </c>
      <c r="AY209" s="85" t="e">
        <f t="shared" si="1987"/>
        <v>#DIV/0!</v>
      </c>
      <c r="AZ209" s="85" t="e">
        <f t="shared" si="1987"/>
        <v>#DIV/0!</v>
      </c>
      <c r="BA209" s="85">
        <f t="shared" si="1987"/>
        <v>-0.44790519304399978</v>
      </c>
      <c r="BB209" s="85">
        <f t="shared" si="1987"/>
        <v>-0.44790519304399978</v>
      </c>
      <c r="BC209" s="85" t="e">
        <f t="shared" si="1987"/>
        <v>#DIV/0!</v>
      </c>
      <c r="BD209" s="85" t="e">
        <f t="shared" si="1987"/>
        <v>#DIV/0!</v>
      </c>
      <c r="BE209" s="85">
        <f t="shared" si="1987"/>
        <v>-0.62290431502322752</v>
      </c>
      <c r="BF209" s="85">
        <f t="shared" si="1987"/>
        <v>-0.62290431502322752</v>
      </c>
      <c r="BG209" s="85">
        <f t="shared" si="1987"/>
        <v>-0.21047782857042063</v>
      </c>
      <c r="BH209" s="85">
        <f t="shared" si="1987"/>
        <v>-0.21047782857042063</v>
      </c>
      <c r="BI209" s="85">
        <f t="shared" si="1987"/>
        <v>-0.20684997145356931</v>
      </c>
      <c r="BJ209" s="85">
        <f t="shared" si="1987"/>
        <v>-0.20684997145356876</v>
      </c>
      <c r="BK209" s="85">
        <f t="shared" si="1987"/>
        <v>0.50711764645420865</v>
      </c>
      <c r="BL209" s="85">
        <f t="shared" si="1987"/>
        <v>0.50711764645420865</v>
      </c>
      <c r="BM209" s="85">
        <f t="shared" si="1987"/>
        <v>-0.46965844204301843</v>
      </c>
      <c r="BN209" s="85">
        <f t="shared" si="1987"/>
        <v>-0.46965844204301888</v>
      </c>
      <c r="BO209" s="85">
        <f t="shared" si="1987"/>
        <v>0.70883078471085059</v>
      </c>
      <c r="BP209" s="85">
        <f t="shared" si="1987"/>
        <v>0.70883078471085059</v>
      </c>
      <c r="BQ209" s="85">
        <f t="shared" si="1987"/>
        <v>-0.41228103944627881</v>
      </c>
      <c r="BR209" s="85">
        <f t="shared" si="1987"/>
        <v>-0.41228103944627881</v>
      </c>
      <c r="BS209" s="85">
        <f t="shared" si="1987"/>
        <v>-0.49427319663070701</v>
      </c>
      <c r="BT209" s="85">
        <f t="shared" si="1987"/>
        <v>-0.49427319663070735</v>
      </c>
      <c r="BU209" s="85">
        <f t="shared" si="1987"/>
        <v>-6.8058476174243427</v>
      </c>
      <c r="BV209" s="85">
        <f t="shared" si="1987"/>
        <v>-6.8058476174243427</v>
      </c>
      <c r="BW209" s="85">
        <f t="shared" si="1987"/>
        <v>-2.0347786458794461</v>
      </c>
      <c r="BX209" s="85">
        <f t="shared" si="1987"/>
        <v>-2.0347786458794466</v>
      </c>
      <c r="BY209" s="85">
        <f t="shared" si="1987"/>
        <v>0.43287917180749247</v>
      </c>
      <c r="BZ209" s="85">
        <f t="shared" si="1987"/>
        <v>0.43287917180749247</v>
      </c>
      <c r="CA209" s="85">
        <f t="shared" si="1987"/>
        <v>0.52316397906572787</v>
      </c>
      <c r="CB209" s="85">
        <f t="shared" si="1987"/>
        <v>0.52316397906572787</v>
      </c>
      <c r="CC209" s="85">
        <f t="shared" si="1987"/>
        <v>5.3178834262865848E-3</v>
      </c>
      <c r="CD209" s="85">
        <f t="shared" si="1987"/>
        <v>5.3178834262865848E-3</v>
      </c>
      <c r="CE209" s="85">
        <f t="shared" si="1987"/>
        <v>0.16120933984781161</v>
      </c>
      <c r="CF209" s="85">
        <f t="shared" si="1987"/>
        <v>0.16120933984781161</v>
      </c>
      <c r="CG209" s="85">
        <f t="shared" si="1987"/>
        <v>-0.37272290729429047</v>
      </c>
      <c r="CH209" s="85">
        <f t="shared" si="1987"/>
        <v>-0.37272290729429047</v>
      </c>
      <c r="CI209" s="85">
        <f t="shared" si="1987"/>
        <v>0.20159609977843984</v>
      </c>
      <c r="CJ209" s="85">
        <f>+CJ206/CF206-1</f>
        <v>0.20159609977843984</v>
      </c>
      <c r="CM209" s="86"/>
      <c r="CN209" s="86"/>
      <c r="CO209" s="86"/>
      <c r="CP209" s="86"/>
      <c r="CQ209" s="86"/>
      <c r="CR209" s="86"/>
      <c r="CS209" s="86"/>
      <c r="CT209" s="86"/>
      <c r="CU209" s="86"/>
      <c r="CV209" s="86"/>
      <c r="CW209" s="86"/>
      <c r="CX209" s="86"/>
      <c r="CY209" s="86"/>
      <c r="CZ209" s="86"/>
      <c r="DA209" s="86"/>
      <c r="DB209"/>
      <c r="DD209" s="140"/>
    </row>
    <row r="210" spans="1:108" s="102" customFormat="1" x14ac:dyDescent="0.25">
      <c r="A210" s="146" t="s">
        <v>87</v>
      </c>
      <c r="C210" s="102" t="e">
        <f>IF(C209&gt;C208,"RF",0)</f>
        <v>#DIV/0!</v>
      </c>
      <c r="D210" s="102" t="e">
        <f>IF(D209&gt;D208,"RF",0)</f>
        <v>#DIV/0!</v>
      </c>
      <c r="E210" s="102" t="e">
        <f t="shared" ref="E210:U210" si="1988">IF(E209&gt;E208,"RF",0)</f>
        <v>#DIV/0!</v>
      </c>
      <c r="F210" s="102" t="e">
        <f t="shared" si="1988"/>
        <v>#DIV/0!</v>
      </c>
      <c r="G210" s="102">
        <f t="shared" si="1988"/>
        <v>0</v>
      </c>
      <c r="H210" s="102">
        <f t="shared" si="1988"/>
        <v>0</v>
      </c>
      <c r="I210" s="102" t="str">
        <f t="shared" si="1988"/>
        <v>RF</v>
      </c>
      <c r="J210" s="102" t="str">
        <f t="shared" si="1988"/>
        <v>RF</v>
      </c>
      <c r="K210" s="102">
        <f t="shared" si="1988"/>
        <v>0</v>
      </c>
      <c r="L210" s="102">
        <f t="shared" si="1988"/>
        <v>0</v>
      </c>
      <c r="M210" s="102">
        <f t="shared" si="1988"/>
        <v>0</v>
      </c>
      <c r="N210" s="102">
        <f t="shared" si="1988"/>
        <v>0</v>
      </c>
      <c r="O210" s="102">
        <f t="shared" si="1988"/>
        <v>0</v>
      </c>
      <c r="P210" s="102">
        <f t="shared" si="1988"/>
        <v>0</v>
      </c>
      <c r="Q210" s="102">
        <f t="shared" si="1988"/>
        <v>0</v>
      </c>
      <c r="R210" s="102">
        <f t="shared" si="1988"/>
        <v>0</v>
      </c>
      <c r="S210" s="102" t="str">
        <f t="shared" si="1988"/>
        <v>RF</v>
      </c>
      <c r="T210" s="102">
        <f t="shared" si="1988"/>
        <v>0</v>
      </c>
      <c r="U210" s="102" t="str">
        <f t="shared" si="1988"/>
        <v>RF</v>
      </c>
      <c r="V210" s="102" t="str">
        <f>IF(V209&gt;V208,"RF",0)</f>
        <v>RF</v>
      </c>
      <c r="W210" s="102" t="str">
        <f t="shared" ref="W210" si="1989">IF(W209&gt;W208,"RF",0)</f>
        <v>RF</v>
      </c>
      <c r="X210" s="102">
        <f t="shared" ref="X210:Y210" si="1990">IF(X209&gt;X208,"RF",0)</f>
        <v>0</v>
      </c>
      <c r="Y210" s="102">
        <f t="shared" si="1990"/>
        <v>0</v>
      </c>
      <c r="Z210" s="102">
        <f t="shared" ref="Z210" si="1991">IF(Z209&gt;Z208,"RF",0)</f>
        <v>0</v>
      </c>
      <c r="AA210" s="72" t="str">
        <f t="shared" ref="AA210:AD210" si="1992">IF(AA209&gt;AA208,"RF",0)</f>
        <v>RF</v>
      </c>
      <c r="AB210" s="72">
        <f t="shared" si="1992"/>
        <v>0</v>
      </c>
      <c r="AC210" s="72">
        <f t="shared" si="1992"/>
        <v>0</v>
      </c>
      <c r="AD210" s="72">
        <f t="shared" si="1992"/>
        <v>0</v>
      </c>
      <c r="AE210" s="72">
        <f t="shared" ref="AE210" si="1993">IF(AE209&gt;AE208,"RF",0)</f>
        <v>0</v>
      </c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/>
      <c r="DD210" s="141"/>
    </row>
    <row r="211" spans="1:108" x14ac:dyDescent="0.25">
      <c r="A211" s="152" t="s">
        <v>495</v>
      </c>
    </row>
    <row r="212" spans="1:108" x14ac:dyDescent="0.25">
      <c r="A212" s="151" t="s">
        <v>496</v>
      </c>
    </row>
    <row r="213" spans="1:108" s="22" customFormat="1" x14ac:dyDescent="0.25">
      <c r="A213" s="22" t="s">
        <v>22</v>
      </c>
      <c r="C213" s="22">
        <f t="shared" ref="C213:AE213" si="1994">C68</f>
        <v>0</v>
      </c>
      <c r="D213" s="22">
        <f t="shared" si="1994"/>
        <v>0</v>
      </c>
      <c r="E213" s="22">
        <f t="shared" si="1994"/>
        <v>0</v>
      </c>
      <c r="F213" s="22">
        <f t="shared" si="1994"/>
        <v>18.17074809999998</v>
      </c>
      <c r="G213" s="22">
        <f t="shared" si="1994"/>
        <v>10.861303500000052</v>
      </c>
      <c r="H213" s="22">
        <f t="shared" si="1994"/>
        <v>14.118596700000033</v>
      </c>
      <c r="I213" s="22">
        <f t="shared" si="1994"/>
        <v>21.187279800000006</v>
      </c>
      <c r="J213" s="22">
        <f t="shared" si="1994"/>
        <v>21.865713199999931</v>
      </c>
      <c r="K213" s="22">
        <f t="shared" si="1994"/>
        <v>22.197912000000077</v>
      </c>
      <c r="L213" s="22">
        <f t="shared" si="1994"/>
        <v>24.814716499999992</v>
      </c>
      <c r="M213" s="22">
        <f t="shared" si="1994"/>
        <v>7.7790000000001038</v>
      </c>
      <c r="N213" s="22">
        <f t="shared" si="1994"/>
        <v>25.107999999999805</v>
      </c>
      <c r="O213" s="22">
        <f t="shared" si="1994"/>
        <v>-39.52999999999993</v>
      </c>
      <c r="P213" s="22">
        <f t="shared" si="1994"/>
        <v>-20.155999999999938</v>
      </c>
      <c r="Q213" s="22">
        <f t="shared" si="1994"/>
        <v>113.04199999999993</v>
      </c>
      <c r="R213" s="22">
        <f t="shared" si="1994"/>
        <v>42.376000000000388</v>
      </c>
      <c r="S213" s="22">
        <f t="shared" si="1994"/>
        <v>210.15400000000051</v>
      </c>
      <c r="T213" s="22">
        <f t="shared" si="1994"/>
        <v>292.84100000000001</v>
      </c>
      <c r="U213" s="22">
        <f t="shared" si="1994"/>
        <v>468.97499999999889</v>
      </c>
      <c r="V213" s="22">
        <f t="shared" si="1994"/>
        <v>328.99499999999989</v>
      </c>
      <c r="W213" s="22">
        <f t="shared" si="1994"/>
        <v>694.05199999999945</v>
      </c>
      <c r="X213" s="22">
        <f t="shared" si="1994"/>
        <v>1497.4329999999998</v>
      </c>
      <c r="Y213" s="22">
        <f t="shared" si="1994"/>
        <v>2055.9220000000028</v>
      </c>
      <c r="Z213" s="22">
        <f t="shared" si="1994"/>
        <v>2594.6329999999994</v>
      </c>
      <c r="AA213" s="23">
        <f t="shared" si="1994"/>
        <v>3036.4889999999937</v>
      </c>
      <c r="AB213" s="23">
        <f t="shared" si="1994"/>
        <v>3255.4908741932245</v>
      </c>
      <c r="AC213" s="23">
        <f t="shared" si="1994"/>
        <v>4285.7183100260163</v>
      </c>
      <c r="AD213" s="23">
        <f t="shared" si="1994"/>
        <v>4611.6475949997339</v>
      </c>
      <c r="AE213" s="23">
        <f t="shared" si="1994"/>
        <v>5858.1139048082396</v>
      </c>
      <c r="AI213" s="22">
        <f t="shared" ref="AI213:BN213" si="1995">AI68</f>
        <v>0</v>
      </c>
      <c r="AJ213" s="22">
        <f t="shared" si="1995"/>
        <v>0</v>
      </c>
      <c r="AK213" s="22">
        <f t="shared" si="1995"/>
        <v>0</v>
      </c>
      <c r="AL213" s="22">
        <f t="shared" si="1995"/>
        <v>0</v>
      </c>
      <c r="AM213" s="22">
        <f t="shared" si="1995"/>
        <v>0</v>
      </c>
      <c r="AN213" s="22">
        <f t="shared" si="1995"/>
        <v>0</v>
      </c>
      <c r="AO213" s="22">
        <f t="shared" si="1995"/>
        <v>0</v>
      </c>
      <c r="AP213" s="22">
        <f t="shared" si="1995"/>
        <v>0</v>
      </c>
      <c r="AQ213" s="22">
        <f t="shared" si="1995"/>
        <v>0</v>
      </c>
      <c r="AR213" s="22">
        <f t="shared" si="1995"/>
        <v>0</v>
      </c>
      <c r="AS213" s="22">
        <f t="shared" si="1995"/>
        <v>0</v>
      </c>
      <c r="AT213" s="22">
        <f t="shared" si="1995"/>
        <v>0</v>
      </c>
      <c r="AU213" s="22">
        <f t="shared" si="1995"/>
        <v>0</v>
      </c>
      <c r="AV213" s="22">
        <f t="shared" si="1995"/>
        <v>0</v>
      </c>
      <c r="AW213" s="22">
        <f t="shared" si="1995"/>
        <v>-98.751000000000033</v>
      </c>
      <c r="AX213" s="22">
        <f t="shared" si="1995"/>
        <v>-51.786000000000101</v>
      </c>
      <c r="AY213" s="22">
        <f t="shared" si="1995"/>
        <v>203.07900000000009</v>
      </c>
      <c r="AZ213" s="22">
        <f t="shared" si="1995"/>
        <v>10.303000000000086</v>
      </c>
      <c r="BA213" s="22">
        <f t="shared" si="1995"/>
        <v>-119.22000000000001</v>
      </c>
      <c r="BB213" s="22">
        <f t="shared" si="1995"/>
        <v>4.5079999999998721</v>
      </c>
      <c r="BC213" s="22">
        <f t="shared" si="1995"/>
        <v>245.6089999999999</v>
      </c>
      <c r="BD213" s="22">
        <f t="shared" si="1995"/>
        <v>32.880999999999915</v>
      </c>
      <c r="BE213" s="22">
        <f t="shared" si="1995"/>
        <v>-72.843999999999951</v>
      </c>
      <c r="BF213" s="22">
        <f t="shared" si="1995"/>
        <v>18.631999999999955</v>
      </c>
      <c r="BG213" s="22">
        <f t="shared" si="1995"/>
        <v>303.4430000000005</v>
      </c>
      <c r="BH213" s="22">
        <f t="shared" si="1995"/>
        <v>42.274999999999977</v>
      </c>
      <c r="BI213" s="22">
        <f t="shared" si="1995"/>
        <v>-71.509000000000128</v>
      </c>
      <c r="BJ213" s="22">
        <f t="shared" si="1995"/>
        <v>40.626000000000005</v>
      </c>
      <c r="BK213" s="22">
        <f t="shared" si="1995"/>
        <v>406.92900000000003</v>
      </c>
      <c r="BL213" s="22">
        <f t="shared" si="1995"/>
        <v>80.7319999999998</v>
      </c>
      <c r="BM213" s="22">
        <f t="shared" si="1995"/>
        <v>-59.311999999999941</v>
      </c>
      <c r="BN213" s="22">
        <f t="shared" si="1995"/>
        <v>54.919000000000096</v>
      </c>
      <c r="BO213" s="22">
        <f t="shared" ref="BO213:CT213" si="1996">BO68</f>
        <v>140.77799999999988</v>
      </c>
      <c r="BP213" s="22">
        <f t="shared" si="1996"/>
        <v>153.03099999999975</v>
      </c>
      <c r="BQ213" s="22">
        <f t="shared" si="1996"/>
        <v>-19.733000000000324</v>
      </c>
      <c r="BR213" s="22">
        <f t="shared" si="1996"/>
        <v>129.25500000000008</v>
      </c>
      <c r="BS213" s="22">
        <f t="shared" si="1996"/>
        <v>308.16499999999991</v>
      </c>
      <c r="BT213" s="22">
        <f t="shared" si="1996"/>
        <v>240.14100000000019</v>
      </c>
      <c r="BU213" s="22">
        <f t="shared" si="1996"/>
        <v>16.491000000000103</v>
      </c>
      <c r="BV213" s="22">
        <f t="shared" si="1996"/>
        <v>254.20699999999954</v>
      </c>
      <c r="BW213" s="22">
        <f t="shared" si="1996"/>
        <v>787.43800000000022</v>
      </c>
      <c r="BX213" s="22">
        <f t="shared" si="1996"/>
        <v>381.03699999999992</v>
      </c>
      <c r="BY213" s="22">
        <f t="shared" si="1996"/>
        <v>74.750999999999891</v>
      </c>
      <c r="BZ213" s="22">
        <f t="shared" si="1996"/>
        <v>429.0720000000004</v>
      </c>
      <c r="CA213" s="22">
        <f t="shared" si="1996"/>
        <v>993.81100000000094</v>
      </c>
      <c r="CB213" s="22">
        <f t="shared" si="1996"/>
        <v>501.06700000000006</v>
      </c>
      <c r="CC213" s="22">
        <f t="shared" si="1996"/>
        <v>131.97199999999958</v>
      </c>
      <c r="CD213" s="22">
        <f t="shared" si="1996"/>
        <v>537.27099999999882</v>
      </c>
      <c r="CE213" s="22">
        <f t="shared" si="1996"/>
        <v>1252.6029999999989</v>
      </c>
      <c r="CF213" s="22">
        <f t="shared" si="1996"/>
        <v>619.61299999999983</v>
      </c>
      <c r="CG213" s="22">
        <f t="shared" si="1996"/>
        <v>185.14600000000004</v>
      </c>
      <c r="CH213" s="22">
        <f t="shared" si="1996"/>
        <v>726.48799999999949</v>
      </c>
      <c r="CI213" s="22">
        <f t="shared" si="1996"/>
        <v>1317.0239999999999</v>
      </c>
      <c r="CJ213" s="22">
        <f t="shared" si="1996"/>
        <v>741.19000000000062</v>
      </c>
      <c r="CK213" s="22">
        <f t="shared" si="1996"/>
        <v>251.78699999999981</v>
      </c>
      <c r="CL213" s="22">
        <f t="shared" si="1996"/>
        <v>872.3550000000007</v>
      </c>
      <c r="CM213" s="23">
        <f t="shared" si="1996"/>
        <v>1129.7800343848241</v>
      </c>
      <c r="CN213" s="23">
        <f t="shared" si="1996"/>
        <v>681.93095831001301</v>
      </c>
      <c r="CO213" s="23">
        <f t="shared" si="1996"/>
        <v>571.42488149838982</v>
      </c>
      <c r="CP213" s="23">
        <f t="shared" si="1996"/>
        <v>1165.6407730629285</v>
      </c>
      <c r="CQ213" s="23">
        <f t="shared" si="1996"/>
        <v>1397.1648502718722</v>
      </c>
      <c r="CR213" s="23">
        <f t="shared" si="1996"/>
        <v>936.72187756583401</v>
      </c>
      <c r="CS213" s="23">
        <f t="shared" si="1996"/>
        <v>786.19080912538232</v>
      </c>
      <c r="CT213" s="23">
        <f t="shared" si="1996"/>
        <v>1251.7903714237486</v>
      </c>
      <c r="CU213" s="23">
        <f t="shared" ref="CU213:DA213" si="1997">CU68</f>
        <v>1486.9980788422417</v>
      </c>
      <c r="CV213" s="23">
        <f t="shared" si="1997"/>
        <v>994.51250557796664</v>
      </c>
      <c r="CW213" s="23">
        <f t="shared" si="1997"/>
        <v>878.34663915577642</v>
      </c>
      <c r="CX213" s="23">
        <f t="shared" si="1997"/>
        <v>1571.1597595344406</v>
      </c>
      <c r="CY213" s="23">
        <f t="shared" si="1997"/>
        <v>1858.6854266696957</v>
      </c>
      <c r="CZ213" s="23">
        <f t="shared" si="1997"/>
        <v>1283.6741189286947</v>
      </c>
      <c r="DA213" s="23">
        <f t="shared" si="1997"/>
        <v>1144.5945996754058</v>
      </c>
      <c r="DB213"/>
      <c r="DD213" s="122"/>
    </row>
    <row r="214" spans="1:108" s="22" customFormat="1" x14ac:dyDescent="0.25">
      <c r="A214" s="22" t="s">
        <v>88</v>
      </c>
      <c r="C214" s="22">
        <f t="shared" ref="C214:AE214" si="1998">C52</f>
        <v>0</v>
      </c>
      <c r="D214" s="22">
        <f t="shared" si="1998"/>
        <v>0</v>
      </c>
      <c r="E214" s="22">
        <f t="shared" si="1998"/>
        <v>0</v>
      </c>
      <c r="F214" s="22">
        <f t="shared" si="1998"/>
        <v>18.074276900000001</v>
      </c>
      <c r="G214" s="22">
        <f t="shared" si="1998"/>
        <v>25.204786800000001</v>
      </c>
      <c r="H214" s="22">
        <f t="shared" si="1998"/>
        <v>26.143208600000001</v>
      </c>
      <c r="I214" s="22">
        <f t="shared" si="1998"/>
        <v>18.588623599999998</v>
      </c>
      <c r="J214" s="22">
        <f t="shared" si="1998"/>
        <v>23.400851800000002</v>
      </c>
      <c r="K214" s="22">
        <f t="shared" si="1998"/>
        <v>35.418050200000003</v>
      </c>
      <c r="L214" s="22">
        <f t="shared" si="1998"/>
        <v>48.367688999999999</v>
      </c>
      <c r="M214" s="22">
        <f t="shared" si="1998"/>
        <v>55.933999999999997</v>
      </c>
      <c r="N214" s="22">
        <f t="shared" si="1998"/>
        <v>135.78899999999999</v>
      </c>
      <c r="O214" s="22">
        <f t="shared" si="1998"/>
        <v>184.358</v>
      </c>
      <c r="P214" s="22">
        <f t="shared" si="1998"/>
        <v>210.05500000000001</v>
      </c>
      <c r="Q214" s="22">
        <f t="shared" si="1998"/>
        <v>317.40899999999999</v>
      </c>
      <c r="R214" s="22">
        <f t="shared" si="1998"/>
        <v>322.20800000000003</v>
      </c>
      <c r="S214" s="22">
        <f t="shared" si="1998"/>
        <v>346.64100000000002</v>
      </c>
      <c r="T214" s="22">
        <f t="shared" si="1998"/>
        <v>385.07</v>
      </c>
      <c r="U214" s="22">
        <f t="shared" si="1998"/>
        <v>488.62799999999999</v>
      </c>
      <c r="V214" s="22">
        <f t="shared" si="1998"/>
        <v>528.702</v>
      </c>
      <c r="W214" s="22">
        <f t="shared" si="1998"/>
        <v>531.26199999999994</v>
      </c>
      <c r="X214" s="22">
        <f t="shared" si="1998"/>
        <v>617.18899999999996</v>
      </c>
      <c r="Y214" s="22">
        <f t="shared" si="1998"/>
        <v>680.90599999999995</v>
      </c>
      <c r="Z214" s="22">
        <f t="shared" si="1998"/>
        <v>947.38599999999997</v>
      </c>
      <c r="AA214" s="23">
        <f t="shared" si="1998"/>
        <v>1216.463</v>
      </c>
      <c r="AB214" s="23">
        <f t="shared" si="1998"/>
        <v>1538.3506214763997</v>
      </c>
      <c r="AC214" s="23">
        <f t="shared" si="1998"/>
        <v>1612.7287966634785</v>
      </c>
      <c r="AD214" s="23">
        <f t="shared" si="1998"/>
        <v>1651.4612795507778</v>
      </c>
      <c r="AE214" s="23">
        <f t="shared" si="1998"/>
        <v>1686.3199778197272</v>
      </c>
      <c r="AI214" s="22">
        <f t="shared" ref="AI214:BN214" si="1999">AI52</f>
        <v>0</v>
      </c>
      <c r="AJ214" s="22">
        <f t="shared" si="1999"/>
        <v>0</v>
      </c>
      <c r="AK214" s="22">
        <f t="shared" si="1999"/>
        <v>0</v>
      </c>
      <c r="AL214" s="22">
        <f t="shared" si="1999"/>
        <v>0</v>
      </c>
      <c r="AM214" s="22">
        <f t="shared" si="1999"/>
        <v>0</v>
      </c>
      <c r="AN214" s="22">
        <f t="shared" si="1999"/>
        <v>0</v>
      </c>
      <c r="AO214" s="22">
        <f t="shared" si="1999"/>
        <v>0</v>
      </c>
      <c r="AP214" s="22">
        <f t="shared" si="1999"/>
        <v>0</v>
      </c>
      <c r="AQ214" s="22">
        <f t="shared" si="1999"/>
        <v>0</v>
      </c>
      <c r="AR214" s="22">
        <f t="shared" si="1999"/>
        <v>0</v>
      </c>
      <c r="AS214" s="22">
        <f t="shared" si="1999"/>
        <v>0</v>
      </c>
      <c r="AT214" s="22">
        <f t="shared" si="1999"/>
        <v>0</v>
      </c>
      <c r="AU214" s="22">
        <f t="shared" si="1999"/>
        <v>0</v>
      </c>
      <c r="AV214" s="22">
        <f t="shared" si="1999"/>
        <v>0</v>
      </c>
      <c r="AW214" s="22">
        <f t="shared" si="1999"/>
        <v>88.622</v>
      </c>
      <c r="AX214" s="22">
        <f t="shared" si="1999"/>
        <v>77.45</v>
      </c>
      <c r="AY214" s="22">
        <f t="shared" si="1999"/>
        <v>76.866</v>
      </c>
      <c r="AZ214" s="22">
        <f t="shared" si="1999"/>
        <v>77.742999999999995</v>
      </c>
      <c r="BA214" s="22">
        <f t="shared" si="1999"/>
        <v>80.037000000000006</v>
      </c>
      <c r="BB214" s="22">
        <f t="shared" si="1999"/>
        <v>80.081000000000003</v>
      </c>
      <c r="BC214" s="22">
        <f t="shared" si="1999"/>
        <v>90.703999999999994</v>
      </c>
      <c r="BD214" s="22">
        <f t="shared" si="1999"/>
        <v>87.861000000000004</v>
      </c>
      <c r="BE214" s="22">
        <f t="shared" si="1999"/>
        <v>88.004999999999995</v>
      </c>
      <c r="BF214" s="22">
        <f t="shared" si="1999"/>
        <v>91.06</v>
      </c>
      <c r="BG214" s="22">
        <f t="shared" si="1999"/>
        <v>100.04300000000001</v>
      </c>
      <c r="BH214" s="22">
        <f t="shared" si="1999"/>
        <v>99.903000000000006</v>
      </c>
      <c r="BI214" s="22">
        <f t="shared" si="1999"/>
        <v>94.063999999999993</v>
      </c>
      <c r="BJ214" s="22">
        <f t="shared" si="1999"/>
        <v>99.028999999999996</v>
      </c>
      <c r="BK214" s="22">
        <f t="shared" si="1999"/>
        <v>125.41</v>
      </c>
      <c r="BL214" s="22">
        <f t="shared" si="1999"/>
        <v>127.343</v>
      </c>
      <c r="BM214" s="22">
        <f t="shared" si="1999"/>
        <v>136.846</v>
      </c>
      <c r="BN214" s="22">
        <f t="shared" si="1999"/>
        <v>135.12299999999999</v>
      </c>
      <c r="BO214" s="22">
        <f t="shared" ref="BO214:CT214" si="2000">BO52</f>
        <v>124.31100000000001</v>
      </c>
      <c r="BP214" s="22">
        <f t="shared" si="2000"/>
        <v>134.59399999999999</v>
      </c>
      <c r="BQ214" s="22">
        <f t="shared" si="2000"/>
        <v>134.67400000000001</v>
      </c>
      <c r="BR214" s="22">
        <f t="shared" si="2000"/>
        <v>134.721</v>
      </c>
      <c r="BS214" s="22">
        <f t="shared" si="2000"/>
        <v>128.77600000000001</v>
      </c>
      <c r="BT214" s="22">
        <f t="shared" si="2000"/>
        <v>138.49199999999999</v>
      </c>
      <c r="BU214" s="22">
        <f t="shared" si="2000"/>
        <v>129.273</v>
      </c>
      <c r="BV214" s="22">
        <f t="shared" si="2000"/>
        <v>131.31899999999999</v>
      </c>
      <c r="BW214" s="22">
        <f t="shared" si="2000"/>
        <v>153.07300000000001</v>
      </c>
      <c r="BX214" s="22">
        <f t="shared" si="2000"/>
        <v>153.13900000000001</v>
      </c>
      <c r="BY214" s="22">
        <f t="shared" si="2000"/>
        <v>179.65799999999999</v>
      </c>
      <c r="BZ214" s="22">
        <f t="shared" si="2000"/>
        <v>172.19900000000001</v>
      </c>
      <c r="CA214" s="22">
        <f t="shared" si="2000"/>
        <v>171.92699999999999</v>
      </c>
      <c r="CB214" s="22">
        <f t="shared" si="2000"/>
        <v>170.80799999999999</v>
      </c>
      <c r="CC214" s="22">
        <f t="shared" si="2000"/>
        <v>165.97200000000001</v>
      </c>
      <c r="CD214" s="22">
        <f t="shared" si="2000"/>
        <v>187.51599999999999</v>
      </c>
      <c r="CE214" s="22">
        <f t="shared" si="2000"/>
        <v>242.477</v>
      </c>
      <c r="CF214" s="22">
        <f t="shared" si="2000"/>
        <v>256.61099999999999</v>
      </c>
      <c r="CG214" s="22">
        <f t="shared" si="2000"/>
        <v>260.78199999999998</v>
      </c>
      <c r="CH214" s="22">
        <f t="shared" si="2000"/>
        <v>272.51299999999998</v>
      </c>
      <c r="CI214" s="22">
        <f t="shared" si="2000"/>
        <v>306.15100000000001</v>
      </c>
      <c r="CJ214" s="22">
        <f t="shared" si="2000"/>
        <v>307.60000000000002</v>
      </c>
      <c r="CK214" s="22">
        <f t="shared" si="2000"/>
        <v>330.19900000000001</v>
      </c>
      <c r="CL214" s="22">
        <f t="shared" si="2000"/>
        <v>356.79399999999998</v>
      </c>
      <c r="CM214" s="23">
        <f t="shared" si="2000"/>
        <v>391.04389999999995</v>
      </c>
      <c r="CN214" s="23">
        <f t="shared" si="2000"/>
        <v>393.87675860000002</v>
      </c>
      <c r="CO214" s="23">
        <f t="shared" si="2000"/>
        <v>396.63596287639996</v>
      </c>
      <c r="CP214" s="23">
        <f t="shared" si="2000"/>
        <v>399.32342784161364</v>
      </c>
      <c r="CQ214" s="23">
        <f t="shared" si="2000"/>
        <v>401.94101871773165</v>
      </c>
      <c r="CR214" s="23">
        <f t="shared" si="2000"/>
        <v>404.49055223107064</v>
      </c>
      <c r="CS214" s="23">
        <f t="shared" si="2000"/>
        <v>406.97379787306278</v>
      </c>
      <c r="CT214" s="23">
        <f t="shared" si="2000"/>
        <v>409.39247912836316</v>
      </c>
      <c r="CU214" s="23">
        <f t="shared" ref="CU214:DA214" si="2001">CU52</f>
        <v>411.74827467102568</v>
      </c>
      <c r="CV214" s="23">
        <f t="shared" si="2001"/>
        <v>414.04281952957905</v>
      </c>
      <c r="CW214" s="23">
        <f t="shared" si="2001"/>
        <v>416.27770622180998</v>
      </c>
      <c r="CX214" s="23">
        <f t="shared" si="2001"/>
        <v>418.45448586004289</v>
      </c>
      <c r="CY214" s="23">
        <f t="shared" si="2001"/>
        <v>420.5746692276818</v>
      </c>
      <c r="CZ214" s="23">
        <f t="shared" si="2001"/>
        <v>422.63972782776204</v>
      </c>
      <c r="DA214" s="23">
        <f t="shared" si="2001"/>
        <v>424.65109490424027</v>
      </c>
      <c r="DB214"/>
      <c r="DD214" s="122"/>
    </row>
    <row r="215" spans="1:108" s="21" customFormat="1" x14ac:dyDescent="0.25">
      <c r="A215" s="21" t="s">
        <v>89</v>
      </c>
      <c r="C215" s="21">
        <f t="shared" ref="C215:W215" si="2002">C213+C214</f>
        <v>0</v>
      </c>
      <c r="D215" s="21">
        <f t="shared" si="2002"/>
        <v>0</v>
      </c>
      <c r="E215" s="21">
        <f t="shared" si="2002"/>
        <v>0</v>
      </c>
      <c r="F215" s="21">
        <f t="shared" si="2002"/>
        <v>36.245024999999984</v>
      </c>
      <c r="G215" s="21">
        <f t="shared" si="2002"/>
        <v>36.066090300000056</v>
      </c>
      <c r="H215" s="21">
        <f t="shared" si="2002"/>
        <v>40.261805300000034</v>
      </c>
      <c r="I215" s="21">
        <f t="shared" si="2002"/>
        <v>39.775903400000004</v>
      </c>
      <c r="J215" s="21">
        <f t="shared" si="2002"/>
        <v>45.266564999999929</v>
      </c>
      <c r="K215" s="21">
        <f t="shared" si="2002"/>
        <v>57.615962200000084</v>
      </c>
      <c r="L215" s="21">
        <f t="shared" si="2002"/>
        <v>73.182405499999987</v>
      </c>
      <c r="M215" s="21">
        <f t="shared" si="2002"/>
        <v>63.7130000000001</v>
      </c>
      <c r="N215" s="21">
        <f t="shared" si="2002"/>
        <v>160.89699999999979</v>
      </c>
      <c r="O215" s="21">
        <f t="shared" si="2002"/>
        <v>144.82800000000009</v>
      </c>
      <c r="P215" s="21">
        <f t="shared" si="2002"/>
        <v>189.89900000000006</v>
      </c>
      <c r="Q215" s="21">
        <f t="shared" si="2002"/>
        <v>430.45099999999991</v>
      </c>
      <c r="R215" s="21">
        <f t="shared" si="2002"/>
        <v>364.5840000000004</v>
      </c>
      <c r="S215" s="21">
        <f t="shared" si="2002"/>
        <v>556.79500000000053</v>
      </c>
      <c r="T215" s="21">
        <f t="shared" si="2002"/>
        <v>677.91100000000006</v>
      </c>
      <c r="U215" s="21">
        <f t="shared" si="2002"/>
        <v>957.60299999999893</v>
      </c>
      <c r="V215" s="21">
        <f t="shared" si="2002"/>
        <v>857.69699999999989</v>
      </c>
      <c r="W215" s="21">
        <f t="shared" si="2002"/>
        <v>1225.3139999999994</v>
      </c>
      <c r="X215" s="21">
        <f t="shared" ref="X215:Y215" si="2003">X213+X214</f>
        <v>2114.6219999999998</v>
      </c>
      <c r="Y215" s="21">
        <f t="shared" si="2003"/>
        <v>2736.8280000000027</v>
      </c>
      <c r="Z215" s="21">
        <f t="shared" ref="Z215" si="2004">Z213+Z214</f>
        <v>3542.0189999999993</v>
      </c>
      <c r="AA215" s="20">
        <f t="shared" ref="AA215:AD215" si="2005">AA213+AA214</f>
        <v>4252.9519999999939</v>
      </c>
      <c r="AB215" s="20">
        <f t="shared" si="2005"/>
        <v>4793.8414956696242</v>
      </c>
      <c r="AC215" s="20">
        <f t="shared" si="2005"/>
        <v>5898.4471066894948</v>
      </c>
      <c r="AD215" s="20">
        <f t="shared" si="2005"/>
        <v>6263.1088745505112</v>
      </c>
      <c r="AE215" s="20">
        <f t="shared" ref="AE215" si="2006">AE213+AE214</f>
        <v>7544.4338826279673</v>
      </c>
      <c r="AI215" s="21">
        <f t="shared" ref="AI215" si="2007">AI213+AI214</f>
        <v>0</v>
      </c>
      <c r="AJ215" s="21">
        <f t="shared" ref="AJ215:AL215" si="2008">AJ213+AJ214</f>
        <v>0</v>
      </c>
      <c r="AK215" s="21">
        <f t="shared" si="2008"/>
        <v>0</v>
      </c>
      <c r="AL215" s="21">
        <f t="shared" si="2008"/>
        <v>0</v>
      </c>
      <c r="AM215" s="21">
        <f t="shared" ref="AM215" si="2009">AM213+AM214</f>
        <v>0</v>
      </c>
      <c r="AN215" s="21">
        <f t="shared" ref="AN215:CD215" si="2010">AN213+AN214</f>
        <v>0</v>
      </c>
      <c r="AO215" s="21">
        <f t="shared" si="2010"/>
        <v>0</v>
      </c>
      <c r="AP215" s="21">
        <f t="shared" si="2010"/>
        <v>0</v>
      </c>
      <c r="AQ215" s="21">
        <f t="shared" si="2010"/>
        <v>0</v>
      </c>
      <c r="AR215" s="21">
        <f t="shared" si="2010"/>
        <v>0</v>
      </c>
      <c r="AS215" s="21">
        <f t="shared" si="2010"/>
        <v>0</v>
      </c>
      <c r="AT215" s="21">
        <f t="shared" si="2010"/>
        <v>0</v>
      </c>
      <c r="AU215" s="21">
        <f t="shared" si="2010"/>
        <v>0</v>
      </c>
      <c r="AV215" s="21">
        <f t="shared" si="2010"/>
        <v>0</v>
      </c>
      <c r="AW215" s="21">
        <f t="shared" si="2010"/>
        <v>-10.129000000000033</v>
      </c>
      <c r="AX215" s="21">
        <f t="shared" si="2010"/>
        <v>25.663999999999902</v>
      </c>
      <c r="AY215" s="21">
        <f t="shared" si="2010"/>
        <v>279.94500000000011</v>
      </c>
      <c r="AZ215" s="21">
        <f t="shared" si="2010"/>
        <v>88.046000000000078</v>
      </c>
      <c r="BA215" s="21">
        <f t="shared" si="2010"/>
        <v>-39.183000000000007</v>
      </c>
      <c r="BB215" s="21">
        <f t="shared" si="2010"/>
        <v>84.588999999999871</v>
      </c>
      <c r="BC215" s="21">
        <f t="shared" si="2010"/>
        <v>336.31299999999987</v>
      </c>
      <c r="BD215" s="21">
        <f t="shared" si="2010"/>
        <v>120.74199999999992</v>
      </c>
      <c r="BE215" s="21">
        <f t="shared" si="2010"/>
        <v>15.161000000000044</v>
      </c>
      <c r="BF215" s="21">
        <f t="shared" si="2010"/>
        <v>109.69199999999995</v>
      </c>
      <c r="BG215" s="21">
        <f t="shared" si="2010"/>
        <v>403.4860000000005</v>
      </c>
      <c r="BH215" s="21">
        <f t="shared" si="2010"/>
        <v>142.178</v>
      </c>
      <c r="BI215" s="21">
        <f t="shared" si="2010"/>
        <v>22.554999999999865</v>
      </c>
      <c r="BJ215" s="21">
        <f t="shared" si="2010"/>
        <v>139.655</v>
      </c>
      <c r="BK215" s="21">
        <f t="shared" si="2010"/>
        <v>532.33900000000006</v>
      </c>
      <c r="BL215" s="21">
        <f t="shared" si="2010"/>
        <v>208.07499999999982</v>
      </c>
      <c r="BM215" s="21">
        <f t="shared" si="2010"/>
        <v>77.534000000000063</v>
      </c>
      <c r="BN215" s="21">
        <f t="shared" si="2010"/>
        <v>190.04200000000009</v>
      </c>
      <c r="BO215" s="21">
        <f t="shared" si="2010"/>
        <v>265.08899999999988</v>
      </c>
      <c r="BP215" s="21">
        <f t="shared" si="2010"/>
        <v>287.62499999999977</v>
      </c>
      <c r="BQ215" s="21">
        <f t="shared" si="2010"/>
        <v>114.94099999999969</v>
      </c>
      <c r="BR215" s="21">
        <f t="shared" si="2010"/>
        <v>263.97600000000011</v>
      </c>
      <c r="BS215" s="21">
        <f t="shared" si="2010"/>
        <v>436.94099999999992</v>
      </c>
      <c r="BT215" s="21">
        <f t="shared" si="2010"/>
        <v>378.63300000000015</v>
      </c>
      <c r="BU215" s="21">
        <f t="shared" si="2010"/>
        <v>145.7640000000001</v>
      </c>
      <c r="BV215" s="21">
        <f t="shared" si="2010"/>
        <v>385.5259999999995</v>
      </c>
      <c r="BW215" s="21">
        <f t="shared" si="2010"/>
        <v>940.51100000000019</v>
      </c>
      <c r="BX215" s="21">
        <f t="shared" si="2010"/>
        <v>534.17599999999993</v>
      </c>
      <c r="BY215" s="21">
        <f t="shared" si="2010"/>
        <v>254.40899999999988</v>
      </c>
      <c r="BZ215" s="21">
        <f t="shared" si="2010"/>
        <v>601.27100000000041</v>
      </c>
      <c r="CA215" s="21">
        <f t="shared" si="2010"/>
        <v>1165.738000000001</v>
      </c>
      <c r="CB215" s="21">
        <f t="shared" si="2010"/>
        <v>671.875</v>
      </c>
      <c r="CC215" s="21">
        <f t="shared" si="2010"/>
        <v>297.94399999999962</v>
      </c>
      <c r="CD215" s="21">
        <f t="shared" si="2010"/>
        <v>724.78699999999878</v>
      </c>
      <c r="CE215" s="21">
        <f t="shared" ref="CE215:CF215" si="2011">CE213+CE214</f>
        <v>1495.079999999999</v>
      </c>
      <c r="CF215" s="21">
        <f t="shared" si="2011"/>
        <v>876.22399999999982</v>
      </c>
      <c r="CG215" s="21">
        <f t="shared" ref="CG215:CH215" si="2012">CG213+CG214</f>
        <v>445.928</v>
      </c>
      <c r="CH215" s="21">
        <f t="shared" si="2012"/>
        <v>999.00099999999952</v>
      </c>
      <c r="CI215" s="21">
        <f t="shared" ref="CI215:CJ215" si="2013">CI213+CI214</f>
        <v>1623.175</v>
      </c>
      <c r="CJ215" s="21">
        <f t="shared" si="2013"/>
        <v>1048.7900000000006</v>
      </c>
      <c r="CK215" s="21">
        <f t="shared" ref="CK215:DA215" si="2014">CK213+CK214</f>
        <v>581.98599999999988</v>
      </c>
      <c r="CL215" s="21">
        <f t="shared" si="2014"/>
        <v>1229.1490000000008</v>
      </c>
      <c r="CM215" s="20">
        <f t="shared" si="2014"/>
        <v>1520.823934384824</v>
      </c>
      <c r="CN215" s="20">
        <f t="shared" si="2014"/>
        <v>1075.8077169100129</v>
      </c>
      <c r="CO215" s="20">
        <f t="shared" si="2014"/>
        <v>968.06084437478978</v>
      </c>
      <c r="CP215" s="20">
        <f t="shared" si="2014"/>
        <v>1564.9642009045422</v>
      </c>
      <c r="CQ215" s="20">
        <f t="shared" si="2014"/>
        <v>1799.1058689896038</v>
      </c>
      <c r="CR215" s="20">
        <f t="shared" si="2014"/>
        <v>1341.2124297969046</v>
      </c>
      <c r="CS215" s="20">
        <f t="shared" si="2014"/>
        <v>1193.1646069984452</v>
      </c>
      <c r="CT215" s="20">
        <f t="shared" si="2014"/>
        <v>1661.1828505521119</v>
      </c>
      <c r="CU215" s="20">
        <f t="shared" si="2014"/>
        <v>1898.7463535132674</v>
      </c>
      <c r="CV215" s="20">
        <f t="shared" si="2014"/>
        <v>1408.5553251075457</v>
      </c>
      <c r="CW215" s="20">
        <f t="shared" si="2014"/>
        <v>1294.6243453775865</v>
      </c>
      <c r="CX215" s="20">
        <f t="shared" si="2014"/>
        <v>1989.6142453944835</v>
      </c>
      <c r="CY215" s="20">
        <f t="shared" si="2014"/>
        <v>2279.2600958973776</v>
      </c>
      <c r="CZ215" s="20">
        <f t="shared" si="2014"/>
        <v>1706.3138467564568</v>
      </c>
      <c r="DA215" s="20">
        <f t="shared" si="2014"/>
        <v>1569.2456945796462</v>
      </c>
      <c r="DB215"/>
      <c r="DD215" s="125"/>
    </row>
    <row r="216" spans="1:108" s="22" customFormat="1" x14ac:dyDescent="0.25">
      <c r="A216" s="22" t="s">
        <v>65</v>
      </c>
      <c r="C216" s="22">
        <f t="shared" ref="C216:AA216" si="2015">B168-C168+B183+B184-C183-C184</f>
        <v>0</v>
      </c>
      <c r="D216" s="22">
        <f t="shared" si="2015"/>
        <v>0</v>
      </c>
      <c r="E216" s="22">
        <f>D168-E168+D183+D184-E183-E184</f>
        <v>0</v>
      </c>
      <c r="F216" s="22">
        <f t="shared" si="2015"/>
        <v>-33.583543999999996</v>
      </c>
      <c r="G216" s="22">
        <f t="shared" si="2015"/>
        <v>4.6617594999999969</v>
      </c>
      <c r="H216" s="22">
        <f t="shared" si="2015"/>
        <v>-3.5681186000000067</v>
      </c>
      <c r="I216" s="22">
        <f t="shared" si="2015"/>
        <v>-33.898644600000004</v>
      </c>
      <c r="J216" s="22">
        <f>I168-J168+I183+I184-J183-J184</f>
        <v>-75.872046199999986</v>
      </c>
      <c r="K216" s="22">
        <f>J168-K168+J183+J184-K183-K184</f>
        <v>-36.790473399999996</v>
      </c>
      <c r="L216" s="22">
        <f t="shared" si="2015"/>
        <v>-37.648573900000031</v>
      </c>
      <c r="M216" s="22">
        <f t="shared" si="2015"/>
        <v>-113.36435880000005</v>
      </c>
      <c r="N216" s="22">
        <f t="shared" si="2015"/>
        <v>-211.77899999999988</v>
      </c>
      <c r="O216" s="22">
        <f t="shared" si="2015"/>
        <v>70.131999999999977</v>
      </c>
      <c r="P216" s="22">
        <f t="shared" si="2015"/>
        <v>-24.351000000000042</v>
      </c>
      <c r="Q216" s="22">
        <f t="shared" si="2015"/>
        <v>-197.47000000000003</v>
      </c>
      <c r="R216" s="22">
        <f t="shared" si="2015"/>
        <v>-125.43699999999998</v>
      </c>
      <c r="S216" s="22">
        <f t="shared" si="2015"/>
        <v>-85.84200000000007</v>
      </c>
      <c r="T216" s="22">
        <f t="shared" si="2015"/>
        <v>-90.375999999999891</v>
      </c>
      <c r="U216" s="22">
        <f t="shared" si="2015"/>
        <v>-396.79500000000007</v>
      </c>
      <c r="V216" s="22">
        <f t="shared" si="2015"/>
        <v>-174.97299999999979</v>
      </c>
      <c r="W216" s="22">
        <f t="shared" si="2015"/>
        <v>-559.78800000000001</v>
      </c>
      <c r="X216" s="22">
        <f t="shared" si="2015"/>
        <v>-1330.5290000000005</v>
      </c>
      <c r="Y216" s="22">
        <f t="shared" si="2015"/>
        <v>-574.5639999999994</v>
      </c>
      <c r="Z216" s="22">
        <f t="shared" si="2015"/>
        <v>-1546.1609999999998</v>
      </c>
      <c r="AA216" s="23">
        <f t="shared" si="2015"/>
        <v>-1534.5310000000013</v>
      </c>
      <c r="AB216" s="23">
        <f t="shared" ref="AB216" si="2016">AA168-AB168+AA183+AA184-AB183-AB184</f>
        <v>2496.6586051073882</v>
      </c>
      <c r="AC216" s="23">
        <f t="shared" ref="AC216" si="2017">AB168-AC168+AB183+AB184-AC183-AC184</f>
        <v>-798.67995061000147</v>
      </c>
      <c r="AD216" s="23">
        <f t="shared" ref="AD216" si="2018">AC168-AD168+AC183+AC184-AD183-AD184</f>
        <v>-467.24747416854552</v>
      </c>
      <c r="AE216" s="23">
        <f t="shared" ref="AE216" si="2019">AD168-AE168+AD183+AD184-AE183-AE184</f>
        <v>-1329.6228427957012</v>
      </c>
      <c r="AI216" s="22">
        <f>AH168-AI168+AH183+AH184-AI183-AJ184</f>
        <v>0</v>
      </c>
      <c r="AJ216" s="22" t="e">
        <f t="shared" ref="AJ216:AL216" si="2020">AI168-AJ168+AI183+AI184-AJ183-AK184</f>
        <v>#DIV/0!</v>
      </c>
      <c r="AK216" s="22" t="e">
        <f t="shared" si="2020"/>
        <v>#DIV/0!</v>
      </c>
      <c r="AL216" s="22" t="e">
        <f t="shared" si="2020"/>
        <v>#DIV/0!</v>
      </c>
      <c r="AM216" s="22" t="e">
        <f t="shared" ref="AM216" si="2021">AL168-AM168+AL183+AL184-AM183-AM184</f>
        <v>#DIV/0!</v>
      </c>
      <c r="AN216" s="22" t="e">
        <f t="shared" ref="AN216" si="2022">AM168-AN168+AM183+AM184-AN183-AN184</f>
        <v>#DIV/0!</v>
      </c>
      <c r="AO216" s="22" t="e">
        <f t="shared" ref="AO216" si="2023">AN168-AO168+AN183+AN184-AO183-AO184</f>
        <v>#DIV/0!</v>
      </c>
      <c r="AP216" s="22" t="e">
        <f t="shared" ref="AP216" si="2024">AO168-AP168+AO183+AO184-AP183-AP184</f>
        <v>#DIV/0!</v>
      </c>
      <c r="AQ216" s="22" t="e">
        <f t="shared" ref="AQ216" si="2025">AP168-AQ168+AP183+AP184-AQ183-AQ184</f>
        <v>#DIV/0!</v>
      </c>
      <c r="AR216" s="22" t="e">
        <f t="shared" ref="AR216" si="2026">AQ168-AR168+AQ183+AQ184-AR183-AR184</f>
        <v>#DIV/0!</v>
      </c>
      <c r="AS216" s="22" t="e">
        <f t="shared" ref="AS216" si="2027">AR168-AS168+AR183+AR184-AS183-AS184</f>
        <v>#DIV/0!</v>
      </c>
      <c r="AT216" s="22" t="e">
        <f t="shared" ref="AT216" si="2028">AS168-AT168+AS183+AS184-AT183-AT184</f>
        <v>#DIV/0!</v>
      </c>
      <c r="AU216" s="22" t="e">
        <f t="shared" ref="AU216" si="2029">AT168-AU168+AT183+AT184-AU183-AU184</f>
        <v>#DIV/0!</v>
      </c>
      <c r="AV216" s="22" t="e">
        <f t="shared" ref="AV216" si="2030">AU168-AV168+AU183+AU184-AV183-AV184</f>
        <v>#DIV/0!</v>
      </c>
      <c r="AW216" s="22" t="e">
        <f t="shared" ref="AW216" si="2031">AV168-AW168+AV183+AV184-AW183-AW184</f>
        <v>#DIV/0!</v>
      </c>
      <c r="AX216" s="22">
        <f t="shared" ref="AX216" si="2032">AW168-AX168+AW183+AW184-AX183-AX184</f>
        <v>-639.29804781032442</v>
      </c>
      <c r="AY216" s="22">
        <f t="shared" ref="AY216" si="2033">AX168-AY168+AX183+AX184-AY183-AY184</f>
        <v>1332.8300478103245</v>
      </c>
      <c r="AZ216" s="22">
        <f t="shared" ref="AZ216" si="2034">AY168-AZ168+AY183+AY184-AZ183-AZ184</f>
        <v>0</v>
      </c>
      <c r="BA216" s="22">
        <f t="shared" ref="BA216" si="2035">AZ168-BA168+AZ183+AZ184-BA183-BA184</f>
        <v>-876.30100000000004</v>
      </c>
      <c r="BB216" s="22">
        <f t="shared" ref="BB216" si="2036">BA168-BB168+BA183+BA184-BB183-BB184</f>
        <v>-497.56459549486203</v>
      </c>
      <c r="BC216" s="22">
        <f t="shared" ref="BC216" si="2037">BB168-BC168+BB183+BB184-BC183-BC184</f>
        <v>307.39059549486205</v>
      </c>
      <c r="BD216" s="22">
        <f t="shared" ref="BD216" si="2038">BC168-BD168+BC183+BC184-BD183-BD184</f>
        <v>368.67960344610958</v>
      </c>
      <c r="BE216" s="22">
        <f t="shared" ref="BE216" si="2039">BD168-BE168+BD183+BD184-BE183-BE184</f>
        <v>-207.01560344610965</v>
      </c>
      <c r="BF216" s="22">
        <f t="shared" ref="BF216" si="2040">BE168-BF168+BE183+BE184-BF183-BF184</f>
        <v>-597.6422583929359</v>
      </c>
      <c r="BG216" s="22">
        <f t="shared" ref="BG216" si="2041">BF168-BG168+BF183+BF184-BG183-BG184</f>
        <v>418.19325839293617</v>
      </c>
      <c r="BH216" s="22">
        <f t="shared" ref="BH216" si="2042">BG168-BH168+BG183+BG184-BH183-BH184</f>
        <v>347.81818103174487</v>
      </c>
      <c r="BI216" s="22">
        <f t="shared" ref="BI216" si="2043">BH168-BI168+BH183+BH184-BI183-BI184</f>
        <v>-258.74518103174523</v>
      </c>
      <c r="BJ216" s="22">
        <f t="shared" ref="BJ216" si="2044">BI168-BJ168+BI183+BI184-BJ183-BJ184</f>
        <v>-487.56600103713663</v>
      </c>
      <c r="BK216" s="22">
        <f t="shared" ref="BK216" si="2045">BJ168-BK168+BJ183+BJ184-BK183-BK184</f>
        <v>11.244001037136655</v>
      </c>
      <c r="BL216" s="22">
        <f t="shared" ref="BL216" si="2046">BK168-BL168+BK183+BK184-BL183-BL184</f>
        <v>419.08755836924183</v>
      </c>
      <c r="BM216" s="22">
        <f t="shared" ref="BM216" si="2047">BL168-BM168+BL183+BL184-BM183-BM184</f>
        <v>-339.56055836924168</v>
      </c>
      <c r="BN216" s="22">
        <f t="shared" ref="BN216" si="2048">BM168-BN168+BM183+BM184-BN183-BN184</f>
        <v>-371.52743176433069</v>
      </c>
      <c r="BO216" s="22">
        <f t="shared" ref="BO216" si="2049">BN168-BO168+BN183+BN184-BO183-BO184</f>
        <v>208.75643176433073</v>
      </c>
      <c r="BP216" s="22">
        <f t="shared" ref="BP216" si="2050">BO168-BP168+BO183+BO184-BP183-BP184</f>
        <v>-100.47443545917895</v>
      </c>
      <c r="BQ216" s="22">
        <f t="shared" ref="BQ216" si="2051">BP168-BQ168+BP183+BP184-BQ183-BQ184</f>
        <v>88.272435459178894</v>
      </c>
      <c r="BR216" s="22">
        <f t="shared" ref="BR216" si="2052">BQ168-BR168+BQ183+BQ184-BR183-BR184</f>
        <v>-770.57765028094354</v>
      </c>
      <c r="BS216" s="22">
        <f t="shared" ref="BS216" si="2053">BR168-BS168+BR183+BR184-BS183-BS184</f>
        <v>439.3566502809436</v>
      </c>
      <c r="BT216" s="22">
        <f t="shared" ref="BT216" si="2054">BS168-BT168+BS183+BS184-BT183-BT184</f>
        <v>54.648009371561329</v>
      </c>
      <c r="BU216" s="22">
        <f t="shared" ref="BU216" si="2055">BT168-BU168+BT183+BT184-BU183-BU184</f>
        <v>-856.01400937156131</v>
      </c>
      <c r="BV216" s="22">
        <f t="shared" ref="BV216" si="2056">BU168-BV168+BU183+BU184-BV183-BV184</f>
        <v>-1004.9823880843269</v>
      </c>
      <c r="BW216" s="22">
        <f t="shared" ref="BW216" si="2057">BV168-BW168+BV183+BV184-BW183-BW184</f>
        <v>357.7833880843267</v>
      </c>
      <c r="BX216" s="22">
        <f t="shared" ref="BX216" si="2058">BW168-BX168+BW183+BW184-BX183-BX184</f>
        <v>776.88460602083705</v>
      </c>
      <c r="BY216" s="22">
        <f t="shared" ref="BY216" si="2059">BX168-BY168+BX183+BX184-BY183-BY184</f>
        <v>-1802.9166060208372</v>
      </c>
      <c r="BZ216" s="22">
        <f t="shared" ref="BZ216" si="2060">BY168-BZ168+BY183+BY184-BZ183-BZ184</f>
        <v>-1661.8788311727667</v>
      </c>
      <c r="CA216" s="22">
        <f t="shared" ref="CA216" si="2061">BZ168-CA168+BZ183+BZ184-CA183-CA184</f>
        <v>1368.8348311727661</v>
      </c>
      <c r="CB216" s="22">
        <f t="shared" ref="CB216" si="2062">CA168-CB168+CA183+CA184-CB183-CB184</f>
        <v>864.68329078164061</v>
      </c>
      <c r="CC216" s="22">
        <f t="shared" ref="CC216" si="2063">CB168-CC168+CB183+CB184-CC183-CC184</f>
        <v>-1265.40929078164</v>
      </c>
      <c r="CD216" s="22">
        <f t="shared" ref="CD216" si="2064">CC168-CD168+CC183+CC184-CD183-CD184</f>
        <v>-1457.9227292080286</v>
      </c>
      <c r="CE216" s="22">
        <f t="shared" ref="CE216" si="2065">CD168-CE168+CD183+CD184-CE183-CE184</f>
        <v>-90.154270791970475</v>
      </c>
      <c r="CF216" s="22">
        <f t="shared" ref="CF216" si="2066">CE168-CF168+CE183+CE184-CF183-CF184</f>
        <v>1317.8304840301007</v>
      </c>
      <c r="CG216" s="22">
        <f t="shared" ref="CG216" si="2067">CF168-CG168+CF183+CF184-CG183-CG184</f>
        <v>-281.20748403010111</v>
      </c>
      <c r="CH216" s="22">
        <f t="shared" ref="CH216:CJ216" si="2068">CG168-CH168+CG183+CG184-CH183-CH184</f>
        <v>-1666.5928304242318</v>
      </c>
      <c r="CI216" s="22">
        <f t="shared" si="2068"/>
        <v>180.17783042423196</v>
      </c>
      <c r="CJ216" s="22">
        <f t="shared" si="2068"/>
        <v>1351.7070982303403</v>
      </c>
      <c r="CK216" s="22">
        <f t="shared" ref="CK216" si="2069">CJ168-CK168+CJ183+CJ184-CK183-CK184</f>
        <v>-1399.8230982303417</v>
      </c>
      <c r="CL216" s="22">
        <f t="shared" ref="CL216" si="2070">CK168-CL168+CK183+CK184-CL183-CL184</f>
        <v>738.80863083467375</v>
      </c>
      <c r="CM216" s="23">
        <f t="shared" ref="CM216" si="2071">CL168-CM168+CL183+CL184-CM183-CM184</f>
        <v>-1342.8709688472736</v>
      </c>
      <c r="CN216" s="23">
        <f t="shared" ref="CN216" si="2072">CM168-CN168+CM183+CM184-CN183-CN184</f>
        <v>2365.6041911242937</v>
      </c>
      <c r="CO216" s="23">
        <f t="shared" ref="CO216" si="2073">CN168-CO168+CN183+CN184-CO183-CO184</f>
        <v>735.11675199569436</v>
      </c>
      <c r="CP216" s="23">
        <f t="shared" ref="CP216" si="2074">CO168-CP168+CO183+CO184-CP183-CP184</f>
        <v>-3039.945095735482</v>
      </c>
      <c r="CQ216" s="23">
        <f t="shared" ref="CQ216" si="2075">CP168-CQ168+CP183+CP184-CQ183-CQ184</f>
        <v>-1349.6375042082891</v>
      </c>
      <c r="CR216" s="23">
        <f t="shared" ref="CR216" si="2076">CQ168-CR168+CQ183+CQ184-CR183-CR184</f>
        <v>2760.0838775154771</v>
      </c>
      <c r="CS216" s="23">
        <f t="shared" ref="CS216" si="2077">CR168-CS168+CR183+CR184-CS183-CS184</f>
        <v>830.81877181829259</v>
      </c>
      <c r="CT216" s="23">
        <f t="shared" ref="CT216" si="2078">CS168-CT168+CS183+CS184-CT183-CT184</f>
        <v>-2818.3339983231072</v>
      </c>
      <c r="CU216" s="23">
        <f t="shared" ref="CU216" si="2079">CT168-CU168+CT183+CT184-CU183-CU184</f>
        <v>-1474.2605049662925</v>
      </c>
      <c r="CV216" s="23">
        <f t="shared" ref="CV216" si="2080">CU168-CV168+CU183+CU184-CV183-CV184</f>
        <v>2946.881193732881</v>
      </c>
      <c r="CW216" s="23">
        <f t="shared" ref="CW216" si="2081">CV168-CW168+CV183+CV184-CW183-CW184</f>
        <v>878.46583538797313</v>
      </c>
      <c r="CX216" s="23">
        <f t="shared" ref="CX216" si="2082">CW168-CX168+CW183+CW184-CX183-CX184</f>
        <v>-4089.1016700299392</v>
      </c>
      <c r="CY216" s="23">
        <f t="shared" ref="CY216" si="2083">CX168-CY168+CX183+CX184-CY183-CY184</f>
        <v>-1787.382343711377</v>
      </c>
      <c r="CZ216" s="23">
        <f t="shared" ref="CZ216" si="2084">CY168-CZ168+CY183+CY184-CZ183-CZ184</f>
        <v>3514.8148579212302</v>
      </c>
      <c r="DA216" s="23">
        <f t="shared" ref="DA216" si="2085">CZ168-DA168+CZ183+CZ184-DA183-DA184</f>
        <v>1032.0463130243843</v>
      </c>
      <c r="DB216"/>
      <c r="DD216" s="122"/>
    </row>
    <row r="217" spans="1:108" s="22" customFormat="1" x14ac:dyDescent="0.25">
      <c r="A217" s="22" t="s">
        <v>73</v>
      </c>
      <c r="C217" s="22">
        <f t="shared" ref="C217:AA217" si="2086">B176-C176</f>
        <v>0</v>
      </c>
      <c r="D217" s="22">
        <f t="shared" si="2086"/>
        <v>0</v>
      </c>
      <c r="E217" s="22">
        <f>D176-E176</f>
        <v>0</v>
      </c>
      <c r="F217" s="22">
        <f t="shared" si="2086"/>
        <v>-50.4389143</v>
      </c>
      <c r="G217" s="22">
        <f t="shared" si="2086"/>
        <v>-5.0628085000000027</v>
      </c>
      <c r="H217" s="22">
        <f t="shared" si="2086"/>
        <v>-9.8066190999999989</v>
      </c>
      <c r="I217" s="22">
        <f t="shared" si="2086"/>
        <v>-8.0745490000000046</v>
      </c>
      <c r="J217" s="22">
        <f>I176-J176</f>
        <v>4.7358771000000104</v>
      </c>
      <c r="K217" s="22">
        <f>J176-K176</f>
        <v>-51.496222400000008</v>
      </c>
      <c r="L217" s="22">
        <f t="shared" si="2086"/>
        <v>5.361488499999993</v>
      </c>
      <c r="M217" s="22">
        <f t="shared" si="2086"/>
        <v>-68.502252300000009</v>
      </c>
      <c r="N217" s="22">
        <f t="shared" si="2086"/>
        <v>-187.21299999999999</v>
      </c>
      <c r="O217" s="22">
        <f t="shared" si="2086"/>
        <v>-8.0340000000000487</v>
      </c>
      <c r="P217" s="22">
        <f t="shared" si="2086"/>
        <v>-76.89999999999992</v>
      </c>
      <c r="Q217" s="22">
        <f t="shared" si="2086"/>
        <v>-1081.3050000000001</v>
      </c>
      <c r="R217" s="22">
        <f t="shared" si="2086"/>
        <v>730.21400000000017</v>
      </c>
      <c r="S217" s="22">
        <f t="shared" si="2086"/>
        <v>94.76299999999992</v>
      </c>
      <c r="T217" s="22">
        <f t="shared" si="2086"/>
        <v>-313.34400000000005</v>
      </c>
      <c r="U217" s="22">
        <f t="shared" si="2086"/>
        <v>-304.54999999999995</v>
      </c>
      <c r="V217" s="22">
        <f t="shared" si="2086"/>
        <v>-97.875</v>
      </c>
      <c r="W217" s="22">
        <f t="shared" si="2086"/>
        <v>-304.62900000000013</v>
      </c>
      <c r="X217" s="22">
        <f t="shared" si="2086"/>
        <v>-638.93900000000031</v>
      </c>
      <c r="Y217" s="22">
        <f t="shared" si="2086"/>
        <v>-194.0359999999996</v>
      </c>
      <c r="Z217" s="22">
        <f t="shared" si="2086"/>
        <v>-986.96900000000005</v>
      </c>
      <c r="AA217" s="23">
        <f t="shared" si="2086"/>
        <v>371.21100000000024</v>
      </c>
      <c r="AB217" s="23">
        <f t="shared" ref="AB217" si="2087">AA176-AB176</f>
        <v>417.90458864769016</v>
      </c>
      <c r="AC217" s="23">
        <f t="shared" ref="AC217" si="2088">AB176-AC176</f>
        <v>-423.50823148234076</v>
      </c>
      <c r="AD217" s="23">
        <f t="shared" ref="AD217" si="2089">AC176-AD176</f>
        <v>-247.76276316761869</v>
      </c>
      <c r="AE217" s="23">
        <f t="shared" ref="AE217" si="2090">AD176-AE176</f>
        <v>-705.04614302744221</v>
      </c>
      <c r="AI217" s="22">
        <f t="shared" ref="AI217" si="2091">AH176-AI176</f>
        <v>0</v>
      </c>
      <c r="AJ217" s="22" t="e">
        <f t="shared" ref="AJ217" si="2092">AI176-AJ176</f>
        <v>#DIV/0!</v>
      </c>
      <c r="AK217" s="22" t="e">
        <f t="shared" ref="AK217" si="2093">AJ176-AK176</f>
        <v>#DIV/0!</v>
      </c>
      <c r="AL217" s="22" t="e">
        <f t="shared" ref="AL217" si="2094">AK176-AL176</f>
        <v>#DIV/0!</v>
      </c>
      <c r="AM217" s="22" t="e">
        <f t="shared" ref="AM217" si="2095">AL176-AM176</f>
        <v>#DIV/0!</v>
      </c>
      <c r="AN217" s="22" t="e">
        <f t="shared" ref="AN217" si="2096">AM176-AN176</f>
        <v>#DIV/0!</v>
      </c>
      <c r="AO217" s="22" t="e">
        <f t="shared" ref="AO217" si="2097">AN176-AO176</f>
        <v>#DIV/0!</v>
      </c>
      <c r="AP217" s="22" t="e">
        <f t="shared" ref="AP217" si="2098">AO176-AP176</f>
        <v>#DIV/0!</v>
      </c>
      <c r="AQ217" s="22" t="e">
        <f t="shared" ref="AQ217" si="2099">AP176-AQ176</f>
        <v>#DIV/0!</v>
      </c>
      <c r="AR217" s="22" t="e">
        <f t="shared" ref="AR217" si="2100">AQ176-AR176</f>
        <v>#DIV/0!</v>
      </c>
      <c r="AS217" s="22" t="e">
        <f t="shared" ref="AS217" si="2101">AR176-AS176</f>
        <v>#DIV/0!</v>
      </c>
      <c r="AT217" s="22" t="e">
        <f t="shared" ref="AT217" si="2102">AS176-AT176</f>
        <v>#DIV/0!</v>
      </c>
      <c r="AU217" s="22" t="e">
        <f t="shared" ref="AU217" si="2103">AT176-AU176</f>
        <v>#DIV/0!</v>
      </c>
      <c r="AV217" s="22" t="e">
        <f t="shared" ref="AV217" si="2104">AU176-AV176</f>
        <v>#DIV/0!</v>
      </c>
      <c r="AW217" s="22" t="e">
        <f t="shared" ref="AW217" si="2105">AV176-AW176</f>
        <v>#DIV/0!</v>
      </c>
      <c r="AX217" s="22">
        <f t="shared" ref="AX217" si="2106">AW176-AX176</f>
        <v>-225.7791787405622</v>
      </c>
      <c r="AY217" s="22">
        <f t="shared" ref="AY217" si="2107">AX176-AY176</f>
        <v>2007.9291787405621</v>
      </c>
      <c r="AZ217" s="22">
        <f t="shared" ref="AZ217" si="2108">AY176-AZ176</f>
        <v>0</v>
      </c>
      <c r="BA217" s="22">
        <f t="shared" ref="BA217" si="2109">AZ176-BA176</f>
        <v>-1743.78</v>
      </c>
      <c r="BB217" s="22">
        <f t="shared" ref="BB217" si="2110">BA176-BB176</f>
        <v>-220.28127403283452</v>
      </c>
      <c r="BC217" s="22">
        <f t="shared" ref="BC217" si="2111">BB176-BC176</f>
        <v>347.35227403283466</v>
      </c>
      <c r="BD217" s="22">
        <f t="shared" ref="BD217" si="2112">BC176-BD176</f>
        <v>152.58798361226172</v>
      </c>
      <c r="BE217" s="22">
        <f t="shared" ref="BE217" si="2113">BD176-BE176</f>
        <v>143.39301638773804</v>
      </c>
      <c r="BF217" s="22">
        <f t="shared" ref="BF217" si="2114">BE176-BF176</f>
        <v>-193.70199336845371</v>
      </c>
      <c r="BG217" s="22">
        <f t="shared" ref="BG217" si="2115">BF176-BG176</f>
        <v>-92.819006631546017</v>
      </c>
      <c r="BH217" s="22">
        <f t="shared" ref="BH217" si="2116">BG176-BH176</f>
        <v>184.30532514712831</v>
      </c>
      <c r="BI217" s="22">
        <f t="shared" ref="BI217" si="2117">BH176-BI176</f>
        <v>-52.302325147128613</v>
      </c>
      <c r="BJ217" s="22">
        <f t="shared" ref="BJ217" si="2118">BI176-BJ176</f>
        <v>-218.65039088613025</v>
      </c>
      <c r="BK217" s="22">
        <f t="shared" ref="BK217" si="2119">BJ176-BK176</f>
        <v>-762.49660911386968</v>
      </c>
      <c r="BL217" s="22">
        <f t="shared" ref="BL217" si="2120">BK176-BL176</f>
        <v>248.49467629553874</v>
      </c>
      <c r="BM217" s="22">
        <f t="shared" ref="BM217" si="2121">BL176-BM176</f>
        <v>283.60232370446124</v>
      </c>
      <c r="BN217" s="22">
        <f t="shared" ref="BN217" si="2122">BM176-BN176</f>
        <v>-168.36121064673421</v>
      </c>
      <c r="BO217" s="22">
        <f t="shared" ref="BO217" si="2123">BN176-BO176</f>
        <v>-407.63378935326546</v>
      </c>
      <c r="BP217" s="22">
        <f t="shared" ref="BP217" si="2124">BO176-BP176</f>
        <v>-43.576357070043287</v>
      </c>
      <c r="BQ217" s="22">
        <f t="shared" ref="BQ217" si="2125">BP176-BQ176</f>
        <v>593.69635707004295</v>
      </c>
      <c r="BR217" s="22">
        <f t="shared" ref="BR217" si="2126">BQ176-BR176</f>
        <v>-336.63208188692829</v>
      </c>
      <c r="BS217" s="22">
        <f t="shared" ref="BS217" si="2127">BR176-BS176</f>
        <v>-454.85491811307202</v>
      </c>
      <c r="BT217" s="22">
        <f t="shared" ref="BT217" si="2128">BS176-BT176</f>
        <v>19.186083972736924</v>
      </c>
      <c r="BU217" s="22">
        <f t="shared" ref="BU217" si="2129">BT176-BU176</f>
        <v>990.31491602726351</v>
      </c>
      <c r="BV217" s="22">
        <f t="shared" ref="BV217" si="2130">BU176-BV176</f>
        <v>-428.49326298970595</v>
      </c>
      <c r="BW217" s="22">
        <f t="shared" ref="BW217" si="2131">BV176-BW176</f>
        <v>-350.06673701029376</v>
      </c>
      <c r="BX217" s="22">
        <f t="shared" ref="BX217" si="2132">BW176-BX176</f>
        <v>361.49028079500522</v>
      </c>
      <c r="BY217" s="22">
        <f t="shared" ref="BY217" si="2133">BX176-BY176</f>
        <v>-221.86928079500512</v>
      </c>
      <c r="BZ217" s="22">
        <f t="shared" ref="BZ217" si="2134">BY176-BZ176</f>
        <v>-597.334802267942</v>
      </c>
      <c r="CA217" s="22">
        <f t="shared" ref="CA217" si="2135">BZ176-CA176</f>
        <v>-3.5791977320586739</v>
      </c>
      <c r="CB217" s="22">
        <f t="shared" ref="CB217" si="2136">CA176-CB176</f>
        <v>353.73675764833933</v>
      </c>
      <c r="CC217" s="22">
        <f t="shared" ref="CC217" si="2137">CB176-CC176</f>
        <v>53.141242351660821</v>
      </c>
      <c r="CD217" s="22">
        <f t="shared" ref="CD217" si="2138">CC176-CD176</f>
        <v>-440.4394859021404</v>
      </c>
      <c r="CE217" s="22">
        <f t="shared" ref="CE217" si="2139">CD176-CE176</f>
        <v>-955.13751409785937</v>
      </c>
      <c r="CF217" s="22">
        <f t="shared" ref="CF217" si="2140">CE176-CF176</f>
        <v>485.76899414181571</v>
      </c>
      <c r="CG217" s="22">
        <f t="shared" ref="CG217" si="2141">CF176-CG176</f>
        <v>-77.160994141815991</v>
      </c>
      <c r="CH217" s="22">
        <f t="shared" ref="CH217:CJ217" si="2142">CG176-CH176</f>
        <v>-715.02395072316131</v>
      </c>
      <c r="CI217" s="22">
        <f t="shared" si="2142"/>
        <v>241.06195072316132</v>
      </c>
      <c r="CJ217" s="22">
        <f t="shared" si="2142"/>
        <v>433.40809104650089</v>
      </c>
      <c r="CK217" s="22">
        <f t="shared" ref="CK217" si="2143">CJ176-CK176</f>
        <v>411.76490895349934</v>
      </c>
      <c r="CL217" s="22">
        <f t="shared" ref="CL217" si="2144">CK176-CL176</f>
        <v>-514.21338081795375</v>
      </c>
      <c r="CM217" s="23">
        <f t="shared" ref="CM217" si="2145">CL176-CM176</f>
        <v>-712.07109767951806</v>
      </c>
      <c r="CN217" s="23">
        <f t="shared" ref="CN217" si="2146">CM176-CN176</f>
        <v>1254.3858733464963</v>
      </c>
      <c r="CO217" s="23">
        <f t="shared" ref="CO217" si="2147">CN176-CO176</f>
        <v>389.80319379866569</v>
      </c>
      <c r="CP217" s="23">
        <f t="shared" ref="CP217" si="2148">CO176-CP176</f>
        <v>-1611.9620510256327</v>
      </c>
      <c r="CQ217" s="23">
        <f t="shared" ref="CQ217" si="2149">CP176-CQ176</f>
        <v>-715.6591224218655</v>
      </c>
      <c r="CR217" s="23">
        <f t="shared" ref="CR217" si="2150">CQ176-CR176</f>
        <v>1463.5627710658382</v>
      </c>
      <c r="CS217" s="23">
        <f t="shared" ref="CS217" si="2151">CR176-CS176</f>
        <v>440.55017089931926</v>
      </c>
      <c r="CT217" s="23">
        <f t="shared" ref="CT217" si="2152">CS176-CT176</f>
        <v>-1494.4504947754808</v>
      </c>
      <c r="CU217" s="23">
        <f t="shared" ref="CU217" si="2153">CT176-CU176</f>
        <v>-781.74174614709318</v>
      </c>
      <c r="CV217" s="23">
        <f t="shared" ref="CV217" si="2154">CU176-CV176</f>
        <v>1562.6139629437107</v>
      </c>
      <c r="CW217" s="23">
        <f t="shared" ref="CW217" si="2155">CV176-CW176</f>
        <v>465.81551481124461</v>
      </c>
      <c r="CX217" s="23">
        <f t="shared" ref="CX217" si="2156">CW176-CX176</f>
        <v>-2168.2880799789787</v>
      </c>
      <c r="CY217" s="23">
        <f t="shared" ref="CY217" si="2157">CX176-CY176</f>
        <v>-947.77781111172317</v>
      </c>
      <c r="CZ217" s="23">
        <f t="shared" ref="CZ217" si="2158">CY176-CZ176</f>
        <v>1863.7666105542958</v>
      </c>
      <c r="DA217" s="23">
        <f t="shared" ref="DA217" si="2159">CZ176-DA176</f>
        <v>547.25313750896385</v>
      </c>
      <c r="DB217"/>
      <c r="DD217" s="122"/>
    </row>
    <row r="218" spans="1:108" s="21" customFormat="1" x14ac:dyDescent="0.25">
      <c r="A218" s="21" t="s">
        <v>90</v>
      </c>
      <c r="C218" s="21">
        <f t="shared" ref="C218:W218" si="2160">C216-C217</f>
        <v>0</v>
      </c>
      <c r="D218" s="21">
        <f t="shared" si="2160"/>
        <v>0</v>
      </c>
      <c r="E218" s="21">
        <f t="shared" si="2160"/>
        <v>0</v>
      </c>
      <c r="F218" s="21">
        <f t="shared" si="2160"/>
        <v>16.855370300000004</v>
      </c>
      <c r="G218" s="21">
        <f t="shared" si="2160"/>
        <v>9.7245679999999997</v>
      </c>
      <c r="H218" s="21">
        <f t="shared" si="2160"/>
        <v>6.2385004999999918</v>
      </c>
      <c r="I218" s="21">
        <f t="shared" si="2160"/>
        <v>-25.8240956</v>
      </c>
      <c r="J218" s="21">
        <f>J216-J217</f>
        <v>-80.607923299999996</v>
      </c>
      <c r="K218" s="21">
        <f t="shared" si="2160"/>
        <v>14.705749000000012</v>
      </c>
      <c r="L218" s="21">
        <f t="shared" si="2160"/>
        <v>-43.010062400000024</v>
      </c>
      <c r="M218" s="21">
        <f t="shared" si="2160"/>
        <v>-44.862106500000039</v>
      </c>
      <c r="N218" s="21">
        <f t="shared" si="2160"/>
        <v>-24.565999999999889</v>
      </c>
      <c r="O218" s="21">
        <f t="shared" si="2160"/>
        <v>78.166000000000025</v>
      </c>
      <c r="P218" s="21">
        <f t="shared" si="2160"/>
        <v>52.548999999999879</v>
      </c>
      <c r="Q218" s="21">
        <f t="shared" si="2160"/>
        <v>883.83500000000004</v>
      </c>
      <c r="R218" s="21">
        <f t="shared" si="2160"/>
        <v>-855.65100000000018</v>
      </c>
      <c r="S218" s="21">
        <f t="shared" si="2160"/>
        <v>-180.60499999999999</v>
      </c>
      <c r="T218" s="21">
        <f t="shared" si="2160"/>
        <v>222.96800000000016</v>
      </c>
      <c r="U218" s="21">
        <f t="shared" si="2160"/>
        <v>-92.245000000000118</v>
      </c>
      <c r="V218" s="21">
        <f t="shared" si="2160"/>
        <v>-77.097999999999786</v>
      </c>
      <c r="W218" s="21">
        <f t="shared" si="2160"/>
        <v>-255.15899999999988</v>
      </c>
      <c r="X218" s="21">
        <f t="shared" ref="X218:Y218" si="2161">X216-X217</f>
        <v>-691.59000000000015</v>
      </c>
      <c r="Y218" s="21">
        <f t="shared" si="2161"/>
        <v>-380.52799999999979</v>
      </c>
      <c r="Z218" s="21">
        <f t="shared" ref="Z218" si="2162">Z216-Z217</f>
        <v>-559.19199999999978</v>
      </c>
      <c r="AA218" s="20">
        <f t="shared" ref="AA218:AD218" si="2163">AA216-AA217</f>
        <v>-1905.7420000000016</v>
      </c>
      <c r="AB218" s="20">
        <f t="shared" si="2163"/>
        <v>2078.7540164596981</v>
      </c>
      <c r="AC218" s="20">
        <f t="shared" si="2163"/>
        <v>-375.17171912766071</v>
      </c>
      <c r="AD218" s="20">
        <f t="shared" si="2163"/>
        <v>-219.48471100092684</v>
      </c>
      <c r="AE218" s="20">
        <f t="shared" ref="AE218" si="2164">AE216-AE217</f>
        <v>-624.576699768259</v>
      </c>
      <c r="AI218" s="21">
        <f t="shared" ref="AI218" si="2165">AI216-AI217</f>
        <v>0</v>
      </c>
      <c r="AJ218" s="21" t="e">
        <f t="shared" ref="AJ218:AL218" si="2166">AJ216-AJ217</f>
        <v>#DIV/0!</v>
      </c>
      <c r="AK218" s="21" t="e">
        <f t="shared" si="2166"/>
        <v>#DIV/0!</v>
      </c>
      <c r="AL218" s="21" t="e">
        <f t="shared" si="2166"/>
        <v>#DIV/0!</v>
      </c>
      <c r="AM218" s="21" t="e">
        <f t="shared" ref="AM218" si="2167">AM216-AM217</f>
        <v>#DIV/0!</v>
      </c>
      <c r="AN218" s="21" t="e">
        <f t="shared" ref="AN218:CD218" si="2168">AN216-AN217</f>
        <v>#DIV/0!</v>
      </c>
      <c r="AO218" s="21" t="e">
        <f t="shared" si="2168"/>
        <v>#DIV/0!</v>
      </c>
      <c r="AP218" s="21" t="e">
        <f t="shared" si="2168"/>
        <v>#DIV/0!</v>
      </c>
      <c r="AQ218" s="21" t="e">
        <f t="shared" si="2168"/>
        <v>#DIV/0!</v>
      </c>
      <c r="AR218" s="21" t="e">
        <f t="shared" si="2168"/>
        <v>#DIV/0!</v>
      </c>
      <c r="AS218" s="21" t="e">
        <f t="shared" si="2168"/>
        <v>#DIV/0!</v>
      </c>
      <c r="AT218" s="21" t="e">
        <f t="shared" si="2168"/>
        <v>#DIV/0!</v>
      </c>
      <c r="AU218" s="21" t="e">
        <f t="shared" si="2168"/>
        <v>#DIV/0!</v>
      </c>
      <c r="AV218" s="21" t="e">
        <f t="shared" si="2168"/>
        <v>#DIV/0!</v>
      </c>
      <c r="AW218" s="21" t="e">
        <f t="shared" si="2168"/>
        <v>#DIV/0!</v>
      </c>
      <c r="AX218" s="21">
        <f t="shared" si="2168"/>
        <v>-413.51886906976222</v>
      </c>
      <c r="AY218" s="21">
        <f t="shared" si="2168"/>
        <v>-675.09913093023761</v>
      </c>
      <c r="AZ218" s="21">
        <f t="shared" si="2168"/>
        <v>0</v>
      </c>
      <c r="BA218" s="21">
        <f t="shared" si="2168"/>
        <v>867.47899999999993</v>
      </c>
      <c r="BB218" s="21">
        <f t="shared" si="2168"/>
        <v>-277.28332146202752</v>
      </c>
      <c r="BC218" s="21">
        <f t="shared" si="2168"/>
        <v>-39.961678537972602</v>
      </c>
      <c r="BD218" s="21">
        <f t="shared" si="2168"/>
        <v>216.09161983384786</v>
      </c>
      <c r="BE218" s="21">
        <f t="shared" si="2168"/>
        <v>-350.40861983384769</v>
      </c>
      <c r="BF218" s="21">
        <f t="shared" si="2168"/>
        <v>-403.94026502448219</v>
      </c>
      <c r="BG218" s="21">
        <f t="shared" si="2168"/>
        <v>511.01226502448219</v>
      </c>
      <c r="BH218" s="21">
        <f t="shared" si="2168"/>
        <v>163.51285588461656</v>
      </c>
      <c r="BI218" s="21">
        <f t="shared" si="2168"/>
        <v>-206.44285588461662</v>
      </c>
      <c r="BJ218" s="21">
        <f t="shared" si="2168"/>
        <v>-268.91561015100638</v>
      </c>
      <c r="BK218" s="21">
        <f t="shared" si="2168"/>
        <v>773.74061015100631</v>
      </c>
      <c r="BL218" s="21">
        <f t="shared" si="2168"/>
        <v>170.59288207370309</v>
      </c>
      <c r="BM218" s="21">
        <f t="shared" si="2168"/>
        <v>-623.16288207370292</v>
      </c>
      <c r="BN218" s="21">
        <f t="shared" si="2168"/>
        <v>-203.16622111759648</v>
      </c>
      <c r="BO218" s="21">
        <f t="shared" si="2168"/>
        <v>616.39022111759618</v>
      </c>
      <c r="BP218" s="21">
        <f t="shared" si="2168"/>
        <v>-56.898078389135662</v>
      </c>
      <c r="BQ218" s="21">
        <f t="shared" si="2168"/>
        <v>-505.42392161086406</v>
      </c>
      <c r="BR218" s="21">
        <f t="shared" si="2168"/>
        <v>-433.94556839401525</v>
      </c>
      <c r="BS218" s="21">
        <f t="shared" si="2168"/>
        <v>894.21156839401556</v>
      </c>
      <c r="BT218" s="21">
        <f t="shared" si="2168"/>
        <v>35.461925398824405</v>
      </c>
      <c r="BU218" s="21">
        <f t="shared" si="2168"/>
        <v>-1846.3289253988248</v>
      </c>
      <c r="BV218" s="21">
        <f t="shared" si="2168"/>
        <v>-576.48912509462093</v>
      </c>
      <c r="BW218" s="21">
        <f t="shared" si="2168"/>
        <v>707.85012509462047</v>
      </c>
      <c r="BX218" s="21">
        <f t="shared" si="2168"/>
        <v>415.39432522583184</v>
      </c>
      <c r="BY218" s="21">
        <f t="shared" si="2168"/>
        <v>-1581.0473252258321</v>
      </c>
      <c r="BZ218" s="21">
        <f t="shared" si="2168"/>
        <v>-1064.5440289048247</v>
      </c>
      <c r="CA218" s="21">
        <f t="shared" si="2168"/>
        <v>1372.4140289048248</v>
      </c>
      <c r="CB218" s="21">
        <f t="shared" si="2168"/>
        <v>510.94653313330127</v>
      </c>
      <c r="CC218" s="21">
        <f t="shared" si="2168"/>
        <v>-1318.5505331333009</v>
      </c>
      <c r="CD218" s="21">
        <f t="shared" si="2168"/>
        <v>-1017.4832433058882</v>
      </c>
      <c r="CE218" s="21">
        <f t="shared" ref="CE218:CF218" si="2169">CE216-CE217</f>
        <v>864.98324330588889</v>
      </c>
      <c r="CF218" s="21">
        <f t="shared" si="2169"/>
        <v>832.061489888285</v>
      </c>
      <c r="CG218" s="21">
        <f t="shared" ref="CG218:CH218" si="2170">CG216-CG217</f>
        <v>-204.04648988828512</v>
      </c>
      <c r="CH218" s="21">
        <f t="shared" si="2170"/>
        <v>-951.5688797010705</v>
      </c>
      <c r="CI218" s="21">
        <f t="shared" ref="CI218:CJ218" si="2171">CI216-CI217</f>
        <v>-60.884120298929361</v>
      </c>
      <c r="CJ218" s="21">
        <f t="shared" si="2171"/>
        <v>918.29900718383942</v>
      </c>
      <c r="CK218" s="21">
        <f t="shared" ref="CK218:DA218" si="2172">CK216-CK217</f>
        <v>-1811.588007183841</v>
      </c>
      <c r="CL218" s="21">
        <f t="shared" si="2172"/>
        <v>1253.0220116526275</v>
      </c>
      <c r="CM218" s="20">
        <f t="shared" si="2172"/>
        <v>-630.79987116775555</v>
      </c>
      <c r="CN218" s="20">
        <f t="shared" si="2172"/>
        <v>1111.2183177777974</v>
      </c>
      <c r="CO218" s="20">
        <f t="shared" si="2172"/>
        <v>345.31355819702867</v>
      </c>
      <c r="CP218" s="20">
        <f t="shared" si="2172"/>
        <v>-1427.9830447098493</v>
      </c>
      <c r="CQ218" s="20">
        <f t="shared" si="2172"/>
        <v>-633.9783817864236</v>
      </c>
      <c r="CR218" s="20">
        <f t="shared" si="2172"/>
        <v>1296.5211064496389</v>
      </c>
      <c r="CS218" s="20">
        <f t="shared" si="2172"/>
        <v>390.26860091897333</v>
      </c>
      <c r="CT218" s="20">
        <f t="shared" si="2172"/>
        <v>-1323.8835035476263</v>
      </c>
      <c r="CU218" s="20">
        <f t="shared" si="2172"/>
        <v>-692.51875881919932</v>
      </c>
      <c r="CV218" s="20">
        <f t="shared" si="2172"/>
        <v>1384.2672307891703</v>
      </c>
      <c r="CW218" s="20">
        <f t="shared" si="2172"/>
        <v>412.65032057672852</v>
      </c>
      <c r="CX218" s="20">
        <f t="shared" si="2172"/>
        <v>-1920.8135900509606</v>
      </c>
      <c r="CY218" s="20">
        <f t="shared" si="2172"/>
        <v>-839.60453259965379</v>
      </c>
      <c r="CZ218" s="20">
        <f t="shared" si="2172"/>
        <v>1651.0482473669344</v>
      </c>
      <c r="DA218" s="20">
        <f t="shared" si="2172"/>
        <v>484.79317551542044</v>
      </c>
      <c r="DB218"/>
      <c r="DD218" s="125"/>
    </row>
    <row r="219" spans="1:108" s="21" customFormat="1" x14ac:dyDescent="0.25">
      <c r="A219" s="21" t="s">
        <v>91</v>
      </c>
      <c r="C219" s="21">
        <f t="shared" ref="C219:W219" si="2173">C215+C218</f>
        <v>0</v>
      </c>
      <c r="D219" s="21">
        <f>D215+D218</f>
        <v>0</v>
      </c>
      <c r="E219" s="21">
        <f t="shared" si="2173"/>
        <v>0</v>
      </c>
      <c r="F219" s="21">
        <f t="shared" si="2173"/>
        <v>53.100395299999988</v>
      </c>
      <c r="G219" s="21">
        <f t="shared" si="2173"/>
        <v>45.790658300000054</v>
      </c>
      <c r="H219" s="21">
        <f t="shared" si="2173"/>
        <v>46.500305800000028</v>
      </c>
      <c r="I219" s="21">
        <f t="shared" si="2173"/>
        <v>13.951807800000005</v>
      </c>
      <c r="J219" s="21">
        <f>J215+J218</f>
        <v>-35.341358300000067</v>
      </c>
      <c r="K219" s="21">
        <f t="shared" si="2173"/>
        <v>72.321711200000095</v>
      </c>
      <c r="L219" s="21">
        <f t="shared" si="2173"/>
        <v>30.172343099999964</v>
      </c>
      <c r="M219" s="21">
        <f t="shared" si="2173"/>
        <v>18.850893500000062</v>
      </c>
      <c r="N219" s="21">
        <f t="shared" si="2173"/>
        <v>136.3309999999999</v>
      </c>
      <c r="O219" s="21">
        <f t="shared" si="2173"/>
        <v>222.99400000000011</v>
      </c>
      <c r="P219" s="21">
        <f t="shared" si="2173"/>
        <v>242.44799999999992</v>
      </c>
      <c r="Q219" s="21">
        <f t="shared" si="2173"/>
        <v>1314.2860000000001</v>
      </c>
      <c r="R219" s="21">
        <f t="shared" si="2173"/>
        <v>-491.06699999999978</v>
      </c>
      <c r="S219" s="21">
        <f t="shared" si="2173"/>
        <v>376.19000000000051</v>
      </c>
      <c r="T219" s="21">
        <f t="shared" si="2173"/>
        <v>900.87900000000025</v>
      </c>
      <c r="U219" s="21">
        <f t="shared" si="2173"/>
        <v>865.35799999999881</v>
      </c>
      <c r="V219" s="21">
        <f t="shared" si="2173"/>
        <v>780.59900000000016</v>
      </c>
      <c r="W219" s="21">
        <f t="shared" si="2173"/>
        <v>970.15499999999952</v>
      </c>
      <c r="X219" s="21">
        <f t="shared" ref="X219:Y219" si="2174">X215+X218</f>
        <v>1423.0319999999997</v>
      </c>
      <c r="Y219" s="21">
        <f t="shared" si="2174"/>
        <v>2356.3000000000029</v>
      </c>
      <c r="Z219" s="21">
        <f t="shared" ref="Z219" si="2175">Z215+Z218</f>
        <v>2982.8269999999993</v>
      </c>
      <c r="AA219" s="20">
        <f t="shared" ref="AA219:AD219" si="2176">AA215+AA218</f>
        <v>2347.2099999999923</v>
      </c>
      <c r="AB219" s="20">
        <f t="shared" si="2176"/>
        <v>6872.5955121293227</v>
      </c>
      <c r="AC219" s="20">
        <f t="shared" si="2176"/>
        <v>5523.2753875618346</v>
      </c>
      <c r="AD219" s="20">
        <f t="shared" si="2176"/>
        <v>6043.6241635495844</v>
      </c>
      <c r="AE219" s="20">
        <f t="shared" ref="AE219" si="2177">AE215+AE218</f>
        <v>6919.8571828597087</v>
      </c>
      <c r="AI219" s="21">
        <f t="shared" ref="AI219" si="2178">AI215+AI218</f>
        <v>0</v>
      </c>
      <c r="AJ219" s="21" t="e">
        <f t="shared" ref="AJ219:AL219" si="2179">AJ215+AJ218</f>
        <v>#DIV/0!</v>
      </c>
      <c r="AK219" s="21" t="e">
        <f t="shared" si="2179"/>
        <v>#DIV/0!</v>
      </c>
      <c r="AL219" s="21" t="e">
        <f t="shared" si="2179"/>
        <v>#DIV/0!</v>
      </c>
      <c r="AM219" s="21" t="e">
        <f t="shared" ref="AM219" si="2180">AM215+AM218</f>
        <v>#DIV/0!</v>
      </c>
      <c r="AN219" s="21" t="e">
        <f t="shared" ref="AN219:CD219" si="2181">AN215+AN218</f>
        <v>#DIV/0!</v>
      </c>
      <c r="AO219" s="21" t="e">
        <f t="shared" si="2181"/>
        <v>#DIV/0!</v>
      </c>
      <c r="AP219" s="21" t="e">
        <f t="shared" si="2181"/>
        <v>#DIV/0!</v>
      </c>
      <c r="AQ219" s="21" t="e">
        <f t="shared" si="2181"/>
        <v>#DIV/0!</v>
      </c>
      <c r="AR219" s="21" t="e">
        <f t="shared" si="2181"/>
        <v>#DIV/0!</v>
      </c>
      <c r="AS219" s="21" t="e">
        <f t="shared" si="2181"/>
        <v>#DIV/0!</v>
      </c>
      <c r="AT219" s="21" t="e">
        <f t="shared" si="2181"/>
        <v>#DIV/0!</v>
      </c>
      <c r="AU219" s="21" t="e">
        <f t="shared" si="2181"/>
        <v>#DIV/0!</v>
      </c>
      <c r="AV219" s="21" t="e">
        <f t="shared" si="2181"/>
        <v>#DIV/0!</v>
      </c>
      <c r="AW219" s="21" t="e">
        <f t="shared" si="2181"/>
        <v>#DIV/0!</v>
      </c>
      <c r="AX219" s="21">
        <f t="shared" si="2181"/>
        <v>-387.85486906976234</v>
      </c>
      <c r="AY219" s="21">
        <f t="shared" si="2181"/>
        <v>-395.1541309302375</v>
      </c>
      <c r="AZ219" s="21">
        <f t="shared" si="2181"/>
        <v>88.046000000000078</v>
      </c>
      <c r="BA219" s="21">
        <f t="shared" si="2181"/>
        <v>828.29599999999994</v>
      </c>
      <c r="BB219" s="21">
        <f t="shared" si="2181"/>
        <v>-192.69432146202763</v>
      </c>
      <c r="BC219" s="21">
        <f t="shared" si="2181"/>
        <v>296.35132146202727</v>
      </c>
      <c r="BD219" s="21">
        <f t="shared" si="2181"/>
        <v>336.83361983384776</v>
      </c>
      <c r="BE219" s="21">
        <f t="shared" si="2181"/>
        <v>-335.24761983384764</v>
      </c>
      <c r="BF219" s="21">
        <f t="shared" si="2181"/>
        <v>-294.24826502448224</v>
      </c>
      <c r="BG219" s="21">
        <f t="shared" si="2181"/>
        <v>914.49826502448263</v>
      </c>
      <c r="BH219" s="21">
        <f t="shared" si="2181"/>
        <v>305.69085588461655</v>
      </c>
      <c r="BI219" s="21">
        <f t="shared" si="2181"/>
        <v>-183.88785588461676</v>
      </c>
      <c r="BJ219" s="21">
        <f t="shared" si="2181"/>
        <v>-129.26061015100638</v>
      </c>
      <c r="BK219" s="21">
        <f t="shared" si="2181"/>
        <v>1306.0796101510064</v>
      </c>
      <c r="BL219" s="21">
        <f t="shared" si="2181"/>
        <v>378.66788207370291</v>
      </c>
      <c r="BM219" s="21">
        <f t="shared" si="2181"/>
        <v>-545.62888207370281</v>
      </c>
      <c r="BN219" s="21">
        <f t="shared" si="2181"/>
        <v>-13.124221117596392</v>
      </c>
      <c r="BO219" s="21">
        <f t="shared" si="2181"/>
        <v>881.47922111759613</v>
      </c>
      <c r="BP219" s="21">
        <f t="shared" si="2181"/>
        <v>230.72692161086411</v>
      </c>
      <c r="BQ219" s="21">
        <f t="shared" si="2181"/>
        <v>-390.48292161086437</v>
      </c>
      <c r="BR219" s="21">
        <f t="shared" si="2181"/>
        <v>-169.96956839401514</v>
      </c>
      <c r="BS219" s="21">
        <f t="shared" si="2181"/>
        <v>1331.1525683940154</v>
      </c>
      <c r="BT219" s="21">
        <f t="shared" si="2181"/>
        <v>414.09492539882456</v>
      </c>
      <c r="BU219" s="21">
        <f t="shared" si="2181"/>
        <v>-1700.5649253988247</v>
      </c>
      <c r="BV219" s="21">
        <f t="shared" si="2181"/>
        <v>-190.96312509462143</v>
      </c>
      <c r="BW219" s="21">
        <f t="shared" si="2181"/>
        <v>1648.3611250946205</v>
      </c>
      <c r="BX219" s="21">
        <f t="shared" si="2181"/>
        <v>949.57032522583177</v>
      </c>
      <c r="BY219" s="21">
        <f t="shared" si="2181"/>
        <v>-1326.6383252258322</v>
      </c>
      <c r="BZ219" s="21">
        <f t="shared" si="2181"/>
        <v>-463.27302890482429</v>
      </c>
      <c r="CA219" s="21">
        <f t="shared" si="2181"/>
        <v>2538.1520289048258</v>
      </c>
      <c r="CB219" s="21">
        <f t="shared" si="2181"/>
        <v>1182.8215331333013</v>
      </c>
      <c r="CC219" s="21">
        <f t="shared" si="2181"/>
        <v>-1020.6065331333012</v>
      </c>
      <c r="CD219" s="21">
        <f t="shared" si="2181"/>
        <v>-292.69624330588942</v>
      </c>
      <c r="CE219" s="21">
        <f t="shared" ref="CE219:CF219" si="2182">CE215+CE218</f>
        <v>2360.0632433058881</v>
      </c>
      <c r="CF219" s="21">
        <f t="shared" si="2182"/>
        <v>1708.2854898882847</v>
      </c>
      <c r="CG219" s="21">
        <f t="shared" ref="CG219:CH219" si="2183">CG215+CG218</f>
        <v>241.88151011171487</v>
      </c>
      <c r="CH219" s="21">
        <f t="shared" si="2183"/>
        <v>47.432120298929021</v>
      </c>
      <c r="CI219" s="21">
        <f t="shared" ref="CI219:CJ219" si="2184">CI215+CI218</f>
        <v>1562.2908797010705</v>
      </c>
      <c r="CJ219" s="21">
        <f t="shared" si="2184"/>
        <v>1967.0890071838401</v>
      </c>
      <c r="CK219" s="21">
        <f t="shared" ref="CK219:DA219" si="2185">CK215+CK218</f>
        <v>-1229.6020071838411</v>
      </c>
      <c r="CL219" s="21">
        <f t="shared" si="2185"/>
        <v>2482.1710116526283</v>
      </c>
      <c r="CM219" s="20">
        <f t="shared" si="2185"/>
        <v>890.02406321706849</v>
      </c>
      <c r="CN219" s="20">
        <f t="shared" si="2185"/>
        <v>2187.0260346878104</v>
      </c>
      <c r="CO219" s="20">
        <f t="shared" si="2185"/>
        <v>1313.3744025718183</v>
      </c>
      <c r="CP219" s="20">
        <f t="shared" si="2185"/>
        <v>136.98115619469286</v>
      </c>
      <c r="CQ219" s="20">
        <f t="shared" si="2185"/>
        <v>1165.1274872031802</v>
      </c>
      <c r="CR219" s="20">
        <f t="shared" si="2185"/>
        <v>2637.7335362465437</v>
      </c>
      <c r="CS219" s="20">
        <f t="shared" si="2185"/>
        <v>1583.4332079174185</v>
      </c>
      <c r="CT219" s="20">
        <f t="shared" si="2185"/>
        <v>337.29934700448553</v>
      </c>
      <c r="CU219" s="20">
        <f t="shared" si="2185"/>
        <v>1206.2275946940681</v>
      </c>
      <c r="CV219" s="20">
        <f t="shared" si="2185"/>
        <v>2792.822555896716</v>
      </c>
      <c r="CW219" s="20">
        <f t="shared" si="2185"/>
        <v>1707.274665954315</v>
      </c>
      <c r="CX219" s="20">
        <f t="shared" si="2185"/>
        <v>68.800655343522976</v>
      </c>
      <c r="CY219" s="20">
        <f t="shared" si="2185"/>
        <v>1439.6555632977238</v>
      </c>
      <c r="CZ219" s="20">
        <f t="shared" si="2185"/>
        <v>3357.3620941233912</v>
      </c>
      <c r="DA219" s="20">
        <f t="shared" si="2185"/>
        <v>2054.0388700950666</v>
      </c>
      <c r="DB219"/>
      <c r="DD219" s="125"/>
    </row>
    <row r="220" spans="1:108" s="22" customFormat="1" x14ac:dyDescent="0.25">
      <c r="AA220" s="23"/>
      <c r="AB220" s="23"/>
      <c r="AC220" s="23"/>
      <c r="AD220" s="23"/>
      <c r="AE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/>
      <c r="DD220" s="122"/>
    </row>
    <row r="221" spans="1:108" s="21" customFormat="1" x14ac:dyDescent="0.25">
      <c r="A221" s="21" t="s">
        <v>92</v>
      </c>
      <c r="C221" s="21">
        <f t="shared" ref="C221:W221" si="2186">C222+C223</f>
        <v>0</v>
      </c>
      <c r="D221" s="21">
        <f>D222+D223</f>
        <v>0</v>
      </c>
      <c r="E221" s="21">
        <f t="shared" si="2186"/>
        <v>0</v>
      </c>
      <c r="F221" s="21">
        <f t="shared" si="2186"/>
        <v>-351.8911657999999</v>
      </c>
      <c r="G221" s="21">
        <f t="shared" si="2186"/>
        <v>-17.629367000000059</v>
      </c>
      <c r="H221" s="21">
        <f t="shared" si="2186"/>
        <v>-24.297778200000039</v>
      </c>
      <c r="I221" s="21">
        <f t="shared" si="2186"/>
        <v>-19.020540099999963</v>
      </c>
      <c r="J221" s="21">
        <f t="shared" si="2186"/>
        <v>-73.318162300000054</v>
      </c>
      <c r="K221" s="21">
        <f t="shared" si="2186"/>
        <v>-176.77648249999993</v>
      </c>
      <c r="L221" s="21">
        <f t="shared" si="2186"/>
        <v>-154.38967970000004</v>
      </c>
      <c r="M221" s="21">
        <f t="shared" si="2186"/>
        <v>-282.17031129999998</v>
      </c>
      <c r="N221" s="21">
        <f t="shared" si="2186"/>
        <v>-1189.5319999999995</v>
      </c>
      <c r="O221" s="21">
        <f t="shared" si="2186"/>
        <v>-685.1900000000004</v>
      </c>
      <c r="P221" s="21">
        <f t="shared" si="2186"/>
        <v>-188.49099999999967</v>
      </c>
      <c r="Q221" s="21">
        <f t="shared" si="2186"/>
        <v>-1472.7879999999996</v>
      </c>
      <c r="R221" s="21">
        <f t="shared" si="2186"/>
        <v>-603.40300000000059</v>
      </c>
      <c r="S221" s="21">
        <f t="shared" si="2186"/>
        <v>-662.8800000000009</v>
      </c>
      <c r="T221" s="21">
        <f t="shared" si="2186"/>
        <v>-1001.4589999999996</v>
      </c>
      <c r="U221" s="21">
        <f t="shared" si="2186"/>
        <v>-2280.9209999999989</v>
      </c>
      <c r="V221" s="21">
        <f t="shared" si="2186"/>
        <v>-461.26900000000114</v>
      </c>
      <c r="W221" s="21">
        <f t="shared" si="2186"/>
        <v>-863.21099999999933</v>
      </c>
      <c r="X221" s="21">
        <f t="shared" ref="X221:Y221" si="2187">X222+X223</f>
        <v>-1348.661000000001</v>
      </c>
      <c r="Y221" s="21">
        <f t="shared" si="2187"/>
        <v>-3494.5240000000008</v>
      </c>
      <c r="Z221" s="21">
        <f t="shared" ref="Z221" si="2188">Z222+Z223</f>
        <v>-5222.8619999999992</v>
      </c>
      <c r="AA221" s="20">
        <f t="shared" ref="AA221:AD221" si="2189">AA222+AA223</f>
        <v>-2423.4579999999987</v>
      </c>
      <c r="AB221" s="20">
        <f t="shared" si="2189"/>
        <v>-1856.7940000000017</v>
      </c>
      <c r="AC221" s="20">
        <f t="shared" si="2189"/>
        <v>-2000</v>
      </c>
      <c r="AD221" s="20">
        <f t="shared" si="2189"/>
        <v>-2000</v>
      </c>
      <c r="AE221" s="20">
        <f t="shared" ref="AE221" si="2190">AE222+AE223</f>
        <v>-2000</v>
      </c>
      <c r="AI221" s="21">
        <f t="shared" ref="AI221" si="2191">AI222+AI223</f>
        <v>0</v>
      </c>
      <c r="AJ221" s="21">
        <f t="shared" ref="AJ221:AL221" si="2192">AJ222+AJ223</f>
        <v>0</v>
      </c>
      <c r="AK221" s="21">
        <f t="shared" si="2192"/>
        <v>0</v>
      </c>
      <c r="AL221" s="21">
        <f t="shared" si="2192"/>
        <v>0</v>
      </c>
      <c r="AM221" s="21">
        <f t="shared" ref="AM221" si="2193">AM222+AM223</f>
        <v>0</v>
      </c>
      <c r="AN221" s="21">
        <f t="shared" ref="AN221:CD221" si="2194">AN222+AN223</f>
        <v>0</v>
      </c>
      <c r="AO221" s="21">
        <f t="shared" si="2194"/>
        <v>0</v>
      </c>
      <c r="AP221" s="21">
        <f t="shared" si="2194"/>
        <v>0</v>
      </c>
      <c r="AQ221" s="21">
        <f t="shared" si="2194"/>
        <v>0</v>
      </c>
      <c r="AR221" s="21">
        <f t="shared" si="2194"/>
        <v>0</v>
      </c>
      <c r="AS221" s="21">
        <f t="shared" si="2194"/>
        <v>0</v>
      </c>
      <c r="AT221" s="21">
        <f t="shared" si="2194"/>
        <v>0</v>
      </c>
      <c r="AU221" s="21">
        <f t="shared" si="2194"/>
        <v>0</v>
      </c>
      <c r="AV221" s="21">
        <f t="shared" si="2194"/>
        <v>0</v>
      </c>
      <c r="AW221" s="21">
        <f t="shared" si="2194"/>
        <v>-3625.3739999999998</v>
      </c>
      <c r="AX221" s="21">
        <f t="shared" si="2194"/>
        <v>-77.449999999999818</v>
      </c>
      <c r="AY221" s="21">
        <f t="shared" si="2194"/>
        <v>3459.886</v>
      </c>
      <c r="AZ221" s="21">
        <f t="shared" si="2194"/>
        <v>-77.742999999999995</v>
      </c>
      <c r="BA221" s="21">
        <f t="shared" si="2194"/>
        <v>-4144.5829999999996</v>
      </c>
      <c r="BB221" s="21">
        <f t="shared" si="2194"/>
        <v>-80.081000000000131</v>
      </c>
      <c r="BC221" s="21">
        <f t="shared" si="2194"/>
        <v>-78.097999999999985</v>
      </c>
      <c r="BD221" s="21">
        <f t="shared" si="2194"/>
        <v>-87.860999999999876</v>
      </c>
      <c r="BE221" s="21">
        <f t="shared" si="2194"/>
        <v>-170.251</v>
      </c>
      <c r="BF221" s="21">
        <f t="shared" si="2194"/>
        <v>-91.059999999999945</v>
      </c>
      <c r="BG221" s="21">
        <f t="shared" si="2194"/>
        <v>-381.66800000000012</v>
      </c>
      <c r="BH221" s="21">
        <f t="shared" si="2194"/>
        <v>-99.903000000000247</v>
      </c>
      <c r="BI221" s="21">
        <f t="shared" si="2194"/>
        <v>-428.82799999999969</v>
      </c>
      <c r="BJ221" s="21">
        <f t="shared" si="2194"/>
        <v>-99.028999999999542</v>
      </c>
      <c r="BK221" s="21">
        <f t="shared" si="2194"/>
        <v>-1965.5780000000004</v>
      </c>
      <c r="BL221" s="21">
        <f t="shared" si="2194"/>
        <v>-127.34299999999985</v>
      </c>
      <c r="BM221" s="21">
        <f t="shared" si="2194"/>
        <v>-88.971000000000004</v>
      </c>
      <c r="BN221" s="21">
        <f t="shared" si="2194"/>
        <v>-135.12299999999959</v>
      </c>
      <c r="BO221" s="21">
        <f t="shared" si="2194"/>
        <v>-111.71100000000024</v>
      </c>
      <c r="BP221" s="21">
        <f t="shared" si="2194"/>
        <v>-134.59400000000005</v>
      </c>
      <c r="BQ221" s="21">
        <f t="shared" si="2194"/>
        <v>-79.84099999999944</v>
      </c>
      <c r="BR221" s="21">
        <f t="shared" si="2194"/>
        <v>-134.72099999999955</v>
      </c>
      <c r="BS221" s="21">
        <f t="shared" si="2194"/>
        <v>-126.90400000000045</v>
      </c>
      <c r="BT221" s="21">
        <f t="shared" si="2194"/>
        <v>-138.49200000000019</v>
      </c>
      <c r="BU221" s="21">
        <f t="shared" si="2194"/>
        <v>109.70499999999993</v>
      </c>
      <c r="BV221" s="21">
        <f t="shared" si="2194"/>
        <v>-131.31900000000041</v>
      </c>
      <c r="BW221" s="21">
        <f t="shared" si="2194"/>
        <v>-101.06400000000031</v>
      </c>
      <c r="BX221" s="21">
        <f t="shared" si="2194"/>
        <v>-153.13900000000012</v>
      </c>
      <c r="BY221" s="21">
        <f t="shared" si="2194"/>
        <v>-620.43700000000001</v>
      </c>
      <c r="BZ221" s="21">
        <f t="shared" si="2194"/>
        <v>-172.19899999999961</v>
      </c>
      <c r="CA221" s="21">
        <f t="shared" si="2194"/>
        <v>-1649.0149999999996</v>
      </c>
      <c r="CB221" s="21">
        <f t="shared" si="2194"/>
        <v>-170.80799999999999</v>
      </c>
      <c r="CC221" s="21">
        <f t="shared" si="2194"/>
        <v>-1383.2959999999996</v>
      </c>
      <c r="CD221" s="21">
        <f t="shared" si="2194"/>
        <v>-187.51599999999962</v>
      </c>
      <c r="CE221" s="21">
        <f t="shared" ref="CE221:CF221" si="2195">CE222+CE223</f>
        <v>-2897.5160000000033</v>
      </c>
      <c r="CF221" s="21">
        <f t="shared" si="2195"/>
        <v>-256.61100000000079</v>
      </c>
      <c r="CG221" s="21">
        <f t="shared" ref="CG221:CH221" si="2196">CG222+CG223</f>
        <v>-2915.9259999999981</v>
      </c>
      <c r="CH221" s="21">
        <f t="shared" si="2196"/>
        <v>-272.51300000000083</v>
      </c>
      <c r="CI221" s="21">
        <f t="shared" ref="CI221:CJ221" si="2197">CI222+CI223</f>
        <v>-631.58799999999951</v>
      </c>
      <c r="CJ221" s="21">
        <f t="shared" si="2197"/>
        <v>-307.60000000000036</v>
      </c>
      <c r="CK221" s="21">
        <f t="shared" ref="CK221:DA221" si="2198">CK222+CK223</f>
        <v>-1211.7570000000001</v>
      </c>
      <c r="CL221" s="21">
        <f t="shared" si="2198"/>
        <v>-356.79399999999987</v>
      </c>
      <c r="CM221" s="20">
        <f t="shared" si="2198"/>
        <v>-500.00000000000182</v>
      </c>
      <c r="CN221" s="20">
        <f t="shared" si="2198"/>
        <v>-499.99999999999818</v>
      </c>
      <c r="CO221" s="20">
        <f t="shared" si="2198"/>
        <v>-500.00000000000182</v>
      </c>
      <c r="CP221" s="20">
        <f t="shared" si="2198"/>
        <v>-499.99999999999818</v>
      </c>
      <c r="CQ221" s="20">
        <f t="shared" si="2198"/>
        <v>-500</v>
      </c>
      <c r="CR221" s="20">
        <f t="shared" si="2198"/>
        <v>-500</v>
      </c>
      <c r="CS221" s="20">
        <f t="shared" si="2198"/>
        <v>-500</v>
      </c>
      <c r="CT221" s="20">
        <f t="shared" si="2198"/>
        <v>-499.99999999999818</v>
      </c>
      <c r="CU221" s="20">
        <f t="shared" si="2198"/>
        <v>-500.00000000000364</v>
      </c>
      <c r="CV221" s="20">
        <f t="shared" si="2198"/>
        <v>-500</v>
      </c>
      <c r="CW221" s="20">
        <f t="shared" si="2198"/>
        <v>-499.99999999999818</v>
      </c>
      <c r="CX221" s="20">
        <f t="shared" si="2198"/>
        <v>-500</v>
      </c>
      <c r="CY221" s="20">
        <f t="shared" si="2198"/>
        <v>-499.99999999999818</v>
      </c>
      <c r="CZ221" s="20">
        <f t="shared" si="2198"/>
        <v>-500</v>
      </c>
      <c r="DA221" s="20">
        <f t="shared" si="2198"/>
        <v>-500</v>
      </c>
      <c r="DB221"/>
      <c r="DD221" s="125"/>
    </row>
    <row r="222" spans="1:108" s="22" customFormat="1" x14ac:dyDescent="0.25">
      <c r="A222" s="22" t="s">
        <v>93</v>
      </c>
      <c r="C222" s="22">
        <f t="shared" ref="C222:AA222" si="2199">B160-C160</f>
        <v>0</v>
      </c>
      <c r="D222" s="22">
        <f t="shared" si="2199"/>
        <v>0</v>
      </c>
      <c r="E222" s="22">
        <f>D160-E160</f>
        <v>0</v>
      </c>
      <c r="F222" s="22">
        <f t="shared" si="2199"/>
        <v>-27.149766899999999</v>
      </c>
      <c r="G222" s="22">
        <f t="shared" si="2199"/>
        <v>0</v>
      </c>
      <c r="H222" s="22">
        <f t="shared" si="2199"/>
        <v>0</v>
      </c>
      <c r="I222" s="22">
        <f t="shared" si="2199"/>
        <v>21.237706299999999</v>
      </c>
      <c r="J222" s="22">
        <f>I160-J160</f>
        <v>5.9120606000000002</v>
      </c>
      <c r="K222" s="22">
        <f>J160-K160</f>
        <v>0</v>
      </c>
      <c r="L222" s="22">
        <f t="shared" si="2199"/>
        <v>0</v>
      </c>
      <c r="M222" s="22">
        <f t="shared" si="2199"/>
        <v>0</v>
      </c>
      <c r="N222" s="22">
        <f t="shared" si="2199"/>
        <v>-1.4E-2</v>
      </c>
      <c r="O222" s="22">
        <f t="shared" si="2199"/>
        <v>-0.86199999999999999</v>
      </c>
      <c r="P222" s="22">
        <f t="shared" si="2199"/>
        <v>-0.88099999999999989</v>
      </c>
      <c r="Q222" s="22">
        <f t="shared" si="2199"/>
        <v>-1.5160000000000002</v>
      </c>
      <c r="R222" s="22">
        <f t="shared" si="2199"/>
        <v>-3.6009999999999995</v>
      </c>
      <c r="S222" s="22">
        <f t="shared" si="2199"/>
        <v>-1.3530000000000006</v>
      </c>
      <c r="T222" s="22">
        <f t="shared" si="2199"/>
        <v>-3.0169999999999995</v>
      </c>
      <c r="U222" s="22">
        <f t="shared" si="2199"/>
        <v>11.243</v>
      </c>
      <c r="V222" s="22">
        <f t="shared" si="2199"/>
        <v>0</v>
      </c>
      <c r="W222" s="22">
        <f t="shared" si="2199"/>
        <v>0</v>
      </c>
      <c r="X222" s="22">
        <f t="shared" si="2199"/>
        <v>-4.0000000000000001E-3</v>
      </c>
      <c r="Y222" s="22">
        <f t="shared" si="2199"/>
        <v>-21.077999999999999</v>
      </c>
      <c r="Z222" s="22">
        <f t="shared" si="2199"/>
        <v>-38.419000000000004</v>
      </c>
      <c r="AA222" s="23">
        <f t="shared" si="2199"/>
        <v>-114.77599999999998</v>
      </c>
      <c r="AB222" s="23">
        <f t="shared" ref="AB222" si="2200">AA160-AB160</f>
        <v>0</v>
      </c>
      <c r="AC222" s="23">
        <f t="shared" ref="AC222" si="2201">AB160-AC160</f>
        <v>0</v>
      </c>
      <c r="AD222" s="23">
        <f t="shared" ref="AD222" si="2202">AC160-AD160</f>
        <v>0</v>
      </c>
      <c r="AE222" s="23">
        <f t="shared" ref="AE222" si="2203">AD160-AE160</f>
        <v>0</v>
      </c>
      <c r="AI222" s="22">
        <f t="shared" ref="AI222" si="2204">AH160-AI160</f>
        <v>0</v>
      </c>
      <c r="AJ222" s="22">
        <f t="shared" ref="AJ222" si="2205">AI160-AJ160</f>
        <v>0</v>
      </c>
      <c r="AK222" s="22">
        <f t="shared" ref="AK222" si="2206">AJ160-AK160</f>
        <v>0</v>
      </c>
      <c r="AL222" s="22">
        <f t="shared" ref="AL222" si="2207">AK160-AL160</f>
        <v>0</v>
      </c>
      <c r="AM222" s="22">
        <f t="shared" ref="AM222" si="2208">AL160-AM160</f>
        <v>0</v>
      </c>
      <c r="AN222" s="22">
        <f t="shared" ref="AN222" si="2209">AM160-AN160</f>
        <v>0</v>
      </c>
      <c r="AO222" s="22">
        <f t="shared" ref="AO222" si="2210">AN160-AO160</f>
        <v>0</v>
      </c>
      <c r="AP222" s="22">
        <f t="shared" ref="AP222" si="2211">AO160-AP160</f>
        <v>0</v>
      </c>
      <c r="AQ222" s="22">
        <f t="shared" ref="AQ222" si="2212">AP160-AQ160</f>
        <v>0</v>
      </c>
      <c r="AR222" s="22">
        <f t="shared" ref="AR222" si="2213">AQ160-AR160</f>
        <v>0</v>
      </c>
      <c r="AS222" s="22">
        <f t="shared" ref="AS222" si="2214">AR160-AS160</f>
        <v>0</v>
      </c>
      <c r="AT222" s="22">
        <f t="shared" ref="AT222" si="2215">AS160-AT160</f>
        <v>0</v>
      </c>
      <c r="AU222" s="22">
        <f t="shared" ref="AU222" si="2216">AT160-AU160</f>
        <v>0</v>
      </c>
      <c r="AV222" s="22">
        <f t="shared" ref="AV222" si="2217">AU160-AV160</f>
        <v>0</v>
      </c>
      <c r="AW222" s="22">
        <f t="shared" ref="AW222" si="2218">AV160-AW160</f>
        <v>-3.2730000000000001</v>
      </c>
      <c r="AX222" s="22">
        <f t="shared" ref="AX222" si="2219">AW160-AX160</f>
        <v>0</v>
      </c>
      <c r="AY222" s="22">
        <f t="shared" ref="AY222" si="2220">AX160-AY160</f>
        <v>3.2730000000000001</v>
      </c>
      <c r="AZ222" s="22">
        <f t="shared" ref="AZ222" si="2221">AY160-AZ160</f>
        <v>0</v>
      </c>
      <c r="BA222" s="22">
        <f t="shared" ref="BA222" si="2222">AZ160-BA160</f>
        <v>-5.6189999999999998</v>
      </c>
      <c r="BB222" s="22">
        <f t="shared" ref="BB222" si="2223">BA160-BB160</f>
        <v>0</v>
      </c>
      <c r="BC222" s="22">
        <f t="shared" ref="BC222" si="2224">BB160-BC160</f>
        <v>-2.0490000000000004</v>
      </c>
      <c r="BD222" s="22">
        <f t="shared" ref="BD222" si="2225">BC160-BD160</f>
        <v>0</v>
      </c>
      <c r="BE222" s="22">
        <f t="shared" ref="BE222" si="2226">BD160-BE160</f>
        <v>-0.55900000000000016</v>
      </c>
      <c r="BF222" s="22">
        <f t="shared" ref="BF222" si="2227">BE160-BF160</f>
        <v>0</v>
      </c>
      <c r="BG222" s="22">
        <f t="shared" ref="BG222" si="2228">BF160-BG160</f>
        <v>-1.7590000000000003</v>
      </c>
      <c r="BH222" s="22">
        <f t="shared" ref="BH222" si="2229">BG160-BH160</f>
        <v>0</v>
      </c>
      <c r="BI222" s="22">
        <f t="shared" ref="BI222" si="2230">BH160-BI160</f>
        <v>-1.2579999999999991</v>
      </c>
      <c r="BJ222" s="22">
        <f t="shared" ref="BJ222" si="2231">BI160-BJ160</f>
        <v>0</v>
      </c>
      <c r="BK222" s="22">
        <f t="shared" ref="BK222" si="2232">BJ160-BK160</f>
        <v>-2.1029999999999998</v>
      </c>
      <c r="BL222" s="22">
        <f t="shared" ref="BL222" si="2233">BK160-BL160</f>
        <v>0</v>
      </c>
      <c r="BM222" s="22">
        <f t="shared" ref="BM222" si="2234">BL160-BM160</f>
        <v>13.346</v>
      </c>
      <c r="BN222" s="22">
        <f t="shared" ref="BN222" si="2235">BM160-BN160</f>
        <v>0</v>
      </c>
      <c r="BO222" s="22">
        <f t="shared" ref="BO222" si="2236">BN160-BO160</f>
        <v>0</v>
      </c>
      <c r="BP222" s="22">
        <f t="shared" ref="BP222" si="2237">BO160-BP160</f>
        <v>0</v>
      </c>
      <c r="BQ222" s="22">
        <f t="shared" ref="BQ222" si="2238">BP160-BQ160</f>
        <v>0</v>
      </c>
      <c r="BR222" s="22">
        <f t="shared" ref="BR222" si="2239">BQ160-BR160</f>
        <v>0</v>
      </c>
      <c r="BS222" s="22">
        <f t="shared" ref="BS222" si="2240">BR160-BS160</f>
        <v>0</v>
      </c>
      <c r="BT222" s="22">
        <f t="shared" ref="BT222" si="2241">BS160-BT160</f>
        <v>0</v>
      </c>
      <c r="BU222" s="22">
        <f t="shared" ref="BU222" si="2242">BT160-BU160</f>
        <v>0</v>
      </c>
      <c r="BV222" s="22">
        <f t="shared" ref="BV222" si="2243">BU160-BV160</f>
        <v>0</v>
      </c>
      <c r="BW222" s="22">
        <f t="shared" ref="BW222" si="2244">BV160-BW160</f>
        <v>0</v>
      </c>
      <c r="BX222" s="22">
        <f t="shared" ref="BX222" si="2245">BW160-BX160</f>
        <v>0</v>
      </c>
      <c r="BY222" s="22">
        <f t="shared" ref="BY222" si="2246">BX160-BY160</f>
        <v>-4.0000000000000001E-3</v>
      </c>
      <c r="BZ222" s="22">
        <f t="shared" ref="BZ222" si="2247">BY160-BZ160</f>
        <v>0</v>
      </c>
      <c r="CA222" s="22">
        <f t="shared" ref="CA222" si="2248">BZ160-CA160</f>
        <v>-10.298</v>
      </c>
      <c r="CB222" s="22">
        <f t="shared" ref="CB222" si="2249">CA160-CB160</f>
        <v>0</v>
      </c>
      <c r="CC222" s="22">
        <f t="shared" ref="CC222" si="2250">CB160-CC160</f>
        <v>-10.779999999999998</v>
      </c>
      <c r="CD222" s="22">
        <f t="shared" ref="CD222" si="2251">CC160-CD160</f>
        <v>0</v>
      </c>
      <c r="CE222" s="22">
        <f t="shared" ref="CE222" si="2252">CD160-CE160</f>
        <v>-23.215000000000003</v>
      </c>
      <c r="CF222" s="22">
        <f t="shared" ref="CF222" si="2253">CE160-CF160</f>
        <v>0</v>
      </c>
      <c r="CG222" s="22">
        <f t="shared" ref="CG222" si="2254">CF160-CG160</f>
        <v>-15.204000000000001</v>
      </c>
      <c r="CH222" s="22">
        <f t="shared" ref="CH222:CJ222" si="2255">CG160-CH160</f>
        <v>0</v>
      </c>
      <c r="CI222" s="22">
        <f t="shared" si="2255"/>
        <v>-75.545999999999992</v>
      </c>
      <c r="CJ222" s="22">
        <f t="shared" si="2255"/>
        <v>0</v>
      </c>
      <c r="CK222" s="22">
        <f t="shared" ref="CK222" si="2256">CJ160-CK160</f>
        <v>-39.22999999999999</v>
      </c>
      <c r="CL222" s="22">
        <f t="shared" ref="CL222" si="2257">CK160-CL160</f>
        <v>0</v>
      </c>
      <c r="CM222" s="23">
        <f t="shared" ref="CM222" si="2258">CL160-CM160</f>
        <v>0</v>
      </c>
      <c r="CN222" s="23">
        <f t="shared" ref="CN222" si="2259">CM160-CN160</f>
        <v>0</v>
      </c>
      <c r="CO222" s="23">
        <f t="shared" ref="CO222" si="2260">CN160-CO160</f>
        <v>0</v>
      </c>
      <c r="CP222" s="23">
        <f t="shared" ref="CP222" si="2261">CO160-CP160</f>
        <v>0</v>
      </c>
      <c r="CQ222" s="23">
        <f t="shared" ref="CQ222" si="2262">CP160-CQ160</f>
        <v>0</v>
      </c>
      <c r="CR222" s="23">
        <f t="shared" ref="CR222" si="2263">CQ160-CR160</f>
        <v>0</v>
      </c>
      <c r="CS222" s="23">
        <f t="shared" ref="CS222" si="2264">CR160-CS160</f>
        <v>0</v>
      </c>
      <c r="CT222" s="23">
        <f t="shared" ref="CT222" si="2265">CS160-CT160</f>
        <v>0</v>
      </c>
      <c r="CU222" s="23">
        <f t="shared" ref="CU222" si="2266">CT160-CU160</f>
        <v>0</v>
      </c>
      <c r="CV222" s="23">
        <f t="shared" ref="CV222" si="2267">CU160-CV160</f>
        <v>0</v>
      </c>
      <c r="CW222" s="23">
        <f t="shared" ref="CW222" si="2268">CV160-CW160</f>
        <v>0</v>
      </c>
      <c r="CX222" s="23">
        <f t="shared" ref="CX222" si="2269">CW160-CX160</f>
        <v>0</v>
      </c>
      <c r="CY222" s="23">
        <f t="shared" ref="CY222" si="2270">CX160-CY160</f>
        <v>0</v>
      </c>
      <c r="CZ222" s="23">
        <f t="shared" ref="CZ222" si="2271">CY160-CZ160</f>
        <v>0</v>
      </c>
      <c r="DA222" s="23">
        <f t="shared" ref="DA222" si="2272">CZ160-DA160</f>
        <v>0</v>
      </c>
      <c r="DB222"/>
      <c r="DD222" s="122"/>
    </row>
    <row r="223" spans="1:108" s="22" customFormat="1" x14ac:dyDescent="0.25">
      <c r="A223" s="22" t="s">
        <v>94</v>
      </c>
      <c r="C223" s="22">
        <f t="shared" ref="C223:AE223" si="2273">B158-C52-C158</f>
        <v>0</v>
      </c>
      <c r="D223" s="22">
        <f t="shared" si="2273"/>
        <v>0</v>
      </c>
      <c r="E223" s="22">
        <f t="shared" si="2273"/>
        <v>0</v>
      </c>
      <c r="F223" s="22">
        <f t="shared" si="2273"/>
        <v>-324.74139889999992</v>
      </c>
      <c r="G223" s="22">
        <f t="shared" si="2273"/>
        <v>-17.629367000000059</v>
      </c>
      <c r="H223" s="22">
        <f t="shared" si="2273"/>
        <v>-24.297778200000039</v>
      </c>
      <c r="I223" s="22">
        <f t="shared" si="2273"/>
        <v>-40.258246399999962</v>
      </c>
      <c r="J223" s="22">
        <f t="shared" si="2273"/>
        <v>-79.230222900000058</v>
      </c>
      <c r="K223" s="22">
        <f t="shared" si="2273"/>
        <v>-176.77648249999993</v>
      </c>
      <c r="L223" s="22">
        <f t="shared" si="2273"/>
        <v>-154.38967970000004</v>
      </c>
      <c r="M223" s="22">
        <f t="shared" si="2273"/>
        <v>-282.17031129999998</v>
      </c>
      <c r="N223" s="22">
        <f t="shared" si="2273"/>
        <v>-1189.5179999999996</v>
      </c>
      <c r="O223" s="22">
        <f t="shared" si="2273"/>
        <v>-684.32800000000043</v>
      </c>
      <c r="P223" s="22">
        <f t="shared" si="2273"/>
        <v>-187.60999999999967</v>
      </c>
      <c r="Q223" s="22">
        <f t="shared" si="2273"/>
        <v>-1471.2719999999995</v>
      </c>
      <c r="R223" s="22">
        <f t="shared" si="2273"/>
        <v>-599.80200000000059</v>
      </c>
      <c r="S223" s="22">
        <f t="shared" si="2273"/>
        <v>-661.52700000000095</v>
      </c>
      <c r="T223" s="22">
        <f t="shared" si="2273"/>
        <v>-998.44199999999955</v>
      </c>
      <c r="U223" s="22">
        <f t="shared" si="2273"/>
        <v>-2292.1639999999989</v>
      </c>
      <c r="V223" s="22">
        <f t="shared" si="2273"/>
        <v>-461.26900000000114</v>
      </c>
      <c r="W223" s="22">
        <f t="shared" si="2273"/>
        <v>-863.21099999999933</v>
      </c>
      <c r="X223" s="22">
        <f t="shared" si="2273"/>
        <v>-1348.6570000000011</v>
      </c>
      <c r="Y223" s="22">
        <f t="shared" si="2273"/>
        <v>-3473.4460000000008</v>
      </c>
      <c r="Z223" s="22">
        <f t="shared" si="2273"/>
        <v>-5184.4429999999993</v>
      </c>
      <c r="AA223" s="23">
        <f t="shared" si="2273"/>
        <v>-2308.6819999999989</v>
      </c>
      <c r="AB223" s="23">
        <f t="shared" si="2273"/>
        <v>-1856.7940000000017</v>
      </c>
      <c r="AC223" s="23">
        <f t="shared" si="2273"/>
        <v>-2000</v>
      </c>
      <c r="AD223" s="23">
        <f t="shared" si="2273"/>
        <v>-2000</v>
      </c>
      <c r="AE223" s="23">
        <f t="shared" si="2273"/>
        <v>-2000</v>
      </c>
      <c r="AI223" s="22">
        <f t="shared" ref="AI223:BN223" si="2274">AH158-AI52-AI158</f>
        <v>0</v>
      </c>
      <c r="AJ223" s="22">
        <f t="shared" si="2274"/>
        <v>0</v>
      </c>
      <c r="AK223" s="22">
        <f t="shared" si="2274"/>
        <v>0</v>
      </c>
      <c r="AL223" s="22">
        <f t="shared" si="2274"/>
        <v>0</v>
      </c>
      <c r="AM223" s="22">
        <f t="shared" si="2274"/>
        <v>0</v>
      </c>
      <c r="AN223" s="22">
        <f t="shared" si="2274"/>
        <v>0</v>
      </c>
      <c r="AO223" s="22">
        <f t="shared" si="2274"/>
        <v>0</v>
      </c>
      <c r="AP223" s="22">
        <f t="shared" si="2274"/>
        <v>0</v>
      </c>
      <c r="AQ223" s="22">
        <f t="shared" si="2274"/>
        <v>0</v>
      </c>
      <c r="AR223" s="22">
        <f t="shared" si="2274"/>
        <v>0</v>
      </c>
      <c r="AS223" s="22">
        <f t="shared" si="2274"/>
        <v>0</v>
      </c>
      <c r="AT223" s="22">
        <f t="shared" si="2274"/>
        <v>0</v>
      </c>
      <c r="AU223" s="22">
        <f t="shared" si="2274"/>
        <v>0</v>
      </c>
      <c r="AV223" s="22">
        <f t="shared" si="2274"/>
        <v>0</v>
      </c>
      <c r="AW223" s="22">
        <f t="shared" si="2274"/>
        <v>-3622.1009999999997</v>
      </c>
      <c r="AX223" s="22">
        <f t="shared" si="2274"/>
        <v>-77.449999999999818</v>
      </c>
      <c r="AY223" s="22">
        <f t="shared" si="2274"/>
        <v>3456.6129999999998</v>
      </c>
      <c r="AZ223" s="22">
        <f t="shared" si="2274"/>
        <v>-77.742999999999995</v>
      </c>
      <c r="BA223" s="22">
        <f t="shared" si="2274"/>
        <v>-4138.9639999999999</v>
      </c>
      <c r="BB223" s="22">
        <f t="shared" si="2274"/>
        <v>-80.081000000000131</v>
      </c>
      <c r="BC223" s="22">
        <f t="shared" si="2274"/>
        <v>-76.048999999999978</v>
      </c>
      <c r="BD223" s="22">
        <f t="shared" si="2274"/>
        <v>-87.860999999999876</v>
      </c>
      <c r="BE223" s="22">
        <f t="shared" si="2274"/>
        <v>-169.69200000000001</v>
      </c>
      <c r="BF223" s="22">
        <f t="shared" si="2274"/>
        <v>-91.059999999999945</v>
      </c>
      <c r="BG223" s="22">
        <f t="shared" si="2274"/>
        <v>-379.90900000000011</v>
      </c>
      <c r="BH223" s="22">
        <f t="shared" si="2274"/>
        <v>-99.903000000000247</v>
      </c>
      <c r="BI223" s="22">
        <f t="shared" si="2274"/>
        <v>-427.56999999999971</v>
      </c>
      <c r="BJ223" s="22">
        <f t="shared" si="2274"/>
        <v>-99.028999999999542</v>
      </c>
      <c r="BK223" s="22">
        <f t="shared" si="2274"/>
        <v>-1963.4750000000004</v>
      </c>
      <c r="BL223" s="22">
        <f t="shared" si="2274"/>
        <v>-127.34299999999985</v>
      </c>
      <c r="BM223" s="22">
        <f t="shared" si="2274"/>
        <v>-102.31700000000001</v>
      </c>
      <c r="BN223" s="22">
        <f t="shared" si="2274"/>
        <v>-135.12299999999959</v>
      </c>
      <c r="BO223" s="22">
        <f t="shared" ref="BO223:CT223" si="2275">BN158-BO52-BO158</f>
        <v>-111.71100000000024</v>
      </c>
      <c r="BP223" s="22">
        <f t="shared" si="2275"/>
        <v>-134.59400000000005</v>
      </c>
      <c r="BQ223" s="22">
        <f t="shared" si="2275"/>
        <v>-79.84099999999944</v>
      </c>
      <c r="BR223" s="22">
        <f t="shared" si="2275"/>
        <v>-134.72099999999955</v>
      </c>
      <c r="BS223" s="22">
        <f t="shared" si="2275"/>
        <v>-126.90400000000045</v>
      </c>
      <c r="BT223" s="22">
        <f t="shared" si="2275"/>
        <v>-138.49200000000019</v>
      </c>
      <c r="BU223" s="22">
        <f t="shared" si="2275"/>
        <v>109.70499999999993</v>
      </c>
      <c r="BV223" s="22">
        <f t="shared" si="2275"/>
        <v>-131.31900000000041</v>
      </c>
      <c r="BW223" s="22">
        <f t="shared" si="2275"/>
        <v>-101.06400000000031</v>
      </c>
      <c r="BX223" s="22">
        <f t="shared" si="2275"/>
        <v>-153.13900000000012</v>
      </c>
      <c r="BY223" s="22">
        <f t="shared" si="2275"/>
        <v>-620.43299999999999</v>
      </c>
      <c r="BZ223" s="22">
        <f t="shared" si="2275"/>
        <v>-172.19899999999961</v>
      </c>
      <c r="CA223" s="22">
        <f t="shared" si="2275"/>
        <v>-1638.7169999999996</v>
      </c>
      <c r="CB223" s="22">
        <f t="shared" si="2275"/>
        <v>-170.80799999999999</v>
      </c>
      <c r="CC223" s="22">
        <f t="shared" si="2275"/>
        <v>-1372.5159999999996</v>
      </c>
      <c r="CD223" s="22">
        <f t="shared" si="2275"/>
        <v>-187.51599999999962</v>
      </c>
      <c r="CE223" s="22">
        <f t="shared" si="2275"/>
        <v>-2874.3010000000031</v>
      </c>
      <c r="CF223" s="22">
        <f t="shared" si="2275"/>
        <v>-256.61100000000079</v>
      </c>
      <c r="CG223" s="22">
        <f t="shared" si="2275"/>
        <v>-2900.7219999999979</v>
      </c>
      <c r="CH223" s="22">
        <f t="shared" si="2275"/>
        <v>-272.51300000000083</v>
      </c>
      <c r="CI223" s="22">
        <f t="shared" si="2275"/>
        <v>-556.04199999999946</v>
      </c>
      <c r="CJ223" s="22">
        <f t="shared" si="2275"/>
        <v>-307.60000000000036</v>
      </c>
      <c r="CK223" s="22">
        <f t="shared" si="2275"/>
        <v>-1172.527</v>
      </c>
      <c r="CL223" s="22">
        <f t="shared" si="2275"/>
        <v>-356.79399999999987</v>
      </c>
      <c r="CM223" s="23">
        <f t="shared" si="2275"/>
        <v>-500.00000000000182</v>
      </c>
      <c r="CN223" s="23">
        <f t="shared" si="2275"/>
        <v>-499.99999999999818</v>
      </c>
      <c r="CO223" s="23">
        <f t="shared" si="2275"/>
        <v>-500.00000000000182</v>
      </c>
      <c r="CP223" s="23">
        <f t="shared" si="2275"/>
        <v>-499.99999999999818</v>
      </c>
      <c r="CQ223" s="23">
        <f t="shared" si="2275"/>
        <v>-500</v>
      </c>
      <c r="CR223" s="23">
        <f t="shared" si="2275"/>
        <v>-500</v>
      </c>
      <c r="CS223" s="23">
        <f t="shared" si="2275"/>
        <v>-500</v>
      </c>
      <c r="CT223" s="23">
        <f t="shared" si="2275"/>
        <v>-499.99999999999818</v>
      </c>
      <c r="CU223" s="23">
        <f t="shared" ref="CU223:DA223" si="2276">CT158-CU52-CU158</f>
        <v>-500.00000000000364</v>
      </c>
      <c r="CV223" s="23">
        <f t="shared" si="2276"/>
        <v>-500</v>
      </c>
      <c r="CW223" s="23">
        <f t="shared" si="2276"/>
        <v>-499.99999999999818</v>
      </c>
      <c r="CX223" s="23">
        <f t="shared" si="2276"/>
        <v>-500</v>
      </c>
      <c r="CY223" s="23">
        <f t="shared" si="2276"/>
        <v>-499.99999999999818</v>
      </c>
      <c r="CZ223" s="23">
        <f t="shared" si="2276"/>
        <v>-500</v>
      </c>
      <c r="DA223" s="23">
        <f t="shared" si="2276"/>
        <v>-500</v>
      </c>
      <c r="DB223"/>
      <c r="DD223" s="122"/>
    </row>
    <row r="224" spans="1:108" s="22" customFormat="1" x14ac:dyDescent="0.25">
      <c r="AA224" s="23"/>
      <c r="AB224" s="23"/>
      <c r="AC224" s="23"/>
      <c r="AD224" s="23"/>
      <c r="AE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/>
      <c r="DD224" s="122"/>
    </row>
    <row r="225" spans="1:108" s="21" customFormat="1" x14ac:dyDescent="0.25">
      <c r="A225" s="21" t="s">
        <v>95</v>
      </c>
      <c r="C225" s="21">
        <f t="shared" ref="C225:W225" si="2277">C226+C227</f>
        <v>0</v>
      </c>
      <c r="D225" s="21">
        <f t="shared" si="2277"/>
        <v>0</v>
      </c>
      <c r="E225" s="21">
        <f t="shared" si="2277"/>
        <v>0</v>
      </c>
      <c r="F225" s="21">
        <f t="shared" si="2277"/>
        <v>300.5608105</v>
      </c>
      <c r="G225" s="21">
        <f t="shared" si="2277"/>
        <v>-25.063158000000016</v>
      </c>
      <c r="H225" s="21">
        <f t="shared" si="2277"/>
        <v>-12.109699500000062</v>
      </c>
      <c r="I225" s="21">
        <f t="shared" si="2277"/>
        <v>-5.3611060000000066</v>
      </c>
      <c r="J225" s="21">
        <f t="shared" si="2277"/>
        <v>108.24939270000013</v>
      </c>
      <c r="K225" s="21">
        <f t="shared" si="2277"/>
        <v>112.13391039999988</v>
      </c>
      <c r="L225" s="21">
        <f t="shared" si="2277"/>
        <v>130.90674509999999</v>
      </c>
      <c r="M225" s="21">
        <f t="shared" si="2277"/>
        <v>248.60683499999993</v>
      </c>
      <c r="N225" s="21">
        <f t="shared" si="2277"/>
        <v>1087.809</v>
      </c>
      <c r="O225" s="21">
        <f t="shared" si="2277"/>
        <v>474.70799999999997</v>
      </c>
      <c r="P225" s="21">
        <f t="shared" si="2277"/>
        <v>231.53499999999966</v>
      </c>
      <c r="Q225" s="21">
        <f t="shared" si="2277"/>
        <v>-119.81299999999982</v>
      </c>
      <c r="R225" s="21">
        <f t="shared" si="2277"/>
        <v>1102.0979999999995</v>
      </c>
      <c r="S225" s="21">
        <f t="shared" si="2277"/>
        <v>315.44800000000043</v>
      </c>
      <c r="T225" s="21">
        <f t="shared" si="2277"/>
        <v>99.599999999999866</v>
      </c>
      <c r="U225" s="21">
        <f t="shared" si="2277"/>
        <v>1493.1600000000008</v>
      </c>
      <c r="V225" s="21">
        <f t="shared" si="2277"/>
        <v>-300.35699999999991</v>
      </c>
      <c r="W225" s="21">
        <f t="shared" si="2277"/>
        <v>39.628000000000867</v>
      </c>
      <c r="X225" s="21">
        <f t="shared" ref="X225:Y225" si="2278">X226+X227</f>
        <v>-125.72599999999989</v>
      </c>
      <c r="Y225" s="21">
        <f t="shared" si="2278"/>
        <v>1312.8189999999965</v>
      </c>
      <c r="Z225" s="21">
        <f t="shared" ref="Z225" si="2279">Z226+Z227</f>
        <v>4230.2270000000026</v>
      </c>
      <c r="AA225" s="20">
        <f t="shared" ref="AA225:AD225" si="2280">AA226+AA227</f>
        <v>-375.31499999999409</v>
      </c>
      <c r="AB225" s="20">
        <f t="shared" si="2280"/>
        <v>7.2759576141834259E-12</v>
      </c>
      <c r="AC225" s="20">
        <f t="shared" si="2280"/>
        <v>0</v>
      </c>
      <c r="AD225" s="20">
        <f t="shared" si="2280"/>
        <v>3.637978807091713E-12</v>
      </c>
      <c r="AE225" s="20">
        <f t="shared" ref="AE225" si="2281">AE226+AE227</f>
        <v>-7.2759576141834259E-12</v>
      </c>
      <c r="AI225" s="21">
        <f t="shared" ref="AI225" si="2282">AI226+AI227</f>
        <v>0</v>
      </c>
      <c r="AJ225" s="21">
        <f t="shared" ref="AJ225:AL225" si="2283">AJ226+AJ227</f>
        <v>0</v>
      </c>
      <c r="AK225" s="21">
        <f t="shared" si="2283"/>
        <v>0</v>
      </c>
      <c r="AL225" s="21">
        <f t="shared" si="2283"/>
        <v>0</v>
      </c>
      <c r="AM225" s="21">
        <f t="shared" ref="AM225" si="2284">AM226+AM227</f>
        <v>0</v>
      </c>
      <c r="AN225" s="21">
        <f t="shared" ref="AN225:CD225" si="2285">AN226+AN227</f>
        <v>0</v>
      </c>
      <c r="AO225" s="21">
        <f t="shared" si="2285"/>
        <v>0</v>
      </c>
      <c r="AP225" s="21">
        <f t="shared" si="2285"/>
        <v>0</v>
      </c>
      <c r="AQ225" s="21">
        <f t="shared" si="2285"/>
        <v>0</v>
      </c>
      <c r="AR225" s="21">
        <f t="shared" si="2285"/>
        <v>0</v>
      </c>
      <c r="AS225" s="21">
        <f t="shared" si="2285"/>
        <v>0</v>
      </c>
      <c r="AT225" s="21">
        <f t="shared" si="2285"/>
        <v>0</v>
      </c>
      <c r="AU225" s="21">
        <f t="shared" si="2285"/>
        <v>0</v>
      </c>
      <c r="AV225" s="21">
        <f t="shared" si="2285"/>
        <v>0</v>
      </c>
      <c r="AW225" s="21">
        <f t="shared" si="2285"/>
        <v>2604.9589999999998</v>
      </c>
      <c r="AX225" s="21">
        <f t="shared" si="2285"/>
        <v>0</v>
      </c>
      <c r="AY225" s="21">
        <f t="shared" si="2285"/>
        <v>-2657.5010000000002</v>
      </c>
      <c r="AZ225" s="21">
        <f t="shared" si="2285"/>
        <v>0</v>
      </c>
      <c r="BA225" s="21">
        <f t="shared" si="2285"/>
        <v>3371.6869999999999</v>
      </c>
      <c r="BB225" s="21">
        <f t="shared" si="2285"/>
        <v>0</v>
      </c>
      <c r="BC225" s="21">
        <f t="shared" si="2285"/>
        <v>106.48700000000014</v>
      </c>
      <c r="BD225" s="21">
        <f t="shared" si="2285"/>
        <v>0</v>
      </c>
      <c r="BE225" s="21">
        <f t="shared" si="2285"/>
        <v>233.31799999999993</v>
      </c>
      <c r="BF225" s="21">
        <f t="shared" si="2285"/>
        <v>0</v>
      </c>
      <c r="BG225" s="21">
        <f t="shared" si="2285"/>
        <v>-128.91099999999983</v>
      </c>
      <c r="BH225" s="21">
        <f t="shared" si="2285"/>
        <v>-4.5474735088646412E-13</v>
      </c>
      <c r="BI225" s="21">
        <f t="shared" si="2285"/>
        <v>387.33700000000039</v>
      </c>
      <c r="BJ225" s="21">
        <f t="shared" si="2285"/>
        <v>0</v>
      </c>
      <c r="BK225" s="21">
        <f t="shared" si="2285"/>
        <v>946.63199999999995</v>
      </c>
      <c r="BL225" s="21">
        <f t="shared" si="2285"/>
        <v>0</v>
      </c>
      <c r="BM225" s="21">
        <f t="shared" si="2285"/>
        <v>402.02799999999979</v>
      </c>
      <c r="BN225" s="21">
        <f t="shared" si="2285"/>
        <v>-4.5474735088646412E-13</v>
      </c>
      <c r="BO225" s="21">
        <f t="shared" si="2285"/>
        <v>-580.68199999999979</v>
      </c>
      <c r="BP225" s="21">
        <f t="shared" si="2285"/>
        <v>0</v>
      </c>
      <c r="BQ225" s="21">
        <f t="shared" si="2285"/>
        <v>352.32499999999987</v>
      </c>
      <c r="BR225" s="21">
        <f t="shared" si="2285"/>
        <v>0</v>
      </c>
      <c r="BS225" s="21">
        <f t="shared" si="2285"/>
        <v>-941.24300000000005</v>
      </c>
      <c r="BT225" s="21">
        <f t="shared" si="2285"/>
        <v>0</v>
      </c>
      <c r="BU225" s="21">
        <f t="shared" si="2285"/>
        <v>1503.5140000000001</v>
      </c>
      <c r="BV225" s="21">
        <f t="shared" si="2285"/>
        <v>4.5474735088646412E-13</v>
      </c>
      <c r="BW225" s="21">
        <f t="shared" si="2285"/>
        <v>-1260.0909999999999</v>
      </c>
      <c r="BX225" s="21">
        <f t="shared" si="2285"/>
        <v>0</v>
      </c>
      <c r="BY225" s="21">
        <f t="shared" si="2285"/>
        <v>1134.3649999999998</v>
      </c>
      <c r="BZ225" s="21">
        <f t="shared" si="2285"/>
        <v>0</v>
      </c>
      <c r="CA225" s="21">
        <f t="shared" si="2285"/>
        <v>-226.70400000000072</v>
      </c>
      <c r="CB225" s="21">
        <f t="shared" si="2285"/>
        <v>0</v>
      </c>
      <c r="CC225" s="21">
        <f t="shared" si="2285"/>
        <v>1539.5230000000004</v>
      </c>
      <c r="CD225" s="21">
        <f t="shared" si="2285"/>
        <v>0</v>
      </c>
      <c r="CE225" s="21">
        <f t="shared" ref="CE225:CF225" si="2286">CE226+CE227</f>
        <v>965.55100000000141</v>
      </c>
      <c r="CF225" s="21">
        <f t="shared" si="2286"/>
        <v>0</v>
      </c>
      <c r="CG225" s="21">
        <f t="shared" ref="CG225:CH225" si="2287">CG226+CG227</f>
        <v>3264.6760000000022</v>
      </c>
      <c r="CH225" s="21">
        <f t="shared" si="2287"/>
        <v>0</v>
      </c>
      <c r="CI225" s="21">
        <f t="shared" ref="CI225:CJ225" si="2288">CI226+CI227</f>
        <v>-1006.7070000000037</v>
      </c>
      <c r="CJ225" s="21">
        <f t="shared" si="2288"/>
        <v>0</v>
      </c>
      <c r="CK225" s="21">
        <f t="shared" ref="CK225:DA225" si="2289">CK226+CK227</f>
        <v>631.39199999999869</v>
      </c>
      <c r="CL225" s="21">
        <f t="shared" si="2289"/>
        <v>0</v>
      </c>
      <c r="CM225" s="20">
        <f t="shared" si="2289"/>
        <v>0</v>
      </c>
      <c r="CN225" s="20">
        <f t="shared" si="2289"/>
        <v>3.637978807091713E-12</v>
      </c>
      <c r="CO225" s="20">
        <f t="shared" si="2289"/>
        <v>0</v>
      </c>
      <c r="CP225" s="20">
        <f t="shared" si="2289"/>
        <v>0</v>
      </c>
      <c r="CQ225" s="20">
        <f t="shared" si="2289"/>
        <v>0</v>
      </c>
      <c r="CR225" s="20">
        <f t="shared" si="2289"/>
        <v>0</v>
      </c>
      <c r="CS225" s="20">
        <f t="shared" si="2289"/>
        <v>0</v>
      </c>
      <c r="CT225" s="20">
        <f t="shared" si="2289"/>
        <v>0</v>
      </c>
      <c r="CU225" s="20">
        <f t="shared" si="2289"/>
        <v>3.637978807091713E-12</v>
      </c>
      <c r="CV225" s="20">
        <f t="shared" si="2289"/>
        <v>0</v>
      </c>
      <c r="CW225" s="20">
        <f t="shared" si="2289"/>
        <v>0</v>
      </c>
      <c r="CX225" s="20">
        <f t="shared" si="2289"/>
        <v>-3.637978807091713E-12</v>
      </c>
      <c r="CY225" s="20">
        <f t="shared" si="2289"/>
        <v>0</v>
      </c>
      <c r="CZ225" s="20">
        <f t="shared" si="2289"/>
        <v>0</v>
      </c>
      <c r="DA225" s="20">
        <f t="shared" si="2289"/>
        <v>0</v>
      </c>
      <c r="DB225"/>
      <c r="DD225" s="125"/>
    </row>
    <row r="226" spans="1:108" s="22" customFormat="1" x14ac:dyDescent="0.25">
      <c r="A226" s="22" t="s">
        <v>49</v>
      </c>
      <c r="C226" s="22">
        <f t="shared" ref="C226:AA226" si="2290">C148-B148</f>
        <v>0</v>
      </c>
      <c r="D226" s="22">
        <f t="shared" si="2290"/>
        <v>0</v>
      </c>
      <c r="E226" s="22">
        <f>E148-D148</f>
        <v>0</v>
      </c>
      <c r="F226" s="22">
        <f t="shared" si="2290"/>
        <v>170.50053689999999</v>
      </c>
      <c r="G226" s="22">
        <f t="shared" si="2290"/>
        <v>-25.5855277</v>
      </c>
      <c r="H226" s="22">
        <f t="shared" si="2290"/>
        <v>-11.427248899999995</v>
      </c>
      <c r="I226" s="22">
        <f t="shared" si="2290"/>
        <v>-5.3770862000000079</v>
      </c>
      <c r="J226" s="22">
        <f>J148-I148</f>
        <v>109.19237150000004</v>
      </c>
      <c r="K226" s="22">
        <f>K148-J148</f>
        <v>154.64840019999997</v>
      </c>
      <c r="L226" s="22">
        <f t="shared" si="2290"/>
        <v>162.77771580000001</v>
      </c>
      <c r="M226" s="22">
        <f t="shared" si="2290"/>
        <v>333.93283840000004</v>
      </c>
      <c r="N226" s="22">
        <f t="shared" si="2290"/>
        <v>1051.5539999999999</v>
      </c>
      <c r="O226" s="22">
        <f t="shared" si="2290"/>
        <v>391.43100000000004</v>
      </c>
      <c r="P226" s="22">
        <f t="shared" si="2290"/>
        <v>83.667999999999665</v>
      </c>
      <c r="Q226" s="22">
        <f t="shared" si="2290"/>
        <v>-337.9699999999998</v>
      </c>
      <c r="R226" s="22">
        <f t="shared" si="2290"/>
        <v>138.0619999999999</v>
      </c>
      <c r="S226" s="22">
        <f t="shared" si="2290"/>
        <v>438.29500000000053</v>
      </c>
      <c r="T226" s="22">
        <f t="shared" si="2290"/>
        <v>154.16499999999996</v>
      </c>
      <c r="U226" s="22">
        <f t="shared" si="2290"/>
        <v>609.30600000000004</v>
      </c>
      <c r="V226" s="22">
        <f t="shared" si="2290"/>
        <v>-201.04999999999973</v>
      </c>
      <c r="W226" s="22">
        <f t="shared" si="2290"/>
        <v>125.77199999999993</v>
      </c>
      <c r="X226" s="22">
        <f t="shared" si="2290"/>
        <v>352.91699999999992</v>
      </c>
      <c r="Y226" s="22">
        <f t="shared" si="2290"/>
        <v>1499.5749999999994</v>
      </c>
      <c r="Z226" s="22">
        <f t="shared" si="2290"/>
        <v>-2830.1219999999994</v>
      </c>
      <c r="AA226" s="23">
        <f t="shared" si="2290"/>
        <v>-340.14600000000019</v>
      </c>
      <c r="AB226" s="23">
        <f t="shared" ref="AB226" si="2291">AB148-AA148</f>
        <v>0</v>
      </c>
      <c r="AC226" s="23">
        <f t="shared" ref="AC226" si="2292">AC148-AB148</f>
        <v>0</v>
      </c>
      <c r="AD226" s="23">
        <f t="shared" ref="AD226" si="2293">AD148-AC148</f>
        <v>0</v>
      </c>
      <c r="AE226" s="23">
        <f t="shared" ref="AE226" si="2294">AE148-AD148</f>
        <v>0</v>
      </c>
      <c r="AI226" s="22">
        <f t="shared" ref="AI226" si="2295">AI148-AH148</f>
        <v>0</v>
      </c>
      <c r="AJ226" s="22">
        <f t="shared" ref="AJ226" si="2296">AJ148-AI148</f>
        <v>0</v>
      </c>
      <c r="AK226" s="22">
        <f t="shared" ref="AK226" si="2297">AK148-AJ148</f>
        <v>0</v>
      </c>
      <c r="AL226" s="22">
        <f t="shared" ref="AL226" si="2298">AL148-AK148</f>
        <v>0</v>
      </c>
      <c r="AM226" s="22">
        <f t="shared" ref="AM226" si="2299">AM148-AL148</f>
        <v>0</v>
      </c>
      <c r="AN226" s="22">
        <f t="shared" ref="AN226" si="2300">AN148-AM148</f>
        <v>0</v>
      </c>
      <c r="AO226" s="22">
        <f t="shared" ref="AO226" si="2301">AO148-AN148</f>
        <v>0</v>
      </c>
      <c r="AP226" s="22">
        <f t="shared" ref="AP226" si="2302">AP148-AO148</f>
        <v>0</v>
      </c>
      <c r="AQ226" s="22">
        <f t="shared" ref="AQ226" si="2303">AQ148-AP148</f>
        <v>0</v>
      </c>
      <c r="AR226" s="22">
        <f t="shared" ref="AR226" si="2304">AR148-AQ148</f>
        <v>0</v>
      </c>
      <c r="AS226" s="22">
        <f t="shared" ref="AS226" si="2305">AS148-AR148</f>
        <v>0</v>
      </c>
      <c r="AT226" s="22">
        <f t="shared" ref="AT226" si="2306">AT148-AS148</f>
        <v>0</v>
      </c>
      <c r="AU226" s="22">
        <f t="shared" ref="AU226" si="2307">AU148-AT148</f>
        <v>0</v>
      </c>
      <c r="AV226" s="22">
        <f t="shared" ref="AV226" si="2308">AV148-AU148</f>
        <v>0</v>
      </c>
      <c r="AW226" s="22">
        <f t="shared" ref="AW226" si="2309">AW148-AV148</f>
        <v>1831.931</v>
      </c>
      <c r="AX226" s="22">
        <f t="shared" ref="AX226" si="2310">AX148-AW148</f>
        <v>0</v>
      </c>
      <c r="AY226" s="22">
        <f t="shared" ref="AY226" si="2311">AY148-AX148</f>
        <v>-1831.931</v>
      </c>
      <c r="AZ226" s="22">
        <f t="shared" ref="AZ226" si="2312">AZ148-AY148</f>
        <v>0</v>
      </c>
      <c r="BA226" s="22">
        <f t="shared" ref="BA226" si="2313">BA148-AZ148</f>
        <v>1368.845</v>
      </c>
      <c r="BB226" s="22">
        <f t="shared" ref="BB226" si="2314">BB148-BA148</f>
        <v>0</v>
      </c>
      <c r="BC226" s="22">
        <f t="shared" ref="BC226" si="2315">BC148-BB148</f>
        <v>397.57500000000005</v>
      </c>
      <c r="BD226" s="22">
        <f t="shared" ref="BD226" si="2316">BD148-BC148</f>
        <v>0</v>
      </c>
      <c r="BE226" s="22">
        <f t="shared" ref="BE226" si="2317">BE148-BD148</f>
        <v>278.31299999999987</v>
      </c>
      <c r="BF226" s="22">
        <f t="shared" ref="BF226" si="2318">BF148-BE148</f>
        <v>0</v>
      </c>
      <c r="BG226" s="22">
        <f t="shared" ref="BG226" si="2319">BG148-BF148</f>
        <v>-144.4549999999997</v>
      </c>
      <c r="BH226" s="22">
        <f t="shared" ref="BH226" si="2320">BH148-BG148</f>
        <v>0</v>
      </c>
      <c r="BI226" s="22">
        <f t="shared" ref="BI226" si="2321">BI148-BH148</f>
        <v>457.44599999999991</v>
      </c>
      <c r="BJ226" s="22">
        <f t="shared" ref="BJ226" si="2322">BJ148-BI148</f>
        <v>0</v>
      </c>
      <c r="BK226" s="22">
        <f t="shared" ref="BK226" si="2323">BK148-BJ148</f>
        <v>895.596</v>
      </c>
      <c r="BL226" s="22">
        <f t="shared" ref="BL226" si="2324">BL148-BK148</f>
        <v>0</v>
      </c>
      <c r="BM226" s="22">
        <f t="shared" ref="BM226" si="2325">BM148-BL148</f>
        <v>-430.78999999999996</v>
      </c>
      <c r="BN226" s="22">
        <f t="shared" ref="BN226" si="2326">BN148-BM148</f>
        <v>0</v>
      </c>
      <c r="BO226" s="22">
        <f t="shared" ref="BO226" si="2327">BO148-BN148</f>
        <v>-521.70400000000018</v>
      </c>
      <c r="BP226" s="22">
        <f t="shared" ref="BP226" si="2328">BP148-BO148</f>
        <v>0</v>
      </c>
      <c r="BQ226" s="22">
        <f t="shared" ref="BQ226" si="2329">BQ148-BP148</f>
        <v>392.654</v>
      </c>
      <c r="BR226" s="22">
        <f t="shared" ref="BR226" si="2330">BR148-BQ148</f>
        <v>0</v>
      </c>
      <c r="BS226" s="22">
        <f t="shared" ref="BS226" si="2331">BS148-BR148</f>
        <v>-959.55200000000013</v>
      </c>
      <c r="BT226" s="22">
        <f t="shared" ref="BT226" si="2332">BT148-BS148</f>
        <v>0</v>
      </c>
      <c r="BU226" s="22">
        <f t="shared" ref="BU226" si="2333">BU148-BT148</f>
        <v>1607.9670000000001</v>
      </c>
      <c r="BV226" s="22">
        <f t="shared" ref="BV226" si="2334">BV148-BU148</f>
        <v>0</v>
      </c>
      <c r="BW226" s="22">
        <f t="shared" ref="BW226" si="2335">BW148-BV148</f>
        <v>-984.84099999999989</v>
      </c>
      <c r="BX226" s="22">
        <f t="shared" ref="BX226" si="2336">BX148-BW148</f>
        <v>0</v>
      </c>
      <c r="BY226" s="22">
        <f t="shared" ref="BY226" si="2337">BY148-BX148</f>
        <v>1337.7579999999998</v>
      </c>
      <c r="BZ226" s="22">
        <f t="shared" ref="BZ226" si="2338">BZ148-BY148</f>
        <v>0</v>
      </c>
      <c r="CA226" s="22">
        <f t="shared" ref="CA226" si="2339">CA148-BZ148</f>
        <v>-210.95699999999988</v>
      </c>
      <c r="CB226" s="22">
        <f t="shared" ref="CB226" si="2340">CB148-CA148</f>
        <v>0</v>
      </c>
      <c r="CC226" s="22">
        <f t="shared" ref="CC226" si="2341">CC148-CB148</f>
        <v>1710.5320000000006</v>
      </c>
      <c r="CD226" s="22">
        <f t="shared" ref="CD226" si="2342">CD148-CC148</f>
        <v>0</v>
      </c>
      <c r="CE226" s="22">
        <f t="shared" ref="CE226" si="2343">CE148-CD148</f>
        <v>1094.1619999999994</v>
      </c>
      <c r="CF226" s="22">
        <f t="shared" ref="CF226" si="2344">CF148-CE148</f>
        <v>0</v>
      </c>
      <c r="CG226" s="22">
        <f t="shared" ref="CG226" si="2345">CG148-CF148</f>
        <v>-3924.2839999999997</v>
      </c>
      <c r="CH226" s="22">
        <f t="shared" ref="CH226:CJ226" si="2346">CH148-CG148</f>
        <v>0</v>
      </c>
      <c r="CI226" s="22">
        <f t="shared" si="2346"/>
        <v>-730.21200000000044</v>
      </c>
      <c r="CJ226" s="22">
        <f t="shared" si="2346"/>
        <v>0</v>
      </c>
      <c r="CK226" s="22">
        <f t="shared" ref="CK226" si="2347">CK148-CJ148</f>
        <v>390.06600000000026</v>
      </c>
      <c r="CL226" s="22">
        <f t="shared" ref="CL226" si="2348">CL148-CK148</f>
        <v>0</v>
      </c>
      <c r="CM226" s="23">
        <f t="shared" ref="CM226" si="2349">CM148-CL148</f>
        <v>0</v>
      </c>
      <c r="CN226" s="23">
        <f t="shared" ref="CN226" si="2350">CN148-CM148</f>
        <v>0</v>
      </c>
      <c r="CO226" s="23">
        <f t="shared" ref="CO226" si="2351">CO148-CN148</f>
        <v>0</v>
      </c>
      <c r="CP226" s="23">
        <f t="shared" ref="CP226" si="2352">CP148-CO148</f>
        <v>0</v>
      </c>
      <c r="CQ226" s="23">
        <f t="shared" ref="CQ226" si="2353">CQ148-CP148</f>
        <v>0</v>
      </c>
      <c r="CR226" s="23">
        <f t="shared" ref="CR226" si="2354">CR148-CQ148</f>
        <v>0</v>
      </c>
      <c r="CS226" s="23">
        <f t="shared" ref="CS226" si="2355">CS148-CR148</f>
        <v>0</v>
      </c>
      <c r="CT226" s="23">
        <f t="shared" ref="CT226" si="2356">CT148-CS148</f>
        <v>0</v>
      </c>
      <c r="CU226" s="23">
        <f t="shared" ref="CU226" si="2357">CU148-CT148</f>
        <v>0</v>
      </c>
      <c r="CV226" s="23">
        <f t="shared" ref="CV226" si="2358">CV148-CU148</f>
        <v>0</v>
      </c>
      <c r="CW226" s="23">
        <f t="shared" ref="CW226" si="2359">CW148-CV148</f>
        <v>0</v>
      </c>
      <c r="CX226" s="23">
        <f t="shared" ref="CX226" si="2360">CX148-CW148</f>
        <v>0</v>
      </c>
      <c r="CY226" s="23">
        <f t="shared" ref="CY226" si="2361">CY148-CX148</f>
        <v>0</v>
      </c>
      <c r="CZ226" s="23">
        <f t="shared" ref="CZ226" si="2362">CZ148-CY148</f>
        <v>0</v>
      </c>
      <c r="DA226" s="23">
        <f t="shared" ref="DA226" si="2363">DA148-CZ148</f>
        <v>0</v>
      </c>
      <c r="DB226"/>
      <c r="DD226" s="122"/>
    </row>
    <row r="227" spans="1:108" s="22" customFormat="1" x14ac:dyDescent="0.25">
      <c r="A227" s="22" t="s">
        <v>27</v>
      </c>
      <c r="C227" s="22">
        <f t="shared" ref="C227:AE227" si="2364">C140-C68-B140+C142-B142</f>
        <v>0</v>
      </c>
      <c r="D227" s="22">
        <f t="shared" si="2364"/>
        <v>0</v>
      </c>
      <c r="E227" s="22">
        <f t="shared" si="2364"/>
        <v>0</v>
      </c>
      <c r="F227" s="22">
        <f t="shared" si="2364"/>
        <v>130.06027360000002</v>
      </c>
      <c r="G227" s="22">
        <f t="shared" si="2364"/>
        <v>0.5223696999999845</v>
      </c>
      <c r="H227" s="22">
        <f t="shared" si="2364"/>
        <v>-0.68245060000006674</v>
      </c>
      <c r="I227" s="22">
        <f t="shared" si="2364"/>
        <v>1.5980200000001332E-2</v>
      </c>
      <c r="J227" s="22">
        <f t="shared" si="2364"/>
        <v>-0.94297879999990641</v>
      </c>
      <c r="K227" s="22">
        <f t="shared" si="2364"/>
        <v>-42.514489800000092</v>
      </c>
      <c r="L227" s="22">
        <f t="shared" si="2364"/>
        <v>-31.870970700000015</v>
      </c>
      <c r="M227" s="22">
        <f t="shared" si="2364"/>
        <v>-85.326003400000104</v>
      </c>
      <c r="N227" s="22">
        <f t="shared" si="2364"/>
        <v>36.255000000000202</v>
      </c>
      <c r="O227" s="22">
        <f t="shared" si="2364"/>
        <v>83.27699999999993</v>
      </c>
      <c r="P227" s="22">
        <f t="shared" si="2364"/>
        <v>147.86699999999999</v>
      </c>
      <c r="Q227" s="22">
        <f t="shared" si="2364"/>
        <v>218.15699999999998</v>
      </c>
      <c r="R227" s="22">
        <f t="shared" si="2364"/>
        <v>964.03599999999949</v>
      </c>
      <c r="S227" s="22">
        <f t="shared" si="2364"/>
        <v>-122.84700000000012</v>
      </c>
      <c r="T227" s="22">
        <f t="shared" si="2364"/>
        <v>-54.565000000000097</v>
      </c>
      <c r="U227" s="22">
        <f t="shared" si="2364"/>
        <v>883.85400000000084</v>
      </c>
      <c r="V227" s="22">
        <f t="shared" si="2364"/>
        <v>-99.307000000000173</v>
      </c>
      <c r="W227" s="22">
        <f t="shared" si="2364"/>
        <v>-86.143999999999068</v>
      </c>
      <c r="X227" s="22">
        <f t="shared" si="2364"/>
        <v>-478.6429999999998</v>
      </c>
      <c r="Y227" s="22">
        <f t="shared" si="2364"/>
        <v>-186.75600000000281</v>
      </c>
      <c r="Z227" s="22">
        <f t="shared" si="2364"/>
        <v>7060.349000000002</v>
      </c>
      <c r="AA227" s="23">
        <f t="shared" si="2364"/>
        <v>-35.1689999999939</v>
      </c>
      <c r="AB227" s="23">
        <f t="shared" si="2364"/>
        <v>7.2759576141834259E-12</v>
      </c>
      <c r="AC227" s="23">
        <f t="shared" si="2364"/>
        <v>0</v>
      </c>
      <c r="AD227" s="23">
        <f t="shared" si="2364"/>
        <v>3.637978807091713E-12</v>
      </c>
      <c r="AE227" s="23">
        <f t="shared" si="2364"/>
        <v>-7.2759576141834259E-12</v>
      </c>
      <c r="AI227" s="22">
        <f t="shared" ref="AI227:BN227" si="2365">AI140-AI68-AH140+AI142-AH142</f>
        <v>0</v>
      </c>
      <c r="AJ227" s="22">
        <f t="shared" si="2365"/>
        <v>0</v>
      </c>
      <c r="AK227" s="22">
        <f t="shared" si="2365"/>
        <v>0</v>
      </c>
      <c r="AL227" s="22">
        <f t="shared" si="2365"/>
        <v>0</v>
      </c>
      <c r="AM227" s="22">
        <f t="shared" si="2365"/>
        <v>0</v>
      </c>
      <c r="AN227" s="22">
        <f t="shared" si="2365"/>
        <v>0</v>
      </c>
      <c r="AO227" s="22">
        <f t="shared" si="2365"/>
        <v>0</v>
      </c>
      <c r="AP227" s="22">
        <f t="shared" si="2365"/>
        <v>0</v>
      </c>
      <c r="AQ227" s="22">
        <f t="shared" si="2365"/>
        <v>0</v>
      </c>
      <c r="AR227" s="22">
        <f t="shared" si="2365"/>
        <v>0</v>
      </c>
      <c r="AS227" s="22">
        <f t="shared" si="2365"/>
        <v>0</v>
      </c>
      <c r="AT227" s="22">
        <f t="shared" si="2365"/>
        <v>0</v>
      </c>
      <c r="AU227" s="22">
        <f t="shared" si="2365"/>
        <v>0</v>
      </c>
      <c r="AV227" s="22">
        <f t="shared" si="2365"/>
        <v>0</v>
      </c>
      <c r="AW227" s="22">
        <f t="shared" si="2365"/>
        <v>773.02800000000002</v>
      </c>
      <c r="AX227" s="22">
        <f t="shared" si="2365"/>
        <v>0</v>
      </c>
      <c r="AY227" s="22">
        <f t="shared" si="2365"/>
        <v>-825.56999999999994</v>
      </c>
      <c r="AZ227" s="22">
        <f t="shared" si="2365"/>
        <v>0</v>
      </c>
      <c r="BA227" s="22">
        <f t="shared" si="2365"/>
        <v>2002.8420000000001</v>
      </c>
      <c r="BB227" s="22">
        <f t="shared" si="2365"/>
        <v>0</v>
      </c>
      <c r="BC227" s="22">
        <f t="shared" si="2365"/>
        <v>-291.08799999999991</v>
      </c>
      <c r="BD227" s="22">
        <f t="shared" si="2365"/>
        <v>0</v>
      </c>
      <c r="BE227" s="22">
        <f t="shared" si="2365"/>
        <v>-44.994999999999948</v>
      </c>
      <c r="BF227" s="22">
        <f t="shared" si="2365"/>
        <v>0</v>
      </c>
      <c r="BG227" s="22">
        <f t="shared" si="2365"/>
        <v>15.543999999999871</v>
      </c>
      <c r="BH227" s="22">
        <f t="shared" si="2365"/>
        <v>-4.5474735088646412E-13</v>
      </c>
      <c r="BI227" s="22">
        <f t="shared" si="2365"/>
        <v>-70.108999999999511</v>
      </c>
      <c r="BJ227" s="22">
        <f t="shared" si="2365"/>
        <v>0</v>
      </c>
      <c r="BK227" s="22">
        <f t="shared" si="2365"/>
        <v>51.035999999999994</v>
      </c>
      <c r="BL227" s="22">
        <f t="shared" si="2365"/>
        <v>0</v>
      </c>
      <c r="BM227" s="22">
        <f t="shared" si="2365"/>
        <v>832.81799999999976</v>
      </c>
      <c r="BN227" s="22">
        <f t="shared" si="2365"/>
        <v>-4.5474735088646412E-13</v>
      </c>
      <c r="BO227" s="22">
        <f t="shared" ref="BO227:CT227" si="2366">BO140-BO68-BN140+BO142-BN142</f>
        <v>-58.977999999999611</v>
      </c>
      <c r="BP227" s="22">
        <f t="shared" si="2366"/>
        <v>0</v>
      </c>
      <c r="BQ227" s="22">
        <f t="shared" si="2366"/>
        <v>-40.3290000000001</v>
      </c>
      <c r="BR227" s="22">
        <f t="shared" si="2366"/>
        <v>0</v>
      </c>
      <c r="BS227" s="22">
        <f t="shared" si="2366"/>
        <v>18.309000000000069</v>
      </c>
      <c r="BT227" s="22">
        <f t="shared" si="2366"/>
        <v>0</v>
      </c>
      <c r="BU227" s="22">
        <f t="shared" si="2366"/>
        <v>-104.45300000000005</v>
      </c>
      <c r="BV227" s="22">
        <f t="shared" si="2366"/>
        <v>4.5474735088646412E-13</v>
      </c>
      <c r="BW227" s="22">
        <f t="shared" si="2366"/>
        <v>-275.25000000000011</v>
      </c>
      <c r="BX227" s="22">
        <f t="shared" si="2366"/>
        <v>0</v>
      </c>
      <c r="BY227" s="22">
        <f t="shared" si="2366"/>
        <v>-203.39300000000011</v>
      </c>
      <c r="BZ227" s="22">
        <f t="shared" si="2366"/>
        <v>0</v>
      </c>
      <c r="CA227" s="22">
        <f t="shared" si="2366"/>
        <v>-15.747000000000838</v>
      </c>
      <c r="CB227" s="22">
        <f t="shared" si="2366"/>
        <v>0</v>
      </c>
      <c r="CC227" s="22">
        <f t="shared" si="2366"/>
        <v>-171.00900000000016</v>
      </c>
      <c r="CD227" s="22">
        <f t="shared" si="2366"/>
        <v>0</v>
      </c>
      <c r="CE227" s="22">
        <f t="shared" si="2366"/>
        <v>-128.61099999999794</v>
      </c>
      <c r="CF227" s="22">
        <f t="shared" si="2366"/>
        <v>0</v>
      </c>
      <c r="CG227" s="22">
        <f t="shared" si="2366"/>
        <v>7188.9600000000019</v>
      </c>
      <c r="CH227" s="22">
        <f t="shared" si="2366"/>
        <v>0</v>
      </c>
      <c r="CI227" s="22">
        <f t="shared" si="2366"/>
        <v>-276.49500000000324</v>
      </c>
      <c r="CJ227" s="22">
        <f t="shared" si="2366"/>
        <v>0</v>
      </c>
      <c r="CK227" s="22">
        <f t="shared" si="2366"/>
        <v>241.3259999999984</v>
      </c>
      <c r="CL227" s="22">
        <f t="shared" si="2366"/>
        <v>0</v>
      </c>
      <c r="CM227" s="23">
        <f t="shared" si="2366"/>
        <v>0</v>
      </c>
      <c r="CN227" s="23">
        <f t="shared" si="2366"/>
        <v>3.637978807091713E-12</v>
      </c>
      <c r="CO227" s="23">
        <f t="shared" si="2366"/>
        <v>0</v>
      </c>
      <c r="CP227" s="23">
        <f t="shared" si="2366"/>
        <v>0</v>
      </c>
      <c r="CQ227" s="23">
        <f t="shared" si="2366"/>
        <v>0</v>
      </c>
      <c r="CR227" s="23">
        <f t="shared" si="2366"/>
        <v>0</v>
      </c>
      <c r="CS227" s="23">
        <f t="shared" si="2366"/>
        <v>0</v>
      </c>
      <c r="CT227" s="23">
        <f t="shared" si="2366"/>
        <v>0</v>
      </c>
      <c r="CU227" s="23">
        <f t="shared" ref="CU227:DA227" si="2367">CU140-CU68-CT140+CU142-CT142</f>
        <v>3.637978807091713E-12</v>
      </c>
      <c r="CV227" s="23">
        <f t="shared" si="2367"/>
        <v>0</v>
      </c>
      <c r="CW227" s="23">
        <f t="shared" si="2367"/>
        <v>0</v>
      </c>
      <c r="CX227" s="23">
        <f t="shared" si="2367"/>
        <v>-3.637978807091713E-12</v>
      </c>
      <c r="CY227" s="23">
        <f t="shared" si="2367"/>
        <v>0</v>
      </c>
      <c r="CZ227" s="23">
        <f t="shared" si="2367"/>
        <v>0</v>
      </c>
      <c r="DA227" s="23">
        <f t="shared" si="2367"/>
        <v>0</v>
      </c>
      <c r="DB227"/>
      <c r="DD227" s="122"/>
    </row>
    <row r="228" spans="1:108" s="22" customFormat="1" x14ac:dyDescent="0.25">
      <c r="AA228" s="23"/>
      <c r="AB228" s="23"/>
      <c r="AC228" s="23"/>
      <c r="AD228" s="23"/>
      <c r="AE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/>
      <c r="DD228" s="122"/>
    </row>
    <row r="229" spans="1:108" s="22" customFormat="1" x14ac:dyDescent="0.25">
      <c r="A229" s="22" t="s">
        <v>442</v>
      </c>
      <c r="C229" s="22">
        <f t="shared" ref="C229" si="2368">B181</f>
        <v>0</v>
      </c>
      <c r="D229" s="22">
        <f t="shared" ref="D229" si="2369">C181</f>
        <v>0</v>
      </c>
      <c r="E229" s="22">
        <f>D181</f>
        <v>0</v>
      </c>
      <c r="F229" s="22">
        <f t="shared" ref="F229" si="2370">E181</f>
        <v>0</v>
      </c>
      <c r="G229" s="22">
        <f t="shared" ref="G229" si="2371">F181</f>
        <v>1.7700400000000001</v>
      </c>
      <c r="H229" s="22">
        <f t="shared" ref="H229" si="2372">G181</f>
        <v>4.8681732999999996</v>
      </c>
      <c r="I229" s="22">
        <f t="shared" ref="I229" si="2373">H181</f>
        <v>14.961001400000001</v>
      </c>
      <c r="J229" s="22">
        <f>I181</f>
        <v>4.5311630999999997</v>
      </c>
      <c r="K229" s="22">
        <f>J181</f>
        <v>4.1210351999999997</v>
      </c>
      <c r="L229" s="22">
        <f t="shared" ref="L229" si="2374">K181</f>
        <v>11.8001743</v>
      </c>
      <c r="M229" s="22">
        <f t="shared" ref="M229" si="2375">L181</f>
        <v>18.489582800000001</v>
      </c>
      <c r="N229" s="22">
        <f t="shared" ref="N229" si="2376">M181</f>
        <v>3.7770000000000001</v>
      </c>
      <c r="O229" s="22">
        <f t="shared" ref="O229" si="2377">N181</f>
        <v>38.384999999999998</v>
      </c>
      <c r="P229" s="22">
        <f t="shared" ref="P229" si="2378">O181</f>
        <v>50.896999999999998</v>
      </c>
      <c r="Q229" s="22">
        <f t="shared" ref="Q229" si="2379">P181</f>
        <v>336.38900000000001</v>
      </c>
      <c r="R229" s="22">
        <f t="shared" ref="R229" si="2380">Q181</f>
        <v>58.073999999999998</v>
      </c>
      <c r="S229" s="22">
        <f t="shared" ref="S229" si="2381">R181</f>
        <v>65.701999999999998</v>
      </c>
      <c r="T229" s="22">
        <f t="shared" ref="T229" si="2382">S181</f>
        <v>94.46</v>
      </c>
      <c r="U229" s="22">
        <f t="shared" ref="U229" si="2383">T181</f>
        <v>93.48</v>
      </c>
      <c r="V229" s="22">
        <f t="shared" ref="V229" si="2384">U181</f>
        <v>171.077</v>
      </c>
      <c r="W229" s="22">
        <f t="shared" ref="W229:Z229" si="2385">V181</f>
        <v>190.05</v>
      </c>
      <c r="X229" s="22">
        <f t="shared" si="2385"/>
        <v>336.62200000000001</v>
      </c>
      <c r="Y229" s="22">
        <f t="shared" si="2385"/>
        <v>285.267</v>
      </c>
      <c r="Z229" s="22">
        <f t="shared" si="2385"/>
        <v>459.86200000000002</v>
      </c>
      <c r="AA229" s="23">
        <f t="shared" ref="AA229" si="2386">Z181</f>
        <v>2450.0540000000001</v>
      </c>
      <c r="AB229" s="23">
        <f t="shared" ref="AB229" si="2387">AA181</f>
        <v>1998.491</v>
      </c>
      <c r="AC229" s="23">
        <f t="shared" ref="AC229" si="2388">AB181</f>
        <v>7014.2925121293265</v>
      </c>
      <c r="AD229" s="23">
        <f t="shared" ref="AD229" si="2389">AC181</f>
        <v>10537.567899691163</v>
      </c>
      <c r="AE229" s="23">
        <f t="shared" ref="AE229" si="2390">AD181</f>
        <v>14581.192063240751</v>
      </c>
      <c r="AI229" s="22">
        <f t="shared" ref="AI229" si="2391">AH181</f>
        <v>0</v>
      </c>
      <c r="AJ229" s="22">
        <f t="shared" ref="AJ229" si="2392">AI181</f>
        <v>0</v>
      </c>
      <c r="AK229" s="22" t="e">
        <f t="shared" ref="AK229" si="2393">AJ181</f>
        <v>#DIV/0!</v>
      </c>
      <c r="AL229" s="22">
        <f t="shared" ref="AL229" si="2394">AK181</f>
        <v>0</v>
      </c>
      <c r="AM229" s="22" t="e">
        <f t="shared" ref="AM229" si="2395">AL181</f>
        <v>#DIV/0!</v>
      </c>
      <c r="AN229" s="22">
        <f t="shared" ref="AN229" si="2396">AM181</f>
        <v>0</v>
      </c>
      <c r="AO229" s="22" t="e">
        <f t="shared" ref="AO229" si="2397">AN181</f>
        <v>#DIV/0!</v>
      </c>
      <c r="AP229" s="22">
        <f t="shared" ref="AP229" si="2398">AO181</f>
        <v>0</v>
      </c>
      <c r="AQ229" s="22" t="e">
        <f t="shared" ref="AQ229" si="2399">AP181</f>
        <v>#DIV/0!</v>
      </c>
      <c r="AR229" s="22">
        <f t="shared" ref="AR229" si="2400">AQ181</f>
        <v>0</v>
      </c>
      <c r="AS229" s="22" t="e">
        <f t="shared" ref="AS229" si="2401">AR181</f>
        <v>#DIV/0!</v>
      </c>
      <c r="AT229" s="22">
        <f t="shared" ref="AT229" si="2402">AS181</f>
        <v>0</v>
      </c>
      <c r="AU229" s="22" t="e">
        <f t="shared" ref="AU229" si="2403">AT181</f>
        <v>#DIV/0!</v>
      </c>
      <c r="AV229" s="22">
        <f t="shared" ref="AV229" si="2404">AU181</f>
        <v>0</v>
      </c>
      <c r="AW229" s="22" t="e">
        <f t="shared" ref="AW229" si="2405">AV181</f>
        <v>#DIV/0!</v>
      </c>
      <c r="AX229" s="22">
        <f t="shared" ref="AX229" si="2406">AW181</f>
        <v>58.073999999999998</v>
      </c>
      <c r="AY229" s="22">
        <f t="shared" ref="AY229" si="2407">AX181</f>
        <v>-407.23086906976215</v>
      </c>
      <c r="AZ229" s="22">
        <f t="shared" ref="AZ229" si="2408">AY181</f>
        <v>0</v>
      </c>
      <c r="BA229" s="22">
        <f t="shared" ref="BA229" si="2409">AZ181</f>
        <v>10.303000000000083</v>
      </c>
      <c r="BB229" s="22">
        <f t="shared" ref="BB229" si="2410">BA181</f>
        <v>65.703000000000003</v>
      </c>
      <c r="BC229" s="22">
        <f t="shared" ref="BC229" si="2411">BB181</f>
        <v>-207.07232146202776</v>
      </c>
      <c r="BD229" s="22">
        <f t="shared" ref="BD229" si="2412">BC181</f>
        <v>117.66800000000001</v>
      </c>
      <c r="BE229" s="22">
        <f t="shared" ref="BE229" si="2413">BD181</f>
        <v>366.64061983384789</v>
      </c>
      <c r="BF229" s="22">
        <f t="shared" ref="BF229" si="2414">BE181</f>
        <v>94.46</v>
      </c>
      <c r="BG229" s="22">
        <f t="shared" ref="BG229" si="2415">BF181</f>
        <v>-290.8482650244822</v>
      </c>
      <c r="BH229" s="22">
        <f t="shared" ref="BH229" si="2416">BG181</f>
        <v>113.071</v>
      </c>
      <c r="BI229" s="22">
        <f t="shared" ref="BI229" si="2417">BH181</f>
        <v>318.85885588461588</v>
      </c>
      <c r="BJ229" s="22">
        <f t="shared" ref="BJ229" si="2418">BI181</f>
        <v>93.48</v>
      </c>
      <c r="BK229" s="22">
        <f t="shared" ref="BK229" si="2419">BJ181</f>
        <v>-134.80961015100593</v>
      </c>
      <c r="BL229" s="22">
        <f t="shared" ref="BL229" si="2420">BK181</f>
        <v>152.32400000000001</v>
      </c>
      <c r="BM229" s="22">
        <f t="shared" ref="BM229" si="2421">BL181</f>
        <v>403.64888207370308</v>
      </c>
      <c r="BN229" s="22">
        <f t="shared" ref="BN229" si="2422">BM181</f>
        <v>171.077</v>
      </c>
      <c r="BO229" s="22">
        <f t="shared" ref="BO229" si="2423">BN181</f>
        <v>22.829778882403559</v>
      </c>
      <c r="BP229" s="22">
        <f t="shared" ref="BP229" si="2424">BO181</f>
        <v>211.916</v>
      </c>
      <c r="BQ229" s="22">
        <f t="shared" ref="BQ229" si="2425">BP181</f>
        <v>308.04892161086406</v>
      </c>
      <c r="BR229" s="22">
        <f t="shared" ref="BR229" si="2426">BQ181</f>
        <v>190.05</v>
      </c>
      <c r="BS229" s="22">
        <f t="shared" ref="BS229" si="2427">BR181</f>
        <v>-114.64056839401468</v>
      </c>
      <c r="BT229" s="22">
        <f t="shared" ref="BT229" si="2428">BS181</f>
        <v>148.36500000000001</v>
      </c>
      <c r="BU229" s="22">
        <f t="shared" ref="BU229" si="2429">BT181</f>
        <v>423.96792539882438</v>
      </c>
      <c r="BV229" s="22">
        <f t="shared" ref="BV229" si="2430">BU181</f>
        <v>336.62200000000001</v>
      </c>
      <c r="BW229" s="22">
        <f t="shared" ref="BW229" si="2431">BV181</f>
        <v>14.339874905378622</v>
      </c>
      <c r="BX229" s="22">
        <f t="shared" ref="BX229" si="2432">BW181</f>
        <v>301.54599999999999</v>
      </c>
      <c r="BY229" s="22">
        <f t="shared" ref="BY229" si="2433">BX181</f>
        <v>1097.9773252258317</v>
      </c>
      <c r="BZ229" s="22">
        <f t="shared" ref="BZ229" si="2434">BY181</f>
        <v>285.267</v>
      </c>
      <c r="CA229" s="22">
        <f t="shared" ref="CA229" si="2435">BZ181</f>
        <v>-350.20502890482391</v>
      </c>
      <c r="CB229" s="22">
        <f t="shared" ref="CB229" si="2436">CA181</f>
        <v>312.22800000000001</v>
      </c>
      <c r="CC229" s="22">
        <f t="shared" ref="CC229" si="2437">CB181</f>
        <v>1324.2415331333013</v>
      </c>
      <c r="CD229" s="22">
        <f t="shared" ref="CD229" si="2438">CC181</f>
        <v>459.86200000000002</v>
      </c>
      <c r="CE229" s="22">
        <f t="shared" ref="CE229" si="2439">CD181</f>
        <v>-20.350243305889023</v>
      </c>
      <c r="CF229" s="22">
        <f t="shared" ref="CF229" si="2440">CE181</f>
        <v>407.74799999999999</v>
      </c>
      <c r="CG229" s="22">
        <f t="shared" ref="CG229" si="2441">CF181</f>
        <v>1859.422489888284</v>
      </c>
      <c r="CH229" s="22">
        <f t="shared" ref="CH229:CJ229" si="2442">CG181</f>
        <v>2450.0540000000001</v>
      </c>
      <c r="CI229" s="22">
        <f t="shared" si="2442"/>
        <v>2224.9731202989283</v>
      </c>
      <c r="CJ229" s="22">
        <f t="shared" si="2442"/>
        <v>2148.9690000000001</v>
      </c>
      <c r="CK229" s="22">
        <f t="shared" ref="CK229" si="2443">CJ181</f>
        <v>3808.45800718384</v>
      </c>
      <c r="CL229" s="22">
        <f t="shared" ref="CL229" si="2444">CK181</f>
        <v>1998.491</v>
      </c>
      <c r="CM229" s="23">
        <f t="shared" ref="CM229" si="2445">CL181</f>
        <v>4123.8680116526284</v>
      </c>
      <c r="CN229" s="23">
        <f t="shared" ref="CN229" si="2446">CM181</f>
        <v>4513.8920748696946</v>
      </c>
      <c r="CO229" s="23">
        <f t="shared" ref="CO229" si="2447">CN181</f>
        <v>6200.9181095575104</v>
      </c>
      <c r="CP229" s="23">
        <f t="shared" ref="CP229" si="2448">CO181</f>
        <v>7014.2925121293265</v>
      </c>
      <c r="CQ229" s="23">
        <f t="shared" ref="CQ229" si="2449">CP181</f>
        <v>6651.2736683240209</v>
      </c>
      <c r="CR229" s="23">
        <f t="shared" ref="CR229" si="2450">CQ181</f>
        <v>7316.4011555272009</v>
      </c>
      <c r="CS229" s="23">
        <f t="shared" ref="CS229" si="2451">CR181</f>
        <v>9454.1346917737446</v>
      </c>
      <c r="CT229" s="23">
        <f t="shared" ref="CT229" si="2452">CS181</f>
        <v>10537.567899691163</v>
      </c>
      <c r="CU229" s="23">
        <f t="shared" ref="CU229" si="2453">CT181</f>
        <v>10374.86724669565</v>
      </c>
      <c r="CV229" s="23">
        <f t="shared" ref="CV229" si="2454">CU181</f>
        <v>11081.094841389719</v>
      </c>
      <c r="CW229" s="23">
        <f t="shared" ref="CW229" si="2455">CV181</f>
        <v>13373.917397286434</v>
      </c>
      <c r="CX229" s="23">
        <f t="shared" ref="CX229" si="2456">CW181</f>
        <v>14581.192063240751</v>
      </c>
      <c r="CY229" s="23">
        <f t="shared" ref="CY229" si="2457">CX181</f>
        <v>14149.99271858427</v>
      </c>
      <c r="CZ229" s="23">
        <f t="shared" ref="CZ229" si="2458">CY181</f>
        <v>15089.648281881995</v>
      </c>
      <c r="DA229" s="23">
        <f t="shared" ref="DA229" si="2459">CZ181</f>
        <v>17947.010376005386</v>
      </c>
      <c r="DB229"/>
      <c r="DD229" s="122"/>
    </row>
    <row r="230" spans="1:108" s="22" customFormat="1" x14ac:dyDescent="0.25">
      <c r="A230" s="22" t="s">
        <v>443</v>
      </c>
      <c r="C230" s="22">
        <f t="shared" ref="C230:W230" si="2460">C229+C225+C221+C219</f>
        <v>0</v>
      </c>
      <c r="D230" s="22">
        <f t="shared" si="2460"/>
        <v>0</v>
      </c>
      <c r="E230" s="22">
        <f t="shared" si="2460"/>
        <v>0</v>
      </c>
      <c r="F230" s="22">
        <f t="shared" si="2460"/>
        <v>1.770040000000094</v>
      </c>
      <c r="G230" s="22">
        <f t="shared" si="2460"/>
        <v>4.8681732999999809</v>
      </c>
      <c r="H230" s="22">
        <f t="shared" si="2460"/>
        <v>14.961001399999926</v>
      </c>
      <c r="I230" s="22">
        <f t="shared" si="2460"/>
        <v>4.5311631000000361</v>
      </c>
      <c r="J230" s="22">
        <f>J229+J225+J221+J219</f>
        <v>4.1210352000000086</v>
      </c>
      <c r="K230" s="22">
        <f>K229+K225+K221+K219</f>
        <v>11.800174300000037</v>
      </c>
      <c r="L230" s="22">
        <f>L229+L225+L221+L219</f>
        <v>18.489582799999923</v>
      </c>
      <c r="M230" s="22">
        <f>M229+M225+M221+M219</f>
        <v>3.7770000000000081</v>
      </c>
      <c r="N230" s="22">
        <f t="shared" si="2460"/>
        <v>38.385000000000446</v>
      </c>
      <c r="O230" s="22">
        <f t="shared" si="2460"/>
        <v>50.896999999999679</v>
      </c>
      <c r="P230" s="22">
        <f t="shared" si="2460"/>
        <v>336.3889999999999</v>
      </c>
      <c r="Q230" s="22">
        <f t="shared" si="2460"/>
        <v>58.074000000000751</v>
      </c>
      <c r="R230" s="22">
        <f t="shared" si="2460"/>
        <v>65.701999999999202</v>
      </c>
      <c r="S230" s="22">
        <f t="shared" si="2460"/>
        <v>94.460000000000036</v>
      </c>
      <c r="T230" s="22">
        <f t="shared" si="2460"/>
        <v>93.480000000000473</v>
      </c>
      <c r="U230" s="22">
        <f t="shared" si="2460"/>
        <v>171.07700000000068</v>
      </c>
      <c r="V230" s="22">
        <f t="shared" si="2460"/>
        <v>190.04999999999905</v>
      </c>
      <c r="W230" s="22">
        <f t="shared" si="2460"/>
        <v>336.62200000000109</v>
      </c>
      <c r="X230" s="22">
        <f t="shared" ref="X230:Y230" si="2461">X229+X225+X221+X219</f>
        <v>285.26699999999892</v>
      </c>
      <c r="Y230" s="22">
        <f t="shared" si="2461"/>
        <v>459.86199999999872</v>
      </c>
      <c r="Z230" s="22">
        <f t="shared" ref="Z230" si="2462">Z229+Z225+Z221+Z219</f>
        <v>2450.0540000000028</v>
      </c>
      <c r="AA230" s="23">
        <f t="shared" ref="AA230:AD230" si="2463">AA229+AA225+AA221+AA219</f>
        <v>1998.4909999999995</v>
      </c>
      <c r="AB230" s="23">
        <f t="shared" si="2463"/>
        <v>7014.2925121293283</v>
      </c>
      <c r="AC230" s="23">
        <f t="shared" si="2463"/>
        <v>10537.567899691161</v>
      </c>
      <c r="AD230" s="23">
        <f t="shared" si="2463"/>
        <v>14581.192063240751</v>
      </c>
      <c r="AE230" s="23">
        <f t="shared" ref="AE230" si="2464">AE229+AE225+AE221+AE219</f>
        <v>19501.049246100454</v>
      </c>
      <c r="AI230" s="22">
        <f t="shared" ref="AI230" si="2465">AI229+AI225+AI221+AI219</f>
        <v>0</v>
      </c>
      <c r="AJ230" s="22" t="e">
        <f t="shared" ref="AJ230:AL230" si="2466">AJ229+AJ225+AJ221+AJ219</f>
        <v>#DIV/0!</v>
      </c>
      <c r="AK230" s="22" t="e">
        <f t="shared" si="2466"/>
        <v>#DIV/0!</v>
      </c>
      <c r="AL230" s="22" t="e">
        <f t="shared" si="2466"/>
        <v>#DIV/0!</v>
      </c>
      <c r="AM230" s="22" t="e">
        <f t="shared" ref="AM230" si="2467">AM229+AM225+AM221+AM219</f>
        <v>#DIV/0!</v>
      </c>
      <c r="AN230" s="22" t="e">
        <f t="shared" ref="AN230:CD230" si="2468">AN229+AN225+AN221+AN219</f>
        <v>#DIV/0!</v>
      </c>
      <c r="AO230" s="22" t="e">
        <f t="shared" si="2468"/>
        <v>#DIV/0!</v>
      </c>
      <c r="AP230" s="22" t="e">
        <f t="shared" si="2468"/>
        <v>#DIV/0!</v>
      </c>
      <c r="AQ230" s="22" t="e">
        <f t="shared" si="2468"/>
        <v>#DIV/0!</v>
      </c>
      <c r="AR230" s="22" t="e">
        <f t="shared" si="2468"/>
        <v>#DIV/0!</v>
      </c>
      <c r="AS230" s="22" t="e">
        <f t="shared" si="2468"/>
        <v>#DIV/0!</v>
      </c>
      <c r="AT230" s="22" t="e">
        <f t="shared" si="2468"/>
        <v>#DIV/0!</v>
      </c>
      <c r="AU230" s="22" t="e">
        <f t="shared" si="2468"/>
        <v>#DIV/0!</v>
      </c>
      <c r="AV230" s="22" t="e">
        <f t="shared" si="2468"/>
        <v>#DIV/0!</v>
      </c>
      <c r="AW230" s="22" t="e">
        <f t="shared" si="2468"/>
        <v>#DIV/0!</v>
      </c>
      <c r="AX230" s="22">
        <f t="shared" si="2468"/>
        <v>-407.23086906976215</v>
      </c>
      <c r="AY230" s="22">
        <f t="shared" si="2468"/>
        <v>0</v>
      </c>
      <c r="AZ230" s="22">
        <f t="shared" si="2468"/>
        <v>10.303000000000083</v>
      </c>
      <c r="BA230" s="22">
        <f t="shared" si="2468"/>
        <v>65.703000000000088</v>
      </c>
      <c r="BB230" s="22">
        <f t="shared" si="2468"/>
        <v>-207.07232146202776</v>
      </c>
      <c r="BC230" s="22">
        <f t="shared" si="2468"/>
        <v>117.66799999999967</v>
      </c>
      <c r="BD230" s="22">
        <f t="shared" si="2468"/>
        <v>366.64061983384789</v>
      </c>
      <c r="BE230" s="22">
        <f t="shared" si="2468"/>
        <v>94.460000000000207</v>
      </c>
      <c r="BF230" s="22">
        <f t="shared" si="2468"/>
        <v>-290.8482650244822</v>
      </c>
      <c r="BG230" s="22">
        <f t="shared" si="2468"/>
        <v>113.07100000000048</v>
      </c>
      <c r="BH230" s="22">
        <f t="shared" si="2468"/>
        <v>318.85885588461588</v>
      </c>
      <c r="BI230" s="22">
        <f t="shared" si="2468"/>
        <v>93.479999999999876</v>
      </c>
      <c r="BJ230" s="22">
        <f t="shared" si="2468"/>
        <v>-134.80961015100593</v>
      </c>
      <c r="BK230" s="22">
        <f t="shared" si="2468"/>
        <v>152.32400000000007</v>
      </c>
      <c r="BL230" s="22">
        <f t="shared" si="2468"/>
        <v>403.64888207370308</v>
      </c>
      <c r="BM230" s="22">
        <f t="shared" si="2468"/>
        <v>171.07700000000011</v>
      </c>
      <c r="BN230" s="22">
        <f t="shared" si="2468"/>
        <v>22.829778882403559</v>
      </c>
      <c r="BO230" s="22">
        <f t="shared" si="2468"/>
        <v>211.91599999999971</v>
      </c>
      <c r="BP230" s="22">
        <f t="shared" si="2468"/>
        <v>308.04892161086406</v>
      </c>
      <c r="BQ230" s="22">
        <f t="shared" si="2468"/>
        <v>190.05000000000013</v>
      </c>
      <c r="BR230" s="22">
        <f t="shared" si="2468"/>
        <v>-114.64056839401468</v>
      </c>
      <c r="BS230" s="22">
        <f t="shared" si="2468"/>
        <v>148.36500000000024</v>
      </c>
      <c r="BT230" s="22">
        <f t="shared" si="2468"/>
        <v>423.96792539882438</v>
      </c>
      <c r="BU230" s="22">
        <f t="shared" si="2468"/>
        <v>336.62199999999962</v>
      </c>
      <c r="BV230" s="22">
        <f t="shared" si="2468"/>
        <v>14.339874905378622</v>
      </c>
      <c r="BW230" s="22">
        <f t="shared" si="2468"/>
        <v>301.54599999999891</v>
      </c>
      <c r="BX230" s="22">
        <f t="shared" si="2468"/>
        <v>1097.9773252258317</v>
      </c>
      <c r="BY230" s="22">
        <f t="shared" si="2468"/>
        <v>285.2669999999996</v>
      </c>
      <c r="BZ230" s="22">
        <f t="shared" si="2468"/>
        <v>-350.20502890482391</v>
      </c>
      <c r="CA230" s="22">
        <f t="shared" si="2468"/>
        <v>312.22800000000143</v>
      </c>
      <c r="CB230" s="22">
        <f t="shared" si="2468"/>
        <v>1324.2415331333013</v>
      </c>
      <c r="CC230" s="22">
        <f t="shared" si="2468"/>
        <v>459.86200000000065</v>
      </c>
      <c r="CD230" s="22">
        <f t="shared" si="2468"/>
        <v>-20.350243305889023</v>
      </c>
      <c r="CE230" s="22">
        <f t="shared" ref="CE230:CF230" si="2469">CE229+CE225+CE221+CE219</f>
        <v>407.74799999999732</v>
      </c>
      <c r="CF230" s="22">
        <f t="shared" si="2469"/>
        <v>1859.422489888284</v>
      </c>
      <c r="CG230" s="22">
        <f t="shared" ref="CG230:CH230" si="2470">CG229+CG225+CG221+CG219</f>
        <v>2450.0540000000028</v>
      </c>
      <c r="CH230" s="22">
        <f t="shared" si="2470"/>
        <v>2224.9731202989283</v>
      </c>
      <c r="CI230" s="22">
        <f t="shared" ref="CI230:CJ230" si="2471">CI229+CI225+CI221+CI219</f>
        <v>2148.9689999999955</v>
      </c>
      <c r="CJ230" s="22">
        <f t="shared" si="2471"/>
        <v>3808.45800718384</v>
      </c>
      <c r="CK230" s="22">
        <f t="shared" ref="CK230:DA230" si="2472">CK229+CK225+CK221+CK219</f>
        <v>1998.4909999999977</v>
      </c>
      <c r="CL230" s="22">
        <f t="shared" si="2472"/>
        <v>4123.8680116526284</v>
      </c>
      <c r="CM230" s="23">
        <f t="shared" si="2472"/>
        <v>4513.8920748696946</v>
      </c>
      <c r="CN230" s="23">
        <f t="shared" si="2472"/>
        <v>6200.9181095575104</v>
      </c>
      <c r="CO230" s="23">
        <f t="shared" si="2472"/>
        <v>7014.2925121293265</v>
      </c>
      <c r="CP230" s="23">
        <f t="shared" si="2472"/>
        <v>6651.2736683240209</v>
      </c>
      <c r="CQ230" s="23">
        <f t="shared" si="2472"/>
        <v>7316.4011555272009</v>
      </c>
      <c r="CR230" s="23">
        <f t="shared" si="2472"/>
        <v>9454.1346917737446</v>
      </c>
      <c r="CS230" s="23">
        <f t="shared" si="2472"/>
        <v>10537.567899691163</v>
      </c>
      <c r="CT230" s="23">
        <f t="shared" si="2472"/>
        <v>10374.86724669565</v>
      </c>
      <c r="CU230" s="23">
        <f t="shared" si="2472"/>
        <v>11081.094841389719</v>
      </c>
      <c r="CV230" s="23">
        <f t="shared" si="2472"/>
        <v>13373.917397286434</v>
      </c>
      <c r="CW230" s="23">
        <f t="shared" si="2472"/>
        <v>14581.192063240751</v>
      </c>
      <c r="CX230" s="23">
        <f t="shared" si="2472"/>
        <v>14149.99271858427</v>
      </c>
      <c r="CY230" s="23">
        <f t="shared" si="2472"/>
        <v>15089.648281881995</v>
      </c>
      <c r="CZ230" s="23">
        <f t="shared" si="2472"/>
        <v>17947.010376005386</v>
      </c>
      <c r="DA230" s="23">
        <f t="shared" si="2472"/>
        <v>19501.049246100454</v>
      </c>
      <c r="DB230"/>
      <c r="DD230" s="122"/>
    </row>
    <row r="231" spans="1:108" s="27" customFormat="1" x14ac:dyDescent="0.25">
      <c r="A231" s="27" t="s">
        <v>444</v>
      </c>
      <c r="C231" s="27">
        <f t="shared" ref="C231:W231" si="2473">C230-C181</f>
        <v>0</v>
      </c>
      <c r="D231" s="27">
        <f t="shared" si="2473"/>
        <v>0</v>
      </c>
      <c r="E231" s="27">
        <f t="shared" si="2473"/>
        <v>0</v>
      </c>
      <c r="F231" s="27">
        <f t="shared" si="2473"/>
        <v>9.3924867883288243E-14</v>
      </c>
      <c r="G231" s="27">
        <f t="shared" si="2473"/>
        <v>-1.865174681370263E-14</v>
      </c>
      <c r="H231" s="27">
        <f t="shared" si="2473"/>
        <v>-7.460698725481052E-14</v>
      </c>
      <c r="I231" s="27">
        <f t="shared" si="2473"/>
        <v>3.6415315207705135E-14</v>
      </c>
      <c r="J231" s="27">
        <f>J230-J181</f>
        <v>8.8817841970012523E-15</v>
      </c>
      <c r="K231" s="27">
        <f t="shared" si="2473"/>
        <v>3.730349362740526E-14</v>
      </c>
      <c r="L231" s="27">
        <f t="shared" si="2473"/>
        <v>-7.815970093361102E-14</v>
      </c>
      <c r="M231" s="27">
        <f t="shared" si="2473"/>
        <v>7.9936057773011271E-15</v>
      </c>
      <c r="N231" s="27">
        <f t="shared" si="2473"/>
        <v>4.4764192352886312E-13</v>
      </c>
      <c r="O231" s="27">
        <f t="shared" si="2473"/>
        <v>-3.1974423109204508E-13</v>
      </c>
      <c r="P231" s="27">
        <f t="shared" si="2473"/>
        <v>0</v>
      </c>
      <c r="Q231" s="27">
        <f t="shared" si="2473"/>
        <v>7.531752999057062E-13</v>
      </c>
      <c r="R231" s="27">
        <f t="shared" si="2473"/>
        <v>-7.9580786405131221E-13</v>
      </c>
      <c r="S231" s="27">
        <f t="shared" si="2473"/>
        <v>0</v>
      </c>
      <c r="T231" s="27">
        <f t="shared" si="2473"/>
        <v>4.6895820560166612E-13</v>
      </c>
      <c r="U231" s="27">
        <f t="shared" si="2473"/>
        <v>6.8212102632969618E-13</v>
      </c>
      <c r="V231" s="27">
        <f t="shared" si="2473"/>
        <v>-9.6633812063373625E-13</v>
      </c>
      <c r="W231" s="27">
        <f t="shared" si="2473"/>
        <v>1.0800249583553523E-12</v>
      </c>
      <c r="X231" s="27">
        <f t="shared" ref="X231:Y231" si="2474">X230-X181</f>
        <v>-1.0800249583553523E-12</v>
      </c>
      <c r="Y231" s="27">
        <f t="shared" si="2474"/>
        <v>-1.3073986337985843E-12</v>
      </c>
      <c r="Z231" s="27">
        <f t="shared" ref="Z231" si="2475">Z230-Z181</f>
        <v>0</v>
      </c>
      <c r="AA231" s="29">
        <f t="shared" ref="AA231:AD231" si="2476">AA230-AA181</f>
        <v>0</v>
      </c>
      <c r="AB231" s="29">
        <f t="shared" si="2476"/>
        <v>0</v>
      </c>
      <c r="AC231" s="29">
        <f t="shared" si="2476"/>
        <v>0</v>
      </c>
      <c r="AD231" s="29">
        <f t="shared" si="2476"/>
        <v>0</v>
      </c>
      <c r="AE231" s="29">
        <f t="shared" ref="AE231" si="2477">AE230-AE181</f>
        <v>0</v>
      </c>
      <c r="AI231" s="27">
        <f t="shared" ref="AI231" si="2478">AI230-AI181</f>
        <v>0</v>
      </c>
      <c r="AJ231" s="27" t="e">
        <f t="shared" ref="AJ231:AL231" si="2479">AJ230-AJ181</f>
        <v>#DIV/0!</v>
      </c>
      <c r="AK231" s="27" t="e">
        <f t="shared" si="2479"/>
        <v>#DIV/0!</v>
      </c>
      <c r="AL231" s="27" t="e">
        <f t="shared" si="2479"/>
        <v>#DIV/0!</v>
      </c>
      <c r="AM231" s="27" t="e">
        <f t="shared" ref="AM231" si="2480">AM230-AM181</f>
        <v>#DIV/0!</v>
      </c>
      <c r="AN231" s="27" t="e">
        <f t="shared" ref="AN231:CD231" si="2481">AN230-AN181</f>
        <v>#DIV/0!</v>
      </c>
      <c r="AO231" s="27" t="e">
        <f t="shared" si="2481"/>
        <v>#DIV/0!</v>
      </c>
      <c r="AP231" s="27" t="e">
        <f t="shared" si="2481"/>
        <v>#DIV/0!</v>
      </c>
      <c r="AQ231" s="27" t="e">
        <f t="shared" si="2481"/>
        <v>#DIV/0!</v>
      </c>
      <c r="AR231" s="27" t="e">
        <f t="shared" si="2481"/>
        <v>#DIV/0!</v>
      </c>
      <c r="AS231" s="27" t="e">
        <f t="shared" si="2481"/>
        <v>#DIV/0!</v>
      </c>
      <c r="AT231" s="27" t="e">
        <f t="shared" si="2481"/>
        <v>#DIV/0!</v>
      </c>
      <c r="AU231" s="27" t="e">
        <f t="shared" si="2481"/>
        <v>#DIV/0!</v>
      </c>
      <c r="AV231" s="27" t="e">
        <f t="shared" si="2481"/>
        <v>#DIV/0!</v>
      </c>
      <c r="AW231" s="27" t="e">
        <f t="shared" si="2481"/>
        <v>#DIV/0!</v>
      </c>
      <c r="AX231" s="27">
        <f t="shared" si="2481"/>
        <v>0</v>
      </c>
      <c r="AY231" s="27">
        <f t="shared" si="2481"/>
        <v>0</v>
      </c>
      <c r="AZ231" s="27">
        <f t="shared" si="2481"/>
        <v>0</v>
      </c>
      <c r="BA231" s="27">
        <f t="shared" si="2481"/>
        <v>0</v>
      </c>
      <c r="BB231" s="27">
        <f t="shared" si="2481"/>
        <v>0</v>
      </c>
      <c r="BC231" s="27">
        <f t="shared" si="2481"/>
        <v>-3.4106051316484809E-13</v>
      </c>
      <c r="BD231" s="27">
        <f t="shared" si="2481"/>
        <v>0</v>
      </c>
      <c r="BE231" s="27">
        <f t="shared" si="2481"/>
        <v>2.1316282072803006E-13</v>
      </c>
      <c r="BF231" s="27">
        <f t="shared" si="2481"/>
        <v>0</v>
      </c>
      <c r="BG231" s="27">
        <f t="shared" si="2481"/>
        <v>4.8316906031686813E-13</v>
      </c>
      <c r="BH231" s="27">
        <f t="shared" si="2481"/>
        <v>0</v>
      </c>
      <c r="BI231" s="27">
        <f t="shared" si="2481"/>
        <v>-1.2789769243681803E-13</v>
      </c>
      <c r="BJ231" s="27">
        <f t="shared" si="2481"/>
        <v>0</v>
      </c>
      <c r="BK231" s="27">
        <f t="shared" si="2481"/>
        <v>0</v>
      </c>
      <c r="BL231" s="27">
        <f t="shared" si="2481"/>
        <v>0</v>
      </c>
      <c r="BM231" s="27">
        <f t="shared" si="2481"/>
        <v>0</v>
      </c>
      <c r="BN231" s="27">
        <f t="shared" si="2481"/>
        <v>0</v>
      </c>
      <c r="BO231" s="27">
        <f t="shared" si="2481"/>
        <v>-2.8421709430404007E-13</v>
      </c>
      <c r="BP231" s="27">
        <f t="shared" si="2481"/>
        <v>0</v>
      </c>
      <c r="BQ231" s="27">
        <f t="shared" si="2481"/>
        <v>0</v>
      </c>
      <c r="BR231" s="27">
        <f t="shared" si="2481"/>
        <v>0</v>
      </c>
      <c r="BS231" s="27">
        <f t="shared" si="2481"/>
        <v>2.2737367544323206E-13</v>
      </c>
      <c r="BT231" s="27">
        <f t="shared" si="2481"/>
        <v>0</v>
      </c>
      <c r="BU231" s="27">
        <f t="shared" si="2481"/>
        <v>0</v>
      </c>
      <c r="BV231" s="27">
        <f t="shared" si="2481"/>
        <v>0</v>
      </c>
      <c r="BW231" s="27">
        <f t="shared" si="2481"/>
        <v>-1.0800249583553523E-12</v>
      </c>
      <c r="BX231" s="27">
        <f t="shared" si="2481"/>
        <v>0</v>
      </c>
      <c r="BY231" s="27">
        <f t="shared" si="2481"/>
        <v>0</v>
      </c>
      <c r="BZ231" s="27">
        <f t="shared" si="2481"/>
        <v>0</v>
      </c>
      <c r="CA231" s="27">
        <f t="shared" si="2481"/>
        <v>1.4210854715202004E-12</v>
      </c>
      <c r="CB231" s="27">
        <f t="shared" si="2481"/>
        <v>0</v>
      </c>
      <c r="CC231" s="27">
        <f t="shared" si="2481"/>
        <v>6.2527760746888816E-13</v>
      </c>
      <c r="CD231" s="27">
        <f t="shared" si="2481"/>
        <v>0</v>
      </c>
      <c r="CE231" s="27">
        <f t="shared" ref="CE231:CF231" si="2482">CE230-CE181</f>
        <v>-2.6716406864579767E-12</v>
      </c>
      <c r="CF231" s="27">
        <f t="shared" si="2482"/>
        <v>0</v>
      </c>
      <c r="CG231" s="27">
        <f t="shared" ref="CG231:CH231" si="2483">CG230-CG181</f>
        <v>0</v>
      </c>
      <c r="CH231" s="27">
        <f t="shared" si="2483"/>
        <v>0</v>
      </c>
      <c r="CI231" s="27">
        <f t="shared" ref="CI231:CJ231" si="2484">CI230-CI181</f>
        <v>-4.5474735088646412E-12</v>
      </c>
      <c r="CJ231" s="27">
        <f t="shared" si="2484"/>
        <v>0</v>
      </c>
      <c r="CK231" s="27">
        <f t="shared" ref="CK231:DA231" si="2485">CK230-CK181</f>
        <v>-2.2737367544323206E-12</v>
      </c>
      <c r="CL231" s="27">
        <f t="shared" si="2485"/>
        <v>0</v>
      </c>
      <c r="CM231" s="29">
        <f t="shared" si="2485"/>
        <v>0</v>
      </c>
      <c r="CN231" s="29">
        <f t="shared" si="2485"/>
        <v>0</v>
      </c>
      <c r="CO231" s="29">
        <f t="shared" si="2485"/>
        <v>0</v>
      </c>
      <c r="CP231" s="29">
        <f t="shared" si="2485"/>
        <v>0</v>
      </c>
      <c r="CQ231" s="29">
        <f t="shared" si="2485"/>
        <v>0</v>
      </c>
      <c r="CR231" s="29">
        <f t="shared" si="2485"/>
        <v>0</v>
      </c>
      <c r="CS231" s="29">
        <f t="shared" si="2485"/>
        <v>0</v>
      </c>
      <c r="CT231" s="29">
        <f t="shared" si="2485"/>
        <v>0</v>
      </c>
      <c r="CU231" s="29">
        <f t="shared" si="2485"/>
        <v>0</v>
      </c>
      <c r="CV231" s="29">
        <f t="shared" si="2485"/>
        <v>0</v>
      </c>
      <c r="CW231" s="29">
        <f t="shared" si="2485"/>
        <v>0</v>
      </c>
      <c r="CX231" s="29">
        <f t="shared" si="2485"/>
        <v>0</v>
      </c>
      <c r="CY231" s="29">
        <f t="shared" si="2485"/>
        <v>0</v>
      </c>
      <c r="CZ231" s="29">
        <f t="shared" si="2485"/>
        <v>0</v>
      </c>
      <c r="DA231" s="29">
        <f t="shared" si="2485"/>
        <v>0</v>
      </c>
      <c r="DB231"/>
      <c r="DD231" s="138"/>
    </row>
    <row r="232" spans="1:108" s="22" customFormat="1" x14ac:dyDescent="0.25">
      <c r="AA232" s="23"/>
      <c r="AB232" s="23"/>
      <c r="AC232" s="23"/>
      <c r="AD232" s="23"/>
      <c r="AE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/>
      <c r="DD232" s="122"/>
    </row>
    <row r="233" spans="1:108" s="21" customFormat="1" x14ac:dyDescent="0.25">
      <c r="A233" s="21" t="s">
        <v>96</v>
      </c>
      <c r="C233" s="21">
        <f t="shared" ref="C233:W233" si="2486">C219+C221</f>
        <v>0</v>
      </c>
      <c r="D233" s="21">
        <f t="shared" si="2486"/>
        <v>0</v>
      </c>
      <c r="E233" s="21">
        <f t="shared" si="2486"/>
        <v>0</v>
      </c>
      <c r="F233" s="21">
        <f t="shared" si="2486"/>
        <v>-298.79077049999989</v>
      </c>
      <c r="G233" s="21">
        <f t="shared" si="2486"/>
        <v>28.161291299999995</v>
      </c>
      <c r="H233" s="21">
        <f t="shared" si="2486"/>
        <v>22.202527599999989</v>
      </c>
      <c r="I233" s="21">
        <f t="shared" si="2486"/>
        <v>-5.068732299999958</v>
      </c>
      <c r="J233" s="21">
        <f>J219+J221</f>
        <v>-108.65952060000012</v>
      </c>
      <c r="K233" s="21">
        <f t="shared" si="2486"/>
        <v>-104.45477129999983</v>
      </c>
      <c r="L233" s="21">
        <f t="shared" si="2486"/>
        <v>-124.21733660000008</v>
      </c>
      <c r="M233" s="21">
        <f t="shared" si="2486"/>
        <v>-263.31941779999994</v>
      </c>
      <c r="N233" s="21">
        <f t="shared" si="2486"/>
        <v>-1053.2009999999996</v>
      </c>
      <c r="O233" s="21">
        <f t="shared" si="2486"/>
        <v>-462.19600000000025</v>
      </c>
      <c r="P233" s="21">
        <f t="shared" si="2486"/>
        <v>53.957000000000249</v>
      </c>
      <c r="Q233" s="21">
        <f t="shared" si="2486"/>
        <v>-158.5019999999995</v>
      </c>
      <c r="R233" s="21">
        <f t="shared" si="2486"/>
        <v>-1094.4700000000003</v>
      </c>
      <c r="S233" s="21">
        <f t="shared" si="2486"/>
        <v>-286.6900000000004</v>
      </c>
      <c r="T233" s="21">
        <f t="shared" si="2486"/>
        <v>-100.57999999999936</v>
      </c>
      <c r="U233" s="21">
        <f t="shared" si="2486"/>
        <v>-1415.5630000000001</v>
      </c>
      <c r="V233" s="21">
        <f t="shared" si="2486"/>
        <v>319.32999999999902</v>
      </c>
      <c r="W233" s="21">
        <f t="shared" si="2486"/>
        <v>106.94400000000019</v>
      </c>
      <c r="X233" s="21">
        <f t="shared" ref="X233:Y233" si="2487">X219+X221</f>
        <v>74.37099999999873</v>
      </c>
      <c r="Y233" s="21">
        <f t="shared" si="2487"/>
        <v>-1138.2239999999979</v>
      </c>
      <c r="Z233" s="21">
        <f t="shared" ref="Z233" si="2488">Z219+Z221</f>
        <v>-2240.0349999999999</v>
      </c>
      <c r="AA233" s="20">
        <f t="shared" ref="AA233:AD233" si="2489">AA219+AA221</f>
        <v>-76.248000000006414</v>
      </c>
      <c r="AB233" s="20">
        <f t="shared" si="2489"/>
        <v>5015.8015121293211</v>
      </c>
      <c r="AC233" s="20">
        <f t="shared" si="2489"/>
        <v>3523.2753875618346</v>
      </c>
      <c r="AD233" s="20">
        <f t="shared" si="2489"/>
        <v>4043.6241635495844</v>
      </c>
      <c r="AE233" s="20">
        <f t="shared" ref="AE233" si="2490">AE219+AE221</f>
        <v>4919.8571828597087</v>
      </c>
      <c r="AI233" s="21">
        <f t="shared" ref="AI233" si="2491">AI219+AI221</f>
        <v>0</v>
      </c>
      <c r="AJ233" s="21" t="e">
        <f t="shared" ref="AJ233:AL233" si="2492">AJ219+AJ221</f>
        <v>#DIV/0!</v>
      </c>
      <c r="AK233" s="21" t="e">
        <f t="shared" si="2492"/>
        <v>#DIV/0!</v>
      </c>
      <c r="AL233" s="21" t="e">
        <f t="shared" si="2492"/>
        <v>#DIV/0!</v>
      </c>
      <c r="AM233" s="21" t="e">
        <f t="shared" ref="AM233" si="2493">AM219+AM221</f>
        <v>#DIV/0!</v>
      </c>
      <c r="AN233" s="21" t="e">
        <f t="shared" ref="AN233:CD233" si="2494">AN219+AN221</f>
        <v>#DIV/0!</v>
      </c>
      <c r="AO233" s="21" t="e">
        <f t="shared" si="2494"/>
        <v>#DIV/0!</v>
      </c>
      <c r="AP233" s="21" t="e">
        <f t="shared" si="2494"/>
        <v>#DIV/0!</v>
      </c>
      <c r="AQ233" s="21" t="e">
        <f t="shared" si="2494"/>
        <v>#DIV/0!</v>
      </c>
      <c r="AR233" s="21" t="e">
        <f t="shared" si="2494"/>
        <v>#DIV/0!</v>
      </c>
      <c r="AS233" s="21" t="e">
        <f t="shared" si="2494"/>
        <v>#DIV/0!</v>
      </c>
      <c r="AT233" s="21" t="e">
        <f t="shared" si="2494"/>
        <v>#DIV/0!</v>
      </c>
      <c r="AU233" s="21" t="e">
        <f t="shared" si="2494"/>
        <v>#DIV/0!</v>
      </c>
      <c r="AV233" s="21" t="e">
        <f t="shared" si="2494"/>
        <v>#DIV/0!</v>
      </c>
      <c r="AW233" s="21" t="e">
        <f t="shared" si="2494"/>
        <v>#DIV/0!</v>
      </c>
      <c r="AX233" s="21">
        <f t="shared" si="2494"/>
        <v>-465.30486906976216</v>
      </c>
      <c r="AY233" s="21">
        <f t="shared" si="2494"/>
        <v>3064.7318690697625</v>
      </c>
      <c r="AZ233" s="21">
        <f t="shared" si="2494"/>
        <v>10.303000000000083</v>
      </c>
      <c r="BA233" s="21">
        <f t="shared" si="2494"/>
        <v>-3316.2869999999998</v>
      </c>
      <c r="BB233" s="21">
        <f t="shared" si="2494"/>
        <v>-272.77532146202776</v>
      </c>
      <c r="BC233" s="21">
        <f t="shared" si="2494"/>
        <v>218.25332146202729</v>
      </c>
      <c r="BD233" s="21">
        <f t="shared" si="2494"/>
        <v>248.97261983384789</v>
      </c>
      <c r="BE233" s="21">
        <f t="shared" si="2494"/>
        <v>-505.49861983384767</v>
      </c>
      <c r="BF233" s="21">
        <f t="shared" si="2494"/>
        <v>-385.30826502448218</v>
      </c>
      <c r="BG233" s="21">
        <f t="shared" si="2494"/>
        <v>532.83026502448251</v>
      </c>
      <c r="BH233" s="21">
        <f t="shared" si="2494"/>
        <v>205.78785588461631</v>
      </c>
      <c r="BI233" s="21">
        <f t="shared" si="2494"/>
        <v>-612.71585588461642</v>
      </c>
      <c r="BJ233" s="21">
        <f t="shared" si="2494"/>
        <v>-228.28961015100592</v>
      </c>
      <c r="BK233" s="21">
        <f t="shared" si="2494"/>
        <v>-659.49838984899407</v>
      </c>
      <c r="BL233" s="21">
        <f t="shared" si="2494"/>
        <v>251.32488207370307</v>
      </c>
      <c r="BM233" s="21">
        <f t="shared" si="2494"/>
        <v>-634.59988207370282</v>
      </c>
      <c r="BN233" s="21">
        <f t="shared" si="2494"/>
        <v>-148.24722111759598</v>
      </c>
      <c r="BO233" s="21">
        <f t="shared" si="2494"/>
        <v>769.76822111759589</v>
      </c>
      <c r="BP233" s="21">
        <f t="shared" si="2494"/>
        <v>96.132921610864059</v>
      </c>
      <c r="BQ233" s="21">
        <f t="shared" si="2494"/>
        <v>-470.32392161086381</v>
      </c>
      <c r="BR233" s="21">
        <f t="shared" si="2494"/>
        <v>-304.69056839401469</v>
      </c>
      <c r="BS233" s="21">
        <f t="shared" si="2494"/>
        <v>1204.2485683940149</v>
      </c>
      <c r="BT233" s="21">
        <f t="shared" si="2494"/>
        <v>275.60292539882437</v>
      </c>
      <c r="BU233" s="21">
        <f t="shared" si="2494"/>
        <v>-1590.8599253988248</v>
      </c>
      <c r="BV233" s="21">
        <f t="shared" si="2494"/>
        <v>-322.28212509462185</v>
      </c>
      <c r="BW233" s="21">
        <f t="shared" si="2494"/>
        <v>1547.2971250946202</v>
      </c>
      <c r="BX233" s="21">
        <f t="shared" si="2494"/>
        <v>796.43132522583164</v>
      </c>
      <c r="BY233" s="21">
        <f t="shared" si="2494"/>
        <v>-1947.0753252258323</v>
      </c>
      <c r="BZ233" s="21">
        <f t="shared" si="2494"/>
        <v>-635.4720289048239</v>
      </c>
      <c r="CA233" s="21">
        <f t="shared" si="2494"/>
        <v>889.13702890482614</v>
      </c>
      <c r="CB233" s="21">
        <f t="shared" si="2494"/>
        <v>1012.0135331333013</v>
      </c>
      <c r="CC233" s="21">
        <f t="shared" si="2494"/>
        <v>-2403.9025331333009</v>
      </c>
      <c r="CD233" s="21">
        <f t="shared" si="2494"/>
        <v>-480.21224330588905</v>
      </c>
      <c r="CE233" s="21">
        <f t="shared" ref="CE233:CF233" si="2495">CE219+CE221</f>
        <v>-537.45275669411512</v>
      </c>
      <c r="CF233" s="21">
        <f t="shared" si="2495"/>
        <v>1451.6744898882839</v>
      </c>
      <c r="CG233" s="21">
        <f t="shared" ref="CG233:CH233" si="2496">CG219+CG221</f>
        <v>-2674.0444898882834</v>
      </c>
      <c r="CH233" s="21">
        <f t="shared" si="2496"/>
        <v>-225.08087970107181</v>
      </c>
      <c r="CI233" s="21">
        <f t="shared" ref="CI233:CJ233" si="2497">CI219+CI221</f>
        <v>930.70287970107097</v>
      </c>
      <c r="CJ233" s="21">
        <f t="shared" si="2497"/>
        <v>1659.4890071838397</v>
      </c>
      <c r="CK233" s="21">
        <f t="shared" ref="CK233:DA233" si="2498">CK219+CK221</f>
        <v>-2441.3590071838412</v>
      </c>
      <c r="CL233" s="21">
        <f t="shared" si="2498"/>
        <v>2125.3770116526284</v>
      </c>
      <c r="CM233" s="20">
        <f t="shared" si="2498"/>
        <v>390.02406321706667</v>
      </c>
      <c r="CN233" s="20">
        <f t="shared" si="2498"/>
        <v>1687.0260346878122</v>
      </c>
      <c r="CO233" s="20">
        <f t="shared" si="2498"/>
        <v>813.37440257181652</v>
      </c>
      <c r="CP233" s="20">
        <f t="shared" si="2498"/>
        <v>-363.01884380530532</v>
      </c>
      <c r="CQ233" s="20">
        <f t="shared" si="2498"/>
        <v>665.12748720318018</v>
      </c>
      <c r="CR233" s="20">
        <f t="shared" si="2498"/>
        <v>2137.7335362465437</v>
      </c>
      <c r="CS233" s="20">
        <f t="shared" si="2498"/>
        <v>1083.4332079174185</v>
      </c>
      <c r="CT233" s="20">
        <f t="shared" si="2498"/>
        <v>-162.70065299551266</v>
      </c>
      <c r="CU233" s="20">
        <f t="shared" si="2498"/>
        <v>706.22759469406446</v>
      </c>
      <c r="CV233" s="20">
        <f t="shared" si="2498"/>
        <v>2292.822555896716</v>
      </c>
      <c r="CW233" s="20">
        <f t="shared" si="2498"/>
        <v>1207.2746659543168</v>
      </c>
      <c r="CX233" s="20">
        <f t="shared" si="2498"/>
        <v>-431.19934465647702</v>
      </c>
      <c r="CY233" s="20">
        <f t="shared" si="2498"/>
        <v>939.65556329772562</v>
      </c>
      <c r="CZ233" s="20">
        <f t="shared" si="2498"/>
        <v>2857.3620941233912</v>
      </c>
      <c r="DA233" s="20">
        <f t="shared" si="2498"/>
        <v>1554.0388700950666</v>
      </c>
      <c r="DB233"/>
      <c r="DD233" s="125"/>
    </row>
    <row r="234" spans="1:108" x14ac:dyDescent="0.25">
      <c r="A234" s="151" t="s">
        <v>497</v>
      </c>
    </row>
    <row r="236" spans="1:108" s="7" customFormat="1" hidden="1" outlineLevel="1" x14ac:dyDescent="0.25">
      <c r="A236" s="60" t="s">
        <v>97</v>
      </c>
      <c r="AA236" s="76"/>
      <c r="AB236" s="76"/>
      <c r="AC236" s="76"/>
      <c r="AD236" s="76"/>
      <c r="AE236" s="76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  <c r="CW236" s="49"/>
      <c r="CX236" s="49"/>
      <c r="CY236" s="49"/>
      <c r="CZ236" s="49"/>
      <c r="DA236" s="49"/>
      <c r="DB236"/>
      <c r="DD236" s="137"/>
    </row>
    <row r="237" spans="1:108" s="61" customFormat="1" hidden="1" outlineLevel="1" x14ac:dyDescent="0.25">
      <c r="A237" s="61" t="s">
        <v>98</v>
      </c>
      <c r="AA237" s="62"/>
      <c r="AB237" s="62"/>
      <c r="AC237" s="62"/>
      <c r="AD237" s="62"/>
      <c r="AE237" s="62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/>
      <c r="DD237" s="138"/>
    </row>
    <row r="238" spans="1:108" s="61" customFormat="1" hidden="1" outlineLevel="1" x14ac:dyDescent="0.25">
      <c r="A238" s="61" t="s">
        <v>99</v>
      </c>
      <c r="AA238" s="62"/>
      <c r="AB238" s="62"/>
      <c r="AC238" s="62"/>
      <c r="AD238" s="62"/>
      <c r="AE238" s="62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/>
      <c r="DD238" s="138"/>
    </row>
    <row r="239" spans="1:108" s="61" customFormat="1" hidden="1" outlineLevel="1" x14ac:dyDescent="0.25">
      <c r="A239" s="61" t="s">
        <v>100</v>
      </c>
      <c r="AA239" s="62"/>
      <c r="AB239" s="62"/>
      <c r="AC239" s="62"/>
      <c r="AD239" s="62"/>
      <c r="AE239" s="62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/>
      <c r="DD239" s="138"/>
    </row>
    <row r="240" spans="1:108" s="61" customFormat="1" hidden="1" outlineLevel="1" x14ac:dyDescent="0.25">
      <c r="AA240" s="62"/>
      <c r="AB240" s="62"/>
      <c r="AC240" s="62"/>
      <c r="AD240" s="62"/>
      <c r="AE240" s="62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/>
      <c r="DD240" s="138"/>
    </row>
    <row r="241" spans="1:108" s="61" customFormat="1" hidden="1" outlineLevel="1" x14ac:dyDescent="0.25">
      <c r="AA241" s="62"/>
      <c r="AB241" s="62"/>
      <c r="AC241" s="62"/>
      <c r="AD241" s="62"/>
      <c r="AE241" s="62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/>
      <c r="DD241" s="138"/>
    </row>
    <row r="242" spans="1:108" s="61" customFormat="1" hidden="1" outlineLevel="1" x14ac:dyDescent="0.25">
      <c r="AA242" s="62"/>
      <c r="AB242" s="62"/>
      <c r="AC242" s="62"/>
      <c r="AD242" s="62"/>
      <c r="AE242" s="62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/>
      <c r="DD242" s="138"/>
    </row>
    <row r="243" spans="1:108" s="11" customFormat="1" collapsed="1" x14ac:dyDescent="0.25">
      <c r="AA243" s="62"/>
      <c r="AB243" s="62"/>
      <c r="AC243" s="62"/>
      <c r="AD243" s="62"/>
      <c r="AE243" s="62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/>
      <c r="DD243" s="138"/>
    </row>
    <row r="244" spans="1:108" s="82" customFormat="1" x14ac:dyDescent="0.25">
      <c r="A244" s="81" t="s">
        <v>101</v>
      </c>
      <c r="AA244" s="71"/>
      <c r="AB244" s="71"/>
      <c r="AC244" s="71"/>
      <c r="AD244" s="71"/>
      <c r="AE244" s="71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/>
      <c r="DD244" s="138"/>
    </row>
    <row r="245" spans="1:108" s="65" customFormat="1" x14ac:dyDescent="0.25">
      <c r="A245" s="65" t="s">
        <v>471</v>
      </c>
      <c r="AA245" s="49"/>
      <c r="AB245" s="49"/>
      <c r="AC245" s="49"/>
      <c r="AD245" s="49"/>
      <c r="AE245" s="49"/>
      <c r="AL245" s="65">
        <f t="shared" ref="AL245:BQ245" si="2499">SUM(AI30:AL30)</f>
        <v>0</v>
      </c>
      <c r="AM245" s="65">
        <f t="shared" si="2499"/>
        <v>0</v>
      </c>
      <c r="AN245" s="65">
        <f t="shared" si="2499"/>
        <v>0</v>
      </c>
      <c r="AO245" s="65">
        <f t="shared" si="2499"/>
        <v>0</v>
      </c>
      <c r="AP245" s="65">
        <f t="shared" si="2499"/>
        <v>0</v>
      </c>
      <c r="AQ245" s="65">
        <f t="shared" si="2499"/>
        <v>0</v>
      </c>
      <c r="AR245" s="65">
        <f t="shared" si="2499"/>
        <v>0</v>
      </c>
      <c r="AS245" s="65">
        <f t="shared" si="2499"/>
        <v>0</v>
      </c>
      <c r="AT245" s="65">
        <f t="shared" si="2499"/>
        <v>0</v>
      </c>
      <c r="AU245" s="65">
        <f t="shared" si="2499"/>
        <v>0</v>
      </c>
      <c r="AV245" s="65">
        <f t="shared" si="2499"/>
        <v>0</v>
      </c>
      <c r="AW245" s="65">
        <f t="shared" si="2499"/>
        <v>390.85699999999997</v>
      </c>
      <c r="AX245" s="65">
        <f t="shared" si="2499"/>
        <v>1259.877</v>
      </c>
      <c r="AY245" s="65">
        <f t="shared" si="2499"/>
        <v>2920.3429999999998</v>
      </c>
      <c r="AZ245" s="65">
        <f t="shared" si="2499"/>
        <v>3817.7959999999998</v>
      </c>
      <c r="BA245" s="65">
        <f t="shared" si="2499"/>
        <v>3861.183</v>
      </c>
      <c r="BB245" s="65">
        <f t="shared" si="2499"/>
        <v>3871.3599999999997</v>
      </c>
      <c r="BC245" s="65">
        <f t="shared" si="2499"/>
        <v>3844.2890000000002</v>
      </c>
      <c r="BD245" s="65">
        <f t="shared" si="2499"/>
        <v>3910.2839999999997</v>
      </c>
      <c r="BE245" s="65">
        <f t="shared" si="2499"/>
        <v>4003.5399999999995</v>
      </c>
      <c r="BF245" s="65">
        <f t="shared" si="2499"/>
        <v>4219.1129999999994</v>
      </c>
      <c r="BG245" s="65">
        <f t="shared" si="2499"/>
        <v>4644.8490000000002</v>
      </c>
      <c r="BH245" s="65">
        <f t="shared" si="2499"/>
        <v>4847.1380000000008</v>
      </c>
      <c r="BI245" s="65">
        <f t="shared" si="2499"/>
        <v>5105.255000000001</v>
      </c>
      <c r="BJ245" s="65">
        <f t="shared" si="2499"/>
        <v>5369.630000000001</v>
      </c>
      <c r="BK245" s="65">
        <f t="shared" si="2499"/>
        <v>6120.9529999999995</v>
      </c>
      <c r="BL245" s="65">
        <f t="shared" si="2499"/>
        <v>6694.9499999999989</v>
      </c>
      <c r="BM245" s="65">
        <f t="shared" si="2499"/>
        <v>7129.5780000000004</v>
      </c>
      <c r="BN245" s="65">
        <f t="shared" si="2499"/>
        <v>7446.8670000000002</v>
      </c>
      <c r="BO245" s="65">
        <f t="shared" si="2499"/>
        <v>6276.5960000000005</v>
      </c>
      <c r="BP245" s="65">
        <f t="shared" si="2499"/>
        <v>6339.4960000000001</v>
      </c>
      <c r="BQ245" s="65">
        <f t="shared" si="2499"/>
        <v>6450.1419999999998</v>
      </c>
      <c r="BR245" s="65">
        <f t="shared" ref="BR245:CW245" si="2500">SUM(BO30:BR30)</f>
        <v>7014.5999999999995</v>
      </c>
      <c r="BS245" s="65">
        <f t="shared" si="2500"/>
        <v>7824.2619999999988</v>
      </c>
      <c r="BT245" s="65">
        <f t="shared" si="2500"/>
        <v>8419.7860000000001</v>
      </c>
      <c r="BU245" s="65">
        <f t="shared" si="2500"/>
        <v>8823.23</v>
      </c>
      <c r="BV245" s="65">
        <f t="shared" si="2500"/>
        <v>9409.8100000000013</v>
      </c>
      <c r="BW245" s="65">
        <f t="shared" si="2500"/>
        <v>11914.779999999999</v>
      </c>
      <c r="BX245" s="65">
        <f t="shared" si="2500"/>
        <v>12693.241999999998</v>
      </c>
      <c r="BY245" s="65">
        <f t="shared" si="2500"/>
        <v>13173.142</v>
      </c>
      <c r="BZ245" s="65">
        <f t="shared" si="2500"/>
        <v>14238.645</v>
      </c>
      <c r="CA245" s="65">
        <f t="shared" si="2500"/>
        <v>14895.232</v>
      </c>
      <c r="CB245" s="65">
        <f t="shared" si="2500"/>
        <v>15589.127</v>
      </c>
      <c r="CC245" s="65">
        <f t="shared" si="2500"/>
        <v>16042.581</v>
      </c>
      <c r="CD245" s="65">
        <f t="shared" si="2500"/>
        <v>16466.918999999998</v>
      </c>
      <c r="CE245" s="65">
        <f t="shared" si="2500"/>
        <v>18052.379000000001</v>
      </c>
      <c r="CF245" s="65">
        <f t="shared" si="2500"/>
        <v>18986.546999999999</v>
      </c>
      <c r="CG245" s="65">
        <f t="shared" si="2500"/>
        <v>20007.650000000001</v>
      </c>
      <c r="CH245" s="65">
        <f t="shared" si="2500"/>
        <v>21257.271999999997</v>
      </c>
      <c r="CI245" s="65">
        <f t="shared" si="2500"/>
        <v>21077.780999999999</v>
      </c>
      <c r="CJ245" s="65">
        <f t="shared" si="2500"/>
        <v>21169.748</v>
      </c>
      <c r="CK245" s="65">
        <f t="shared" si="2500"/>
        <v>21685.379000000001</v>
      </c>
      <c r="CL245" s="65">
        <f t="shared" si="2500"/>
        <v>22692.633999999998</v>
      </c>
      <c r="CM245" s="49">
        <f t="shared" si="2500"/>
        <v>23516.343315966602</v>
      </c>
      <c r="CN245" s="49">
        <f t="shared" si="2500"/>
        <v>24229.017111261692</v>
      </c>
      <c r="CO245" s="49">
        <f t="shared" si="2500"/>
        <v>24940.394615180841</v>
      </c>
      <c r="CP245" s="49">
        <f t="shared" si="2500"/>
        <v>26149.947827075415</v>
      </c>
      <c r="CQ245" s="49">
        <f t="shared" si="2500"/>
        <v>27365.884718653582</v>
      </c>
      <c r="CR245" s="49">
        <f t="shared" si="2500"/>
        <v>28209.661882209977</v>
      </c>
      <c r="CS245" s="49">
        <f t="shared" si="2500"/>
        <v>28963.151918451556</v>
      </c>
      <c r="CT245" s="49">
        <f t="shared" si="2500"/>
        <v>29507.569780422011</v>
      </c>
      <c r="CU245" s="49">
        <f t="shared" si="2500"/>
        <v>30169.55937971473</v>
      </c>
      <c r="CV245" s="49">
        <f t="shared" si="2500"/>
        <v>30655.320795917363</v>
      </c>
      <c r="CW245" s="49">
        <f t="shared" si="2500"/>
        <v>31096.131055366281</v>
      </c>
      <c r="CX245" s="49">
        <f t="shared" ref="CX245:DA245" si="2501">SUM(CU30:CX30)</f>
        <v>32735.80799260984</v>
      </c>
      <c r="CY245" s="49">
        <f t="shared" si="2501"/>
        <v>34670.890098649572</v>
      </c>
      <c r="CZ245" s="49">
        <f t="shared" si="2501"/>
        <v>36070.172655839662</v>
      </c>
      <c r="DA245" s="49">
        <f t="shared" si="2501"/>
        <v>37324.564434725035</v>
      </c>
      <c r="DB245"/>
      <c r="DD245" s="137"/>
    </row>
    <row r="246" spans="1:108" s="65" customFormat="1" x14ac:dyDescent="0.25">
      <c r="A246" s="65" t="s">
        <v>472</v>
      </c>
      <c r="AA246" s="49"/>
      <c r="AB246" s="49"/>
      <c r="AC246" s="49"/>
      <c r="AD246" s="49"/>
      <c r="AE246" s="49"/>
      <c r="AL246" s="65">
        <f t="shared" ref="AL246:BQ246" si="2502">SUM(AI48:AL48)</f>
        <v>0</v>
      </c>
      <c r="AM246" s="65">
        <f t="shared" si="2502"/>
        <v>0</v>
      </c>
      <c r="AN246" s="65">
        <f t="shared" si="2502"/>
        <v>0</v>
      </c>
      <c r="AO246" s="65">
        <f t="shared" si="2502"/>
        <v>0</v>
      </c>
      <c r="AP246" s="65">
        <f t="shared" si="2502"/>
        <v>0</v>
      </c>
      <c r="AQ246" s="65">
        <f t="shared" si="2502"/>
        <v>0</v>
      </c>
      <c r="AR246" s="65">
        <f t="shared" si="2502"/>
        <v>0</v>
      </c>
      <c r="AS246" s="65">
        <f t="shared" si="2502"/>
        <v>0</v>
      </c>
      <c r="AT246" s="65">
        <f t="shared" si="2502"/>
        <v>0</v>
      </c>
      <c r="AU246" s="65">
        <f t="shared" si="2502"/>
        <v>0</v>
      </c>
      <c r="AV246" s="65">
        <f t="shared" si="2502"/>
        <v>0</v>
      </c>
      <c r="AW246" s="65">
        <f t="shared" si="2502"/>
        <v>3.2979999999999734</v>
      </c>
      <c r="AX246" s="65">
        <f t="shared" si="2502"/>
        <v>122.76099999999988</v>
      </c>
      <c r="AY246" s="65">
        <f t="shared" si="2502"/>
        <v>588.40499999999997</v>
      </c>
      <c r="AZ246" s="65">
        <f t="shared" si="2502"/>
        <v>762.95900000000006</v>
      </c>
      <c r="BA246" s="65">
        <f t="shared" si="2502"/>
        <v>785.85500000000002</v>
      </c>
      <c r="BB246" s="65">
        <f t="shared" si="2502"/>
        <v>803.62799999999993</v>
      </c>
      <c r="BC246" s="65">
        <f t="shared" si="2502"/>
        <v>818.48399999999992</v>
      </c>
      <c r="BD246" s="65">
        <f t="shared" si="2502"/>
        <v>829.37099999999975</v>
      </c>
      <c r="BE246" s="65">
        <f t="shared" si="2502"/>
        <v>825.79199999999969</v>
      </c>
      <c r="BF246" s="65">
        <f t="shared" si="2502"/>
        <v>861.24999999999977</v>
      </c>
      <c r="BG246" s="65">
        <f t="shared" si="2502"/>
        <v>955.6080000000004</v>
      </c>
      <c r="BH246" s="65">
        <f t="shared" si="2502"/>
        <v>981.40800000000058</v>
      </c>
      <c r="BI246" s="65">
        <f t="shared" si="2502"/>
        <v>1006.5870000000003</v>
      </c>
      <c r="BJ246" s="65">
        <f t="shared" si="2502"/>
        <v>1052.2680000000005</v>
      </c>
      <c r="BK246" s="65">
        <f t="shared" si="2502"/>
        <v>1265.2879999999998</v>
      </c>
      <c r="BL246" s="65">
        <f t="shared" si="2502"/>
        <v>1379.7089999999996</v>
      </c>
      <c r="BM246" s="65">
        <f t="shared" si="2502"/>
        <v>1447.6529999999998</v>
      </c>
      <c r="BN246" s="65">
        <f t="shared" si="2502"/>
        <v>1500.4339999999997</v>
      </c>
      <c r="BO246" s="65">
        <f t="shared" si="2502"/>
        <v>1090.2529999999997</v>
      </c>
      <c r="BP246" s="65">
        <f t="shared" si="2502"/>
        <v>1145.3809999999999</v>
      </c>
      <c r="BQ246" s="65">
        <f t="shared" si="2502"/>
        <v>1201.8679999999993</v>
      </c>
      <c r="BR246" s="65">
        <f t="shared" ref="BR246:CW246" si="2503">SUM(BO48:BR48)</f>
        <v>1312.3339999999994</v>
      </c>
      <c r="BS246" s="65">
        <f t="shared" si="2503"/>
        <v>1505.4369999999994</v>
      </c>
      <c r="BT246" s="65">
        <f t="shared" si="2503"/>
        <v>1619.3019999999997</v>
      </c>
      <c r="BU246" s="65">
        <f t="shared" si="2503"/>
        <v>1654.6450000000004</v>
      </c>
      <c r="BV246" s="65">
        <f t="shared" si="2503"/>
        <v>1804.0199999999995</v>
      </c>
      <c r="BW246" s="65">
        <f t="shared" si="2503"/>
        <v>2483.837</v>
      </c>
      <c r="BX246" s="65">
        <f t="shared" si="2503"/>
        <v>2688.1679999999997</v>
      </c>
      <c r="BY246" s="65">
        <f t="shared" si="2503"/>
        <v>2788.1049999999996</v>
      </c>
      <c r="BZ246" s="65">
        <f t="shared" si="2503"/>
        <v>3055.1460000000006</v>
      </c>
      <c r="CA246" s="65">
        <f t="shared" si="2503"/>
        <v>3315.5490000000009</v>
      </c>
      <c r="CB246" s="65">
        <f t="shared" si="2503"/>
        <v>3498.7030000000013</v>
      </c>
      <c r="CC246" s="65">
        <f t="shared" si="2503"/>
        <v>3609.4850000000006</v>
      </c>
      <c r="CD246" s="65">
        <f t="shared" si="2503"/>
        <v>3800.2079999999987</v>
      </c>
      <c r="CE246" s="65">
        <f t="shared" si="2503"/>
        <v>4280.404999999997</v>
      </c>
      <c r="CF246" s="65">
        <f t="shared" si="2503"/>
        <v>4549.386999999997</v>
      </c>
      <c r="CG246" s="65">
        <f t="shared" si="2503"/>
        <v>4711.0709999999981</v>
      </c>
      <c r="CH246" s="65">
        <f t="shared" si="2503"/>
        <v>4986.2739999999985</v>
      </c>
      <c r="CI246" s="65">
        <f t="shared" si="2503"/>
        <v>4993.83</v>
      </c>
      <c r="CJ246" s="65">
        <f t="shared" si="2503"/>
        <v>4990.0840000000007</v>
      </c>
      <c r="CK246" s="65">
        <f t="shared" si="2503"/>
        <v>5049.3690000000006</v>
      </c>
      <c r="CL246" s="65">
        <f t="shared" si="2503"/>
        <v>5314.3320000000012</v>
      </c>
      <c r="CM246" s="49">
        <f t="shared" si="2503"/>
        <v>5164.4713051041335</v>
      </c>
      <c r="CN246" s="49">
        <f t="shared" si="2503"/>
        <v>5273.4554165921045</v>
      </c>
      <c r="CO246" s="49">
        <f t="shared" si="2503"/>
        <v>5722.5170971687921</v>
      </c>
      <c r="CP246" s="49">
        <f t="shared" si="2503"/>
        <v>6047.7741416784338</v>
      </c>
      <c r="CQ246" s="49">
        <f t="shared" si="2503"/>
        <v>6368.9268967770822</v>
      </c>
      <c r="CR246" s="49">
        <f t="shared" si="2503"/>
        <v>6664.705772455869</v>
      </c>
      <c r="CS246" s="49">
        <f t="shared" si="2503"/>
        <v>6890.1598916206322</v>
      </c>
      <c r="CT246" s="49">
        <f t="shared" si="2503"/>
        <v>6987.6413709544031</v>
      </c>
      <c r="CU246" s="49">
        <f t="shared" si="2503"/>
        <v>7085.6799139551476</v>
      </c>
      <c r="CV246" s="49">
        <f t="shared" si="2503"/>
        <v>7141.930073767765</v>
      </c>
      <c r="CW246" s="49">
        <f t="shared" si="2503"/>
        <v>7250.6543395674234</v>
      </c>
      <c r="CX246" s="49">
        <f t="shared" ref="CX246:DA246" si="2504">SUM(CU48:CX48)</f>
        <v>7622.2877201278843</v>
      </c>
      <c r="CY246" s="49">
        <f t="shared" si="2504"/>
        <v>8066.8256549387079</v>
      </c>
      <c r="CZ246" s="49">
        <f t="shared" si="2504"/>
        <v>8397.9880822894575</v>
      </c>
      <c r="DA246" s="49">
        <f t="shared" si="2504"/>
        <v>8690.0656465610955</v>
      </c>
      <c r="DB246"/>
      <c r="DD246" s="137"/>
    </row>
    <row r="247" spans="1:108" s="65" customFormat="1" x14ac:dyDescent="0.25">
      <c r="A247" s="65" t="s">
        <v>473</v>
      </c>
      <c r="AA247" s="49"/>
      <c r="AB247" s="49"/>
      <c r="AC247" s="49"/>
      <c r="AD247" s="49"/>
      <c r="AE247" s="49"/>
      <c r="AL247" s="65">
        <f t="shared" ref="AL247:BQ247" si="2505">SUM(AI61:AL61)</f>
        <v>0</v>
      </c>
      <c r="AM247" s="65">
        <f t="shared" si="2505"/>
        <v>0</v>
      </c>
      <c r="AN247" s="65">
        <f t="shared" si="2505"/>
        <v>0</v>
      </c>
      <c r="AO247" s="65">
        <f t="shared" si="2505"/>
        <v>0</v>
      </c>
      <c r="AP247" s="65">
        <f t="shared" si="2505"/>
        <v>0</v>
      </c>
      <c r="AQ247" s="65">
        <f t="shared" si="2505"/>
        <v>0</v>
      </c>
      <c r="AR247" s="65">
        <f t="shared" si="2505"/>
        <v>0</v>
      </c>
      <c r="AS247" s="65">
        <f t="shared" si="2505"/>
        <v>0</v>
      </c>
      <c r="AT247" s="65">
        <f t="shared" si="2505"/>
        <v>0</v>
      </c>
      <c r="AU247" s="65">
        <f t="shared" si="2505"/>
        <v>0</v>
      </c>
      <c r="AV247" s="65">
        <f t="shared" si="2505"/>
        <v>0</v>
      </c>
      <c r="AW247" s="65">
        <f t="shared" si="2505"/>
        <v>-99.073000000000036</v>
      </c>
      <c r="AX247" s="65">
        <f t="shared" si="2505"/>
        <v>-155.17200000000014</v>
      </c>
      <c r="AY247" s="65">
        <f t="shared" si="2505"/>
        <v>46.087999999999965</v>
      </c>
      <c r="AZ247" s="65">
        <f t="shared" si="2505"/>
        <v>58.828000000000053</v>
      </c>
      <c r="BA247" s="65">
        <f t="shared" si="2505"/>
        <v>45.661000000000087</v>
      </c>
      <c r="BB247" s="65">
        <f t="shared" si="2505"/>
        <v>108.43900000000006</v>
      </c>
      <c r="BC247" s="65">
        <f t="shared" si="2505"/>
        <v>152.18499999999983</v>
      </c>
      <c r="BD247" s="65">
        <f t="shared" si="2505"/>
        <v>173.05799999999968</v>
      </c>
      <c r="BE247" s="65">
        <f t="shared" si="2505"/>
        <v>212.70899999999972</v>
      </c>
      <c r="BF247" s="65">
        <f t="shared" si="2505"/>
        <v>224.67399999999981</v>
      </c>
      <c r="BG247" s="65">
        <f t="shared" si="2505"/>
        <v>285.79200000000043</v>
      </c>
      <c r="BH247" s="65">
        <f t="shared" si="2505"/>
        <v>295.73600000000044</v>
      </c>
      <c r="BI247" s="65">
        <f t="shared" si="2505"/>
        <v>296.84300000000025</v>
      </c>
      <c r="BJ247" s="65">
        <f t="shared" si="2505"/>
        <v>317.44800000000032</v>
      </c>
      <c r="BK247" s="65">
        <f t="shared" si="2505"/>
        <v>415.00499999999988</v>
      </c>
      <c r="BL247" s="65">
        <f t="shared" si="2505"/>
        <v>450.3349999999997</v>
      </c>
      <c r="BM247" s="65">
        <f t="shared" si="2505"/>
        <v>467.84399999999994</v>
      </c>
      <c r="BN247" s="65">
        <f t="shared" si="2505"/>
        <v>555.18600000000004</v>
      </c>
      <c r="BO247" s="65">
        <f t="shared" si="2505"/>
        <v>294.48299999999983</v>
      </c>
      <c r="BP247" s="65">
        <f t="shared" si="2505"/>
        <v>377.06899999999973</v>
      </c>
      <c r="BQ247" s="65">
        <f t="shared" si="2505"/>
        <v>423.79999999999939</v>
      </c>
      <c r="BR247" s="65">
        <f t="shared" ref="BR247:CW247" si="2506">SUM(BO61:BR61)</f>
        <v>433.96799999999939</v>
      </c>
      <c r="BS247" s="65">
        <f t="shared" si="2506"/>
        <v>609.79299999999944</v>
      </c>
      <c r="BT247" s="65">
        <f t="shared" si="2506"/>
        <v>706.2199999999998</v>
      </c>
      <c r="BU247" s="65">
        <f t="shared" si="2506"/>
        <v>746.05200000000036</v>
      </c>
      <c r="BV247" s="65">
        <f t="shared" si="2506"/>
        <v>880.38699999999972</v>
      </c>
      <c r="BW247" s="65">
        <f t="shared" si="2506"/>
        <v>1363.595</v>
      </c>
      <c r="BX247" s="65">
        <f t="shared" si="2506"/>
        <v>1501.1799999999996</v>
      </c>
      <c r="BY247" s="65">
        <f t="shared" si="2506"/>
        <v>1550.1199999999997</v>
      </c>
      <c r="BZ247" s="65">
        <f t="shared" si="2506"/>
        <v>1717.6250000000005</v>
      </c>
      <c r="CA247" s="65">
        <f t="shared" si="2506"/>
        <v>1921.275000000001</v>
      </c>
      <c r="CB247" s="65">
        <f t="shared" si="2506"/>
        <v>2040.2680000000014</v>
      </c>
      <c r="CC247" s="65">
        <f t="shared" si="2506"/>
        <v>2102.2920000000008</v>
      </c>
      <c r="CD247" s="65">
        <f t="shared" si="2506"/>
        <v>2211.8359999999993</v>
      </c>
      <c r="CE247" s="65">
        <f t="shared" si="2506"/>
        <v>2468.5449999999973</v>
      </c>
      <c r="CF247" s="65">
        <f t="shared" si="2506"/>
        <v>2582.9869999999974</v>
      </c>
      <c r="CG247" s="65">
        <f t="shared" si="2506"/>
        <v>2635.7629999999972</v>
      </c>
      <c r="CH247" s="65">
        <f t="shared" si="2506"/>
        <v>2819.5549999999985</v>
      </c>
      <c r="CI247" s="65">
        <f t="shared" si="2506"/>
        <v>2883.8619999999992</v>
      </c>
      <c r="CJ247" s="65">
        <f t="shared" si="2506"/>
        <v>3001.8100000000004</v>
      </c>
      <c r="CK247" s="65">
        <f t="shared" si="2506"/>
        <v>3068.0689999999995</v>
      </c>
      <c r="CL247" s="65">
        <f t="shared" si="2506"/>
        <v>3218.7940000000012</v>
      </c>
      <c r="CM247" s="49">
        <f t="shared" si="2506"/>
        <v>3032.2020343848253</v>
      </c>
      <c r="CN247" s="49">
        <f t="shared" si="2506"/>
        <v>2977.5699926948373</v>
      </c>
      <c r="CO247" s="49">
        <f t="shared" si="2506"/>
        <v>3296.710874193227</v>
      </c>
      <c r="CP247" s="49">
        <f t="shared" si="2506"/>
        <v>3589.996647256155</v>
      </c>
      <c r="CQ247" s="49">
        <f t="shared" si="2506"/>
        <v>3857.3814631432033</v>
      </c>
      <c r="CR247" s="49">
        <f t="shared" si="2506"/>
        <v>4112.1723823990242</v>
      </c>
      <c r="CS247" s="49">
        <f t="shared" si="2506"/>
        <v>4326.9383100260166</v>
      </c>
      <c r="CT247" s="49">
        <f t="shared" si="2506"/>
        <v>4413.0879083868367</v>
      </c>
      <c r="CU247" s="49">
        <f t="shared" si="2506"/>
        <v>4502.9211369572058</v>
      </c>
      <c r="CV247" s="49">
        <f t="shared" si="2506"/>
        <v>4560.7117649693391</v>
      </c>
      <c r="CW247" s="49">
        <f t="shared" si="2506"/>
        <v>4652.8675949997332</v>
      </c>
      <c r="CX247" s="49">
        <f t="shared" ref="CX247:DA247" si="2507">SUM(CU61:CX61)</f>
        <v>4972.2369831104252</v>
      </c>
      <c r="CY247" s="49">
        <f t="shared" si="2507"/>
        <v>5343.9243309378789</v>
      </c>
      <c r="CZ247" s="49">
        <f t="shared" si="2507"/>
        <v>5633.0859442886067</v>
      </c>
      <c r="DA247" s="49">
        <f t="shared" si="2507"/>
        <v>5899.3339048082362</v>
      </c>
      <c r="DB247"/>
      <c r="DD247" s="137"/>
    </row>
    <row r="248" spans="1:108" s="92" customFormat="1" x14ac:dyDescent="0.25">
      <c r="AA248" s="29"/>
      <c r="AB248" s="29"/>
      <c r="AC248" s="29"/>
      <c r="AD248" s="29"/>
      <c r="AE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/>
      <c r="DD248" s="138"/>
    </row>
    <row r="249" spans="1:108" s="11" customFormat="1" x14ac:dyDescent="0.25">
      <c r="AA249" s="62"/>
      <c r="AB249" s="62"/>
      <c r="AC249" s="62"/>
      <c r="AD249" s="62"/>
      <c r="AE249" s="62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/>
      <c r="DD249" s="138"/>
    </row>
    <row r="250" spans="1:108" s="61" customFormat="1" hidden="1" outlineLevel="1" x14ac:dyDescent="0.25">
      <c r="A250" s="60" t="s">
        <v>339</v>
      </c>
      <c r="AA250" s="62"/>
      <c r="AB250" s="62"/>
      <c r="AC250" s="62"/>
      <c r="AD250" s="62"/>
      <c r="AE250" s="62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/>
      <c r="DD250" s="138"/>
    </row>
    <row r="251" spans="1:108" s="63" customFormat="1" hidden="1" outlineLevel="1" x14ac:dyDescent="0.25">
      <c r="A251" s="63" t="s">
        <v>474</v>
      </c>
      <c r="B251" s="63">
        <f t="shared" ref="B251:Z251" si="2508">B28-B257</f>
        <v>0</v>
      </c>
      <c r="C251" s="63">
        <f t="shared" si="2508"/>
        <v>0</v>
      </c>
      <c r="D251" s="63">
        <f t="shared" si="2508"/>
        <v>0</v>
      </c>
      <c r="E251" s="63">
        <f t="shared" si="2508"/>
        <v>0</v>
      </c>
      <c r="F251" s="63">
        <f t="shared" si="2508"/>
        <v>340.68526329999997</v>
      </c>
      <c r="G251" s="63">
        <f t="shared" si="2508"/>
        <v>367.68239340000002</v>
      </c>
      <c r="H251" s="63">
        <f t="shared" si="2508"/>
        <v>373.99352290000002</v>
      </c>
      <c r="I251" s="63">
        <f t="shared" si="2508"/>
        <v>425.89375039999999</v>
      </c>
      <c r="J251" s="63">
        <f t="shared" si="2508"/>
        <v>513.43037919999995</v>
      </c>
      <c r="K251" s="63">
        <f t="shared" si="2508"/>
        <v>826.05039360000001</v>
      </c>
      <c r="L251" s="63">
        <f t="shared" si="2508"/>
        <v>1046.6193853</v>
      </c>
      <c r="M251" s="63">
        <f t="shared" si="2508"/>
        <v>1237.9639999999999</v>
      </c>
      <c r="N251" s="63">
        <f t="shared" si="2508"/>
        <v>1986.1179999999999</v>
      </c>
      <c r="O251" s="63">
        <f t="shared" si="2508"/>
        <v>2351.1729999999998</v>
      </c>
      <c r="P251" s="63">
        <f t="shared" si="2508"/>
        <v>2811.0740000000001</v>
      </c>
      <c r="Q251" s="63">
        <f t="shared" si="2508"/>
        <v>3905.8939999999998</v>
      </c>
      <c r="R251" s="63">
        <f t="shared" si="2508"/>
        <v>4531.4610000000002</v>
      </c>
      <c r="S251" s="63">
        <f t="shared" si="2508"/>
        <v>4516.3770000000004</v>
      </c>
      <c r="T251" s="63">
        <f t="shared" si="2508"/>
        <v>6175.3360000000002</v>
      </c>
      <c r="U251" s="63">
        <f t="shared" si="2508"/>
        <v>8630.9089999999997</v>
      </c>
      <c r="V251" s="63">
        <f t="shared" si="2508"/>
        <v>7660.2860000000001</v>
      </c>
      <c r="W251" s="63">
        <f t="shared" si="2508"/>
        <v>9310.3230000000003</v>
      </c>
      <c r="X251" s="63">
        <f t="shared" si="2508"/>
        <v>13771.664000000001</v>
      </c>
      <c r="Y251" s="63">
        <f t="shared" si="2508"/>
        <v>16653.773000000001</v>
      </c>
      <c r="Z251" s="63">
        <f t="shared" si="2508"/>
        <v>21234.143</v>
      </c>
      <c r="AA251" s="29"/>
      <c r="AB251" s="29"/>
      <c r="AC251" s="29"/>
      <c r="AD251" s="29"/>
      <c r="AE251" s="29"/>
      <c r="AI251" s="63">
        <f t="shared" ref="AI251:BN251" si="2509">AI28-AI257</f>
        <v>0</v>
      </c>
      <c r="AJ251" s="63">
        <f t="shared" si="2509"/>
        <v>0</v>
      </c>
      <c r="AK251" s="63">
        <f t="shared" si="2509"/>
        <v>0</v>
      </c>
      <c r="AL251" s="63">
        <f t="shared" si="2509"/>
        <v>0</v>
      </c>
      <c r="AM251" s="63">
        <f t="shared" si="2509"/>
        <v>0</v>
      </c>
      <c r="AN251" s="63">
        <f t="shared" si="2509"/>
        <v>0</v>
      </c>
      <c r="AO251" s="63">
        <f t="shared" si="2509"/>
        <v>0</v>
      </c>
      <c r="AP251" s="63">
        <f t="shared" si="2509"/>
        <v>0</v>
      </c>
      <c r="AQ251" s="63">
        <f t="shared" si="2509"/>
        <v>0</v>
      </c>
      <c r="AR251" s="63">
        <f t="shared" si="2509"/>
        <v>0</v>
      </c>
      <c r="AS251" s="63">
        <f t="shared" si="2509"/>
        <v>0</v>
      </c>
      <c r="AT251" s="63">
        <f t="shared" si="2509"/>
        <v>0</v>
      </c>
      <c r="AU251" s="63">
        <f t="shared" si="2509"/>
        <v>0</v>
      </c>
      <c r="AV251" s="63">
        <f t="shared" si="2509"/>
        <v>0</v>
      </c>
      <c r="AW251" s="63">
        <f t="shared" si="2509"/>
        <v>390.85699999999997</v>
      </c>
      <c r="AX251" s="63">
        <f t="shared" si="2509"/>
        <v>1032.6889999999999</v>
      </c>
      <c r="AY251" s="63">
        <f t="shared" si="2509"/>
        <v>1978.134</v>
      </c>
      <c r="AZ251" s="63">
        <f t="shared" si="2509"/>
        <v>1032.7950000000001</v>
      </c>
      <c r="BA251" s="63">
        <f t="shared" si="2509"/>
        <v>487.84300000000002</v>
      </c>
      <c r="BB251" s="63">
        <f t="shared" si="2509"/>
        <v>1050.8869999999999</v>
      </c>
      <c r="BC251" s="63">
        <f t="shared" si="2509"/>
        <v>1934.0070000000001</v>
      </c>
      <c r="BD251" s="63">
        <f t="shared" si="2509"/>
        <v>988.02</v>
      </c>
      <c r="BE251" s="63">
        <f t="shared" si="2509"/>
        <v>543.46299999999997</v>
      </c>
      <c r="BF251" s="63">
        <f t="shared" si="2509"/>
        <v>1122.373</v>
      </c>
      <c r="BG251" s="63">
        <f t="shared" si="2509"/>
        <v>2097.1460000000002</v>
      </c>
      <c r="BH251" s="63">
        <f t="shared" si="2509"/>
        <v>1204.471</v>
      </c>
      <c r="BI251" s="63">
        <f t="shared" si="2509"/>
        <v>804.13699999999994</v>
      </c>
      <c r="BJ251" s="63">
        <f t="shared" si="2509"/>
        <v>1380.607</v>
      </c>
      <c r="BK251" s="63">
        <f t="shared" si="2509"/>
        <v>2851.4589999999998</v>
      </c>
      <c r="BL251" s="63">
        <f t="shared" si="2509"/>
        <v>1776.857</v>
      </c>
      <c r="BM251" s="63">
        <f t="shared" si="2509"/>
        <v>1239.5350000000001</v>
      </c>
      <c r="BN251" s="63">
        <f t="shared" si="2509"/>
        <v>1699.248</v>
      </c>
      <c r="BO251" s="63">
        <f t="shared" ref="BO251:CT251" si="2510">BO28-BO257</f>
        <v>1665.69</v>
      </c>
      <c r="BP251" s="63">
        <f t="shared" si="2510"/>
        <v>1839.5139999999999</v>
      </c>
      <c r="BQ251" s="63">
        <f t="shared" si="2510"/>
        <v>1351.3389999999999</v>
      </c>
      <c r="BR251" s="63">
        <f t="shared" si="2510"/>
        <v>2269.877</v>
      </c>
      <c r="BS251" s="63">
        <f t="shared" si="2510"/>
        <v>2483.0439999999999</v>
      </c>
      <c r="BT251" s="63">
        <f t="shared" si="2510"/>
        <v>2440.4340000000002</v>
      </c>
      <c r="BU251" s="63">
        <f t="shared" si="2510"/>
        <v>1764.9359999999999</v>
      </c>
      <c r="BV251" s="63">
        <f t="shared" si="2510"/>
        <v>2867.4769999999999</v>
      </c>
      <c r="BW251" s="63">
        <f t="shared" si="2510"/>
        <v>5017.5749999999998</v>
      </c>
      <c r="BX251" s="63">
        <f t="shared" si="2510"/>
        <v>3248.3049999999998</v>
      </c>
      <c r="BY251" s="63">
        <f t="shared" si="2510"/>
        <v>2257.201</v>
      </c>
      <c r="BZ251" s="63">
        <f t="shared" si="2510"/>
        <v>3952.5909999999999</v>
      </c>
      <c r="CA251" s="63">
        <f t="shared" si="2510"/>
        <v>5699.7340000000004</v>
      </c>
      <c r="CB251" s="63">
        <f t="shared" si="2510"/>
        <v>3937.7559999999999</v>
      </c>
      <c r="CC251" s="63">
        <f t="shared" si="2510"/>
        <v>2730.982</v>
      </c>
      <c r="CD251" s="63">
        <f t="shared" si="2510"/>
        <v>4397.9799999999996</v>
      </c>
      <c r="CE251" s="63">
        <f t="shared" si="2510"/>
        <v>7333.6719999999996</v>
      </c>
      <c r="CF251" s="63">
        <f t="shared" si="2510"/>
        <v>4932.0609999999997</v>
      </c>
      <c r="CG251" s="63">
        <f t="shared" si="2510"/>
        <v>3817.6149999999998</v>
      </c>
      <c r="CH251" s="63">
        <f t="shared" si="2510"/>
        <v>5680.0259999999998</v>
      </c>
      <c r="CI251" s="63">
        <f t="shared" si="2510"/>
        <v>7163.0209999999997</v>
      </c>
      <c r="CJ251" s="63">
        <f t="shared" si="2510"/>
        <v>5047.7420000000002</v>
      </c>
      <c r="CK251" s="63">
        <f t="shared" si="2510"/>
        <v>4334.7950000000001</v>
      </c>
      <c r="CL251" s="63">
        <f t="shared" si="2510"/>
        <v>6721.5370000000003</v>
      </c>
      <c r="CM251" s="29">
        <f t="shared" si="2510"/>
        <v>7841.0803159665993</v>
      </c>
      <c r="CN251" s="29">
        <f t="shared" si="2510"/>
        <v>5609.3237952950922</v>
      </c>
      <c r="CO251" s="29">
        <f t="shared" si="2510"/>
        <v>4915.8005039191466</v>
      </c>
      <c r="CP251" s="29">
        <f t="shared" si="2510"/>
        <v>7783.7432118945753</v>
      </c>
      <c r="CQ251" s="29">
        <f t="shared" si="2510"/>
        <v>9057.0172075447663</v>
      </c>
      <c r="CR251" s="29">
        <f t="shared" si="2510"/>
        <v>6453.1009588514908</v>
      </c>
      <c r="CS251" s="29">
        <f t="shared" si="2510"/>
        <v>5669.2905401607231</v>
      </c>
      <c r="CT251" s="29">
        <f t="shared" si="2510"/>
        <v>8328.1610738650288</v>
      </c>
      <c r="CU251" s="29">
        <f t="shared" ref="CU251:DA251" si="2511">CU28-CU257</f>
        <v>9719.0068068374876</v>
      </c>
      <c r="CV251" s="29">
        <f t="shared" si="2511"/>
        <v>6938.8623750541256</v>
      </c>
      <c r="CW251" s="29">
        <f t="shared" si="2511"/>
        <v>6110.1007996096387</v>
      </c>
      <c r="CX251" s="29">
        <f t="shared" si="2511"/>
        <v>9967.8380111085899</v>
      </c>
      <c r="CY251" s="29">
        <f t="shared" si="2511"/>
        <v>11654.088912877216</v>
      </c>
      <c r="CZ251" s="29">
        <f t="shared" si="2511"/>
        <v>8338.1449322442168</v>
      </c>
      <c r="DA251" s="29">
        <f t="shared" si="2511"/>
        <v>7364.4925784950101</v>
      </c>
      <c r="DB251"/>
      <c r="DD251" s="138"/>
    </row>
    <row r="252" spans="1:108" s="63" customFormat="1" hidden="1" outlineLevel="1" x14ac:dyDescent="0.25">
      <c r="A252" s="63" t="s">
        <v>475</v>
      </c>
      <c r="B252" s="63">
        <f t="shared" ref="B252:Z252" si="2512">B48-B258</f>
        <v>0</v>
      </c>
      <c r="C252" s="63">
        <f t="shared" si="2512"/>
        <v>0</v>
      </c>
      <c r="D252" s="63">
        <f t="shared" si="2512"/>
        <v>0</v>
      </c>
      <c r="E252" s="63">
        <f t="shared" si="2512"/>
        <v>0</v>
      </c>
      <c r="F252" s="63">
        <f t="shared" si="2512"/>
        <v>61.175458699999979</v>
      </c>
      <c r="G252" s="63">
        <f t="shared" si="2512"/>
        <v>55.275756500000057</v>
      </c>
      <c r="H252" s="63">
        <f t="shared" si="2512"/>
        <v>54.498528700000037</v>
      </c>
      <c r="I252" s="63">
        <f t="shared" si="2512"/>
        <v>59.218150399999999</v>
      </c>
      <c r="J252" s="63">
        <f t="shared" si="2512"/>
        <v>67.323799699999938</v>
      </c>
      <c r="K252" s="63">
        <f t="shared" si="2512"/>
        <v>90.900891500000085</v>
      </c>
      <c r="L252" s="63">
        <f t="shared" si="2512"/>
        <v>120.49912449999999</v>
      </c>
      <c r="M252" s="63">
        <f t="shared" si="2512"/>
        <v>139.6640000000001</v>
      </c>
      <c r="N252" s="63">
        <f t="shared" si="2512"/>
        <v>228.45599999999979</v>
      </c>
      <c r="O252" s="63">
        <f t="shared" si="2512"/>
        <v>292.56900000000007</v>
      </c>
      <c r="P252" s="63">
        <f t="shared" si="2512"/>
        <v>386.50100000000009</v>
      </c>
      <c r="Q252" s="63">
        <f t="shared" si="2512"/>
        <v>638.43599999999992</v>
      </c>
      <c r="R252" s="63">
        <f t="shared" si="2512"/>
        <v>798.17500000000041</v>
      </c>
      <c r="S252" s="63">
        <f t="shared" si="2512"/>
        <v>838.3250000000005</v>
      </c>
      <c r="T252" s="63">
        <f t="shared" si="2512"/>
        <v>1016.827</v>
      </c>
      <c r="U252" s="63">
        <f t="shared" si="2512"/>
        <v>1462.3199999999988</v>
      </c>
      <c r="V252" s="63">
        <f t="shared" si="2512"/>
        <v>1214.5039999999999</v>
      </c>
      <c r="W252" s="63">
        <f t="shared" si="2512"/>
        <v>1676.9129999999996</v>
      </c>
      <c r="X252" s="63">
        <f t="shared" si="2512"/>
        <v>2806.0699999999997</v>
      </c>
      <c r="Y252" s="63">
        <f t="shared" si="2512"/>
        <v>3632.9810000000025</v>
      </c>
      <c r="Z252" s="63">
        <f t="shared" si="2512"/>
        <v>4743.5429999999997</v>
      </c>
      <c r="AA252" s="29"/>
      <c r="AB252" s="29"/>
      <c r="AC252" s="29"/>
      <c r="AD252" s="29"/>
      <c r="AE252" s="29"/>
      <c r="AI252" s="63">
        <f t="shared" ref="AI252:BN252" si="2513">AI48-AI258</f>
        <v>0</v>
      </c>
      <c r="AJ252" s="63">
        <f t="shared" si="2513"/>
        <v>0</v>
      </c>
      <c r="AK252" s="63">
        <f t="shared" si="2513"/>
        <v>0</v>
      </c>
      <c r="AL252" s="63">
        <f t="shared" si="2513"/>
        <v>0</v>
      </c>
      <c r="AM252" s="63">
        <f t="shared" si="2513"/>
        <v>0</v>
      </c>
      <c r="AN252" s="63">
        <f t="shared" si="2513"/>
        <v>0</v>
      </c>
      <c r="AO252" s="63">
        <f t="shared" si="2513"/>
        <v>0</v>
      </c>
      <c r="AP252" s="63">
        <f t="shared" si="2513"/>
        <v>0</v>
      </c>
      <c r="AQ252" s="63">
        <f t="shared" si="2513"/>
        <v>0</v>
      </c>
      <c r="AR252" s="63">
        <f t="shared" si="2513"/>
        <v>0</v>
      </c>
      <c r="AS252" s="63">
        <f t="shared" si="2513"/>
        <v>0</v>
      </c>
      <c r="AT252" s="63">
        <f t="shared" si="2513"/>
        <v>0</v>
      </c>
      <c r="AU252" s="63">
        <f t="shared" si="2513"/>
        <v>0</v>
      </c>
      <c r="AV252" s="63">
        <f t="shared" si="2513"/>
        <v>0</v>
      </c>
      <c r="AW252" s="63">
        <f t="shared" si="2513"/>
        <v>3.2979999999999734</v>
      </c>
      <c r="AX252" s="63">
        <f t="shared" si="2513"/>
        <v>119.46299999999991</v>
      </c>
      <c r="AY252" s="63">
        <f t="shared" si="2513"/>
        <v>465.64400000000006</v>
      </c>
      <c r="AZ252" s="63">
        <f t="shared" si="2513"/>
        <v>174.55400000000009</v>
      </c>
      <c r="BA252" s="63">
        <f t="shared" si="2513"/>
        <v>26.194000000000017</v>
      </c>
      <c r="BB252" s="63">
        <f t="shared" si="2513"/>
        <v>137.23599999999988</v>
      </c>
      <c r="BC252" s="63">
        <f t="shared" si="2513"/>
        <v>480.49999999999989</v>
      </c>
      <c r="BD252" s="63">
        <f t="shared" si="2513"/>
        <v>185.44099999999992</v>
      </c>
      <c r="BE252" s="63">
        <f t="shared" si="2513"/>
        <v>22.615000000000066</v>
      </c>
      <c r="BF252" s="63">
        <f t="shared" si="2513"/>
        <v>172.69399999999996</v>
      </c>
      <c r="BG252" s="63">
        <f t="shared" si="2513"/>
        <v>574.85800000000052</v>
      </c>
      <c r="BH252" s="63">
        <f t="shared" si="2513"/>
        <v>211.24099999999999</v>
      </c>
      <c r="BI252" s="63">
        <f t="shared" si="2513"/>
        <v>47.793999999999869</v>
      </c>
      <c r="BJ252" s="63">
        <f t="shared" si="2513"/>
        <v>218.375</v>
      </c>
      <c r="BK252" s="63">
        <f t="shared" si="2513"/>
        <v>787.87799999999993</v>
      </c>
      <c r="BL252" s="63">
        <f t="shared" si="2513"/>
        <v>325.66199999999981</v>
      </c>
      <c r="BM252" s="63">
        <f t="shared" si="2513"/>
        <v>115.73800000000006</v>
      </c>
      <c r="BN252" s="63">
        <f t="shared" si="2513"/>
        <v>271.15600000000006</v>
      </c>
      <c r="BO252" s="63">
        <f t="shared" ref="BO252:CT252" si="2514">BO48-BO258</f>
        <v>377.69699999999989</v>
      </c>
      <c r="BP252" s="63">
        <f t="shared" si="2514"/>
        <v>380.78999999999974</v>
      </c>
      <c r="BQ252" s="63">
        <f t="shared" si="2514"/>
        <v>172.22499999999968</v>
      </c>
      <c r="BR252" s="63">
        <f t="shared" si="2514"/>
        <v>381.62200000000007</v>
      </c>
      <c r="BS252" s="63">
        <f t="shared" si="2514"/>
        <v>570.79999999999984</v>
      </c>
      <c r="BT252" s="63">
        <f t="shared" si="2514"/>
        <v>494.6550000000002</v>
      </c>
      <c r="BU252" s="63">
        <f t="shared" si="2514"/>
        <v>207.5680000000001</v>
      </c>
      <c r="BV252" s="63">
        <f t="shared" si="2514"/>
        <v>530.9969999999995</v>
      </c>
      <c r="BW252" s="63">
        <f t="shared" si="2514"/>
        <v>1250.6170000000002</v>
      </c>
      <c r="BX252" s="63">
        <f t="shared" si="2514"/>
        <v>698.98599999999988</v>
      </c>
      <c r="BY252" s="63">
        <f t="shared" si="2514"/>
        <v>307.50499999999988</v>
      </c>
      <c r="BZ252" s="63">
        <f t="shared" si="2514"/>
        <v>798.03800000000047</v>
      </c>
      <c r="CA252" s="63">
        <f t="shared" si="2514"/>
        <v>1511.0200000000007</v>
      </c>
      <c r="CB252" s="63">
        <f t="shared" si="2514"/>
        <v>882.1400000000001</v>
      </c>
      <c r="CC252" s="63">
        <f t="shared" si="2514"/>
        <v>418.28699999999958</v>
      </c>
      <c r="CD252" s="63">
        <f t="shared" si="2514"/>
        <v>988.76099999999883</v>
      </c>
      <c r="CE252" s="63">
        <f t="shared" si="2514"/>
        <v>1991.216999999999</v>
      </c>
      <c r="CF252" s="63">
        <f t="shared" si="2514"/>
        <v>1151.1219999999998</v>
      </c>
      <c r="CG252" s="63">
        <f t="shared" si="2514"/>
        <v>579.971</v>
      </c>
      <c r="CH252" s="63">
        <f t="shared" si="2514"/>
        <v>1263.9639999999995</v>
      </c>
      <c r="CI252" s="63">
        <f t="shared" si="2514"/>
        <v>1998.7730000000001</v>
      </c>
      <c r="CJ252" s="63">
        <f t="shared" si="2514"/>
        <v>1147.3760000000007</v>
      </c>
      <c r="CK252" s="63">
        <f t="shared" si="2514"/>
        <v>639.25599999999986</v>
      </c>
      <c r="CL252" s="63">
        <f t="shared" si="2514"/>
        <v>1528.9270000000006</v>
      </c>
      <c r="CM252" s="29">
        <f t="shared" si="2514"/>
        <v>1848.9123051041324</v>
      </c>
      <c r="CN252" s="29">
        <f t="shared" si="2514"/>
        <v>1256.3601114879714</v>
      </c>
      <c r="CO252" s="29">
        <f t="shared" si="2514"/>
        <v>1088.317680576688</v>
      </c>
      <c r="CP252" s="29">
        <f t="shared" si="2514"/>
        <v>1854.1840445096427</v>
      </c>
      <c r="CQ252" s="29">
        <f t="shared" si="2514"/>
        <v>2170.0650602027804</v>
      </c>
      <c r="CR252" s="29">
        <f t="shared" si="2514"/>
        <v>1552.1389871667584</v>
      </c>
      <c r="CS252" s="29">
        <f t="shared" si="2514"/>
        <v>1313.7717997414502</v>
      </c>
      <c r="CT252" s="29">
        <f t="shared" si="2514"/>
        <v>1951.6655238434137</v>
      </c>
      <c r="CU252" s="29">
        <f t="shared" ref="CU252:DA252" si="2515">CU48-CU258</f>
        <v>2268.1036032035258</v>
      </c>
      <c r="CV252" s="29">
        <f t="shared" si="2515"/>
        <v>1608.3891469793753</v>
      </c>
      <c r="CW252" s="29">
        <f t="shared" si="2515"/>
        <v>1422.4960655411085</v>
      </c>
      <c r="CX252" s="29">
        <f t="shared" si="2515"/>
        <v>2323.298904403875</v>
      </c>
      <c r="CY252" s="29">
        <f t="shared" si="2515"/>
        <v>2712.6415380143485</v>
      </c>
      <c r="CZ252" s="29">
        <f t="shared" si="2515"/>
        <v>1939.5515743301257</v>
      </c>
      <c r="DA252" s="29">
        <f t="shared" si="2515"/>
        <v>1714.5736298127476</v>
      </c>
      <c r="DB252"/>
      <c r="DD252" s="138"/>
    </row>
    <row r="253" spans="1:108" s="88" customFormat="1" hidden="1" outlineLevel="1" x14ac:dyDescent="0.25">
      <c r="A253" s="85" t="s">
        <v>476</v>
      </c>
      <c r="B253" s="85" t="e">
        <f>+B252/B251</f>
        <v>#DIV/0!</v>
      </c>
      <c r="C253" s="85" t="e">
        <f t="shared" ref="C253" si="2516">+C252/C251</f>
        <v>#DIV/0!</v>
      </c>
      <c r="D253" s="85" t="e">
        <f t="shared" ref="D253" si="2517">+D252/D251</f>
        <v>#DIV/0!</v>
      </c>
      <c r="E253" s="85" t="e">
        <f t="shared" ref="E253" si="2518">+E252/E251</f>
        <v>#DIV/0!</v>
      </c>
      <c r="F253" s="85">
        <f t="shared" ref="F253" si="2519">+F252/F251</f>
        <v>0.17956590815649753</v>
      </c>
      <c r="G253" s="85">
        <f t="shared" ref="G253" si="2520">+G252/G251</f>
        <v>0.15033560891741099</v>
      </c>
      <c r="H253" s="85">
        <f t="shared" ref="H253" si="2521">+H252/H251</f>
        <v>0.14572051482980386</v>
      </c>
      <c r="I253" s="85">
        <f t="shared" ref="I253" si="2522">+I252/I251</f>
        <v>0.13904442209913206</v>
      </c>
      <c r="J253" s="85">
        <f t="shared" ref="J253" si="2523">+J252/J251</f>
        <v>0.13112546983468396</v>
      </c>
      <c r="K253" s="85">
        <f t="shared" ref="K253" si="2524">+K252/K251</f>
        <v>0.11004279182514039</v>
      </c>
      <c r="L253" s="85">
        <f t="shared" ref="L253" si="2525">+L252/L251</f>
        <v>0.11513175294900588</v>
      </c>
      <c r="M253" s="85">
        <f t="shared" ref="M253" si="2526">+M252/M251</f>
        <v>0.11281749711623287</v>
      </c>
      <c r="N253" s="85">
        <f t="shared" ref="N253" si="2527">+N252/N251</f>
        <v>0.11502639823011512</v>
      </c>
      <c r="O253" s="85">
        <f t="shared" ref="O253" si="2528">+O252/O251</f>
        <v>0.12443533504340179</v>
      </c>
      <c r="P253" s="85">
        <f t="shared" ref="P253" si="2529">+P252/P251</f>
        <v>0.13749228942389993</v>
      </c>
      <c r="Q253" s="85">
        <f t="shared" ref="Q253" si="2530">+Q252/Q251</f>
        <v>0.16345451259045943</v>
      </c>
      <c r="R253" s="85">
        <f t="shared" ref="R253" si="2531">+R252/R251</f>
        <v>0.17614076343148499</v>
      </c>
      <c r="S253" s="85">
        <f t="shared" ref="S253" si="2532">+S252/S251</f>
        <v>0.18561891533855576</v>
      </c>
      <c r="T253" s="85">
        <f t="shared" ref="T253" si="2533">+T252/T251</f>
        <v>0.16465938047743475</v>
      </c>
      <c r="U253" s="85">
        <f t="shared" ref="U253" si="2534">+U252/U251</f>
        <v>0.1694282722712056</v>
      </c>
      <c r="V253" s="85">
        <f t="shared" ref="V253" si="2535">+V252/V251</f>
        <v>0.15854551644677495</v>
      </c>
      <c r="W253" s="85">
        <f t="shared" ref="W253" si="2536">+W252/W251</f>
        <v>0.18011330004340337</v>
      </c>
      <c r="X253" s="85">
        <f t="shared" ref="X253:Y253" si="2537">+X252/X251</f>
        <v>0.20375678639850636</v>
      </c>
      <c r="Y253" s="85">
        <f t="shared" si="2537"/>
        <v>0.21814762336438728</v>
      </c>
      <c r="Z253" s="85">
        <f t="shared" ref="Z253" si="2538">+Z252/Z251</f>
        <v>0.22339225086691747</v>
      </c>
      <c r="AA253" s="86"/>
      <c r="AB253" s="86"/>
      <c r="AC253" s="86"/>
      <c r="AD253" s="86"/>
      <c r="AE253" s="86"/>
      <c r="AF253" s="85"/>
      <c r="AG253" s="85"/>
      <c r="AH253" s="85"/>
      <c r="AI253" s="85" t="e">
        <f t="shared" ref="AI253" si="2539">+AI252/AI251</f>
        <v>#DIV/0!</v>
      </c>
      <c r="AJ253" s="85" t="e">
        <f t="shared" ref="AJ253" si="2540">+AJ252/AJ251</f>
        <v>#DIV/0!</v>
      </c>
      <c r="AK253" s="85" t="e">
        <f t="shared" ref="AK253" si="2541">+AK252/AK251</f>
        <v>#DIV/0!</v>
      </c>
      <c r="AL253" s="85" t="e">
        <f t="shared" ref="AL253" si="2542">+AL252/AL251</f>
        <v>#DIV/0!</v>
      </c>
      <c r="AM253" s="85" t="e">
        <f t="shared" ref="AM253" si="2543">+AM252/AM251</f>
        <v>#DIV/0!</v>
      </c>
      <c r="AN253" s="85" t="e">
        <f t="shared" ref="AN253" si="2544">+AN252/AN251</f>
        <v>#DIV/0!</v>
      </c>
      <c r="AO253" s="85" t="e">
        <f t="shared" ref="AO253" si="2545">+AO252/AO251</f>
        <v>#DIV/0!</v>
      </c>
      <c r="AP253" s="85" t="e">
        <f t="shared" ref="AP253" si="2546">+AP252/AP251</f>
        <v>#DIV/0!</v>
      </c>
      <c r="AQ253" s="85" t="e">
        <f t="shared" ref="AQ253" si="2547">+AQ252/AQ251</f>
        <v>#DIV/0!</v>
      </c>
      <c r="AR253" s="85" t="e">
        <f t="shared" ref="AR253" si="2548">+AR252/AR251</f>
        <v>#DIV/0!</v>
      </c>
      <c r="AS253" s="85" t="e">
        <f t="shared" ref="AS253" si="2549">+AS252/AS251</f>
        <v>#DIV/0!</v>
      </c>
      <c r="AT253" s="85" t="e">
        <f t="shared" ref="AT253" si="2550">+AT252/AT251</f>
        <v>#DIV/0!</v>
      </c>
      <c r="AU253" s="85" t="e">
        <f t="shared" ref="AU253" si="2551">+AU252/AU251</f>
        <v>#DIV/0!</v>
      </c>
      <c r="AV253" s="85" t="e">
        <f t="shared" ref="AV253" si="2552">+AV252/AV251</f>
        <v>#DIV/0!</v>
      </c>
      <c r="AW253" s="85">
        <f t="shared" ref="AW253" si="2553">+AW252/AW251</f>
        <v>8.4378685810922501E-3</v>
      </c>
      <c r="AX253" s="85">
        <f t="shared" ref="AX253" si="2554">+AX252/AX251</f>
        <v>0.11568148784387161</v>
      </c>
      <c r="AY253" s="85">
        <f t="shared" ref="AY253" si="2555">+AY252/AY251</f>
        <v>0.23539557987477089</v>
      </c>
      <c r="AZ253" s="85">
        <f t="shared" ref="AZ253" si="2556">+AZ252/AZ251</f>
        <v>0.1690112752288693</v>
      </c>
      <c r="BA253" s="85">
        <f t="shared" ref="BA253" si="2557">+BA252/BA251</f>
        <v>5.3693503852673949E-2</v>
      </c>
      <c r="BB253" s="85">
        <f t="shared" ref="BB253" si="2558">+BB252/BB251</f>
        <v>0.13059063438790269</v>
      </c>
      <c r="BC253" s="85">
        <f t="shared" ref="BC253" si="2559">+BC252/BC251</f>
        <v>0.24844791151221265</v>
      </c>
      <c r="BD253" s="85">
        <f t="shared" ref="BD253" si="2560">+BD252/BD251</f>
        <v>0.18768952045505144</v>
      </c>
      <c r="BE253" s="85">
        <f t="shared" ref="BE253" si="2561">+BE252/BE251</f>
        <v>4.1612768486539227E-2</v>
      </c>
      <c r="BF253" s="85">
        <f t="shared" ref="BF253" si="2562">+BF252/BF251</f>
        <v>0.1538650698119074</v>
      </c>
      <c r="BG253" s="85">
        <f t="shared" ref="BG253" si="2563">+BG252/BG251</f>
        <v>0.27411443933803392</v>
      </c>
      <c r="BH253" s="85">
        <f t="shared" ref="BH253" si="2564">+BH252/BH251</f>
        <v>0.17538072730684257</v>
      </c>
      <c r="BI253" s="85">
        <f t="shared" ref="BI253" si="2565">+BI252/BI251</f>
        <v>5.9435146001240925E-2</v>
      </c>
      <c r="BJ253" s="85">
        <f t="shared" ref="BJ253" si="2566">+BJ252/BJ251</f>
        <v>0.15817318034748484</v>
      </c>
      <c r="BK253" s="85">
        <f t="shared" ref="BK253" si="2567">+BK252/BK251</f>
        <v>0.27630697127330256</v>
      </c>
      <c r="BL253" s="85">
        <f t="shared" ref="BL253" si="2568">+BL252/BL251</f>
        <v>0.18327980248269829</v>
      </c>
      <c r="BM253" s="85">
        <f t="shared" ref="BM253" si="2569">+BM252/BM251</f>
        <v>9.3372111315937062E-2</v>
      </c>
      <c r="BN253" s="85">
        <f t="shared" ref="BN253" si="2570">+BN252/BN251</f>
        <v>0.15957411749197295</v>
      </c>
      <c r="BO253" s="85">
        <f t="shared" ref="BO253" si="2571">+BO252/BO251</f>
        <v>0.22675107613061246</v>
      </c>
      <c r="BP253" s="85">
        <f t="shared" ref="BP253" si="2572">+BP252/BP251</f>
        <v>0.20700576347883179</v>
      </c>
      <c r="BQ253" s="85">
        <f t="shared" ref="BQ253" si="2573">+BQ252/BQ251</f>
        <v>0.12744766487165671</v>
      </c>
      <c r="BR253" s="85">
        <f t="shared" ref="BR253" si="2574">+BR252/BR251</f>
        <v>0.16812452833347361</v>
      </c>
      <c r="BS253" s="85">
        <f t="shared" ref="BS253" si="2575">+BS252/BS251</f>
        <v>0.22987913222641237</v>
      </c>
      <c r="BT253" s="85">
        <f t="shared" ref="BT253" si="2576">+BT252/BT251</f>
        <v>0.20269140652851098</v>
      </c>
      <c r="BU253" s="85">
        <f t="shared" ref="BU253" si="2577">+BU252/BU251</f>
        <v>0.11760653077505366</v>
      </c>
      <c r="BV253" s="85">
        <f t="shared" ref="BV253" si="2578">+BV252/BV251</f>
        <v>0.18517916621475936</v>
      </c>
      <c r="BW253" s="85">
        <f t="shared" ref="BW253" si="2579">+BW252/BW251</f>
        <v>0.24924729575541973</v>
      </c>
      <c r="BX253" s="85">
        <f t="shared" ref="BX253" si="2580">+BX252/BX251</f>
        <v>0.21518484255634859</v>
      </c>
      <c r="BY253" s="85">
        <f t="shared" ref="BY253" si="2581">+BY252/BY251</f>
        <v>0.13623288311497286</v>
      </c>
      <c r="BZ253" s="85">
        <f t="shared" ref="BZ253" si="2582">+BZ252/BZ251</f>
        <v>0.20190249889249873</v>
      </c>
      <c r="CA253" s="85">
        <f t="shared" ref="CA253" si="2583">+CA252/CA251</f>
        <v>0.26510359957148888</v>
      </c>
      <c r="CB253" s="85">
        <f t="shared" ref="CB253:CC253" si="2584">+CB252/CB251</f>
        <v>0.22402099063527556</v>
      </c>
      <c r="CC253" s="85">
        <f t="shared" si="2584"/>
        <v>0.15316358731035196</v>
      </c>
      <c r="CD253" s="85">
        <f t="shared" ref="CD253" si="2585">+CD252/CD251</f>
        <v>0.22482162265403638</v>
      </c>
      <c r="CE253" s="85">
        <f t="shared" ref="CE253:CF253" si="2586">+CE252/CE251</f>
        <v>0.27151705175797325</v>
      </c>
      <c r="CF253" s="85">
        <f t="shared" si="2586"/>
        <v>0.23339573456208265</v>
      </c>
      <c r="CG253" s="85">
        <f t="shared" ref="CG253:CH253" si="2587">+CG252/CG251</f>
        <v>0.15191971951074165</v>
      </c>
      <c r="CH253" s="85">
        <f t="shared" si="2587"/>
        <v>0.22252785462601749</v>
      </c>
      <c r="CI253" s="85">
        <f t="shared" ref="CI253:CJ253" si="2588">+CI252/CI251</f>
        <v>0.2790405053956983</v>
      </c>
      <c r="CJ253" s="85">
        <f t="shared" si="2588"/>
        <v>0.2273048028207465</v>
      </c>
      <c r="CK253" s="85">
        <f t="shared" ref="CK253:DA253" si="2589">+CK252/CK251</f>
        <v>0.14747087232498882</v>
      </c>
      <c r="CL253" s="85">
        <f t="shared" si="2589"/>
        <v>0.22746687253227951</v>
      </c>
      <c r="CM253" s="46">
        <f t="shared" si="2589"/>
        <v>0.23579815925864675</v>
      </c>
      <c r="CN253" s="46">
        <f t="shared" si="2589"/>
        <v>0.22397710621407932</v>
      </c>
      <c r="CO253" s="46">
        <f t="shared" si="2589"/>
        <v>0.22139175088757593</v>
      </c>
      <c r="CP253" s="46">
        <f t="shared" si="2589"/>
        <v>0.23821238625603777</v>
      </c>
      <c r="CQ253" s="46">
        <f t="shared" si="2589"/>
        <v>0.23960041263861698</v>
      </c>
      <c r="CR253" s="46">
        <f t="shared" si="2589"/>
        <v>0.24052606600517293</v>
      </c>
      <c r="CS253" s="46">
        <f t="shared" si="2589"/>
        <v>0.2317347806457993</v>
      </c>
      <c r="CT253" s="46">
        <f t="shared" si="2589"/>
        <v>0.23434531423365737</v>
      </c>
      <c r="CU253" s="46">
        <f t="shared" si="2589"/>
        <v>0.23336783771031791</v>
      </c>
      <c r="CV253" s="46">
        <f t="shared" si="2589"/>
        <v>0.23179435764019304</v>
      </c>
      <c r="CW253" s="46">
        <f t="shared" si="2589"/>
        <v>0.2328105725574918</v>
      </c>
      <c r="CX253" s="46">
        <f t="shared" si="2589"/>
        <v>0.23307952053541503</v>
      </c>
      <c r="CY253" s="46">
        <f t="shared" si="2589"/>
        <v>0.23276307211085442</v>
      </c>
      <c r="CZ253" s="46">
        <f t="shared" si="2589"/>
        <v>0.23261188071098859</v>
      </c>
      <c r="DA253" s="46">
        <f t="shared" si="2589"/>
        <v>0.23281626147868748</v>
      </c>
      <c r="DB253"/>
      <c r="DD253" s="129"/>
    </row>
    <row r="254" spans="1:108" s="63" customFormat="1" hidden="1" outlineLevel="1" x14ac:dyDescent="0.25">
      <c r="A254" s="63" t="s">
        <v>477</v>
      </c>
      <c r="B254" s="63">
        <f t="shared" ref="B254:Z254" si="2590">B61-B260</f>
        <v>0</v>
      </c>
      <c r="C254" s="63">
        <f t="shared" si="2590"/>
        <v>0</v>
      </c>
      <c r="D254" s="63">
        <f t="shared" si="2590"/>
        <v>0</v>
      </c>
      <c r="E254" s="63">
        <f t="shared" si="2590"/>
        <v>0</v>
      </c>
      <c r="F254" s="63">
        <f t="shared" si="2590"/>
        <v>18.17074809999998</v>
      </c>
      <c r="G254" s="63">
        <f t="shared" si="2590"/>
        <v>10.861303500000052</v>
      </c>
      <c r="H254" s="63">
        <f t="shared" si="2590"/>
        <v>14.118596700000033</v>
      </c>
      <c r="I254" s="63">
        <f t="shared" si="2590"/>
        <v>21.187279800000006</v>
      </c>
      <c r="J254" s="63">
        <f t="shared" si="2590"/>
        <v>21.865713199999931</v>
      </c>
      <c r="K254" s="63">
        <f t="shared" si="2590"/>
        <v>22.197912000000077</v>
      </c>
      <c r="L254" s="63">
        <f t="shared" si="2590"/>
        <v>24.814716499999992</v>
      </c>
      <c r="M254" s="63">
        <f t="shared" si="2590"/>
        <v>7.7790000000001038</v>
      </c>
      <c r="N254" s="63">
        <f t="shared" si="2590"/>
        <v>25.109999999999804</v>
      </c>
      <c r="O254" s="63">
        <f t="shared" si="2590"/>
        <v>-40.371999999999929</v>
      </c>
      <c r="P254" s="63">
        <f t="shared" si="2590"/>
        <v>-21.036999999999939</v>
      </c>
      <c r="Q254" s="63">
        <f t="shared" si="2590"/>
        <v>111.75199999999992</v>
      </c>
      <c r="R254" s="63">
        <f t="shared" si="2590"/>
        <v>45.661000000000392</v>
      </c>
      <c r="S254" s="63">
        <f t="shared" si="2590"/>
        <v>212.70900000000051</v>
      </c>
      <c r="T254" s="63">
        <f t="shared" si="2590"/>
        <v>296.84300000000002</v>
      </c>
      <c r="U254" s="63">
        <f t="shared" si="2590"/>
        <v>467.84399999999891</v>
      </c>
      <c r="V254" s="63">
        <f t="shared" si="2590"/>
        <v>423.7999999999999</v>
      </c>
      <c r="W254" s="63">
        <f t="shared" si="2590"/>
        <v>746.05199999999945</v>
      </c>
      <c r="X254" s="63">
        <f t="shared" si="2590"/>
        <v>1550.12</v>
      </c>
      <c r="Y254" s="63">
        <f t="shared" si="2590"/>
        <v>2102.2920000000026</v>
      </c>
      <c r="Z254" s="63">
        <f t="shared" si="2590"/>
        <v>2635.7629999999995</v>
      </c>
      <c r="AA254" s="29"/>
      <c r="AB254" s="29"/>
      <c r="AC254" s="29"/>
      <c r="AD254" s="29"/>
      <c r="AE254" s="29"/>
      <c r="AI254" s="63">
        <f t="shared" ref="AI254:BN254" si="2591">AI61-AI260</f>
        <v>0</v>
      </c>
      <c r="AJ254" s="63">
        <f t="shared" si="2591"/>
        <v>0</v>
      </c>
      <c r="AK254" s="63">
        <f t="shared" si="2591"/>
        <v>0</v>
      </c>
      <c r="AL254" s="63">
        <f t="shared" si="2591"/>
        <v>0</v>
      </c>
      <c r="AM254" s="63">
        <f t="shared" si="2591"/>
        <v>0</v>
      </c>
      <c r="AN254" s="63">
        <f t="shared" si="2591"/>
        <v>0</v>
      </c>
      <c r="AO254" s="63">
        <f t="shared" si="2591"/>
        <v>0</v>
      </c>
      <c r="AP254" s="63">
        <f t="shared" si="2591"/>
        <v>0</v>
      </c>
      <c r="AQ254" s="63">
        <f t="shared" si="2591"/>
        <v>0</v>
      </c>
      <c r="AR254" s="63">
        <f t="shared" si="2591"/>
        <v>0</v>
      </c>
      <c r="AS254" s="63">
        <f t="shared" si="2591"/>
        <v>0</v>
      </c>
      <c r="AT254" s="63">
        <f t="shared" si="2591"/>
        <v>0</v>
      </c>
      <c r="AU254" s="63">
        <f t="shared" si="2591"/>
        <v>0</v>
      </c>
      <c r="AV254" s="63">
        <f t="shared" si="2591"/>
        <v>0</v>
      </c>
      <c r="AW254" s="63">
        <f t="shared" si="2591"/>
        <v>-99.073000000000036</v>
      </c>
      <c r="AX254" s="63">
        <f t="shared" si="2591"/>
        <v>-56.099000000000103</v>
      </c>
      <c r="AY254" s="63">
        <f t="shared" si="2591"/>
        <v>201.2600000000001</v>
      </c>
      <c r="AZ254" s="63">
        <f t="shared" si="2591"/>
        <v>12.740000000000087</v>
      </c>
      <c r="BA254" s="63">
        <f t="shared" si="2591"/>
        <v>-112.24000000000001</v>
      </c>
      <c r="BB254" s="63">
        <f t="shared" si="2591"/>
        <v>6.6789999999998724</v>
      </c>
      <c r="BC254" s="63">
        <f t="shared" si="2591"/>
        <v>245.00599999999989</v>
      </c>
      <c r="BD254" s="63">
        <f t="shared" si="2591"/>
        <v>33.612999999999914</v>
      </c>
      <c r="BE254" s="63">
        <f t="shared" si="2591"/>
        <v>-72.588999999999942</v>
      </c>
      <c r="BF254" s="63">
        <f t="shared" si="2591"/>
        <v>18.643999999999956</v>
      </c>
      <c r="BG254" s="63">
        <f t="shared" si="2591"/>
        <v>306.12400000000048</v>
      </c>
      <c r="BH254" s="63">
        <f t="shared" si="2591"/>
        <v>43.556999999999981</v>
      </c>
      <c r="BI254" s="63">
        <f t="shared" si="2591"/>
        <v>-71.482000000000127</v>
      </c>
      <c r="BJ254" s="63">
        <f t="shared" si="2591"/>
        <v>39.249000000000009</v>
      </c>
      <c r="BK254" s="63">
        <f t="shared" si="2591"/>
        <v>403.68100000000004</v>
      </c>
      <c r="BL254" s="63">
        <f t="shared" si="2591"/>
        <v>78.886999999999802</v>
      </c>
      <c r="BM254" s="63">
        <f t="shared" si="2591"/>
        <v>-53.972999999999942</v>
      </c>
      <c r="BN254" s="63">
        <f t="shared" si="2591"/>
        <v>126.59100000000009</v>
      </c>
      <c r="BO254" s="63">
        <f t="shared" ref="BO254:CT254" si="2592">BO61-BO260</f>
        <v>142.97799999999987</v>
      </c>
      <c r="BP254" s="63">
        <f t="shared" si="2592"/>
        <v>161.47299999999976</v>
      </c>
      <c r="BQ254" s="63">
        <f t="shared" si="2592"/>
        <v>-7.2420000000003224</v>
      </c>
      <c r="BR254" s="63">
        <f t="shared" si="2592"/>
        <v>136.75900000000007</v>
      </c>
      <c r="BS254" s="63">
        <f t="shared" si="2592"/>
        <v>318.80299999999988</v>
      </c>
      <c r="BT254" s="63">
        <f t="shared" si="2592"/>
        <v>257.9000000000002</v>
      </c>
      <c r="BU254" s="63">
        <f t="shared" si="2592"/>
        <v>32.590000000000103</v>
      </c>
      <c r="BV254" s="63">
        <f t="shared" si="2592"/>
        <v>271.09399999999954</v>
      </c>
      <c r="BW254" s="63">
        <f t="shared" si="2592"/>
        <v>802.01100000000019</v>
      </c>
      <c r="BX254" s="63">
        <f t="shared" si="2592"/>
        <v>395.4849999999999</v>
      </c>
      <c r="BY254" s="63">
        <f t="shared" si="2592"/>
        <v>81.529999999999887</v>
      </c>
      <c r="BZ254" s="63">
        <f t="shared" si="2592"/>
        <v>438.59900000000039</v>
      </c>
      <c r="CA254" s="63">
        <f t="shared" si="2592"/>
        <v>1005.661000000001</v>
      </c>
      <c r="CB254" s="63">
        <f t="shared" si="2592"/>
        <v>514.47800000000007</v>
      </c>
      <c r="CC254" s="63">
        <f t="shared" si="2592"/>
        <v>143.55399999999958</v>
      </c>
      <c r="CD254" s="63">
        <f t="shared" si="2592"/>
        <v>548.14299999999878</v>
      </c>
      <c r="CE254" s="63">
        <f t="shared" si="2592"/>
        <v>1262.369999999999</v>
      </c>
      <c r="CF254" s="63">
        <f t="shared" si="2592"/>
        <v>628.91999999999985</v>
      </c>
      <c r="CG254" s="63">
        <f t="shared" si="2592"/>
        <v>196.33000000000004</v>
      </c>
      <c r="CH254" s="63">
        <f t="shared" si="2592"/>
        <v>731.93499999999949</v>
      </c>
      <c r="CI254" s="63">
        <f t="shared" si="2592"/>
        <v>1326.6769999999999</v>
      </c>
      <c r="CJ254" s="63">
        <f t="shared" si="2592"/>
        <v>746.86800000000062</v>
      </c>
      <c r="CK254" s="63">
        <f t="shared" si="2592"/>
        <v>262.58899999999983</v>
      </c>
      <c r="CL254" s="63">
        <f t="shared" si="2592"/>
        <v>882.66000000000065</v>
      </c>
      <c r="CM254" s="29">
        <f t="shared" si="2592"/>
        <v>1140.085034384824</v>
      </c>
      <c r="CN254" s="29">
        <f t="shared" si="2592"/>
        <v>692.23595831001296</v>
      </c>
      <c r="CO254" s="29">
        <f t="shared" si="2592"/>
        <v>581.72988149838977</v>
      </c>
      <c r="CP254" s="29">
        <f t="shared" si="2592"/>
        <v>1175.9457730629283</v>
      </c>
      <c r="CQ254" s="29">
        <f t="shared" si="2592"/>
        <v>1407.469850271872</v>
      </c>
      <c r="CR254" s="29">
        <f t="shared" si="2592"/>
        <v>947.02687756583396</v>
      </c>
      <c r="CS254" s="29">
        <f t="shared" si="2592"/>
        <v>796.49580912538227</v>
      </c>
      <c r="CT254" s="29">
        <f t="shared" si="2592"/>
        <v>1262.0953714237485</v>
      </c>
      <c r="CU254" s="29">
        <f t="shared" ref="CU254:DA254" si="2593">CU61-CU260</f>
        <v>1497.3030788422416</v>
      </c>
      <c r="CV254" s="29">
        <f t="shared" si="2593"/>
        <v>1004.8175055779666</v>
      </c>
      <c r="CW254" s="29">
        <f t="shared" si="2593"/>
        <v>888.65163915577637</v>
      </c>
      <c r="CX254" s="29">
        <f t="shared" si="2593"/>
        <v>1581.4647595344404</v>
      </c>
      <c r="CY254" s="29">
        <f t="shared" si="2593"/>
        <v>1868.9904266696956</v>
      </c>
      <c r="CZ254" s="29">
        <f t="shared" si="2593"/>
        <v>1293.9791189286946</v>
      </c>
      <c r="DA254" s="29">
        <f t="shared" si="2593"/>
        <v>1154.8995996754056</v>
      </c>
      <c r="DB254"/>
      <c r="DD254" s="138"/>
    </row>
    <row r="255" spans="1:108" s="63" customFormat="1" hidden="1" outlineLevel="1" x14ac:dyDescent="0.25">
      <c r="AA255" s="29"/>
      <c r="AB255" s="29"/>
      <c r="AC255" s="29"/>
      <c r="AD255" s="29"/>
      <c r="AE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/>
      <c r="DD255" s="138"/>
    </row>
    <row r="256" spans="1:108" s="63" customFormat="1" hidden="1" outlineLevel="1" x14ac:dyDescent="0.25">
      <c r="A256" s="64" t="s">
        <v>352</v>
      </c>
      <c r="AA256" s="29"/>
      <c r="AB256" s="29"/>
      <c r="AC256" s="29"/>
      <c r="AD256" s="29"/>
      <c r="AE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/>
      <c r="DD256" s="138"/>
    </row>
    <row r="257" spans="1:108" s="63" customFormat="1" hidden="1" outlineLevel="1" x14ac:dyDescent="0.25">
      <c r="A257" s="63" t="s">
        <v>478</v>
      </c>
      <c r="AA257" s="29"/>
      <c r="AB257" s="29"/>
      <c r="AC257" s="29"/>
      <c r="AD257" s="29"/>
      <c r="AE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/>
      <c r="DD257" s="138"/>
    </row>
    <row r="258" spans="1:108" s="63" customFormat="1" hidden="1" outlineLevel="1" x14ac:dyDescent="0.25">
      <c r="A258" s="63" t="s">
        <v>479</v>
      </c>
      <c r="AA258" s="29"/>
      <c r="AB258" s="29"/>
      <c r="AC258" s="29"/>
      <c r="AD258" s="29"/>
      <c r="AE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/>
      <c r="DD258" s="138"/>
    </row>
    <row r="259" spans="1:108" s="88" customFormat="1" hidden="1" outlineLevel="1" x14ac:dyDescent="0.25">
      <c r="A259" s="85" t="s">
        <v>480</v>
      </c>
      <c r="B259" s="85" t="e">
        <f>+B258/B257</f>
        <v>#DIV/0!</v>
      </c>
      <c r="C259" s="85" t="e">
        <f t="shared" ref="C259:X259" si="2594">+C258/C257</f>
        <v>#DIV/0!</v>
      </c>
      <c r="D259" s="85" t="e">
        <f t="shared" si="2594"/>
        <v>#DIV/0!</v>
      </c>
      <c r="E259" s="85" t="e">
        <f t="shared" si="2594"/>
        <v>#DIV/0!</v>
      </c>
      <c r="F259" s="85" t="e">
        <f t="shared" si="2594"/>
        <v>#DIV/0!</v>
      </c>
      <c r="G259" s="85" t="e">
        <f t="shared" si="2594"/>
        <v>#DIV/0!</v>
      </c>
      <c r="H259" s="85" t="e">
        <f t="shared" si="2594"/>
        <v>#DIV/0!</v>
      </c>
      <c r="I259" s="85" t="e">
        <f t="shared" si="2594"/>
        <v>#DIV/0!</v>
      </c>
      <c r="J259" s="85" t="e">
        <f t="shared" si="2594"/>
        <v>#DIV/0!</v>
      </c>
      <c r="K259" s="85" t="e">
        <f t="shared" si="2594"/>
        <v>#DIV/0!</v>
      </c>
      <c r="L259" s="85" t="e">
        <f t="shared" si="2594"/>
        <v>#DIV/0!</v>
      </c>
      <c r="M259" s="85" t="e">
        <f t="shared" si="2594"/>
        <v>#DIV/0!</v>
      </c>
      <c r="N259" s="85" t="e">
        <f t="shared" si="2594"/>
        <v>#DIV/0!</v>
      </c>
      <c r="O259" s="85" t="e">
        <f t="shared" si="2594"/>
        <v>#DIV/0!</v>
      </c>
      <c r="P259" s="85" t="e">
        <f t="shared" si="2594"/>
        <v>#DIV/0!</v>
      </c>
      <c r="Q259" s="85" t="e">
        <f t="shared" si="2594"/>
        <v>#DIV/0!</v>
      </c>
      <c r="R259" s="85" t="e">
        <f t="shared" si="2594"/>
        <v>#DIV/0!</v>
      </c>
      <c r="S259" s="85" t="e">
        <f t="shared" si="2594"/>
        <v>#DIV/0!</v>
      </c>
      <c r="T259" s="85" t="e">
        <f t="shared" si="2594"/>
        <v>#DIV/0!</v>
      </c>
      <c r="U259" s="85" t="e">
        <f t="shared" si="2594"/>
        <v>#DIV/0!</v>
      </c>
      <c r="V259" s="85" t="e">
        <f t="shared" si="2594"/>
        <v>#DIV/0!</v>
      </c>
      <c r="W259" s="85" t="e">
        <f t="shared" si="2594"/>
        <v>#DIV/0!</v>
      </c>
      <c r="X259" s="85" t="e">
        <f t="shared" si="2594"/>
        <v>#DIV/0!</v>
      </c>
      <c r="Y259" s="85" t="e">
        <f t="shared" ref="Y259:Z259" si="2595">+Y258/Y257</f>
        <v>#DIV/0!</v>
      </c>
      <c r="Z259" s="85" t="e">
        <f t="shared" si="2595"/>
        <v>#DIV/0!</v>
      </c>
      <c r="AA259" s="86"/>
      <c r="AB259" s="86"/>
      <c r="AC259" s="86"/>
      <c r="AD259" s="86"/>
      <c r="AE259" s="86"/>
      <c r="AF259" s="85"/>
      <c r="AG259" s="85"/>
      <c r="AH259" s="85"/>
      <c r="AI259" s="85" t="e">
        <f t="shared" ref="AI259" si="2596">+AI258/AI257</f>
        <v>#DIV/0!</v>
      </c>
      <c r="AJ259" s="85" t="e">
        <f t="shared" ref="AJ259" si="2597">+AJ258/AJ257</f>
        <v>#DIV/0!</v>
      </c>
      <c r="AK259" s="85" t="e">
        <f t="shared" ref="AK259" si="2598">+AK258/AK257</f>
        <v>#DIV/0!</v>
      </c>
      <c r="AL259" s="85" t="e">
        <f t="shared" ref="AL259" si="2599">+AL258/AL257</f>
        <v>#DIV/0!</v>
      </c>
      <c r="AM259" s="85" t="e">
        <f t="shared" ref="AM259" si="2600">+AM258/AM257</f>
        <v>#DIV/0!</v>
      </c>
      <c r="AN259" s="85" t="e">
        <f t="shared" ref="AN259" si="2601">+AN258/AN257</f>
        <v>#DIV/0!</v>
      </c>
      <c r="AO259" s="85" t="e">
        <f t="shared" ref="AO259" si="2602">+AO258/AO257</f>
        <v>#DIV/0!</v>
      </c>
      <c r="AP259" s="85" t="e">
        <f t="shared" ref="AP259" si="2603">+AP258/AP257</f>
        <v>#DIV/0!</v>
      </c>
      <c r="AQ259" s="85" t="e">
        <f t="shared" ref="AQ259" si="2604">+AQ258/AQ257</f>
        <v>#DIV/0!</v>
      </c>
      <c r="AR259" s="85" t="e">
        <f t="shared" ref="AR259" si="2605">+AR258/AR257</f>
        <v>#DIV/0!</v>
      </c>
      <c r="AS259" s="85" t="e">
        <f t="shared" ref="AS259" si="2606">+AS258/AS257</f>
        <v>#DIV/0!</v>
      </c>
      <c r="AT259" s="85" t="e">
        <f t="shared" ref="AT259" si="2607">+AT258/AT257</f>
        <v>#DIV/0!</v>
      </c>
      <c r="AU259" s="85" t="e">
        <f t="shared" ref="AU259" si="2608">+AU258/AU257</f>
        <v>#DIV/0!</v>
      </c>
      <c r="AV259" s="85" t="e">
        <f t="shared" ref="AV259" si="2609">+AV258/AV257</f>
        <v>#DIV/0!</v>
      </c>
      <c r="AW259" s="85" t="e">
        <f t="shared" ref="AW259" si="2610">+AW258/AW257</f>
        <v>#DIV/0!</v>
      </c>
      <c r="AX259" s="85" t="e">
        <f t="shared" ref="AX259" si="2611">+AX258/AX257</f>
        <v>#DIV/0!</v>
      </c>
      <c r="AY259" s="85" t="e">
        <f t="shared" ref="AY259" si="2612">+AY258/AY257</f>
        <v>#DIV/0!</v>
      </c>
      <c r="AZ259" s="85" t="e">
        <f t="shared" ref="AZ259" si="2613">+AZ258/AZ257</f>
        <v>#DIV/0!</v>
      </c>
      <c r="BA259" s="85" t="e">
        <f t="shared" ref="BA259" si="2614">+BA258/BA257</f>
        <v>#DIV/0!</v>
      </c>
      <c r="BB259" s="85" t="e">
        <f t="shared" ref="BB259" si="2615">+BB258/BB257</f>
        <v>#DIV/0!</v>
      </c>
      <c r="BC259" s="85" t="e">
        <f t="shared" ref="BC259" si="2616">+BC258/BC257</f>
        <v>#DIV/0!</v>
      </c>
      <c r="BD259" s="85" t="e">
        <f t="shared" ref="BD259" si="2617">+BD258/BD257</f>
        <v>#DIV/0!</v>
      </c>
      <c r="BE259" s="85" t="e">
        <f t="shared" ref="BE259" si="2618">+BE258/BE257</f>
        <v>#DIV/0!</v>
      </c>
      <c r="BF259" s="85" t="e">
        <f t="shared" ref="BF259" si="2619">+BF258/BF257</f>
        <v>#DIV/0!</v>
      </c>
      <c r="BG259" s="85" t="e">
        <f t="shared" ref="BG259" si="2620">+BG258/BG257</f>
        <v>#DIV/0!</v>
      </c>
      <c r="BH259" s="85" t="e">
        <f t="shared" ref="BH259" si="2621">+BH258/BH257</f>
        <v>#DIV/0!</v>
      </c>
      <c r="BI259" s="85" t="e">
        <f t="shared" ref="BI259" si="2622">+BI258/BI257</f>
        <v>#DIV/0!</v>
      </c>
      <c r="BJ259" s="85" t="e">
        <f t="shared" ref="BJ259" si="2623">+BJ258/BJ257</f>
        <v>#DIV/0!</v>
      </c>
      <c r="BK259" s="85" t="e">
        <f t="shared" ref="BK259" si="2624">+BK258/BK257</f>
        <v>#DIV/0!</v>
      </c>
      <c r="BL259" s="85" t="e">
        <f t="shared" ref="BL259" si="2625">+BL258/BL257</f>
        <v>#DIV/0!</v>
      </c>
      <c r="BM259" s="85" t="e">
        <f t="shared" ref="BM259" si="2626">+BM258/BM257</f>
        <v>#DIV/0!</v>
      </c>
      <c r="BN259" s="85" t="e">
        <f t="shared" ref="BN259" si="2627">+BN258/BN257</f>
        <v>#DIV/0!</v>
      </c>
      <c r="BO259" s="85" t="e">
        <f t="shared" ref="BO259" si="2628">+BO258/BO257</f>
        <v>#DIV/0!</v>
      </c>
      <c r="BP259" s="85" t="e">
        <f t="shared" ref="BP259" si="2629">+BP258/BP257</f>
        <v>#DIV/0!</v>
      </c>
      <c r="BQ259" s="85" t="e">
        <f t="shared" ref="BQ259" si="2630">+BQ258/BQ257</f>
        <v>#DIV/0!</v>
      </c>
      <c r="BR259" s="85" t="e">
        <f t="shared" ref="BR259" si="2631">+BR258/BR257</f>
        <v>#DIV/0!</v>
      </c>
      <c r="BS259" s="85" t="e">
        <f t="shared" ref="BS259" si="2632">+BS258/BS257</f>
        <v>#DIV/0!</v>
      </c>
      <c r="BT259" s="85" t="e">
        <f t="shared" ref="BT259" si="2633">+BT258/BT257</f>
        <v>#DIV/0!</v>
      </c>
      <c r="BU259" s="85" t="e">
        <f t="shared" ref="BU259" si="2634">+BU258/BU257</f>
        <v>#DIV/0!</v>
      </c>
      <c r="BV259" s="85" t="e">
        <f t="shared" ref="BV259" si="2635">+BV258/BV257</f>
        <v>#DIV/0!</v>
      </c>
      <c r="BW259" s="85" t="e">
        <f t="shared" ref="BW259" si="2636">+BW258/BW257</f>
        <v>#DIV/0!</v>
      </c>
      <c r="BX259" s="85" t="e">
        <f t="shared" ref="BX259" si="2637">+BX258/BX257</f>
        <v>#DIV/0!</v>
      </c>
      <c r="BY259" s="85" t="e">
        <f t="shared" ref="BY259" si="2638">+BY258/BY257</f>
        <v>#DIV/0!</v>
      </c>
      <c r="BZ259" s="85" t="e">
        <f t="shared" ref="BZ259" si="2639">+BZ258/BZ257</f>
        <v>#DIV/0!</v>
      </c>
      <c r="CA259" s="85" t="e">
        <f t="shared" ref="CA259" si="2640">+CA258/CA257</f>
        <v>#DIV/0!</v>
      </c>
      <c r="CB259" s="85" t="e">
        <f t="shared" ref="CB259:CC259" si="2641">+CB258/CB257</f>
        <v>#DIV/0!</v>
      </c>
      <c r="CC259" s="85" t="e">
        <f t="shared" si="2641"/>
        <v>#DIV/0!</v>
      </c>
      <c r="CD259" s="85" t="e">
        <f t="shared" ref="CD259" si="2642">+CD258/CD257</f>
        <v>#DIV/0!</v>
      </c>
      <c r="CE259" s="85" t="e">
        <f t="shared" ref="CE259:CF259" si="2643">+CE258/CE257</f>
        <v>#DIV/0!</v>
      </c>
      <c r="CF259" s="85" t="e">
        <f t="shared" si="2643"/>
        <v>#DIV/0!</v>
      </c>
      <c r="CG259" s="85" t="e">
        <f t="shared" ref="CG259:CH259" si="2644">+CG258/CG257</f>
        <v>#DIV/0!</v>
      </c>
      <c r="CH259" s="85" t="e">
        <f t="shared" si="2644"/>
        <v>#DIV/0!</v>
      </c>
      <c r="CI259" s="85" t="e">
        <f t="shared" ref="CI259:CJ259" si="2645">+CI258/CI257</f>
        <v>#DIV/0!</v>
      </c>
      <c r="CJ259" s="85" t="e">
        <f t="shared" si="2645"/>
        <v>#DIV/0!</v>
      </c>
      <c r="CK259" s="85" t="e">
        <f t="shared" ref="CK259:DA259" si="2646">+CK258/CK257</f>
        <v>#DIV/0!</v>
      </c>
      <c r="CL259" s="85" t="e">
        <f t="shared" si="2646"/>
        <v>#DIV/0!</v>
      </c>
      <c r="CM259" s="46" t="e">
        <f t="shared" si="2646"/>
        <v>#DIV/0!</v>
      </c>
      <c r="CN259" s="46" t="e">
        <f t="shared" si="2646"/>
        <v>#DIV/0!</v>
      </c>
      <c r="CO259" s="46" t="e">
        <f t="shared" si="2646"/>
        <v>#DIV/0!</v>
      </c>
      <c r="CP259" s="46" t="e">
        <f t="shared" si="2646"/>
        <v>#DIV/0!</v>
      </c>
      <c r="CQ259" s="46" t="e">
        <f t="shared" si="2646"/>
        <v>#DIV/0!</v>
      </c>
      <c r="CR259" s="46" t="e">
        <f t="shared" si="2646"/>
        <v>#DIV/0!</v>
      </c>
      <c r="CS259" s="46" t="e">
        <f t="shared" si="2646"/>
        <v>#DIV/0!</v>
      </c>
      <c r="CT259" s="46" t="e">
        <f t="shared" si="2646"/>
        <v>#DIV/0!</v>
      </c>
      <c r="CU259" s="46" t="e">
        <f t="shared" si="2646"/>
        <v>#DIV/0!</v>
      </c>
      <c r="CV259" s="46" t="e">
        <f t="shared" si="2646"/>
        <v>#DIV/0!</v>
      </c>
      <c r="CW259" s="46" t="e">
        <f t="shared" si="2646"/>
        <v>#DIV/0!</v>
      </c>
      <c r="CX259" s="46" t="e">
        <f t="shared" si="2646"/>
        <v>#DIV/0!</v>
      </c>
      <c r="CY259" s="46" t="e">
        <f t="shared" si="2646"/>
        <v>#DIV/0!</v>
      </c>
      <c r="CZ259" s="46" t="e">
        <f t="shared" si="2646"/>
        <v>#DIV/0!</v>
      </c>
      <c r="DA259" s="46" t="e">
        <f t="shared" si="2646"/>
        <v>#DIV/0!</v>
      </c>
      <c r="DB259"/>
      <c r="DD259" s="129"/>
    </row>
    <row r="260" spans="1:108" s="63" customFormat="1" hidden="1" outlineLevel="1" x14ac:dyDescent="0.25">
      <c r="A260" s="63" t="s">
        <v>481</v>
      </c>
      <c r="AA260" s="29"/>
      <c r="AB260" s="29"/>
      <c r="AC260" s="29"/>
      <c r="AD260" s="29"/>
      <c r="AE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/>
      <c r="DD260" s="138"/>
    </row>
    <row r="261" spans="1:108" s="61" customFormat="1" hidden="1" outlineLevel="1" x14ac:dyDescent="0.25">
      <c r="AA261" s="62"/>
      <c r="AB261" s="62"/>
      <c r="AC261" s="62"/>
      <c r="AD261" s="62"/>
      <c r="AE261" s="62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/>
      <c r="DD261" s="138"/>
    </row>
    <row r="262" spans="1:108" s="11" customFormat="1" collapsed="1" x14ac:dyDescent="0.25">
      <c r="AA262" s="62"/>
      <c r="AB262" s="62"/>
      <c r="AC262" s="62"/>
      <c r="AD262" s="62"/>
      <c r="AE262" s="62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/>
      <c r="DD262" s="138"/>
    </row>
    <row r="263" spans="1:108" s="61" customFormat="1" x14ac:dyDescent="0.25">
      <c r="A263" s="153" t="s">
        <v>498</v>
      </c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62"/>
      <c r="AB263" s="62"/>
      <c r="AC263" s="62"/>
      <c r="AD263" s="62"/>
      <c r="AE263" s="62"/>
      <c r="AL263" s="179"/>
      <c r="CF263" s="179"/>
      <c r="CG263" s="179"/>
      <c r="CH263" s="179"/>
      <c r="CI263" s="179"/>
      <c r="CJ263" s="179"/>
      <c r="CK263" s="179"/>
      <c r="CL263" s="17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/>
      <c r="DD263" s="138"/>
    </row>
    <row r="264" spans="1:108" s="83" customFormat="1" x14ac:dyDescent="0.25">
      <c r="A264" s="83" t="s">
        <v>513</v>
      </c>
      <c r="B264" s="83" t="e">
        <f>B28/B185</f>
        <v>#DIV/0!</v>
      </c>
      <c r="C264" s="83" t="e">
        <f>C28/C185</f>
        <v>#DIV/0!</v>
      </c>
      <c r="D264" s="83" t="e">
        <f>D28/D185</f>
        <v>#DIV/0!</v>
      </c>
      <c r="E264" s="83" t="e">
        <f t="shared" ref="E264:AE264" si="2647">E30/(E181+E168+E158)</f>
        <v>#DIV/0!</v>
      </c>
      <c r="F264" s="83">
        <f t="shared" si="2647"/>
        <v>0.74775196507425423</v>
      </c>
      <c r="G264" s="83">
        <f t="shared" si="2647"/>
        <v>0.81392618098549496</v>
      </c>
      <c r="H264" s="83">
        <f t="shared" si="2647"/>
        <v>0.83831888231666107</v>
      </c>
      <c r="I264" s="83">
        <f t="shared" si="2647"/>
        <v>0.84600765827871305</v>
      </c>
      <c r="J264" s="83">
        <f t="shared" si="2647"/>
        <v>0.79808973551926332</v>
      </c>
      <c r="K264" s="83">
        <f t="shared" si="2647"/>
        <v>1.0013763432874889</v>
      </c>
      <c r="L264" s="83">
        <f t="shared" si="2647"/>
        <v>1.0453195676061222</v>
      </c>
      <c r="M264" s="83">
        <f t="shared" si="2647"/>
        <v>0.90995356027263363</v>
      </c>
      <c r="N264" s="83">
        <f t="shared" si="2647"/>
        <v>0.70492682835131182</v>
      </c>
      <c r="O264" s="83">
        <f t="shared" si="2647"/>
        <v>0.70866527690945857</v>
      </c>
      <c r="P264" s="83">
        <f t="shared" si="2647"/>
        <v>0.76063800522754799</v>
      </c>
      <c r="Q264" s="83">
        <f t="shared" si="2647"/>
        <v>0.76652484095420714</v>
      </c>
      <c r="R264" s="83">
        <f t="shared" si="2647"/>
        <v>0.80148303659870124</v>
      </c>
      <c r="S264" s="83">
        <f t="shared" si="2647"/>
        <v>0.76006331044844522</v>
      </c>
      <c r="T264" s="83">
        <f t="shared" si="2647"/>
        <v>0.85275701530910519</v>
      </c>
      <c r="U264" s="83">
        <f t="shared" si="2647"/>
        <v>0.85123343623161851</v>
      </c>
      <c r="V264" s="83">
        <f t="shared" si="2647"/>
        <v>0.76356861146270005</v>
      </c>
      <c r="W264" s="83">
        <f t="shared" si="2647"/>
        <v>0.92105502155544527</v>
      </c>
      <c r="X264" s="83">
        <f t="shared" si="2647"/>
        <v>1.133833030447474</v>
      </c>
      <c r="Y264" s="83">
        <f t="shared" si="2647"/>
        <v>1.0577921153098027</v>
      </c>
      <c r="Z264" s="83">
        <f t="shared" si="2647"/>
        <v>0.86745473411687435</v>
      </c>
      <c r="AA264" s="49">
        <f t="shared" si="2647"/>
        <v>0.85488467083947661</v>
      </c>
      <c r="AB264" s="49">
        <f t="shared" si="2647"/>
        <v>0.88428496453829453</v>
      </c>
      <c r="AC264" s="49">
        <f t="shared" si="2647"/>
        <v>0.8799845408963537</v>
      </c>
      <c r="AD264" s="49">
        <f t="shared" si="2647"/>
        <v>0.823244380449763</v>
      </c>
      <c r="AE264" s="49">
        <f t="shared" si="2647"/>
        <v>0.84186022490761292</v>
      </c>
      <c r="AL264" s="83" t="e">
        <f t="shared" ref="AL264:BQ264" si="2648">SUM(AI30:AL30)/(AL181+AL168+AL158)</f>
        <v>#DIV/0!</v>
      </c>
      <c r="AM264" s="83" t="e">
        <f t="shared" si="2648"/>
        <v>#DIV/0!</v>
      </c>
      <c r="AN264" s="83" t="e">
        <f t="shared" si="2648"/>
        <v>#DIV/0!</v>
      </c>
      <c r="AO264" s="83" t="e">
        <f t="shared" si="2648"/>
        <v>#DIV/0!</v>
      </c>
      <c r="AP264" s="83" t="e">
        <f t="shared" si="2648"/>
        <v>#DIV/0!</v>
      </c>
      <c r="AQ264" s="83" t="e">
        <f t="shared" si="2648"/>
        <v>#DIV/0!</v>
      </c>
      <c r="AR264" s="83" t="e">
        <f t="shared" si="2648"/>
        <v>#DIV/0!</v>
      </c>
      <c r="AS264" s="83" t="e">
        <f t="shared" si="2648"/>
        <v>#DIV/0!</v>
      </c>
      <c r="AT264" s="83" t="e">
        <f t="shared" si="2648"/>
        <v>#DIV/0!</v>
      </c>
      <c r="AU264" s="83" t="e">
        <f t="shared" si="2648"/>
        <v>#DIV/0!</v>
      </c>
      <c r="AV264" s="83" t="e">
        <f t="shared" si="2648"/>
        <v>#DIV/0!</v>
      </c>
      <c r="AW264" s="83">
        <f t="shared" si="2648"/>
        <v>8.8270019896250426E-2</v>
      </c>
      <c r="AX264" s="83">
        <f t="shared" si="2648"/>
        <v>0.27376946556638804</v>
      </c>
      <c r="AY264" s="83" t="e">
        <f t="shared" si="2648"/>
        <v>#DIV/0!</v>
      </c>
      <c r="AZ264" s="83">
        <f t="shared" si="2648"/>
        <v>370.5518780937561</v>
      </c>
      <c r="BA264" s="83">
        <f t="shared" si="2648"/>
        <v>0.74015601772379747</v>
      </c>
      <c r="BB264" s="83">
        <f t="shared" si="2648"/>
        <v>0.71145032789450302</v>
      </c>
      <c r="BC264" s="83">
        <f t="shared" si="2648"/>
        <v>0.71817825847018613</v>
      </c>
      <c r="BD264" s="83">
        <f t="shared" si="2648"/>
        <v>0.74721748349596628</v>
      </c>
      <c r="BE264" s="83">
        <f t="shared" si="2648"/>
        <v>0.76006331044844511</v>
      </c>
      <c r="BF264" s="83">
        <f t="shared" si="2648"/>
        <v>0.76995173743760759</v>
      </c>
      <c r="BG264" s="83">
        <f t="shared" si="2648"/>
        <v>0.80617401844905479</v>
      </c>
      <c r="BH264" s="83">
        <f t="shared" si="2648"/>
        <v>0.86254673055794595</v>
      </c>
      <c r="BI264" s="83">
        <f t="shared" si="2648"/>
        <v>0.85275701530910553</v>
      </c>
      <c r="BJ264" s="83">
        <f t="shared" si="2648"/>
        <v>0.85968544293038229</v>
      </c>
      <c r="BK264" s="83">
        <f t="shared" si="2648"/>
        <v>0.72531071822190984</v>
      </c>
      <c r="BL264" s="83">
        <f t="shared" si="2648"/>
        <v>0.80941791570091637</v>
      </c>
      <c r="BM264" s="83">
        <f t="shared" si="2648"/>
        <v>0.85123343623161862</v>
      </c>
      <c r="BN264" s="83">
        <f t="shared" si="2648"/>
        <v>0.86602904192283636</v>
      </c>
      <c r="BO264" s="83">
        <f t="shared" si="2648"/>
        <v>0.73870394013347196</v>
      </c>
      <c r="BP264" s="83">
        <f t="shared" si="2648"/>
        <v>0.72923297794156461</v>
      </c>
      <c r="BQ264" s="83">
        <f t="shared" si="2648"/>
        <v>0.76356861146270005</v>
      </c>
      <c r="BR264" s="83">
        <f t="shared" ref="BR264:CW264" si="2649">SUM(BO30:BR30)/(BR181+BR168+BR158)</f>
        <v>0.78698557188125495</v>
      </c>
      <c r="BS264" s="83">
        <f t="shared" si="2649"/>
        <v>0.88897854627106776</v>
      </c>
      <c r="BT264" s="83">
        <f t="shared" si="2649"/>
        <v>0.93321306309417151</v>
      </c>
      <c r="BU264" s="83">
        <f t="shared" si="2649"/>
        <v>0.92105502155544527</v>
      </c>
      <c r="BV264" s="83">
        <f t="shared" si="2649"/>
        <v>0.91694044783595763</v>
      </c>
      <c r="BW264" s="83">
        <f t="shared" si="2649"/>
        <v>1.1715199855265692</v>
      </c>
      <c r="BX264" s="83">
        <f t="shared" si="2649"/>
        <v>1.2456681253104063</v>
      </c>
      <c r="BY264" s="83">
        <f t="shared" si="2649"/>
        <v>1.1338330304474742</v>
      </c>
      <c r="BZ264" s="83">
        <f t="shared" si="2649"/>
        <v>1.1260612870237492</v>
      </c>
      <c r="CA264" s="83">
        <f t="shared" si="2649"/>
        <v>1.1108948937517742</v>
      </c>
      <c r="CB264" s="83">
        <f t="shared" si="2649"/>
        <v>1.1500097023243181</v>
      </c>
      <c r="CC264" s="83">
        <f t="shared" si="2649"/>
        <v>1.0577921153098029</v>
      </c>
      <c r="CD264" s="83">
        <f t="shared" si="2649"/>
        <v>1.0200143896869962</v>
      </c>
      <c r="CE264" s="83">
        <f t="shared" si="2649"/>
        <v>0.93362177496226051</v>
      </c>
      <c r="CF264" s="83">
        <f t="shared" si="2649"/>
        <v>0.97518421284018508</v>
      </c>
      <c r="CG264" s="83">
        <f t="shared" si="2649"/>
        <v>0.86745473411687435</v>
      </c>
      <c r="CH264" s="83">
        <f t="shared" si="2649"/>
        <v>0.86742109516229771</v>
      </c>
      <c r="CI264" s="83">
        <f t="shared" si="2649"/>
        <v>0.85821845954334142</v>
      </c>
      <c r="CJ264" s="83">
        <f t="shared" si="2649"/>
        <v>0.85129473648323928</v>
      </c>
      <c r="CK264" s="83">
        <f t="shared" si="2649"/>
        <v>0.85488467083947695</v>
      </c>
      <c r="CL264" s="83">
        <f t="shared" si="2649"/>
        <v>0.84822743571244896</v>
      </c>
      <c r="CM264" s="49">
        <f t="shared" si="2649"/>
        <v>0.82239763934379573</v>
      </c>
      <c r="CN264" s="49">
        <f t="shared" si="2649"/>
        <v>0.86463025526313242</v>
      </c>
      <c r="CO264" s="49">
        <f t="shared" si="2649"/>
        <v>0.88428496453829475</v>
      </c>
      <c r="CP264" s="49">
        <f t="shared" si="2649"/>
        <v>0.84404694868152297</v>
      </c>
      <c r="CQ264" s="49">
        <f t="shared" si="2649"/>
        <v>0.82690251155930894</v>
      </c>
      <c r="CR264" s="49">
        <f t="shared" si="2649"/>
        <v>0.86618765450242241</v>
      </c>
      <c r="CS264" s="49">
        <f t="shared" si="2649"/>
        <v>0.8799845408963537</v>
      </c>
      <c r="CT264" s="49">
        <f t="shared" si="2649"/>
        <v>0.82748150294034961</v>
      </c>
      <c r="CU264" s="49">
        <f t="shared" si="2649"/>
        <v>0.7954380726980107</v>
      </c>
      <c r="CV264" s="49">
        <f t="shared" si="2649"/>
        <v>0.82053570868104153</v>
      </c>
      <c r="CW264" s="49">
        <f t="shared" si="2649"/>
        <v>0.823244380449763</v>
      </c>
      <c r="CX264" s="49">
        <f t="shared" ref="CX264:DA264" si="2650">SUM(CU30:CX30)/(CX181+CX168+CX158)</f>
        <v>0.78858455428281082</v>
      </c>
      <c r="CY264" s="49">
        <f t="shared" si="2650"/>
        <v>0.78231062799768114</v>
      </c>
      <c r="CZ264" s="49">
        <f t="shared" si="2650"/>
        <v>0.82467824315754212</v>
      </c>
      <c r="DA264" s="49">
        <f t="shared" si="2650"/>
        <v>0.84186022490761292</v>
      </c>
      <c r="DB264"/>
      <c r="DD264" s="137"/>
    </row>
    <row r="265" spans="1:108" s="83" customFormat="1" x14ac:dyDescent="0.25">
      <c r="A265" s="83" t="s">
        <v>514</v>
      </c>
      <c r="E265" s="180" t="e">
        <f>+E62</f>
        <v>#DIV/0!</v>
      </c>
      <c r="F265" s="180">
        <f t="shared" ref="F265:AE265" si="2651">+F62</f>
        <v>6.4096288251365457E-2</v>
      </c>
      <c r="G265" s="180">
        <f t="shared" si="2651"/>
        <v>3.5386716536913332E-2</v>
      </c>
      <c r="H265" s="180">
        <f t="shared" si="2651"/>
        <v>4.3063831150949507E-2</v>
      </c>
      <c r="I265" s="180">
        <f t="shared" si="2651"/>
        <v>5.6843403338310443E-2</v>
      </c>
      <c r="J265" s="180">
        <f t="shared" si="2651"/>
        <v>4.7550160420983749E-2</v>
      </c>
      <c r="K265" s="180">
        <f t="shared" si="2651"/>
        <v>2.8768971902069652E-2</v>
      </c>
      <c r="L265" s="180">
        <f t="shared" si="2651"/>
        <v>2.5700681790659714E-2</v>
      </c>
      <c r="M265" s="180">
        <f t="shared" si="2651"/>
        <v>6.8260553666011203E-3</v>
      </c>
      <c r="N265" s="180">
        <f t="shared" si="2651"/>
        <v>1.3950046500154892E-2</v>
      </c>
      <c r="O265" s="180">
        <f t="shared" si="2651"/>
        <v>-1.908707140726253E-2</v>
      </c>
      <c r="P265" s="180">
        <f t="shared" si="2651"/>
        <v>-8.406706023440607E-3</v>
      </c>
      <c r="Q265" s="180">
        <f t="shared" si="2651"/>
        <v>3.2924895165179824E-2</v>
      </c>
      <c r="R265" s="180">
        <f t="shared" si="2651"/>
        <v>1.1825650325301959E-2</v>
      </c>
      <c r="S265" s="180">
        <f t="shared" si="2651"/>
        <v>5.3130229746674314E-2</v>
      </c>
      <c r="T265" s="180">
        <f t="shared" si="2651"/>
        <v>5.8144598066110317E-2</v>
      </c>
      <c r="U265" s="180">
        <f t="shared" si="2651"/>
        <v>6.5620153114251498E-2</v>
      </c>
      <c r="V265" s="180">
        <f t="shared" si="2651"/>
        <v>6.5703979850366065E-2</v>
      </c>
      <c r="W265" s="180">
        <f t="shared" si="2651"/>
        <v>8.4555429247565747E-2</v>
      </c>
      <c r="X265" s="180">
        <f t="shared" si="2651"/>
        <v>0.11767276174507189</v>
      </c>
      <c r="Y265" s="180">
        <f t="shared" si="2651"/>
        <v>0.13104449963506509</v>
      </c>
      <c r="Z265" s="180">
        <f t="shared" si="2651"/>
        <v>0.13173776030668266</v>
      </c>
      <c r="AA265" s="181">
        <f t="shared" si="2651"/>
        <v>0.14148099509812553</v>
      </c>
      <c r="AB265" s="181">
        <f t="shared" si="2651"/>
        <v>0.13218358911556946</v>
      </c>
      <c r="AC265" s="181">
        <f t="shared" si="2651"/>
        <v>0.14939459359288354</v>
      </c>
      <c r="AD265" s="181">
        <f t="shared" si="2651"/>
        <v>0.14962850480387285</v>
      </c>
      <c r="AE265" s="181">
        <f t="shared" si="2651"/>
        <v>0.15805499659949879</v>
      </c>
      <c r="AL265" s="180" t="e">
        <f t="shared" ref="AL265:CW265" si="2652">+AL62</f>
        <v>#DIV/0!</v>
      </c>
      <c r="AM265" s="180" t="e">
        <f t="shared" si="2652"/>
        <v>#DIV/0!</v>
      </c>
      <c r="AN265" s="180" t="e">
        <f t="shared" si="2652"/>
        <v>#DIV/0!</v>
      </c>
      <c r="AO265" s="180" t="e">
        <f t="shared" si="2652"/>
        <v>#DIV/0!</v>
      </c>
      <c r="AP265" s="180" t="e">
        <f t="shared" si="2652"/>
        <v>#DIV/0!</v>
      </c>
      <c r="AQ265" s="180" t="e">
        <f t="shared" si="2652"/>
        <v>#DIV/0!</v>
      </c>
      <c r="AR265" s="180" t="e">
        <f t="shared" si="2652"/>
        <v>#DIV/0!</v>
      </c>
      <c r="AS265" s="180" t="e">
        <f t="shared" si="2652"/>
        <v>#DIV/0!</v>
      </c>
      <c r="AT265" s="180" t="e">
        <f t="shared" si="2652"/>
        <v>#DIV/0!</v>
      </c>
      <c r="AU265" s="180" t="e">
        <f t="shared" si="2652"/>
        <v>#DIV/0!</v>
      </c>
      <c r="AV265" s="180" t="e">
        <f t="shared" si="2652"/>
        <v>#DIV/0!</v>
      </c>
      <c r="AW265" s="180">
        <f t="shared" si="2652"/>
        <v>-0.25347633533491798</v>
      </c>
      <c r="AX265" s="180">
        <f t="shared" si="2652"/>
        <v>-6.4554325562127576E-2</v>
      </c>
      <c r="AY265" s="180">
        <f t="shared" si="2652"/>
        <v>0.12120693829322619</v>
      </c>
      <c r="AZ265" s="180">
        <f t="shared" si="2652"/>
        <v>1.4195729469955625E-2</v>
      </c>
      <c r="BA265" s="180">
        <f t="shared" si="2652"/>
        <v>-0.2584721953556065</v>
      </c>
      <c r="BB265" s="180">
        <f t="shared" si="2652"/>
        <v>7.5967047203298844E-3</v>
      </c>
      <c r="BC265" s="180">
        <f t="shared" si="2652"/>
        <v>0.14999801027920368</v>
      </c>
      <c r="BD265" s="180">
        <f t="shared" si="2652"/>
        <v>3.4888234756831622E-2</v>
      </c>
      <c r="BE265" s="180">
        <f t="shared" si="2652"/>
        <v>-0.13760947867298567</v>
      </c>
      <c r="BF265" s="180">
        <f t="shared" si="2652"/>
        <v>1.7030061108725993E-2</v>
      </c>
      <c r="BG265" s="180">
        <f t="shared" si="2652"/>
        <v>0.14866659770553717</v>
      </c>
      <c r="BH265" s="180">
        <f t="shared" si="2652"/>
        <v>3.736434547415067E-2</v>
      </c>
      <c r="BI265" s="180">
        <f t="shared" si="2652"/>
        <v>-9.0988356922011779E-2</v>
      </c>
      <c r="BJ265" s="180">
        <f t="shared" si="2652"/>
        <v>2.8877713562570594E-2</v>
      </c>
      <c r="BK265" s="180">
        <f t="shared" si="2652"/>
        <v>0.14363551226954793</v>
      </c>
      <c r="BL265" s="180">
        <f t="shared" si="2652"/>
        <v>4.5344288264757601E-2</v>
      </c>
      <c r="BM265" s="180">
        <f t="shared" si="2652"/>
        <v>-4.4231281422992874E-2</v>
      </c>
      <c r="BN265" s="180">
        <f t="shared" si="2652"/>
        <v>7.5512069070419768E-2</v>
      </c>
      <c r="BO265" s="180">
        <f t="shared" si="2652"/>
        <v>8.7171980199770308E-2</v>
      </c>
      <c r="BP265" s="180">
        <f t="shared" si="2652"/>
        <v>8.9576142467078609E-2</v>
      </c>
      <c r="BQ265" s="180">
        <f t="shared" si="2652"/>
        <v>-5.4414674079247081E-3</v>
      </c>
      <c r="BR265" s="180">
        <f t="shared" si="2652"/>
        <v>6.1028822451059707E-2</v>
      </c>
      <c r="BS265" s="180">
        <f t="shared" si="2652"/>
        <v>0.13013190630427635</v>
      </c>
      <c r="BT265" s="180">
        <f t="shared" si="2652"/>
        <v>0.10754087095178889</v>
      </c>
      <c r="BU265" s="180">
        <f t="shared" si="2652"/>
        <v>1.8791064010124977E-2</v>
      </c>
      <c r="BV265" s="180">
        <f t="shared" si="2652"/>
        <v>9.5878579876299233E-2</v>
      </c>
      <c r="BW265" s="180">
        <f t="shared" si="2652"/>
        <v>0.16186497376794093</v>
      </c>
      <c r="BX265" s="180">
        <f t="shared" si="2652"/>
        <v>0.12449868098796832</v>
      </c>
      <c r="BY265" s="180">
        <f t="shared" si="2652"/>
        <v>3.68208433160888E-2</v>
      </c>
      <c r="BZ265" s="180">
        <f t="shared" si="2652"/>
        <v>0.11266422209235877</v>
      </c>
      <c r="CA265" s="180">
        <f t="shared" si="2652"/>
        <v>0.17921742195622431</v>
      </c>
      <c r="CB265" s="180">
        <f t="shared" si="2652"/>
        <v>0.13292236304471114</v>
      </c>
      <c r="CC265" s="180">
        <f t="shared" si="2652"/>
        <v>5.3812119778579734E-2</v>
      </c>
      <c r="CD265" s="180">
        <f t="shared" si="2652"/>
        <v>0.12696392408889484</v>
      </c>
      <c r="CE265" s="180">
        <f t="shared" si="2652"/>
        <v>0.17540561428022367</v>
      </c>
      <c r="CF265" s="180">
        <f t="shared" si="2652"/>
        <v>0.13089729332819663</v>
      </c>
      <c r="CG265" s="180">
        <f t="shared" si="2652"/>
        <v>5.3223385867243275E-2</v>
      </c>
      <c r="CH265" s="180">
        <f t="shared" si="2652"/>
        <v>0.13147899158154344</v>
      </c>
      <c r="CI265" s="180">
        <f t="shared" si="2652"/>
        <v>0.18905612942510805</v>
      </c>
      <c r="CJ265" s="180">
        <f t="shared" si="2652"/>
        <v>0.15252631901401989</v>
      </c>
      <c r="CK265" s="180">
        <f t="shared" si="2652"/>
        <v>6.245541897187791E-2</v>
      </c>
      <c r="CL265" s="180">
        <f t="shared" si="2652"/>
        <v>0.13426140710870854</v>
      </c>
      <c r="CM265" s="181">
        <f t="shared" si="2652"/>
        <v>0.14539897417748635</v>
      </c>
      <c r="CN265" s="181">
        <f t="shared" si="2652"/>
        <v>0.1234080940185048</v>
      </c>
      <c r="CO265" s="181">
        <f t="shared" si="2652"/>
        <v>0.11833878958973268</v>
      </c>
      <c r="CP265" s="181">
        <f t="shared" si="2652"/>
        <v>0.15107715414685441</v>
      </c>
      <c r="CQ265" s="181">
        <f t="shared" si="2652"/>
        <v>0.15540103524363491</v>
      </c>
      <c r="CR265" s="181">
        <f t="shared" si="2652"/>
        <v>0.1467553171110442</v>
      </c>
      <c r="CS265" s="181">
        <f t="shared" si="2652"/>
        <v>0.14049303056230414</v>
      </c>
      <c r="CT265" s="181">
        <f t="shared" si="2652"/>
        <v>0.15154550449130791</v>
      </c>
      <c r="CU265" s="181">
        <f t="shared" si="2652"/>
        <v>0.15405926846237655</v>
      </c>
      <c r="CV265" s="181">
        <f t="shared" si="2652"/>
        <v>0.14481012178457114</v>
      </c>
      <c r="CW265" s="181">
        <f t="shared" si="2652"/>
        <v>0.14543976741145587</v>
      </c>
      <c r="CX265" s="181">
        <f t="shared" ref="CX265:DA265" si="2653">+CX62</f>
        <v>0.15865674760885837</v>
      </c>
      <c r="CY265" s="181">
        <f t="shared" si="2653"/>
        <v>0.16037207546997087</v>
      </c>
      <c r="CZ265" s="181">
        <f t="shared" si="2653"/>
        <v>0.15518789004551631</v>
      </c>
      <c r="DA265" s="181">
        <f t="shared" si="2653"/>
        <v>0.15681998282513282</v>
      </c>
      <c r="DB265"/>
      <c r="DD265" s="137"/>
    </row>
    <row r="266" spans="1:108" s="83" customFormat="1" x14ac:dyDescent="0.25">
      <c r="A266" s="83" t="s">
        <v>515</v>
      </c>
      <c r="E266" s="83" t="e">
        <f>(E181+E168+E158+E160)/E140</f>
        <v>#DIV/0!</v>
      </c>
      <c r="F266" s="83">
        <f t="shared" ref="F266:AE266" si="2654">(F181+F168+F158+F160)/F140</f>
        <v>2.7408211219257885</v>
      </c>
      <c r="G266" s="83">
        <f t="shared" si="2654"/>
        <v>2.5326608013959242</v>
      </c>
      <c r="H266" s="83">
        <f t="shared" si="2654"/>
        <v>2.416823743722806</v>
      </c>
      <c r="I266" s="83">
        <f t="shared" si="2654"/>
        <v>2.2984743076286458</v>
      </c>
      <c r="J266" s="83">
        <f t="shared" si="2654"/>
        <v>2.6777154205698483</v>
      </c>
      <c r="K266" s="83">
        <f t="shared" si="2654"/>
        <v>3.954277864507965</v>
      </c>
      <c r="L266" s="83">
        <f t="shared" si="2654"/>
        <v>4.9182516622539696</v>
      </c>
      <c r="M266" s="83">
        <f t="shared" si="2654"/>
        <v>11.358698313939252</v>
      </c>
      <c r="N266" s="83">
        <f t="shared" si="2654"/>
        <v>14.879447584639586</v>
      </c>
      <c r="O266" s="83">
        <f t="shared" si="2654"/>
        <v>13.863352479835811</v>
      </c>
      <c r="P266" s="83">
        <f t="shared" si="2654"/>
        <v>9.594424591492313</v>
      </c>
      <c r="Q266" s="83">
        <f t="shared" si="2654"/>
        <v>6.571843619165417</v>
      </c>
      <c r="R266" s="83">
        <f t="shared" si="2654"/>
        <v>2.8486279187172849</v>
      </c>
      <c r="S266" s="83">
        <f t="shared" si="2654"/>
        <v>2.9815307545715339</v>
      </c>
      <c r="T266" s="83">
        <f t="shared" si="2654"/>
        <v>3.0012489342027835</v>
      </c>
      <c r="U266" s="83">
        <f t="shared" si="2654"/>
        <v>2.5163834393595521</v>
      </c>
      <c r="V266" s="83">
        <f t="shared" si="2654"/>
        <v>2.3970949497460414</v>
      </c>
      <c r="W266" s="83">
        <f t="shared" si="2654"/>
        <v>2.3479654443188425</v>
      </c>
      <c r="X266" s="83">
        <f t="shared" si="2654"/>
        <v>2.2770242514277652</v>
      </c>
      <c r="Y266" s="83">
        <f t="shared" si="2654"/>
        <v>2.1894597244892169</v>
      </c>
      <c r="Z266" s="83">
        <f t="shared" si="2654"/>
        <v>1.3922046032023931</v>
      </c>
      <c r="AA266" s="49">
        <f t="shared" si="2654"/>
        <v>1.304515150747465</v>
      </c>
      <c r="AB266" s="49">
        <f t="shared" si="2654"/>
        <v>1.242798462652088</v>
      </c>
      <c r="AC266" s="49">
        <f t="shared" si="2654"/>
        <v>1.2200455289918528</v>
      </c>
      <c r="AD266" s="49">
        <f t="shared" si="2654"/>
        <v>1.1958737059688762</v>
      </c>
      <c r="AE266" s="49">
        <f t="shared" si="2654"/>
        <v>1.1841044012006408</v>
      </c>
      <c r="AL266" s="83" t="e">
        <f t="shared" ref="AL266:CW266" si="2655">(AL181+AL168+AL158+AL160)/AL140</f>
        <v>#DIV/0!</v>
      </c>
      <c r="AM266" s="83" t="e">
        <f t="shared" si="2655"/>
        <v>#DIV/0!</v>
      </c>
      <c r="AN266" s="83" t="e">
        <f t="shared" si="2655"/>
        <v>#DIV/0!</v>
      </c>
      <c r="AO266" s="83" t="e">
        <f t="shared" si="2655"/>
        <v>#DIV/0!</v>
      </c>
      <c r="AP266" s="83" t="e">
        <f t="shared" si="2655"/>
        <v>#DIV/0!</v>
      </c>
      <c r="AQ266" s="83" t="e">
        <f t="shared" si="2655"/>
        <v>#DIV/0!</v>
      </c>
      <c r="AR266" s="83" t="e">
        <f t="shared" si="2655"/>
        <v>#DIV/0!</v>
      </c>
      <c r="AS266" s="83" t="e">
        <f t="shared" si="2655"/>
        <v>#DIV/0!</v>
      </c>
      <c r="AT266" s="83" t="e">
        <f t="shared" si="2655"/>
        <v>#DIV/0!</v>
      </c>
      <c r="AU266" s="83" t="e">
        <f t="shared" si="2655"/>
        <v>#DIV/0!</v>
      </c>
      <c r="AV266" s="83" t="e">
        <f t="shared" si="2655"/>
        <v>#DIV/0!</v>
      </c>
      <c r="AW266" s="83">
        <f t="shared" si="2655"/>
        <v>6.571843619165417</v>
      </c>
      <c r="AX266" s="83">
        <f t="shared" si="2655"/>
        <v>7.3980767251905064</v>
      </c>
      <c r="AY266" s="83" t="e">
        <f t="shared" si="2655"/>
        <v>#DIV/0!</v>
      </c>
      <c r="AZ266" s="83">
        <f t="shared" si="2655"/>
        <v>0.99999999999999967</v>
      </c>
      <c r="BA266" s="83">
        <f t="shared" si="2655"/>
        <v>2.7574977545941715</v>
      </c>
      <c r="BB266" s="83">
        <f t="shared" si="2655"/>
        <v>2.8693610451216616</v>
      </c>
      <c r="BC266" s="83">
        <f t="shared" si="2655"/>
        <v>2.8909288881913913</v>
      </c>
      <c r="BD266" s="83">
        <f t="shared" si="2655"/>
        <v>2.7771245311068862</v>
      </c>
      <c r="BE266" s="83">
        <f t="shared" si="2655"/>
        <v>2.9815307545715344</v>
      </c>
      <c r="BF266" s="83">
        <f t="shared" si="2655"/>
        <v>3.0692135573573891</v>
      </c>
      <c r="BG266" s="83">
        <f t="shared" si="2655"/>
        <v>2.7449803694957891</v>
      </c>
      <c r="BH266" s="83">
        <f t="shared" si="2655"/>
        <v>2.6246586855393899</v>
      </c>
      <c r="BI266" s="83">
        <f t="shared" si="2655"/>
        <v>3.001248934202783</v>
      </c>
      <c r="BJ266" s="83">
        <f t="shared" si="2655"/>
        <v>3.0686049397959567</v>
      </c>
      <c r="BK266" s="83">
        <f t="shared" si="2655"/>
        <v>3.3814876439070458</v>
      </c>
      <c r="BL266" s="83">
        <f t="shared" si="2655"/>
        <v>3.2106747279939496</v>
      </c>
      <c r="BM266" s="83">
        <f t="shared" si="2655"/>
        <v>2.5163834393595521</v>
      </c>
      <c r="BN266" s="83">
        <f t="shared" si="2655"/>
        <v>2.541531051894188</v>
      </c>
      <c r="BO266" s="83">
        <f t="shared" si="2655"/>
        <v>2.4572795668916174</v>
      </c>
      <c r="BP266" s="83">
        <f t="shared" si="2655"/>
        <v>2.4075866178735952</v>
      </c>
      <c r="BQ266" s="83">
        <f t="shared" si="2655"/>
        <v>2.3970949497460414</v>
      </c>
      <c r="BR266" s="83">
        <f t="shared" si="2655"/>
        <v>2.4398104271605736</v>
      </c>
      <c r="BS266" s="83">
        <f t="shared" si="2655"/>
        <v>2.2216902237540457</v>
      </c>
      <c r="BT266" s="83">
        <f t="shared" si="2655"/>
        <v>2.1473007421068124</v>
      </c>
      <c r="BU266" s="83">
        <f t="shared" si="2655"/>
        <v>2.3479654443188425</v>
      </c>
      <c r="BV266" s="83">
        <f t="shared" si="2655"/>
        <v>2.3677690285074822</v>
      </c>
      <c r="BW266" s="83">
        <f t="shared" si="2655"/>
        <v>2.1122876779700164</v>
      </c>
      <c r="BX266" s="83">
        <f t="shared" si="2655"/>
        <v>1.9611465669529753</v>
      </c>
      <c r="BY266" s="83">
        <f t="shared" si="2655"/>
        <v>2.2770242514277648</v>
      </c>
      <c r="BZ266" s="83">
        <f t="shared" si="2655"/>
        <v>2.2859548997745875</v>
      </c>
      <c r="CA266" s="83">
        <f t="shared" si="2655"/>
        <v>2.0680464923667832</v>
      </c>
      <c r="CB266" s="83">
        <f t="shared" si="2655"/>
        <v>1.940872179866771</v>
      </c>
      <c r="CC266" s="83">
        <f t="shared" si="2655"/>
        <v>2.1894597244892164</v>
      </c>
      <c r="CD266" s="83">
        <f t="shared" si="2655"/>
        <v>2.1628837452565288</v>
      </c>
      <c r="CE266" s="83">
        <f t="shared" si="2655"/>
        <v>2.2593478301926164</v>
      </c>
      <c r="CF266" s="83">
        <f t="shared" si="2655"/>
        <v>2.1216915173179429</v>
      </c>
      <c r="CG266" s="83">
        <f t="shared" si="2655"/>
        <v>1.3922046032023931</v>
      </c>
      <c r="CH266" s="83">
        <f t="shared" si="2655"/>
        <v>1.417013334939393</v>
      </c>
      <c r="CI266" s="83">
        <f t="shared" si="2655"/>
        <v>1.3447986323173298</v>
      </c>
      <c r="CJ266" s="83">
        <f t="shared" si="2655"/>
        <v>1.3087354595334639</v>
      </c>
      <c r="CK266" s="83">
        <f t="shared" si="2655"/>
        <v>1.304515150747465</v>
      </c>
      <c r="CL266" s="83">
        <f t="shared" si="2655"/>
        <v>1.3166694390162363</v>
      </c>
      <c r="CM266" s="49">
        <f t="shared" si="2655"/>
        <v>1.3330869790115356</v>
      </c>
      <c r="CN266" s="49">
        <f t="shared" si="2655"/>
        <v>1.2665396357730008</v>
      </c>
      <c r="CO266" s="49">
        <f t="shared" si="2655"/>
        <v>1.242798462652088</v>
      </c>
      <c r="CP266" s="49">
        <f t="shared" si="2655"/>
        <v>1.2981716028207915</v>
      </c>
      <c r="CQ266" s="49">
        <f t="shared" si="2655"/>
        <v>1.3099471760677401</v>
      </c>
      <c r="CR266" s="49">
        <f t="shared" si="2655"/>
        <v>1.2433444737685371</v>
      </c>
      <c r="CS266" s="49">
        <f t="shared" si="2655"/>
        <v>1.2200455289918528</v>
      </c>
      <c r="CT266" s="49">
        <f t="shared" si="2655"/>
        <v>1.2630108594986347</v>
      </c>
      <c r="CU266" s="49">
        <f t="shared" si="2655"/>
        <v>1.2760939837463012</v>
      </c>
      <c r="CV266" s="49">
        <f t="shared" si="2655"/>
        <v>1.216547744117781</v>
      </c>
      <c r="CW266" s="49">
        <f t="shared" si="2655"/>
        <v>1.1958737059688762</v>
      </c>
      <c r="CX266" s="49">
        <f t="shared" ref="CX266:DA266" si="2656">(CX181+CX168+CX158+CX160)/CX140</f>
        <v>1.251741189619191</v>
      </c>
      <c r="CY266" s="49">
        <f t="shared" si="2656"/>
        <v>1.2653888273486358</v>
      </c>
      <c r="CZ266" s="49">
        <f t="shared" si="2656"/>
        <v>1.2049022164104128</v>
      </c>
      <c r="DA266" s="49">
        <f t="shared" si="2656"/>
        <v>1.1841044012006408</v>
      </c>
      <c r="DB266"/>
      <c r="DD266" s="137"/>
    </row>
    <row r="267" spans="1:108" s="83" customFormat="1" x14ac:dyDescent="0.25">
      <c r="A267" s="153" t="s">
        <v>499</v>
      </c>
      <c r="AA267" s="49"/>
      <c r="AB267" s="49"/>
      <c r="AC267" s="49"/>
      <c r="AD267" s="49"/>
      <c r="AE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/>
      <c r="DD267" s="137"/>
    </row>
    <row r="268" spans="1:108" s="87" customFormat="1" x14ac:dyDescent="0.25">
      <c r="A268" s="87" t="s">
        <v>102</v>
      </c>
      <c r="B268" s="87" t="e">
        <f t="shared" ref="B268:AE268" si="2657">B181/B140</f>
        <v>#DIV/0!</v>
      </c>
      <c r="C268" s="87" t="e">
        <f t="shared" si="2657"/>
        <v>#DIV/0!</v>
      </c>
      <c r="D268" s="87" t="e">
        <f t="shared" si="2657"/>
        <v>#DIV/0!</v>
      </c>
      <c r="F268" s="87">
        <f t="shared" si="2657"/>
        <v>1.194109019623657E-2</v>
      </c>
      <c r="G268" s="87">
        <f t="shared" si="2657"/>
        <v>3.0499530779731478E-2</v>
      </c>
      <c r="H268" s="87">
        <f t="shared" si="2657"/>
        <v>8.6454369788356022E-2</v>
      </c>
      <c r="I268" s="87">
        <f t="shared" si="2657"/>
        <v>2.332595850833543E-2</v>
      </c>
      <c r="J268" s="87">
        <f t="shared" si="2657"/>
        <v>1.9151853369063904E-2</v>
      </c>
      <c r="K268" s="87">
        <f t="shared" si="2657"/>
        <v>6.0557111261870772E-2</v>
      </c>
      <c r="L268" s="87">
        <f t="shared" si="2657"/>
        <v>9.8451483808997445E-2</v>
      </c>
      <c r="M268" s="87">
        <f t="shared" si="2657"/>
        <v>3.4256328396382998E-2</v>
      </c>
      <c r="N268" s="87">
        <f t="shared" si="2657"/>
        <v>0.22367577646990267</v>
      </c>
      <c r="O268" s="87">
        <f t="shared" si="2657"/>
        <v>0.23633780188245565</v>
      </c>
      <c r="P268" s="87">
        <f t="shared" si="2657"/>
        <v>0.98050297599962688</v>
      </c>
      <c r="Q268" s="87">
        <f t="shared" si="2657"/>
        <v>8.6127808007688239E-2</v>
      </c>
      <c r="R268" s="87">
        <f t="shared" si="2657"/>
        <v>3.879439889702084E-2</v>
      </c>
      <c r="S268" s="87">
        <f t="shared" si="2657"/>
        <v>5.3384483573222528E-2</v>
      </c>
      <c r="T268" s="87">
        <f t="shared" si="2657"/>
        <v>4.6774987690792712E-2</v>
      </c>
      <c r="U268" s="87">
        <f t="shared" si="2657"/>
        <v>5.1398831037650874E-2</v>
      </c>
      <c r="V268" s="87">
        <f t="shared" si="2657"/>
        <v>5.3930177658859921E-2</v>
      </c>
      <c r="W268" s="87">
        <f t="shared" si="2657"/>
        <v>8.2507252614519744E-2</v>
      </c>
      <c r="X268" s="87">
        <f t="shared" si="2657"/>
        <v>5.5908615195261815E-2</v>
      </c>
      <c r="Y268" s="87">
        <f t="shared" si="2657"/>
        <v>6.62959897054681E-2</v>
      </c>
      <c r="Z268" s="87">
        <f t="shared" si="2657"/>
        <v>0.14750628362918627</v>
      </c>
      <c r="AA268" s="41">
        <f t="shared" si="2657"/>
        <v>0.10207473385368102</v>
      </c>
      <c r="AB268" s="41">
        <f t="shared" si="2657"/>
        <v>0.30718370193366201</v>
      </c>
      <c r="AC268" s="41">
        <f t="shared" si="2657"/>
        <v>0.38855463246183425</v>
      </c>
      <c r="AD268" s="41">
        <f t="shared" si="2657"/>
        <v>0.4595170141391211</v>
      </c>
      <c r="AE268" s="41">
        <f t="shared" si="2657"/>
        <v>0.51878739068702107</v>
      </c>
      <c r="AL268" s="87" t="e">
        <f t="shared" ref="AL268:CW268" si="2658">AL181/AL140</f>
        <v>#DIV/0!</v>
      </c>
      <c r="AM268" s="87" t="e">
        <f t="shared" si="2658"/>
        <v>#DIV/0!</v>
      </c>
      <c r="AN268" s="87" t="e">
        <f t="shared" si="2658"/>
        <v>#DIV/0!</v>
      </c>
      <c r="AO268" s="87" t="e">
        <f t="shared" si="2658"/>
        <v>#DIV/0!</v>
      </c>
      <c r="AP268" s="87" t="e">
        <f t="shared" si="2658"/>
        <v>#DIV/0!</v>
      </c>
      <c r="AQ268" s="87" t="e">
        <f t="shared" si="2658"/>
        <v>#DIV/0!</v>
      </c>
      <c r="AR268" s="87" t="e">
        <f t="shared" si="2658"/>
        <v>#DIV/0!</v>
      </c>
      <c r="AS268" s="87" t="e">
        <f t="shared" si="2658"/>
        <v>#DIV/0!</v>
      </c>
      <c r="AT268" s="87" t="e">
        <f t="shared" si="2658"/>
        <v>#DIV/0!</v>
      </c>
      <c r="AU268" s="87" t="e">
        <f t="shared" si="2658"/>
        <v>#DIV/0!</v>
      </c>
      <c r="AV268" s="87" t="e">
        <f t="shared" si="2658"/>
        <v>#DIV/0!</v>
      </c>
      <c r="AW268" s="87">
        <f t="shared" si="2658"/>
        <v>8.6127808007688239E-2</v>
      </c>
      <c r="AX268" s="87">
        <f t="shared" si="2658"/>
        <v>-0.65419559330136856</v>
      </c>
      <c r="AY268" s="87" t="e">
        <f t="shared" si="2658"/>
        <v>#DIV/0!</v>
      </c>
      <c r="AZ268" s="87">
        <f t="shared" si="2658"/>
        <v>0.99999999999999967</v>
      </c>
      <c r="BA268" s="87">
        <f t="shared" si="2658"/>
        <v>3.4692510086505542E-2</v>
      </c>
      <c r="BB268" s="87">
        <f t="shared" si="2658"/>
        <v>-0.10907872336183723</v>
      </c>
      <c r="BC268" s="87">
        <f t="shared" si="2658"/>
        <v>6.3458575412471574E-2</v>
      </c>
      <c r="BD268" s="87">
        <f t="shared" si="2658"/>
        <v>0.1942847709664135</v>
      </c>
      <c r="BE268" s="87">
        <f t="shared" si="2658"/>
        <v>5.3384483573222535E-2</v>
      </c>
      <c r="BF268" s="87">
        <f t="shared" si="2658"/>
        <v>-0.1626613564558696</v>
      </c>
      <c r="BG268" s="87">
        <f t="shared" si="2658"/>
        <v>5.3776880473890593E-2</v>
      </c>
      <c r="BH268" s="87">
        <f t="shared" si="2658"/>
        <v>0.14866115703264809</v>
      </c>
      <c r="BI268" s="87">
        <f t="shared" si="2658"/>
        <v>4.6774987690792712E-2</v>
      </c>
      <c r="BJ268" s="87">
        <f t="shared" si="2658"/>
        <v>-6.6111336771567247E-2</v>
      </c>
      <c r="BK268" s="87">
        <f t="shared" si="2658"/>
        <v>6.0938935844971447E-2</v>
      </c>
      <c r="BL268" s="87">
        <f t="shared" si="2658"/>
        <v>0.1564318943188317</v>
      </c>
      <c r="BM268" s="87">
        <f t="shared" si="2658"/>
        <v>5.1398831037650874E-2</v>
      </c>
      <c r="BN268" s="87">
        <f t="shared" si="2658"/>
        <v>6.7477026059163297E-3</v>
      </c>
      <c r="BO268" s="87">
        <f t="shared" si="2658"/>
        <v>6.1286455674786966E-2</v>
      </c>
      <c r="BP268" s="87">
        <f t="shared" si="2658"/>
        <v>8.5312590972498825E-2</v>
      </c>
      <c r="BQ268" s="87">
        <f t="shared" si="2658"/>
        <v>5.3930177658859921E-2</v>
      </c>
      <c r="BR268" s="87">
        <f t="shared" si="2658"/>
        <v>-3.1380381882357734E-2</v>
      </c>
      <c r="BS268" s="87">
        <f t="shared" si="2658"/>
        <v>3.7450947626478513E-2</v>
      </c>
      <c r="BT268" s="87">
        <f t="shared" si="2658"/>
        <v>0.10090334974457488</v>
      </c>
      <c r="BU268" s="87">
        <f t="shared" si="2658"/>
        <v>8.2507252614519744E-2</v>
      </c>
      <c r="BV268" s="87">
        <f t="shared" si="2658"/>
        <v>3.3086050797864436E-3</v>
      </c>
      <c r="BW268" s="87">
        <f t="shared" si="2658"/>
        <v>6.262824890297862E-2</v>
      </c>
      <c r="BX268" s="87">
        <f t="shared" si="2658"/>
        <v>0.21131638492667798</v>
      </c>
      <c r="BY268" s="87">
        <f t="shared" si="2658"/>
        <v>5.5908615195261815E-2</v>
      </c>
      <c r="BZ268" s="87">
        <f t="shared" si="2658"/>
        <v>-6.3311591405805182E-2</v>
      </c>
      <c r="CA268" s="87">
        <f t="shared" si="2658"/>
        <v>4.8119849291420935E-2</v>
      </c>
      <c r="CB268" s="87">
        <f t="shared" si="2658"/>
        <v>0.18945840989452087</v>
      </c>
      <c r="CC268" s="87">
        <f t="shared" si="2658"/>
        <v>6.62959897054681E-2</v>
      </c>
      <c r="CD268" s="87">
        <f t="shared" si="2658"/>
        <v>-2.7228889875896656E-3</v>
      </c>
      <c r="CE268" s="87">
        <f t="shared" si="2658"/>
        <v>4.7535453869923708E-2</v>
      </c>
      <c r="CF268" s="87">
        <f t="shared" si="2658"/>
        <v>0.20216873632023691</v>
      </c>
      <c r="CG268" s="87">
        <f t="shared" si="2658"/>
        <v>0.14750628362918627</v>
      </c>
      <c r="CH268" s="87">
        <f t="shared" si="2658"/>
        <v>0.12834174921009331</v>
      </c>
      <c r="CI268" s="87">
        <f t="shared" si="2658"/>
        <v>0.11702505494103355</v>
      </c>
      <c r="CJ268" s="87">
        <f t="shared" si="2658"/>
        <v>0.19934859411675374</v>
      </c>
      <c r="CK268" s="87">
        <f t="shared" si="2658"/>
        <v>0.10207473385368102</v>
      </c>
      <c r="CL268" s="87">
        <f t="shared" si="2658"/>
        <v>0.20164569529884141</v>
      </c>
      <c r="CM268" s="41">
        <f t="shared" si="2658"/>
        <v>0.20916202876439116</v>
      </c>
      <c r="CN268" s="41">
        <f t="shared" si="2658"/>
        <v>0.27853308961967621</v>
      </c>
      <c r="CO268" s="41">
        <f t="shared" si="2658"/>
        <v>0.30718370193366201</v>
      </c>
      <c r="CP268" s="41">
        <f t="shared" si="2658"/>
        <v>0.27713830069850681</v>
      </c>
      <c r="CQ268" s="41">
        <f t="shared" si="2658"/>
        <v>0.28808130929632136</v>
      </c>
      <c r="CR268" s="41">
        <f t="shared" si="2658"/>
        <v>0.35901246914926688</v>
      </c>
      <c r="CS268" s="41">
        <f t="shared" si="2658"/>
        <v>0.38855463246183425</v>
      </c>
      <c r="CT268" s="41">
        <f t="shared" si="2658"/>
        <v>0.36567657019072936</v>
      </c>
      <c r="CU268" s="41">
        <f t="shared" si="2658"/>
        <v>0.37111777253541506</v>
      </c>
      <c r="CV268" s="41">
        <f t="shared" si="2658"/>
        <v>0.4334691788211546</v>
      </c>
      <c r="CW268" s="41">
        <f t="shared" si="2658"/>
        <v>0.4595170141391211</v>
      </c>
      <c r="CX268" s="41">
        <f t="shared" ref="CX268:DA268" si="2659">CX181/CX140</f>
        <v>0.42488999366037766</v>
      </c>
      <c r="CY268" s="41">
        <f t="shared" si="2659"/>
        <v>0.42915372316797551</v>
      </c>
      <c r="CZ268" s="41">
        <f t="shared" si="2659"/>
        <v>0.49243986662855982</v>
      </c>
      <c r="DA268" s="41">
        <f t="shared" si="2659"/>
        <v>0.51878739068702107</v>
      </c>
      <c r="DB268"/>
      <c r="DD268" s="124"/>
    </row>
    <row r="269" spans="1:108" s="88" customFormat="1" x14ac:dyDescent="0.25">
      <c r="A269" s="88" t="s">
        <v>103</v>
      </c>
      <c r="C269" s="88" t="e">
        <f t="shared" ref="C269:AE269" si="2660">C148/B148-1</f>
        <v>#DIV/0!</v>
      </c>
      <c r="D269" s="88" t="e">
        <f t="shared" si="2660"/>
        <v>#DIV/0!</v>
      </c>
      <c r="F269" s="88" t="e">
        <f t="shared" si="2660"/>
        <v>#DIV/0!</v>
      </c>
      <c r="G269" s="88">
        <f t="shared" si="2660"/>
        <v>-0.15006127350206599</v>
      </c>
      <c r="H269" s="88">
        <f t="shared" si="2660"/>
        <v>-7.8854833347379749E-2</v>
      </c>
      <c r="I269" s="88">
        <f t="shared" si="2660"/>
        <v>-4.0281492384886541E-2</v>
      </c>
      <c r="J269" s="88">
        <f t="shared" si="2660"/>
        <v>0.85232844387944762</v>
      </c>
      <c r="K269" s="88">
        <f>K148/J148-1</f>
        <v>0.65169159464003079</v>
      </c>
      <c r="L269" s="88">
        <f t="shared" si="2660"/>
        <v>0.41530071529079171</v>
      </c>
      <c r="M269" s="88">
        <f t="shared" si="2660"/>
        <v>0.60197455175574466</v>
      </c>
      <c r="N269" s="88">
        <f t="shared" si="2660"/>
        <v>1.183300287398358</v>
      </c>
      <c r="O269" s="88">
        <f t="shared" si="2660"/>
        <v>0.20174609424930012</v>
      </c>
      <c r="P269" s="88">
        <f t="shared" si="2660"/>
        <v>3.588364791068277E-2</v>
      </c>
      <c r="Q269" s="88">
        <f t="shared" si="2660"/>
        <v>-0.13992791830465168</v>
      </c>
      <c r="R269" s="88">
        <f t="shared" si="2660"/>
        <v>6.6460794908886012E-2</v>
      </c>
      <c r="S269" s="88">
        <f t="shared" si="2660"/>
        <v>0.1978394940523347</v>
      </c>
      <c r="T269" s="88">
        <f t="shared" si="2660"/>
        <v>5.8094315036126831E-2</v>
      </c>
      <c r="U269" s="88">
        <f t="shared" si="2660"/>
        <v>0.21699959435400618</v>
      </c>
      <c r="V269" s="88">
        <f t="shared" si="2660"/>
        <v>-5.8835183351852449E-2</v>
      </c>
      <c r="W269" s="88">
        <f t="shared" si="2660"/>
        <v>3.9106713269361881E-2</v>
      </c>
      <c r="X269" s="88">
        <f t="shared" si="2660"/>
        <v>0.10560385649459358</v>
      </c>
      <c r="Y269" s="88">
        <f t="shared" si="2660"/>
        <v>0.40585962154502031</v>
      </c>
      <c r="Z269" s="88">
        <f t="shared" si="2660"/>
        <v>-0.5448423461709726</v>
      </c>
      <c r="AA269" s="46">
        <f t="shared" si="2660"/>
        <v>-0.14386965928100282</v>
      </c>
      <c r="AB269" s="46">
        <f t="shared" si="2660"/>
        <v>0</v>
      </c>
      <c r="AC269" s="46">
        <f t="shared" si="2660"/>
        <v>0</v>
      </c>
      <c r="AD269" s="46">
        <f t="shared" si="2660"/>
        <v>0</v>
      </c>
      <c r="AE269" s="46">
        <f t="shared" si="2660"/>
        <v>0</v>
      </c>
      <c r="AL269" s="88" t="e">
        <f t="shared" ref="AL269:CW269" si="2661">AL148/AK148-1</f>
        <v>#DIV/0!</v>
      </c>
      <c r="AM269" s="88" t="e">
        <f t="shared" si="2661"/>
        <v>#DIV/0!</v>
      </c>
      <c r="AN269" s="88" t="e">
        <f t="shared" si="2661"/>
        <v>#DIV/0!</v>
      </c>
      <c r="AO269" s="88" t="e">
        <f t="shared" si="2661"/>
        <v>#DIV/0!</v>
      </c>
      <c r="AP269" s="88" t="e">
        <f t="shared" si="2661"/>
        <v>#DIV/0!</v>
      </c>
      <c r="AQ269" s="88" t="e">
        <f t="shared" si="2661"/>
        <v>#DIV/0!</v>
      </c>
      <c r="AR269" s="88" t="e">
        <f t="shared" si="2661"/>
        <v>#DIV/0!</v>
      </c>
      <c r="AS269" s="88" t="e">
        <f t="shared" si="2661"/>
        <v>#DIV/0!</v>
      </c>
      <c r="AT269" s="88" t="e">
        <f t="shared" si="2661"/>
        <v>#DIV/0!</v>
      </c>
      <c r="AU269" s="88" t="e">
        <f t="shared" si="2661"/>
        <v>#DIV/0!</v>
      </c>
      <c r="AV269" s="88" t="e">
        <f t="shared" si="2661"/>
        <v>#DIV/0!</v>
      </c>
      <c r="AW269" s="88" t="e">
        <f t="shared" si="2661"/>
        <v>#DIV/0!</v>
      </c>
      <c r="AX269" s="88">
        <f t="shared" si="2661"/>
        <v>0</v>
      </c>
      <c r="AY269" s="88">
        <f t="shared" si="2661"/>
        <v>-1</v>
      </c>
      <c r="AZ269" s="88" t="e">
        <f t="shared" si="2661"/>
        <v>#DIV/0!</v>
      </c>
      <c r="BA269" s="88" t="e">
        <f t="shared" si="2661"/>
        <v>#DIV/0!</v>
      </c>
      <c r="BB269" s="88">
        <f t="shared" si="2661"/>
        <v>0</v>
      </c>
      <c r="BC269" s="88">
        <f t="shared" si="2661"/>
        <v>0.29044559464365949</v>
      </c>
      <c r="BD269" s="88">
        <f t="shared" si="2661"/>
        <v>0</v>
      </c>
      <c r="BE269" s="88">
        <f t="shared" si="2661"/>
        <v>0.15755765899389718</v>
      </c>
      <c r="BF269" s="88">
        <f t="shared" si="2661"/>
        <v>0</v>
      </c>
      <c r="BG269" s="88">
        <f t="shared" si="2661"/>
        <v>-7.0647365695178599E-2</v>
      </c>
      <c r="BH269" s="88">
        <f t="shared" si="2661"/>
        <v>0</v>
      </c>
      <c r="BI269" s="88">
        <f t="shared" si="2661"/>
        <v>0.24072583064162179</v>
      </c>
      <c r="BJ269" s="88">
        <f t="shared" si="2661"/>
        <v>0</v>
      </c>
      <c r="BK269" s="88">
        <f t="shared" si="2661"/>
        <v>0.37985616637061836</v>
      </c>
      <c r="BL269" s="88">
        <f t="shared" si="2661"/>
        <v>0</v>
      </c>
      <c r="BM269" s="88">
        <f t="shared" si="2661"/>
        <v>-0.13241550170287586</v>
      </c>
      <c r="BN269" s="88">
        <f t="shared" si="2661"/>
        <v>0</v>
      </c>
      <c r="BO269" s="88">
        <f t="shared" si="2661"/>
        <v>-0.18483559076431433</v>
      </c>
      <c r="BP269" s="88">
        <f t="shared" si="2661"/>
        <v>0</v>
      </c>
      <c r="BQ269" s="88">
        <f t="shared" si="2661"/>
        <v>0.17065784200978262</v>
      </c>
      <c r="BR269" s="88">
        <f t="shared" si="2661"/>
        <v>0</v>
      </c>
      <c r="BS269" s="88">
        <f t="shared" si="2661"/>
        <v>-0.35624990718327221</v>
      </c>
      <c r="BT269" s="88">
        <f t="shared" si="2661"/>
        <v>0</v>
      </c>
      <c r="BU269" s="88">
        <f t="shared" si="2661"/>
        <v>0.92735511509128421</v>
      </c>
      <c r="BV269" s="88">
        <f t="shared" si="2661"/>
        <v>0</v>
      </c>
      <c r="BW269" s="88">
        <f t="shared" si="2661"/>
        <v>-0.2946953749294936</v>
      </c>
      <c r="BX269" s="88">
        <f t="shared" si="2661"/>
        <v>0</v>
      </c>
      <c r="BY269" s="88">
        <f t="shared" si="2661"/>
        <v>0.56755509207680421</v>
      </c>
      <c r="BZ269" s="88">
        <f t="shared" si="2661"/>
        <v>0</v>
      </c>
      <c r="CA269" s="88">
        <f t="shared" si="2661"/>
        <v>-5.7095462502557592E-2</v>
      </c>
      <c r="CB269" s="88">
        <f t="shared" si="2661"/>
        <v>0</v>
      </c>
      <c r="CC269" s="88">
        <f t="shared" si="2661"/>
        <v>0.4909882874000211</v>
      </c>
      <c r="CD269" s="88">
        <f t="shared" si="2661"/>
        <v>0</v>
      </c>
      <c r="CE269" s="88">
        <f t="shared" si="2661"/>
        <v>0.21064314229956271</v>
      </c>
      <c r="CF269" s="88">
        <f t="shared" si="2661"/>
        <v>0</v>
      </c>
      <c r="CG269" s="88">
        <f t="shared" si="2661"/>
        <v>-0.62403648281980462</v>
      </c>
      <c r="CH269" s="88">
        <f t="shared" si="2661"/>
        <v>0</v>
      </c>
      <c r="CI269" s="88">
        <f t="shared" si="2661"/>
        <v>-0.30885370294785075</v>
      </c>
      <c r="CJ269" s="88">
        <f t="shared" si="2661"/>
        <v>0</v>
      </c>
      <c r="CK269" s="88">
        <f t="shared" si="2661"/>
        <v>0.23871073949253807</v>
      </c>
      <c r="CL269" s="88">
        <f t="shared" si="2661"/>
        <v>0</v>
      </c>
      <c r="CM269" s="46">
        <f t="shared" si="2661"/>
        <v>0</v>
      </c>
      <c r="CN269" s="46">
        <f t="shared" si="2661"/>
        <v>0</v>
      </c>
      <c r="CO269" s="46">
        <f t="shared" si="2661"/>
        <v>0</v>
      </c>
      <c r="CP269" s="46">
        <f t="shared" si="2661"/>
        <v>0</v>
      </c>
      <c r="CQ269" s="46">
        <f t="shared" si="2661"/>
        <v>0</v>
      </c>
      <c r="CR269" s="46">
        <f t="shared" si="2661"/>
        <v>0</v>
      </c>
      <c r="CS269" s="46">
        <f t="shared" si="2661"/>
        <v>0</v>
      </c>
      <c r="CT269" s="46">
        <f t="shared" si="2661"/>
        <v>0</v>
      </c>
      <c r="CU269" s="46">
        <f t="shared" si="2661"/>
        <v>0</v>
      </c>
      <c r="CV269" s="46">
        <f t="shared" si="2661"/>
        <v>0</v>
      </c>
      <c r="CW269" s="46">
        <f t="shared" si="2661"/>
        <v>0</v>
      </c>
      <c r="CX269" s="46">
        <f t="shared" ref="CX269:DA269" si="2662">CX148/CW148-1</f>
        <v>0</v>
      </c>
      <c r="CY269" s="46">
        <f t="shared" si="2662"/>
        <v>0</v>
      </c>
      <c r="CZ269" s="46">
        <f t="shared" si="2662"/>
        <v>0</v>
      </c>
      <c r="DA269" s="46">
        <f t="shared" si="2662"/>
        <v>0</v>
      </c>
      <c r="DB269"/>
      <c r="DD269" s="129"/>
    </row>
    <row r="270" spans="1:108" s="88" customFormat="1" x14ac:dyDescent="0.25">
      <c r="A270" s="88" t="s">
        <v>104</v>
      </c>
      <c r="C270" s="88" t="e">
        <f>C48/B48-1</f>
        <v>#DIV/0!</v>
      </c>
      <c r="D270" s="88" t="e">
        <f>D48/C48-1</f>
        <v>#DIV/0!</v>
      </c>
      <c r="F270" s="88" t="e">
        <f t="shared" ref="F270:AE270" si="2663">F48/E48-1</f>
        <v>#DIV/0!</v>
      </c>
      <c r="G270" s="88">
        <f t="shared" si="2663"/>
        <v>-9.643903495569417E-2</v>
      </c>
      <c r="H270" s="88">
        <f t="shared" si="2663"/>
        <v>-1.4060916561133285E-2</v>
      </c>
      <c r="I270" s="88">
        <f t="shared" si="2663"/>
        <v>8.6600901209282766E-2</v>
      </c>
      <c r="J270" s="88">
        <f t="shared" si="2663"/>
        <v>0.13687778569997255</v>
      </c>
      <c r="K270" s="88">
        <f t="shared" si="2663"/>
        <v>0.35020441367037347</v>
      </c>
      <c r="L270" s="88">
        <f t="shared" si="2663"/>
        <v>0.32560993089930124</v>
      </c>
      <c r="M270" s="88">
        <f t="shared" si="2663"/>
        <v>0.15904576551508565</v>
      </c>
      <c r="N270" s="88">
        <f t="shared" si="2663"/>
        <v>0.63575438194523737</v>
      </c>
      <c r="O270" s="88">
        <f t="shared" si="2663"/>
        <v>0.28063609622859698</v>
      </c>
      <c r="P270" s="88">
        <f t="shared" si="2663"/>
        <v>0.32105930566806462</v>
      </c>
      <c r="Q270" s="88">
        <f t="shared" si="2663"/>
        <v>0.65183531219841551</v>
      </c>
      <c r="R270" s="88">
        <f t="shared" si="2663"/>
        <v>0.25020362260273621</v>
      </c>
      <c r="S270" s="88">
        <f t="shared" si="2663"/>
        <v>5.0302252012403459E-2</v>
      </c>
      <c r="T270" s="88">
        <f t="shared" si="2663"/>
        <v>0.2129269674648846</v>
      </c>
      <c r="U270" s="88">
        <f t="shared" si="2663"/>
        <v>0.43812074226982456</v>
      </c>
      <c r="V270" s="88">
        <f t="shared" si="2663"/>
        <v>-0.16946769516931937</v>
      </c>
      <c r="W270" s="88">
        <f t="shared" si="2663"/>
        <v>0.3807389683360447</v>
      </c>
      <c r="X270" s="88">
        <f t="shared" si="2663"/>
        <v>0.67335455089202623</v>
      </c>
      <c r="Y270" s="88">
        <f t="shared" si="2663"/>
        <v>0.29468651886802633</v>
      </c>
      <c r="Z270" s="88">
        <f t="shared" si="2663"/>
        <v>0.30568890946580685</v>
      </c>
      <c r="AA270" s="46">
        <f t="shared" si="2663"/>
        <v>6.4472062338212899E-2</v>
      </c>
      <c r="AB270" s="46">
        <f t="shared" si="2663"/>
        <v>0.13331331046885198</v>
      </c>
      <c r="AC270" s="46">
        <f t="shared" si="2663"/>
        <v>0.20404356590381045</v>
      </c>
      <c r="AD270" s="46">
        <f t="shared" si="2663"/>
        <v>5.2320186122995826E-2</v>
      </c>
      <c r="AE270" s="46">
        <f t="shared" si="2663"/>
        <v>0.19852157330665854</v>
      </c>
      <c r="AL270" s="88" t="e">
        <f t="shared" ref="AL270:CW270" si="2664">AL48/AK48-1</f>
        <v>#DIV/0!</v>
      </c>
      <c r="AM270" s="88" t="e">
        <f t="shared" si="2664"/>
        <v>#DIV/0!</v>
      </c>
      <c r="AN270" s="88" t="e">
        <f t="shared" si="2664"/>
        <v>#DIV/0!</v>
      </c>
      <c r="AO270" s="88" t="e">
        <f t="shared" si="2664"/>
        <v>#DIV/0!</v>
      </c>
      <c r="AP270" s="88" t="e">
        <f t="shared" si="2664"/>
        <v>#DIV/0!</v>
      </c>
      <c r="AQ270" s="88" t="e">
        <f t="shared" si="2664"/>
        <v>#DIV/0!</v>
      </c>
      <c r="AR270" s="88" t="e">
        <f t="shared" si="2664"/>
        <v>#DIV/0!</v>
      </c>
      <c r="AS270" s="88" t="e">
        <f t="shared" si="2664"/>
        <v>#DIV/0!</v>
      </c>
      <c r="AT270" s="88" t="e">
        <f t="shared" si="2664"/>
        <v>#DIV/0!</v>
      </c>
      <c r="AU270" s="88" t="e">
        <f t="shared" si="2664"/>
        <v>#DIV/0!</v>
      </c>
      <c r="AV270" s="88" t="e">
        <f t="shared" si="2664"/>
        <v>#DIV/0!</v>
      </c>
      <c r="AW270" s="88" t="e">
        <f t="shared" si="2664"/>
        <v>#DIV/0!</v>
      </c>
      <c r="AX270" s="88">
        <f t="shared" si="2664"/>
        <v>35.222862340812881</v>
      </c>
      <c r="AY270" s="88">
        <f t="shared" si="2664"/>
        <v>2.8978093635686397</v>
      </c>
      <c r="AZ270" s="88">
        <f t="shared" si="2664"/>
        <v>-0.62513422271091201</v>
      </c>
      <c r="BA270" s="88">
        <f t="shared" si="2664"/>
        <v>-0.84993755514052949</v>
      </c>
      <c r="BB270" s="88">
        <f t="shared" si="2664"/>
        <v>4.2392150874245926</v>
      </c>
      <c r="BC270" s="88">
        <f t="shared" si="2664"/>
        <v>2.5012678888921296</v>
      </c>
      <c r="BD270" s="88">
        <f t="shared" si="2664"/>
        <v>-0.61406659729448498</v>
      </c>
      <c r="BE270" s="88">
        <f t="shared" si="2664"/>
        <v>-0.87804746523152877</v>
      </c>
      <c r="BF270" s="88">
        <f t="shared" si="2664"/>
        <v>6.6362591200530385</v>
      </c>
      <c r="BG270" s="88">
        <f t="shared" si="2664"/>
        <v>2.3287664887025645</v>
      </c>
      <c r="BH270" s="88">
        <f t="shared" si="2664"/>
        <v>-0.63253359960198896</v>
      </c>
      <c r="BI270" s="88">
        <f t="shared" si="2664"/>
        <v>-0.77374657381853018</v>
      </c>
      <c r="BJ270" s="88">
        <f t="shared" si="2664"/>
        <v>3.5690881700632007</v>
      </c>
      <c r="BK270" s="88">
        <f t="shared" si="2664"/>
        <v>2.6079129937034913</v>
      </c>
      <c r="BL270" s="88">
        <f t="shared" si="2664"/>
        <v>-0.58665935589012541</v>
      </c>
      <c r="BM270" s="88">
        <f t="shared" si="2664"/>
        <v>-0.6446069851563887</v>
      </c>
      <c r="BN270" s="88">
        <f t="shared" si="2664"/>
        <v>1.3428433185297823</v>
      </c>
      <c r="BO270" s="88">
        <f t="shared" si="2664"/>
        <v>0.39291404210122516</v>
      </c>
      <c r="BP270" s="88">
        <f t="shared" si="2664"/>
        <v>8.1891039642885133E-3</v>
      </c>
      <c r="BQ270" s="88">
        <f t="shared" si="2664"/>
        <v>-0.5477165891961453</v>
      </c>
      <c r="BR270" s="88">
        <f t="shared" si="2664"/>
        <v>1.2158339381622922</v>
      </c>
      <c r="BS270" s="88">
        <f t="shared" si="2664"/>
        <v>0.4957208965940112</v>
      </c>
      <c r="BT270" s="88">
        <f t="shared" si="2664"/>
        <v>-0.13340049053959291</v>
      </c>
      <c r="BU270" s="88">
        <f t="shared" si="2664"/>
        <v>-0.58037824342218314</v>
      </c>
      <c r="BV270" s="88">
        <f t="shared" si="2664"/>
        <v>1.5581833423263665</v>
      </c>
      <c r="BW270" s="88">
        <f t="shared" si="2664"/>
        <v>1.3552242291387735</v>
      </c>
      <c r="BX270" s="88">
        <f t="shared" si="2664"/>
        <v>-0.44108707941759961</v>
      </c>
      <c r="BY270" s="88">
        <f t="shared" si="2664"/>
        <v>-0.56006987264408736</v>
      </c>
      <c r="BZ270" s="88">
        <f t="shared" si="2664"/>
        <v>1.5952033300271564</v>
      </c>
      <c r="CA270" s="88">
        <f t="shared" si="2664"/>
        <v>0.89341860913891291</v>
      </c>
      <c r="CB270" s="88">
        <f t="shared" si="2664"/>
        <v>-0.41619568238673232</v>
      </c>
      <c r="CC270" s="88">
        <f t="shared" si="2664"/>
        <v>-0.52582696624118674</v>
      </c>
      <c r="CD270" s="88">
        <f t="shared" si="2664"/>
        <v>1.3638339226416307</v>
      </c>
      <c r="CE270" s="88">
        <f t="shared" si="2664"/>
        <v>1.0138506676537618</v>
      </c>
      <c r="CF270" s="88">
        <f t="shared" si="2664"/>
        <v>-0.42190027505791661</v>
      </c>
      <c r="CG270" s="88">
        <f t="shared" si="2664"/>
        <v>-0.49616895515853221</v>
      </c>
      <c r="CH270" s="88">
        <f t="shared" si="2664"/>
        <v>1.1793572437242541</v>
      </c>
      <c r="CI270" s="88">
        <f t="shared" si="2664"/>
        <v>0.58135279169343512</v>
      </c>
      <c r="CJ270" s="88">
        <f t="shared" si="2664"/>
        <v>-0.42595982635346752</v>
      </c>
      <c r="CK270" s="88">
        <f t="shared" si="2664"/>
        <v>-0.44285395546011119</v>
      </c>
      <c r="CL270" s="88">
        <f t="shared" si="2664"/>
        <v>1.3917288222558737</v>
      </c>
      <c r="CM270" s="46">
        <f t="shared" si="2664"/>
        <v>0.20928749711669137</v>
      </c>
      <c r="CN270" s="46">
        <f t="shared" si="2664"/>
        <v>-0.32048691113167094</v>
      </c>
      <c r="CO270" s="46">
        <f t="shared" si="2664"/>
        <v>-0.13375339552308951</v>
      </c>
      <c r="CP270" s="46">
        <f t="shared" si="2664"/>
        <v>0.70371581533723715</v>
      </c>
      <c r="CQ270" s="46">
        <f t="shared" si="2664"/>
        <v>0.17036119830093543</v>
      </c>
      <c r="CR270" s="46">
        <f t="shared" si="2664"/>
        <v>-0.28475002172436259</v>
      </c>
      <c r="CS270" s="46">
        <f t="shared" si="2664"/>
        <v>-0.15357335225527624</v>
      </c>
      <c r="CT270" s="46">
        <f t="shared" si="2664"/>
        <v>0.48554377878068378</v>
      </c>
      <c r="CU270" s="46">
        <f t="shared" si="2664"/>
        <v>0.16213745413555847</v>
      </c>
      <c r="CV270" s="46">
        <f t="shared" si="2664"/>
        <v>-0.29086610298240057</v>
      </c>
      <c r="CW270" s="46">
        <f t="shared" si="2664"/>
        <v>-0.11557717968153547</v>
      </c>
      <c r="CX270" s="46">
        <f t="shared" ref="CX270:DA270" si="2665">CX48/CW48-1</f>
        <v>0.63325506529264586</v>
      </c>
      <c r="CY270" s="46">
        <f t="shared" si="2665"/>
        <v>0.16758180915613741</v>
      </c>
      <c r="CZ270" s="46">
        <f t="shared" si="2665"/>
        <v>-0.28499525383295721</v>
      </c>
      <c r="DA270" s="46">
        <f t="shared" si="2665"/>
        <v>-0.11599482452281784</v>
      </c>
      <c r="DB270"/>
      <c r="DD270" s="129"/>
    </row>
    <row r="271" spans="1:108" s="102" customFormat="1" x14ac:dyDescent="0.25">
      <c r="A271" s="146" t="s">
        <v>105</v>
      </c>
      <c r="C271" s="102" t="e">
        <f>IF(C269&gt;C270,"RF",0)</f>
        <v>#DIV/0!</v>
      </c>
      <c r="D271" s="102" t="e">
        <f t="shared" ref="D271:U271" si="2666">IF(D269&gt;D270,"RF",0)</f>
        <v>#DIV/0!</v>
      </c>
      <c r="F271" s="102" t="e">
        <f t="shared" si="2666"/>
        <v>#DIV/0!</v>
      </c>
      <c r="G271" s="102">
        <f t="shared" si="2666"/>
        <v>0</v>
      </c>
      <c r="H271" s="102">
        <f t="shared" si="2666"/>
        <v>0</v>
      </c>
      <c r="I271" s="102">
        <f t="shared" si="2666"/>
        <v>0</v>
      </c>
      <c r="J271" s="102" t="str">
        <f t="shared" si="2666"/>
        <v>RF</v>
      </c>
      <c r="K271" s="102" t="str">
        <f t="shared" si="2666"/>
        <v>RF</v>
      </c>
      <c r="L271" s="102" t="str">
        <f t="shared" si="2666"/>
        <v>RF</v>
      </c>
      <c r="M271" s="102" t="str">
        <f t="shared" si="2666"/>
        <v>RF</v>
      </c>
      <c r="N271" s="102" t="str">
        <f t="shared" si="2666"/>
        <v>RF</v>
      </c>
      <c r="O271" s="102">
        <f t="shared" si="2666"/>
        <v>0</v>
      </c>
      <c r="P271" s="102">
        <f t="shared" si="2666"/>
        <v>0</v>
      </c>
      <c r="Q271" s="102">
        <f t="shared" si="2666"/>
        <v>0</v>
      </c>
      <c r="R271" s="102">
        <f t="shared" si="2666"/>
        <v>0</v>
      </c>
      <c r="S271" s="102" t="str">
        <f t="shared" si="2666"/>
        <v>RF</v>
      </c>
      <c r="T271" s="102">
        <f t="shared" si="2666"/>
        <v>0</v>
      </c>
      <c r="U271" s="102">
        <f t="shared" si="2666"/>
        <v>0</v>
      </c>
      <c r="V271" s="102" t="str">
        <f>IF(V269&gt;V270,"RF",0)</f>
        <v>RF</v>
      </c>
      <c r="W271" s="102">
        <f t="shared" ref="W271:AE271" si="2667">IF(W269&gt;W270,"RF",0)</f>
        <v>0</v>
      </c>
      <c r="X271" s="102">
        <f t="shared" si="2667"/>
        <v>0</v>
      </c>
      <c r="Y271" s="102" t="str">
        <f t="shared" si="2667"/>
        <v>RF</v>
      </c>
      <c r="Z271" s="102">
        <f t="shared" si="2667"/>
        <v>0</v>
      </c>
      <c r="AA271" s="72">
        <f t="shared" si="2667"/>
        <v>0</v>
      </c>
      <c r="AB271" s="72">
        <f t="shared" si="2667"/>
        <v>0</v>
      </c>
      <c r="AC271" s="72">
        <f t="shared" si="2667"/>
        <v>0</v>
      </c>
      <c r="AD271" s="72">
        <f t="shared" si="2667"/>
        <v>0</v>
      </c>
      <c r="AE271" s="72">
        <f t="shared" si="2667"/>
        <v>0</v>
      </c>
      <c r="AL271" s="102" t="e">
        <f t="shared" ref="AL271:CW271" si="2668">IF(AL269&gt;AL270,"RF",0)</f>
        <v>#DIV/0!</v>
      </c>
      <c r="AM271" s="102" t="e">
        <f t="shared" si="2668"/>
        <v>#DIV/0!</v>
      </c>
      <c r="AN271" s="102" t="e">
        <f t="shared" si="2668"/>
        <v>#DIV/0!</v>
      </c>
      <c r="AO271" s="102" t="e">
        <f t="shared" si="2668"/>
        <v>#DIV/0!</v>
      </c>
      <c r="AP271" s="102" t="e">
        <f t="shared" si="2668"/>
        <v>#DIV/0!</v>
      </c>
      <c r="AQ271" s="102" t="e">
        <f t="shared" si="2668"/>
        <v>#DIV/0!</v>
      </c>
      <c r="AR271" s="102" t="e">
        <f t="shared" si="2668"/>
        <v>#DIV/0!</v>
      </c>
      <c r="AS271" s="102" t="e">
        <f t="shared" si="2668"/>
        <v>#DIV/0!</v>
      </c>
      <c r="AT271" s="102" t="e">
        <f t="shared" si="2668"/>
        <v>#DIV/0!</v>
      </c>
      <c r="AU271" s="102" t="e">
        <f t="shared" si="2668"/>
        <v>#DIV/0!</v>
      </c>
      <c r="AV271" s="102" t="e">
        <f t="shared" si="2668"/>
        <v>#DIV/0!</v>
      </c>
      <c r="AW271" s="102" t="e">
        <f t="shared" si="2668"/>
        <v>#DIV/0!</v>
      </c>
      <c r="AX271" s="102">
        <f t="shared" si="2668"/>
        <v>0</v>
      </c>
      <c r="AY271" s="102">
        <f t="shared" si="2668"/>
        <v>0</v>
      </c>
      <c r="AZ271" s="102" t="e">
        <f t="shared" si="2668"/>
        <v>#DIV/0!</v>
      </c>
      <c r="BA271" s="102" t="e">
        <f t="shared" si="2668"/>
        <v>#DIV/0!</v>
      </c>
      <c r="BB271" s="102">
        <f t="shared" si="2668"/>
        <v>0</v>
      </c>
      <c r="BC271" s="102">
        <f t="shared" si="2668"/>
        <v>0</v>
      </c>
      <c r="BD271" s="102" t="str">
        <f t="shared" si="2668"/>
        <v>RF</v>
      </c>
      <c r="BE271" s="102" t="str">
        <f t="shared" si="2668"/>
        <v>RF</v>
      </c>
      <c r="BF271" s="102">
        <f t="shared" si="2668"/>
        <v>0</v>
      </c>
      <c r="BG271" s="102">
        <f t="shared" si="2668"/>
        <v>0</v>
      </c>
      <c r="BH271" s="102" t="str">
        <f t="shared" si="2668"/>
        <v>RF</v>
      </c>
      <c r="BI271" s="102" t="str">
        <f t="shared" si="2668"/>
        <v>RF</v>
      </c>
      <c r="BJ271" s="102">
        <f t="shared" si="2668"/>
        <v>0</v>
      </c>
      <c r="BK271" s="102">
        <f t="shared" si="2668"/>
        <v>0</v>
      </c>
      <c r="BL271" s="102" t="str">
        <f t="shared" si="2668"/>
        <v>RF</v>
      </c>
      <c r="BM271" s="102" t="str">
        <f t="shared" si="2668"/>
        <v>RF</v>
      </c>
      <c r="BN271" s="102">
        <f t="shared" si="2668"/>
        <v>0</v>
      </c>
      <c r="BO271" s="102">
        <f t="shared" si="2668"/>
        <v>0</v>
      </c>
      <c r="BP271" s="102">
        <f t="shared" si="2668"/>
        <v>0</v>
      </c>
      <c r="BQ271" s="102" t="str">
        <f t="shared" si="2668"/>
        <v>RF</v>
      </c>
      <c r="BR271" s="102">
        <f t="shared" si="2668"/>
        <v>0</v>
      </c>
      <c r="BS271" s="102">
        <f t="shared" si="2668"/>
        <v>0</v>
      </c>
      <c r="BT271" s="102" t="str">
        <f t="shared" si="2668"/>
        <v>RF</v>
      </c>
      <c r="BU271" s="102" t="str">
        <f t="shared" si="2668"/>
        <v>RF</v>
      </c>
      <c r="BV271" s="102">
        <f t="shared" si="2668"/>
        <v>0</v>
      </c>
      <c r="BW271" s="102">
        <f t="shared" si="2668"/>
        <v>0</v>
      </c>
      <c r="BX271" s="102" t="str">
        <f t="shared" si="2668"/>
        <v>RF</v>
      </c>
      <c r="BY271" s="102" t="str">
        <f t="shared" si="2668"/>
        <v>RF</v>
      </c>
      <c r="BZ271" s="102">
        <f t="shared" si="2668"/>
        <v>0</v>
      </c>
      <c r="CA271" s="102">
        <f t="shared" si="2668"/>
        <v>0</v>
      </c>
      <c r="CB271" s="102" t="str">
        <f t="shared" si="2668"/>
        <v>RF</v>
      </c>
      <c r="CC271" s="102" t="str">
        <f t="shared" si="2668"/>
        <v>RF</v>
      </c>
      <c r="CD271" s="102">
        <f t="shared" si="2668"/>
        <v>0</v>
      </c>
      <c r="CE271" s="102">
        <f t="shared" si="2668"/>
        <v>0</v>
      </c>
      <c r="CF271" s="102" t="str">
        <f t="shared" si="2668"/>
        <v>RF</v>
      </c>
      <c r="CG271" s="102">
        <f t="shared" si="2668"/>
        <v>0</v>
      </c>
      <c r="CH271" s="102">
        <f t="shared" si="2668"/>
        <v>0</v>
      </c>
      <c r="CI271" s="102">
        <f t="shared" si="2668"/>
        <v>0</v>
      </c>
      <c r="CJ271" s="102" t="str">
        <f t="shared" si="2668"/>
        <v>RF</v>
      </c>
      <c r="CK271" s="102" t="str">
        <f t="shared" si="2668"/>
        <v>RF</v>
      </c>
      <c r="CL271" s="102">
        <f t="shared" si="2668"/>
        <v>0</v>
      </c>
      <c r="CM271" s="72">
        <f t="shared" si="2668"/>
        <v>0</v>
      </c>
      <c r="CN271" s="72" t="str">
        <f t="shared" si="2668"/>
        <v>RF</v>
      </c>
      <c r="CO271" s="72" t="str">
        <f t="shared" si="2668"/>
        <v>RF</v>
      </c>
      <c r="CP271" s="72">
        <f t="shared" si="2668"/>
        <v>0</v>
      </c>
      <c r="CQ271" s="72">
        <f t="shared" si="2668"/>
        <v>0</v>
      </c>
      <c r="CR271" s="72" t="str">
        <f t="shared" si="2668"/>
        <v>RF</v>
      </c>
      <c r="CS271" s="72" t="str">
        <f t="shared" si="2668"/>
        <v>RF</v>
      </c>
      <c r="CT271" s="72">
        <f t="shared" si="2668"/>
        <v>0</v>
      </c>
      <c r="CU271" s="72">
        <f t="shared" si="2668"/>
        <v>0</v>
      </c>
      <c r="CV271" s="72" t="str">
        <f t="shared" si="2668"/>
        <v>RF</v>
      </c>
      <c r="CW271" s="72" t="str">
        <f t="shared" si="2668"/>
        <v>RF</v>
      </c>
      <c r="CX271" s="72">
        <f t="shared" ref="CX271:DA271" si="2669">IF(CX269&gt;CX270,"RF",0)</f>
        <v>0</v>
      </c>
      <c r="CY271" s="72">
        <f t="shared" si="2669"/>
        <v>0</v>
      </c>
      <c r="CZ271" s="72" t="str">
        <f t="shared" si="2669"/>
        <v>RF</v>
      </c>
      <c r="DA271" s="72" t="str">
        <f t="shared" si="2669"/>
        <v>RF</v>
      </c>
      <c r="DB271"/>
      <c r="DD271" s="141"/>
    </row>
    <row r="272" spans="1:108" s="85" customFormat="1" x14ac:dyDescent="0.25">
      <c r="A272" s="85" t="s">
        <v>432</v>
      </c>
      <c r="B272" s="85" t="e">
        <f>B56/B28</f>
        <v>#DIV/0!</v>
      </c>
      <c r="C272" s="85" t="e">
        <f>C56/C28</f>
        <v>#DIV/0!</v>
      </c>
      <c r="D272" s="85" t="e">
        <f>D56/D28</f>
        <v>#DIV/0!</v>
      </c>
      <c r="F272" s="85">
        <f t="shared" ref="F272:AE272" si="2670">F56/F28</f>
        <v>4.1101142926953251E-2</v>
      </c>
      <c r="G272" s="85">
        <f t="shared" si="2670"/>
        <v>3.5963188712206634E-2</v>
      </c>
      <c r="H272" s="85">
        <f t="shared" si="2670"/>
        <v>3.3474517159879931E-2</v>
      </c>
      <c r="I272" s="85">
        <f t="shared" si="2670"/>
        <v>2.4533975645771769E-2</v>
      </c>
      <c r="J272" s="85">
        <f t="shared" si="2670"/>
        <v>3.2605270701130347E-2</v>
      </c>
      <c r="K272" s="85">
        <f t="shared" si="2670"/>
        <v>3.4282921622470854E-2</v>
      </c>
      <c r="L272" s="85">
        <f t="shared" si="2670"/>
        <v>4.6842507494687047E-2</v>
      </c>
      <c r="M272" s="85">
        <f t="shared" si="2670"/>
        <v>5.8188283342649708E-2</v>
      </c>
      <c r="N272" s="85">
        <f t="shared" si="2670"/>
        <v>5.8412440751254457E-2</v>
      </c>
      <c r="O272" s="85">
        <f t="shared" si="2670"/>
        <v>7.2795579057772453E-2</v>
      </c>
      <c r="P272" s="85">
        <f t="shared" si="2670"/>
        <v>6.6650682265923994E-2</v>
      </c>
      <c r="Q272" s="85">
        <f t="shared" si="2670"/>
        <v>4.3562626123494395E-2</v>
      </c>
      <c r="R272" s="85">
        <f t="shared" si="2670"/>
        <v>9.5938815318061879E-2</v>
      </c>
      <c r="S272" s="85">
        <f t="shared" si="2670"/>
        <v>4.7514191131519799E-2</v>
      </c>
      <c r="T272" s="85">
        <f t="shared" si="2670"/>
        <v>3.6079494297962082E-2</v>
      </c>
      <c r="U272" s="85">
        <f t="shared" si="2670"/>
        <v>3.7575300585372881E-2</v>
      </c>
      <c r="V272" s="85">
        <f t="shared" si="2670"/>
        <v>3.83458267746139E-2</v>
      </c>
      <c r="W272" s="85">
        <f t="shared" si="2670"/>
        <v>2.2266144794332053E-2</v>
      </c>
      <c r="X272" s="85">
        <f t="shared" si="2670"/>
        <v>1.4819342092575013E-2</v>
      </c>
      <c r="Y272" s="85">
        <f t="shared" si="2670"/>
        <v>1.7509245502505648E-2</v>
      </c>
      <c r="Z272" s="85">
        <f t="shared" si="2670"/>
        <v>2.2739698041969483E-2</v>
      </c>
      <c r="AA272" s="86">
        <f t="shared" si="2670"/>
        <v>7.6299007486147511E-3</v>
      </c>
      <c r="AB272" s="86">
        <f t="shared" si="2670"/>
        <v>-5.0543179958800234E-3</v>
      </c>
      <c r="AC272" s="86">
        <f t="shared" si="2670"/>
        <v>-1.5426239582386326E-2</v>
      </c>
      <c r="AD272" s="86">
        <f t="shared" si="2670"/>
        <v>-1.7978589355072402E-2</v>
      </c>
      <c r="AE272" s="86">
        <f t="shared" si="2670"/>
        <v>-2.1569454963195386E-2</v>
      </c>
      <c r="AL272" s="85" t="e">
        <f t="shared" ref="AL272:BQ272" si="2671">AL56/AL28</f>
        <v>#DIV/0!</v>
      </c>
      <c r="AM272" s="85" t="e">
        <f t="shared" si="2671"/>
        <v>#DIV/0!</v>
      </c>
      <c r="AN272" s="85" t="e">
        <f t="shared" si="2671"/>
        <v>#DIV/0!</v>
      </c>
      <c r="AO272" s="85" t="e">
        <f t="shared" si="2671"/>
        <v>#DIV/0!</v>
      </c>
      <c r="AP272" s="85" t="e">
        <f t="shared" si="2671"/>
        <v>#DIV/0!</v>
      </c>
      <c r="AQ272" s="85" t="e">
        <f t="shared" si="2671"/>
        <v>#DIV/0!</v>
      </c>
      <c r="AR272" s="85" t="e">
        <f t="shared" si="2671"/>
        <v>#DIV/0!</v>
      </c>
      <c r="AS272" s="85" t="e">
        <f t="shared" si="2671"/>
        <v>#DIV/0!</v>
      </c>
      <c r="AT272" s="85" t="e">
        <f t="shared" si="2671"/>
        <v>#DIV/0!</v>
      </c>
      <c r="AU272" s="85" t="e">
        <f t="shared" si="2671"/>
        <v>#DIV/0!</v>
      </c>
      <c r="AV272" s="85" t="e">
        <f t="shared" si="2671"/>
        <v>#DIV/0!</v>
      </c>
      <c r="AW272" s="85">
        <f t="shared" si="2671"/>
        <v>0.12673177146629075</v>
      </c>
      <c r="AX272" s="85">
        <f t="shared" si="2671"/>
        <v>0.10559713524594531</v>
      </c>
      <c r="AY272" s="85">
        <f t="shared" si="2671"/>
        <v>5.6294972939143657E-2</v>
      </c>
      <c r="AZ272" s="85">
        <f t="shared" si="2671"/>
        <v>0.10772709008080016</v>
      </c>
      <c r="BA272" s="85">
        <f t="shared" si="2671"/>
        <v>0.20676119161287546</v>
      </c>
      <c r="BB272" s="85">
        <f t="shared" si="2671"/>
        <v>5.3869730998670644E-2</v>
      </c>
      <c r="BC272" s="85">
        <f t="shared" si="2671"/>
        <v>2.6544371349224695E-2</v>
      </c>
      <c r="BD272" s="85">
        <f t="shared" si="2671"/>
        <v>5.2236796825975179E-2</v>
      </c>
      <c r="BE272" s="85">
        <f t="shared" si="2671"/>
        <v>9.6816158597733432E-2</v>
      </c>
      <c r="BF272" s="85">
        <f t="shared" si="2671"/>
        <v>5.3384213625951443E-2</v>
      </c>
      <c r="BG272" s="85">
        <f t="shared" si="2671"/>
        <v>2.4683069276054216E-2</v>
      </c>
      <c r="BH272" s="85">
        <f t="shared" si="2671"/>
        <v>3.9153288040974003E-2</v>
      </c>
      <c r="BI272" s="85">
        <f t="shared" si="2671"/>
        <v>6.6808267745421493E-2</v>
      </c>
      <c r="BJ272" s="85">
        <f t="shared" si="2671"/>
        <v>4.2755106992793751E-2</v>
      </c>
      <c r="BK272" s="85">
        <f t="shared" si="2671"/>
        <v>2.9745123461357853E-2</v>
      </c>
      <c r="BL272" s="85">
        <f t="shared" si="2671"/>
        <v>4.8814845539061388E-2</v>
      </c>
      <c r="BM272" s="85">
        <f t="shared" si="2671"/>
        <v>6.3781982759663902E-2</v>
      </c>
      <c r="BN272" s="85">
        <f t="shared" si="2671"/>
        <v>5.1180875304840723E-2</v>
      </c>
      <c r="BO272" s="85">
        <f t="shared" si="2671"/>
        <v>4.4538299443473872E-2</v>
      </c>
      <c r="BP272" s="85">
        <f t="shared" si="2671"/>
        <v>3.1509953172414021E-2</v>
      </c>
      <c r="BQ272" s="85">
        <f t="shared" si="2671"/>
        <v>4.5869319245577904E-2</v>
      </c>
      <c r="BR272" s="85">
        <f t="shared" ref="BR272:DA272" si="2672">BR56/BR28</f>
        <v>2.552605273325383E-2</v>
      </c>
      <c r="BS272" s="85">
        <f t="shared" si="2672"/>
        <v>1.8838570722065337E-2</v>
      </c>
      <c r="BT272" s="85">
        <f t="shared" si="2672"/>
        <v>1.7491970690459154E-2</v>
      </c>
      <c r="BU272" s="85">
        <f t="shared" si="2672"/>
        <v>2.1130511247999927E-2</v>
      </c>
      <c r="BV272" s="85">
        <f t="shared" si="2672"/>
        <v>1.6375022362864637E-2</v>
      </c>
      <c r="BW272" s="85">
        <f t="shared" si="2672"/>
        <v>9.2470964559573116E-3</v>
      </c>
      <c r="BX272" s="85">
        <f t="shared" si="2672"/>
        <v>1.394111698254936E-2</v>
      </c>
      <c r="BY272" s="85">
        <f t="shared" si="2672"/>
        <v>2.1036673295820797E-2</v>
      </c>
      <c r="BZ272" s="85">
        <f t="shared" si="2672"/>
        <v>1.5830628567438422E-2</v>
      </c>
      <c r="CA272" s="85">
        <f t="shared" si="2672"/>
        <v>1.2170392513054117E-2</v>
      </c>
      <c r="CB272" s="85">
        <f t="shared" si="2672"/>
        <v>1.5871983942123382E-2</v>
      </c>
      <c r="CC272" s="85">
        <f t="shared" si="2672"/>
        <v>2.6971616803040083E-2</v>
      </c>
      <c r="CD272" s="85">
        <f t="shared" si="2672"/>
        <v>2.1302279682945353E-2</v>
      </c>
      <c r="CE272" s="85">
        <f t="shared" si="2672"/>
        <v>1.7611777565181536E-2</v>
      </c>
      <c r="CF272" s="85">
        <f t="shared" si="2672"/>
        <v>2.4033563250738382E-2</v>
      </c>
      <c r="CG272" s="85">
        <f t="shared" si="2672"/>
        <v>2.8553167357106467E-2</v>
      </c>
      <c r="CH272" s="85">
        <f t="shared" si="2672"/>
        <v>7.2401077037323423E-3</v>
      </c>
      <c r="CI272" s="85">
        <f t="shared" si="2672"/>
        <v>5.1021768608524249E-3</v>
      </c>
      <c r="CJ272" s="85">
        <f t="shared" si="2672"/>
        <v>8.9572723804029596E-3</v>
      </c>
      <c r="CK272" s="85">
        <f t="shared" si="2672"/>
        <v>1.0771905015116056E-2</v>
      </c>
      <c r="CL272" s="85">
        <f t="shared" si="2672"/>
        <v>7.2193309357666251E-3</v>
      </c>
      <c r="CM272" s="86">
        <f t="shared" si="2672"/>
        <v>-5.3557645810028524E-3</v>
      </c>
      <c r="CN272" s="86">
        <f t="shared" si="2672"/>
        <v>-8.8772663719574561E-3</v>
      </c>
      <c r="CO272" s="86">
        <f t="shared" si="2672"/>
        <v>-1.6993362957782913E-2</v>
      </c>
      <c r="CP272" s="86">
        <f t="shared" si="2672"/>
        <v>-1.2822040440655056E-2</v>
      </c>
      <c r="CQ272" s="86">
        <f t="shared" si="2672"/>
        <v>-1.021783344845467E-2</v>
      </c>
      <c r="CR272" s="86">
        <f t="shared" si="2672"/>
        <v>-1.6402291516198778E-2</v>
      </c>
      <c r="CS272" s="86">
        <f t="shared" si="2672"/>
        <v>-2.621144793741019E-2</v>
      </c>
      <c r="CT272" s="86">
        <f t="shared" si="2672"/>
        <v>-1.5333725220098576E-2</v>
      </c>
      <c r="CU272" s="86">
        <f t="shared" si="2672"/>
        <v>-1.2888274099397823E-2</v>
      </c>
      <c r="CV272" s="86">
        <f t="shared" si="2672"/>
        <v>-1.9578805613619923E-2</v>
      </c>
      <c r="CW272" s="86">
        <f t="shared" si="2672"/>
        <v>-2.7863202513806844E-2</v>
      </c>
      <c r="CX272" s="86">
        <f t="shared" si="2672"/>
        <v>-1.8896384124491097E-2</v>
      </c>
      <c r="CY272" s="86">
        <f t="shared" si="2672"/>
        <v>-1.5607235120523777E-2</v>
      </c>
      <c r="CZ272" s="86">
        <f t="shared" si="2672"/>
        <v>-2.3504381468634532E-2</v>
      </c>
      <c r="DA272" s="86">
        <f t="shared" si="2672"/>
        <v>-3.2431748432678875E-2</v>
      </c>
      <c r="DB272"/>
      <c r="DD272" s="140"/>
    </row>
    <row r="273" spans="1:108" s="85" customFormat="1" x14ac:dyDescent="0.25">
      <c r="A273" s="85" t="s">
        <v>433</v>
      </c>
      <c r="B273" s="85" t="e">
        <f>B52/B28</f>
        <v>#DIV/0!</v>
      </c>
      <c r="C273" s="85" t="e">
        <f>C52/C28</f>
        <v>#DIV/0!</v>
      </c>
      <c r="D273" s="85" t="e">
        <f>D52/D28</f>
        <v>#DIV/0!</v>
      </c>
      <c r="F273" s="85">
        <f t="shared" ref="F273:AE273" si="2673">F52/F28</f>
        <v>5.3052711247108419E-2</v>
      </c>
      <c r="G273" s="85">
        <f t="shared" si="2673"/>
        <v>6.8550431710717855E-2</v>
      </c>
      <c r="H273" s="85">
        <f t="shared" si="2673"/>
        <v>6.9902837881473903E-2</v>
      </c>
      <c r="I273" s="85">
        <f t="shared" si="2673"/>
        <v>4.3646152549882543E-2</v>
      </c>
      <c r="J273" s="85">
        <f t="shared" si="2673"/>
        <v>4.5577458498778298E-2</v>
      </c>
      <c r="K273" s="85">
        <f t="shared" si="2673"/>
        <v>4.2876379545859225E-2</v>
      </c>
      <c r="L273" s="85">
        <f t="shared" si="2673"/>
        <v>4.6213255438734321E-2</v>
      </c>
      <c r="M273" s="85">
        <f t="shared" si="2673"/>
        <v>4.5182250857052388E-2</v>
      </c>
      <c r="N273" s="85">
        <f t="shared" si="2673"/>
        <v>6.8369049573086788E-2</v>
      </c>
      <c r="O273" s="85">
        <f t="shared" si="2673"/>
        <v>7.8411073961805453E-2</v>
      </c>
      <c r="P273" s="85">
        <f t="shared" si="2673"/>
        <v>7.4724109006024039E-2</v>
      </c>
      <c r="Q273" s="85">
        <f t="shared" si="2673"/>
        <v>8.12641100859368E-2</v>
      </c>
      <c r="R273" s="85">
        <f t="shared" si="2673"/>
        <v>7.110466138845728E-2</v>
      </c>
      <c r="S273" s="85">
        <f t="shared" si="2673"/>
        <v>7.6752007195147784E-2</v>
      </c>
      <c r="T273" s="85">
        <f t="shared" si="2673"/>
        <v>6.2356121189195209E-2</v>
      </c>
      <c r="U273" s="85">
        <f t="shared" si="2673"/>
        <v>5.6613735586831006E-2</v>
      </c>
      <c r="V273" s="85">
        <f t="shared" si="2673"/>
        <v>6.901857189144113E-2</v>
      </c>
      <c r="W273" s="85">
        <f t="shared" si="2673"/>
        <v>5.7061607851843582E-2</v>
      </c>
      <c r="X273" s="85">
        <f t="shared" si="2673"/>
        <v>4.4815862484010642E-2</v>
      </c>
      <c r="Y273" s="85">
        <f t="shared" si="2673"/>
        <v>4.0885990219753802E-2</v>
      </c>
      <c r="Z273" s="85">
        <f t="shared" si="2673"/>
        <v>4.4616163694480154E-2</v>
      </c>
      <c r="AA273" s="86">
        <f t="shared" si="2673"/>
        <v>5.4732555059070674E-2</v>
      </c>
      <c r="AB273" s="86">
        <f t="shared" si="2673"/>
        <v>6.1318816379451586E-2</v>
      </c>
      <c r="AC273" s="86">
        <f t="shared" si="2673"/>
        <v>5.5682088786616395E-2</v>
      </c>
      <c r="AD273" s="86">
        <f t="shared" si="2673"/>
        <v>5.310825570584235E-2</v>
      </c>
      <c r="AE273" s="86">
        <f t="shared" si="2673"/>
        <v>4.5179897029176144E-2</v>
      </c>
      <c r="AL273" s="85" t="e">
        <f t="shared" ref="AL273:BQ273" si="2674">AL52/AL28</f>
        <v>#DIV/0!</v>
      </c>
      <c r="AM273" s="85" t="e">
        <f t="shared" si="2674"/>
        <v>#DIV/0!</v>
      </c>
      <c r="AN273" s="85" t="e">
        <f t="shared" si="2674"/>
        <v>#DIV/0!</v>
      </c>
      <c r="AO273" s="85" t="e">
        <f t="shared" si="2674"/>
        <v>#DIV/0!</v>
      </c>
      <c r="AP273" s="85" t="e">
        <f t="shared" si="2674"/>
        <v>#DIV/0!</v>
      </c>
      <c r="AQ273" s="85" t="e">
        <f t="shared" si="2674"/>
        <v>#DIV/0!</v>
      </c>
      <c r="AR273" s="85" t="e">
        <f t="shared" si="2674"/>
        <v>#DIV/0!</v>
      </c>
      <c r="AS273" s="85" t="e">
        <f t="shared" si="2674"/>
        <v>#DIV/0!</v>
      </c>
      <c r="AT273" s="85" t="e">
        <f t="shared" si="2674"/>
        <v>#DIV/0!</v>
      </c>
      <c r="AU273" s="85" t="e">
        <f t="shared" si="2674"/>
        <v>#DIV/0!</v>
      </c>
      <c r="AV273" s="85" t="e">
        <f t="shared" si="2674"/>
        <v>#DIV/0!</v>
      </c>
      <c r="AW273" s="85">
        <f t="shared" si="2674"/>
        <v>0.2267376559713655</v>
      </c>
      <c r="AX273" s="85">
        <f t="shared" si="2674"/>
        <v>7.4998378020875611E-2</v>
      </c>
      <c r="AY273" s="85">
        <f t="shared" si="2674"/>
        <v>3.8857832684742286E-2</v>
      </c>
      <c r="AZ273" s="85">
        <f t="shared" si="2674"/>
        <v>7.527437681243615E-2</v>
      </c>
      <c r="BA273" s="85">
        <f t="shared" si="2674"/>
        <v>0.16406302847432475</v>
      </c>
      <c r="BB273" s="85">
        <f t="shared" si="2674"/>
        <v>7.6203245448844645E-2</v>
      </c>
      <c r="BC273" s="85">
        <f t="shared" si="2674"/>
        <v>4.6899520012078547E-2</v>
      </c>
      <c r="BD273" s="85">
        <f t="shared" si="2674"/>
        <v>8.892633752353192E-2</v>
      </c>
      <c r="BE273" s="85">
        <f t="shared" si="2674"/>
        <v>0.16193374709961855</v>
      </c>
      <c r="BF273" s="85">
        <f t="shared" si="2674"/>
        <v>8.1131673694930295E-2</v>
      </c>
      <c r="BG273" s="85">
        <f t="shared" si="2674"/>
        <v>4.7704356301373388E-2</v>
      </c>
      <c r="BH273" s="85">
        <f t="shared" si="2674"/>
        <v>8.2943466467851862E-2</v>
      </c>
      <c r="BI273" s="85">
        <f t="shared" si="2674"/>
        <v>0.11697509255263717</v>
      </c>
      <c r="BJ273" s="85">
        <f t="shared" si="2674"/>
        <v>7.1728594741298571E-2</v>
      </c>
      <c r="BK273" s="85">
        <f t="shared" si="2674"/>
        <v>4.3980993589597464E-2</v>
      </c>
      <c r="BL273" s="85">
        <f t="shared" si="2674"/>
        <v>7.1667556815207978E-2</v>
      </c>
      <c r="BM273" s="85">
        <f t="shared" si="2674"/>
        <v>0.11040107782353867</v>
      </c>
      <c r="BN273" s="85">
        <f t="shared" si="2674"/>
        <v>7.9519293240303934E-2</v>
      </c>
      <c r="BO273" s="85">
        <f t="shared" si="2674"/>
        <v>7.463033337535796E-2</v>
      </c>
      <c r="BP273" s="85">
        <f t="shared" si="2674"/>
        <v>7.3168239002258204E-2</v>
      </c>
      <c r="BQ273" s="85">
        <f t="shared" si="2674"/>
        <v>9.9659670889391941E-2</v>
      </c>
      <c r="BR273" s="85">
        <f t="shared" ref="BR273:DA273" si="2675">BR52/BR28</f>
        <v>5.9351674121549319E-2</v>
      </c>
      <c r="BS273" s="85">
        <f t="shared" si="2675"/>
        <v>5.1862149845109479E-2</v>
      </c>
      <c r="BT273" s="85">
        <f t="shared" si="2675"/>
        <v>5.6748922527714324E-2</v>
      </c>
      <c r="BU273" s="85">
        <f t="shared" si="2675"/>
        <v>7.3245148832592227E-2</v>
      </c>
      <c r="BV273" s="85">
        <f t="shared" si="2675"/>
        <v>4.5796008128399984E-2</v>
      </c>
      <c r="BW273" s="85">
        <f t="shared" si="2675"/>
        <v>3.050736660637858E-2</v>
      </c>
      <c r="BX273" s="85">
        <f t="shared" si="2675"/>
        <v>4.7144279862882339E-2</v>
      </c>
      <c r="BY273" s="85">
        <f t="shared" si="2675"/>
        <v>7.9593266173459951E-2</v>
      </c>
      <c r="BZ273" s="85">
        <f t="shared" si="2675"/>
        <v>4.356610638439444E-2</v>
      </c>
      <c r="CA273" s="85">
        <f t="shared" si="2675"/>
        <v>3.0164039234111623E-2</v>
      </c>
      <c r="CB273" s="85">
        <f t="shared" si="2675"/>
        <v>4.3376989330979367E-2</v>
      </c>
      <c r="CC273" s="85">
        <f t="shared" si="2675"/>
        <v>6.0773743657043515E-2</v>
      </c>
      <c r="CD273" s="85">
        <f t="shared" si="2675"/>
        <v>4.2636846916084208E-2</v>
      </c>
      <c r="CE273" s="85">
        <f t="shared" si="2675"/>
        <v>3.3063518521144662E-2</v>
      </c>
      <c r="CF273" s="85">
        <f t="shared" si="2675"/>
        <v>5.2029161845321865E-2</v>
      </c>
      <c r="CG273" s="85">
        <f t="shared" si="2675"/>
        <v>6.8310188429163227E-2</v>
      </c>
      <c r="CH273" s="85">
        <f t="shared" si="2675"/>
        <v>4.7977421230114087E-2</v>
      </c>
      <c r="CI273" s="85">
        <f t="shared" si="2675"/>
        <v>4.2740486171965714E-2</v>
      </c>
      <c r="CJ273" s="85">
        <f t="shared" si="2675"/>
        <v>6.0938138280443019E-2</v>
      </c>
      <c r="CK273" s="85">
        <f t="shared" si="2675"/>
        <v>7.6174075129273711E-2</v>
      </c>
      <c r="CL273" s="85">
        <f t="shared" si="2675"/>
        <v>5.3082204263697419E-2</v>
      </c>
      <c r="CM273" s="86">
        <f t="shared" si="2675"/>
        <v>4.9871176450485638E-2</v>
      </c>
      <c r="CN273" s="86">
        <f t="shared" si="2675"/>
        <v>7.0218224686970337E-2</v>
      </c>
      <c r="CO273" s="86">
        <f t="shared" si="2675"/>
        <v>8.0685935598928379E-2</v>
      </c>
      <c r="CP273" s="86">
        <f t="shared" si="2675"/>
        <v>5.1302235565967198E-2</v>
      </c>
      <c r="CQ273" s="86">
        <f t="shared" si="2675"/>
        <v>4.4378961583831679E-2</v>
      </c>
      <c r="CR273" s="86">
        <f t="shared" si="2675"/>
        <v>6.2681578176186012E-2</v>
      </c>
      <c r="CS273" s="86">
        <f t="shared" si="2675"/>
        <v>7.1785666123494379E-2</v>
      </c>
      <c r="CT273" s="86">
        <f t="shared" si="2675"/>
        <v>4.9157608203940224E-2</v>
      </c>
      <c r="CU273" s="86">
        <f t="shared" si="2675"/>
        <v>4.2365262506180543E-2</v>
      </c>
      <c r="CV273" s="86">
        <f t="shared" si="2675"/>
        <v>5.9670129936299443E-2</v>
      </c>
      <c r="CW273" s="86">
        <f t="shared" si="2675"/>
        <v>6.8129433519068139E-2</v>
      </c>
      <c r="CX273" s="86">
        <f t="shared" si="2675"/>
        <v>4.1980466114487323E-2</v>
      </c>
      <c r="CY273" s="86">
        <f t="shared" si="2675"/>
        <v>3.6088163765677701E-2</v>
      </c>
      <c r="CZ273" s="86">
        <f t="shared" si="2675"/>
        <v>5.0687500788500726E-2</v>
      </c>
      <c r="DA273" s="86">
        <f t="shared" si="2675"/>
        <v>5.7661962501565987E-2</v>
      </c>
      <c r="DB273"/>
      <c r="DD273" s="140"/>
    </row>
    <row r="274" spans="1:108" s="84" customFormat="1" x14ac:dyDescent="0.25">
      <c r="AA274" s="57"/>
      <c r="AB274" s="57"/>
      <c r="AC274" s="57"/>
      <c r="AD274" s="57"/>
      <c r="AE274" s="57"/>
      <c r="CM274" s="71"/>
      <c r="CN274" s="71"/>
      <c r="CO274" s="71"/>
      <c r="CP274" s="71"/>
      <c r="CQ274" s="71"/>
      <c r="CR274" s="71"/>
      <c r="CS274" s="71"/>
      <c r="CT274" s="71"/>
      <c r="CU274" s="71"/>
      <c r="CV274" s="71"/>
      <c r="CW274" s="71"/>
      <c r="CX274" s="71"/>
      <c r="CY274" s="71"/>
      <c r="CZ274" s="71"/>
      <c r="DA274" s="71"/>
      <c r="DB274"/>
      <c r="DD27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A46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'[1]Annual Raw'!A1</f>
        <v>209550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Varun Beverages Ltd.</v>
      </c>
    </row>
    <row r="5" spans="1:73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384.29899999999998</v>
      </c>
      <c r="R6">
        <f>_xll.EQNXTDZ($A$1,$B6,R$1,$B$1)</f>
        <v>1027.06</v>
      </c>
      <c r="S6">
        <f>_xll.EQNXTDZ($A$1,$B6,S$1,$B$1)</f>
        <v>1970.146</v>
      </c>
      <c r="T6">
        <f>_xll.EQNXTDZ($A$1,$B6,T$1,$B$1)</f>
        <v>1024.373</v>
      </c>
      <c r="U6">
        <f>_xll.EQNXTDZ($A$1,$B6,U$1,$B$1)</f>
        <v>487.84300000000002</v>
      </c>
      <c r="V6">
        <f>_xll.EQNXTDZ($A$1,$B6,V$1,$B$1)</f>
        <v>1050.8869999999999</v>
      </c>
      <c r="W6">
        <f>_xll.EQNXTDZ($A$1,$B6,W$1,$B$1)</f>
        <v>1934.0070000000001</v>
      </c>
      <c r="X6">
        <f>_xll.EQNXTDZ($A$1,$B6,X$1,$B$1)</f>
        <v>988.02</v>
      </c>
      <c r="Y6">
        <f>_xll.EQNXTDZ($A$1,$B6,Y$1,$B$1)</f>
        <v>543.46299999999997</v>
      </c>
      <c r="Z6">
        <f>_xll.EQNXTDZ($A$1,$B6,Z$1,$B$1)</f>
        <v>1122.373</v>
      </c>
      <c r="AA6">
        <f>_xll.EQNXTDZ($A$1,$B6,AA$1,$B$1)</f>
        <v>2097.1460000000002</v>
      </c>
      <c r="AB6">
        <f>_xll.EQNXTDZ($A$1,$B6,AB$1,$B$1)</f>
        <v>1204.471</v>
      </c>
      <c r="AC6">
        <f>_xll.EQNXTDZ($A$1,$B6,AC$1,$B$1)</f>
        <v>804.13699999999994</v>
      </c>
      <c r="AD6">
        <f>_xll.EQNXTDZ($A$1,$B6,AD$1,$B$1)</f>
        <v>1380.607</v>
      </c>
      <c r="AE6">
        <f>_xll.EQNXTDZ($A$1,$B6,AE$1,$B$1)</f>
        <v>2851.4589999999998</v>
      </c>
      <c r="AF6">
        <f>_xll.EQNXTDZ($A$1,$B6,AF$1,$B$1)</f>
        <v>1776.857</v>
      </c>
      <c r="AG6">
        <f>_xll.EQNXTDZ($A$1,$B6,AG$1,$B$1)</f>
        <v>1239.5350000000001</v>
      </c>
      <c r="AH6">
        <f>_xll.EQNXTDZ($A$1,$B6,AH$1,$B$1)</f>
        <v>1699.248</v>
      </c>
      <c r="AI6">
        <f>_xll.EQNXTDZ($A$1,$B6,AI$1,$B$1)</f>
        <v>1665.69</v>
      </c>
      <c r="AJ6">
        <f>_xll.EQNXTDZ($A$1,$B6,AJ$1,$B$1)</f>
        <v>1839.5139999999999</v>
      </c>
      <c r="AK6">
        <f>_xll.EQNXTDZ($A$1,$B6,AK$1,$B$1)</f>
        <v>1351.3389999999999</v>
      </c>
      <c r="AL6">
        <f>_xll.EQNXTDZ($A$1,$B6,AL$1,$B$1)</f>
        <v>2269.877</v>
      </c>
      <c r="AM6">
        <f>_xll.EQNXTDZ($A$1,$B6,AM$1,$B$1)</f>
        <v>2483.0439999999999</v>
      </c>
      <c r="AN6">
        <f>_xll.EQNXTDZ($A$1,$B6,AN$1,$B$1)</f>
        <v>2440.4340000000002</v>
      </c>
      <c r="AO6">
        <f>_xll.EQNXTDZ($A$1,$B6,AO$1,$B$1)</f>
        <v>1764.9359999999999</v>
      </c>
      <c r="AP6">
        <f>_xll.EQNXTDZ($A$1,$B6,AP$1,$B$1)</f>
        <v>2867.4769999999999</v>
      </c>
      <c r="AQ6">
        <f>_xll.EQNXTDZ($A$1,$B6,AQ$1,$B$1)</f>
        <v>5017.5749999999998</v>
      </c>
      <c r="AR6">
        <f>_xll.EQNXTDZ($A$1,$B6,AR$1,$B$1)</f>
        <v>3248.3049999999998</v>
      </c>
      <c r="AS6">
        <f>_xll.EQNXTDZ($A$1,$B6,AS$1,$B$1)</f>
        <v>2257.201</v>
      </c>
      <c r="AT6">
        <f>_xll.EQNXTDZ($A$1,$B6,AT$1,$B$1)</f>
        <v>3952.5909999999999</v>
      </c>
      <c r="AU6">
        <f>_xll.EQNXTDZ($A$1,$B6,AU$1,$B$1)</f>
        <v>5699.7340000000004</v>
      </c>
      <c r="AV6">
        <f>_xll.EQNXTDZ($A$1,$B6,AV$1,$B$1)</f>
        <v>3937.7559999999999</v>
      </c>
      <c r="AW6">
        <f>_xll.EQNXTDZ($A$1,$B6,AW$1,$B$1)</f>
        <v>2730.982</v>
      </c>
      <c r="AX6">
        <f>_xll.EQNXTDZ($A$1,$B6,AX$1,$B$1)</f>
        <v>4397.9799999999996</v>
      </c>
      <c r="AY6">
        <f>_xll.EQNXTDZ($A$1,$B6,AY$1,$B$1)</f>
        <v>7333.6719999999996</v>
      </c>
      <c r="AZ6">
        <f>_xll.EQNXTDZ($A$1,$B6,AZ$1,$B$1)</f>
        <v>4932.0609999999997</v>
      </c>
      <c r="BA6">
        <f>_xll.EQNXTDZ($A$1,$B6,BA$1,$B$1)</f>
        <v>3817.6149999999998</v>
      </c>
      <c r="BB6">
        <f>_xll.EQNXTDZ($A$1,$B6,BB$1,$B$1)</f>
        <v>5680.0259999999998</v>
      </c>
      <c r="BC6">
        <f>_xll.EQNXTDZ($A$1,$B6,BC$1,$B$1)</f>
        <v>7163.0209999999997</v>
      </c>
      <c r="BD6">
        <f>_xll.EQNXTDZ($A$1,$B6,BD$1,$B$1)</f>
        <v>5047.7420000000002</v>
      </c>
      <c r="BE6">
        <f>_xll.EQNXTDZ($A$1,$B6,BE$1,$B$1)</f>
        <v>4334.7950000000001</v>
      </c>
      <c r="BF6">
        <f>_xll.EQNXTDZ($A$1,$B6,BF$1,$B$1)</f>
        <v>6721.5370000000003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6.5579999999999998</v>
      </c>
      <c r="R8">
        <f>_xll.EQNXTDZ($A$1,$B8,R$1,$B$1)</f>
        <v>5.6289999999999996</v>
      </c>
      <c r="S8">
        <f>_xll.EQNXTDZ($A$1,$B8,S$1,$B$1)</f>
        <v>7.9880000000000004</v>
      </c>
      <c r="T8">
        <f>_xll.EQNXTDZ($A$1,$B8,T$1,$B$1)</f>
        <v>8.4220000000000006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390.85700000000003</v>
      </c>
      <c r="R9">
        <f>_xll.EQNXTDZ($A$1,$B9,R$1,$B$1)</f>
        <v>1032.6890000000001</v>
      </c>
      <c r="S9">
        <f>_xll.EQNXTDZ($A$1,$B9,S$1,$B$1)</f>
        <v>1978.134</v>
      </c>
      <c r="T9">
        <f>_xll.EQNXTDZ($A$1,$B9,T$1,$B$1)</f>
        <v>1032.7950000000001</v>
      </c>
      <c r="U9">
        <f>_xll.EQNXTDZ($A$1,$B9,U$1,$B$1)</f>
        <v>487.84300000000002</v>
      </c>
      <c r="V9">
        <f>_xll.EQNXTDZ($A$1,$B9,V$1,$B$1)</f>
        <v>1050.8869999999999</v>
      </c>
      <c r="W9">
        <f>_xll.EQNXTDZ($A$1,$B9,W$1,$B$1)</f>
        <v>1934.0070000000001</v>
      </c>
      <c r="X9">
        <f>_xll.EQNXTDZ($A$1,$B9,X$1,$B$1)</f>
        <v>988.02</v>
      </c>
      <c r="Y9">
        <f>_xll.EQNXTDZ($A$1,$B9,Y$1,$B$1)</f>
        <v>543.46299999999997</v>
      </c>
      <c r="Z9">
        <f>_xll.EQNXTDZ($A$1,$B9,Z$1,$B$1)</f>
        <v>1122.373</v>
      </c>
      <c r="AA9">
        <f>_xll.EQNXTDZ($A$1,$B9,AA$1,$B$1)</f>
        <v>2097.1460000000002</v>
      </c>
      <c r="AB9">
        <f>_xll.EQNXTDZ($A$1,$B9,AB$1,$B$1)</f>
        <v>1204.471</v>
      </c>
      <c r="AC9">
        <f>_xll.EQNXTDZ($A$1,$B9,AC$1,$B$1)</f>
        <v>804.13699999999994</v>
      </c>
      <c r="AD9">
        <f>_xll.EQNXTDZ($A$1,$B9,AD$1,$B$1)</f>
        <v>1380.607</v>
      </c>
      <c r="AE9">
        <f>_xll.EQNXTDZ($A$1,$B9,AE$1,$B$1)</f>
        <v>2851.4589999999998</v>
      </c>
      <c r="AF9">
        <f>_xll.EQNXTDZ($A$1,$B9,AF$1,$B$1)</f>
        <v>1776.857</v>
      </c>
      <c r="AG9">
        <f>_xll.EQNXTDZ($A$1,$B9,AG$1,$B$1)</f>
        <v>1239.5350000000001</v>
      </c>
      <c r="AH9">
        <f>_xll.EQNXTDZ($A$1,$B9,AH$1,$B$1)</f>
        <v>1699.248</v>
      </c>
      <c r="AI9">
        <f>_xll.EQNXTDZ($A$1,$B9,AI$1,$B$1)</f>
        <v>1665.69</v>
      </c>
      <c r="AJ9">
        <f>_xll.EQNXTDZ($A$1,$B9,AJ$1,$B$1)</f>
        <v>1839.5139999999999</v>
      </c>
      <c r="AK9">
        <f>_xll.EQNXTDZ($A$1,$B9,AK$1,$B$1)</f>
        <v>1351.3389999999999</v>
      </c>
      <c r="AL9">
        <f>_xll.EQNXTDZ($A$1,$B9,AL$1,$B$1)</f>
        <v>2269.877</v>
      </c>
      <c r="AM9">
        <f>_xll.EQNXTDZ($A$1,$B9,AM$1,$B$1)</f>
        <v>2483.0439999999999</v>
      </c>
      <c r="AN9">
        <f>_xll.EQNXTDZ($A$1,$B9,AN$1,$B$1)</f>
        <v>2440.4340000000002</v>
      </c>
      <c r="AO9">
        <f>_xll.EQNXTDZ($A$1,$B9,AO$1,$B$1)</f>
        <v>1764.9359999999999</v>
      </c>
      <c r="AP9">
        <f>_xll.EQNXTDZ($A$1,$B9,AP$1,$B$1)</f>
        <v>2867.4769999999999</v>
      </c>
      <c r="AQ9">
        <f>_xll.EQNXTDZ($A$1,$B9,AQ$1,$B$1)</f>
        <v>5017.5749999999998</v>
      </c>
      <c r="AR9">
        <f>_xll.EQNXTDZ($A$1,$B9,AR$1,$B$1)</f>
        <v>3248.3049999999998</v>
      </c>
      <c r="AS9">
        <f>_xll.EQNXTDZ($A$1,$B9,AS$1,$B$1)</f>
        <v>2257.201</v>
      </c>
      <c r="AT9">
        <f>_xll.EQNXTDZ($A$1,$B9,AT$1,$B$1)</f>
        <v>3952.5909999999999</v>
      </c>
      <c r="AU9">
        <f>_xll.EQNXTDZ($A$1,$B9,AU$1,$B$1)</f>
        <v>5699.7340000000004</v>
      </c>
      <c r="AV9">
        <f>_xll.EQNXTDZ($A$1,$B9,AV$1,$B$1)</f>
        <v>3937.7559999999999</v>
      </c>
      <c r="AW9">
        <f>_xll.EQNXTDZ($A$1,$B9,AW$1,$B$1)</f>
        <v>2730.982</v>
      </c>
      <c r="AX9">
        <f>_xll.EQNXTDZ($A$1,$B9,AX$1,$B$1)</f>
        <v>4397.9799999999996</v>
      </c>
      <c r="AY9">
        <f>_xll.EQNXTDZ($A$1,$B9,AY$1,$B$1)</f>
        <v>7333.6719999999996</v>
      </c>
      <c r="AZ9">
        <f>_xll.EQNXTDZ($A$1,$B9,AZ$1,$B$1)</f>
        <v>4932.0609999999997</v>
      </c>
      <c r="BA9">
        <f>_xll.EQNXTDZ($A$1,$B9,BA$1,$B$1)</f>
        <v>3817.6149999999998</v>
      </c>
      <c r="BB9">
        <f>_xll.EQNXTDZ($A$1,$B9,BB$1,$B$1)</f>
        <v>5680.0259999999998</v>
      </c>
      <c r="BC9">
        <f>_xll.EQNXTDZ($A$1,$B9,BC$1,$B$1)</f>
        <v>7163.0209999999997</v>
      </c>
      <c r="BD9">
        <f>_xll.EQNXTDZ($A$1,$B9,BD$1,$B$1)</f>
        <v>5047.7420000000002</v>
      </c>
      <c r="BE9">
        <f>_xll.EQNXTDZ($A$1,$B9,BE$1,$B$1)</f>
        <v>4334.7950000000001</v>
      </c>
      <c r="BF9">
        <f>_xll.EQNXTDZ($A$1,$B9,BF$1,$B$1)</f>
        <v>6721.5370000000003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-4.2720000000000002</v>
      </c>
      <c r="R10">
        <f>_xll.EQNXTDZ($A$1,$B10,R$1,$B$1)</f>
        <v>-115.229</v>
      </c>
      <c r="S10">
        <f>_xll.EQNXTDZ($A$1,$B10,S$1,$B$1)</f>
        <v>40.618000000000002</v>
      </c>
      <c r="T10">
        <f>_xll.EQNXTDZ($A$1,$B10,T$1,$B$1)</f>
        <v>69.849999999999994</v>
      </c>
      <c r="U10">
        <f>_xll.EQNXTDZ($A$1,$B10,U$1,$B$1)</f>
        <v>-27.094000000000001</v>
      </c>
      <c r="V10">
        <f>_xll.EQNXTDZ($A$1,$B10,V$1,$B$1)</f>
        <v>-83.302000000000007</v>
      </c>
      <c r="W10">
        <f>_xll.EQNXTDZ($A$1,$B10,W$1,$B$1)</f>
        <v>41.651000000000003</v>
      </c>
      <c r="X10">
        <f>_xll.EQNXTDZ($A$1,$B10,X$1,$B$1)</f>
        <v>31.379000000000001</v>
      </c>
      <c r="Y10">
        <f>_xll.EQNXTDZ($A$1,$B10,Y$1,$B$1)</f>
        <v>-62.95</v>
      </c>
      <c r="Z10">
        <f>_xll.EQNXTDZ($A$1,$B10,Z$1,$B$1)</f>
        <v>-127.21299999999999</v>
      </c>
      <c r="AA10">
        <f>_xll.EQNXTDZ($A$1,$B10,AA$1,$B$1)</f>
        <v>86.128</v>
      </c>
      <c r="AB10">
        <f>_xll.EQNXTDZ($A$1,$B10,AB$1,$B$1)</f>
        <v>12.266999999999999</v>
      </c>
      <c r="AC10">
        <f>_xll.EQNXTDZ($A$1,$B10,AC$1,$B$1)</f>
        <v>-33.579000000000001</v>
      </c>
      <c r="AD10">
        <f>_xll.EQNXTDZ($A$1,$B10,AD$1,$B$1)</f>
        <v>-80.739000000000004</v>
      </c>
      <c r="AE10">
        <f>_xll.EQNXTDZ($A$1,$B10,AE$1,$B$1)</f>
        <v>-15.231</v>
      </c>
      <c r="AF10">
        <f>_xll.EQNXTDZ($A$1,$B10,AF$1,$B$1)</f>
        <v>21.015999999999998</v>
      </c>
      <c r="AG10">
        <f>_xll.EQNXTDZ($A$1,$B10,AG$1,$B$1)</f>
        <v>-68.906999999999996</v>
      </c>
      <c r="AH10">
        <f>_xll.EQNXTDZ($A$1,$B10,AH$1,$B$1)</f>
        <v>-108.19</v>
      </c>
      <c r="AI10">
        <f>_xll.EQNXTDZ($A$1,$B10,AI$1,$B$1)</f>
        <v>103.256</v>
      </c>
      <c r="AJ10">
        <f>_xll.EQNXTDZ($A$1,$B10,AJ$1,$B$1)</f>
        <v>22.748999999999999</v>
      </c>
      <c r="AK10">
        <f>_xll.EQNXTDZ($A$1,$B10,AK$1,$B$1)</f>
        <v>-34.973999999999997</v>
      </c>
      <c r="AL10">
        <f>_xll.EQNXTDZ($A$1,$B10,AL$1,$B$1)</f>
        <v>-160.721</v>
      </c>
      <c r="AM10">
        <f>_xll.EQNXTDZ($A$1,$B10,AM$1,$B$1)</f>
        <v>112.875</v>
      </c>
      <c r="AN10">
        <f>_xll.EQNXTDZ($A$1,$B10,AN$1,$B$1)</f>
        <v>14.679</v>
      </c>
      <c r="AO10">
        <f>_xll.EQNXTDZ($A$1,$B10,AO$1,$B$1)</f>
        <v>-66.555000000000007</v>
      </c>
      <c r="AP10">
        <f>_xll.EQNXTDZ($A$1,$B10,AP$1,$B$1)</f>
        <v>-143.60599999999999</v>
      </c>
      <c r="AQ10">
        <f>_xll.EQNXTDZ($A$1,$B10,AQ$1,$B$1)</f>
        <v>89.605000000000004</v>
      </c>
      <c r="AR10">
        <f>_xll.EQNXTDZ($A$1,$B10,AR$1,$B$1)</f>
        <v>-28.087</v>
      </c>
      <c r="AS10">
        <f>_xll.EQNXTDZ($A$1,$B10,AS$1,$B$1)</f>
        <v>-262.41899999999998</v>
      </c>
      <c r="AT10">
        <f>_xll.EQNXTDZ($A$1,$B10,AT$1,$B$1)</f>
        <v>-234.32499999999999</v>
      </c>
      <c r="AU10">
        <f>_xll.EQNXTDZ($A$1,$B10,AU$1,$B$1)</f>
        <v>318.88200000000001</v>
      </c>
      <c r="AV10">
        <f>_xll.EQNXTDZ($A$1,$B10,AV$1,$B$1)</f>
        <v>-14.842000000000001</v>
      </c>
      <c r="AW10">
        <f>_xll.EQNXTDZ($A$1,$B10,AW$1,$B$1)</f>
        <v>-153.98400000000001</v>
      </c>
      <c r="AX10">
        <f>_xll.EQNXTDZ($A$1,$B10,AX$1,$B$1)</f>
        <v>-278.58800000000002</v>
      </c>
      <c r="AY10">
        <f>_xll.EQNXTDZ($A$1,$B10,AY$1,$B$1)</f>
        <v>228.23599999999999</v>
      </c>
      <c r="AZ10">
        <f>_xll.EQNXTDZ($A$1,$B10,AZ$1,$B$1)</f>
        <v>205.06700000000001</v>
      </c>
      <c r="BA10">
        <f>_xll.EQNXTDZ($A$1,$B10,BA$1,$B$1)</f>
        <v>-229.655</v>
      </c>
      <c r="BB10">
        <f>_xll.EQNXTDZ($A$1,$B10,BB$1,$B$1)</f>
        <v>-213.19200000000001</v>
      </c>
      <c r="BC10">
        <f>_xll.EQNXTDZ($A$1,$B10,BC$1,$B$1)</f>
        <v>246.57499999999999</v>
      </c>
      <c r="BD10">
        <f>_xll.EQNXTDZ($A$1,$B10,BD$1,$B$1)</f>
        <v>131.78399999999999</v>
      </c>
      <c r="BE10">
        <f>_xll.EQNXTDZ($A$1,$B10,BE$1,$B$1)</f>
        <v>-156.25299999999999</v>
      </c>
      <c r="BF10">
        <f>_xll.EQNXTDZ($A$1,$B10,BF$1,$B$1)</f>
        <v>-271.76799999999997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138.44</v>
      </c>
      <c r="R11">
        <f>_xll.EQNXTDZ($A$1,$B11,R$1,$B$1)</f>
        <v>503.35300000000001</v>
      </c>
      <c r="S11">
        <f>_xll.EQNXTDZ($A$1,$B11,S$1,$B$1)</f>
        <v>700.76199999999994</v>
      </c>
      <c r="T11">
        <f>_xll.EQNXTDZ($A$1,$B11,T$1,$B$1)</f>
        <v>284.69099999999997</v>
      </c>
      <c r="U11">
        <f>_xll.EQNXTDZ($A$1,$B11,U$1,$B$1)</f>
        <v>188.09299999999999</v>
      </c>
      <c r="V11">
        <f>_xll.EQNXTDZ($A$1,$B11,V$1,$B$1)</f>
        <v>476.38900000000001</v>
      </c>
      <c r="W11">
        <f>_xll.EQNXTDZ($A$1,$B11,W$1,$B$1)</f>
        <v>730.23400000000004</v>
      </c>
      <c r="X11">
        <f>_xll.EQNXTDZ($A$1,$B11,X$1,$B$1)</f>
        <v>400.38099999999997</v>
      </c>
      <c r="Y11">
        <f>_xll.EQNXTDZ($A$1,$B11,Y$1,$B$1)</f>
        <v>248.505</v>
      </c>
      <c r="Z11">
        <f>_xll.EQNXTDZ($A$1,$B11,Z$1,$B$1)</f>
        <v>578.82399999999996</v>
      </c>
      <c r="AA11">
        <f>_xll.EQNXTDZ($A$1,$B11,AA$1,$B$1)</f>
        <v>816.39499999999998</v>
      </c>
      <c r="AB11">
        <f>_xll.EQNXTDZ($A$1,$B11,AB$1,$B$1)</f>
        <v>452.52499999999998</v>
      </c>
      <c r="AC11">
        <f>_xll.EQNXTDZ($A$1,$B11,AC$1,$B$1)</f>
        <v>264.53399999999999</v>
      </c>
      <c r="AD11">
        <f>_xll.EQNXTDZ($A$1,$B11,AD$1,$B$1)</f>
        <v>589.82100000000003</v>
      </c>
      <c r="AE11">
        <f>_xll.EQNXTDZ($A$1,$B11,AE$1,$B$1)</f>
        <v>1111.241</v>
      </c>
      <c r="AF11">
        <f>_xll.EQNXTDZ($A$1,$B11,AF$1,$B$1)</f>
        <v>667.67</v>
      </c>
      <c r="AG11">
        <f>_xll.EQNXTDZ($A$1,$B11,AG$1,$B$1)</f>
        <v>570.82399999999996</v>
      </c>
      <c r="AH11">
        <f>_xll.EQNXTDZ($A$1,$B11,AH$1,$B$1)</f>
        <v>754.654</v>
      </c>
      <c r="AI11">
        <f>_xll.EQNXTDZ($A$1,$B11,AI$1,$B$1)</f>
        <v>622.93799999999999</v>
      </c>
      <c r="AJ11">
        <f>_xll.EQNXTDZ($A$1,$B11,AJ$1,$B$1)</f>
        <v>761.89300000000003</v>
      </c>
      <c r="AK11">
        <f>_xll.EQNXTDZ($A$1,$B11,AK$1,$B$1)</f>
        <v>549.024</v>
      </c>
      <c r="AL11">
        <f>_xll.EQNXTDZ($A$1,$B11,AL$1,$B$1)</f>
        <v>1092.9939999999999</v>
      </c>
      <c r="AM11">
        <f>_xll.EQNXTDZ($A$1,$B11,AM$1,$B$1)</f>
        <v>996.76</v>
      </c>
      <c r="AN11">
        <f>_xll.EQNXTDZ($A$1,$B11,AN$1,$B$1)</f>
        <v>1081.3979999999999</v>
      </c>
      <c r="AO11">
        <f>_xll.EQNXTDZ($A$1,$B11,AO$1,$B$1)</f>
        <v>797.76099999999997</v>
      </c>
      <c r="AP11">
        <f>_xll.EQNXTDZ($A$1,$B11,AP$1,$B$1)</f>
        <v>1454.393</v>
      </c>
      <c r="AQ11">
        <f>_xll.EQNXTDZ($A$1,$B11,AQ$1,$B$1)</f>
        <v>2312.761</v>
      </c>
      <c r="AR11">
        <f>_xll.EQNXTDZ($A$1,$B11,AR$1,$B$1)</f>
        <v>1462.0429999999999</v>
      </c>
      <c r="AS11">
        <f>_xll.EQNXTDZ($A$1,$B11,AS$1,$B$1)</f>
        <v>1187.895</v>
      </c>
      <c r="AT11">
        <f>_xll.EQNXTDZ($A$1,$B11,AT$1,$B$1)</f>
        <v>1964.3109999999999</v>
      </c>
      <c r="AU11">
        <f>_xll.EQNXTDZ($A$1,$B11,AU$1,$B$1)</f>
        <v>2218.7249999999999</v>
      </c>
      <c r="AV11">
        <f>_xll.EQNXTDZ($A$1,$B11,AV$1,$B$1)</f>
        <v>1634.7360000000001</v>
      </c>
      <c r="AW11">
        <f>_xll.EQNXTDZ($A$1,$B11,AW$1,$B$1)</f>
        <v>1208.6890000000001</v>
      </c>
      <c r="AX11">
        <f>_xll.EQNXTDZ($A$1,$B11,AX$1,$B$1)</f>
        <v>1930.922</v>
      </c>
      <c r="AY11">
        <f>_xll.EQNXTDZ($A$1,$B11,AY$1,$B$1)</f>
        <v>2872.3270000000002</v>
      </c>
      <c r="AZ11">
        <f>_xll.EQNXTDZ($A$1,$B11,AZ$1,$B$1)</f>
        <v>1785.0070000000001</v>
      </c>
      <c r="BA11">
        <f>_xll.EQNXTDZ($A$1,$B11,BA$1,$B$1)</f>
        <v>1705.4870000000001</v>
      </c>
      <c r="BB11">
        <f>_xll.EQNXTDZ($A$1,$B11,BB$1,$B$1)</f>
        <v>2671.0709999999999</v>
      </c>
      <c r="BC11">
        <f>_xll.EQNXTDZ($A$1,$B11,BC$1,$B$1)</f>
        <v>2845.404</v>
      </c>
      <c r="BD11">
        <f>_xll.EQNXTDZ($A$1,$B11,BD$1,$B$1)</f>
        <v>1898.5160000000001</v>
      </c>
      <c r="BE11">
        <f>_xll.EQNXTDZ($A$1,$B11,BE$1,$B$1)</f>
        <v>1922.0709999999999</v>
      </c>
      <c r="BF11">
        <f>_xll.EQNXTDZ($A$1,$B11,BF$1,$B$1)</f>
        <v>3152.2020000000002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48.628999999999998</v>
      </c>
      <c r="R12">
        <f>_xll.EQNXTDZ($A$1,$B12,R$1,$B$1)</f>
        <v>33.89</v>
      </c>
      <c r="S12">
        <f>_xll.EQNXTDZ($A$1,$B12,S$1,$B$1)</f>
        <v>34.478000000000002</v>
      </c>
      <c r="T12">
        <f>_xll.EQNXTDZ($A$1,$B12,T$1,$B$1)</f>
        <v>9.9830000000000005</v>
      </c>
      <c r="U12">
        <f>_xll.EQNXTDZ($A$1,$B12,U$1,$B$1)</f>
        <v>14.488</v>
      </c>
      <c r="V12">
        <f>_xll.EQNXTDZ($A$1,$B12,V$1,$B$1)</f>
        <v>7.0190000000000001</v>
      </c>
      <c r="W12">
        <f>_xll.EQNXTDZ($A$1,$B12,W$1,$B$1)</f>
        <v>11.068</v>
      </c>
      <c r="X12">
        <f>_xll.EQNXTDZ($A$1,$B12,X$1,$B$1)</f>
        <v>3.464</v>
      </c>
      <c r="Y12">
        <f>_xll.EQNXTDZ($A$1,$B12,Y$1,$B$1)</f>
        <v>6.218</v>
      </c>
      <c r="Z12">
        <f>_xll.EQNXTDZ($A$1,$B12,Z$1,$B$1)</f>
        <v>39.984999999999999</v>
      </c>
      <c r="AA12">
        <f>_xll.EQNXTDZ($A$1,$B12,AA$1,$B$1)</f>
        <v>56.322000000000003</v>
      </c>
      <c r="AB12">
        <f>_xll.EQNXTDZ($A$1,$B12,AB$1,$B$1)</f>
        <v>61.902000000000001</v>
      </c>
      <c r="AC12">
        <f>_xll.EQNXTDZ($A$1,$B12,AC$1,$B$1)</f>
        <v>36.009</v>
      </c>
      <c r="AD12">
        <f>_xll.EQNXTDZ($A$1,$B12,AD$1,$B$1)</f>
        <v>89.738</v>
      </c>
      <c r="AE12">
        <f>_xll.EQNXTDZ($A$1,$B12,AE$1,$B$1)</f>
        <v>233.50700000000001</v>
      </c>
      <c r="AF12">
        <f>_xll.EQNXTDZ($A$1,$B12,AF$1,$B$1)</f>
        <v>58.466000000000001</v>
      </c>
      <c r="AG12">
        <f>_xll.EQNXTDZ($A$1,$B12,AG$1,$B$1)</f>
        <v>42.021999999999998</v>
      </c>
      <c r="AH12">
        <f>_xll.EQNXTDZ($A$1,$B12,AH$1,$B$1)</f>
        <v>45.014000000000003</v>
      </c>
      <c r="AI12">
        <f>_xll.EQNXTDZ($A$1,$B12,AI$1,$B$1)</f>
        <v>14.882999999999999</v>
      </c>
      <c r="AJ12">
        <f>_xll.EQNXTDZ($A$1,$B12,AJ$1,$B$1)</f>
        <v>16.350999999999999</v>
      </c>
      <c r="AK12">
        <f>_xll.EQNXTDZ($A$1,$B12,AK$1,$B$1)</f>
        <v>16.338999999999999</v>
      </c>
      <c r="AL12">
        <f>_xll.EQNXTDZ($A$1,$B12,AL$1,$B$1)</f>
        <v>57.889000000000003</v>
      </c>
      <c r="AM12">
        <f>_xll.EQNXTDZ($A$1,$B12,AM$1,$B$1)</f>
        <v>28.702000000000002</v>
      </c>
      <c r="AN12">
        <f>_xll.EQNXTDZ($A$1,$B12,AN$1,$B$1)</f>
        <v>36.274000000000001</v>
      </c>
      <c r="AO12">
        <f>_xll.EQNXTDZ($A$1,$B12,AO$1,$B$1)</f>
        <v>42.603999999999999</v>
      </c>
      <c r="AP12">
        <f>_xll.EQNXTDZ($A$1,$B12,AP$1,$B$1)</f>
        <v>59.395000000000003</v>
      </c>
      <c r="AQ12">
        <f>_xll.EQNXTDZ($A$1,$B12,AQ$1,$B$1)</f>
        <v>49.472999999999999</v>
      </c>
      <c r="AR12">
        <f>_xll.EQNXTDZ($A$1,$B12,AR$1,$B$1)</f>
        <v>37.341999999999999</v>
      </c>
      <c r="AS12">
        <f>_xll.EQNXTDZ($A$1,$B12,AS$1,$B$1)</f>
        <v>42.360999999999997</v>
      </c>
      <c r="AT12">
        <f>_xll.EQNXTDZ($A$1,$B12,AT$1,$B$1)</f>
        <v>121.73</v>
      </c>
      <c r="AU12">
        <f>_xll.EQNXTDZ($A$1,$B12,AU$1,$B$1)</f>
        <v>128.96600000000001</v>
      </c>
      <c r="AV12">
        <f>_xll.EQNXTDZ($A$1,$B12,AV$1,$B$1)</f>
        <v>109.81</v>
      </c>
      <c r="AW12">
        <f>_xll.EQNXTDZ($A$1,$B12,AW$1,$B$1)</f>
        <v>102.19</v>
      </c>
      <c r="AX12">
        <f>_xll.EQNXTDZ($A$1,$B12,AX$1,$B$1)</f>
        <v>235.215</v>
      </c>
      <c r="AY12">
        <f>_xll.EQNXTDZ($A$1,$B12,AY$1,$B$1)</f>
        <v>160.01599999999999</v>
      </c>
      <c r="AZ12">
        <f>_xll.EQNXTDZ($A$1,$B12,AZ$1,$B$1)</f>
        <v>146.32</v>
      </c>
      <c r="BA12">
        <f>_xll.EQNXTDZ($A$1,$B12,BA$1,$B$1)</f>
        <v>144.37</v>
      </c>
      <c r="BB12">
        <f>_xll.EQNXTDZ($A$1,$B12,BB$1,$B$1)</f>
        <v>71.183999999999997</v>
      </c>
      <c r="BC12">
        <f>_xll.EQNXTDZ($A$1,$B12,BC$1,$B$1)</f>
        <v>99.123000000000005</v>
      </c>
      <c r="BD12">
        <f>_xll.EQNXTDZ($A$1,$B12,BD$1,$B$1)</f>
        <v>88.908000000000001</v>
      </c>
      <c r="BE12">
        <f>_xll.EQNXTDZ($A$1,$B12,BE$1,$B$1)</f>
        <v>110.238</v>
      </c>
      <c r="BF12">
        <f>_xll.EQNXTDZ($A$1,$B12,BF$1,$B$1)</f>
        <v>65.210999999999999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163.66900000000001</v>
      </c>
      <c r="S13">
        <f>_xll.EQNXTDZ($A$1,$B13,S$1,$B$1)</f>
        <v>317.66800000000001</v>
      </c>
      <c r="T13">
        <f>_xll.EQNXTDZ($A$1,$B13,T$1,$B$1)</f>
        <v>135.34200000000001</v>
      </c>
      <c r="U13">
        <f>_xll.EQNXTDZ($A$1,$B13,U$1,$B$1)</f>
        <v>53.598999999999997</v>
      </c>
      <c r="V13">
        <f>_xll.EQNXTDZ($A$1,$B13,V$1,$B$1)</f>
        <v>171.69</v>
      </c>
      <c r="W13">
        <f>_xll.EQNXTDZ($A$1,$B13,W$1,$B$1)</f>
        <v>300.61200000000002</v>
      </c>
      <c r="X13">
        <f>_xll.EQNXTDZ($A$1,$B13,X$1,$B$1)</f>
        <v>24.571999999999999</v>
      </c>
      <c r="Y13">
        <f>_xll.EQNXTDZ($A$1,$B13,Y$1,$B$1)</f>
        <v>15.962999999999999</v>
      </c>
      <c r="Z13">
        <f>_xll.EQNXTDZ($A$1,$B13,Z$1,$B$1)</f>
        <v>27.603000000000002</v>
      </c>
      <c r="AA13">
        <f>_xll.EQNXTDZ($A$1,$B13,AA$1,$B$1)</f>
        <v>38.015000000000001</v>
      </c>
      <c r="AB13">
        <f>_xll.EQNXTDZ($A$1,$B13,AB$1,$B$1)</f>
        <v>38.734000000000002</v>
      </c>
      <c r="AC13">
        <f>_xll.EQNXTDZ($A$1,$B13,AC$1,$B$1)</f>
        <v>18.52</v>
      </c>
      <c r="AD13">
        <f>_xll.EQNXTDZ($A$1,$B13,AD$1,$B$1)</f>
        <v>21.462</v>
      </c>
      <c r="AE13">
        <f>_xll.EQNXTDZ($A$1,$B13,AE$1,$B$1)</f>
        <v>41.005000000000003</v>
      </c>
      <c r="AF13">
        <f>_xll.EQNXTDZ($A$1,$B13,AF$1,$B$1)</f>
        <v>37.122999999999998</v>
      </c>
      <c r="AG13">
        <f>_xll.EQNXTDZ($A$1,$B13,AG$1,$B$1)</f>
        <v>19.29</v>
      </c>
      <c r="AH13">
        <f>_xll.EQNXTDZ($A$1,$B13,AH$1,$B$1)</f>
        <v>22.814</v>
      </c>
      <c r="AI13">
        <f>_xll.EQNXTDZ($A$1,$B13,AI$1,$B$1)</f>
        <v>25.507000000000001</v>
      </c>
      <c r="AJ13">
        <f>_xll.EQNXTDZ($A$1,$B13,AJ$1,$B$1)</f>
        <v>36.880000000000003</v>
      </c>
      <c r="AK13">
        <f>_xll.EQNXTDZ($A$1,$B13,AK$1,$B$1)</f>
        <v>20.448</v>
      </c>
      <c r="AL13">
        <f>_xll.EQNXTDZ($A$1,$B13,AL$1,$B$1)</f>
        <v>28.984999999999999</v>
      </c>
      <c r="AM13">
        <f>_xll.EQNXTDZ($A$1,$B13,AM$1,$B$1)</f>
        <v>33.198999999999998</v>
      </c>
      <c r="AN13">
        <f>_xll.EQNXTDZ($A$1,$B13,AN$1,$B$1)</f>
        <v>42.276000000000003</v>
      </c>
      <c r="AO13">
        <f>_xll.EQNXTDZ($A$1,$B13,AO$1,$B$1)</f>
        <v>30.600999999999999</v>
      </c>
      <c r="AP13">
        <f>_xll.EQNXTDZ($A$1,$B13,AP$1,$B$1)</f>
        <v>40.005000000000003</v>
      </c>
      <c r="AQ13">
        <f>_xll.EQNXTDZ($A$1,$B13,AQ$1,$B$1)</f>
        <v>62.76</v>
      </c>
      <c r="AR13">
        <f>_xll.EQNXTDZ($A$1,$B13,AR$1,$B$1)</f>
        <v>71.685000000000002</v>
      </c>
      <c r="AS13">
        <f>_xll.EQNXTDZ($A$1,$B13,AS$1,$B$1)</f>
        <v>42.966000000000001</v>
      </c>
      <c r="AT13">
        <f>_xll.EQNXTDZ($A$1,$B13,AT$1,$B$1)</f>
        <v>59.616</v>
      </c>
      <c r="AU13">
        <f>_xll.EQNXTDZ($A$1,$B13,AU$1,$B$1)</f>
        <v>88.331999999999994</v>
      </c>
      <c r="AV13">
        <f>_xll.EQNXTDZ($A$1,$B13,AV$1,$B$1)</f>
        <v>67.241</v>
      </c>
      <c r="AW13">
        <f>_xll.EQNXTDZ($A$1,$B13,AW$1,$B$1)</f>
        <v>63.292999999999999</v>
      </c>
      <c r="AX13">
        <f>_xll.EQNXTDZ($A$1,$B13,AX$1,$B$1)</f>
        <v>80.667000000000002</v>
      </c>
      <c r="AY13">
        <f>_xll.EQNXTDZ($A$1,$B13,AY$1,$B$1)</f>
        <v>136.81</v>
      </c>
      <c r="AZ13">
        <f>_xll.EQNXTDZ($A$1,$B13,AZ$1,$B$1)</f>
        <v>127.378</v>
      </c>
      <c r="BA13">
        <f>_xll.EQNXTDZ($A$1,$B13,BA$1,$B$1)</f>
        <v>128.82300000000001</v>
      </c>
      <c r="BB13">
        <f>_xll.EQNXTDZ($A$1,$B13,BB$1,$B$1)</f>
        <v>113.09099999999999</v>
      </c>
      <c r="BC13">
        <f>_xll.EQNXTDZ($A$1,$B13,BC$1,$B$1)</f>
        <v>145.65</v>
      </c>
      <c r="BD13">
        <f>_xll.EQNXTDZ($A$1,$B13,BD$1,$B$1)</f>
        <v>151.09200000000001</v>
      </c>
      <c r="BE13">
        <f>_xll.EQNXTDZ($A$1,$B13,BE$1,$B$1)</f>
        <v>130.37200000000001</v>
      </c>
      <c r="BF13">
        <f>_xll.EQNXTDZ($A$1,$B13,BF$1,$B$1)</f>
        <v>147.34700000000001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122.41200000000001</v>
      </c>
      <c r="R14">
        <f>_xll.EQNXTDZ($A$1,$B14,R$1,$B$1)</f>
        <v>230.315</v>
      </c>
      <c r="S14">
        <f>_xll.EQNXTDZ($A$1,$B14,S$1,$B$1)</f>
        <v>306.91800000000001</v>
      </c>
      <c r="T14">
        <f>_xll.EQNXTDZ($A$1,$B14,T$1,$B$1)</f>
        <v>250.11600000000001</v>
      </c>
      <c r="U14">
        <f>_xll.EQNXTDZ($A$1,$B14,U$1,$B$1)</f>
        <v>129.066</v>
      </c>
      <c r="V14">
        <f>_xll.EQNXTDZ($A$1,$B14,V$1,$B$1)</f>
        <v>231.857</v>
      </c>
      <c r="W14">
        <f>_xll.EQNXTDZ($A$1,$B14,W$1,$B$1)</f>
        <v>252.82400000000001</v>
      </c>
      <c r="X14">
        <f>_xll.EQNXTDZ($A$1,$B14,X$1,$B$1)</f>
        <v>222.82300000000001</v>
      </c>
      <c r="Y14">
        <f>_xll.EQNXTDZ($A$1,$B14,Y$1,$B$1)</f>
        <v>197.34399999999999</v>
      </c>
      <c r="Z14">
        <f>_xll.EQNXTDZ($A$1,$B14,Z$1,$B$1)</f>
        <v>291.85899999999998</v>
      </c>
      <c r="AA14">
        <f>_xll.EQNXTDZ($A$1,$B14,AA$1,$B$1)</f>
        <v>374.363</v>
      </c>
      <c r="AB14">
        <f>_xll.EQNXTDZ($A$1,$B14,AB$1,$B$1)</f>
        <v>279.18799999999999</v>
      </c>
      <c r="AC14">
        <f>_xll.EQNXTDZ($A$1,$B14,AC$1,$B$1)</f>
        <v>326.20800000000003</v>
      </c>
      <c r="AD14">
        <f>_xll.EQNXTDZ($A$1,$B14,AD$1,$B$1)</f>
        <v>383.58600000000001</v>
      </c>
      <c r="AE14">
        <f>_xll.EQNXTDZ($A$1,$B14,AE$1,$B$1)</f>
        <v>493.89499999999998</v>
      </c>
      <c r="AF14">
        <f>_xll.EQNXTDZ($A$1,$B14,AF$1,$B$1)</f>
        <v>437.27199999999999</v>
      </c>
      <c r="AG14">
        <f>_xll.EQNXTDZ($A$1,$B14,AG$1,$B$1)</f>
        <v>336.92899999999997</v>
      </c>
      <c r="AH14">
        <f>_xll.EQNXTDZ($A$1,$B14,AH$1,$B$1)</f>
        <v>484.65499999999997</v>
      </c>
      <c r="AI14">
        <f>_xll.EQNXTDZ($A$1,$B14,AI$1,$B$1)</f>
        <v>322.11799999999999</v>
      </c>
      <c r="AJ14">
        <f>_xll.EQNXTDZ($A$1,$B14,AJ$1,$B$1)</f>
        <v>391.28399999999999</v>
      </c>
      <c r="AK14">
        <f>_xll.EQNXTDZ($A$1,$B14,AK$1,$B$1)</f>
        <v>396.54399999999998</v>
      </c>
      <c r="AL14">
        <f>_xll.EQNXTDZ($A$1,$B14,AL$1,$B$1)</f>
        <v>630.673</v>
      </c>
      <c r="AM14">
        <f>_xll.EQNXTDZ($A$1,$B14,AM$1,$B$1)</f>
        <v>497.46</v>
      </c>
      <c r="AN14">
        <f>_xll.EQNXTDZ($A$1,$B14,AN$1,$B$1)</f>
        <v>504.94400000000002</v>
      </c>
      <c r="AO14">
        <f>_xll.EQNXTDZ($A$1,$B14,AO$1,$B$1)</f>
        <v>493.149</v>
      </c>
      <c r="AP14">
        <f>_xll.EQNXTDZ($A$1,$B14,AP$1,$B$1)</f>
        <v>651.23</v>
      </c>
      <c r="AQ14">
        <f>_xll.EQNXTDZ($A$1,$B14,AQ$1,$B$1)</f>
        <v>941.92200000000003</v>
      </c>
      <c r="AR14">
        <f>_xll.EQNXTDZ($A$1,$B14,AR$1,$B$1)</f>
        <v>695.12800000000004</v>
      </c>
      <c r="AS14">
        <f>_xll.EQNXTDZ($A$1,$B14,AS$1,$B$1)</f>
        <v>618.95899999999995</v>
      </c>
      <c r="AT14">
        <f>_xll.EQNXTDZ($A$1,$B14,AT$1,$B$1)</f>
        <v>904.09900000000005</v>
      </c>
      <c r="AU14">
        <f>_xll.EQNXTDZ($A$1,$B14,AU$1,$B$1)</f>
        <v>1069.2049999999999</v>
      </c>
      <c r="AV14">
        <f>_xll.EQNXTDZ($A$1,$B14,AV$1,$B$1)</f>
        <v>887.11900000000003</v>
      </c>
      <c r="AW14">
        <f>_xll.EQNXTDZ($A$1,$B14,AW$1,$B$1)</f>
        <v>721.19799999999998</v>
      </c>
      <c r="AX14">
        <f>_xll.EQNXTDZ($A$1,$B14,AX$1,$B$1)</f>
        <v>1047.3309999999999</v>
      </c>
      <c r="AY14">
        <f>_xll.EQNXTDZ($A$1,$B14,AY$1,$B$1)</f>
        <v>1445.7750000000001</v>
      </c>
      <c r="AZ14">
        <f>_xll.EQNXTDZ($A$1,$B14,AZ$1,$B$1)</f>
        <v>1004.127</v>
      </c>
      <c r="BA14">
        <f>_xll.EQNXTDZ($A$1,$B14,BA$1,$B$1)</f>
        <v>1009.596</v>
      </c>
      <c r="BB14">
        <f>_xll.EQNXTDZ($A$1,$B14,BB$1,$B$1)</f>
        <v>1262.4059999999999</v>
      </c>
      <c r="BC14">
        <f>_xll.EQNXTDZ($A$1,$B14,BC$1,$B$1)</f>
        <v>1277.838</v>
      </c>
      <c r="BD14">
        <f>_xll.EQNXTDZ($A$1,$B14,BD$1,$B$1)</f>
        <v>1076.7460000000001</v>
      </c>
      <c r="BE14">
        <f>_xll.EQNXTDZ($A$1,$B14,BE$1,$B$1)</f>
        <v>1102.848</v>
      </c>
      <c r="BF14">
        <f>_xll.EQNXTDZ($A$1,$B14,BF$1,$B$1)</f>
        <v>1480.345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82.35</v>
      </c>
      <c r="R16">
        <f>_xll.EQNXTDZ($A$1,$B16,R$1,$B$1)</f>
        <v>97.227999999999994</v>
      </c>
      <c r="S16">
        <f>_xll.EQNXTDZ($A$1,$B16,S$1,$B$1)</f>
        <v>112.04600000000001</v>
      </c>
      <c r="T16">
        <f>_xll.EQNXTDZ($A$1,$B16,T$1,$B$1)</f>
        <v>108.259</v>
      </c>
      <c r="U16">
        <f>_xll.EQNXTDZ($A$1,$B16,U$1,$B$1)</f>
        <v>103.497</v>
      </c>
      <c r="V16">
        <f>_xll.EQNXTDZ($A$1,$B16,V$1,$B$1)</f>
        <v>109.998</v>
      </c>
      <c r="W16">
        <f>_xll.EQNXTDZ($A$1,$B16,W$1,$B$1)</f>
        <v>117.11799999999999</v>
      </c>
      <c r="X16">
        <f>_xll.EQNXTDZ($A$1,$B16,X$1,$B$1)</f>
        <v>119.96</v>
      </c>
      <c r="Y16">
        <f>_xll.EQNXTDZ($A$1,$B16,Y$1,$B$1)</f>
        <v>115.768</v>
      </c>
      <c r="Z16">
        <f>_xll.EQNXTDZ($A$1,$B16,Z$1,$B$1)</f>
        <v>138.62100000000001</v>
      </c>
      <c r="AA16">
        <f>_xll.EQNXTDZ($A$1,$B16,AA$1,$B$1)</f>
        <v>151.065</v>
      </c>
      <c r="AB16">
        <f>_xll.EQNXTDZ($A$1,$B16,AB$1,$B$1)</f>
        <v>148.614</v>
      </c>
      <c r="AC16">
        <f>_xll.EQNXTDZ($A$1,$B16,AC$1,$B$1)</f>
        <v>144.65100000000001</v>
      </c>
      <c r="AD16">
        <f>_xll.EQNXTDZ($A$1,$B16,AD$1,$B$1)</f>
        <v>158.364</v>
      </c>
      <c r="AE16">
        <f>_xll.EQNXTDZ($A$1,$B16,AE$1,$B$1)</f>
        <v>199.16399999999999</v>
      </c>
      <c r="AF16">
        <f>_xll.EQNXTDZ($A$1,$B16,AF$1,$B$1)</f>
        <v>229.648</v>
      </c>
      <c r="AG16">
        <f>_xll.EQNXTDZ($A$1,$B16,AG$1,$B$1)</f>
        <v>223.63900000000001</v>
      </c>
      <c r="AH16">
        <f>_xll.EQNXTDZ($A$1,$B16,AH$1,$B$1)</f>
        <v>229.14500000000001</v>
      </c>
      <c r="AI16">
        <f>_xll.EQNXTDZ($A$1,$B16,AI$1,$B$1)</f>
        <v>199.291</v>
      </c>
      <c r="AJ16">
        <f>_xll.EQNXTDZ($A$1,$B16,AJ$1,$B$1)</f>
        <v>229.56700000000001</v>
      </c>
      <c r="AK16">
        <f>_xll.EQNXTDZ($A$1,$B16,AK$1,$B$1)</f>
        <v>231.733</v>
      </c>
      <c r="AL16">
        <f>_xll.EQNXTDZ($A$1,$B16,AL$1,$B$1)</f>
        <v>238.435</v>
      </c>
      <c r="AM16">
        <f>_xll.EQNXTDZ($A$1,$B16,AM$1,$B$1)</f>
        <v>243.24799999999999</v>
      </c>
      <c r="AN16">
        <f>_xll.EQNXTDZ($A$1,$B16,AN$1,$B$1)</f>
        <v>266.20800000000003</v>
      </c>
      <c r="AO16">
        <f>_xll.EQNXTDZ($A$1,$B16,AO$1,$B$1)</f>
        <v>259.80799999999999</v>
      </c>
      <c r="AP16">
        <f>_xll.EQNXTDZ($A$1,$B16,AP$1,$B$1)</f>
        <v>275.06299999999999</v>
      </c>
      <c r="AQ16">
        <f>_xll.EQNXTDZ($A$1,$B16,AQ$1,$B$1)</f>
        <v>310.43700000000001</v>
      </c>
      <c r="AR16">
        <f>_xll.EQNXTDZ($A$1,$B16,AR$1,$B$1)</f>
        <v>311.20800000000003</v>
      </c>
      <c r="AS16">
        <f>_xll.EQNXTDZ($A$1,$B16,AS$1,$B$1)</f>
        <v>319.93400000000003</v>
      </c>
      <c r="AT16">
        <f>_xll.EQNXTDZ($A$1,$B16,AT$1,$B$1)</f>
        <v>339.12200000000001</v>
      </c>
      <c r="AU16">
        <f>_xll.EQNXTDZ($A$1,$B16,AU$1,$B$1)</f>
        <v>364.60399999999998</v>
      </c>
      <c r="AV16">
        <f>_xll.EQNXTDZ($A$1,$B16,AV$1,$B$1)</f>
        <v>371.55200000000002</v>
      </c>
      <c r="AW16">
        <f>_xll.EQNXTDZ($A$1,$B16,AW$1,$B$1)</f>
        <v>371.30900000000003</v>
      </c>
      <c r="AX16">
        <f>_xll.EQNXTDZ($A$1,$B16,AX$1,$B$1)</f>
        <v>393.67200000000003</v>
      </c>
      <c r="AY16">
        <f>_xll.EQNXTDZ($A$1,$B16,AY$1,$B$1)</f>
        <v>499.291</v>
      </c>
      <c r="AZ16">
        <f>_xll.EQNXTDZ($A$1,$B16,AZ$1,$B$1)</f>
        <v>513.04</v>
      </c>
      <c r="BA16">
        <f>_xll.EQNXTDZ($A$1,$B16,BA$1,$B$1)</f>
        <v>479.02300000000002</v>
      </c>
      <c r="BB16">
        <f>_xll.EQNXTDZ($A$1,$B16,BB$1,$B$1)</f>
        <v>511.50200000000001</v>
      </c>
      <c r="BC16">
        <f>_xll.EQNXTDZ($A$1,$B16,BC$1,$B$1)</f>
        <v>549.65800000000002</v>
      </c>
      <c r="BD16">
        <f>_xll.EQNXTDZ($A$1,$B16,BD$1,$B$1)</f>
        <v>553.32000000000005</v>
      </c>
      <c r="BE16">
        <f>_xll.EQNXTDZ($A$1,$B16,BE$1,$B$1)</f>
        <v>586.26300000000003</v>
      </c>
      <c r="BF16">
        <f>_xll.EQNXTDZ($A$1,$B16,BF$1,$B$1)</f>
        <v>619.27300000000002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3.298</v>
      </c>
      <c r="R22">
        <f>_xll.EQNXTDZ($A$1,$B22,R$1,$B$1)</f>
        <v>119.46299999999999</v>
      </c>
      <c r="S22">
        <f>_xll.EQNXTDZ($A$1,$B22,S$1,$B$1)</f>
        <v>465.64400000000001</v>
      </c>
      <c r="T22">
        <f>_xll.EQNXTDZ($A$1,$B22,T$1,$B$1)</f>
        <v>174.554</v>
      </c>
      <c r="U22">
        <f>_xll.EQNXTDZ($A$1,$B22,U$1,$B$1)</f>
        <v>26.194000000000099</v>
      </c>
      <c r="V22">
        <f>_xll.EQNXTDZ($A$1,$B22,V$1,$B$1)</f>
        <v>137.23599999999999</v>
      </c>
      <c r="W22">
        <f>_xll.EQNXTDZ($A$1,$B22,W$1,$B$1)</f>
        <v>480.5</v>
      </c>
      <c r="X22">
        <f>_xll.EQNXTDZ($A$1,$B22,X$1,$B$1)</f>
        <v>185.441</v>
      </c>
      <c r="Y22">
        <f>_xll.EQNXTDZ($A$1,$B22,Y$1,$B$1)</f>
        <v>22.615000000000101</v>
      </c>
      <c r="Z22">
        <f>_xll.EQNXTDZ($A$1,$B22,Z$1,$B$1)</f>
        <v>172.69399999999999</v>
      </c>
      <c r="AA22">
        <f>_xll.EQNXTDZ($A$1,$B22,AA$1,$B$1)</f>
        <v>574.85799999999995</v>
      </c>
      <c r="AB22">
        <f>_xll.EQNXTDZ($A$1,$B22,AB$1,$B$1)</f>
        <v>211.24100000000001</v>
      </c>
      <c r="AC22">
        <f>_xll.EQNXTDZ($A$1,$B22,AC$1,$B$1)</f>
        <v>47.793999999999997</v>
      </c>
      <c r="AD22">
        <f>_xll.EQNXTDZ($A$1,$B22,AD$1,$B$1)</f>
        <v>218.375</v>
      </c>
      <c r="AE22">
        <f>_xll.EQNXTDZ($A$1,$B22,AE$1,$B$1)</f>
        <v>787.87800000000004</v>
      </c>
      <c r="AF22">
        <f>_xll.EQNXTDZ($A$1,$B22,AF$1,$B$1)</f>
        <v>325.66199999999998</v>
      </c>
      <c r="AG22">
        <f>_xll.EQNXTDZ($A$1,$B22,AG$1,$B$1)</f>
        <v>115.738</v>
      </c>
      <c r="AH22">
        <f>_xll.EQNXTDZ($A$1,$B22,AH$1,$B$1)</f>
        <v>271.15600000000001</v>
      </c>
      <c r="AI22">
        <f>_xll.EQNXTDZ($A$1,$B22,AI$1,$B$1)</f>
        <v>377.697</v>
      </c>
      <c r="AJ22">
        <f>_xll.EQNXTDZ($A$1,$B22,AJ$1,$B$1)</f>
        <v>380.79</v>
      </c>
      <c r="AK22">
        <f>_xll.EQNXTDZ($A$1,$B22,AK$1,$B$1)</f>
        <v>172.22499999999999</v>
      </c>
      <c r="AL22">
        <f>_xll.EQNXTDZ($A$1,$B22,AL$1,$B$1)</f>
        <v>381.62200000000001</v>
      </c>
      <c r="AM22">
        <f>_xll.EQNXTDZ($A$1,$B22,AM$1,$B$1)</f>
        <v>570.79999999999995</v>
      </c>
      <c r="AN22">
        <f>_xll.EQNXTDZ($A$1,$B22,AN$1,$B$1)</f>
        <v>494.65499999999997</v>
      </c>
      <c r="AO22">
        <f>_xll.EQNXTDZ($A$1,$B22,AO$1,$B$1)</f>
        <v>207.56800000000001</v>
      </c>
      <c r="AP22">
        <f>_xll.EQNXTDZ($A$1,$B22,AP$1,$B$1)</f>
        <v>530.99699999999996</v>
      </c>
      <c r="AQ22">
        <f>_xll.EQNXTDZ($A$1,$B22,AQ$1,$B$1)</f>
        <v>1250.617</v>
      </c>
      <c r="AR22">
        <f>_xll.EQNXTDZ($A$1,$B22,AR$1,$B$1)</f>
        <v>698.98599999999999</v>
      </c>
      <c r="AS22">
        <f>_xll.EQNXTDZ($A$1,$B22,AS$1,$B$1)</f>
        <v>307.505</v>
      </c>
      <c r="AT22">
        <f>_xll.EQNXTDZ($A$1,$B22,AT$1,$B$1)</f>
        <v>798.03800000000001</v>
      </c>
      <c r="AU22">
        <f>_xll.EQNXTDZ($A$1,$B22,AU$1,$B$1)</f>
        <v>1511.02</v>
      </c>
      <c r="AV22">
        <f>_xll.EQNXTDZ($A$1,$B22,AV$1,$B$1)</f>
        <v>882.14</v>
      </c>
      <c r="AW22">
        <f>_xll.EQNXTDZ($A$1,$B22,AW$1,$B$1)</f>
        <v>418.28699999999998</v>
      </c>
      <c r="AX22">
        <f>_xll.EQNXTDZ($A$1,$B22,AX$1,$B$1)</f>
        <v>988.76099999999997</v>
      </c>
      <c r="AY22">
        <f>_xll.EQNXTDZ($A$1,$B22,AY$1,$B$1)</f>
        <v>1991.2170000000001</v>
      </c>
      <c r="AZ22">
        <f>_xll.EQNXTDZ($A$1,$B22,AZ$1,$B$1)</f>
        <v>1151.1220000000001</v>
      </c>
      <c r="BA22">
        <f>_xll.EQNXTDZ($A$1,$B22,BA$1,$B$1)</f>
        <v>579.971</v>
      </c>
      <c r="BB22">
        <f>_xll.EQNXTDZ($A$1,$B22,BB$1,$B$1)</f>
        <v>1263.9639999999999</v>
      </c>
      <c r="BC22">
        <f>_xll.EQNXTDZ($A$1,$B22,BC$1,$B$1)</f>
        <v>1998.7729999999999</v>
      </c>
      <c r="BD22">
        <f>_xll.EQNXTDZ($A$1,$B22,BD$1,$B$1)</f>
        <v>1147.376</v>
      </c>
      <c r="BE22">
        <f>_xll.EQNXTDZ($A$1,$B22,BE$1,$B$1)</f>
        <v>639.25599999999997</v>
      </c>
      <c r="BF22">
        <f>_xll.EQNXTDZ($A$1,$B22,BF$1,$B$1)</f>
        <v>1528.9269999999999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5.6840000000000002</v>
      </c>
      <c r="R23">
        <f>_xll.EQNXTDZ($A$1,$B23,R$1,$B$1)</f>
        <v>4.8150000000000004</v>
      </c>
      <c r="S23">
        <f>_xll.EQNXTDZ($A$1,$B23,S$1,$B$1)</f>
        <v>6.2590000000000003</v>
      </c>
      <c r="T23">
        <f>_xll.EQNXTDZ($A$1,$B23,T$1,$B$1)</f>
        <v>22.972999999999999</v>
      </c>
      <c r="U23">
        <f>_xll.EQNXTDZ($A$1,$B23,U$1,$B$1)</f>
        <v>1.6859999999999999</v>
      </c>
      <c r="V23">
        <f>_xll.EQNXTDZ($A$1,$B23,V$1,$B$1)</f>
        <v>13.532</v>
      </c>
      <c r="W23">
        <f>_xll.EQNXTDZ($A$1,$B23,W$1,$B$1)</f>
        <v>4.6710000000000003</v>
      </c>
      <c r="X23">
        <f>_xll.EQNXTDZ($A$1,$B23,X$1,$B$1)</f>
        <v>2.8919999999999999</v>
      </c>
      <c r="Y23">
        <f>_xll.EQNXTDZ($A$1,$B23,Y$1,$B$1)</f>
        <v>1.5429999999999999</v>
      </c>
      <c r="Z23">
        <f>_xll.EQNXTDZ($A$1,$B23,Z$1,$B$1)</f>
        <v>8.1639999999999997</v>
      </c>
      <c r="AA23">
        <f>_xll.EQNXTDZ($A$1,$B23,AA$1,$B$1)</f>
        <v>0.34699999999999998</v>
      </c>
      <c r="AB23">
        <f>_xll.EQNXTDZ($A$1,$B23,AB$1,$B$1)</f>
        <v>0.57299999999999995</v>
      </c>
      <c r="AC23">
        <f>_xll.EQNXTDZ($A$1,$B23,AC$1,$B$1)</f>
        <v>12.74</v>
      </c>
      <c r="AD23">
        <f>_xll.EQNXTDZ($A$1,$B23,AD$1,$B$1)</f>
        <v>1.4019999999999999</v>
      </c>
      <c r="AE23">
        <f>_xll.EQNXTDZ($A$1,$B23,AE$1,$B$1)</f>
        <v>3.339</v>
      </c>
      <c r="AF23">
        <f>_xll.EQNXTDZ($A$1,$B23,AF$1,$B$1)</f>
        <v>1.8029999999999999</v>
      </c>
      <c r="AG23">
        <f>_xll.EQNXTDZ($A$1,$B23,AG$1,$B$1)</f>
        <v>35.984000000000002</v>
      </c>
      <c r="AH23">
        <f>_xll.EQNXTDZ($A$1,$B23,AH$1,$B$1)</f>
        <v>25.263999999999999</v>
      </c>
      <c r="AI23">
        <f>_xll.EQNXTDZ($A$1,$B23,AI$1,$B$1)</f>
        <v>2.6619999999999999</v>
      </c>
      <c r="AJ23">
        <f>_xll.EQNXTDZ($A$1,$B23,AJ$1,$B$1)</f>
        <v>3.4769999999999999</v>
      </c>
      <c r="AK23">
        <f>_xll.EQNXTDZ($A$1,$B23,AK$1,$B$1)</f>
        <v>5.569</v>
      </c>
      <c r="AL23">
        <f>_xll.EQNXTDZ($A$1,$B23,AL$1,$B$1)</f>
        <v>5.7290000000000001</v>
      </c>
      <c r="AM23">
        <f>_xll.EQNXTDZ($A$1,$B23,AM$1,$B$1)</f>
        <v>24.408000000000001</v>
      </c>
      <c r="AN23">
        <f>_xll.EQNXTDZ($A$1,$B23,AN$1,$B$1)</f>
        <v>36.933999999999997</v>
      </c>
      <c r="AO23">
        <f>_xll.EQNXTDZ($A$1,$B23,AO$1,$B$1)</f>
        <v>0.85399999999999998</v>
      </c>
      <c r="AP23">
        <f>_xll.EQNXTDZ($A$1,$B23,AP$1,$B$1)</f>
        <v>8.5079999999999991</v>
      </c>
      <c r="AQ23">
        <f>_xll.EQNXTDZ($A$1,$B23,AQ$1,$B$1)</f>
        <v>10.477</v>
      </c>
      <c r="AR23">
        <f>_xll.EQNXTDZ($A$1,$B23,AR$1,$B$1)</f>
        <v>10.619</v>
      </c>
      <c r="AS23">
        <f>_xll.EQNXTDZ($A$1,$B23,AS$1,$B$1)</f>
        <v>9.2449999999999992</v>
      </c>
      <c r="AT23">
        <f>_xll.EQNXTDZ($A$1,$B23,AT$1,$B$1)</f>
        <v>10.135999999999999</v>
      </c>
      <c r="AU23">
        <f>_xll.EQNXTDZ($A$1,$B23,AU$1,$B$1)</f>
        <v>41.600999999999999</v>
      </c>
      <c r="AV23">
        <f>_xll.EQNXTDZ($A$1,$B23,AV$1,$B$1)</f>
        <v>18.506</v>
      </c>
      <c r="AW23">
        <f>_xll.EQNXTDZ($A$1,$B23,AW$1,$B$1)</f>
        <v>9.1159999999999997</v>
      </c>
      <c r="AX23">
        <f>_xll.EQNXTDZ($A$1,$B23,AX$1,$B$1)</f>
        <v>8.3529999999999998</v>
      </c>
      <c r="AY23">
        <f>_xll.EQNXTDZ($A$1,$B23,AY$1,$B$1)</f>
        <v>44.026000000000003</v>
      </c>
      <c r="AZ23">
        <f>_xll.EQNXTDZ($A$1,$B23,AZ$1,$B$1)</f>
        <v>24.25</v>
      </c>
      <c r="BA23">
        <f>_xll.EQNXTDZ($A$1,$B23,BA$1,$B$1)</f>
        <v>44.639000000000003</v>
      </c>
      <c r="BB23">
        <f>_xll.EQNXTDZ($A$1,$B23,BB$1,$B$1)</f>
        <v>28.058</v>
      </c>
      <c r="BC23">
        <f>_xll.EQNXTDZ($A$1,$B23,BC$1,$B$1)</f>
        <v>77.158000000000001</v>
      </c>
      <c r="BD23">
        <f>_xll.EQNXTDZ($A$1,$B23,BD$1,$B$1)</f>
        <v>148.02500000000001</v>
      </c>
      <c r="BE23">
        <f>_xll.EQNXTDZ($A$1,$B23,BE$1,$B$1)</f>
        <v>99.106999999999999</v>
      </c>
      <c r="BF23">
        <f>_xll.EQNXTDZ($A$1,$B23,BF$1,$B$1)</f>
        <v>43.527999999999999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8.9819999999999993</v>
      </c>
      <c r="R24">
        <f>_xll.EQNXTDZ($A$1,$B24,R$1,$B$1)</f>
        <v>124.27800000000001</v>
      </c>
      <c r="S24">
        <f>_xll.EQNXTDZ($A$1,$B24,S$1,$B$1)</f>
        <v>471.90300000000002</v>
      </c>
      <c r="T24">
        <f>_xll.EQNXTDZ($A$1,$B24,T$1,$B$1)</f>
        <v>197.52699999999999</v>
      </c>
      <c r="U24">
        <f>_xll.EQNXTDZ($A$1,$B24,U$1,$B$1)</f>
        <v>27.88</v>
      </c>
      <c r="V24">
        <f>_xll.EQNXTDZ($A$1,$B24,V$1,$B$1)</f>
        <v>150.768</v>
      </c>
      <c r="W24">
        <f>_xll.EQNXTDZ($A$1,$B24,W$1,$B$1)</f>
        <v>485.17099999999999</v>
      </c>
      <c r="X24">
        <f>_xll.EQNXTDZ($A$1,$B24,X$1,$B$1)</f>
        <v>188.333</v>
      </c>
      <c r="Y24">
        <f>_xll.EQNXTDZ($A$1,$B24,Y$1,$B$1)</f>
        <v>24.158000000000001</v>
      </c>
      <c r="Z24">
        <f>_xll.EQNXTDZ($A$1,$B24,Z$1,$B$1)</f>
        <v>180.858</v>
      </c>
      <c r="AA24">
        <f>_xll.EQNXTDZ($A$1,$B24,AA$1,$B$1)</f>
        <v>575.20500000000004</v>
      </c>
      <c r="AB24">
        <f>_xll.EQNXTDZ($A$1,$B24,AB$1,$B$1)</f>
        <v>211.81399999999999</v>
      </c>
      <c r="AC24">
        <f>_xll.EQNXTDZ($A$1,$B24,AC$1,$B$1)</f>
        <v>60.533999999999999</v>
      </c>
      <c r="AD24">
        <f>_xll.EQNXTDZ($A$1,$B24,AD$1,$B$1)</f>
        <v>219.77699999999999</v>
      </c>
      <c r="AE24">
        <f>_xll.EQNXTDZ($A$1,$B24,AE$1,$B$1)</f>
        <v>791.21699999999998</v>
      </c>
      <c r="AF24">
        <f>_xll.EQNXTDZ($A$1,$B24,AF$1,$B$1)</f>
        <v>327.46499999999997</v>
      </c>
      <c r="AG24">
        <f>_xll.EQNXTDZ($A$1,$B24,AG$1,$B$1)</f>
        <v>151.72200000000001</v>
      </c>
      <c r="AH24">
        <f>_xll.EQNXTDZ($A$1,$B24,AH$1,$B$1)</f>
        <v>296.42</v>
      </c>
      <c r="AI24">
        <f>_xll.EQNXTDZ($A$1,$B24,AI$1,$B$1)</f>
        <v>380.35899999999998</v>
      </c>
      <c r="AJ24">
        <f>_xll.EQNXTDZ($A$1,$B24,AJ$1,$B$1)</f>
        <v>384.267</v>
      </c>
      <c r="AK24">
        <f>_xll.EQNXTDZ($A$1,$B24,AK$1,$B$1)</f>
        <v>177.79400000000001</v>
      </c>
      <c r="AL24">
        <f>_xll.EQNXTDZ($A$1,$B24,AL$1,$B$1)</f>
        <v>387.351</v>
      </c>
      <c r="AM24">
        <f>_xll.EQNXTDZ($A$1,$B24,AM$1,$B$1)</f>
        <v>595.20799999999997</v>
      </c>
      <c r="AN24">
        <f>_xll.EQNXTDZ($A$1,$B24,AN$1,$B$1)</f>
        <v>531.58900000000006</v>
      </c>
      <c r="AO24">
        <f>_xll.EQNXTDZ($A$1,$B24,AO$1,$B$1)</f>
        <v>208.422</v>
      </c>
      <c r="AP24">
        <f>_xll.EQNXTDZ($A$1,$B24,AP$1,$B$1)</f>
        <v>539.505</v>
      </c>
      <c r="AQ24">
        <f>_xll.EQNXTDZ($A$1,$B24,AQ$1,$B$1)</f>
        <v>1261.0940000000001</v>
      </c>
      <c r="AR24">
        <f>_xll.EQNXTDZ($A$1,$B24,AR$1,$B$1)</f>
        <v>709.60500000000104</v>
      </c>
      <c r="AS24">
        <f>_xll.EQNXTDZ($A$1,$B24,AS$1,$B$1)</f>
        <v>316.75</v>
      </c>
      <c r="AT24">
        <f>_xll.EQNXTDZ($A$1,$B24,AT$1,$B$1)</f>
        <v>808.17399999999895</v>
      </c>
      <c r="AU24">
        <f>_xll.EQNXTDZ($A$1,$B24,AU$1,$B$1)</f>
        <v>1552.6210000000001</v>
      </c>
      <c r="AV24">
        <f>_xll.EQNXTDZ($A$1,$B24,AV$1,$B$1)</f>
        <v>900.64599999999996</v>
      </c>
      <c r="AW24">
        <f>_xll.EQNXTDZ($A$1,$B24,AW$1,$B$1)</f>
        <v>427.40300000000002</v>
      </c>
      <c r="AX24">
        <f>_xll.EQNXTDZ($A$1,$B24,AX$1,$B$1)</f>
        <v>997.11400000000003</v>
      </c>
      <c r="AY24">
        <f>_xll.EQNXTDZ($A$1,$B24,AY$1,$B$1)</f>
        <v>2035.2429999999999</v>
      </c>
      <c r="AZ24">
        <f>_xll.EQNXTDZ($A$1,$B24,AZ$1,$B$1)</f>
        <v>1175.3720000000001</v>
      </c>
      <c r="BA24">
        <f>_xll.EQNXTDZ($A$1,$B24,BA$1,$B$1)</f>
        <v>624.61</v>
      </c>
      <c r="BB24">
        <f>_xll.EQNXTDZ($A$1,$B24,BB$1,$B$1)</f>
        <v>1292.0219999999999</v>
      </c>
      <c r="BC24">
        <f>_xll.EQNXTDZ($A$1,$B24,BC$1,$B$1)</f>
        <v>2075.931</v>
      </c>
      <c r="BD24">
        <f>_xll.EQNXTDZ($A$1,$B24,BD$1,$B$1)</f>
        <v>1295.4010000000001</v>
      </c>
      <c r="BE24">
        <f>_xll.EQNXTDZ($A$1,$B24,BE$1,$B$1)</f>
        <v>738.36300000000006</v>
      </c>
      <c r="BF24">
        <f>_xll.EQNXTDZ($A$1,$B24,BF$1,$B$1)</f>
        <v>1572.4549999999999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49.533999999999999</v>
      </c>
      <c r="R25">
        <f>_xll.EQNXTDZ($A$1,$B25,R$1,$B$1)</f>
        <v>109.04900000000001</v>
      </c>
      <c r="S25">
        <f>_xll.EQNXTDZ($A$1,$B25,S$1,$B$1)</f>
        <v>111.35899999999999</v>
      </c>
      <c r="T25">
        <f>_xll.EQNXTDZ($A$1,$B25,T$1,$B$1)</f>
        <v>111.26</v>
      </c>
      <c r="U25">
        <f>_xll.EQNXTDZ($A$1,$B25,U$1,$B$1)</f>
        <v>100.867</v>
      </c>
      <c r="V25">
        <f>_xll.EQNXTDZ($A$1,$B25,V$1,$B$1)</f>
        <v>56.610999999999997</v>
      </c>
      <c r="W25">
        <f>_xll.EQNXTDZ($A$1,$B25,W$1,$B$1)</f>
        <v>51.337000000000003</v>
      </c>
      <c r="X25">
        <f>_xll.EQNXTDZ($A$1,$B25,X$1,$B$1)</f>
        <v>51.610999999999997</v>
      </c>
      <c r="Y25">
        <f>_xll.EQNXTDZ($A$1,$B25,Y$1,$B$1)</f>
        <v>52.616</v>
      </c>
      <c r="Z25">
        <f>_xll.EQNXTDZ($A$1,$B25,Z$1,$B$1)</f>
        <v>59.917000000000002</v>
      </c>
      <c r="AA25">
        <f>_xll.EQNXTDZ($A$1,$B25,AA$1,$B$1)</f>
        <v>51.764000000000003</v>
      </c>
      <c r="AB25">
        <f>_xll.EQNXTDZ($A$1,$B25,AB$1,$B$1)</f>
        <v>47.158999999999999</v>
      </c>
      <c r="AC25">
        <f>_xll.EQNXTDZ($A$1,$B25,AC$1,$B$1)</f>
        <v>53.722999999999999</v>
      </c>
      <c r="AD25">
        <f>_xll.EQNXTDZ($A$1,$B25,AD$1,$B$1)</f>
        <v>59.027999999999999</v>
      </c>
      <c r="AE25">
        <f>_xll.EQNXTDZ($A$1,$B25,AE$1,$B$1)</f>
        <v>84.816999999999993</v>
      </c>
      <c r="AF25">
        <f>_xll.EQNXTDZ($A$1,$B25,AF$1,$B$1)</f>
        <v>86.736999999999995</v>
      </c>
      <c r="AG25">
        <f>_xll.EQNXTDZ($A$1,$B25,AG$1,$B$1)</f>
        <v>79.06</v>
      </c>
      <c r="AH25">
        <f>_xll.EQNXTDZ($A$1,$B25,AH$1,$B$1)</f>
        <v>86.968999999999994</v>
      </c>
      <c r="AI25">
        <f>_xll.EQNXTDZ($A$1,$B25,AI$1,$B$1)</f>
        <v>74.186999999999998</v>
      </c>
      <c r="AJ25">
        <f>_xll.EQNXTDZ($A$1,$B25,AJ$1,$B$1)</f>
        <v>57.963000000000001</v>
      </c>
      <c r="AK25">
        <f>_xll.EQNXTDZ($A$1,$B25,AK$1,$B$1)</f>
        <v>61.984999999999999</v>
      </c>
      <c r="AL25">
        <f>_xll.EQNXTDZ($A$1,$B25,AL$1,$B$1)</f>
        <v>57.941000000000003</v>
      </c>
      <c r="AM25">
        <f>_xll.EQNXTDZ($A$1,$B25,AM$1,$B$1)</f>
        <v>46.777000000000001</v>
      </c>
      <c r="AN25">
        <f>_xll.EQNXTDZ($A$1,$B25,AN$1,$B$1)</f>
        <v>42.688000000000002</v>
      </c>
      <c r="AO25">
        <f>_xll.EQNXTDZ($A$1,$B25,AO$1,$B$1)</f>
        <v>37.293999999999997</v>
      </c>
      <c r="AP25">
        <f>_xll.EQNXTDZ($A$1,$B25,AP$1,$B$1)</f>
        <v>46.954999999999998</v>
      </c>
      <c r="AQ25">
        <f>_xll.EQNXTDZ($A$1,$B25,AQ$1,$B$1)</f>
        <v>46.398000000000003</v>
      </c>
      <c r="AR25">
        <f>_xll.EQNXTDZ($A$1,$B25,AR$1,$B$1)</f>
        <v>45.284999999999997</v>
      </c>
      <c r="AS25">
        <f>_xll.EQNXTDZ($A$1,$B25,AS$1,$B$1)</f>
        <v>47.484000000000002</v>
      </c>
      <c r="AT25">
        <f>_xll.EQNXTDZ($A$1,$B25,AT$1,$B$1)</f>
        <v>62.572000000000003</v>
      </c>
      <c r="AU25">
        <f>_xll.EQNXTDZ($A$1,$B25,AU$1,$B$1)</f>
        <v>69.367999999999995</v>
      </c>
      <c r="AV25">
        <f>_xll.EQNXTDZ($A$1,$B25,AV$1,$B$1)</f>
        <v>62.5</v>
      </c>
      <c r="AW25">
        <f>_xll.EQNXTDZ($A$1,$B25,AW$1,$B$1)</f>
        <v>73.659000000000006</v>
      </c>
      <c r="AX25">
        <f>_xll.EQNXTDZ($A$1,$B25,AX$1,$B$1)</f>
        <v>93.686999999999998</v>
      </c>
      <c r="AY25">
        <f>_xll.EQNXTDZ($A$1,$B25,AY$1,$B$1)</f>
        <v>129.15899999999999</v>
      </c>
      <c r="AZ25">
        <f>_xll.EQNXTDZ($A$1,$B25,AZ$1,$B$1)</f>
        <v>118.535</v>
      </c>
      <c r="BA25">
        <f>_xll.EQNXTDZ($A$1,$B25,BA$1,$B$1)</f>
        <v>109.005</v>
      </c>
      <c r="BB25">
        <f>_xll.EQNXTDZ($A$1,$B25,BB$1,$B$1)</f>
        <v>41.124000000000002</v>
      </c>
      <c r="BC25">
        <f>_xll.EQNXTDZ($A$1,$B25,BC$1,$B$1)</f>
        <v>36.546999999999997</v>
      </c>
      <c r="BD25">
        <f>_xll.EQNXTDZ($A$1,$B25,BD$1,$B$1)</f>
        <v>45.213999999999999</v>
      </c>
      <c r="BE25">
        <f>_xll.EQNXTDZ($A$1,$B25,BE$1,$B$1)</f>
        <v>46.694000000000003</v>
      </c>
      <c r="BF25">
        <f>_xll.EQNXTDZ($A$1,$B25,BF$1,$B$1)</f>
        <v>48.524999999999999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-66.528999999999996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-40.552</v>
      </c>
      <c r="R27">
        <f>_xll.EQNXTDZ($A$1,$B27,R$1,$B$1)</f>
        <v>15.228999999999999</v>
      </c>
      <c r="S27">
        <f>_xll.EQNXTDZ($A$1,$B27,S$1,$B$1)</f>
        <v>360.54399999999998</v>
      </c>
      <c r="T27">
        <f>_xll.EQNXTDZ($A$1,$B27,T$1,$B$1)</f>
        <v>86.266999999999996</v>
      </c>
      <c r="U27">
        <f>_xll.EQNXTDZ($A$1,$B27,U$1,$B$1)</f>
        <v>-72.986999999999995</v>
      </c>
      <c r="V27">
        <f>_xll.EQNXTDZ($A$1,$B27,V$1,$B$1)</f>
        <v>94.156999999999996</v>
      </c>
      <c r="W27">
        <f>_xll.EQNXTDZ($A$1,$B27,W$1,$B$1)</f>
        <v>433.834</v>
      </c>
      <c r="X27">
        <f>_xll.EQNXTDZ($A$1,$B27,X$1,$B$1)</f>
        <v>136.72200000000001</v>
      </c>
      <c r="Y27">
        <f>_xll.EQNXTDZ($A$1,$B27,Y$1,$B$1)</f>
        <v>-28.457999999999998</v>
      </c>
      <c r="Z27">
        <f>_xll.EQNXTDZ($A$1,$B27,Z$1,$B$1)</f>
        <v>120.941</v>
      </c>
      <c r="AA27">
        <f>_xll.EQNXTDZ($A$1,$B27,AA$1,$B$1)</f>
        <v>523.44100000000003</v>
      </c>
      <c r="AB27">
        <f>_xll.EQNXTDZ($A$1,$B27,AB$1,$B$1)</f>
        <v>164.655</v>
      </c>
      <c r="AC27">
        <f>_xll.EQNXTDZ($A$1,$B27,AC$1,$B$1)</f>
        <v>6.8110000000000097</v>
      </c>
      <c r="AD27">
        <f>_xll.EQNXTDZ($A$1,$B27,AD$1,$B$1)</f>
        <v>160.749</v>
      </c>
      <c r="AE27">
        <f>_xll.EQNXTDZ($A$1,$B27,AE$1,$B$1)</f>
        <v>706.4</v>
      </c>
      <c r="AF27">
        <f>_xll.EQNXTDZ($A$1,$B27,AF$1,$B$1)</f>
        <v>240.72800000000001</v>
      </c>
      <c r="AG27">
        <f>_xll.EQNXTDZ($A$1,$B27,AG$1,$B$1)</f>
        <v>72.662000000000106</v>
      </c>
      <c r="AH27">
        <f>_xll.EQNXTDZ($A$1,$B27,AH$1,$B$1)</f>
        <v>142.922</v>
      </c>
      <c r="AI27">
        <f>_xll.EQNXTDZ($A$1,$B27,AI$1,$B$1)</f>
        <v>306.17200000000003</v>
      </c>
      <c r="AJ27">
        <f>_xll.EQNXTDZ($A$1,$B27,AJ$1,$B$1)</f>
        <v>326.30399999999997</v>
      </c>
      <c r="AK27">
        <f>_xll.EQNXTDZ($A$1,$B27,AK$1,$B$1)</f>
        <v>115.809</v>
      </c>
      <c r="AL27">
        <f>_xll.EQNXTDZ($A$1,$B27,AL$1,$B$1)</f>
        <v>329.41</v>
      </c>
      <c r="AM27">
        <f>_xll.EQNXTDZ($A$1,$B27,AM$1,$B$1)</f>
        <v>548.43100000000004</v>
      </c>
      <c r="AN27">
        <f>_xll.EQNXTDZ($A$1,$B27,AN$1,$B$1)</f>
        <v>488.90100000000001</v>
      </c>
      <c r="AO27">
        <f>_xll.EQNXTDZ($A$1,$B27,AO$1,$B$1)</f>
        <v>171.12799999999999</v>
      </c>
      <c r="AP27">
        <f>_xll.EQNXTDZ($A$1,$B27,AP$1,$B$1)</f>
        <v>492.55</v>
      </c>
      <c r="AQ27">
        <f>_xll.EQNXTDZ($A$1,$B27,AQ$1,$B$1)</f>
        <v>1214.6959999999999</v>
      </c>
      <c r="AR27">
        <f>_xll.EQNXTDZ($A$1,$B27,AR$1,$B$1)</f>
        <v>664.32000000000096</v>
      </c>
      <c r="AS27">
        <f>_xll.EQNXTDZ($A$1,$B27,AS$1,$B$1)</f>
        <v>269.26600000000002</v>
      </c>
      <c r="AT27">
        <f>_xll.EQNXTDZ($A$1,$B27,AT$1,$B$1)</f>
        <v>745.60199999999895</v>
      </c>
      <c r="AU27">
        <f>_xll.EQNXTDZ($A$1,$B27,AU$1,$B$1)</f>
        <v>1483.2529999999999</v>
      </c>
      <c r="AV27">
        <f>_xll.EQNXTDZ($A$1,$B27,AV$1,$B$1)</f>
        <v>838.14599999999996</v>
      </c>
      <c r="AW27">
        <f>_xll.EQNXTDZ($A$1,$B27,AW$1,$B$1)</f>
        <v>353.74400000000003</v>
      </c>
      <c r="AX27">
        <f>_xll.EQNXTDZ($A$1,$B27,AX$1,$B$1)</f>
        <v>903.42700000000002</v>
      </c>
      <c r="AY27">
        <f>_xll.EQNXTDZ($A$1,$B27,AY$1,$B$1)</f>
        <v>1906.0840000000001</v>
      </c>
      <c r="AZ27">
        <f>_xll.EQNXTDZ($A$1,$B27,AZ$1,$B$1)</f>
        <v>1056.837</v>
      </c>
      <c r="BA27">
        <f>_xll.EQNXTDZ($A$1,$B27,BA$1,$B$1)</f>
        <v>515.60500000000002</v>
      </c>
      <c r="BB27">
        <f>_xll.EQNXTDZ($A$1,$B27,BB$1,$B$1)</f>
        <v>1250.8979999999999</v>
      </c>
      <c r="BC27">
        <f>_xll.EQNXTDZ($A$1,$B27,BC$1,$B$1)</f>
        <v>2039.384</v>
      </c>
      <c r="BD27">
        <f>_xll.EQNXTDZ($A$1,$B27,BD$1,$B$1)</f>
        <v>1250.1869999999999</v>
      </c>
      <c r="BE27">
        <f>_xll.EQNXTDZ($A$1,$B27,BE$1,$B$1)</f>
        <v>691.66899999999998</v>
      </c>
      <c r="BF27">
        <f>_xll.EQNXTDZ($A$1,$B27,BF$1,$B$1)</f>
        <v>1523.93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88.622</v>
      </c>
      <c r="R28">
        <f>_xll.EQNXTDZ($A$1,$B28,R$1,$B$1)</f>
        <v>77.45</v>
      </c>
      <c r="S28">
        <f>_xll.EQNXTDZ($A$1,$B28,S$1,$B$1)</f>
        <v>76.866</v>
      </c>
      <c r="T28">
        <f>_xll.EQNXTDZ($A$1,$B28,T$1,$B$1)</f>
        <v>77.742999999999995</v>
      </c>
      <c r="U28">
        <f>_xll.EQNXTDZ($A$1,$B28,U$1,$B$1)</f>
        <v>80.037000000000006</v>
      </c>
      <c r="V28">
        <f>_xll.EQNXTDZ($A$1,$B28,V$1,$B$1)</f>
        <v>80.081000000000003</v>
      </c>
      <c r="W28">
        <f>_xll.EQNXTDZ($A$1,$B28,W$1,$B$1)</f>
        <v>90.703999999999994</v>
      </c>
      <c r="X28">
        <f>_xll.EQNXTDZ($A$1,$B28,X$1,$B$1)</f>
        <v>87.861000000000004</v>
      </c>
      <c r="Y28">
        <f>_xll.EQNXTDZ($A$1,$B28,Y$1,$B$1)</f>
        <v>88.004999999999995</v>
      </c>
      <c r="Z28">
        <f>_xll.EQNXTDZ($A$1,$B28,Z$1,$B$1)</f>
        <v>91.06</v>
      </c>
      <c r="AA28">
        <f>_xll.EQNXTDZ($A$1,$B28,AA$1,$B$1)</f>
        <v>100.04300000000001</v>
      </c>
      <c r="AB28">
        <f>_xll.EQNXTDZ($A$1,$B28,AB$1,$B$1)</f>
        <v>99.903000000000006</v>
      </c>
      <c r="AC28">
        <f>_xll.EQNXTDZ($A$1,$B28,AC$1,$B$1)</f>
        <v>94.063999999999993</v>
      </c>
      <c r="AD28">
        <f>_xll.EQNXTDZ($A$1,$B28,AD$1,$B$1)</f>
        <v>99.028999999999996</v>
      </c>
      <c r="AE28">
        <f>_xll.EQNXTDZ($A$1,$B28,AE$1,$B$1)</f>
        <v>125.41</v>
      </c>
      <c r="AF28">
        <f>_xll.EQNXTDZ($A$1,$B28,AF$1,$B$1)</f>
        <v>127.343</v>
      </c>
      <c r="AG28">
        <f>_xll.EQNXTDZ($A$1,$B28,AG$1,$B$1)</f>
        <v>136.846</v>
      </c>
      <c r="AH28">
        <f>_xll.EQNXTDZ($A$1,$B28,AH$1,$B$1)</f>
        <v>135.12299999999999</v>
      </c>
      <c r="AI28">
        <f>_xll.EQNXTDZ($A$1,$B28,AI$1,$B$1)</f>
        <v>124.31100000000001</v>
      </c>
      <c r="AJ28">
        <f>_xll.EQNXTDZ($A$1,$B28,AJ$1,$B$1)</f>
        <v>134.59399999999999</v>
      </c>
      <c r="AK28">
        <f>_xll.EQNXTDZ($A$1,$B28,AK$1,$B$1)</f>
        <v>134.67400000000001</v>
      </c>
      <c r="AL28">
        <f>_xll.EQNXTDZ($A$1,$B28,AL$1,$B$1)</f>
        <v>134.721</v>
      </c>
      <c r="AM28">
        <f>_xll.EQNXTDZ($A$1,$B28,AM$1,$B$1)</f>
        <v>128.77600000000001</v>
      </c>
      <c r="AN28">
        <f>_xll.EQNXTDZ($A$1,$B28,AN$1,$B$1)</f>
        <v>138.49199999999999</v>
      </c>
      <c r="AO28">
        <f>_xll.EQNXTDZ($A$1,$B28,AO$1,$B$1)</f>
        <v>129.273</v>
      </c>
      <c r="AP28">
        <f>_xll.EQNXTDZ($A$1,$B28,AP$1,$B$1)</f>
        <v>131.31899999999999</v>
      </c>
      <c r="AQ28">
        <f>_xll.EQNXTDZ($A$1,$B28,AQ$1,$B$1)</f>
        <v>153.07300000000001</v>
      </c>
      <c r="AR28">
        <f>_xll.EQNXTDZ($A$1,$B28,AR$1,$B$1)</f>
        <v>153.13900000000001</v>
      </c>
      <c r="AS28">
        <f>_xll.EQNXTDZ($A$1,$B28,AS$1,$B$1)</f>
        <v>179.65799999999999</v>
      </c>
      <c r="AT28">
        <f>_xll.EQNXTDZ($A$1,$B28,AT$1,$B$1)</f>
        <v>172.19900000000001</v>
      </c>
      <c r="AU28">
        <f>_xll.EQNXTDZ($A$1,$B28,AU$1,$B$1)</f>
        <v>171.92699999999999</v>
      </c>
      <c r="AV28">
        <f>_xll.EQNXTDZ($A$1,$B28,AV$1,$B$1)</f>
        <v>170.80799999999999</v>
      </c>
      <c r="AW28">
        <f>_xll.EQNXTDZ($A$1,$B28,AW$1,$B$1)</f>
        <v>165.97200000000001</v>
      </c>
      <c r="AX28">
        <f>_xll.EQNXTDZ($A$1,$B28,AX$1,$B$1)</f>
        <v>187.51599999999999</v>
      </c>
      <c r="AY28">
        <f>_xll.EQNXTDZ($A$1,$B28,AY$1,$B$1)</f>
        <v>242.477</v>
      </c>
      <c r="AZ28">
        <f>_xll.EQNXTDZ($A$1,$B28,AZ$1,$B$1)</f>
        <v>256.61099999999999</v>
      </c>
      <c r="BA28">
        <f>_xll.EQNXTDZ($A$1,$B28,BA$1,$B$1)</f>
        <v>260.78199999999998</v>
      </c>
      <c r="BB28">
        <f>_xll.EQNXTDZ($A$1,$B28,BB$1,$B$1)</f>
        <v>272.51299999999998</v>
      </c>
      <c r="BC28">
        <f>_xll.EQNXTDZ($A$1,$B28,BC$1,$B$1)</f>
        <v>306.15100000000001</v>
      </c>
      <c r="BD28">
        <f>_xll.EQNXTDZ($A$1,$B28,BD$1,$B$1)</f>
        <v>307.60000000000002</v>
      </c>
      <c r="BE28">
        <f>_xll.EQNXTDZ($A$1,$B28,BE$1,$B$1)</f>
        <v>330.19900000000001</v>
      </c>
      <c r="BF28">
        <f>_xll.EQNXTDZ($A$1,$B28,BF$1,$B$1)</f>
        <v>356.79399999999998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-30.100999999999999</v>
      </c>
      <c r="R29">
        <f>_xll.EQNXTDZ($A$1,$B29,R$1,$B$1)</f>
        <v>-6.1219999999999999</v>
      </c>
      <c r="S29">
        <f>_xll.EQNXTDZ($A$1,$B29,S$1,$B$1)</f>
        <v>82.418000000000006</v>
      </c>
      <c r="T29">
        <f>_xll.EQNXTDZ($A$1,$B29,T$1,$B$1)</f>
        <v>-4.2160000000000002</v>
      </c>
      <c r="U29">
        <f>_xll.EQNXTDZ($A$1,$B29,U$1,$B$1)</f>
        <v>-40.783999999999999</v>
      </c>
      <c r="V29">
        <f>_xll.EQNXTDZ($A$1,$B29,V$1,$B$1)</f>
        <v>7.3970000000000002</v>
      </c>
      <c r="W29">
        <f>_xll.EQNXTDZ($A$1,$B29,W$1,$B$1)</f>
        <v>98.123999999999995</v>
      </c>
      <c r="X29">
        <f>_xll.EQNXTDZ($A$1,$B29,X$1,$B$1)</f>
        <v>15.247999999999999</v>
      </c>
      <c r="Y29">
        <f>_xll.EQNXTDZ($A$1,$B29,Y$1,$B$1)</f>
        <v>-43.874000000000002</v>
      </c>
      <c r="Z29">
        <f>_xll.EQNXTDZ($A$1,$B29,Z$1,$B$1)</f>
        <v>11.237</v>
      </c>
      <c r="AA29">
        <f>_xll.EQNXTDZ($A$1,$B29,AA$1,$B$1)</f>
        <v>117.274</v>
      </c>
      <c r="AB29">
        <f>_xll.EQNXTDZ($A$1,$B29,AB$1,$B$1)</f>
        <v>21.195</v>
      </c>
      <c r="AC29">
        <f>_xll.EQNXTDZ($A$1,$B29,AC$1,$B$1)</f>
        <v>-15.771000000000001</v>
      </c>
      <c r="AD29">
        <f>_xll.EQNXTDZ($A$1,$B29,AD$1,$B$1)</f>
        <v>22.471</v>
      </c>
      <c r="AE29">
        <f>_xll.EQNXTDZ($A$1,$B29,AE$1,$B$1)</f>
        <v>177.309</v>
      </c>
      <c r="AF29">
        <f>_xll.EQNXTDZ($A$1,$B29,AF$1,$B$1)</f>
        <v>34.497999999999998</v>
      </c>
      <c r="AG29">
        <f>_xll.EQNXTDZ($A$1,$B29,AG$1,$B$1)</f>
        <v>-10.211</v>
      </c>
      <c r="AH29">
        <f>_xll.EQNXTDZ($A$1,$B29,AH$1,$B$1)</f>
        <v>-52.262999999999998</v>
      </c>
      <c r="AI29">
        <f>_xll.EQNXTDZ($A$1,$B29,AI$1,$B$1)</f>
        <v>38.883000000000003</v>
      </c>
      <c r="AJ29">
        <f>_xll.EQNXTDZ($A$1,$B29,AJ$1,$B$1)</f>
        <v>30.236999999999998</v>
      </c>
      <c r="AK29">
        <f>_xll.EQNXTDZ($A$1,$B29,AK$1,$B$1)</f>
        <v>-11.622999999999999</v>
      </c>
      <c r="AL29">
        <f>_xll.EQNXTDZ($A$1,$B29,AL$1,$B$1)</f>
        <v>57.93</v>
      </c>
      <c r="AM29">
        <f>_xll.EQNXTDZ($A$1,$B29,AM$1,$B$1)</f>
        <v>100.852</v>
      </c>
      <c r="AN29">
        <f>_xll.EQNXTDZ($A$1,$B29,AN$1,$B$1)</f>
        <v>92.509</v>
      </c>
      <c r="AO29">
        <f>_xll.EQNXTDZ($A$1,$B29,AO$1,$B$1)</f>
        <v>9.2650000000000006</v>
      </c>
      <c r="AP29">
        <f>_xll.EQNXTDZ($A$1,$B29,AP$1,$B$1)</f>
        <v>90.137</v>
      </c>
      <c r="AQ29">
        <f>_xll.EQNXTDZ($A$1,$B29,AQ$1,$B$1)</f>
        <v>259.61200000000002</v>
      </c>
      <c r="AR29">
        <f>_xll.EQNXTDZ($A$1,$B29,AR$1,$B$1)</f>
        <v>115.696</v>
      </c>
      <c r="AS29">
        <f>_xll.EQNXTDZ($A$1,$B29,AS$1,$B$1)</f>
        <v>8.0779999999999994</v>
      </c>
      <c r="AT29">
        <f>_xll.EQNXTDZ($A$1,$B29,AT$1,$B$1)</f>
        <v>134.804</v>
      </c>
      <c r="AU29">
        <f>_xll.EQNXTDZ($A$1,$B29,AU$1,$B$1)</f>
        <v>305.66500000000002</v>
      </c>
      <c r="AV29">
        <f>_xll.EQNXTDZ($A$1,$B29,AV$1,$B$1)</f>
        <v>152.86000000000001</v>
      </c>
      <c r="AW29">
        <f>_xll.EQNXTDZ($A$1,$B29,AW$1,$B$1)</f>
        <v>44.218000000000004</v>
      </c>
      <c r="AX29">
        <f>_xll.EQNXTDZ($A$1,$B29,AX$1,$B$1)</f>
        <v>167.768</v>
      </c>
      <c r="AY29">
        <f>_xll.EQNXTDZ($A$1,$B29,AY$1,$B$1)</f>
        <v>401.23700000000002</v>
      </c>
      <c r="AZ29">
        <f>_xll.EQNXTDZ($A$1,$B29,AZ$1,$B$1)</f>
        <v>171.30600000000001</v>
      </c>
      <c r="BA29">
        <f>_xll.EQNXTDZ($A$1,$B29,BA$1,$B$1)</f>
        <v>58.493000000000002</v>
      </c>
      <c r="BB29">
        <f>_xll.EQNXTDZ($A$1,$B29,BB$1,$B$1)</f>
        <v>246.45</v>
      </c>
      <c r="BC29">
        <f>_xll.EQNXTDZ($A$1,$B29,BC$1,$B$1)</f>
        <v>406.55599999999998</v>
      </c>
      <c r="BD29">
        <f>_xll.EQNXTDZ($A$1,$B29,BD$1,$B$1)</f>
        <v>195.71899999999999</v>
      </c>
      <c r="BE29">
        <f>_xll.EQNXTDZ($A$1,$B29,BE$1,$B$1)</f>
        <v>98.881</v>
      </c>
      <c r="BF29">
        <f>_xll.EQNXTDZ($A$1,$B29,BF$1,$B$1)</f>
        <v>284.476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-99.072999999999993</v>
      </c>
      <c r="R30">
        <f>_xll.EQNXTDZ($A$1,$B30,R$1,$B$1)</f>
        <v>-56.098999999999997</v>
      </c>
      <c r="S30">
        <f>_xll.EQNXTDZ($A$1,$B30,S$1,$B$1)</f>
        <v>201.26</v>
      </c>
      <c r="T30">
        <f>_xll.EQNXTDZ($A$1,$B30,T$1,$B$1)</f>
        <v>12.74</v>
      </c>
      <c r="U30">
        <f>_xll.EQNXTDZ($A$1,$B30,U$1,$B$1)</f>
        <v>-112.24</v>
      </c>
      <c r="V30">
        <f>_xll.EQNXTDZ($A$1,$B30,V$1,$B$1)</f>
        <v>6.6790000000000003</v>
      </c>
      <c r="W30">
        <f>_xll.EQNXTDZ($A$1,$B30,W$1,$B$1)</f>
        <v>245.006</v>
      </c>
      <c r="X30">
        <f>_xll.EQNXTDZ($A$1,$B30,X$1,$B$1)</f>
        <v>33.613</v>
      </c>
      <c r="Y30">
        <f>_xll.EQNXTDZ($A$1,$B30,Y$1,$B$1)</f>
        <v>-72.588999999999999</v>
      </c>
      <c r="Z30">
        <f>_xll.EQNXTDZ($A$1,$B30,Z$1,$B$1)</f>
        <v>18.643999999999998</v>
      </c>
      <c r="AA30">
        <f>_xll.EQNXTDZ($A$1,$B30,AA$1,$B$1)</f>
        <v>306.12400000000002</v>
      </c>
      <c r="AB30">
        <f>_xll.EQNXTDZ($A$1,$B30,AB$1,$B$1)</f>
        <v>43.557000000000002</v>
      </c>
      <c r="AC30">
        <f>_xll.EQNXTDZ($A$1,$B30,AC$1,$B$1)</f>
        <v>-71.481999999999999</v>
      </c>
      <c r="AD30">
        <f>_xll.EQNXTDZ($A$1,$B30,AD$1,$B$1)</f>
        <v>39.249000000000201</v>
      </c>
      <c r="AE30">
        <f>_xll.EQNXTDZ($A$1,$B30,AE$1,$B$1)</f>
        <v>403.68099999999998</v>
      </c>
      <c r="AF30">
        <f>_xll.EQNXTDZ($A$1,$B30,AF$1,$B$1)</f>
        <v>78.886999999999802</v>
      </c>
      <c r="AG30">
        <f>_xll.EQNXTDZ($A$1,$B30,AG$1,$B$1)</f>
        <v>-53.9729999999999</v>
      </c>
      <c r="AH30">
        <f>_xll.EQNXTDZ($A$1,$B30,AH$1,$B$1)</f>
        <v>60.062000000000097</v>
      </c>
      <c r="AI30">
        <f>_xll.EQNXTDZ($A$1,$B30,AI$1,$B$1)</f>
        <v>142.97800000000001</v>
      </c>
      <c r="AJ30">
        <f>_xll.EQNXTDZ($A$1,$B30,AJ$1,$B$1)</f>
        <v>161.47300000000001</v>
      </c>
      <c r="AK30">
        <f>_xll.EQNXTDZ($A$1,$B30,AK$1,$B$1)</f>
        <v>-7.2419999999999396</v>
      </c>
      <c r="AL30">
        <f>_xll.EQNXTDZ($A$1,$B30,AL$1,$B$1)</f>
        <v>136.75899999999999</v>
      </c>
      <c r="AM30">
        <f>_xll.EQNXTDZ($A$1,$B30,AM$1,$B$1)</f>
        <v>318.803</v>
      </c>
      <c r="AN30">
        <f>_xll.EQNXTDZ($A$1,$B30,AN$1,$B$1)</f>
        <v>257.89999999999998</v>
      </c>
      <c r="AO30">
        <f>_xll.EQNXTDZ($A$1,$B30,AO$1,$B$1)</f>
        <v>32.590000000000103</v>
      </c>
      <c r="AP30">
        <f>_xll.EQNXTDZ($A$1,$B30,AP$1,$B$1)</f>
        <v>271.09399999999999</v>
      </c>
      <c r="AQ30">
        <f>_xll.EQNXTDZ($A$1,$B30,AQ$1,$B$1)</f>
        <v>802.01099999999997</v>
      </c>
      <c r="AR30">
        <f>_xll.EQNXTDZ($A$1,$B30,AR$1,$B$1)</f>
        <v>395.48500000000098</v>
      </c>
      <c r="AS30">
        <f>_xll.EQNXTDZ($A$1,$B30,AS$1,$B$1)</f>
        <v>81.53</v>
      </c>
      <c r="AT30">
        <f>_xll.EQNXTDZ($A$1,$B30,AT$1,$B$1)</f>
        <v>438.59899999999902</v>
      </c>
      <c r="AU30">
        <f>_xll.EQNXTDZ($A$1,$B30,AU$1,$B$1)</f>
        <v>1005.6609999999999</v>
      </c>
      <c r="AV30">
        <f>_xll.EQNXTDZ($A$1,$B30,AV$1,$B$1)</f>
        <v>514.47799999999995</v>
      </c>
      <c r="AW30">
        <f>_xll.EQNXTDZ($A$1,$B30,AW$1,$B$1)</f>
        <v>143.554</v>
      </c>
      <c r="AX30">
        <f>_xll.EQNXTDZ($A$1,$B30,AX$1,$B$1)</f>
        <v>548.14300000000003</v>
      </c>
      <c r="AY30">
        <f>_xll.EQNXTDZ($A$1,$B30,AY$1,$B$1)</f>
        <v>1262.3699999999999</v>
      </c>
      <c r="AZ30">
        <f>_xll.EQNXTDZ($A$1,$B30,AZ$1,$B$1)</f>
        <v>628.92000000000098</v>
      </c>
      <c r="BA30">
        <f>_xll.EQNXTDZ($A$1,$B30,BA$1,$B$1)</f>
        <v>196.33</v>
      </c>
      <c r="BB30">
        <f>_xll.EQNXTDZ($A$1,$B30,BB$1,$B$1)</f>
        <v>731.93499999999995</v>
      </c>
      <c r="BC30">
        <f>_xll.EQNXTDZ($A$1,$B30,BC$1,$B$1)</f>
        <v>1326.6769999999999</v>
      </c>
      <c r="BD30">
        <f>_xll.EQNXTDZ($A$1,$B30,BD$1,$B$1)</f>
        <v>746.86800000000005</v>
      </c>
      <c r="BE30">
        <f>_xll.EQNXTDZ($A$1,$B30,BE$1,$B$1)</f>
        <v>262.589</v>
      </c>
      <c r="BF30">
        <f>_xll.EQNXTDZ($A$1,$B30,BF$1,$B$1)</f>
        <v>882.65999999999894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3.923</v>
      </c>
      <c r="S34">
        <f>_xll.EQNXTDZ($A$1,$B34,S$1,$B$1)</f>
        <v>0.64600000000000002</v>
      </c>
      <c r="T34">
        <f>_xll.EQNXTDZ($A$1,$B34,T$1,$B$1)</f>
        <v>-2.669</v>
      </c>
      <c r="U34">
        <f>_xll.EQNXTDZ($A$1,$B34,U$1,$B$1)</f>
        <v>-7.5629999999999997</v>
      </c>
      <c r="V34">
        <f>_xll.EQNXTDZ($A$1,$B34,V$1,$B$1)</f>
        <v>-2.3860000000000001</v>
      </c>
      <c r="W34">
        <f>_xll.EQNXTDZ($A$1,$B34,W$1,$B$1)</f>
        <v>2.5000000000000001E-2</v>
      </c>
      <c r="X34">
        <f>_xll.EQNXTDZ($A$1,$B34,X$1,$B$1)</f>
        <v>-0.82899999999999996</v>
      </c>
      <c r="Y34">
        <f>_xll.EQNXTDZ($A$1,$B34,Y$1,$B$1)</f>
        <v>-0.71499999999999997</v>
      </c>
      <c r="Z34">
        <f>_xll.EQNXTDZ($A$1,$B34,Z$1,$B$1)</f>
        <v>-1.1060000000000001</v>
      </c>
      <c r="AA34">
        <f>_xll.EQNXTDZ($A$1,$B34,AA$1,$B$1)</f>
        <v>-3.3460000000000001</v>
      </c>
      <c r="AB34">
        <f>_xll.EQNXTDZ($A$1,$B34,AB$1,$B$1)</f>
        <v>-1.883</v>
      </c>
      <c r="AC34">
        <f>_xll.EQNXTDZ($A$1,$B34,AC$1,$B$1)</f>
        <v>-0.68700000000000006</v>
      </c>
      <c r="AD34">
        <f>_xll.EQNXTDZ($A$1,$B34,AD$1,$B$1)</f>
        <v>0.58599999999999997</v>
      </c>
      <c r="AE34">
        <f>_xll.EQNXTDZ($A$1,$B34,AE$1,$B$1)</f>
        <v>1.9359999999999999</v>
      </c>
      <c r="AF34">
        <f>_xll.EQNXTDZ($A$1,$B34,AF$1,$B$1)</f>
        <v>-0.39100000000000001</v>
      </c>
      <c r="AG34">
        <f>_xll.EQNXTDZ($A$1,$B34,AG$1,$B$1)</f>
        <v>-5.3609999999999998</v>
      </c>
      <c r="AH34">
        <f>_xll.EQNXTDZ($A$1,$B34,AH$1,$B$1)</f>
        <v>-5.1429999999999998</v>
      </c>
      <c r="AI34">
        <f>_xll.EQNXTDZ($A$1,$B34,AI$1,$B$1)</f>
        <v>-2.2000000000000002</v>
      </c>
      <c r="AJ34">
        <f>_xll.EQNXTDZ($A$1,$B34,AJ$1,$B$1)</f>
        <v>-8.4420000000000002</v>
      </c>
      <c r="AK34">
        <f>_xll.EQNXTDZ($A$1,$B34,AK$1,$B$1)</f>
        <v>-12.491</v>
      </c>
      <c r="AL34">
        <f>_xll.EQNXTDZ($A$1,$B34,AL$1,$B$1)</f>
        <v>-7.5039999999999996</v>
      </c>
      <c r="AM34">
        <f>_xll.EQNXTDZ($A$1,$B34,AM$1,$B$1)</f>
        <v>-10.638</v>
      </c>
      <c r="AN34">
        <f>_xll.EQNXTDZ($A$1,$B34,AN$1,$B$1)</f>
        <v>-17.759</v>
      </c>
      <c r="AO34">
        <f>_xll.EQNXTDZ($A$1,$B34,AO$1,$B$1)</f>
        <v>-16.099</v>
      </c>
      <c r="AP34">
        <f>_xll.EQNXTDZ($A$1,$B34,AP$1,$B$1)</f>
        <v>-16.887</v>
      </c>
      <c r="AQ34">
        <f>_xll.EQNXTDZ($A$1,$B34,AQ$1,$B$1)</f>
        <v>-14.573</v>
      </c>
      <c r="AR34">
        <f>_xll.EQNXTDZ($A$1,$B34,AR$1,$B$1)</f>
        <v>-14.448</v>
      </c>
      <c r="AS34">
        <f>_xll.EQNXTDZ($A$1,$B34,AS$1,$B$1)</f>
        <v>-6.7729999999999997</v>
      </c>
      <c r="AT34">
        <f>_xll.EQNXTDZ($A$1,$B34,AT$1,$B$1)</f>
        <v>-9.5</v>
      </c>
      <c r="AU34">
        <f>_xll.EQNXTDZ($A$1,$B34,AU$1,$B$1)</f>
        <v>-11.611000000000001</v>
      </c>
      <c r="AV34">
        <f>_xll.EQNXTDZ($A$1,$B34,AV$1,$B$1)</f>
        <v>-12.99</v>
      </c>
      <c r="AW34">
        <f>_xll.EQNXTDZ($A$1,$B34,AW$1,$B$1)</f>
        <v>-11.79</v>
      </c>
      <c r="AX34">
        <f>_xll.EQNXTDZ($A$1,$B34,AX$1,$B$1)</f>
        <v>-10.711</v>
      </c>
      <c r="AY34">
        <f>_xll.EQNXTDZ($A$1,$B34,AY$1,$B$1)</f>
        <v>-9.2309999999999999</v>
      </c>
      <c r="AZ34">
        <f>_xll.EQNXTDZ($A$1,$B34,AZ$1,$B$1)</f>
        <v>-9.2119999999999997</v>
      </c>
      <c r="BA34">
        <f>_xll.EQNXTDZ($A$1,$B34,BA$1,$B$1)</f>
        <v>-10.497999999999999</v>
      </c>
      <c r="BB34">
        <f>_xll.EQNXTDZ($A$1,$B34,BB$1,$B$1)</f>
        <v>-4.87</v>
      </c>
      <c r="BC34">
        <f>_xll.EQNXTDZ($A$1,$B34,BC$1,$B$1)</f>
        <v>-8.4640000000000004</v>
      </c>
      <c r="BD34">
        <f>_xll.EQNXTDZ($A$1,$B34,BD$1,$B$1)</f>
        <v>-4.0019999999999998</v>
      </c>
      <c r="BE34">
        <f>_xll.EQNXTDZ($A$1,$B34,BE$1,$B$1)</f>
        <v>-8.2170000000000005</v>
      </c>
      <c r="BF34">
        <f>_xll.EQNXTDZ($A$1,$B34,BF$1,$B$1)</f>
        <v>-6.3579999999999997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0.32200000000000001</v>
      </c>
      <c r="R35">
        <f>_xll.EQNXTDZ($A$1,$B35,R$1,$B$1)</f>
        <v>0.39</v>
      </c>
      <c r="S35">
        <f>_xll.EQNXTDZ($A$1,$B35,S$1,$B$1)</f>
        <v>1.173</v>
      </c>
      <c r="T35">
        <f>_xll.EQNXTDZ($A$1,$B35,T$1,$B$1)</f>
        <v>0.23200000000000001</v>
      </c>
      <c r="U35">
        <f>_xll.EQNXTDZ($A$1,$B35,U$1,$B$1)</f>
        <v>0.58299999999999996</v>
      </c>
      <c r="V35">
        <f>_xll.EQNXTDZ($A$1,$B35,V$1,$B$1)</f>
        <v>0.215</v>
      </c>
      <c r="W35">
        <f>_xll.EQNXTDZ($A$1,$B35,W$1,$B$1)</f>
        <v>0.57799999999999996</v>
      </c>
      <c r="X35">
        <f>_xll.EQNXTDZ($A$1,$B35,X$1,$B$1)</f>
        <v>9.7000000000000003E-2</v>
      </c>
      <c r="Y35">
        <f>_xll.EQNXTDZ($A$1,$B35,Y$1,$B$1)</f>
        <v>0.46</v>
      </c>
      <c r="Z35">
        <f>_xll.EQNXTDZ($A$1,$B35,Z$1,$B$1)</f>
        <v>1.0940000000000001</v>
      </c>
      <c r="AA35">
        <f>_xll.EQNXTDZ($A$1,$B35,AA$1,$B$1)</f>
        <v>0.66500000000000004</v>
      </c>
      <c r="AB35">
        <f>_xll.EQNXTDZ($A$1,$B35,AB$1,$B$1)</f>
        <v>0.60099999999999998</v>
      </c>
      <c r="AC35">
        <f>_xll.EQNXTDZ($A$1,$B35,AC$1,$B$1)</f>
        <v>0.66</v>
      </c>
      <c r="AD35">
        <f>_xll.EQNXTDZ($A$1,$B35,AD$1,$B$1)</f>
        <v>0.79100000000000004</v>
      </c>
      <c r="AE35">
        <f>_xll.EQNXTDZ($A$1,$B35,AE$1,$B$1)</f>
        <v>1.3120000000000001</v>
      </c>
      <c r="AF35">
        <f>_xll.EQNXTDZ($A$1,$B35,AF$1,$B$1)</f>
        <v>2.2360000000000002</v>
      </c>
      <c r="AG35">
        <f>_xll.EQNXTDZ($A$1,$B35,AG$1,$B$1)</f>
        <v>2.1999999999999999E-2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-6.0000000000000001E-3</v>
      </c>
      <c r="AT35">
        <f>_xll.EQNXTDZ($A$1,$B35,AT$1,$B$1)</f>
        <v>-2.7E-2</v>
      </c>
      <c r="AU35">
        <f>_xll.EQNXTDZ($A$1,$B35,AU$1,$B$1)</f>
        <v>-0.23899999999999999</v>
      </c>
      <c r="AV35">
        <f>_xll.EQNXTDZ($A$1,$B35,AV$1,$B$1)</f>
        <v>-0.42099999999999999</v>
      </c>
      <c r="AW35">
        <f>_xll.EQNXTDZ($A$1,$B35,AW$1,$B$1)</f>
        <v>0.20799999999999999</v>
      </c>
      <c r="AX35">
        <f>_xll.EQNXTDZ($A$1,$B35,AX$1,$B$1)</f>
        <v>-0.161</v>
      </c>
      <c r="AY35">
        <f>_xll.EQNXTDZ($A$1,$B35,AY$1,$B$1)</f>
        <v>-0.53600000000000003</v>
      </c>
      <c r="AZ35">
        <f>_xll.EQNXTDZ($A$1,$B35,AZ$1,$B$1)</f>
        <v>-9.5000000000000001E-2</v>
      </c>
      <c r="BA35">
        <f>_xll.EQNXTDZ($A$1,$B35,BA$1,$B$1)</f>
        <v>-0.68600000000000005</v>
      </c>
      <c r="BB35">
        <f>_xll.EQNXTDZ($A$1,$B35,BB$1,$B$1)</f>
        <v>-0.57699999999999996</v>
      </c>
      <c r="BC35">
        <f>_xll.EQNXTDZ($A$1,$B35,BC$1,$B$1)</f>
        <v>-1.1890000000000001</v>
      </c>
      <c r="BD35">
        <f>_xll.EQNXTDZ($A$1,$B35,BD$1,$B$1)</f>
        <v>-1.6759999999999999</v>
      </c>
      <c r="BE35">
        <f>_xll.EQNXTDZ($A$1,$B35,BE$1,$B$1)</f>
        <v>-2.585</v>
      </c>
      <c r="BF35">
        <f>_xll.EQNXTDZ($A$1,$B35,BF$1,$B$1)</f>
        <v>-3.9470000000000001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-98.751000000000005</v>
      </c>
      <c r="R38">
        <f>_xll.EQNXTDZ($A$1,$B38,R$1,$B$1)</f>
        <v>-51.786000000000001</v>
      </c>
      <c r="S38">
        <f>_xll.EQNXTDZ($A$1,$B38,S$1,$B$1)</f>
        <v>203.07900000000001</v>
      </c>
      <c r="T38">
        <f>_xll.EQNXTDZ($A$1,$B38,T$1,$B$1)</f>
        <v>10.303000000000001</v>
      </c>
      <c r="U38">
        <f>_xll.EQNXTDZ($A$1,$B38,U$1,$B$1)</f>
        <v>-119.22</v>
      </c>
      <c r="V38">
        <f>_xll.EQNXTDZ($A$1,$B38,V$1,$B$1)</f>
        <v>4.508</v>
      </c>
      <c r="W38">
        <f>_xll.EQNXTDZ($A$1,$B38,W$1,$B$1)</f>
        <v>245.60900000000001</v>
      </c>
      <c r="X38">
        <f>_xll.EQNXTDZ($A$1,$B38,X$1,$B$1)</f>
        <v>32.881</v>
      </c>
      <c r="Y38">
        <f>_xll.EQNXTDZ($A$1,$B38,Y$1,$B$1)</f>
        <v>-72.843999999999994</v>
      </c>
      <c r="Z38">
        <f>_xll.EQNXTDZ($A$1,$B38,Z$1,$B$1)</f>
        <v>18.632000000000001</v>
      </c>
      <c r="AA38">
        <f>_xll.EQNXTDZ($A$1,$B38,AA$1,$B$1)</f>
        <v>303.44299999999998</v>
      </c>
      <c r="AB38">
        <f>_xll.EQNXTDZ($A$1,$B38,AB$1,$B$1)</f>
        <v>42.274999999999999</v>
      </c>
      <c r="AC38">
        <f>_xll.EQNXTDZ($A$1,$B38,AC$1,$B$1)</f>
        <v>-71.509</v>
      </c>
      <c r="AD38">
        <f>_xll.EQNXTDZ($A$1,$B38,AD$1,$B$1)</f>
        <v>40.625999999999998</v>
      </c>
      <c r="AE38">
        <f>_xll.EQNXTDZ($A$1,$B38,AE$1,$B$1)</f>
        <v>406.92899999999997</v>
      </c>
      <c r="AF38">
        <f>_xll.EQNXTDZ($A$1,$B38,AF$1,$B$1)</f>
        <v>80.731999999999999</v>
      </c>
      <c r="AG38">
        <f>_xll.EQNXTDZ($A$1,$B38,AG$1,$B$1)</f>
        <v>-59.311999999999998</v>
      </c>
      <c r="AH38">
        <f>_xll.EQNXTDZ($A$1,$B38,AH$1,$B$1)</f>
        <v>54.918999999999997</v>
      </c>
      <c r="AI38">
        <f>_xll.EQNXTDZ($A$1,$B38,AI$1,$B$1)</f>
        <v>140.77799999999999</v>
      </c>
      <c r="AJ38">
        <f>_xll.EQNXTDZ($A$1,$B38,AJ$1,$B$1)</f>
        <v>153.03100000000001</v>
      </c>
      <c r="AK38">
        <f>_xll.EQNXTDZ($A$1,$B38,AK$1,$B$1)</f>
        <v>-19.733000000000001</v>
      </c>
      <c r="AL38">
        <f>_xll.EQNXTDZ($A$1,$B38,AL$1,$B$1)</f>
        <v>129.255</v>
      </c>
      <c r="AM38">
        <f>_xll.EQNXTDZ($A$1,$B38,AM$1,$B$1)</f>
        <v>308.16500000000002</v>
      </c>
      <c r="AN38">
        <f>_xll.EQNXTDZ($A$1,$B38,AN$1,$B$1)</f>
        <v>240.14099999999999</v>
      </c>
      <c r="AO38">
        <f>_xll.EQNXTDZ($A$1,$B38,AO$1,$B$1)</f>
        <v>16.491</v>
      </c>
      <c r="AP38">
        <f>_xll.EQNXTDZ($A$1,$B38,AP$1,$B$1)</f>
        <v>254.20699999999999</v>
      </c>
      <c r="AQ38">
        <f>_xll.EQNXTDZ($A$1,$B38,AQ$1,$B$1)</f>
        <v>787.43799999999999</v>
      </c>
      <c r="AR38">
        <f>_xll.EQNXTDZ($A$1,$B38,AR$1,$B$1)</f>
        <v>381.03699999999998</v>
      </c>
      <c r="AS38">
        <f>_xll.EQNXTDZ($A$1,$B38,AS$1,$B$1)</f>
        <v>74.751000000000005</v>
      </c>
      <c r="AT38">
        <f>_xll.EQNXTDZ($A$1,$B38,AT$1,$B$1)</f>
        <v>429.072</v>
      </c>
      <c r="AU38">
        <f>_xll.EQNXTDZ($A$1,$B38,AU$1,$B$1)</f>
        <v>993.81100000000004</v>
      </c>
      <c r="AV38">
        <f>_xll.EQNXTDZ($A$1,$B38,AV$1,$B$1)</f>
        <v>501.06700000000001</v>
      </c>
      <c r="AW38">
        <f>_xll.EQNXTDZ($A$1,$B38,AW$1,$B$1)</f>
        <v>131.97200000000001</v>
      </c>
      <c r="AX38">
        <f>_xll.EQNXTDZ($A$1,$B38,AX$1,$B$1)</f>
        <v>537.27099999999996</v>
      </c>
      <c r="AY38">
        <f>_xll.EQNXTDZ($A$1,$B38,AY$1,$B$1)</f>
        <v>1252.6030000000001</v>
      </c>
      <c r="AZ38">
        <f>_xll.EQNXTDZ($A$1,$B38,AZ$1,$B$1)</f>
        <v>619.61300000000006</v>
      </c>
      <c r="BA38">
        <f>_xll.EQNXTDZ($A$1,$B38,BA$1,$B$1)</f>
        <v>185.14599999999999</v>
      </c>
      <c r="BB38">
        <f>_xll.EQNXTDZ($A$1,$B38,BB$1,$B$1)</f>
        <v>726.48800000000006</v>
      </c>
      <c r="BC38">
        <f>_xll.EQNXTDZ($A$1,$B38,BC$1,$B$1)</f>
        <v>1317.0239999999999</v>
      </c>
      <c r="BD38">
        <f>_xll.EQNXTDZ($A$1,$B38,BD$1,$B$1)</f>
        <v>741.19</v>
      </c>
      <c r="BE38">
        <f>_xll.EQNXTDZ($A$1,$B38,BE$1,$B$1)</f>
        <v>251.78700000000001</v>
      </c>
      <c r="BF38">
        <f>_xll.EQNXTDZ($A$1,$B38,BF$1,$B$1)</f>
        <v>872.35500000000002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-2.3130000000000002</v>
      </c>
      <c r="S40">
        <f>_xll.EQNXTDZ($A$1,$B40,S$1,$B$1)</f>
        <v>1.552</v>
      </c>
      <c r="T40">
        <f>_xll.EQNXTDZ($A$1,$B40,T$1,$B$1)</f>
        <v>-7.0609999999999999</v>
      </c>
      <c r="U40">
        <f>_xll.EQNXTDZ($A$1,$B40,U$1,$B$1)</f>
        <v>-0.83299999999999996</v>
      </c>
      <c r="V40">
        <f>_xll.EQNXTDZ($A$1,$B40,V$1,$B$1)</f>
        <v>-1.532</v>
      </c>
      <c r="W40">
        <f>_xll.EQNXTDZ($A$1,$B40,W$1,$B$1)</f>
        <v>-0.441</v>
      </c>
      <c r="X40">
        <f>_xll.EQNXTDZ($A$1,$B40,X$1,$B$1)</f>
        <v>-0.23400000000000001</v>
      </c>
      <c r="Y40">
        <f>_xll.EQNXTDZ($A$1,$B40,Y$1,$B$1)</f>
        <v>2.6219999999999999</v>
      </c>
      <c r="Z40">
        <f>_xll.EQNXTDZ($A$1,$B40,Z$1,$B$1)</f>
        <v>-5.2270000000000003</v>
      </c>
      <c r="AA40">
        <f>_xll.EQNXTDZ($A$1,$B40,AA$1,$B$1)</f>
        <v>5.452</v>
      </c>
      <c r="AB40">
        <f>_xll.EQNXTDZ($A$1,$B40,AB$1,$B$1)</f>
        <v>5.9210000000000003</v>
      </c>
      <c r="AC40">
        <f>_xll.EQNXTDZ($A$1,$B40,AC$1,$B$1)</f>
        <v>-25.003</v>
      </c>
      <c r="AD40">
        <f>_xll.EQNXTDZ($A$1,$B40,AD$1,$B$1)</f>
        <v>7.8849999999999998</v>
      </c>
      <c r="AE40">
        <f>_xll.EQNXTDZ($A$1,$B40,AE$1,$B$1)</f>
        <v>50.826000000000001</v>
      </c>
      <c r="AF40">
        <f>_xll.EQNXTDZ($A$1,$B40,AF$1,$B$1)</f>
        <v>-66.576999999999998</v>
      </c>
      <c r="AG40">
        <f>_xll.EQNXTDZ($A$1,$B40,AG$1,$B$1)</f>
        <v>67.415999999999997</v>
      </c>
      <c r="AH40">
        <f>_xll.EQNXTDZ($A$1,$B40,AH$1,$B$1)</f>
        <v>-22.126999999999999</v>
      </c>
      <c r="AI40">
        <f>_xll.EQNXTDZ($A$1,$B40,AI$1,$B$1)</f>
        <v>-45.406999999999996</v>
      </c>
      <c r="AJ40">
        <f>_xll.EQNXTDZ($A$1,$B40,AJ$1,$B$1)</f>
        <v>7.0430000000000001</v>
      </c>
      <c r="AK40">
        <f>_xll.EQNXTDZ($A$1,$B40,AK$1,$B$1)</f>
        <v>-1.96</v>
      </c>
      <c r="AL40">
        <f>_xll.EQNXTDZ($A$1,$B40,AL$1,$B$1)</f>
        <v>-9.9440000000000008</v>
      </c>
      <c r="AM40">
        <f>_xll.EQNXTDZ($A$1,$B40,AM$1,$B$1)</f>
        <v>10.111000000000001</v>
      </c>
      <c r="AN40">
        <f>_xll.EQNXTDZ($A$1,$B40,AN$1,$B$1)</f>
        <v>-7.1059999999999999</v>
      </c>
      <c r="AO40">
        <f>_xll.EQNXTDZ($A$1,$B40,AO$1,$B$1)</f>
        <v>-22.946999999999999</v>
      </c>
      <c r="AP40">
        <f>_xll.EQNXTDZ($A$1,$B40,AP$1,$B$1)</f>
        <v>-133.47200000000001</v>
      </c>
      <c r="AQ40">
        <f>_xll.EQNXTDZ($A$1,$B40,AQ$1,$B$1)</f>
        <v>-173.238</v>
      </c>
      <c r="AR40">
        <f>_xll.EQNXTDZ($A$1,$B40,AR$1,$B$1)</f>
        <v>-53.500999999999998</v>
      </c>
      <c r="AS40">
        <f>_xll.EQNXTDZ($A$1,$B40,AS$1,$B$1)</f>
        <v>-11.631</v>
      </c>
      <c r="AT40">
        <f>_xll.EQNXTDZ($A$1,$B40,AT$1,$B$1)</f>
        <v>18.335999999999999</v>
      </c>
      <c r="AU40">
        <f>_xll.EQNXTDZ($A$1,$B40,AU$1,$B$1)</f>
        <v>4.8689999999999998</v>
      </c>
      <c r="AV40">
        <f>_xll.EQNXTDZ($A$1,$B40,AV$1,$B$1)</f>
        <v>-9.5890000000000004</v>
      </c>
      <c r="AW40">
        <f>_xll.EQNXTDZ($A$1,$B40,AW$1,$B$1)</f>
        <v>-21.617000000000001</v>
      </c>
      <c r="AX40">
        <f>_xll.EQNXTDZ($A$1,$B40,AX$1,$B$1)</f>
        <v>20.108000000000001</v>
      </c>
      <c r="AY40">
        <f>_xll.EQNXTDZ($A$1,$B40,AY$1,$B$1)</f>
        <v>-19.800999999999998</v>
      </c>
      <c r="AZ40">
        <f>_xll.EQNXTDZ($A$1,$B40,AZ$1,$B$1)</f>
        <v>-19.693999999999999</v>
      </c>
      <c r="BA40">
        <f>_xll.EQNXTDZ($A$1,$B40,BA$1,$B$1)</f>
        <v>77.105999999999995</v>
      </c>
      <c r="BB40">
        <f>_xll.EQNXTDZ($A$1,$B40,BB$1,$B$1)</f>
        <v>17.52</v>
      </c>
      <c r="BC40">
        <f>_xll.EQNXTDZ($A$1,$B40,BC$1,$B$1)</f>
        <v>22.265999999999998</v>
      </c>
      <c r="BD40">
        <f>_xll.EQNXTDZ($A$1,$B40,BD$1,$B$1)</f>
        <v>134.04400000000001</v>
      </c>
      <c r="BE40">
        <f>_xll.EQNXTDZ($A$1,$B40,BE$1,$B$1)</f>
        <v>260.14800000000002</v>
      </c>
      <c r="BF40">
        <f>_xll.EQNXTDZ($A$1,$B40,BF$1,$B$1)</f>
        <v>91.408000000000001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-98.751000000000005</v>
      </c>
      <c r="R41">
        <f>_xll.EQNXTDZ($A$1,$B41,R$1,$B$1)</f>
        <v>-54.098999999999997</v>
      </c>
      <c r="S41">
        <f>_xll.EQNXTDZ($A$1,$B41,S$1,$B$1)</f>
        <v>204.631</v>
      </c>
      <c r="T41">
        <f>_xll.EQNXTDZ($A$1,$B41,T$1,$B$1)</f>
        <v>3.242</v>
      </c>
      <c r="U41">
        <f>_xll.EQNXTDZ($A$1,$B41,U$1,$B$1)</f>
        <v>-120.053</v>
      </c>
      <c r="V41">
        <f>_xll.EQNXTDZ($A$1,$B41,V$1,$B$1)</f>
        <v>2.976</v>
      </c>
      <c r="W41">
        <f>_xll.EQNXTDZ($A$1,$B41,W$1,$B$1)</f>
        <v>245.16800000000001</v>
      </c>
      <c r="X41">
        <f>_xll.EQNXTDZ($A$1,$B41,X$1,$B$1)</f>
        <v>32.646999999999998</v>
      </c>
      <c r="Y41">
        <f>_xll.EQNXTDZ($A$1,$B41,Y$1,$B$1)</f>
        <v>-70.221999999999994</v>
      </c>
      <c r="Z41">
        <f>_xll.EQNXTDZ($A$1,$B41,Z$1,$B$1)</f>
        <v>13.404999999999999</v>
      </c>
      <c r="AA41">
        <f>_xll.EQNXTDZ($A$1,$B41,AA$1,$B$1)</f>
        <v>308.89499999999998</v>
      </c>
      <c r="AB41">
        <f>_xll.EQNXTDZ($A$1,$B41,AB$1,$B$1)</f>
        <v>48.195999999999998</v>
      </c>
      <c r="AC41">
        <f>_xll.EQNXTDZ($A$1,$B41,AC$1,$B$1)</f>
        <v>-96.512</v>
      </c>
      <c r="AD41">
        <f>_xll.EQNXTDZ($A$1,$B41,AD$1,$B$1)</f>
        <v>48.511000000000003</v>
      </c>
      <c r="AE41">
        <f>_xll.EQNXTDZ($A$1,$B41,AE$1,$B$1)</f>
        <v>457.755</v>
      </c>
      <c r="AF41">
        <f>_xll.EQNXTDZ($A$1,$B41,AF$1,$B$1)</f>
        <v>14.154999999999999</v>
      </c>
      <c r="AG41">
        <f>_xll.EQNXTDZ($A$1,$B41,AG$1,$B$1)</f>
        <v>8.1059999999999999</v>
      </c>
      <c r="AH41">
        <f>_xll.EQNXTDZ($A$1,$B41,AH$1,$B$1)</f>
        <v>32.792000000000002</v>
      </c>
      <c r="AI41">
        <f>_xll.EQNXTDZ($A$1,$B41,AI$1,$B$1)</f>
        <v>95.367999999999995</v>
      </c>
      <c r="AJ41">
        <f>_xll.EQNXTDZ($A$1,$B41,AJ$1,$B$1)</f>
        <v>160.07</v>
      </c>
      <c r="AK41">
        <f>_xll.EQNXTDZ($A$1,$B41,AK$1,$B$1)</f>
        <v>-21.692</v>
      </c>
      <c r="AL41">
        <f>_xll.EQNXTDZ($A$1,$B41,AL$1,$B$1)</f>
        <v>119.298</v>
      </c>
      <c r="AM41">
        <f>_xll.EQNXTDZ($A$1,$B41,AM$1,$B$1)</f>
        <v>318.28300000000002</v>
      </c>
      <c r="AN41">
        <f>_xll.EQNXTDZ($A$1,$B41,AN$1,$B$1)</f>
        <v>233.05099999999999</v>
      </c>
      <c r="AO41">
        <f>_xll.EQNXTDZ($A$1,$B41,AO$1,$B$1)</f>
        <v>-6.4669999999999996</v>
      </c>
      <c r="AP41">
        <f>_xll.EQNXTDZ($A$1,$B41,AP$1,$B$1)</f>
        <v>120.73399999999999</v>
      </c>
      <c r="AQ41">
        <f>_xll.EQNXTDZ($A$1,$B41,AQ$1,$B$1)</f>
        <v>614.21500000000003</v>
      </c>
      <c r="AR41">
        <f>_xll.EQNXTDZ($A$1,$B41,AR$1,$B$1)</f>
        <v>327.54000000000002</v>
      </c>
      <c r="AS41">
        <f>_xll.EQNXTDZ($A$1,$B41,AS$1,$B$1)</f>
        <v>119.465</v>
      </c>
      <c r="AT41">
        <f>_xll.EQNXTDZ($A$1,$B41,AT$1,$B$1)</f>
        <v>448.12400000000002</v>
      </c>
      <c r="AU41">
        <f>_xll.EQNXTDZ($A$1,$B41,AU$1,$B$1)</f>
        <v>998.10799999999995</v>
      </c>
      <c r="AV41">
        <f>_xll.EQNXTDZ($A$1,$B41,AV$1,$B$1)</f>
        <v>491.82499999999999</v>
      </c>
      <c r="AW41">
        <f>_xll.EQNXTDZ($A$1,$B41,AW$1,$B$1)</f>
        <v>112.22</v>
      </c>
      <c r="AX41">
        <f>_xll.EQNXTDZ($A$1,$B41,AX$1,$B$1)</f>
        <v>557.00199999999995</v>
      </c>
      <c r="AY41">
        <f>_xll.EQNXTDZ($A$1,$B41,AY$1,$B$1)</f>
        <v>1233.21</v>
      </c>
      <c r="AZ41">
        <f>_xll.EQNXTDZ($A$1,$B41,AZ$1,$B$1)</f>
        <v>601.87199999999996</v>
      </c>
      <c r="BA41">
        <f>_xll.EQNXTDZ($A$1,$B41,BA$1,$B$1)</f>
        <v>258.37099999999998</v>
      </c>
      <c r="BB41">
        <f>_xll.EQNXTDZ($A$1,$B41,BB$1,$B$1)</f>
        <v>743.70100000000002</v>
      </c>
      <c r="BC41">
        <f>_xll.EQNXTDZ($A$1,$B41,BC$1,$B$1)</f>
        <v>1340.383</v>
      </c>
      <c r="BD41">
        <f>_xll.EQNXTDZ($A$1,$B41,BD$1,$B$1)</f>
        <v>871.06600000000003</v>
      </c>
      <c r="BE41">
        <f>_xll.EQNXTDZ($A$1,$B41,BE$1,$B$1)</f>
        <v>508.92500000000001</v>
      </c>
      <c r="BF41">
        <f>_xll.EQNXTDZ($A$1,$B41,BF$1,$B$1)</f>
        <v>957.06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-98.751000000000005</v>
      </c>
      <c r="R42">
        <f>_xll.EQNXTDZ($A$1,$B42,R$1,$B$1)</f>
        <v>-51.786000000000001</v>
      </c>
      <c r="S42">
        <f>_xll.EQNXTDZ($A$1,$B42,S$1,$B$1)</f>
        <v>203.07900000000001</v>
      </c>
      <c r="T42">
        <f>_xll.EQNXTDZ($A$1,$B42,T$1,$B$1)</f>
        <v>10.303000000000001</v>
      </c>
      <c r="U42">
        <f>_xll.EQNXTDZ($A$1,$B42,U$1,$B$1)</f>
        <v>-119.22</v>
      </c>
      <c r="V42">
        <f>_xll.EQNXTDZ($A$1,$B42,V$1,$B$1)</f>
        <v>4.508</v>
      </c>
      <c r="W42">
        <f>_xll.EQNXTDZ($A$1,$B42,W$1,$B$1)</f>
        <v>245.60900000000001</v>
      </c>
      <c r="X42">
        <f>_xll.EQNXTDZ($A$1,$B42,X$1,$B$1)</f>
        <v>32.881</v>
      </c>
      <c r="Y42">
        <f>_xll.EQNXTDZ($A$1,$B42,Y$1,$B$1)</f>
        <v>-72.843999999999994</v>
      </c>
      <c r="Z42">
        <f>_xll.EQNXTDZ($A$1,$B42,Z$1,$B$1)</f>
        <v>18.632000000000001</v>
      </c>
      <c r="AA42">
        <f>_xll.EQNXTDZ($A$1,$B42,AA$1,$B$1)</f>
        <v>303.44299999999998</v>
      </c>
      <c r="AB42">
        <f>_xll.EQNXTDZ($A$1,$B42,AB$1,$B$1)</f>
        <v>42.274999999999999</v>
      </c>
      <c r="AC42">
        <f>_xll.EQNXTDZ($A$1,$B42,AC$1,$B$1)</f>
        <v>-71.509</v>
      </c>
      <c r="AD42">
        <f>_xll.EQNXTDZ($A$1,$B42,AD$1,$B$1)</f>
        <v>40.625999999999998</v>
      </c>
      <c r="AE42">
        <f>_xll.EQNXTDZ($A$1,$B42,AE$1,$B$1)</f>
        <v>406.92899999999997</v>
      </c>
      <c r="AF42">
        <f>_xll.EQNXTDZ($A$1,$B42,AF$1,$B$1)</f>
        <v>80.731999999999999</v>
      </c>
      <c r="AG42">
        <f>_xll.EQNXTDZ($A$1,$B42,AG$1,$B$1)</f>
        <v>-59.311999999999998</v>
      </c>
      <c r="AH42">
        <f>_xll.EQNXTDZ($A$1,$B42,AH$1,$B$1)</f>
        <v>54.918999999999997</v>
      </c>
      <c r="AI42">
        <f>_xll.EQNXTDZ($A$1,$B42,AI$1,$B$1)</f>
        <v>140.77799999999999</v>
      </c>
      <c r="AJ42">
        <f>_xll.EQNXTDZ($A$1,$B42,AJ$1,$B$1)</f>
        <v>153.03100000000001</v>
      </c>
      <c r="AK42">
        <f>_xll.EQNXTDZ($A$1,$B42,AK$1,$B$1)</f>
        <v>-19.733000000000001</v>
      </c>
      <c r="AL42">
        <f>_xll.EQNXTDZ($A$1,$B42,AL$1,$B$1)</f>
        <v>129.255</v>
      </c>
      <c r="AM42">
        <f>_xll.EQNXTDZ($A$1,$B42,AM$1,$B$1)</f>
        <v>308.16500000000002</v>
      </c>
      <c r="AN42">
        <f>_xll.EQNXTDZ($A$1,$B42,AN$1,$B$1)</f>
        <v>240.14099999999999</v>
      </c>
      <c r="AO42">
        <f>_xll.EQNXTDZ($A$1,$B42,AO$1,$B$1)</f>
        <v>16.491</v>
      </c>
      <c r="AP42">
        <f>_xll.EQNXTDZ($A$1,$B42,AP$1,$B$1)</f>
        <v>254.20699999999999</v>
      </c>
      <c r="AQ42">
        <f>_xll.EQNXTDZ($A$1,$B42,AQ$1,$B$1)</f>
        <v>787.43799999999999</v>
      </c>
      <c r="AR42">
        <f>_xll.EQNXTDZ($A$1,$B42,AR$1,$B$1)</f>
        <v>381.03699999999998</v>
      </c>
      <c r="AS42">
        <f>_xll.EQNXTDZ($A$1,$B42,AS$1,$B$1)</f>
        <v>74.751000000000005</v>
      </c>
      <c r="AT42">
        <f>_xll.EQNXTDZ($A$1,$B42,AT$1,$B$1)</f>
        <v>429.072</v>
      </c>
      <c r="AU42">
        <f>_xll.EQNXTDZ($A$1,$B42,AU$1,$B$1)</f>
        <v>993.81100000000004</v>
      </c>
      <c r="AV42">
        <f>_xll.EQNXTDZ($A$1,$B42,AV$1,$B$1)</f>
        <v>501.06700000000001</v>
      </c>
      <c r="AW42">
        <f>_xll.EQNXTDZ($A$1,$B42,AW$1,$B$1)</f>
        <v>131.97200000000001</v>
      </c>
      <c r="AX42">
        <f>_xll.EQNXTDZ($A$1,$B42,AX$1,$B$1)</f>
        <v>537.27099999999996</v>
      </c>
      <c r="AY42">
        <f>_xll.EQNXTDZ($A$1,$B42,AY$1,$B$1)</f>
        <v>1252.6030000000001</v>
      </c>
      <c r="AZ42">
        <f>_xll.EQNXTDZ($A$1,$B42,AZ$1,$B$1)</f>
        <v>619.61300000000006</v>
      </c>
      <c r="BA42">
        <f>_xll.EQNXTDZ($A$1,$B42,BA$1,$B$1)</f>
        <v>185.14599999999999</v>
      </c>
      <c r="BB42">
        <f>_xll.EQNXTDZ($A$1,$B42,BB$1,$B$1)</f>
        <v>726.48800000000006</v>
      </c>
      <c r="BC42">
        <f>_xll.EQNXTDZ($A$1,$B42,BC$1,$B$1)</f>
        <v>1317.0239999999999</v>
      </c>
      <c r="BD42">
        <f>_xll.EQNXTDZ($A$1,$B42,BD$1,$B$1)</f>
        <v>741.19</v>
      </c>
      <c r="BE42">
        <f>_xll.EQNXTDZ($A$1,$B42,BE$1,$B$1)</f>
        <v>251.78700000000001</v>
      </c>
      <c r="BF42">
        <f>_xll.EQNXTDZ($A$1,$B42,BF$1,$B$1)</f>
        <v>872.35500000000002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133.76599999999999</v>
      </c>
      <c r="R45">
        <f>_xll.EQNXTDZ($A$1,$B45,R$1,$B$1)</f>
        <v>135.66999999999999</v>
      </c>
      <c r="S45">
        <f>_xll.EQNXTDZ($A$1,$B45,S$1,$B$1)</f>
        <v>135.66999999999999</v>
      </c>
      <c r="T45">
        <f>_xll.EQNXTDZ($A$1,$B45,T$1,$B$1)</f>
        <v>135.66999999999999</v>
      </c>
      <c r="U45">
        <f>_xll.EQNXTDZ($A$1,$B45,U$1,$B$1)</f>
        <v>182.31299999999999</v>
      </c>
      <c r="V45">
        <f>_xll.EQNXTDZ($A$1,$B45,V$1,$B$1)</f>
        <v>182.41200000000001</v>
      </c>
      <c r="W45">
        <f>_xll.EQNXTDZ($A$1,$B45,W$1,$B$1)</f>
        <v>182.51</v>
      </c>
      <c r="X45">
        <f>_xll.EQNXTDZ($A$1,$B45,X$1,$B$1)</f>
        <v>182.584</v>
      </c>
      <c r="Y45">
        <f>_xll.EQNXTDZ($A$1,$B45,Y$1,$B$1)</f>
        <v>182.58699999999999</v>
      </c>
      <c r="Z45">
        <f>_xll.EQNXTDZ($A$1,$B45,Z$1,$B$1)</f>
        <v>182.61500000000001</v>
      </c>
      <c r="AA45">
        <f>_xll.EQNXTDZ($A$1,$B45,AA$1,$B$1)</f>
        <v>182.61500000000001</v>
      </c>
      <c r="AB45">
        <f>_xll.EQNXTDZ($A$1,$B45,AB$1,$B$1)</f>
        <v>182.63399999999999</v>
      </c>
      <c r="AC45">
        <f>_xll.EQNXTDZ($A$1,$B45,AC$1,$B$1)</f>
        <v>182.642</v>
      </c>
      <c r="AD45">
        <f>_xll.EQNXTDZ($A$1,$B45,AD$1,$B$1)</f>
        <v>182.65199999999999</v>
      </c>
      <c r="AE45">
        <f>_xll.EQNXTDZ($A$1,$B45,AE$1,$B$1)</f>
        <v>182.655</v>
      </c>
      <c r="AF45">
        <f>_xll.EQNXTDZ($A$1,$B45,AF$1,$B$1)</f>
        <v>288.68900000000002</v>
      </c>
      <c r="AG45">
        <f>_xll.EQNXTDZ($A$1,$B45,AG$1,$B$1)</f>
        <v>288.68900000000002</v>
      </c>
      <c r="AH45">
        <f>_xll.EQNXTDZ($A$1,$B45,AH$1,$B$1)</f>
        <v>288.68900000000002</v>
      </c>
      <c r="AI45">
        <f>_xll.EQNXTDZ($A$1,$B45,AI$1,$B$1)</f>
        <v>288.68900000000002</v>
      </c>
      <c r="AJ45">
        <f>_xll.EQNXTDZ($A$1,$B45,AJ$1,$B$1)</f>
        <v>288.68900000000002</v>
      </c>
      <c r="AK45">
        <f>_xll.EQNXTDZ($A$1,$B45,AK$1,$B$1)</f>
        <v>288.68900000000002</v>
      </c>
      <c r="AL45">
        <f>_xll.EQNXTDZ($A$1,$B45,AL$1,$B$1)</f>
        <v>288.68900000000002</v>
      </c>
      <c r="AM45">
        <f>_xll.EQNXTDZ($A$1,$B45,AM$1,$B$1)</f>
        <v>433.03300000000002</v>
      </c>
      <c r="AN45">
        <f>_xll.EQNXTDZ($A$1,$B45,AN$1,$B$1)</f>
        <v>433.03300000000002</v>
      </c>
      <c r="AO45">
        <f>_xll.EQNXTDZ($A$1,$B45,AO$1,$B$1)</f>
        <v>433.03300000000002</v>
      </c>
      <c r="AP45">
        <f>_xll.EQNXTDZ($A$1,$B45,AP$1,$B$1)</f>
        <v>433.03300000000002</v>
      </c>
      <c r="AQ45">
        <f>_xll.EQNXTDZ($A$1,$B45,AQ$1,$B$1)</f>
        <v>649.54999999999995</v>
      </c>
      <c r="AR45">
        <f>_xll.EQNXTDZ($A$1,$B45,AR$1,$B$1)</f>
        <v>649.54999999999995</v>
      </c>
      <c r="AS45">
        <f>_xll.EQNXTDZ($A$1,$B45,AS$1,$B$1)</f>
        <v>649.54999999999995</v>
      </c>
      <c r="AT45">
        <f>_xll.EQNXTDZ($A$1,$B45,AT$1,$B$1)</f>
        <v>649.55799999999999</v>
      </c>
      <c r="AU45">
        <f>_xll.EQNXTDZ($A$1,$B45,AU$1,$B$1)</f>
        <v>649.56799999999998</v>
      </c>
      <c r="AV45">
        <f>_xll.EQNXTDZ($A$1,$B45,AV$1,$B$1)</f>
        <v>649.56799999999998</v>
      </c>
      <c r="AW45">
        <f>_xll.EQNXTDZ($A$1,$B45,AW$1,$B$1)</f>
        <v>649.60699999999997</v>
      </c>
      <c r="AX45">
        <f>_xll.EQNXTDZ($A$1,$B45,AX$1,$B$1)</f>
        <v>649.702</v>
      </c>
      <c r="AY45">
        <f>_xll.EQNXTDZ($A$1,$B45,AY$1,$B$1)</f>
        <v>649.72</v>
      </c>
      <c r="AZ45">
        <f>_xll.EQNXTDZ($A$1,$B45,AZ$1,$B$1)</f>
        <v>649.73500000000001</v>
      </c>
      <c r="BA45">
        <f>_xll.EQNXTDZ($A$1,$B45,BA$1,$B$1)</f>
        <v>676.30200000000002</v>
      </c>
      <c r="BB45">
        <f>_xll.EQNXTDZ($A$1,$B45,BB$1,$B$1)</f>
        <v>676.37300000000005</v>
      </c>
      <c r="BC45">
        <f>_xll.EQNXTDZ($A$1,$B45,BC$1,$B$1)</f>
        <v>676.38300000000004</v>
      </c>
      <c r="BD45">
        <f>_xll.EQNXTDZ($A$1,$B45,BD$1,$B$1)</f>
        <v>676.39200000000005</v>
      </c>
      <c r="BE45">
        <f>_xll.EQNXTDZ($A$1,$B45,BE$1,$B$1)</f>
        <v>676.39800000000002</v>
      </c>
      <c r="BF45">
        <f>_xll.EQNXTDZ($A$1,$B45,BF$1,$B$1)</f>
        <v>676.41899999999998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0</v>
      </c>
      <c r="D48" s="54">
        <f>_xll.EQNXTDZ($A$1,$B48,D$5)</f>
        <v>0</v>
      </c>
      <c r="E48" s="54">
        <f>_xll.EQNXTDZ($A$1,$B48,E$5)</f>
        <v>0</v>
      </c>
      <c r="F48" s="54">
        <f>_xll.EQNXTDZ($A$1,$B48,F$5)</f>
        <v>0</v>
      </c>
      <c r="G48" s="54">
        <f>_xll.EQNXTDZ($A$1,$B48,G$5)</f>
        <v>0</v>
      </c>
      <c r="H48" s="54">
        <f>_xll.EQNXTDZ($A$1,$B48,H$5)</f>
        <v>0</v>
      </c>
      <c r="I48" s="54">
        <f>_xll.EQNXTDZ($A$1,$B48,I$5)</f>
        <v>0</v>
      </c>
      <c r="J48" s="54">
        <f>_xll.EQNXTDZ($A$1,$B48,J$5)</f>
        <v>0</v>
      </c>
      <c r="K48" s="54">
        <f>_xll.EQNXTDZ($A$1,$B48,K$5)</f>
        <v>0</v>
      </c>
      <c r="L48" s="54">
        <f>_xll.EQNXTDZ($A$1,$B48,L$5)</f>
        <v>0</v>
      </c>
      <c r="M48" s="54">
        <f>_xll.EQNXTDZ($A$1,$B48,M$5)</f>
        <v>0</v>
      </c>
      <c r="N48" s="54">
        <f>_xll.EQNXTDZ($A$1,$B48,N$5)</f>
        <v>0</v>
      </c>
      <c r="O48" s="54">
        <f>_xll.EQNXTDZ($A$1,$B48,O$5)</f>
        <v>0</v>
      </c>
      <c r="P48" s="54">
        <f>_xll.EQNXTDZ($A$1,$B48,P$5)</f>
        <v>0</v>
      </c>
      <c r="Q48" s="54">
        <f>_xll.EQNXTDZ($A$1,$B48,Q$5)</f>
        <v>0</v>
      </c>
      <c r="R48" s="54">
        <f>_xll.EQNXTDZ($A$1,$B48,R$5)</f>
        <v>0</v>
      </c>
      <c r="S48" s="54">
        <f>_xll.EQNXTDZ($A$1,$B48,S$5)</f>
        <v>0</v>
      </c>
      <c r="T48" s="54">
        <f>_xll.EQNXTDZ($A$1,$B48,T$5)</f>
        <v>0</v>
      </c>
      <c r="U48" s="54">
        <f>_xll.EQNXTDZ($A$1,$B48,U$5)</f>
        <v>22.5985185185185</v>
      </c>
      <c r="V48" s="54">
        <f>_xll.EQNXTDZ($A$1,$B48,V$5)</f>
        <v>23.985185185185198</v>
      </c>
      <c r="W48" s="54">
        <f>_xll.EQNXTDZ($A$1,$B48,W$5)</f>
        <v>31.6177777777778</v>
      </c>
      <c r="X48" s="54">
        <f>_xll.EQNXTDZ($A$1,$B48,X$5)</f>
        <v>29.973333333333301</v>
      </c>
      <c r="Y48" s="54">
        <f>_xll.EQNXTDZ($A$1,$B48,Y$5)</f>
        <v>38.598518518518503</v>
      </c>
      <c r="Z48" s="54">
        <f>_xll.EQNXTDZ($A$1,$B48,Z$5)</f>
        <v>36.586666666666702</v>
      </c>
      <c r="AA48" s="54">
        <f>_xll.EQNXTDZ($A$1,$B48,AA$5)</f>
        <v>44.637037037036997</v>
      </c>
      <c r="AB48" s="54">
        <f>_xll.EQNXTDZ($A$1,$B48,AB$5)</f>
        <v>43.84</v>
      </c>
      <c r="AC48" s="54">
        <f>_xll.EQNXTDZ($A$1,$B48,AC$5)</f>
        <v>46.645925925925901</v>
      </c>
      <c r="AD48" s="54">
        <f>_xll.EQNXTDZ($A$1,$B48,AD$5)</f>
        <v>51.2681481481482</v>
      </c>
      <c r="AE48" s="54">
        <f>_xll.EQNXTDZ($A$1,$B48,AE$5)</f>
        <v>56.014814814814798</v>
      </c>
      <c r="AF48" s="54">
        <f>_xll.EQNXTDZ($A$1,$B48,AF$5)</f>
        <v>55.577777777777797</v>
      </c>
      <c r="AG48" s="54">
        <f>_xll.EQNXTDZ($A$1,$B48,AG$5)</f>
        <v>62.928888888888899</v>
      </c>
      <c r="AH48" s="54">
        <f>_xll.EQNXTDZ($A$1,$B48,AH$5)</f>
        <v>47.16</v>
      </c>
      <c r="AI48" s="54">
        <f>_xll.EQNXTDZ($A$1,$B48,AI$5)</f>
        <v>60.684444444444502</v>
      </c>
      <c r="AJ48" s="54">
        <f>_xll.EQNXTDZ($A$1,$B48,AJ$5)</f>
        <v>62.115555555555602</v>
      </c>
      <c r="AK48" s="54">
        <f>_xll.EQNXTDZ($A$1,$B48,AK$5)</f>
        <v>81.373333333333306</v>
      </c>
      <c r="AL48" s="54">
        <f>_xll.EQNXTDZ($A$1,$B48,AL$5)</f>
        <v>89.413333333333298</v>
      </c>
      <c r="AM48" s="54">
        <f>_xll.EQNXTDZ($A$1,$B48,AM$5)</f>
        <v>97.226666666666702</v>
      </c>
      <c r="AN48" s="54">
        <f>_xll.EQNXTDZ($A$1,$B48,AN$5)</f>
        <v>120.166666666667</v>
      </c>
      <c r="AO48" s="54">
        <f>_xll.EQNXTDZ($A$1,$B48,AO$5)</f>
        <v>118.206666666667</v>
      </c>
      <c r="AP48" s="54">
        <f>_xll.EQNXTDZ($A$1,$B48,AP$5)</f>
        <v>125.473333333333</v>
      </c>
      <c r="AQ48" s="54">
        <f>_xll.EQNXTDZ($A$1,$B48,AQ$5)</f>
        <v>158.12</v>
      </c>
      <c r="AR48" s="54">
        <f>_xll.EQNXTDZ($A$1,$B48,AR$5)</f>
        <v>208.8</v>
      </c>
      <c r="AS48" s="54">
        <f>_xll.EQNXTDZ($A$1,$B48,AS$5)</f>
        <v>264.5</v>
      </c>
      <c r="AT48" s="54">
        <f>_xll.EQNXTDZ($A$1,$B48,AT$5)</f>
        <v>277.45</v>
      </c>
      <c r="AU48" s="54">
        <f>_xll.EQNXTDZ($A$1,$B48,AU$5)</f>
        <v>320.2</v>
      </c>
      <c r="AV48" s="54">
        <f>_xll.EQNXTDZ($A$1,$B48,AV$5)</f>
        <v>378.44</v>
      </c>
      <c r="AW48" s="54">
        <f>_xll.EQNXTDZ($A$1,$B48,AW$5)</f>
        <v>494.62</v>
      </c>
      <c r="AX48" s="54">
        <f>_xll.EQNXTDZ($A$1,$B48,AX$5)</f>
        <v>559.24</v>
      </c>
      <c r="AY48" s="54">
        <f>_xll.EQNXTDZ($A$1,$B48,AY$5)</f>
        <v>651.9</v>
      </c>
      <c r="AZ48" s="54">
        <f>_xll.EQNXTDZ($A$1,$B48,AZ$5)</f>
        <v>606.20000000000005</v>
      </c>
      <c r="BA48" s="54">
        <f>_xll.EQNXTDZ($A$1,$B48,BA$5)</f>
        <v>638.45000000000005</v>
      </c>
      <c r="BB48" s="54">
        <f>_xll.EQNXTDZ($A$1,$B48,BB$5)</f>
        <v>539.6</v>
      </c>
      <c r="BC48" s="54">
        <f>_xll.EQNXTDZ($A$1,$B48,BC$5)</f>
        <v>457.55</v>
      </c>
      <c r="BD48" s="54">
        <f>_xll.EQNXTDZ($A$1,$B48,BD$5)</f>
        <v>443.55</v>
      </c>
      <c r="BE48" s="54">
        <f>_xll.EQNXTDZ($A$1,$B48,BE$5)</f>
        <v>489.85</v>
      </c>
      <c r="BF48" s="54">
        <f>_xll.EQNXTDZ($A$1,$B48,BF$5)</f>
        <v>384.05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0</v>
      </c>
      <c r="D49" s="54">
        <f>_xll.EQNXTDZ($A$1,$B49,D$5)</f>
        <v>0</v>
      </c>
      <c r="E49" s="54">
        <f>_xll.EQNXTDZ($A$1,$B49,E$5)</f>
        <v>0</v>
      </c>
      <c r="F49" s="54">
        <f>_xll.EQNXTDZ($A$1,$B49,F$5)</f>
        <v>0</v>
      </c>
      <c r="G49" s="54">
        <f>_xll.EQNXTDZ($A$1,$B49,G$5)</f>
        <v>0</v>
      </c>
      <c r="H49" s="54">
        <f>_xll.EQNXTDZ($A$1,$B49,H$5)</f>
        <v>0</v>
      </c>
      <c r="I49" s="54">
        <f>_xll.EQNXTDZ($A$1,$B49,I$5)</f>
        <v>0</v>
      </c>
      <c r="J49" s="54">
        <f>_xll.EQNXTDZ($A$1,$B49,J$5)</f>
        <v>0</v>
      </c>
      <c r="K49" s="54">
        <f>_xll.EQNXTDZ($A$1,$B49,K$5)</f>
        <v>0</v>
      </c>
      <c r="L49" s="54">
        <f>_xll.EQNXTDZ($A$1,$B49,L$5)</f>
        <v>0</v>
      </c>
      <c r="M49" s="54">
        <f>_xll.EQNXTDZ($A$1,$B49,M$5)</f>
        <v>0</v>
      </c>
      <c r="N49" s="54">
        <f>_xll.EQNXTDZ($A$1,$B49,N$5)</f>
        <v>0</v>
      </c>
      <c r="O49" s="54">
        <f>_xll.EQNXTDZ($A$1,$B49,O$5)</f>
        <v>0</v>
      </c>
      <c r="P49" s="54">
        <f>_xll.EQNXTDZ($A$1,$B49,P$5)</f>
        <v>0</v>
      </c>
      <c r="Q49" s="54">
        <f>_xll.EQNXTDZ($A$1,$B49,Q$5)</f>
        <v>98.72</v>
      </c>
      <c r="R49" s="54">
        <f>_xll.EQNXTDZ($A$1,$B49,R$5)</f>
        <v>0</v>
      </c>
      <c r="S49" s="54">
        <f>_xll.EQNXTDZ($A$1,$B49,S$5)</f>
        <v>0</v>
      </c>
      <c r="T49" s="54">
        <f>_xll.EQNXTDZ($A$1,$B49,T$5)</f>
        <v>0</v>
      </c>
      <c r="U49" s="54">
        <f>_xll.EQNXTDZ($A$1,$B49,U$5)</f>
        <v>73.59</v>
      </c>
      <c r="V49" s="54">
        <f>_xll.EQNXTDZ($A$1,$B49,V$5)</f>
        <v>73.66</v>
      </c>
      <c r="W49" s="54">
        <f>_xll.EQNXTDZ($A$1,$B49,W$5)</f>
        <v>73.62</v>
      </c>
      <c r="X49" s="54">
        <f>_xll.EQNXTDZ($A$1,$B49,X$5)</f>
        <v>73.59</v>
      </c>
      <c r="Y49" s="54">
        <f>_xll.EQNXTDZ($A$1,$B49,Y$5)</f>
        <v>73.59</v>
      </c>
      <c r="Z49" s="54">
        <f>_xll.EQNXTDZ($A$1,$B49,Z$5)</f>
        <v>73.569999999999993</v>
      </c>
      <c r="AA49" s="54">
        <f>_xll.EQNXTDZ($A$1,$B49,AA$5)</f>
        <v>73.569999999999993</v>
      </c>
      <c r="AB49" s="54">
        <f>_xll.EQNXTDZ($A$1,$B49,AB$5)</f>
        <v>73.569999999999993</v>
      </c>
      <c r="AC49" s="54">
        <f>_xll.EQNXTDZ($A$1,$B49,AC$5)</f>
        <v>73.56</v>
      </c>
      <c r="AD49" s="54">
        <f>_xll.EQNXTDZ($A$1,$B49,AD$5)</f>
        <v>73.56</v>
      </c>
      <c r="AE49" s="54">
        <f>_xll.EQNXTDZ($A$1,$B49,AE$5)</f>
        <v>73.56</v>
      </c>
      <c r="AF49" s="54">
        <f>_xll.EQNXTDZ($A$1,$B49,AF$5)</f>
        <v>68.430000000000007</v>
      </c>
      <c r="AG49" s="54">
        <f>_xll.EQNXTDZ($A$1,$B49,AG$5)</f>
        <v>68.430000000000007</v>
      </c>
      <c r="AH49" s="54">
        <f>_xll.EQNXTDZ($A$1,$B49,AH$5)</f>
        <v>68.040000000000006</v>
      </c>
      <c r="AI49" s="54">
        <f>_xll.EQNXTDZ($A$1,$B49,AI$5)</f>
        <v>66.400000000000006</v>
      </c>
      <c r="AJ49" s="54">
        <f>_xll.EQNXTDZ($A$1,$B49,AJ$5)</f>
        <v>66.400000000000006</v>
      </c>
      <c r="AK49" s="54">
        <f>_xll.EQNXTDZ($A$1,$B49,AK$5)</f>
        <v>66.400000000000006</v>
      </c>
      <c r="AL49" s="54">
        <f>_xll.EQNXTDZ($A$1,$B49,AL$5)</f>
        <v>66.400000000000006</v>
      </c>
      <c r="AM49" s="54">
        <f>_xll.EQNXTDZ($A$1,$B49,AM$5)</f>
        <v>65.819999999999993</v>
      </c>
      <c r="AN49" s="54">
        <f>_xll.EQNXTDZ($A$1,$B49,AN$5)</f>
        <v>64.89</v>
      </c>
      <c r="AO49" s="54">
        <f>_xll.EQNXTDZ($A$1,$B49,AO$5)</f>
        <v>64.89</v>
      </c>
      <c r="AP49" s="54">
        <f>_xll.EQNXTDZ($A$1,$B49,AP$5)</f>
        <v>64.89</v>
      </c>
      <c r="AQ49" s="54">
        <f>_xll.EQNXTDZ($A$1,$B49,AQ$5)</f>
        <v>63.9</v>
      </c>
      <c r="AR49" s="54">
        <f>_xll.EQNXTDZ($A$1,$B49,AR$5)</f>
        <v>63.9</v>
      </c>
      <c r="AS49" s="54">
        <f>_xll.EQNXTDZ($A$1,$B49,AS$5)</f>
        <v>63.9</v>
      </c>
      <c r="AT49" s="54">
        <f>_xll.EQNXTDZ($A$1,$B49,AT$5)</f>
        <v>63.9</v>
      </c>
      <c r="AU49" s="54">
        <f>_xll.EQNXTDZ($A$1,$B49,AU$5)</f>
        <v>63.62</v>
      </c>
      <c r="AV49" s="54">
        <f>_xll.EQNXTDZ($A$1,$B49,AV$5)</f>
        <v>63.1</v>
      </c>
      <c r="AW49" s="54">
        <f>_xll.EQNXTDZ($A$1,$B49,AW$5)</f>
        <v>63.09</v>
      </c>
      <c r="AX49" s="54">
        <f>_xll.EQNXTDZ($A$1,$B49,AX$5)</f>
        <v>62.91</v>
      </c>
      <c r="AY49" s="54">
        <f>_xll.EQNXTDZ($A$1,$B49,AY$5)</f>
        <v>62.66</v>
      </c>
      <c r="AZ49" s="54">
        <f>_xll.EQNXTDZ($A$1,$B49,AZ$5)</f>
        <v>62.66</v>
      </c>
      <c r="BA49" s="54">
        <f>_xll.EQNXTDZ($A$1,$B49,BA$5)</f>
        <v>60.2</v>
      </c>
      <c r="BB49" s="54">
        <f>_xll.EQNXTDZ($A$1,$B49,BB$5)</f>
        <v>60.23</v>
      </c>
      <c r="BC49" s="54">
        <f>_xll.EQNXTDZ($A$1,$B49,BC$5)</f>
        <v>59.82</v>
      </c>
      <c r="BD49" s="54">
        <f>_xll.EQNXTDZ($A$1,$B49,BD$5)</f>
        <v>59.44</v>
      </c>
      <c r="BE49" s="54">
        <f>_xll.EQNXTDZ($A$1,$B49,BE$5)</f>
        <v>59.44</v>
      </c>
      <c r="BF49" s="54">
        <f>_xll.EQNXTDZ($A$1,$B49,BF$5)</f>
        <v>59.44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0.13</v>
      </c>
      <c r="Y50" s="54">
        <f>_xll.EQNXTDZ($A$1,$B50,Y$5)</f>
        <v>0.13</v>
      </c>
      <c r="Z50" s="54">
        <f>_xll.EQNXTDZ($A$1,$B50,Z$5)</f>
        <v>0.13</v>
      </c>
      <c r="AA50" s="54">
        <f>_xll.EQNXTDZ($A$1,$B50,AA$5)</f>
        <v>0.13</v>
      </c>
      <c r="AB50" s="54">
        <f>_xll.EQNXTDZ($A$1,$B50,AB$5)</f>
        <v>0.13</v>
      </c>
      <c r="AC50" s="54">
        <f>_xll.EQNXTDZ($A$1,$B50,AC$5)</f>
        <v>0.13</v>
      </c>
      <c r="AD50" s="54">
        <f>_xll.EQNXTDZ($A$1,$B50,AD$5)</f>
        <v>0.13</v>
      </c>
      <c r="AE50" s="54">
        <f>_xll.EQNXTDZ($A$1,$B50,AE$5)</f>
        <v>0.13</v>
      </c>
      <c r="AF50" s="54">
        <f>_xll.EQNXTDZ($A$1,$B50,AF$5)</f>
        <v>0.13</v>
      </c>
      <c r="AG50" s="54">
        <f>_xll.EQNXTDZ($A$1,$B50,AG$5)</f>
        <v>0.13</v>
      </c>
      <c r="AH50" s="54">
        <f>_xll.EQNXTDZ($A$1,$B50,AH$5)</f>
        <v>0.12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0.04</v>
      </c>
      <c r="AP50" s="54">
        <f>_xll.EQNXTDZ($A$1,$B50,AP$5)</f>
        <v>0.04</v>
      </c>
      <c r="AQ50" s="54">
        <f>_xll.EQNXTDZ($A$1,$B50,AQ$5)</f>
        <v>0.04</v>
      </c>
      <c r="AR50" s="54">
        <f>_xll.EQNXTDZ($A$1,$B50,AR$5)</f>
        <v>0.04</v>
      </c>
      <c r="AS50" s="54">
        <f>_xll.EQNXTDZ($A$1,$B50,AS$5)</f>
        <v>0.04</v>
      </c>
      <c r="AT50" s="54">
        <f>_xll.EQNXTDZ($A$1,$B50,AT$5)</f>
        <v>0.04</v>
      </c>
      <c r="AU50" s="54">
        <f>_xll.EQNXTDZ($A$1,$B50,AU$5)</f>
        <v>0.04</v>
      </c>
      <c r="AV50" s="54">
        <f>_xll.EQNXTDZ($A$1,$B50,AV$5)</f>
        <v>0.04</v>
      </c>
      <c r="AW50" s="54">
        <f>_xll.EQNXTDZ($A$1,$B50,AW$5)</f>
        <v>0.04</v>
      </c>
      <c r="AX50" s="54">
        <f>_xll.EQNXTDZ($A$1,$B50,AX$5)</f>
        <v>0.04</v>
      </c>
      <c r="AY50" s="54">
        <f>_xll.EQNXTDZ($A$1,$B50,AY$5)</f>
        <v>0.04</v>
      </c>
      <c r="AZ50" s="54">
        <f>_xll.EQNXTDZ($A$1,$B50,AZ$5)</f>
        <v>0.04</v>
      </c>
      <c r="BA50" s="54">
        <f>_xll.EQNXTDZ($A$1,$B50,BA$5)</f>
        <v>0.04</v>
      </c>
      <c r="BB50" s="54">
        <f>_xll.EQNXTDZ($A$1,$B50,BB$5)</f>
        <v>0.04</v>
      </c>
      <c r="BC50" s="54">
        <f>_xll.EQNXTDZ($A$1,$B50,BC$5)</f>
        <v>0.04</v>
      </c>
      <c r="BD50" s="54">
        <f>_xll.EQNXTDZ($A$1,$B50,BD$5)</f>
        <v>0.04</v>
      </c>
      <c r="BE50" s="54">
        <f>_xll.EQNXTDZ($A$1,$B50,BE$5)</f>
        <v>0.04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0</v>
      </c>
      <c r="E55" s="55">
        <f>_xll.EQNXTDZ($A$1,$B55,E$5,$B$1)</f>
        <v>0</v>
      </c>
      <c r="F55" s="55">
        <f>_xll.EQNXTDZ($A$1,$B55,F$5,$B$1)</f>
        <v>0</v>
      </c>
      <c r="G55" s="55">
        <f>_xll.EQNXTDZ($A$1,$B55,G$5,$B$1)</f>
        <v>0</v>
      </c>
      <c r="H55" s="55">
        <f>_xll.EQNXTDZ($A$1,$B55,H$5,$B$1)</f>
        <v>0</v>
      </c>
      <c r="I55" s="55">
        <f>_xll.EQNXTDZ($A$1,$B55,I$5,$B$1)</f>
        <v>0</v>
      </c>
      <c r="J55" s="55">
        <f>_xll.EQNXTDZ($A$1,$B55,J$5,$B$1)</f>
        <v>0</v>
      </c>
      <c r="K55" s="55">
        <f>_xll.EQNXTDZ($A$1,$B55,K$5,$B$1)</f>
        <v>0</v>
      </c>
      <c r="L55" s="55">
        <f>_xll.EQNXTDZ($A$1,$B55,L$5,$B$1)</f>
        <v>0</v>
      </c>
      <c r="M55" s="55">
        <f>_xll.EQNXTDZ($A$1,$B55,M$5,$B$1)</f>
        <v>0</v>
      </c>
      <c r="N55" s="55">
        <f>_xll.EQNXTDZ($A$1,$B55,N$5,$B$1)</f>
        <v>0</v>
      </c>
      <c r="O55" s="55">
        <f>_xll.EQNXTDZ($A$1,$B55,O$5,$B$1)</f>
        <v>0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0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0</v>
      </c>
      <c r="E56" s="54">
        <f>_xll.EQNXTDZ($A$1,$B56,E$5,$B$1)</f>
        <v>0</v>
      </c>
      <c r="F56" s="54">
        <f>_xll.EQNXTDZ($A$1,$B56,F$5,$B$1)</f>
        <v>0</v>
      </c>
      <c r="G56" s="54">
        <f>_xll.EQNXTDZ($A$1,$B56,G$5,$B$1)</f>
        <v>0</v>
      </c>
      <c r="H56" s="54">
        <f>_xll.EQNXTDZ($A$1,$B56,H$5,$B$1)</f>
        <v>0</v>
      </c>
      <c r="I56" s="54">
        <f>_xll.EQNXTDZ($A$1,$B56,I$5,$B$1)</f>
        <v>0</v>
      </c>
      <c r="J56" s="54">
        <f>_xll.EQNXTDZ($A$1,$B56,J$5,$B$1)</f>
        <v>0</v>
      </c>
      <c r="K56" s="54">
        <f>_xll.EQNXTDZ($A$1,$B56,K$5,$B$1)</f>
        <v>0</v>
      </c>
      <c r="L56" s="54">
        <f>_xll.EQNXTDZ($A$1,$B56,L$5,$B$1)</f>
        <v>0</v>
      </c>
      <c r="M56" s="54">
        <f>_xll.EQNXTDZ($A$1,$B56,M$5,$B$1)</f>
        <v>0</v>
      </c>
      <c r="N56" s="54">
        <f>_xll.EQNXTDZ($A$1,$B56,N$5,$B$1)</f>
        <v>0</v>
      </c>
      <c r="O56" s="54">
        <f>_xll.EQNXTDZ($A$1,$B56,O$5,$B$1)</f>
        <v>0</v>
      </c>
      <c r="P56" s="54">
        <f>_xll.EQNXTDZ($A$1,$B56,P$5,$B$1)</f>
        <v>0</v>
      </c>
      <c r="Q56" s="54">
        <f>_xll.EQNXTDZ($A$1,$B56,Q$5,$B$1)</f>
        <v>583.76599999999996</v>
      </c>
      <c r="R56" s="54">
        <f>_xll.EQNXTDZ($A$1,$B56,R$5,$B$1)</f>
        <v>0</v>
      </c>
      <c r="S56" s="54">
        <f>_xll.EQNXTDZ($A$1,$B56,S$5,$B$1)</f>
        <v>0</v>
      </c>
      <c r="T56" s="54">
        <f>_xll.EQNXTDZ($A$1,$B56,T$5,$B$1)</f>
        <v>0</v>
      </c>
      <c r="U56" s="54">
        <f>_xll.EQNXTDZ($A$1,$B56,U$5,$B$1)</f>
        <v>182.31299999999999</v>
      </c>
      <c r="V56" s="54">
        <f>_xll.EQNXTDZ($A$1,$B56,V$5,$B$1)</f>
        <v>0</v>
      </c>
      <c r="W56" s="54">
        <f>_xll.EQNXTDZ($A$1,$B56,W$5,$B$1)</f>
        <v>182.51</v>
      </c>
      <c r="X56" s="54">
        <f>_xll.EQNXTDZ($A$1,$B56,X$5,$B$1)</f>
        <v>0</v>
      </c>
      <c r="Y56" s="54">
        <f>_xll.EQNXTDZ($A$1,$B56,Y$5,$B$1)</f>
        <v>182.58699999999999</v>
      </c>
      <c r="Z56" s="54">
        <f>_xll.EQNXTDZ($A$1,$B56,Z$5,$B$1)</f>
        <v>0</v>
      </c>
      <c r="AA56" s="54">
        <f>_xll.EQNXTDZ($A$1,$B56,AA$5,$B$1)</f>
        <v>182.61500000000001</v>
      </c>
      <c r="AB56" s="54">
        <f>_xll.EQNXTDZ($A$1,$B56,AB$5,$B$1)</f>
        <v>0</v>
      </c>
      <c r="AC56" s="54">
        <f>_xll.EQNXTDZ($A$1,$B56,AC$5,$B$1)</f>
        <v>182.642</v>
      </c>
      <c r="AD56" s="54">
        <f>_xll.EQNXTDZ($A$1,$B56,AD$5,$B$1)</f>
        <v>0</v>
      </c>
      <c r="AE56" s="54">
        <f>_xll.EQNXTDZ($A$1,$B56,AE$5,$B$1)</f>
        <v>182.655</v>
      </c>
      <c r="AF56" s="54">
        <f>_xll.EQNXTDZ($A$1,$B56,AF$5,$B$1)</f>
        <v>0</v>
      </c>
      <c r="AG56" s="54">
        <f>_xll.EQNXTDZ($A$1,$B56,AG$5,$B$1)</f>
        <v>288.68900000000002</v>
      </c>
      <c r="AH56" s="54">
        <f>_xll.EQNXTDZ($A$1,$B56,AH$5,$B$1)</f>
        <v>0</v>
      </c>
      <c r="AI56" s="54">
        <f>_xll.EQNXTDZ($A$1,$B56,AI$5,$B$1)</f>
        <v>288.68900000000002</v>
      </c>
      <c r="AJ56" s="54">
        <f>_xll.EQNXTDZ($A$1,$B56,AJ$5,$B$1)</f>
        <v>0</v>
      </c>
      <c r="AK56" s="54">
        <f>_xll.EQNXTDZ($A$1,$B56,AK$5,$B$1)</f>
        <v>288.68900000000002</v>
      </c>
      <c r="AL56" s="54">
        <f>_xll.EQNXTDZ($A$1,$B56,AL$5,$B$1)</f>
        <v>0</v>
      </c>
      <c r="AM56" s="54">
        <f>_xll.EQNXTDZ($A$1,$B56,AM$5,$B$1)</f>
        <v>433.03300000000002</v>
      </c>
      <c r="AN56" s="54">
        <f>_xll.EQNXTDZ($A$1,$B56,AN$5,$B$1)</f>
        <v>0</v>
      </c>
      <c r="AO56" s="54">
        <f>_xll.EQNXTDZ($A$1,$B56,AO$5,$B$1)</f>
        <v>433.03300000000002</v>
      </c>
      <c r="AP56" s="54">
        <f>_xll.EQNXTDZ($A$1,$B56,AP$5,$B$1)</f>
        <v>0</v>
      </c>
      <c r="AQ56" s="54">
        <f>_xll.EQNXTDZ($A$1,$B56,AQ$5,$B$1)</f>
        <v>649.54999999999995</v>
      </c>
      <c r="AR56" s="54">
        <f>_xll.EQNXTDZ($A$1,$B56,AR$5,$B$1)</f>
        <v>0</v>
      </c>
      <c r="AS56" s="54">
        <f>_xll.EQNXTDZ($A$1,$B56,AS$5,$B$1)</f>
        <v>649.54999999999995</v>
      </c>
      <c r="AT56" s="54">
        <f>_xll.EQNXTDZ($A$1,$B56,AT$5,$B$1)</f>
        <v>0</v>
      </c>
      <c r="AU56" s="54">
        <f>_xll.EQNXTDZ($A$1,$B56,AU$5,$B$1)</f>
        <v>649.56799999999998</v>
      </c>
      <c r="AV56" s="54">
        <f>_xll.EQNXTDZ($A$1,$B56,AV$5,$B$1)</f>
        <v>0</v>
      </c>
      <c r="AW56" s="54">
        <f>_xll.EQNXTDZ($A$1,$B56,AW$5,$B$1)</f>
        <v>649.60699999999997</v>
      </c>
      <c r="AX56" s="54">
        <f>_xll.EQNXTDZ($A$1,$B56,AX$5,$B$1)</f>
        <v>0</v>
      </c>
      <c r="AY56" s="54">
        <f>_xll.EQNXTDZ($A$1,$B56,AY$5,$B$1)</f>
        <v>649.72</v>
      </c>
      <c r="AZ56" s="54">
        <f>_xll.EQNXTDZ($A$1,$B56,AZ$5,$B$1)</f>
        <v>0</v>
      </c>
      <c r="BA56" s="54">
        <f>_xll.EQNXTDZ($A$1,$B56,BA$5,$B$1)</f>
        <v>676.30200000000002</v>
      </c>
      <c r="BB56" s="54">
        <f>_xll.EQNXTDZ($A$1,$B56,BB$5,$B$1)</f>
        <v>0</v>
      </c>
      <c r="BC56" s="54">
        <f>_xll.EQNXTDZ($A$1,$B56,BC$5,$B$1)</f>
        <v>676.38300000000004</v>
      </c>
      <c r="BD56" s="54">
        <f>_xll.EQNXTDZ($A$1,$B56,BD$5,$B$1)</f>
        <v>0</v>
      </c>
      <c r="BE56" s="54">
        <f>_xll.EQNXTDZ($A$1,$B56,BE$5,$B$1)</f>
        <v>676.39800000000002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0</v>
      </c>
      <c r="E58" s="54">
        <f>_xll.EQNXTDZ($A$1,$B58,E$5,$B$1)</f>
        <v>0</v>
      </c>
      <c r="F58" s="54">
        <f>_xll.EQNXTDZ($A$1,$B58,F$5,$B$1)</f>
        <v>0</v>
      </c>
      <c r="G58" s="54">
        <f>_xll.EQNXTDZ($A$1,$B58,G$5,$B$1)</f>
        <v>0</v>
      </c>
      <c r="H58" s="54">
        <f>_xll.EQNXTDZ($A$1,$B58,H$5,$B$1)</f>
        <v>0</v>
      </c>
      <c r="I58" s="54">
        <f>_xll.EQNXTDZ($A$1,$B58,I$5,$B$1)</f>
        <v>0</v>
      </c>
      <c r="J58" s="54">
        <f>_xll.EQNXTDZ($A$1,$B58,J$5,$B$1)</f>
        <v>0</v>
      </c>
      <c r="K58" s="54">
        <f>_xll.EQNXTDZ($A$1,$B58,K$5,$B$1)</f>
        <v>0</v>
      </c>
      <c r="L58" s="54">
        <f>_xll.EQNXTDZ($A$1,$B58,L$5,$B$1)</f>
        <v>0</v>
      </c>
      <c r="M58" s="54">
        <f>_xll.EQNXTDZ($A$1,$B58,M$5,$B$1)</f>
        <v>0</v>
      </c>
      <c r="N58" s="54">
        <f>_xll.EQNXTDZ($A$1,$B58,N$5,$B$1)</f>
        <v>0</v>
      </c>
      <c r="O58" s="54">
        <f>_xll.EQNXTDZ($A$1,$B58,O$5,$B$1)</f>
        <v>0</v>
      </c>
      <c r="P58" s="54">
        <f>_xll.EQNXTDZ($A$1,$B58,P$5,$B$1)</f>
        <v>0</v>
      </c>
      <c r="Q58" s="54">
        <f>_xll.EQNXTDZ($A$1,$B58,Q$5,$B$1)</f>
        <v>90.510999999999996</v>
      </c>
      <c r="R58" s="54">
        <f>_xll.EQNXTDZ($A$1,$B58,R$5,$B$1)</f>
        <v>0</v>
      </c>
      <c r="S58" s="54">
        <f>_xll.EQNXTDZ($A$1,$B58,S$5,$B$1)</f>
        <v>0</v>
      </c>
      <c r="T58" s="54">
        <f>_xll.EQNXTDZ($A$1,$B58,T$5,$B$1)</f>
        <v>0</v>
      </c>
      <c r="U58" s="54">
        <f>_xll.EQNXTDZ($A$1,$B58,U$5,$B$1)</f>
        <v>1711.5540000000001</v>
      </c>
      <c r="V58" s="54">
        <f>_xll.EQNXTDZ($A$1,$B58,V$5,$B$1)</f>
        <v>0</v>
      </c>
      <c r="W58" s="54">
        <f>_xll.EQNXTDZ($A$1,$B58,W$5,$B$1)</f>
        <v>1671.739</v>
      </c>
      <c r="X58" s="54">
        <f>_xll.EQNXTDZ($A$1,$B58,X$5,$B$1)</f>
        <v>0</v>
      </c>
      <c r="Y58" s="54">
        <f>_xll.EQNXTDZ($A$1,$B58,Y$5,$B$1)</f>
        <v>1586.8409999999999</v>
      </c>
      <c r="Z58" s="54">
        <f>_xll.EQNXTDZ($A$1,$B58,Z$5,$B$1)</f>
        <v>0</v>
      </c>
      <c r="AA58" s="54">
        <f>_xll.EQNXTDZ($A$1,$B58,AA$5,$B$1)</f>
        <v>1919.98</v>
      </c>
      <c r="AB58" s="54">
        <f>_xll.EQNXTDZ($A$1,$B58,AB$5,$B$1)</f>
        <v>0</v>
      </c>
      <c r="AC58" s="54">
        <f>_xll.EQNXTDZ($A$1,$B58,AC$5,$B$1)</f>
        <v>1815.8620000000001</v>
      </c>
      <c r="AD58" s="54">
        <f>_xll.EQNXTDZ($A$1,$B58,AD$5,$B$1)</f>
        <v>0</v>
      </c>
      <c r="AE58" s="54">
        <f>_xll.EQNXTDZ($A$1,$B58,AE$5,$B$1)</f>
        <v>2316.962</v>
      </c>
      <c r="AF58" s="54">
        <f>_xll.EQNXTDZ($A$1,$B58,AF$5,$B$1)</f>
        <v>0</v>
      </c>
      <c r="AG58" s="54">
        <f>_xll.EQNXTDZ($A$1,$B58,AG$5,$B$1)</f>
        <v>3039.7330000000002</v>
      </c>
      <c r="AH58" s="54">
        <f>_xll.EQNXTDZ($A$1,$B58,AH$5,$B$1)</f>
        <v>0</v>
      </c>
      <c r="AI58" s="54">
        <f>_xll.EQNXTDZ($A$1,$B58,AI$5,$B$1)</f>
        <v>3169.1060000000002</v>
      </c>
      <c r="AJ58" s="54">
        <f>_xll.EQNXTDZ($A$1,$B58,AJ$5,$B$1)</f>
        <v>0</v>
      </c>
      <c r="AK58" s="54">
        <f>_xll.EQNXTDZ($A$1,$B58,AK$5,$B$1)</f>
        <v>3235.3119999999999</v>
      </c>
      <c r="AL58" s="54">
        <f>_xll.EQNXTDZ($A$1,$B58,AL$5,$B$1)</f>
        <v>0</v>
      </c>
      <c r="AM58" s="54">
        <f>_xll.EQNXTDZ($A$1,$B58,AM$5,$B$1)</f>
        <v>3528.549</v>
      </c>
      <c r="AN58" s="54">
        <f>_xll.EQNXTDZ($A$1,$B58,AN$5,$B$1)</f>
        <v>0</v>
      </c>
      <c r="AO58" s="54">
        <f>_xll.EQNXTDZ($A$1,$B58,AO$5,$B$1)</f>
        <v>3646.875</v>
      </c>
      <c r="AP58" s="54">
        <f>_xll.EQNXTDZ($A$1,$B58,AP$5,$B$1)</f>
        <v>0</v>
      </c>
      <c r="AQ58" s="54">
        <f>_xll.EQNXTDZ($A$1,$B58,AQ$5,$B$1)</f>
        <v>4165.3059999999996</v>
      </c>
      <c r="AR58" s="54">
        <f>_xll.EQNXTDZ($A$1,$B58,AR$5,$B$1)</f>
        <v>0</v>
      </c>
      <c r="AS58" s="54">
        <f>_xll.EQNXTDZ($A$1,$B58,AS$5,$B$1)</f>
        <v>4452.83</v>
      </c>
      <c r="AT58" s="54">
        <f>_xll.EQNXTDZ($A$1,$B58,AT$5,$B$1)</f>
        <v>0</v>
      </c>
      <c r="AU58" s="54">
        <f>_xll.EQNXTDZ($A$1,$B58,AU$5,$B$1)</f>
        <v>5838.9809999999998</v>
      </c>
      <c r="AV58" s="54">
        <f>_xll.EQNXTDZ($A$1,$B58,AV$5,$B$1)</f>
        <v>0</v>
      </c>
      <c r="AW58" s="54">
        <f>_xll.EQNXTDZ($A$1,$B58,AW$5,$B$1)</f>
        <v>6286.8909999999996</v>
      </c>
      <c r="AX58" s="54">
        <f>_xll.EQNXTDZ($A$1,$B58,AX$5,$B$1)</f>
        <v>0</v>
      </c>
      <c r="AY58" s="54">
        <f>_xll.EQNXTDZ($A$1,$B58,AY$5,$B$1)</f>
        <v>7928.0460000000003</v>
      </c>
      <c r="AZ58" s="54">
        <f>_xll.EQNXTDZ($A$1,$B58,AZ$5,$B$1)</f>
        <v>0</v>
      </c>
      <c r="BA58" s="54">
        <f>_xll.EQNXTDZ($A$1,$B58,BA$5,$B$1)</f>
        <v>15933.527</v>
      </c>
      <c r="BB58" s="54">
        <f>_xll.EQNXTDZ($A$1,$B58,BB$5,$B$1)</f>
        <v>0</v>
      </c>
      <c r="BC58" s="54">
        <f>_xll.EQNXTDZ($A$1,$B58,BC$5,$B$1)</f>
        <v>17686.940999999999</v>
      </c>
      <c r="BD58" s="54">
        <f>_xll.EQNXTDZ($A$1,$B58,BD$5,$B$1)</f>
        <v>0</v>
      </c>
      <c r="BE58" s="54">
        <f>_xll.EQNXTDZ($A$1,$B58,BE$5,$B$1)</f>
        <v>18902.306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0</v>
      </c>
      <c r="E59" s="54">
        <f>_xll.EQNXTDZ($A$1,$B59,E$5,$B$1)</f>
        <v>0</v>
      </c>
      <c r="F59" s="54">
        <f>_xll.EQNXTDZ($A$1,$B59,F$5,$B$1)</f>
        <v>0</v>
      </c>
      <c r="G59" s="54">
        <f>_xll.EQNXTDZ($A$1,$B59,G$5,$B$1)</f>
        <v>0</v>
      </c>
      <c r="H59" s="54">
        <f>_xll.EQNXTDZ($A$1,$B59,H$5,$B$1)</f>
        <v>0</v>
      </c>
      <c r="I59" s="54">
        <f>_xll.EQNXTDZ($A$1,$B59,I$5,$B$1)</f>
        <v>0</v>
      </c>
      <c r="J59" s="54">
        <f>_xll.EQNXTDZ($A$1,$B59,J$5,$B$1)</f>
        <v>0</v>
      </c>
      <c r="K59" s="54">
        <f>_xll.EQNXTDZ($A$1,$B59,K$5,$B$1)</f>
        <v>0</v>
      </c>
      <c r="L59" s="54">
        <f>_xll.EQNXTDZ($A$1,$B59,L$5,$B$1)</f>
        <v>0</v>
      </c>
      <c r="M59" s="54">
        <f>_xll.EQNXTDZ($A$1,$B59,M$5,$B$1)</f>
        <v>0</v>
      </c>
      <c r="N59" s="54">
        <f>_xll.EQNXTDZ($A$1,$B59,N$5,$B$1)</f>
        <v>0</v>
      </c>
      <c r="O59" s="54">
        <f>_xll.EQNXTDZ($A$1,$B59,O$5,$B$1)</f>
        <v>0</v>
      </c>
      <c r="P59" s="54">
        <f>_xll.EQNXTDZ($A$1,$B59,P$5,$B$1)</f>
        <v>0</v>
      </c>
      <c r="Q59" s="54">
        <f>_xll.EQNXTDZ($A$1,$B59,Q$5,$B$1)</f>
        <v>674.27700000000004</v>
      </c>
      <c r="R59" s="54">
        <f>_xll.EQNXTDZ($A$1,$B59,R$5,$B$1)</f>
        <v>0</v>
      </c>
      <c r="S59" s="54">
        <f>_xll.EQNXTDZ($A$1,$B59,S$5,$B$1)</f>
        <v>0</v>
      </c>
      <c r="T59" s="54">
        <f>_xll.EQNXTDZ($A$1,$B59,T$5,$B$1)</f>
        <v>0</v>
      </c>
      <c r="U59" s="54">
        <f>_xll.EQNXTDZ($A$1,$B59,U$5,$B$1)</f>
        <v>1893.867</v>
      </c>
      <c r="V59" s="54">
        <f>_xll.EQNXTDZ($A$1,$B59,V$5,$B$1)</f>
        <v>0</v>
      </c>
      <c r="W59" s="54">
        <f>_xll.EQNXTDZ($A$1,$B59,W$5,$B$1)</f>
        <v>1854.249</v>
      </c>
      <c r="X59" s="54">
        <f>_xll.EQNXTDZ($A$1,$B59,X$5,$B$1)</f>
        <v>0</v>
      </c>
      <c r="Y59" s="54">
        <f>_xll.EQNXTDZ($A$1,$B59,Y$5,$B$1)</f>
        <v>1769.4280000000001</v>
      </c>
      <c r="Z59" s="54">
        <f>_xll.EQNXTDZ($A$1,$B59,Z$5,$B$1)</f>
        <v>0</v>
      </c>
      <c r="AA59" s="54">
        <f>_xll.EQNXTDZ($A$1,$B59,AA$5,$B$1)</f>
        <v>2102.5949999999998</v>
      </c>
      <c r="AB59" s="54">
        <f>_xll.EQNXTDZ($A$1,$B59,AB$5,$B$1)</f>
        <v>0</v>
      </c>
      <c r="AC59" s="54">
        <f>_xll.EQNXTDZ($A$1,$B59,AC$5,$B$1)</f>
        <v>1998.5039999999999</v>
      </c>
      <c r="AD59" s="54">
        <f>_xll.EQNXTDZ($A$1,$B59,AD$5,$B$1)</f>
        <v>0</v>
      </c>
      <c r="AE59" s="54">
        <f>_xll.EQNXTDZ($A$1,$B59,AE$5,$B$1)</f>
        <v>2499.6170000000002</v>
      </c>
      <c r="AF59" s="54">
        <f>_xll.EQNXTDZ($A$1,$B59,AF$5,$B$1)</f>
        <v>0</v>
      </c>
      <c r="AG59" s="54">
        <f>_xll.EQNXTDZ($A$1,$B59,AG$5,$B$1)</f>
        <v>3328.422</v>
      </c>
      <c r="AH59" s="54">
        <f>_xll.EQNXTDZ($A$1,$B59,AH$5,$B$1)</f>
        <v>0</v>
      </c>
      <c r="AI59" s="54">
        <f>_xll.EQNXTDZ($A$1,$B59,AI$5,$B$1)</f>
        <v>3457.7950000000001</v>
      </c>
      <c r="AJ59" s="54">
        <f>_xll.EQNXTDZ($A$1,$B59,AJ$5,$B$1)</f>
        <v>0</v>
      </c>
      <c r="AK59" s="54">
        <f>_xll.EQNXTDZ($A$1,$B59,AK$5,$B$1)</f>
        <v>3524.0010000000002</v>
      </c>
      <c r="AL59" s="54">
        <f>_xll.EQNXTDZ($A$1,$B59,AL$5,$B$1)</f>
        <v>0</v>
      </c>
      <c r="AM59" s="54">
        <f>_xll.EQNXTDZ($A$1,$B59,AM$5,$B$1)</f>
        <v>3961.5819999999999</v>
      </c>
      <c r="AN59" s="54">
        <f>_xll.EQNXTDZ($A$1,$B59,AN$5,$B$1)</f>
        <v>0</v>
      </c>
      <c r="AO59" s="54">
        <f>_xll.EQNXTDZ($A$1,$B59,AO$5,$B$1)</f>
        <v>4079.9079999999999</v>
      </c>
      <c r="AP59" s="54">
        <f>_xll.EQNXTDZ($A$1,$B59,AP$5,$B$1)</f>
        <v>0</v>
      </c>
      <c r="AQ59" s="54">
        <f>_xll.EQNXTDZ($A$1,$B59,AQ$5,$B$1)</f>
        <v>4814.8559999999998</v>
      </c>
      <c r="AR59" s="54">
        <f>_xll.EQNXTDZ($A$1,$B59,AR$5,$B$1)</f>
        <v>0</v>
      </c>
      <c r="AS59" s="54">
        <f>_xll.EQNXTDZ($A$1,$B59,AS$5,$B$1)</f>
        <v>5102.38</v>
      </c>
      <c r="AT59" s="54">
        <f>_xll.EQNXTDZ($A$1,$B59,AT$5,$B$1)</f>
        <v>0</v>
      </c>
      <c r="AU59" s="54">
        <f>_xll.EQNXTDZ($A$1,$B59,AU$5,$B$1)</f>
        <v>6488.549</v>
      </c>
      <c r="AV59" s="54">
        <f>_xll.EQNXTDZ($A$1,$B59,AV$5,$B$1)</f>
        <v>0</v>
      </c>
      <c r="AW59" s="54">
        <f>_xll.EQNXTDZ($A$1,$B59,AW$5,$B$1)</f>
        <v>6936.4979999999996</v>
      </c>
      <c r="AX59" s="54">
        <f>_xll.EQNXTDZ($A$1,$B59,AX$5,$B$1)</f>
        <v>0</v>
      </c>
      <c r="AY59" s="54">
        <f>_xll.EQNXTDZ($A$1,$B59,AY$5,$B$1)</f>
        <v>8577.7659999999996</v>
      </c>
      <c r="AZ59" s="54">
        <f>_xll.EQNXTDZ($A$1,$B59,AZ$5,$B$1)</f>
        <v>0</v>
      </c>
      <c r="BA59" s="54">
        <f>_xll.EQNXTDZ($A$1,$B59,BA$5,$B$1)</f>
        <v>16609.829000000002</v>
      </c>
      <c r="BB59" s="54">
        <f>_xll.EQNXTDZ($A$1,$B59,BB$5,$B$1)</f>
        <v>0</v>
      </c>
      <c r="BC59" s="54">
        <f>_xll.EQNXTDZ($A$1,$B59,BC$5,$B$1)</f>
        <v>18363.324000000001</v>
      </c>
      <c r="BD59" s="54">
        <f>_xll.EQNXTDZ($A$1,$B59,BD$5,$B$1)</f>
        <v>0</v>
      </c>
      <c r="BE59" s="54">
        <f>_xll.EQNXTDZ($A$1,$B59,BE$5,$B$1)</f>
        <v>19578.704000000002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5.8000000000000003E-2</v>
      </c>
      <c r="V60" s="54">
        <f>_xll.EQNXTDZ($A$1,$B60,V$5,$B$1)</f>
        <v>0</v>
      </c>
      <c r="W60" s="54">
        <f>_xll.EQNXTDZ($A$1,$B60,W$5,$B$1)</f>
        <v>-1.2949999999999999</v>
      </c>
      <c r="X60" s="54">
        <f>_xll.EQNXTDZ($A$1,$B60,X$5,$B$1)</f>
        <v>0</v>
      </c>
      <c r="Y60" s="54">
        <f>_xll.EQNXTDZ($A$1,$B60,Y$5,$B$1)</f>
        <v>-1.4319999999999999</v>
      </c>
      <c r="Z60" s="54">
        <f>_xll.EQNXTDZ($A$1,$B60,Z$5,$B$1)</f>
        <v>0</v>
      </c>
      <c r="AA60" s="54">
        <f>_xll.EQNXTDZ($A$1,$B60,AA$5,$B$1)</f>
        <v>3.02</v>
      </c>
      <c r="AB60" s="54">
        <f>_xll.EQNXTDZ($A$1,$B60,AB$5,$B$1)</f>
        <v>0</v>
      </c>
      <c r="AC60" s="54">
        <f>_xll.EQNXTDZ($A$1,$B60,AC$5,$B$1)</f>
        <v>7.7679999999999998</v>
      </c>
      <c r="AD60" s="54">
        <f>_xll.EQNXTDZ($A$1,$B60,AD$5,$B$1)</f>
        <v>0</v>
      </c>
      <c r="AE60" s="54">
        <f>_xll.EQNXTDZ($A$1,$B60,AE$5,$B$1)</f>
        <v>5.2460000000000004</v>
      </c>
      <c r="AF60" s="54">
        <f>_xll.EQNXTDZ($A$1,$B60,AF$5,$B$1)</f>
        <v>0</v>
      </c>
      <c r="AG60" s="54">
        <f>_xll.EQNXTDZ($A$1,$B60,AG$5,$B$1)</f>
        <v>30.678999999999998</v>
      </c>
      <c r="AH60" s="54">
        <f>_xll.EQNXTDZ($A$1,$B60,AH$5,$B$1)</f>
        <v>0</v>
      </c>
      <c r="AI60" s="54">
        <f>_xll.EQNXTDZ($A$1,$B60,AI$5,$B$1)</f>
        <v>38.024999999999999</v>
      </c>
      <c r="AJ60" s="54">
        <f>_xll.EQNXTDZ($A$1,$B60,AJ$5,$B$1)</f>
        <v>0</v>
      </c>
      <c r="AK60" s="54">
        <f>_xll.EQNXTDZ($A$1,$B60,AK$5,$B$1)</f>
        <v>64.787999999999997</v>
      </c>
      <c r="AL60" s="54">
        <f>_xll.EQNXTDZ($A$1,$B60,AL$5,$B$1)</f>
        <v>0</v>
      </c>
      <c r="AM60" s="54">
        <f>_xll.EQNXTDZ($A$1,$B60,AM$5,$B$1)</f>
        <v>82.936000000000007</v>
      </c>
      <c r="AN60" s="54">
        <f>_xll.EQNXTDZ($A$1,$B60,AN$5,$B$1)</f>
        <v>0</v>
      </c>
      <c r="AO60" s="54">
        <f>_xll.EQNXTDZ($A$1,$B60,AO$5,$B$1)</f>
        <v>116.789</v>
      </c>
      <c r="AP60" s="54">
        <f>_xll.EQNXTDZ($A$1,$B60,AP$5,$B$1)</f>
        <v>0</v>
      </c>
      <c r="AQ60" s="54">
        <f>_xll.EQNXTDZ($A$1,$B60,AQ$5,$B$1)</f>
        <v>148.23599999999999</v>
      </c>
      <c r="AR60" s="54">
        <f>_xll.EQNXTDZ($A$1,$B60,AR$5,$B$1)</f>
        <v>0</v>
      </c>
      <c r="AS60" s="54">
        <f>_xll.EQNXTDZ($A$1,$B60,AS$5,$B$1)</f>
        <v>113.107</v>
      </c>
      <c r="AT60" s="54">
        <f>_xll.EQNXTDZ($A$1,$B60,AT$5,$B$1)</f>
        <v>0</v>
      </c>
      <c r="AU60" s="54">
        <f>_xll.EQNXTDZ($A$1,$B60,AU$5,$B$1)</f>
        <v>134.07400000000001</v>
      </c>
      <c r="AV60" s="54">
        <f>_xll.EQNXTDZ($A$1,$B60,AV$5,$B$1)</f>
        <v>0</v>
      </c>
      <c r="AW60" s="54">
        <f>_xll.EQNXTDZ($A$1,$B60,AW$5,$B$1)</f>
        <v>148.155</v>
      </c>
      <c r="AX60" s="54">
        <f>_xll.EQNXTDZ($A$1,$B60,AX$5,$B$1)</f>
        <v>0</v>
      </c>
      <c r="AY60" s="54">
        <f>_xll.EQNXTDZ($A$1,$B60,AY$5,$B$1)</f>
        <v>168.15</v>
      </c>
      <c r="AZ60" s="54">
        <f>_xll.EQNXTDZ($A$1,$B60,AZ$5,$B$1)</f>
        <v>0</v>
      </c>
      <c r="BA60" s="54">
        <f>_xll.EQNXTDZ($A$1,$B60,BA$5,$B$1)</f>
        <v>129.80699999999999</v>
      </c>
      <c r="BB60" s="54">
        <f>_xll.EQNXTDZ($A$1,$B60,BB$5,$B$1)</f>
        <v>0</v>
      </c>
      <c r="BC60" s="54">
        <f>_xll.EQNXTDZ($A$1,$B60,BC$5,$B$1)</f>
        <v>143.328</v>
      </c>
      <c r="BD60" s="54">
        <f>_xll.EQNXTDZ($A$1,$B60,BD$5,$B$1)</f>
        <v>0</v>
      </c>
      <c r="BE60" s="54">
        <f>_xll.EQNXTDZ($A$1,$B60,BE$5,$B$1)</f>
        <v>162.251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1579.519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963.274</v>
      </c>
      <c r="V61" s="54">
        <f>_xll.EQNXTDZ($A$1,$B61,V$5,$B$1)</f>
        <v>0</v>
      </c>
      <c r="W61" s="54">
        <f>_xll.EQNXTDZ($A$1,$B61,W$5,$B$1)</f>
        <v>1395.164</v>
      </c>
      <c r="X61" s="54">
        <f>_xll.EQNXTDZ($A$1,$B61,X$5,$B$1)</f>
        <v>0</v>
      </c>
      <c r="Y61" s="54">
        <f>_xll.EQNXTDZ($A$1,$B61,Y$5,$B$1)</f>
        <v>1691.3679999999999</v>
      </c>
      <c r="Z61" s="54">
        <f>_xll.EQNXTDZ($A$1,$B61,Z$5,$B$1)</f>
        <v>0</v>
      </c>
      <c r="AA61" s="54">
        <f>_xll.EQNXTDZ($A$1,$B61,AA$5,$B$1)</f>
        <v>1551.5340000000001</v>
      </c>
      <c r="AB61" s="54">
        <f>_xll.EQNXTDZ($A$1,$B61,AB$5,$B$1)</f>
        <v>0</v>
      </c>
      <c r="AC61" s="54">
        <f>_xll.EQNXTDZ($A$1,$B61,AC$5,$B$1)</f>
        <v>1980.069</v>
      </c>
      <c r="AD61" s="54">
        <f>_xll.EQNXTDZ($A$1,$B61,AD$5,$B$1)</f>
        <v>0</v>
      </c>
      <c r="AE61" s="54">
        <f>_xll.EQNXTDZ($A$1,$B61,AE$5,$B$1)</f>
        <v>3101.732</v>
      </c>
      <c r="AF61" s="54">
        <f>_xll.EQNXTDZ($A$1,$B61,AF$5,$B$1)</f>
        <v>0</v>
      </c>
      <c r="AG61" s="54">
        <f>_xll.EQNXTDZ($A$1,$B61,AG$5,$B$1)</f>
        <v>2355.3760000000002</v>
      </c>
      <c r="AH61" s="54">
        <f>_xll.EQNXTDZ($A$1,$B61,AH$5,$B$1)</f>
        <v>0</v>
      </c>
      <c r="AI61" s="54">
        <f>_xll.EQNXTDZ($A$1,$B61,AI$5,$B$1)</f>
        <v>1945.2</v>
      </c>
      <c r="AJ61" s="54">
        <f>_xll.EQNXTDZ($A$1,$B61,AJ$5,$B$1)</f>
        <v>0</v>
      </c>
      <c r="AK61" s="54">
        <f>_xll.EQNXTDZ($A$1,$B61,AK$5,$B$1)</f>
        <v>1979.6220000000001</v>
      </c>
      <c r="AL61" s="54">
        <f>_xll.EQNXTDZ($A$1,$B61,AL$5,$B$1)</f>
        <v>0</v>
      </c>
      <c r="AM61" s="54">
        <f>_xll.EQNXTDZ($A$1,$B61,AM$5,$B$1)</f>
        <v>1308.7539999999999</v>
      </c>
      <c r="AN61" s="54">
        <f>_xll.EQNXTDZ($A$1,$B61,AN$5,$B$1)</f>
        <v>0</v>
      </c>
      <c r="AO61" s="54">
        <f>_xll.EQNXTDZ($A$1,$B61,AO$5,$B$1)</f>
        <v>1813.327</v>
      </c>
      <c r="AP61" s="54">
        <f>_xll.EQNXTDZ($A$1,$B61,AP$5,$B$1)</f>
        <v>0</v>
      </c>
      <c r="AQ61" s="54">
        <f>_xll.EQNXTDZ($A$1,$B61,AQ$5,$B$1)</f>
        <v>897.36800000000005</v>
      </c>
      <c r="AR61" s="54">
        <f>_xll.EQNXTDZ($A$1,$B61,AR$5,$B$1)</f>
        <v>0</v>
      </c>
      <c r="AS61" s="54">
        <f>_xll.EQNXTDZ($A$1,$B61,AS$5,$B$1)</f>
        <v>1727.0219999999999</v>
      </c>
      <c r="AT61" s="54">
        <f>_xll.EQNXTDZ($A$1,$B61,AT$5,$B$1)</f>
        <v>0</v>
      </c>
      <c r="AU61" s="54">
        <f>_xll.EQNXTDZ($A$1,$B61,AU$5,$B$1)</f>
        <v>1787.1780000000001</v>
      </c>
      <c r="AV61" s="54">
        <f>_xll.EQNXTDZ($A$1,$B61,AV$5,$B$1)</f>
        <v>0</v>
      </c>
      <c r="AW61" s="54">
        <f>_xll.EQNXTDZ($A$1,$B61,AW$5,$B$1)</f>
        <v>3188.9380000000001</v>
      </c>
      <c r="AX61" s="54">
        <f>_xll.EQNXTDZ($A$1,$B61,AX$5,$B$1)</f>
        <v>0</v>
      </c>
      <c r="AY61" s="54">
        <f>_xll.EQNXTDZ($A$1,$B61,AY$5,$B$1)</f>
        <v>3541.2330000000002</v>
      </c>
      <c r="AZ61" s="54">
        <f>_xll.EQNXTDZ($A$1,$B61,AZ$5,$B$1)</f>
        <v>0</v>
      </c>
      <c r="BA61" s="54">
        <f>_xll.EQNXTDZ($A$1,$B61,BA$5,$B$1)</f>
        <v>840.68899999999996</v>
      </c>
      <c r="BB61" s="54">
        <f>_xll.EQNXTDZ($A$1,$B61,BB$5,$B$1)</f>
        <v>0</v>
      </c>
      <c r="BC61" s="54">
        <f>_xll.EQNXTDZ($A$1,$B61,BC$5,$B$1)</f>
        <v>578.822</v>
      </c>
      <c r="BD61" s="54">
        <f>_xll.EQNXTDZ($A$1,$B61,BD$5,$B$1)</f>
        <v>0</v>
      </c>
      <c r="BE61" s="54">
        <f>_xll.EQNXTDZ($A$1,$B61,BE$5,$B$1)</f>
        <v>540.44899999999996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1579.519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963.274</v>
      </c>
      <c r="V63" s="54">
        <f>_xll.EQNXTDZ($A$1,$B63,V$5,$B$1)</f>
        <v>0</v>
      </c>
      <c r="W63" s="54">
        <f>_xll.EQNXTDZ($A$1,$B63,W$5,$B$1)</f>
        <v>1395.164</v>
      </c>
      <c r="X63" s="54">
        <f>_xll.EQNXTDZ($A$1,$B63,X$5,$B$1)</f>
        <v>0</v>
      </c>
      <c r="Y63" s="54">
        <f>_xll.EQNXTDZ($A$1,$B63,Y$5,$B$1)</f>
        <v>1691.3679999999999</v>
      </c>
      <c r="Z63" s="54">
        <f>_xll.EQNXTDZ($A$1,$B63,Z$5,$B$1)</f>
        <v>0</v>
      </c>
      <c r="AA63" s="54">
        <f>_xll.EQNXTDZ($A$1,$B63,AA$5,$B$1)</f>
        <v>1551.5340000000001</v>
      </c>
      <c r="AB63" s="54">
        <f>_xll.EQNXTDZ($A$1,$B63,AB$5,$B$1)</f>
        <v>0</v>
      </c>
      <c r="AC63" s="54">
        <f>_xll.EQNXTDZ($A$1,$B63,AC$5,$B$1)</f>
        <v>1980.069</v>
      </c>
      <c r="AD63" s="54">
        <f>_xll.EQNXTDZ($A$1,$B63,AD$5,$B$1)</f>
        <v>0</v>
      </c>
      <c r="AE63" s="54">
        <f>_xll.EQNXTDZ($A$1,$B63,AE$5,$B$1)</f>
        <v>3101.732</v>
      </c>
      <c r="AF63" s="54">
        <f>_xll.EQNXTDZ($A$1,$B63,AF$5,$B$1)</f>
        <v>0</v>
      </c>
      <c r="AG63" s="54">
        <f>_xll.EQNXTDZ($A$1,$B63,AG$5,$B$1)</f>
        <v>2355.3760000000002</v>
      </c>
      <c r="AH63" s="54">
        <f>_xll.EQNXTDZ($A$1,$B63,AH$5,$B$1)</f>
        <v>0</v>
      </c>
      <c r="AI63" s="54">
        <f>_xll.EQNXTDZ($A$1,$B63,AI$5,$B$1)</f>
        <v>1945.2</v>
      </c>
      <c r="AJ63" s="54">
        <f>_xll.EQNXTDZ($A$1,$B63,AJ$5,$B$1)</f>
        <v>0</v>
      </c>
      <c r="AK63" s="54">
        <f>_xll.EQNXTDZ($A$1,$B63,AK$5,$B$1)</f>
        <v>1979.6220000000001</v>
      </c>
      <c r="AL63" s="54">
        <f>_xll.EQNXTDZ($A$1,$B63,AL$5,$B$1)</f>
        <v>0</v>
      </c>
      <c r="AM63" s="54">
        <f>_xll.EQNXTDZ($A$1,$B63,AM$5,$B$1)</f>
        <v>1308.7539999999999</v>
      </c>
      <c r="AN63" s="54">
        <f>_xll.EQNXTDZ($A$1,$B63,AN$5,$B$1)</f>
        <v>0</v>
      </c>
      <c r="AO63" s="54">
        <f>_xll.EQNXTDZ($A$1,$B63,AO$5,$B$1)</f>
        <v>1813.327</v>
      </c>
      <c r="AP63" s="54">
        <f>_xll.EQNXTDZ($A$1,$B63,AP$5,$B$1)</f>
        <v>0</v>
      </c>
      <c r="AQ63" s="54">
        <f>_xll.EQNXTDZ($A$1,$B63,AQ$5,$B$1)</f>
        <v>897.36800000000005</v>
      </c>
      <c r="AR63" s="54">
        <f>_xll.EQNXTDZ($A$1,$B63,AR$5,$B$1)</f>
        <v>0</v>
      </c>
      <c r="AS63" s="54">
        <f>_xll.EQNXTDZ($A$1,$B63,AS$5,$B$1)</f>
        <v>1727.0219999999999</v>
      </c>
      <c r="AT63" s="54">
        <f>_xll.EQNXTDZ($A$1,$B63,AT$5,$B$1)</f>
        <v>0</v>
      </c>
      <c r="AU63" s="54">
        <f>_xll.EQNXTDZ($A$1,$B63,AU$5,$B$1)</f>
        <v>1787.1780000000001</v>
      </c>
      <c r="AV63" s="54">
        <f>_xll.EQNXTDZ($A$1,$B63,AV$5,$B$1)</f>
        <v>0</v>
      </c>
      <c r="AW63" s="54">
        <f>_xll.EQNXTDZ($A$1,$B63,AW$5,$B$1)</f>
        <v>3188.9380000000001</v>
      </c>
      <c r="AX63" s="54">
        <f>_xll.EQNXTDZ($A$1,$B63,AX$5,$B$1)</f>
        <v>0</v>
      </c>
      <c r="AY63" s="54">
        <f>_xll.EQNXTDZ($A$1,$B63,AY$5,$B$1)</f>
        <v>3541.2330000000002</v>
      </c>
      <c r="AZ63" s="54">
        <f>_xll.EQNXTDZ($A$1,$B63,AZ$5,$B$1)</f>
        <v>0</v>
      </c>
      <c r="BA63" s="54">
        <f>_xll.EQNXTDZ($A$1,$B63,BA$5,$B$1)</f>
        <v>840.68899999999996</v>
      </c>
      <c r="BB63" s="54">
        <f>_xll.EQNXTDZ($A$1,$B63,BB$5,$B$1)</f>
        <v>0</v>
      </c>
      <c r="BC63" s="54">
        <f>_xll.EQNXTDZ($A$1,$B63,BC$5,$B$1)</f>
        <v>578.822</v>
      </c>
      <c r="BD63" s="54">
        <f>_xll.EQNXTDZ($A$1,$B63,BD$5,$B$1)</f>
        <v>0</v>
      </c>
      <c r="BE63" s="54">
        <f>_xll.EQNXTDZ($A$1,$B63,BE$5,$B$1)</f>
        <v>540.44899999999996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636.28399999999999</v>
      </c>
      <c r="R64" s="54">
        <f>_xll.EQNXTDZ($A$1,$B64,R$5,$B$1)</f>
        <v>0</v>
      </c>
      <c r="S64" s="54">
        <f>_xll.EQNXTDZ($A$1,$B64,S$5,$B$1)</f>
        <v>0</v>
      </c>
      <c r="T64" s="54">
        <f>_xll.EQNXTDZ($A$1,$B64,T$5,$B$1)</f>
        <v>0</v>
      </c>
      <c r="U64" s="54">
        <f>_xll.EQNXTDZ($A$1,$B64,U$5,$B$1)</f>
        <v>345.53899999999999</v>
      </c>
      <c r="V64" s="54">
        <f>_xll.EQNXTDZ($A$1,$B64,V$5,$B$1)</f>
        <v>0</v>
      </c>
      <c r="W64" s="54">
        <f>_xll.EQNXTDZ($A$1,$B64,W$5,$B$1)</f>
        <v>79.688000000000002</v>
      </c>
      <c r="X64" s="54">
        <f>_xll.EQNXTDZ($A$1,$B64,X$5,$B$1)</f>
        <v>0</v>
      </c>
      <c r="Y64" s="54">
        <f>_xll.EQNXTDZ($A$1,$B64,Y$5,$B$1)</f>
        <v>11.981</v>
      </c>
      <c r="Z64" s="54">
        <f>_xll.EQNXTDZ($A$1,$B64,Z$5,$B$1)</f>
        <v>0</v>
      </c>
      <c r="AA64" s="54">
        <f>_xll.EQNXTDZ($A$1,$B64,AA$5,$B$1)</f>
        <v>11.91</v>
      </c>
      <c r="AB64" s="54">
        <f>_xll.EQNXTDZ($A$1,$B64,AB$5,$B$1)</f>
        <v>0</v>
      </c>
      <c r="AC64" s="54">
        <f>_xll.EQNXTDZ($A$1,$B64,AC$5,$B$1)</f>
        <v>6.7750000000000004</v>
      </c>
      <c r="AD64" s="54">
        <f>_xll.EQNXTDZ($A$1,$B64,AD$5,$B$1)</f>
        <v>0</v>
      </c>
      <c r="AE64" s="54">
        <f>_xll.EQNXTDZ($A$1,$B64,AE$5,$B$1)</f>
        <v>4.4009999999999998</v>
      </c>
      <c r="AF64" s="54">
        <f>_xll.EQNXTDZ($A$1,$B64,AF$5,$B$1)</f>
        <v>0</v>
      </c>
      <c r="AG64" s="54">
        <f>_xll.EQNXTDZ($A$1,$B64,AG$5,$B$1)</f>
        <v>0.82299999999999995</v>
      </c>
      <c r="AH64" s="54">
        <f>_xll.EQNXTDZ($A$1,$B64,AH$5,$B$1)</f>
        <v>0</v>
      </c>
      <c r="AI64" s="54">
        <f>_xll.EQNXTDZ($A$1,$B64,AI$5,$B$1)</f>
        <v>25.384</v>
      </c>
      <c r="AJ64" s="54">
        <f>_xll.EQNXTDZ($A$1,$B64,AJ$5,$B$1)</f>
        <v>0</v>
      </c>
      <c r="AK64" s="54">
        <f>_xll.EQNXTDZ($A$1,$B64,AK$5,$B$1)</f>
        <v>25.172999999999998</v>
      </c>
      <c r="AL64" s="54">
        <f>_xll.EQNXTDZ($A$1,$B64,AL$5,$B$1)</f>
        <v>0</v>
      </c>
      <c r="AM64" s="54">
        <f>_xll.EQNXTDZ($A$1,$B64,AM$5,$B$1)</f>
        <v>29.524000000000001</v>
      </c>
      <c r="AN64" s="54">
        <f>_xll.EQNXTDZ($A$1,$B64,AN$5,$B$1)</f>
        <v>0</v>
      </c>
      <c r="AO64" s="54">
        <f>_xll.EQNXTDZ($A$1,$B64,AO$5,$B$1)</f>
        <v>31.936</v>
      </c>
      <c r="AP64" s="54">
        <f>_xll.EQNXTDZ($A$1,$B64,AP$5,$B$1)</f>
        <v>0</v>
      </c>
      <c r="AQ64" s="54">
        <f>_xll.EQNXTDZ($A$1,$B64,AQ$5,$B$1)</f>
        <v>61.28</v>
      </c>
      <c r="AR64" s="54">
        <f>_xll.EQNXTDZ($A$1,$B64,AR$5,$B$1)</f>
        <v>0</v>
      </c>
      <c r="AS64" s="54">
        <f>_xll.EQNXTDZ($A$1,$B64,AS$5,$B$1)</f>
        <v>166.01900000000001</v>
      </c>
      <c r="AT64" s="54">
        <f>_xll.EQNXTDZ($A$1,$B64,AT$5,$B$1)</f>
        <v>0</v>
      </c>
      <c r="AU64" s="54">
        <f>_xll.EQNXTDZ($A$1,$B64,AU$5,$B$1)</f>
        <v>203.83</v>
      </c>
      <c r="AV64" s="54">
        <f>_xll.EQNXTDZ($A$1,$B64,AV$5,$B$1)</f>
        <v>0</v>
      </c>
      <c r="AW64" s="54">
        <f>_xll.EQNXTDZ($A$1,$B64,AW$5,$B$1)</f>
        <v>204.72499999999999</v>
      </c>
      <c r="AX64" s="54">
        <f>_xll.EQNXTDZ($A$1,$B64,AX$5,$B$1)</f>
        <v>0</v>
      </c>
      <c r="AY64" s="54">
        <f>_xll.EQNXTDZ($A$1,$B64,AY$5,$B$1)</f>
        <v>395.13900000000001</v>
      </c>
      <c r="AZ64" s="54">
        <f>_xll.EQNXTDZ($A$1,$B64,AZ$5,$B$1)</f>
        <v>0</v>
      </c>
      <c r="BA64" s="54">
        <f>_xll.EQNXTDZ($A$1,$B64,BA$5,$B$1)</f>
        <v>361.81700000000001</v>
      </c>
      <c r="BB64" s="54">
        <f>_xll.EQNXTDZ($A$1,$B64,BB$5,$B$1)</f>
        <v>0</v>
      </c>
      <c r="BC64" s="54">
        <f>_xll.EQNXTDZ($A$1,$B64,BC$5,$B$1)</f>
        <v>416.08</v>
      </c>
      <c r="BD64" s="54">
        <f>_xll.EQNXTDZ($A$1,$B64,BD$5,$B$1)</f>
        <v>0</v>
      </c>
      <c r="BE64" s="54">
        <f>_xll.EQNXTDZ($A$1,$B64,BE$5,$B$1)</f>
        <v>400.154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0</v>
      </c>
      <c r="G66" s="54">
        <f>_xll.EQNXTDZ($A$1,$B66,G$5,$B$1)</f>
        <v>0</v>
      </c>
      <c r="H66" s="54">
        <f>_xll.EQNXTDZ($A$1,$B66,H$5,$B$1)</f>
        <v>0</v>
      </c>
      <c r="I66" s="54">
        <f>_xll.EQNXTDZ($A$1,$B66,I$5,$B$1)</f>
        <v>0</v>
      </c>
      <c r="J66" s="54">
        <f>_xll.EQNXTDZ($A$1,$B66,J$5,$B$1)</f>
        <v>0</v>
      </c>
      <c r="K66" s="54">
        <f>_xll.EQNXTDZ($A$1,$B66,K$5,$B$1)</f>
        <v>0</v>
      </c>
      <c r="L66" s="54">
        <f>_xll.EQNXTDZ($A$1,$B66,L$5,$B$1)</f>
        <v>0</v>
      </c>
      <c r="M66" s="54">
        <f>_xll.EQNXTDZ($A$1,$B66,M$5,$B$1)</f>
        <v>0</v>
      </c>
      <c r="N66" s="54">
        <f>_xll.EQNXTDZ($A$1,$B66,N$5,$B$1)</f>
        <v>0</v>
      </c>
      <c r="O66" s="54">
        <f>_xll.EQNXTDZ($A$1,$B66,O$5,$B$1)</f>
        <v>0</v>
      </c>
      <c r="P66" s="54">
        <f>_xll.EQNXTDZ($A$1,$B66,P$5,$B$1)</f>
        <v>0</v>
      </c>
      <c r="Q66" s="54">
        <f>_xll.EQNXTDZ($A$1,$B66,Q$5,$B$1)</f>
        <v>44.313000000000002</v>
      </c>
      <c r="R66" s="54">
        <f>_xll.EQNXTDZ($A$1,$B66,R$5,$B$1)</f>
        <v>0</v>
      </c>
      <c r="S66" s="54">
        <f>_xll.EQNXTDZ($A$1,$B66,S$5,$B$1)</f>
        <v>0</v>
      </c>
      <c r="T66" s="54">
        <f>_xll.EQNXTDZ($A$1,$B66,T$5,$B$1)</f>
        <v>0</v>
      </c>
      <c r="U66" s="54">
        <f>_xll.EQNXTDZ($A$1,$B66,U$5,$B$1)</f>
        <v>62.34</v>
      </c>
      <c r="V66" s="54">
        <f>_xll.EQNXTDZ($A$1,$B66,V$5,$B$1)</f>
        <v>0</v>
      </c>
      <c r="W66" s="54">
        <f>_xll.EQNXTDZ($A$1,$B66,W$5,$B$1)</f>
        <v>73.27</v>
      </c>
      <c r="X66" s="54">
        <f>_xll.EQNXTDZ($A$1,$B66,X$5,$B$1)</f>
        <v>0</v>
      </c>
      <c r="Y66" s="54">
        <f>_xll.EQNXTDZ($A$1,$B66,Y$5,$B$1)</f>
        <v>73.263999999999996</v>
      </c>
      <c r="Z66" s="54">
        <f>_xll.EQNXTDZ($A$1,$B66,Z$5,$B$1)</f>
        <v>0</v>
      </c>
      <c r="AA66" s="54">
        <f>_xll.EQNXTDZ($A$1,$B66,AA$5,$B$1)</f>
        <v>96.665000000000006</v>
      </c>
      <c r="AB66" s="54">
        <f>_xll.EQNXTDZ($A$1,$B66,AB$5,$B$1)</f>
        <v>0</v>
      </c>
      <c r="AC66" s="54">
        <f>_xll.EQNXTDZ($A$1,$B66,AC$5,$B$1)</f>
        <v>105.255</v>
      </c>
      <c r="AD66" s="54">
        <f>_xll.EQNXTDZ($A$1,$B66,AD$5,$B$1)</f>
        <v>0</v>
      </c>
      <c r="AE66" s="54">
        <f>_xll.EQNXTDZ($A$1,$B66,AE$5,$B$1)</f>
        <v>146.488</v>
      </c>
      <c r="AF66" s="54">
        <f>_xll.EQNXTDZ($A$1,$B66,AF$5,$B$1)</f>
        <v>0</v>
      </c>
      <c r="AG66" s="54">
        <f>_xll.EQNXTDZ($A$1,$B66,AG$5,$B$1)</f>
        <v>170.33500000000001</v>
      </c>
      <c r="AH66" s="54">
        <f>_xll.EQNXTDZ($A$1,$B66,AH$5,$B$1)</f>
        <v>0</v>
      </c>
      <c r="AI66" s="54">
        <f>_xll.EQNXTDZ($A$1,$B66,AI$5,$B$1)</f>
        <v>185.346</v>
      </c>
      <c r="AJ66" s="54">
        <f>_xll.EQNXTDZ($A$1,$B66,AJ$5,$B$1)</f>
        <v>0</v>
      </c>
      <c r="AK66" s="54">
        <f>_xll.EQNXTDZ($A$1,$B66,AK$5,$B$1)</f>
        <v>203.90600000000001</v>
      </c>
      <c r="AL66" s="54">
        <f>_xll.EQNXTDZ($A$1,$B66,AL$5,$B$1)</f>
        <v>0</v>
      </c>
      <c r="AM66" s="54">
        <f>_xll.EQNXTDZ($A$1,$B66,AM$5,$B$1)</f>
        <v>195.60300000000001</v>
      </c>
      <c r="AN66" s="54">
        <f>_xll.EQNXTDZ($A$1,$B66,AN$5,$B$1)</f>
        <v>0</v>
      </c>
      <c r="AO66" s="54">
        <f>_xll.EQNXTDZ($A$1,$B66,AO$5,$B$1)</f>
        <v>208.54300000000001</v>
      </c>
      <c r="AP66" s="54">
        <f>_xll.EQNXTDZ($A$1,$B66,AP$5,$B$1)</f>
        <v>0</v>
      </c>
      <c r="AQ66" s="54">
        <f>_xll.EQNXTDZ($A$1,$B66,AQ$5,$B$1)</f>
        <v>205.88</v>
      </c>
      <c r="AR66" s="54">
        <f>_xll.EQNXTDZ($A$1,$B66,AR$5,$B$1)</f>
        <v>0</v>
      </c>
      <c r="AS66" s="54">
        <f>_xll.EQNXTDZ($A$1,$B66,AS$5,$B$1)</f>
        <v>204.113</v>
      </c>
      <c r="AT66" s="54">
        <f>_xll.EQNXTDZ($A$1,$B66,AT$5,$B$1)</f>
        <v>0</v>
      </c>
      <c r="AU66" s="54">
        <f>_xll.EQNXTDZ($A$1,$B66,AU$5,$B$1)</f>
        <v>200.86099999999999</v>
      </c>
      <c r="AV66" s="54">
        <f>_xll.EQNXTDZ($A$1,$B66,AV$5,$B$1)</f>
        <v>0</v>
      </c>
      <c r="AW66" s="54">
        <f>_xll.EQNXTDZ($A$1,$B66,AW$5,$B$1)</f>
        <v>212.64400000000001</v>
      </c>
      <c r="AX66" s="54">
        <f>_xll.EQNXTDZ($A$1,$B66,AX$5,$B$1)</f>
        <v>0</v>
      </c>
      <c r="AY66" s="54">
        <f>_xll.EQNXTDZ($A$1,$B66,AY$5,$B$1)</f>
        <v>224.59700000000001</v>
      </c>
      <c r="AZ66" s="54">
        <f>_xll.EQNXTDZ($A$1,$B66,AZ$5,$B$1)</f>
        <v>0</v>
      </c>
      <c r="BA66" s="54">
        <f>_xll.EQNXTDZ($A$1,$B66,BA$5,$B$1)</f>
        <v>189.434</v>
      </c>
      <c r="BB66" s="54">
        <f>_xll.EQNXTDZ($A$1,$B66,BB$5,$B$1)</f>
        <v>0</v>
      </c>
      <c r="BC66" s="54">
        <f>_xll.EQNXTDZ($A$1,$B66,BC$5,$B$1)</f>
        <v>207.23099999999999</v>
      </c>
      <c r="BD66" s="54">
        <f>_xll.EQNXTDZ($A$1,$B66,BD$5,$B$1)</f>
        <v>0</v>
      </c>
      <c r="BE66" s="54">
        <f>_xll.EQNXTDZ($A$1,$B66,BE$5,$B$1)</f>
        <v>190.46100000000001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0</v>
      </c>
      <c r="E67" s="54">
        <f>_xll.EQNXTDZ($A$1,$B67,E$5,$B$1)</f>
        <v>0</v>
      </c>
      <c r="F67" s="54">
        <f>_xll.EQNXTDZ($A$1,$B67,F$5,$B$1)</f>
        <v>0</v>
      </c>
      <c r="G67" s="54">
        <f>_xll.EQNXTDZ($A$1,$B67,G$5,$B$1)</f>
        <v>0</v>
      </c>
      <c r="H67" s="54">
        <f>_xll.EQNXTDZ($A$1,$B67,H$5,$B$1)</f>
        <v>0</v>
      </c>
      <c r="I67" s="54">
        <f>_xll.EQNXTDZ($A$1,$B67,I$5,$B$1)</f>
        <v>0</v>
      </c>
      <c r="J67" s="54">
        <f>_xll.EQNXTDZ($A$1,$B67,J$5,$B$1)</f>
        <v>0</v>
      </c>
      <c r="K67" s="54">
        <f>_xll.EQNXTDZ($A$1,$B67,K$5,$B$1)</f>
        <v>0</v>
      </c>
      <c r="L67" s="54">
        <f>_xll.EQNXTDZ($A$1,$B67,L$5,$B$1)</f>
        <v>0</v>
      </c>
      <c r="M67" s="54">
        <f>_xll.EQNXTDZ($A$1,$B67,M$5,$B$1)</f>
        <v>0</v>
      </c>
      <c r="N67" s="54">
        <f>_xll.EQNXTDZ($A$1,$B67,N$5,$B$1)</f>
        <v>0</v>
      </c>
      <c r="O67" s="54">
        <f>_xll.EQNXTDZ($A$1,$B67,O$5,$B$1)</f>
        <v>0</v>
      </c>
      <c r="P67" s="54">
        <f>_xll.EQNXTDZ($A$1,$B67,P$5,$B$1)</f>
        <v>0</v>
      </c>
      <c r="Q67" s="54">
        <f>_xll.EQNXTDZ($A$1,$B67,Q$5,$B$1)</f>
        <v>2934.393</v>
      </c>
      <c r="R67" s="54">
        <f>_xll.EQNXTDZ($A$1,$B67,R$5,$B$1)</f>
        <v>0</v>
      </c>
      <c r="S67" s="54">
        <f>_xll.EQNXTDZ($A$1,$B67,S$5,$B$1)</f>
        <v>0</v>
      </c>
      <c r="T67" s="54">
        <f>_xll.EQNXTDZ($A$1,$B67,T$5,$B$1)</f>
        <v>0</v>
      </c>
      <c r="U67" s="54">
        <f>_xll.EQNXTDZ($A$1,$B67,U$5,$B$1)</f>
        <v>3265.078</v>
      </c>
      <c r="V67" s="54">
        <f>_xll.EQNXTDZ($A$1,$B67,V$5,$B$1)</f>
        <v>0</v>
      </c>
      <c r="W67" s="54">
        <f>_xll.EQNXTDZ($A$1,$B67,W$5,$B$1)</f>
        <v>3401.076</v>
      </c>
      <c r="X67" s="54">
        <f>_xll.EQNXTDZ($A$1,$B67,X$5,$B$1)</f>
        <v>0</v>
      </c>
      <c r="Y67" s="54">
        <f>_xll.EQNXTDZ($A$1,$B67,Y$5,$B$1)</f>
        <v>3544.6089999999999</v>
      </c>
      <c r="Z67" s="54">
        <f>_xll.EQNXTDZ($A$1,$B67,Z$5,$B$1)</f>
        <v>0</v>
      </c>
      <c r="AA67" s="54">
        <f>_xll.EQNXTDZ($A$1,$B67,AA$5,$B$1)</f>
        <v>3765.7240000000002</v>
      </c>
      <c r="AB67" s="54">
        <f>_xll.EQNXTDZ($A$1,$B67,AB$5,$B$1)</f>
        <v>0</v>
      </c>
      <c r="AC67" s="54">
        <f>_xll.EQNXTDZ($A$1,$B67,AC$5,$B$1)</f>
        <v>4098.3710000000001</v>
      </c>
      <c r="AD67" s="54">
        <f>_xll.EQNXTDZ($A$1,$B67,AD$5,$B$1)</f>
        <v>0</v>
      </c>
      <c r="AE67" s="54">
        <f>_xll.EQNXTDZ($A$1,$B67,AE$5,$B$1)</f>
        <v>5757.4840000000004</v>
      </c>
      <c r="AF67" s="54">
        <f>_xll.EQNXTDZ($A$1,$B67,AF$5,$B$1)</f>
        <v>0</v>
      </c>
      <c r="AG67" s="54">
        <f>_xll.EQNXTDZ($A$1,$B67,AG$5,$B$1)</f>
        <v>5885.6350000000002</v>
      </c>
      <c r="AH67" s="54">
        <f>_xll.EQNXTDZ($A$1,$B67,AH$5,$B$1)</f>
        <v>0</v>
      </c>
      <c r="AI67" s="54">
        <f>_xll.EQNXTDZ($A$1,$B67,AI$5,$B$1)</f>
        <v>5651.75</v>
      </c>
      <c r="AJ67" s="54">
        <f>_xll.EQNXTDZ($A$1,$B67,AJ$5,$B$1)</f>
        <v>0</v>
      </c>
      <c r="AK67" s="54">
        <f>_xll.EQNXTDZ($A$1,$B67,AK$5,$B$1)</f>
        <v>5797.49</v>
      </c>
      <c r="AL67" s="54">
        <f>_xll.EQNXTDZ($A$1,$B67,AL$5,$B$1)</f>
        <v>0</v>
      </c>
      <c r="AM67" s="54">
        <f>_xll.EQNXTDZ($A$1,$B67,AM$5,$B$1)</f>
        <v>5578.3990000000003</v>
      </c>
      <c r="AN67" s="54">
        <f>_xll.EQNXTDZ($A$1,$B67,AN$5,$B$1)</f>
        <v>0</v>
      </c>
      <c r="AO67" s="54">
        <f>_xll.EQNXTDZ($A$1,$B67,AO$5,$B$1)</f>
        <v>6250.5029999999997</v>
      </c>
      <c r="AP67" s="54">
        <f>_xll.EQNXTDZ($A$1,$B67,AP$5,$B$1)</f>
        <v>0</v>
      </c>
      <c r="AQ67" s="54">
        <f>_xll.EQNXTDZ($A$1,$B67,AQ$5,$B$1)</f>
        <v>6127.62</v>
      </c>
      <c r="AR67" s="54">
        <f>_xll.EQNXTDZ($A$1,$B67,AR$5,$B$1)</f>
        <v>0</v>
      </c>
      <c r="AS67" s="54">
        <f>_xll.EQNXTDZ($A$1,$B67,AS$5,$B$1)</f>
        <v>7312.6409999999996</v>
      </c>
      <c r="AT67" s="54">
        <f>_xll.EQNXTDZ($A$1,$B67,AT$5,$B$1)</f>
        <v>0</v>
      </c>
      <c r="AU67" s="54">
        <f>_xll.EQNXTDZ($A$1,$B67,AU$5,$B$1)</f>
        <v>8814.4920000000002</v>
      </c>
      <c r="AV67" s="54">
        <f>_xll.EQNXTDZ($A$1,$B67,AV$5,$B$1)</f>
        <v>0</v>
      </c>
      <c r="AW67" s="54">
        <f>_xll.EQNXTDZ($A$1,$B67,AW$5,$B$1)</f>
        <v>10690.96</v>
      </c>
      <c r="AX67" s="54">
        <f>_xll.EQNXTDZ($A$1,$B67,AX$5,$B$1)</f>
        <v>0</v>
      </c>
      <c r="AY67" s="54">
        <f>_xll.EQNXTDZ($A$1,$B67,AY$5,$B$1)</f>
        <v>12906.885</v>
      </c>
      <c r="AZ67" s="54">
        <f>_xll.EQNXTDZ($A$1,$B67,AZ$5,$B$1)</f>
        <v>0</v>
      </c>
      <c r="BA67" s="54">
        <f>_xll.EQNXTDZ($A$1,$B67,BA$5,$B$1)</f>
        <v>18131.576000000001</v>
      </c>
      <c r="BB67" s="54">
        <f>_xll.EQNXTDZ($A$1,$B67,BB$5,$B$1)</f>
        <v>0</v>
      </c>
      <c r="BC67" s="54">
        <f>_xll.EQNXTDZ($A$1,$B67,BC$5,$B$1)</f>
        <v>19708.785</v>
      </c>
      <c r="BD67" s="54">
        <f>_xll.EQNXTDZ($A$1,$B67,BD$5,$B$1)</f>
        <v>0</v>
      </c>
      <c r="BE67" s="54">
        <f>_xll.EQNXTDZ($A$1,$B67,BE$5,$B$1)</f>
        <v>20872.019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0</v>
      </c>
      <c r="E68" s="54">
        <f>_xll.EQNXTDZ($A$1,$B68,E$5,$B$1)</f>
        <v>0</v>
      </c>
      <c r="F68" s="54">
        <f>_xll.EQNXTDZ($A$1,$B68,F$5,$B$1)</f>
        <v>0</v>
      </c>
      <c r="G68" s="54">
        <f>_xll.EQNXTDZ($A$1,$B68,G$5,$B$1)</f>
        <v>0</v>
      </c>
      <c r="H68" s="54">
        <f>_xll.EQNXTDZ($A$1,$B68,H$5,$B$1)</f>
        <v>0</v>
      </c>
      <c r="I68" s="54">
        <f>_xll.EQNXTDZ($A$1,$B68,I$5,$B$1)</f>
        <v>0</v>
      </c>
      <c r="J68" s="54">
        <f>_xll.EQNXTDZ($A$1,$B68,J$5,$B$1)</f>
        <v>0</v>
      </c>
      <c r="K68" s="54">
        <f>_xll.EQNXTDZ($A$1,$B68,K$5,$B$1)</f>
        <v>0</v>
      </c>
      <c r="L68" s="54">
        <f>_xll.EQNXTDZ($A$1,$B68,L$5,$B$1)</f>
        <v>0</v>
      </c>
      <c r="M68" s="54">
        <f>_xll.EQNXTDZ($A$1,$B68,M$5,$B$1)</f>
        <v>0</v>
      </c>
      <c r="N68" s="54">
        <f>_xll.EQNXTDZ($A$1,$B68,N$5,$B$1)</f>
        <v>0</v>
      </c>
      <c r="O68" s="54">
        <f>_xll.EQNXTDZ($A$1,$B68,O$5,$B$1)</f>
        <v>0</v>
      </c>
      <c r="P68" s="54">
        <f>_xll.EQNXTDZ($A$1,$B68,P$5,$B$1)</f>
        <v>0</v>
      </c>
      <c r="Q68" s="54">
        <f>_xll.EQNXTDZ($A$1,$B68,Q$5,$B$1)</f>
        <v>3533.4789999999998</v>
      </c>
      <c r="R68" s="54">
        <f>_xll.EQNXTDZ($A$1,$B68,R$5,$B$1)</f>
        <v>0</v>
      </c>
      <c r="S68" s="54">
        <f>_xll.EQNXTDZ($A$1,$B68,S$5,$B$1)</f>
        <v>0</v>
      </c>
      <c r="T68" s="54">
        <f>_xll.EQNXTDZ($A$1,$B68,T$5,$B$1)</f>
        <v>0</v>
      </c>
      <c r="U68" s="54">
        <f>_xll.EQNXTDZ($A$1,$B68,U$5,$B$1)</f>
        <v>3845.7190000000001</v>
      </c>
      <c r="V68" s="54">
        <f>_xll.EQNXTDZ($A$1,$B68,V$5,$B$1)</f>
        <v>0</v>
      </c>
      <c r="W68" s="54">
        <f>_xll.EQNXTDZ($A$1,$B68,W$5,$B$1)</f>
        <v>3936.2109999999998</v>
      </c>
      <c r="X68" s="54">
        <f>_xll.EQNXTDZ($A$1,$B68,X$5,$B$1)</f>
        <v>0</v>
      </c>
      <c r="Y68" s="54">
        <f>_xll.EQNXTDZ($A$1,$B68,Y$5,$B$1)</f>
        <v>3978.5810000000001</v>
      </c>
      <c r="Z68" s="54">
        <f>_xll.EQNXTDZ($A$1,$B68,Z$5,$B$1)</f>
        <v>0</v>
      </c>
      <c r="AA68" s="54">
        <f>_xll.EQNXTDZ($A$1,$B68,AA$5,$B$1)</f>
        <v>4354.53</v>
      </c>
      <c r="AB68" s="54">
        <f>_xll.EQNXTDZ($A$1,$B68,AB$5,$B$1)</f>
        <v>0</v>
      </c>
      <c r="AC68" s="54">
        <f>_xll.EQNXTDZ($A$1,$B68,AC$5,$B$1)</f>
        <v>4385.0339999999997</v>
      </c>
      <c r="AD68" s="54">
        <f>_xll.EQNXTDZ($A$1,$B68,AD$5,$B$1)</f>
        <v>0</v>
      </c>
      <c r="AE68" s="54">
        <f>_xll.EQNXTDZ($A$1,$B68,AE$5,$B$1)</f>
        <v>6511.7150000000001</v>
      </c>
      <c r="AF68" s="54">
        <f>_xll.EQNXTDZ($A$1,$B68,AF$5,$B$1)</f>
        <v>0</v>
      </c>
      <c r="AG68" s="54">
        <f>_xll.EQNXTDZ($A$1,$B68,AG$5,$B$1)</f>
        <v>6454.8130000000001</v>
      </c>
      <c r="AH68" s="54">
        <f>_xll.EQNXTDZ($A$1,$B68,AH$5,$B$1)</f>
        <v>0</v>
      </c>
      <c r="AI68" s="54">
        <f>_xll.EQNXTDZ($A$1,$B68,AI$5,$B$1)</f>
        <v>6439.0510000000004</v>
      </c>
      <c r="AJ68" s="54">
        <f>_xll.EQNXTDZ($A$1,$B68,AJ$5,$B$1)</f>
        <v>0</v>
      </c>
      <c r="AK68" s="54">
        <f>_xll.EQNXTDZ($A$1,$B68,AK$5,$B$1)</f>
        <v>6384.3890000000001</v>
      </c>
      <c r="AL68" s="54">
        <f>_xll.EQNXTDZ($A$1,$B68,AL$5,$B$1)</f>
        <v>0</v>
      </c>
      <c r="AM68" s="54">
        <f>_xll.EQNXTDZ($A$1,$B68,AM$5,$B$1)</f>
        <v>6314.8490000000002</v>
      </c>
      <c r="AN68" s="54">
        <f>_xll.EQNXTDZ($A$1,$B68,AN$5,$B$1)</f>
        <v>0</v>
      </c>
      <c r="AO68" s="54">
        <f>_xll.EQNXTDZ($A$1,$B68,AO$5,$B$1)</f>
        <v>5713.7460000000001</v>
      </c>
      <c r="AP68" s="54">
        <f>_xll.EQNXTDZ($A$1,$B68,AP$5,$B$1)</f>
        <v>0</v>
      </c>
      <c r="AQ68" s="54">
        <f>_xll.EQNXTDZ($A$1,$B68,AQ$5,$B$1)</f>
        <v>6012.7070000000003</v>
      </c>
      <c r="AR68" s="54">
        <f>_xll.EQNXTDZ($A$1,$B68,AR$5,$B$1)</f>
        <v>0</v>
      </c>
      <c r="AS68" s="54">
        <f>_xll.EQNXTDZ($A$1,$B68,AS$5,$B$1)</f>
        <v>5992.4880000000003</v>
      </c>
      <c r="AT68" s="54">
        <f>_xll.EQNXTDZ($A$1,$B68,AT$5,$B$1)</f>
        <v>0</v>
      </c>
      <c r="AU68" s="54">
        <f>_xll.EQNXTDZ($A$1,$B68,AU$5,$B$1)</f>
        <v>7534.6719999999996</v>
      </c>
      <c r="AV68" s="54">
        <f>_xll.EQNXTDZ($A$1,$B68,AV$5,$B$1)</f>
        <v>0</v>
      </c>
      <c r="AW68" s="54">
        <f>_xll.EQNXTDZ($A$1,$B68,AW$5,$B$1)</f>
        <v>7350.232</v>
      </c>
      <c r="AX68" s="54">
        <f>_xll.EQNXTDZ($A$1,$B68,AX$5,$B$1)</f>
        <v>0</v>
      </c>
      <c r="AY68" s="54">
        <f>_xll.EQNXTDZ($A$1,$B68,AY$5,$B$1)</f>
        <v>10293.299000000001</v>
      </c>
      <c r="AZ68" s="54">
        <f>_xll.EQNXTDZ($A$1,$B68,AZ$5,$B$1)</f>
        <v>0</v>
      </c>
      <c r="BA68" s="54">
        <f>_xll.EQNXTDZ($A$1,$B68,BA$5,$B$1)</f>
        <v>11742.046</v>
      </c>
      <c r="BB68" s="54">
        <f>_xll.EQNXTDZ($A$1,$B68,BB$5,$B$1)</f>
        <v>0</v>
      </c>
      <c r="BC68" s="54">
        <f>_xll.EQNXTDZ($A$1,$B68,BC$5,$B$1)</f>
        <v>13909.79</v>
      </c>
      <c r="BD68" s="54">
        <f>_xll.EQNXTDZ($A$1,$B68,BD$5,$B$1)</f>
        <v>0</v>
      </c>
      <c r="BE68" s="54">
        <f>_xll.EQNXTDZ($A$1,$B68,BE$5,$B$1)</f>
        <v>15040.15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0</v>
      </c>
      <c r="E71" s="54">
        <f>_xll.EQNXTDZ($A$1,$B71,E$5,$B$1)</f>
        <v>0</v>
      </c>
      <c r="F71" s="54">
        <f>_xll.EQNXTDZ($A$1,$B71,F$5,$B$1)</f>
        <v>0</v>
      </c>
      <c r="G71" s="54">
        <f>_xll.EQNXTDZ($A$1,$B71,G$5,$B$1)</f>
        <v>0</v>
      </c>
      <c r="H71" s="54">
        <f>_xll.EQNXTDZ($A$1,$B71,H$5,$B$1)</f>
        <v>0</v>
      </c>
      <c r="I71" s="54">
        <f>_xll.EQNXTDZ($A$1,$B71,I$5,$B$1)</f>
        <v>0</v>
      </c>
      <c r="J71" s="54">
        <f>_xll.EQNXTDZ($A$1,$B71,J$5,$B$1)</f>
        <v>0</v>
      </c>
      <c r="K71" s="54">
        <f>_xll.EQNXTDZ($A$1,$B71,K$5,$B$1)</f>
        <v>0</v>
      </c>
      <c r="L71" s="54">
        <f>_xll.EQNXTDZ($A$1,$B71,L$5,$B$1)</f>
        <v>0</v>
      </c>
      <c r="M71" s="54">
        <f>_xll.EQNXTDZ($A$1,$B71,M$5,$B$1)</f>
        <v>0</v>
      </c>
      <c r="N71" s="54">
        <f>_xll.EQNXTDZ($A$1,$B71,N$5,$B$1)</f>
        <v>0</v>
      </c>
      <c r="O71" s="54">
        <f>_xll.EQNXTDZ($A$1,$B71,O$5,$B$1)</f>
        <v>0</v>
      </c>
      <c r="P71" s="54">
        <f>_xll.EQNXTDZ($A$1,$B71,P$5,$B$1)</f>
        <v>0</v>
      </c>
      <c r="Q71" s="54">
        <f>_xll.EQNXTDZ($A$1,$B71,Q$5,$B$1)</f>
        <v>3533.4789999999998</v>
      </c>
      <c r="R71" s="54">
        <f>_xll.EQNXTDZ($A$1,$B71,R$5,$B$1)</f>
        <v>0</v>
      </c>
      <c r="S71" s="54">
        <f>_xll.EQNXTDZ($A$1,$B71,S$5,$B$1)</f>
        <v>0</v>
      </c>
      <c r="T71" s="54">
        <f>_xll.EQNXTDZ($A$1,$B71,T$5,$B$1)</f>
        <v>0</v>
      </c>
      <c r="U71" s="54">
        <f>_xll.EQNXTDZ($A$1,$B71,U$5,$B$1)</f>
        <v>3845.7190000000001</v>
      </c>
      <c r="V71" s="54">
        <f>_xll.EQNXTDZ($A$1,$B71,V$5,$B$1)</f>
        <v>0</v>
      </c>
      <c r="W71" s="54">
        <f>_xll.EQNXTDZ($A$1,$B71,W$5,$B$1)</f>
        <v>3936.2109999999998</v>
      </c>
      <c r="X71" s="54">
        <f>_xll.EQNXTDZ($A$1,$B71,X$5,$B$1)</f>
        <v>0</v>
      </c>
      <c r="Y71" s="54">
        <f>_xll.EQNXTDZ($A$1,$B71,Y$5,$B$1)</f>
        <v>3978.5810000000001</v>
      </c>
      <c r="Z71" s="54">
        <f>_xll.EQNXTDZ($A$1,$B71,Z$5,$B$1)</f>
        <v>0</v>
      </c>
      <c r="AA71" s="54">
        <f>_xll.EQNXTDZ($A$1,$B71,AA$5,$B$1)</f>
        <v>4354.53</v>
      </c>
      <c r="AB71" s="54">
        <f>_xll.EQNXTDZ($A$1,$B71,AB$5,$B$1)</f>
        <v>0</v>
      </c>
      <c r="AC71" s="54">
        <f>_xll.EQNXTDZ($A$1,$B71,AC$5,$B$1)</f>
        <v>4385.0339999999997</v>
      </c>
      <c r="AD71" s="54">
        <f>_xll.EQNXTDZ($A$1,$B71,AD$5,$B$1)</f>
        <v>0</v>
      </c>
      <c r="AE71" s="54">
        <f>_xll.EQNXTDZ($A$1,$B71,AE$5,$B$1)</f>
        <v>6511.7150000000001</v>
      </c>
      <c r="AF71" s="54">
        <f>_xll.EQNXTDZ($A$1,$B71,AF$5,$B$1)</f>
        <v>0</v>
      </c>
      <c r="AG71" s="54">
        <f>_xll.EQNXTDZ($A$1,$B71,AG$5,$B$1)</f>
        <v>6454.8130000000001</v>
      </c>
      <c r="AH71" s="54">
        <f>_xll.EQNXTDZ($A$1,$B71,AH$5,$B$1)</f>
        <v>0</v>
      </c>
      <c r="AI71" s="54">
        <f>_xll.EQNXTDZ($A$1,$B71,AI$5,$B$1)</f>
        <v>6439.0510000000004</v>
      </c>
      <c r="AJ71" s="54">
        <f>_xll.EQNXTDZ($A$1,$B71,AJ$5,$B$1)</f>
        <v>0</v>
      </c>
      <c r="AK71" s="54">
        <f>_xll.EQNXTDZ($A$1,$B71,AK$5,$B$1)</f>
        <v>6384.3890000000001</v>
      </c>
      <c r="AL71" s="54">
        <f>_xll.EQNXTDZ($A$1,$B71,AL$5,$B$1)</f>
        <v>0</v>
      </c>
      <c r="AM71" s="54">
        <f>_xll.EQNXTDZ($A$1,$B71,AM$5,$B$1)</f>
        <v>6314.8490000000002</v>
      </c>
      <c r="AN71" s="54">
        <f>_xll.EQNXTDZ($A$1,$B71,AN$5,$B$1)</f>
        <v>0</v>
      </c>
      <c r="AO71" s="54">
        <f>_xll.EQNXTDZ($A$1,$B71,AO$5,$B$1)</f>
        <v>5713.7460000000001</v>
      </c>
      <c r="AP71" s="54">
        <f>_xll.EQNXTDZ($A$1,$B71,AP$5,$B$1)</f>
        <v>0</v>
      </c>
      <c r="AQ71" s="54">
        <f>_xll.EQNXTDZ($A$1,$B71,AQ$5,$B$1)</f>
        <v>6012.7070000000003</v>
      </c>
      <c r="AR71" s="54">
        <f>_xll.EQNXTDZ($A$1,$B71,AR$5,$B$1)</f>
        <v>0</v>
      </c>
      <c r="AS71" s="54">
        <f>_xll.EQNXTDZ($A$1,$B71,AS$5,$B$1)</f>
        <v>5992.4880000000003</v>
      </c>
      <c r="AT71" s="54">
        <f>_xll.EQNXTDZ($A$1,$B71,AT$5,$B$1)</f>
        <v>0</v>
      </c>
      <c r="AU71" s="54">
        <f>_xll.EQNXTDZ($A$1,$B71,AU$5,$B$1)</f>
        <v>7534.6719999999996</v>
      </c>
      <c r="AV71" s="54">
        <f>_xll.EQNXTDZ($A$1,$B71,AV$5,$B$1)</f>
        <v>0</v>
      </c>
      <c r="AW71" s="54">
        <f>_xll.EQNXTDZ($A$1,$B71,AW$5,$B$1)</f>
        <v>7350.232</v>
      </c>
      <c r="AX71" s="54">
        <f>_xll.EQNXTDZ($A$1,$B71,AX$5,$B$1)</f>
        <v>0</v>
      </c>
      <c r="AY71" s="54">
        <f>_xll.EQNXTDZ($A$1,$B71,AY$5,$B$1)</f>
        <v>10293.299000000001</v>
      </c>
      <c r="AZ71" s="54">
        <f>_xll.EQNXTDZ($A$1,$B71,AZ$5,$B$1)</f>
        <v>0</v>
      </c>
      <c r="BA71" s="54">
        <f>_xll.EQNXTDZ($A$1,$B71,BA$5,$B$1)</f>
        <v>11742.046</v>
      </c>
      <c r="BB71" s="54">
        <f>_xll.EQNXTDZ($A$1,$B71,BB$5,$B$1)</f>
        <v>0</v>
      </c>
      <c r="BC71" s="54">
        <f>_xll.EQNXTDZ($A$1,$B71,BC$5,$B$1)</f>
        <v>13909.79</v>
      </c>
      <c r="BD71" s="54">
        <f>_xll.EQNXTDZ($A$1,$B71,BD$5,$B$1)</f>
        <v>0</v>
      </c>
      <c r="BE71" s="54">
        <f>_xll.EQNXTDZ($A$1,$B71,BE$5,$B$1)</f>
        <v>15040.15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213.208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1.94</v>
      </c>
      <c r="Z72" s="54">
        <f>_xll.EQNXTDZ($A$1,$B72,Z$5,$B$1)</f>
        <v>0</v>
      </c>
      <c r="AA72" s="54">
        <f>_xll.EQNXTDZ($A$1,$B72,AA$5,$B$1)</f>
        <v>3.06</v>
      </c>
      <c r="AB72" s="54">
        <f>_xll.EQNXTDZ($A$1,$B72,AB$5,$B$1)</f>
        <v>0</v>
      </c>
      <c r="AC72" s="54">
        <f>_xll.EQNXTDZ($A$1,$B72,AC$5,$B$1)</f>
        <v>1.94</v>
      </c>
      <c r="AD72" s="54">
        <f>_xll.EQNXTDZ($A$1,$B72,AD$5,$B$1)</f>
        <v>0</v>
      </c>
      <c r="AE72" s="54">
        <f>_xll.EQNXTDZ($A$1,$B72,AE$5,$B$1)</f>
        <v>1.94</v>
      </c>
      <c r="AF72" s="54">
        <f>_xll.EQNXTDZ($A$1,$B72,AF$5,$B$1)</f>
        <v>0</v>
      </c>
      <c r="AG72" s="54">
        <f>_xll.EQNXTDZ($A$1,$B72,AG$5,$B$1)</f>
        <v>24.23</v>
      </c>
      <c r="AH72" s="54">
        <f>_xll.EQNXTDZ($A$1,$B72,AH$5,$B$1)</f>
        <v>0</v>
      </c>
      <c r="AI72" s="54">
        <f>_xll.EQNXTDZ($A$1,$B72,AI$5,$B$1)</f>
        <v>24.23</v>
      </c>
      <c r="AJ72" s="54">
        <f>_xll.EQNXTDZ($A$1,$B72,AJ$5,$B$1)</f>
        <v>0</v>
      </c>
      <c r="AK72" s="54">
        <f>_xll.EQNXTDZ($A$1,$B72,AK$5,$B$1)</f>
        <v>24.23</v>
      </c>
      <c r="AL72" s="54">
        <f>_xll.EQNXTDZ($A$1,$B72,AL$5,$B$1)</f>
        <v>0</v>
      </c>
      <c r="AM72" s="54">
        <f>_xll.EQNXTDZ($A$1,$B72,AM$5,$B$1)</f>
        <v>24.23</v>
      </c>
      <c r="AN72" s="54">
        <f>_xll.EQNXTDZ($A$1,$B72,AN$5,$B$1)</f>
        <v>0</v>
      </c>
      <c r="AO72" s="54">
        <f>_xll.EQNXTDZ($A$1,$B72,AO$5,$B$1)</f>
        <v>24.23</v>
      </c>
      <c r="AP72" s="54">
        <f>_xll.EQNXTDZ($A$1,$B72,AP$5,$B$1)</f>
        <v>0</v>
      </c>
      <c r="AQ72" s="54">
        <f>_xll.EQNXTDZ($A$1,$B72,AQ$5,$B$1)</f>
        <v>24.23</v>
      </c>
      <c r="AR72" s="54">
        <f>_xll.EQNXTDZ($A$1,$B72,AR$5,$B$1)</f>
        <v>0</v>
      </c>
      <c r="AS72" s="54">
        <f>_xll.EQNXTDZ($A$1,$B72,AS$5,$B$1)</f>
        <v>24.23</v>
      </c>
      <c r="AT72" s="54">
        <f>_xll.EQNXTDZ($A$1,$B72,AT$5,$B$1)</f>
        <v>0</v>
      </c>
      <c r="AU72" s="54">
        <f>_xll.EQNXTDZ($A$1,$B72,AU$5,$B$1)</f>
        <v>24.23</v>
      </c>
      <c r="AV72" s="54">
        <f>_xll.EQNXTDZ($A$1,$B72,AV$5,$B$1)</f>
        <v>0</v>
      </c>
      <c r="AW72" s="54">
        <f>_xll.EQNXTDZ($A$1,$B72,AW$5,$B$1)</f>
        <v>24.23</v>
      </c>
      <c r="AX72" s="54">
        <f>_xll.EQNXTDZ($A$1,$B72,AX$5,$B$1)</f>
        <v>0</v>
      </c>
      <c r="AY72" s="54">
        <f>_xll.EQNXTDZ($A$1,$B72,AY$5,$B$1)</f>
        <v>693.12400000000002</v>
      </c>
      <c r="AZ72" s="54">
        <f>_xll.EQNXTDZ($A$1,$B72,AZ$5,$B$1)</f>
        <v>0</v>
      </c>
      <c r="BA72" s="54">
        <f>_xll.EQNXTDZ($A$1,$B72,BA$5,$B$1)</f>
        <v>300.93700000000001</v>
      </c>
      <c r="BB72" s="54">
        <f>_xll.EQNXTDZ($A$1,$B72,BB$5,$B$1)</f>
        <v>0</v>
      </c>
      <c r="BC72" s="54">
        <f>_xll.EQNXTDZ($A$1,$B72,BC$5,$B$1)</f>
        <v>317.81</v>
      </c>
      <c r="BD72" s="54">
        <f>_xll.EQNXTDZ($A$1,$B72,BD$5,$B$1)</f>
        <v>0</v>
      </c>
      <c r="BE72" s="54">
        <f>_xll.EQNXTDZ($A$1,$B72,BE$5,$B$1)</f>
        <v>354.21300000000002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108.06100000000001</v>
      </c>
      <c r="X74" s="54">
        <f>_xll.EQNXTDZ($A$1,$B74,X$5,$B$1)</f>
        <v>0</v>
      </c>
      <c r="Y74" s="54">
        <f>_xll.EQNXTDZ($A$1,$B74,Y$5,$B$1)</f>
        <v>145.43799999999999</v>
      </c>
      <c r="Z74" s="54">
        <f>_xll.EQNXTDZ($A$1,$B74,Z$5,$B$1)</f>
        <v>0</v>
      </c>
      <c r="AA74" s="54">
        <f>_xll.EQNXTDZ($A$1,$B74,AA$5,$B$1)</f>
        <v>48.234999999999999</v>
      </c>
      <c r="AB74" s="54">
        <f>_xll.EQNXTDZ($A$1,$B74,AB$5,$B$1)</f>
        <v>0</v>
      </c>
      <c r="AC74" s="54">
        <f>_xll.EQNXTDZ($A$1,$B74,AC$5,$B$1)</f>
        <v>352.35700000000003</v>
      </c>
      <c r="AD74" s="54">
        <f>_xll.EQNXTDZ($A$1,$B74,AD$5,$B$1)</f>
        <v>0</v>
      </c>
      <c r="AE74" s="54">
        <f>_xll.EQNXTDZ($A$1,$B74,AE$5,$B$1)</f>
        <v>63.741</v>
      </c>
      <c r="AF74" s="54">
        <f>_xll.EQNXTDZ($A$1,$B74,AF$5,$B$1)</f>
        <v>0</v>
      </c>
      <c r="AG74" s="54">
        <f>_xll.EQNXTDZ($A$1,$B74,AG$5,$B$1)</f>
        <v>63.823999999999998</v>
      </c>
      <c r="AH74" s="54">
        <f>_xll.EQNXTDZ($A$1,$B74,AH$5,$B$1)</f>
        <v>0</v>
      </c>
      <c r="AI74" s="54">
        <f>_xll.EQNXTDZ($A$1,$B74,AI$5,$B$1)</f>
        <v>66.986000000000004</v>
      </c>
      <c r="AJ74" s="54">
        <f>_xll.EQNXTDZ($A$1,$B74,AJ$5,$B$1)</f>
        <v>0</v>
      </c>
      <c r="AK74" s="54">
        <f>_xll.EQNXTDZ($A$1,$B74,AK$5,$B$1)</f>
        <v>66.814999999999998</v>
      </c>
      <c r="AL74" s="54">
        <f>_xll.EQNXTDZ($A$1,$B74,AL$5,$B$1)</f>
        <v>0</v>
      </c>
      <c r="AM74" s="54">
        <f>_xll.EQNXTDZ($A$1,$B74,AM$5,$B$1)</f>
        <v>134.483</v>
      </c>
      <c r="AN74" s="54">
        <f>_xll.EQNXTDZ($A$1,$B74,AN$5,$B$1)</f>
        <v>0</v>
      </c>
      <c r="AO74" s="54">
        <f>_xll.EQNXTDZ($A$1,$B74,AO$5,$B$1)</f>
        <v>496.608</v>
      </c>
      <c r="AP74" s="54">
        <f>_xll.EQNXTDZ($A$1,$B74,AP$5,$B$1)</f>
        <v>0</v>
      </c>
      <c r="AQ74" s="54">
        <f>_xll.EQNXTDZ($A$1,$B74,AQ$5,$B$1)</f>
        <v>145.63800000000001</v>
      </c>
      <c r="AR74" s="54">
        <f>_xll.EQNXTDZ($A$1,$B74,AR$5,$B$1)</f>
        <v>0</v>
      </c>
      <c r="AS74" s="54">
        <f>_xll.EQNXTDZ($A$1,$B74,AS$5,$B$1)</f>
        <v>606.63199999999995</v>
      </c>
      <c r="AT74" s="54">
        <f>_xll.EQNXTDZ($A$1,$B74,AT$5,$B$1)</f>
        <v>0</v>
      </c>
      <c r="AU74" s="54">
        <f>_xll.EQNXTDZ($A$1,$B74,AU$5,$B$1)</f>
        <v>531.23800000000006</v>
      </c>
      <c r="AV74" s="54">
        <f>_xll.EQNXTDZ($A$1,$B74,AV$5,$B$1)</f>
        <v>0</v>
      </c>
      <c r="AW74" s="54">
        <f>_xll.EQNXTDZ($A$1,$B74,AW$5,$B$1)</f>
        <v>1922.222</v>
      </c>
      <c r="AX74" s="54">
        <f>_xll.EQNXTDZ($A$1,$B74,AX$5,$B$1)</f>
        <v>0</v>
      </c>
      <c r="AY74" s="54">
        <f>_xll.EQNXTDZ($A$1,$B74,AY$5,$B$1)</f>
        <v>942.08500000000004</v>
      </c>
      <c r="AZ74" s="54">
        <f>_xll.EQNXTDZ($A$1,$B74,AZ$5,$B$1)</f>
        <v>0</v>
      </c>
      <c r="BA74" s="54">
        <f>_xll.EQNXTDZ($A$1,$B74,BA$5,$B$1)</f>
        <v>1162.3430000000001</v>
      </c>
      <c r="BB74" s="54">
        <f>_xll.EQNXTDZ($A$1,$B74,BB$5,$B$1)</f>
        <v>0</v>
      </c>
      <c r="BC74" s="54">
        <f>_xll.EQNXTDZ($A$1,$B74,BC$5,$B$1)</f>
        <v>590.73900000000003</v>
      </c>
      <c r="BD74" s="54">
        <f>_xll.EQNXTDZ($A$1,$B74,BD$5,$B$1)</f>
        <v>0</v>
      </c>
      <c r="BE74" s="54">
        <f>_xll.EQNXTDZ($A$1,$B74,BE$5,$B$1)</f>
        <v>266.30399999999997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3.2730000000000001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5.6189999999999998</v>
      </c>
      <c r="V77" s="54">
        <f>_xll.EQNXTDZ($A$1,$B77,V$5,$B$1)</f>
        <v>0</v>
      </c>
      <c r="W77" s="54">
        <f>_xll.EQNXTDZ($A$1,$B77,W$5,$B$1)</f>
        <v>7.6680000000000001</v>
      </c>
      <c r="X77" s="54">
        <f>_xll.EQNXTDZ($A$1,$B77,X$5,$B$1)</f>
        <v>0</v>
      </c>
      <c r="Y77" s="54">
        <f>_xll.EQNXTDZ($A$1,$B77,Y$5,$B$1)</f>
        <v>8.2270000000000003</v>
      </c>
      <c r="Z77" s="54">
        <f>_xll.EQNXTDZ($A$1,$B77,Z$5,$B$1)</f>
        <v>0</v>
      </c>
      <c r="AA77" s="54">
        <f>_xll.EQNXTDZ($A$1,$B77,AA$5,$B$1)</f>
        <v>9.9860000000000007</v>
      </c>
      <c r="AB77" s="54">
        <f>_xll.EQNXTDZ($A$1,$B77,AB$5,$B$1)</f>
        <v>0</v>
      </c>
      <c r="AC77" s="54">
        <f>_xll.EQNXTDZ($A$1,$B77,AC$5,$B$1)</f>
        <v>11.244</v>
      </c>
      <c r="AD77" s="54">
        <f>_xll.EQNXTDZ($A$1,$B77,AD$5,$B$1)</f>
        <v>0</v>
      </c>
      <c r="AE77" s="54">
        <f>_xll.EQNXTDZ($A$1,$B77,AE$5,$B$1)</f>
        <v>13.347</v>
      </c>
      <c r="AF77" s="54">
        <f>_xll.EQNXTDZ($A$1,$B77,AF$5,$B$1)</f>
        <v>0</v>
      </c>
      <c r="AG77" s="54">
        <f>_xll.EQNXTDZ($A$1,$B77,AG$5,$B$1)</f>
        <v>1E-3</v>
      </c>
      <c r="AH77" s="54">
        <f>_xll.EQNXTDZ($A$1,$B77,AH$5,$B$1)</f>
        <v>0</v>
      </c>
      <c r="AI77" s="54">
        <f>_xll.EQNXTDZ($A$1,$B77,AI$5,$B$1)</f>
        <v>1E-3</v>
      </c>
      <c r="AJ77" s="54">
        <f>_xll.EQNXTDZ($A$1,$B77,AJ$5,$B$1)</f>
        <v>0</v>
      </c>
      <c r="AK77" s="54">
        <f>_xll.EQNXTDZ($A$1,$B77,AK$5,$B$1)</f>
        <v>1E-3</v>
      </c>
      <c r="AL77" s="54">
        <f>_xll.EQNXTDZ($A$1,$B77,AL$5,$B$1)</f>
        <v>0</v>
      </c>
      <c r="AM77" s="54">
        <f>_xll.EQNXTDZ($A$1,$B77,AM$5,$B$1)</f>
        <v>1E-3</v>
      </c>
      <c r="AN77" s="54">
        <f>_xll.EQNXTDZ($A$1,$B77,AN$5,$B$1)</f>
        <v>0</v>
      </c>
      <c r="AO77" s="54">
        <f>_xll.EQNXTDZ($A$1,$B77,AO$5,$B$1)</f>
        <v>1E-3</v>
      </c>
      <c r="AP77" s="54">
        <f>_xll.EQNXTDZ($A$1,$B77,AP$5,$B$1)</f>
        <v>0</v>
      </c>
      <c r="AQ77" s="54">
        <f>_xll.EQNXTDZ($A$1,$B77,AQ$5,$B$1)</f>
        <v>1E-3</v>
      </c>
      <c r="AR77" s="54">
        <f>_xll.EQNXTDZ($A$1,$B77,AR$5,$B$1)</f>
        <v>0</v>
      </c>
      <c r="AS77" s="54">
        <f>_xll.EQNXTDZ($A$1,$B77,AS$5,$B$1)</f>
        <v>5.0000000000000001E-3</v>
      </c>
      <c r="AT77" s="54">
        <f>_xll.EQNXTDZ($A$1,$B77,AT$5,$B$1)</f>
        <v>0</v>
      </c>
      <c r="AU77" s="54">
        <f>_xll.EQNXTDZ($A$1,$B77,AU$5,$B$1)</f>
        <v>10.303000000000001</v>
      </c>
      <c r="AV77" s="54">
        <f>_xll.EQNXTDZ($A$1,$B77,AV$5,$B$1)</f>
        <v>0</v>
      </c>
      <c r="AW77" s="54">
        <f>_xll.EQNXTDZ($A$1,$B77,AW$5,$B$1)</f>
        <v>21.082999999999998</v>
      </c>
      <c r="AX77" s="54">
        <f>_xll.EQNXTDZ($A$1,$B77,AX$5,$B$1)</f>
        <v>0</v>
      </c>
      <c r="AY77" s="54">
        <f>_xll.EQNXTDZ($A$1,$B77,AY$5,$B$1)</f>
        <v>44.298000000000002</v>
      </c>
      <c r="AZ77" s="54">
        <f>_xll.EQNXTDZ($A$1,$B77,AZ$5,$B$1)</f>
        <v>0</v>
      </c>
      <c r="BA77" s="54">
        <f>_xll.EQNXTDZ($A$1,$B77,BA$5,$B$1)</f>
        <v>59.502000000000002</v>
      </c>
      <c r="BB77" s="54">
        <f>_xll.EQNXTDZ($A$1,$B77,BB$5,$B$1)</f>
        <v>0</v>
      </c>
      <c r="BC77" s="54">
        <f>_xll.EQNXTDZ($A$1,$B77,BC$5,$B$1)</f>
        <v>135.048</v>
      </c>
      <c r="BD77" s="54">
        <f>_xll.EQNXTDZ($A$1,$B77,BD$5,$B$1)</f>
        <v>0</v>
      </c>
      <c r="BE77" s="54">
        <f>_xll.EQNXTDZ($A$1,$B77,BE$5,$B$1)</f>
        <v>174.27799999999999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0</v>
      </c>
      <c r="E78" s="54">
        <f>_xll.EQNXTDZ($A$1,$B78,E$5,$B$1)</f>
        <v>0</v>
      </c>
      <c r="F78" s="54">
        <f>_xll.EQNXTDZ($A$1,$B78,F$5,$B$1)</f>
        <v>0</v>
      </c>
      <c r="G78" s="54">
        <f>_xll.EQNXTDZ($A$1,$B78,G$5,$B$1)</f>
        <v>0</v>
      </c>
      <c r="H78" s="54">
        <f>_xll.EQNXTDZ($A$1,$B78,H$5,$B$1)</f>
        <v>0</v>
      </c>
      <c r="I78" s="54">
        <f>_xll.EQNXTDZ($A$1,$B78,I$5,$B$1)</f>
        <v>0</v>
      </c>
      <c r="J78" s="54">
        <f>_xll.EQNXTDZ($A$1,$B78,J$5,$B$1)</f>
        <v>0</v>
      </c>
      <c r="K78" s="54">
        <f>_xll.EQNXTDZ($A$1,$B78,K$5,$B$1)</f>
        <v>0</v>
      </c>
      <c r="L78" s="54">
        <f>_xll.EQNXTDZ($A$1,$B78,L$5,$B$1)</f>
        <v>0</v>
      </c>
      <c r="M78" s="54">
        <f>_xll.EQNXTDZ($A$1,$B78,M$5,$B$1)</f>
        <v>0</v>
      </c>
      <c r="N78" s="54">
        <f>_xll.EQNXTDZ($A$1,$B78,N$5,$B$1)</f>
        <v>0</v>
      </c>
      <c r="O78" s="54">
        <f>_xll.EQNXTDZ($A$1,$B78,O$5,$B$1)</f>
        <v>0</v>
      </c>
      <c r="P78" s="54">
        <f>_xll.EQNXTDZ($A$1,$B78,P$5,$B$1)</f>
        <v>0</v>
      </c>
      <c r="Q78" s="54">
        <f>_xll.EQNXTDZ($A$1,$B78,Q$5,$B$1)</f>
        <v>159.27699999999999</v>
      </c>
      <c r="R78" s="54">
        <f>_xll.EQNXTDZ($A$1,$B78,R$5,$B$1)</f>
        <v>0</v>
      </c>
      <c r="S78" s="54">
        <f>_xll.EQNXTDZ($A$1,$B78,S$5,$B$1)</f>
        <v>0</v>
      </c>
      <c r="T78" s="54">
        <f>_xll.EQNXTDZ($A$1,$B78,T$5,$B$1)</f>
        <v>0</v>
      </c>
      <c r="U78" s="54">
        <f>_xll.EQNXTDZ($A$1,$B78,U$5,$B$1)</f>
        <v>279.07600000000002</v>
      </c>
      <c r="V78" s="54">
        <f>_xll.EQNXTDZ($A$1,$B78,V$5,$B$1)</f>
        <v>0</v>
      </c>
      <c r="W78" s="54">
        <f>_xll.EQNXTDZ($A$1,$B78,W$5,$B$1)</f>
        <v>11.305999999999999</v>
      </c>
      <c r="X78" s="54">
        <f>_xll.EQNXTDZ($A$1,$B78,X$5,$B$1)</f>
        <v>0</v>
      </c>
      <c r="Y78" s="54">
        <f>_xll.EQNXTDZ($A$1,$B78,Y$5,$B$1)</f>
        <v>19.315999999999999</v>
      </c>
      <c r="Z78" s="54">
        <f>_xll.EQNXTDZ($A$1,$B78,Z$5,$B$1)</f>
        <v>0</v>
      </c>
      <c r="AA78" s="54">
        <f>_xll.EQNXTDZ($A$1,$B78,AA$5,$B$1)</f>
        <v>20.603000000000002</v>
      </c>
      <c r="AB78" s="54">
        <f>_xll.EQNXTDZ($A$1,$B78,AB$5,$B$1)</f>
        <v>0</v>
      </c>
      <c r="AC78" s="54">
        <f>_xll.EQNXTDZ($A$1,$B78,AC$5,$B$1)</f>
        <v>20.091999999999999</v>
      </c>
      <c r="AD78" s="54">
        <f>_xll.EQNXTDZ($A$1,$B78,AD$5,$B$1)</f>
        <v>0</v>
      </c>
      <c r="AE78" s="54">
        <f>_xll.EQNXTDZ($A$1,$B78,AE$5,$B$1)</f>
        <v>55.500999999999998</v>
      </c>
      <c r="AF78" s="54">
        <f>_xll.EQNXTDZ($A$1,$B78,AF$5,$B$1)</f>
        <v>0</v>
      </c>
      <c r="AG78" s="54">
        <f>_xll.EQNXTDZ($A$1,$B78,AG$5,$B$1)</f>
        <v>44.548000000000002</v>
      </c>
      <c r="AH78" s="54">
        <f>_xll.EQNXTDZ($A$1,$B78,AH$5,$B$1)</f>
        <v>0</v>
      </c>
      <c r="AI78" s="54">
        <f>_xll.EQNXTDZ($A$1,$B78,AI$5,$B$1)</f>
        <v>40.79</v>
      </c>
      <c r="AJ78" s="54">
        <f>_xll.EQNXTDZ($A$1,$B78,AJ$5,$B$1)</f>
        <v>0</v>
      </c>
      <c r="AK78" s="54">
        <f>_xll.EQNXTDZ($A$1,$B78,AK$5,$B$1)</f>
        <v>41.789000000000001</v>
      </c>
      <c r="AL78" s="54">
        <f>_xll.EQNXTDZ($A$1,$B78,AL$5,$B$1)</f>
        <v>0</v>
      </c>
      <c r="AM78" s="54">
        <f>_xll.EQNXTDZ($A$1,$B78,AM$5,$B$1)</f>
        <v>41.680999999999997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22.064</v>
      </c>
      <c r="AZ78" s="54">
        <f>_xll.EQNXTDZ($A$1,$B78,AZ$5,$B$1)</f>
        <v>0</v>
      </c>
      <c r="BA78" s="54">
        <f>_xll.EQNXTDZ($A$1,$B78,BA$5,$B$1)</f>
        <v>21.887</v>
      </c>
      <c r="BB78" s="54">
        <f>_xll.EQNXTDZ($A$1,$B78,BB$5,$B$1)</f>
        <v>0</v>
      </c>
      <c r="BC78" s="54">
        <f>_xll.EQNXTDZ($A$1,$B78,BC$5,$B$1)</f>
        <v>23.225000000000001</v>
      </c>
      <c r="BD78" s="54">
        <f>_xll.EQNXTDZ($A$1,$B78,BD$5,$B$1)</f>
        <v>0</v>
      </c>
      <c r="BE78" s="54">
        <f>_xll.EQNXTDZ($A$1,$B78,BE$5,$B$1)</f>
        <v>26.100999999999999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5.0119999999999996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4.2990000000000004</v>
      </c>
      <c r="V79" s="54">
        <f>_xll.EQNXTDZ($A$1,$B79,V$5,$B$1)</f>
        <v>0</v>
      </c>
      <c r="W79" s="54">
        <f>_xll.EQNXTDZ($A$1,$B79,W$5,$B$1)</f>
        <v>106.373</v>
      </c>
      <c r="X79" s="54">
        <f>_xll.EQNXTDZ($A$1,$B79,X$5,$B$1)</f>
        <v>0</v>
      </c>
      <c r="Y79" s="54">
        <f>_xll.EQNXTDZ($A$1,$B79,Y$5,$B$1)</f>
        <v>153.48099999999999</v>
      </c>
      <c r="Z79" s="54">
        <f>_xll.EQNXTDZ($A$1,$B79,Z$5,$B$1)</f>
        <v>0</v>
      </c>
      <c r="AA79" s="54">
        <f>_xll.EQNXTDZ($A$1,$B79,AA$5,$B$1)</f>
        <v>116.556</v>
      </c>
      <c r="AB79" s="54">
        <f>_xll.EQNXTDZ($A$1,$B79,AB$5,$B$1)</f>
        <v>0</v>
      </c>
      <c r="AC79" s="54">
        <f>_xll.EQNXTDZ($A$1,$B79,AC$5,$B$1)</f>
        <v>86.593999999999994</v>
      </c>
      <c r="AD79" s="54">
        <f>_xll.EQNXTDZ($A$1,$B79,AD$5,$B$1)</f>
        <v>0</v>
      </c>
      <c r="AE79" s="54">
        <f>_xll.EQNXTDZ($A$1,$B79,AE$5,$B$1)</f>
        <v>87.92</v>
      </c>
      <c r="AF79" s="54">
        <f>_xll.EQNXTDZ($A$1,$B79,AF$5,$B$1)</f>
        <v>0</v>
      </c>
      <c r="AG79" s="54">
        <f>_xll.EQNXTDZ($A$1,$B79,AG$5,$B$1)</f>
        <v>116.286</v>
      </c>
      <c r="AH79" s="54">
        <f>_xll.EQNXTDZ($A$1,$B79,AH$5,$B$1)</f>
        <v>0</v>
      </c>
      <c r="AI79" s="54">
        <f>_xll.EQNXTDZ($A$1,$B79,AI$5,$B$1)</f>
        <v>147.78</v>
      </c>
      <c r="AJ79" s="54">
        <f>_xll.EQNXTDZ($A$1,$B79,AJ$5,$B$1)</f>
        <v>0</v>
      </c>
      <c r="AK79" s="54">
        <f>_xll.EQNXTDZ($A$1,$B79,AK$5,$B$1)</f>
        <v>130.465</v>
      </c>
      <c r="AL79" s="54">
        <f>_xll.EQNXTDZ($A$1,$B79,AL$5,$B$1)</f>
        <v>0</v>
      </c>
      <c r="AM79" s="54">
        <f>_xll.EQNXTDZ($A$1,$B79,AM$5,$B$1)</f>
        <v>189.63300000000001</v>
      </c>
      <c r="AN79" s="54">
        <f>_xll.EQNXTDZ($A$1,$B79,AN$5,$B$1)</f>
        <v>0</v>
      </c>
      <c r="AO79" s="54">
        <f>_xll.EQNXTDZ($A$1,$B79,AO$5,$B$1)</f>
        <v>798.78499999999997</v>
      </c>
      <c r="AP79" s="54">
        <f>_xll.EQNXTDZ($A$1,$B79,AP$5,$B$1)</f>
        <v>0</v>
      </c>
      <c r="AQ79" s="54">
        <f>_xll.EQNXTDZ($A$1,$B79,AQ$5,$B$1)</f>
        <v>928.39599999999996</v>
      </c>
      <c r="AR79" s="54">
        <f>_xll.EQNXTDZ($A$1,$B79,AR$5,$B$1)</f>
        <v>0</v>
      </c>
      <c r="AS79" s="54">
        <f>_xll.EQNXTDZ($A$1,$B79,AS$5,$B$1)</f>
        <v>1590.8579999999999</v>
      </c>
      <c r="AT79" s="54">
        <f>_xll.EQNXTDZ($A$1,$B79,AT$5,$B$1)</f>
        <v>0</v>
      </c>
      <c r="AU79" s="54">
        <f>_xll.EQNXTDZ($A$1,$B79,AU$5,$B$1)</f>
        <v>1461.13</v>
      </c>
      <c r="AV79" s="54">
        <f>_xll.EQNXTDZ($A$1,$B79,AV$5,$B$1)</f>
        <v>0</v>
      </c>
      <c r="AW79" s="54">
        <f>_xll.EQNXTDZ($A$1,$B79,AW$5,$B$1)</f>
        <v>1633.7860000000001</v>
      </c>
      <c r="AX79" s="54">
        <f>_xll.EQNXTDZ($A$1,$B79,AX$5,$B$1)</f>
        <v>0</v>
      </c>
      <c r="AY79" s="54">
        <f>_xll.EQNXTDZ($A$1,$B79,AY$5,$B$1)</f>
        <v>1714.9770000000001</v>
      </c>
      <c r="AZ79" s="54">
        <f>_xll.EQNXTDZ($A$1,$B79,AZ$5,$B$1)</f>
        <v>0</v>
      </c>
      <c r="BA79" s="54">
        <f>_xll.EQNXTDZ($A$1,$B79,BA$5,$B$1)</f>
        <v>1973.59</v>
      </c>
      <c r="BB79" s="54">
        <f>_xll.EQNXTDZ($A$1,$B79,BB$5,$B$1)</f>
        <v>0</v>
      </c>
      <c r="BC79" s="54">
        <f>_xll.EQNXTDZ($A$1,$B79,BC$5,$B$1)</f>
        <v>1704.9749999999999</v>
      </c>
      <c r="BD79" s="54">
        <f>_xll.EQNXTDZ($A$1,$B79,BD$5,$B$1)</f>
        <v>0</v>
      </c>
      <c r="BE79" s="54">
        <f>_xll.EQNXTDZ($A$1,$B79,BE$5,$B$1)</f>
        <v>1790.2670000000001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1E-3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1E-3</v>
      </c>
      <c r="V80" s="54">
        <f>_xll.EQNXTDZ($A$1,$B80,V$5,$B$1)</f>
        <v>0</v>
      </c>
      <c r="W80" s="54">
        <f>_xll.EQNXTDZ($A$1,$B80,W$5,$B$1)</f>
        <v>1E-3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424.661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489.92500000000001</v>
      </c>
      <c r="V81" s="54">
        <f>_xll.EQNXTDZ($A$1,$B81,V$5,$B$1)</f>
        <v>0</v>
      </c>
      <c r="W81" s="54">
        <f>_xll.EQNXTDZ($A$1,$B81,W$5,$B$1)</f>
        <v>496.69600000000003</v>
      </c>
      <c r="X81" s="54">
        <f>_xll.EQNXTDZ($A$1,$B81,X$5,$B$1)</f>
        <v>0</v>
      </c>
      <c r="Y81" s="54">
        <f>_xll.EQNXTDZ($A$1,$B81,Y$5,$B$1)</f>
        <v>438.89400000000001</v>
      </c>
      <c r="Z81" s="54">
        <f>_xll.EQNXTDZ($A$1,$B81,Z$5,$B$1)</f>
        <v>0</v>
      </c>
      <c r="AA81" s="54">
        <f>_xll.EQNXTDZ($A$1,$B81,AA$5,$B$1)</f>
        <v>565.125</v>
      </c>
      <c r="AB81" s="54">
        <f>_xll.EQNXTDZ($A$1,$B81,AB$5,$B$1)</f>
        <v>0</v>
      </c>
      <c r="AC81" s="54">
        <f>_xll.EQNXTDZ($A$1,$B81,AC$5,$B$1)</f>
        <v>578.39700000000005</v>
      </c>
      <c r="AD81" s="54">
        <f>_xll.EQNXTDZ($A$1,$B81,AD$5,$B$1)</f>
        <v>0</v>
      </c>
      <c r="AE81" s="54">
        <f>_xll.EQNXTDZ($A$1,$B81,AE$5,$B$1)</f>
        <v>806.95600000000002</v>
      </c>
      <c r="AF81" s="54">
        <f>_xll.EQNXTDZ($A$1,$B81,AF$5,$B$1)</f>
        <v>0</v>
      </c>
      <c r="AG81" s="54">
        <f>_xll.EQNXTDZ($A$1,$B81,AG$5,$B$1)</f>
        <v>881.51300000000003</v>
      </c>
      <c r="AH81" s="54">
        <f>_xll.EQNXTDZ($A$1,$B81,AH$5,$B$1)</f>
        <v>0</v>
      </c>
      <c r="AI81" s="54">
        <f>_xll.EQNXTDZ($A$1,$B81,AI$5,$B$1)</f>
        <v>984.52300000000002</v>
      </c>
      <c r="AJ81" s="54">
        <f>_xll.EQNXTDZ($A$1,$B81,AJ$5,$B$1)</f>
        <v>0</v>
      </c>
      <c r="AK81" s="54">
        <f>_xll.EQNXTDZ($A$1,$B81,AK$5,$B$1)</f>
        <v>928.80399999999997</v>
      </c>
      <c r="AL81" s="54">
        <f>_xll.EQNXTDZ($A$1,$B81,AL$5,$B$1)</f>
        <v>0</v>
      </c>
      <c r="AM81" s="54">
        <f>_xll.EQNXTDZ($A$1,$B81,AM$5,$B$1)</f>
        <v>1274.693</v>
      </c>
      <c r="AN81" s="54">
        <f>_xll.EQNXTDZ($A$1,$B81,AN$5,$B$1)</f>
        <v>0</v>
      </c>
      <c r="AO81" s="54">
        <f>_xll.EQNXTDZ($A$1,$B81,AO$5,$B$1)</f>
        <v>1448.087</v>
      </c>
      <c r="AP81" s="54">
        <f>_xll.EQNXTDZ($A$1,$B81,AP$5,$B$1)</f>
        <v>0</v>
      </c>
      <c r="AQ81" s="54">
        <f>_xll.EQNXTDZ($A$1,$B81,AQ$5,$B$1)</f>
        <v>1795.2280000000001</v>
      </c>
      <c r="AR81" s="54">
        <f>_xll.EQNXTDZ($A$1,$B81,AR$5,$B$1)</f>
        <v>0</v>
      </c>
      <c r="AS81" s="54">
        <f>_xll.EQNXTDZ($A$1,$B81,AS$5,$B$1)</f>
        <v>1993.885</v>
      </c>
      <c r="AT81" s="54">
        <f>_xll.EQNXTDZ($A$1,$B81,AT$5,$B$1)</f>
        <v>0</v>
      </c>
      <c r="AU81" s="54">
        <f>_xll.EQNXTDZ($A$1,$B81,AU$5,$B$1)</f>
        <v>2090.7240000000002</v>
      </c>
      <c r="AV81" s="54">
        <f>_xll.EQNXTDZ($A$1,$B81,AV$5,$B$1)</f>
        <v>0</v>
      </c>
      <c r="AW81" s="54">
        <f>_xll.EQNXTDZ($A$1,$B81,AW$5,$B$1)</f>
        <v>2150.5329999999999</v>
      </c>
      <c r="AX81" s="54">
        <f>_xll.EQNXTDZ($A$1,$B81,AX$5,$B$1)</f>
        <v>0</v>
      </c>
      <c r="AY81" s="54">
        <f>_xll.EQNXTDZ($A$1,$B81,AY$5,$B$1)</f>
        <v>2796.018</v>
      </c>
      <c r="AZ81" s="54">
        <f>_xll.EQNXTDZ($A$1,$B81,AZ$5,$B$1)</f>
        <v>0</v>
      </c>
      <c r="BA81" s="54">
        <f>_xll.EQNXTDZ($A$1,$B81,BA$5,$B$1)</f>
        <v>2791.2339999999999</v>
      </c>
      <c r="BB81" s="54">
        <f>_xll.EQNXTDZ($A$1,$B81,BB$5,$B$1)</f>
        <v>0</v>
      </c>
      <c r="BC81" s="54">
        <f>_xll.EQNXTDZ($A$1,$B81,BC$5,$B$1)</f>
        <v>3073.3389999999999</v>
      </c>
      <c r="BD81" s="54">
        <f>_xll.EQNXTDZ($A$1,$B81,BD$5,$B$1)</f>
        <v>0</v>
      </c>
      <c r="BE81" s="54">
        <f>_xll.EQNXTDZ($A$1,$B81,BE$5,$B$1)</f>
        <v>2951.7890000000002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0</v>
      </c>
      <c r="E82" s="54">
        <f>_xll.EQNXTDZ($A$1,$B82,E$5,$B$1)</f>
        <v>0</v>
      </c>
      <c r="F82" s="54">
        <f>_xll.EQNXTDZ($A$1,$B82,F$5,$B$1)</f>
        <v>0</v>
      </c>
      <c r="G82" s="54">
        <f>_xll.EQNXTDZ($A$1,$B82,G$5,$B$1)</f>
        <v>0</v>
      </c>
      <c r="H82" s="54">
        <f>_xll.EQNXTDZ($A$1,$B82,H$5,$B$1)</f>
        <v>0</v>
      </c>
      <c r="I82" s="54">
        <f>_xll.EQNXTDZ($A$1,$B82,I$5,$B$1)</f>
        <v>0</v>
      </c>
      <c r="J82" s="54">
        <f>_xll.EQNXTDZ($A$1,$B82,J$5,$B$1)</f>
        <v>0</v>
      </c>
      <c r="K82" s="54">
        <f>_xll.EQNXTDZ($A$1,$B82,K$5,$B$1)</f>
        <v>0</v>
      </c>
      <c r="L82" s="54">
        <f>_xll.EQNXTDZ($A$1,$B82,L$5,$B$1)</f>
        <v>0</v>
      </c>
      <c r="M82" s="54">
        <f>_xll.EQNXTDZ($A$1,$B82,M$5,$B$1)</f>
        <v>0</v>
      </c>
      <c r="N82" s="54">
        <f>_xll.EQNXTDZ($A$1,$B82,N$5,$B$1)</f>
        <v>0</v>
      </c>
      <c r="O82" s="54">
        <f>_xll.EQNXTDZ($A$1,$B82,O$5,$B$1)</f>
        <v>0</v>
      </c>
      <c r="P82" s="54">
        <f>_xll.EQNXTDZ($A$1,$B82,P$5,$B$1)</f>
        <v>0</v>
      </c>
      <c r="Q82" s="54">
        <f>_xll.EQNXTDZ($A$1,$B82,Q$5,$B$1)</f>
        <v>97.91</v>
      </c>
      <c r="R82" s="54">
        <f>_xll.EQNXTDZ($A$1,$B82,R$5,$B$1)</f>
        <v>0</v>
      </c>
      <c r="S82" s="54">
        <f>_xll.EQNXTDZ($A$1,$B82,S$5,$B$1)</f>
        <v>0</v>
      </c>
      <c r="T82" s="54">
        <f>_xll.EQNXTDZ($A$1,$B82,T$5,$B$1)</f>
        <v>0</v>
      </c>
      <c r="U82" s="54">
        <f>_xll.EQNXTDZ($A$1,$B82,U$5,$B$1)</f>
        <v>130.315</v>
      </c>
      <c r="V82" s="54">
        <f>_xll.EQNXTDZ($A$1,$B82,V$5,$B$1)</f>
        <v>0</v>
      </c>
      <c r="W82" s="54">
        <f>_xll.EQNXTDZ($A$1,$B82,W$5,$B$1)</f>
        <v>237.96199999999999</v>
      </c>
      <c r="X82" s="54">
        <f>_xll.EQNXTDZ($A$1,$B82,X$5,$B$1)</f>
        <v>0</v>
      </c>
      <c r="Y82" s="54">
        <f>_xll.EQNXTDZ($A$1,$B82,Y$5,$B$1)</f>
        <v>150.245</v>
      </c>
      <c r="Z82" s="54">
        <f>_xll.EQNXTDZ($A$1,$B82,Z$5,$B$1)</f>
        <v>0</v>
      </c>
      <c r="AA82" s="54">
        <f>_xll.EQNXTDZ($A$1,$B82,AA$5,$B$1)</f>
        <v>218.017</v>
      </c>
      <c r="AB82" s="54">
        <f>_xll.EQNXTDZ($A$1,$B82,AB$5,$B$1)</f>
        <v>0</v>
      </c>
      <c r="AC82" s="54">
        <f>_xll.EQNXTDZ($A$1,$B82,AC$5,$B$1)</f>
        <v>128.02500000000001</v>
      </c>
      <c r="AD82" s="54">
        <f>_xll.EQNXTDZ($A$1,$B82,AD$5,$B$1)</f>
        <v>0</v>
      </c>
      <c r="AE82" s="54">
        <f>_xll.EQNXTDZ($A$1,$B82,AE$5,$B$1)</f>
        <v>267.95999999999998</v>
      </c>
      <c r="AF82" s="54">
        <f>_xll.EQNXTDZ($A$1,$B82,AF$5,$B$1)</f>
        <v>0</v>
      </c>
      <c r="AG82" s="54">
        <f>_xll.EQNXTDZ($A$1,$B82,AG$5,$B$1)</f>
        <v>172.55500000000001</v>
      </c>
      <c r="AH82" s="54">
        <f>_xll.EQNXTDZ($A$1,$B82,AH$5,$B$1)</f>
        <v>0</v>
      </c>
      <c r="AI82" s="54">
        <f>_xll.EQNXTDZ($A$1,$B82,AI$5,$B$1)</f>
        <v>237.577</v>
      </c>
      <c r="AJ82" s="54">
        <f>_xll.EQNXTDZ($A$1,$B82,AJ$5,$B$1)</f>
        <v>0</v>
      </c>
      <c r="AK82" s="54">
        <f>_xll.EQNXTDZ($A$1,$B82,AK$5,$B$1)</f>
        <v>241.797</v>
      </c>
      <c r="AL82" s="54">
        <f>_xll.EQNXTDZ($A$1,$B82,AL$5,$B$1)</f>
        <v>0</v>
      </c>
      <c r="AM82" s="54">
        <f>_xll.EQNXTDZ($A$1,$B82,AM$5,$B$1)</f>
        <v>323.84399999999999</v>
      </c>
      <c r="AN82" s="54">
        <f>_xll.EQNXTDZ($A$1,$B82,AN$5,$B$1)</f>
        <v>0</v>
      </c>
      <c r="AO82" s="54">
        <f>_xll.EQNXTDZ($A$1,$B82,AO$5,$B$1)</f>
        <v>221.249</v>
      </c>
      <c r="AP82" s="54">
        <f>_xll.EQNXTDZ($A$1,$B82,AP$5,$B$1)</f>
        <v>0</v>
      </c>
      <c r="AQ82" s="54">
        <f>_xll.EQNXTDZ($A$1,$B82,AQ$5,$B$1)</f>
        <v>322.19299999999998</v>
      </c>
      <c r="AR82" s="54">
        <f>_xll.EQNXTDZ($A$1,$B82,AR$5,$B$1)</f>
        <v>0</v>
      </c>
      <c r="AS82" s="54">
        <f>_xll.EQNXTDZ($A$1,$B82,AS$5,$B$1)</f>
        <v>299.33800000000002</v>
      </c>
      <c r="AT82" s="54">
        <f>_xll.EQNXTDZ($A$1,$B82,AT$5,$B$1)</f>
        <v>0</v>
      </c>
      <c r="AU82" s="54">
        <f>_xll.EQNXTDZ($A$1,$B82,AU$5,$B$1)</f>
        <v>603.57600000000002</v>
      </c>
      <c r="AV82" s="54">
        <f>_xll.EQNXTDZ($A$1,$B82,AV$5,$B$1)</f>
        <v>0</v>
      </c>
      <c r="AW82" s="54">
        <f>_xll.EQNXTDZ($A$1,$B82,AW$5,$B$1)</f>
        <v>359.38499999999999</v>
      </c>
      <c r="AX82" s="54">
        <f>_xll.EQNXTDZ($A$1,$B82,AX$5,$B$1)</f>
        <v>0</v>
      </c>
      <c r="AY82" s="54">
        <f>_xll.EQNXTDZ($A$1,$B82,AY$5,$B$1)</f>
        <v>1025.4839999999999</v>
      </c>
      <c r="AZ82" s="54">
        <f>_xll.EQNXTDZ($A$1,$B82,AZ$5,$B$1)</f>
        <v>0</v>
      </c>
      <c r="BA82" s="54">
        <f>_xll.EQNXTDZ($A$1,$B82,BA$5,$B$1)</f>
        <v>845.84199999999998</v>
      </c>
      <c r="BB82" s="54">
        <f>_xll.EQNXTDZ($A$1,$B82,BB$5,$B$1)</f>
        <v>0</v>
      </c>
      <c r="BC82" s="54">
        <f>_xll.EQNXTDZ($A$1,$B82,BC$5,$B$1)</f>
        <v>1198.8240000000001</v>
      </c>
      <c r="BD82" s="54">
        <f>_xll.EQNXTDZ($A$1,$B82,BD$5,$B$1)</f>
        <v>0</v>
      </c>
      <c r="BE82" s="54">
        <f>_xll.EQNXTDZ($A$1,$B82,BE$5,$B$1)</f>
        <v>1249.0309999999999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0</v>
      </c>
      <c r="E83" s="54">
        <f>_xll.EQNXTDZ($A$1,$B83,E$5,$B$1)</f>
        <v>0</v>
      </c>
      <c r="F83" s="54">
        <f>_xll.EQNXTDZ($A$1,$B83,F$5,$B$1)</f>
        <v>0</v>
      </c>
      <c r="G83" s="54">
        <f>_xll.EQNXTDZ($A$1,$B83,G$5,$B$1)</f>
        <v>0</v>
      </c>
      <c r="H83" s="54">
        <f>_xll.EQNXTDZ($A$1,$B83,H$5,$B$1)</f>
        <v>0</v>
      </c>
      <c r="I83" s="54">
        <f>_xll.EQNXTDZ($A$1,$B83,I$5,$B$1)</f>
        <v>0</v>
      </c>
      <c r="J83" s="54">
        <f>_xll.EQNXTDZ($A$1,$B83,J$5,$B$1)</f>
        <v>0</v>
      </c>
      <c r="K83" s="54">
        <f>_xll.EQNXTDZ($A$1,$B83,K$5,$B$1)</f>
        <v>0</v>
      </c>
      <c r="L83" s="54">
        <f>_xll.EQNXTDZ($A$1,$B83,L$5,$B$1)</f>
        <v>0</v>
      </c>
      <c r="M83" s="54">
        <f>_xll.EQNXTDZ($A$1,$B83,M$5,$B$1)</f>
        <v>0</v>
      </c>
      <c r="N83" s="54">
        <f>_xll.EQNXTDZ($A$1,$B83,N$5,$B$1)</f>
        <v>0</v>
      </c>
      <c r="O83" s="54">
        <f>_xll.EQNXTDZ($A$1,$B83,O$5,$B$1)</f>
        <v>0</v>
      </c>
      <c r="P83" s="54">
        <f>_xll.EQNXTDZ($A$1,$B83,P$5,$B$1)</f>
        <v>0</v>
      </c>
      <c r="Q83" s="54">
        <f>_xll.EQNXTDZ($A$1,$B83,Q$5,$B$1)</f>
        <v>58.073</v>
      </c>
      <c r="R83" s="54">
        <f>_xll.EQNXTDZ($A$1,$B83,R$5,$B$1)</f>
        <v>0</v>
      </c>
      <c r="S83" s="54">
        <f>_xll.EQNXTDZ($A$1,$B83,S$5,$B$1)</f>
        <v>0</v>
      </c>
      <c r="T83" s="54">
        <f>_xll.EQNXTDZ($A$1,$B83,T$5,$B$1)</f>
        <v>0</v>
      </c>
      <c r="U83" s="54">
        <f>_xll.EQNXTDZ($A$1,$B83,U$5,$B$1)</f>
        <v>65.701999999999998</v>
      </c>
      <c r="V83" s="54">
        <f>_xll.EQNXTDZ($A$1,$B83,V$5,$B$1)</f>
        <v>0</v>
      </c>
      <c r="W83" s="54">
        <f>_xll.EQNXTDZ($A$1,$B83,W$5,$B$1)</f>
        <v>117.667</v>
      </c>
      <c r="X83" s="54">
        <f>_xll.EQNXTDZ($A$1,$B83,X$5,$B$1)</f>
        <v>0</v>
      </c>
      <c r="Y83" s="54">
        <f>_xll.EQNXTDZ($A$1,$B83,Y$5,$B$1)</f>
        <v>94.46</v>
      </c>
      <c r="Z83" s="54">
        <f>_xll.EQNXTDZ($A$1,$B83,Z$5,$B$1)</f>
        <v>0</v>
      </c>
      <c r="AA83" s="54">
        <f>_xll.EQNXTDZ($A$1,$B83,AA$5,$B$1)</f>
        <v>113.071</v>
      </c>
      <c r="AB83" s="54">
        <f>_xll.EQNXTDZ($A$1,$B83,AB$5,$B$1)</f>
        <v>0</v>
      </c>
      <c r="AC83" s="54">
        <f>_xll.EQNXTDZ($A$1,$B83,AC$5,$B$1)</f>
        <v>93.48</v>
      </c>
      <c r="AD83" s="54">
        <f>_xll.EQNXTDZ($A$1,$B83,AD$5,$B$1)</f>
        <v>0</v>
      </c>
      <c r="AE83" s="54">
        <f>_xll.EQNXTDZ($A$1,$B83,AE$5,$B$1)</f>
        <v>152.32400000000001</v>
      </c>
      <c r="AF83" s="54">
        <f>_xll.EQNXTDZ($A$1,$B83,AF$5,$B$1)</f>
        <v>0</v>
      </c>
      <c r="AG83" s="54">
        <f>_xll.EQNXTDZ($A$1,$B83,AG$5,$B$1)</f>
        <v>171.077</v>
      </c>
      <c r="AH83" s="54">
        <f>_xll.EQNXTDZ($A$1,$B83,AH$5,$B$1)</f>
        <v>0</v>
      </c>
      <c r="AI83" s="54">
        <f>_xll.EQNXTDZ($A$1,$B83,AI$5,$B$1)</f>
        <v>211.916</v>
      </c>
      <c r="AJ83" s="54">
        <f>_xll.EQNXTDZ($A$1,$B83,AJ$5,$B$1)</f>
        <v>0</v>
      </c>
      <c r="AK83" s="54">
        <f>_xll.EQNXTDZ($A$1,$B83,AK$5,$B$1)</f>
        <v>190.05</v>
      </c>
      <c r="AL83" s="54">
        <f>_xll.EQNXTDZ($A$1,$B83,AL$5,$B$1)</f>
        <v>0</v>
      </c>
      <c r="AM83" s="54">
        <f>_xll.EQNXTDZ($A$1,$B83,AM$5,$B$1)</f>
        <v>148.36500000000001</v>
      </c>
      <c r="AN83" s="54">
        <f>_xll.EQNXTDZ($A$1,$B83,AN$5,$B$1)</f>
        <v>0</v>
      </c>
      <c r="AO83" s="54">
        <f>_xll.EQNXTDZ($A$1,$B83,AO$5,$B$1)</f>
        <v>336.62200000000001</v>
      </c>
      <c r="AP83" s="54">
        <f>_xll.EQNXTDZ($A$1,$B83,AP$5,$B$1)</f>
        <v>0</v>
      </c>
      <c r="AQ83" s="54">
        <f>_xll.EQNXTDZ($A$1,$B83,AQ$5,$B$1)</f>
        <v>301.54599999999999</v>
      </c>
      <c r="AR83" s="54">
        <f>_xll.EQNXTDZ($A$1,$B83,AR$5,$B$1)</f>
        <v>0</v>
      </c>
      <c r="AS83" s="54">
        <f>_xll.EQNXTDZ($A$1,$B83,AS$5,$B$1)</f>
        <v>285.267</v>
      </c>
      <c r="AT83" s="54">
        <f>_xll.EQNXTDZ($A$1,$B83,AT$5,$B$1)</f>
        <v>0</v>
      </c>
      <c r="AU83" s="54">
        <f>_xll.EQNXTDZ($A$1,$B83,AU$5,$B$1)</f>
        <v>312.22800000000001</v>
      </c>
      <c r="AV83" s="54">
        <f>_xll.EQNXTDZ($A$1,$B83,AV$5,$B$1)</f>
        <v>0</v>
      </c>
      <c r="AW83" s="54">
        <f>_xll.EQNXTDZ($A$1,$B83,AW$5,$B$1)</f>
        <v>459.86200000000002</v>
      </c>
      <c r="AX83" s="54">
        <f>_xll.EQNXTDZ($A$1,$B83,AX$5,$B$1)</f>
        <v>0</v>
      </c>
      <c r="AY83" s="54">
        <f>_xll.EQNXTDZ($A$1,$B83,AY$5,$B$1)</f>
        <v>407.74799999999999</v>
      </c>
      <c r="AZ83" s="54">
        <f>_xll.EQNXTDZ($A$1,$B83,AZ$5,$B$1)</f>
        <v>0</v>
      </c>
      <c r="BA83" s="54">
        <f>_xll.EQNXTDZ($A$1,$B83,BA$5,$B$1)</f>
        <v>2450.0540000000001</v>
      </c>
      <c r="BB83" s="54">
        <f>_xll.EQNXTDZ($A$1,$B83,BB$5,$B$1)</f>
        <v>0</v>
      </c>
      <c r="BC83" s="54">
        <f>_xll.EQNXTDZ($A$1,$B83,BC$5,$B$1)</f>
        <v>2148.9690000000001</v>
      </c>
      <c r="BD83" s="54">
        <f>_xll.EQNXTDZ($A$1,$B83,BD$5,$B$1)</f>
        <v>0</v>
      </c>
      <c r="BE83" s="54">
        <f>_xll.EQNXTDZ($A$1,$B83,BE$5,$B$1)</f>
        <v>1998.491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0</v>
      </c>
      <c r="E84" s="54">
        <f>_xll.EQNXTDZ($A$1,$B84,E$5,$B$1)</f>
        <v>0</v>
      </c>
      <c r="F84" s="54">
        <f>_xll.EQNXTDZ($A$1,$B84,F$5,$B$1)</f>
        <v>0</v>
      </c>
      <c r="G84" s="54">
        <f>_xll.EQNXTDZ($A$1,$B84,G$5,$B$1)</f>
        <v>0</v>
      </c>
      <c r="H84" s="54">
        <f>_xll.EQNXTDZ($A$1,$B84,H$5,$B$1)</f>
        <v>0</v>
      </c>
      <c r="I84" s="54">
        <f>_xll.EQNXTDZ($A$1,$B84,I$5,$B$1)</f>
        <v>0</v>
      </c>
      <c r="J84" s="54">
        <f>_xll.EQNXTDZ($A$1,$B84,J$5,$B$1)</f>
        <v>0</v>
      </c>
      <c r="K84" s="54">
        <f>_xll.EQNXTDZ($A$1,$B84,K$5,$B$1)</f>
        <v>0</v>
      </c>
      <c r="L84" s="54">
        <f>_xll.EQNXTDZ($A$1,$B84,L$5,$B$1)</f>
        <v>0</v>
      </c>
      <c r="M84" s="54">
        <f>_xll.EQNXTDZ($A$1,$B84,M$5,$B$1)</f>
        <v>0</v>
      </c>
      <c r="N84" s="54">
        <f>_xll.EQNXTDZ($A$1,$B84,N$5,$B$1)</f>
        <v>0</v>
      </c>
      <c r="O84" s="54">
        <f>_xll.EQNXTDZ($A$1,$B84,O$5,$B$1)</f>
        <v>0</v>
      </c>
      <c r="P84" s="54">
        <f>_xll.EQNXTDZ($A$1,$B84,P$5,$B$1)</f>
        <v>0</v>
      </c>
      <c r="Q84" s="54">
        <f>_xll.EQNXTDZ($A$1,$B84,Q$5,$B$1)</f>
        <v>9.4160000000000004</v>
      </c>
      <c r="R84" s="54">
        <f>_xll.EQNXTDZ($A$1,$B84,R$5,$B$1)</f>
        <v>0</v>
      </c>
      <c r="S84" s="54">
        <f>_xll.EQNXTDZ($A$1,$B84,S$5,$B$1)</f>
        <v>0</v>
      </c>
      <c r="T84" s="54">
        <f>_xll.EQNXTDZ($A$1,$B84,T$5,$B$1)</f>
        <v>0</v>
      </c>
      <c r="U84" s="54">
        <f>_xll.EQNXTDZ($A$1,$B84,U$5,$B$1)</f>
        <v>9.8529999999999998</v>
      </c>
      <c r="V84" s="54">
        <f>_xll.EQNXTDZ($A$1,$B84,V$5,$B$1)</f>
        <v>0</v>
      </c>
      <c r="W84" s="54">
        <f>_xll.EQNXTDZ($A$1,$B84,W$5,$B$1)</f>
        <v>338.50200000000001</v>
      </c>
      <c r="X84" s="54">
        <f>_xll.EQNXTDZ($A$1,$B84,X$5,$B$1)</f>
        <v>0</v>
      </c>
      <c r="Y84" s="54">
        <f>_xll.EQNXTDZ($A$1,$B84,Y$5,$B$1)</f>
        <v>284.99599999999998</v>
      </c>
      <c r="Z84" s="54">
        <f>_xll.EQNXTDZ($A$1,$B84,Z$5,$B$1)</f>
        <v>0</v>
      </c>
      <c r="AA84" s="54">
        <f>_xll.EQNXTDZ($A$1,$B84,AA$5,$B$1)</f>
        <v>322.399</v>
      </c>
      <c r="AB84" s="54">
        <f>_xll.EQNXTDZ($A$1,$B84,AB$5,$B$1)</f>
        <v>0</v>
      </c>
      <c r="AC84" s="54">
        <f>_xll.EQNXTDZ($A$1,$B84,AC$5,$B$1)</f>
        <v>339.29199999999997</v>
      </c>
      <c r="AD84" s="54">
        <f>_xll.EQNXTDZ($A$1,$B84,AD$5,$B$1)</f>
        <v>0</v>
      </c>
      <c r="AE84" s="54">
        <f>_xll.EQNXTDZ($A$1,$B84,AE$5,$B$1)</f>
        <v>474.572</v>
      </c>
      <c r="AF84" s="54">
        <f>_xll.EQNXTDZ($A$1,$B84,AF$5,$B$1)</f>
        <v>0</v>
      </c>
      <c r="AG84" s="54">
        <f>_xll.EQNXTDZ($A$1,$B84,AG$5,$B$1)</f>
        <v>439.80200000000002</v>
      </c>
      <c r="AH84" s="54">
        <f>_xll.EQNXTDZ($A$1,$B84,AH$5,$B$1)</f>
        <v>0</v>
      </c>
      <c r="AI84" s="54">
        <f>_xll.EQNXTDZ($A$1,$B84,AI$5,$B$1)</f>
        <v>333.15800000000002</v>
      </c>
      <c r="AJ84" s="54">
        <f>_xll.EQNXTDZ($A$1,$B84,AJ$5,$B$1)</f>
        <v>0</v>
      </c>
      <c r="AK84" s="54">
        <f>_xll.EQNXTDZ($A$1,$B84,AK$5,$B$1)</f>
        <v>429.00900000000001</v>
      </c>
      <c r="AL84" s="54">
        <f>_xll.EQNXTDZ($A$1,$B84,AL$5,$B$1)</f>
        <v>0</v>
      </c>
      <c r="AM84" s="54">
        <f>_xll.EQNXTDZ($A$1,$B84,AM$5,$B$1)</f>
        <v>340.33499999999998</v>
      </c>
      <c r="AN84" s="54">
        <f>_xll.EQNXTDZ($A$1,$B84,AN$5,$B$1)</f>
        <v>0</v>
      </c>
      <c r="AO84" s="54">
        <f>_xll.EQNXTDZ($A$1,$B84,AO$5,$B$1)</f>
        <v>540.15499999999997</v>
      </c>
      <c r="AP84" s="54">
        <f>_xll.EQNXTDZ($A$1,$B84,AP$5,$B$1)</f>
        <v>0</v>
      </c>
      <c r="AQ84" s="54">
        <f>_xll.EQNXTDZ($A$1,$B84,AQ$5,$B$1)</f>
        <v>640.42200000000003</v>
      </c>
      <c r="AR84" s="54">
        <f>_xll.EQNXTDZ($A$1,$B84,AR$5,$B$1)</f>
        <v>0</v>
      </c>
      <c r="AS84" s="54">
        <f>_xll.EQNXTDZ($A$1,$B84,AS$5,$B$1)</f>
        <v>825.54</v>
      </c>
      <c r="AT84" s="54">
        <f>_xll.EQNXTDZ($A$1,$B84,AT$5,$B$1)</f>
        <v>0</v>
      </c>
      <c r="AU84" s="54">
        <f>_xll.EQNXTDZ($A$1,$B84,AU$5,$B$1)</f>
        <v>849.52</v>
      </c>
      <c r="AV84" s="54">
        <f>_xll.EQNXTDZ($A$1,$B84,AV$5,$B$1)</f>
        <v>0</v>
      </c>
      <c r="AW84" s="54">
        <f>_xll.EQNXTDZ($A$1,$B84,AW$5,$B$1)</f>
        <v>1265.8499999999999</v>
      </c>
      <c r="AX84" s="54">
        <f>_xll.EQNXTDZ($A$1,$B84,AX$5,$B$1)</f>
        <v>0</v>
      </c>
      <c r="AY84" s="54">
        <f>_xll.EQNXTDZ($A$1,$B84,AY$5,$B$1)</f>
        <v>1441.06</v>
      </c>
      <c r="AZ84" s="54">
        <f>_xll.EQNXTDZ($A$1,$B84,AZ$5,$B$1)</f>
        <v>0</v>
      </c>
      <c r="BA84" s="54">
        <f>_xll.EQNXTDZ($A$1,$B84,BA$5,$B$1)</f>
        <v>1776.8440000000001</v>
      </c>
      <c r="BB84" s="54">
        <f>_xll.EQNXTDZ($A$1,$B84,BB$5,$B$1)</f>
        <v>0</v>
      </c>
      <c r="BC84" s="54">
        <f>_xll.EQNXTDZ($A$1,$B84,BC$5,$B$1)</f>
        <v>1592.2539999999999</v>
      </c>
      <c r="BD84" s="54">
        <f>_xll.EQNXTDZ($A$1,$B84,BD$5,$B$1)</f>
        <v>0</v>
      </c>
      <c r="BE84" s="54">
        <f>_xll.EQNXTDZ($A$1,$B84,BE$5,$B$1)</f>
        <v>1690.0920000000001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0</v>
      </c>
      <c r="E85" s="54">
        <f>_xll.EQNXTDZ($A$1,$B85,E$5,$B$1)</f>
        <v>0</v>
      </c>
      <c r="F85" s="54">
        <f>_xll.EQNXTDZ($A$1,$B85,F$5,$B$1)</f>
        <v>0</v>
      </c>
      <c r="G85" s="54">
        <f>_xll.EQNXTDZ($A$1,$B85,G$5,$B$1)</f>
        <v>0</v>
      </c>
      <c r="H85" s="54">
        <f>_xll.EQNXTDZ($A$1,$B85,H$5,$B$1)</f>
        <v>0</v>
      </c>
      <c r="I85" s="54">
        <f>_xll.EQNXTDZ($A$1,$B85,I$5,$B$1)</f>
        <v>0</v>
      </c>
      <c r="J85" s="54">
        <f>_xll.EQNXTDZ($A$1,$B85,J$5,$B$1)</f>
        <v>0</v>
      </c>
      <c r="K85" s="54">
        <f>_xll.EQNXTDZ($A$1,$B85,K$5,$B$1)</f>
        <v>0</v>
      </c>
      <c r="L85" s="54">
        <f>_xll.EQNXTDZ($A$1,$B85,L$5,$B$1)</f>
        <v>0</v>
      </c>
      <c r="M85" s="54">
        <f>_xll.EQNXTDZ($A$1,$B85,M$5,$B$1)</f>
        <v>0</v>
      </c>
      <c r="N85" s="54">
        <f>_xll.EQNXTDZ($A$1,$B85,N$5,$B$1)</f>
        <v>0</v>
      </c>
      <c r="O85" s="54">
        <f>_xll.EQNXTDZ($A$1,$B85,O$5,$B$1)</f>
        <v>0</v>
      </c>
      <c r="P85" s="54">
        <f>_xll.EQNXTDZ($A$1,$B85,P$5,$B$1)</f>
        <v>0</v>
      </c>
      <c r="Q85" s="54">
        <f>_xll.EQNXTDZ($A$1,$B85,Q$5,$B$1)</f>
        <v>140.14099999999999</v>
      </c>
      <c r="R85" s="54">
        <f>_xll.EQNXTDZ($A$1,$B85,R$5,$B$1)</f>
        <v>0</v>
      </c>
      <c r="S85" s="54">
        <f>_xll.EQNXTDZ($A$1,$B85,S$5,$B$1)</f>
        <v>0</v>
      </c>
      <c r="T85" s="54">
        <f>_xll.EQNXTDZ($A$1,$B85,T$5,$B$1)</f>
        <v>0</v>
      </c>
      <c r="U85" s="54">
        <f>_xll.EQNXTDZ($A$1,$B85,U$5,$B$1)</f>
        <v>178.61699999999999</v>
      </c>
      <c r="V85" s="54">
        <f>_xll.EQNXTDZ($A$1,$B85,V$5,$B$1)</f>
        <v>0</v>
      </c>
      <c r="W85" s="54">
        <f>_xll.EQNXTDZ($A$1,$B85,W$5,$B$1)</f>
        <v>5.5E-2</v>
      </c>
      <c r="X85" s="54">
        <f>_xll.EQNXTDZ($A$1,$B85,X$5,$B$1)</f>
        <v>0</v>
      </c>
      <c r="Y85" s="54">
        <f>_xll.EQNXTDZ($A$1,$B85,Y$5,$B$1)</f>
        <v>2.5999999999999999E-2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1.5529999999999999</v>
      </c>
      <c r="AD85" s="54">
        <f>_xll.EQNXTDZ($A$1,$B85,AD$5,$B$1)</f>
        <v>0</v>
      </c>
      <c r="AE85" s="54">
        <f>_xll.EQNXTDZ($A$1,$B85,AE$5,$B$1)</f>
        <v>16.448</v>
      </c>
      <c r="AF85" s="54">
        <f>_xll.EQNXTDZ($A$1,$B85,AF$5,$B$1)</f>
        <v>0</v>
      </c>
      <c r="AG85" s="54">
        <f>_xll.EQNXTDZ($A$1,$B85,AG$5,$B$1)</f>
        <v>6.9370000000000003</v>
      </c>
      <c r="AH85" s="54">
        <f>_xll.EQNXTDZ($A$1,$B85,AH$5,$B$1)</f>
        <v>0</v>
      </c>
      <c r="AI85" s="54">
        <f>_xll.EQNXTDZ($A$1,$B85,AI$5,$B$1)</f>
        <v>10.757</v>
      </c>
      <c r="AJ85" s="54">
        <f>_xll.EQNXTDZ($A$1,$B85,AJ$5,$B$1)</f>
        <v>0</v>
      </c>
      <c r="AK85" s="54">
        <f>_xll.EQNXTDZ($A$1,$B85,AK$5,$B$1)</f>
        <v>10.016</v>
      </c>
      <c r="AL85" s="54">
        <f>_xll.EQNXTDZ($A$1,$B85,AL$5,$B$1)</f>
        <v>0</v>
      </c>
      <c r="AM85" s="54">
        <f>_xll.EQNXTDZ($A$1,$B85,AM$5,$B$1)</f>
        <v>9.2940000000000005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1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0</v>
      </c>
      <c r="E86" s="54">
        <f>_xll.EQNXTDZ($A$1,$B86,E$5,$B$1)</f>
        <v>0</v>
      </c>
      <c r="F86" s="54">
        <f>_xll.EQNXTDZ($A$1,$B86,F$5,$B$1)</f>
        <v>0</v>
      </c>
      <c r="G86" s="54">
        <f>_xll.EQNXTDZ($A$1,$B86,G$5,$B$1)</f>
        <v>0</v>
      </c>
      <c r="H86" s="54">
        <f>_xll.EQNXTDZ($A$1,$B86,H$5,$B$1)</f>
        <v>0</v>
      </c>
      <c r="I86" s="54">
        <f>_xll.EQNXTDZ($A$1,$B86,I$5,$B$1)</f>
        <v>0</v>
      </c>
      <c r="J86" s="54">
        <f>_xll.EQNXTDZ($A$1,$B86,J$5,$B$1)</f>
        <v>0</v>
      </c>
      <c r="K86" s="54">
        <f>_xll.EQNXTDZ($A$1,$B86,K$5,$B$1)</f>
        <v>0</v>
      </c>
      <c r="L86" s="54">
        <f>_xll.EQNXTDZ($A$1,$B86,L$5,$B$1)</f>
        <v>0</v>
      </c>
      <c r="M86" s="54">
        <f>_xll.EQNXTDZ($A$1,$B86,M$5,$B$1)</f>
        <v>0</v>
      </c>
      <c r="N86" s="54">
        <f>_xll.EQNXTDZ($A$1,$B86,N$5,$B$1)</f>
        <v>0</v>
      </c>
      <c r="O86" s="54">
        <f>_xll.EQNXTDZ($A$1,$B86,O$5,$B$1)</f>
        <v>0</v>
      </c>
      <c r="P86" s="54">
        <f>_xll.EQNXTDZ($A$1,$B86,P$5,$B$1)</f>
        <v>0</v>
      </c>
      <c r="Q86" s="54">
        <f>_xll.EQNXTDZ($A$1,$B86,Q$5,$B$1)</f>
        <v>730.202</v>
      </c>
      <c r="R86" s="54">
        <f>_xll.EQNXTDZ($A$1,$B86,R$5,$B$1)</f>
        <v>0</v>
      </c>
      <c r="S86" s="54">
        <f>_xll.EQNXTDZ($A$1,$B86,S$5,$B$1)</f>
        <v>0</v>
      </c>
      <c r="T86" s="54">
        <f>_xll.EQNXTDZ($A$1,$B86,T$5,$B$1)</f>
        <v>0</v>
      </c>
      <c r="U86" s="54">
        <f>_xll.EQNXTDZ($A$1,$B86,U$5,$B$1)</f>
        <v>874.41300000000001</v>
      </c>
      <c r="V86" s="54">
        <f>_xll.EQNXTDZ($A$1,$B86,V$5,$B$1)</f>
        <v>0</v>
      </c>
      <c r="W86" s="54">
        <f>_xll.EQNXTDZ($A$1,$B86,W$5,$B$1)</f>
        <v>1190.883</v>
      </c>
      <c r="X86" s="54">
        <f>_xll.EQNXTDZ($A$1,$B86,X$5,$B$1)</f>
        <v>0</v>
      </c>
      <c r="Y86" s="54">
        <f>_xll.EQNXTDZ($A$1,$B86,Y$5,$B$1)</f>
        <v>968.62099999999998</v>
      </c>
      <c r="Z86" s="54">
        <f>_xll.EQNXTDZ($A$1,$B86,Z$5,$B$1)</f>
        <v>0</v>
      </c>
      <c r="AA86" s="54">
        <f>_xll.EQNXTDZ($A$1,$B86,AA$5,$B$1)</f>
        <v>1218.6120000000001</v>
      </c>
      <c r="AB86" s="54">
        <f>_xll.EQNXTDZ($A$1,$B86,AB$5,$B$1)</f>
        <v>0</v>
      </c>
      <c r="AC86" s="54">
        <f>_xll.EQNXTDZ($A$1,$B86,AC$5,$B$1)</f>
        <v>1140.7470000000001</v>
      </c>
      <c r="AD86" s="54">
        <f>_xll.EQNXTDZ($A$1,$B86,AD$5,$B$1)</f>
        <v>0</v>
      </c>
      <c r="AE86" s="54">
        <f>_xll.EQNXTDZ($A$1,$B86,AE$5,$B$1)</f>
        <v>1718.26</v>
      </c>
      <c r="AF86" s="54">
        <f>_xll.EQNXTDZ($A$1,$B86,AF$5,$B$1)</f>
        <v>0</v>
      </c>
      <c r="AG86" s="54">
        <f>_xll.EQNXTDZ($A$1,$B86,AG$5,$B$1)</f>
        <v>1671.884</v>
      </c>
      <c r="AH86" s="54">
        <f>_xll.EQNXTDZ($A$1,$B86,AH$5,$B$1)</f>
        <v>0</v>
      </c>
      <c r="AI86" s="54">
        <f>_xll.EQNXTDZ($A$1,$B86,AI$5,$B$1)</f>
        <v>1777.931</v>
      </c>
      <c r="AJ86" s="54">
        <f>_xll.EQNXTDZ($A$1,$B86,AJ$5,$B$1)</f>
        <v>0</v>
      </c>
      <c r="AK86" s="54">
        <f>_xll.EQNXTDZ($A$1,$B86,AK$5,$B$1)</f>
        <v>1799.6759999999999</v>
      </c>
      <c r="AL86" s="54">
        <f>_xll.EQNXTDZ($A$1,$B86,AL$5,$B$1)</f>
        <v>0</v>
      </c>
      <c r="AM86" s="54">
        <f>_xll.EQNXTDZ($A$1,$B86,AM$5,$B$1)</f>
        <v>2096.5309999999999</v>
      </c>
      <c r="AN86" s="54">
        <f>_xll.EQNXTDZ($A$1,$B86,AN$5,$B$1)</f>
        <v>0</v>
      </c>
      <c r="AO86" s="54">
        <f>_xll.EQNXTDZ($A$1,$B86,AO$5,$B$1)</f>
        <v>2546.1129999999998</v>
      </c>
      <c r="AP86" s="54">
        <f>_xll.EQNXTDZ($A$1,$B86,AP$5,$B$1)</f>
        <v>0</v>
      </c>
      <c r="AQ86" s="54">
        <f>_xll.EQNXTDZ($A$1,$B86,AQ$5,$B$1)</f>
        <v>3059.3890000000001</v>
      </c>
      <c r="AR86" s="54">
        <f>_xll.EQNXTDZ($A$1,$B86,AR$5,$B$1)</f>
        <v>0</v>
      </c>
      <c r="AS86" s="54">
        <f>_xll.EQNXTDZ($A$1,$B86,AS$5,$B$1)</f>
        <v>3404.03</v>
      </c>
      <c r="AT86" s="54">
        <f>_xll.EQNXTDZ($A$1,$B86,AT$5,$B$1)</f>
        <v>0</v>
      </c>
      <c r="AU86" s="54">
        <f>_xll.EQNXTDZ($A$1,$B86,AU$5,$B$1)</f>
        <v>3857.0479999999998</v>
      </c>
      <c r="AV86" s="54">
        <f>_xll.EQNXTDZ($A$1,$B86,AV$5,$B$1)</f>
        <v>0</v>
      </c>
      <c r="AW86" s="54">
        <f>_xll.EQNXTDZ($A$1,$B86,AW$5,$B$1)</f>
        <v>4235.63</v>
      </c>
      <c r="AX86" s="54">
        <f>_xll.EQNXTDZ($A$1,$B86,AX$5,$B$1)</f>
        <v>0</v>
      </c>
      <c r="AY86" s="54">
        <f>_xll.EQNXTDZ($A$1,$B86,AY$5,$B$1)</f>
        <v>5670.31</v>
      </c>
      <c r="AZ86" s="54">
        <f>_xll.EQNXTDZ($A$1,$B86,AZ$5,$B$1)</f>
        <v>0</v>
      </c>
      <c r="BA86" s="54">
        <f>_xll.EQNXTDZ($A$1,$B86,BA$5,$B$1)</f>
        <v>7863.9740000000002</v>
      </c>
      <c r="BB86" s="54">
        <f>_xll.EQNXTDZ($A$1,$B86,BB$5,$B$1)</f>
        <v>0</v>
      </c>
      <c r="BC86" s="54">
        <f>_xll.EQNXTDZ($A$1,$B86,BC$5,$B$1)</f>
        <v>8013.3860000000004</v>
      </c>
      <c r="BD86" s="54">
        <f>_xll.EQNXTDZ($A$1,$B86,BD$5,$B$1)</f>
        <v>0</v>
      </c>
      <c r="BE86" s="54">
        <f>_xll.EQNXTDZ($A$1,$B86,BE$5,$B$1)</f>
        <v>7889.4030000000002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252.41200000000001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405.57100000000003</v>
      </c>
      <c r="V88" s="54">
        <f>_xll.EQNXTDZ($A$1,$B88,V$5,$B$1)</f>
        <v>0</v>
      </c>
      <c r="W88" s="54">
        <f>_xll.EQNXTDZ($A$1,$B88,W$5,$B$1)</f>
        <v>371.25599999999997</v>
      </c>
      <c r="X88" s="54">
        <f>_xll.EQNXTDZ($A$1,$B88,X$5,$B$1)</f>
        <v>0</v>
      </c>
      <c r="Y88" s="54">
        <f>_xll.EQNXTDZ($A$1,$B88,Y$5,$B$1)</f>
        <v>353.36500000000001</v>
      </c>
      <c r="Z88" s="54">
        <f>_xll.EQNXTDZ($A$1,$B88,Z$5,$B$1)</f>
        <v>0</v>
      </c>
      <c r="AA88" s="54">
        <f>_xll.EQNXTDZ($A$1,$B88,AA$5,$B$1)</f>
        <v>348.74400000000003</v>
      </c>
      <c r="AB88" s="54">
        <f>_xll.EQNXTDZ($A$1,$B88,AB$5,$B$1)</f>
        <v>0</v>
      </c>
      <c r="AC88" s="54">
        <f>_xll.EQNXTDZ($A$1,$B88,AC$5,$B$1)</f>
        <v>377.65499999999997</v>
      </c>
      <c r="AD88" s="54">
        <f>_xll.EQNXTDZ($A$1,$B88,AD$5,$B$1)</f>
        <v>0</v>
      </c>
      <c r="AE88" s="54">
        <f>_xll.EQNXTDZ($A$1,$B88,AE$5,$B$1)</f>
        <v>151.58799999999999</v>
      </c>
      <c r="AF88" s="54">
        <f>_xll.EQNXTDZ($A$1,$B88,AF$5,$B$1)</f>
        <v>0</v>
      </c>
      <c r="AG88" s="54">
        <f>_xll.EQNXTDZ($A$1,$B88,AG$5,$B$1)</f>
        <v>467.154</v>
      </c>
      <c r="AH88" s="54">
        <f>_xll.EQNXTDZ($A$1,$B88,AH$5,$B$1)</f>
        <v>0</v>
      </c>
      <c r="AI88" s="54">
        <f>_xll.EQNXTDZ($A$1,$B88,AI$5,$B$1)</f>
        <v>355.62599999999998</v>
      </c>
      <c r="AJ88" s="54">
        <f>_xll.EQNXTDZ($A$1,$B88,AJ$5,$B$1)</f>
        <v>0</v>
      </c>
      <c r="AK88" s="54">
        <f>_xll.EQNXTDZ($A$1,$B88,AK$5,$B$1)</f>
        <v>713.85799999999995</v>
      </c>
      <c r="AL88" s="54">
        <f>_xll.EQNXTDZ($A$1,$B88,AL$5,$B$1)</f>
        <v>0</v>
      </c>
      <c r="AM88" s="54">
        <f>_xll.EQNXTDZ($A$1,$B88,AM$5,$B$1)</f>
        <v>425.17399999999998</v>
      </c>
      <c r="AN88" s="54">
        <f>_xll.EQNXTDZ($A$1,$B88,AN$5,$B$1)</f>
        <v>0</v>
      </c>
      <c r="AO88" s="54">
        <f>_xll.EQNXTDZ($A$1,$B88,AO$5,$B$1)</f>
        <v>1528.568</v>
      </c>
      <c r="AP88" s="54">
        <f>_xll.EQNXTDZ($A$1,$B88,AP$5,$B$1)</f>
        <v>0</v>
      </c>
      <c r="AQ88" s="54">
        <f>_xll.EQNXTDZ($A$1,$B88,AQ$5,$B$1)</f>
        <v>1459.6859999999999</v>
      </c>
      <c r="AR88" s="54">
        <f>_xll.EQNXTDZ($A$1,$B88,AR$5,$B$1)</f>
        <v>0</v>
      </c>
      <c r="AS88" s="54">
        <f>_xll.EQNXTDZ($A$1,$B88,AS$5,$B$1)</f>
        <v>1967.79</v>
      </c>
      <c r="AT88" s="54">
        <f>_xll.EQNXTDZ($A$1,$B88,AT$5,$B$1)</f>
        <v>0</v>
      </c>
      <c r="AU88" s="54">
        <f>_xll.EQNXTDZ($A$1,$B88,AU$5,$B$1)</f>
        <v>1696.6769999999999</v>
      </c>
      <c r="AV88" s="54">
        <f>_xll.EQNXTDZ($A$1,$B88,AV$5,$B$1)</f>
        <v>0</v>
      </c>
      <c r="AW88" s="54">
        <f>_xll.EQNXTDZ($A$1,$B88,AW$5,$B$1)</f>
        <v>2005.4490000000001</v>
      </c>
      <c r="AX88" s="54">
        <f>_xll.EQNXTDZ($A$1,$B88,AX$5,$B$1)</f>
        <v>0</v>
      </c>
      <c r="AY88" s="54">
        <f>_xll.EQNXTDZ($A$1,$B88,AY$5,$B$1)</f>
        <v>2747.3159999999998</v>
      </c>
      <c r="AZ88" s="54">
        <f>_xll.EQNXTDZ($A$1,$B88,AZ$5,$B$1)</f>
        <v>0</v>
      </c>
      <c r="BA88" s="54">
        <f>_xll.EQNXTDZ($A$1,$B88,BA$5,$B$1)</f>
        <v>1523.576</v>
      </c>
      <c r="BB88" s="54">
        <f>_xll.EQNXTDZ($A$1,$B88,BB$5,$B$1)</f>
        <v>0</v>
      </c>
      <c r="BC88" s="54">
        <f>_xll.EQNXTDZ($A$1,$B88,BC$5,$B$1)</f>
        <v>1055.231</v>
      </c>
      <c r="BD88" s="54">
        <f>_xll.EQNXTDZ($A$1,$B88,BD$5,$B$1)</f>
        <v>0</v>
      </c>
      <c r="BE88" s="54">
        <f>_xll.EQNXTDZ($A$1,$B88,BE$5,$B$1)</f>
        <v>1483.67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0</v>
      </c>
      <c r="J89" s="54">
        <f>_xll.EQNXTDZ($A$1,$B89,J$5,$B$1)</f>
        <v>0</v>
      </c>
      <c r="K89" s="54">
        <f>_xll.EQNXTDZ($A$1,$B89,K$5,$B$1)</f>
        <v>0</v>
      </c>
      <c r="L89" s="54">
        <f>_xll.EQNXTDZ($A$1,$B89,L$5,$B$1)</f>
        <v>0</v>
      </c>
      <c r="M89" s="54">
        <f>_xll.EQNXTDZ($A$1,$B89,M$5,$B$1)</f>
        <v>0</v>
      </c>
      <c r="N89" s="54">
        <f>_xll.EQNXTDZ($A$1,$B89,N$5,$B$1)</f>
        <v>0</v>
      </c>
      <c r="O89" s="54">
        <f>_xll.EQNXTDZ($A$1,$B89,O$5,$B$1)</f>
        <v>0</v>
      </c>
      <c r="P89" s="54">
        <f>_xll.EQNXTDZ($A$1,$B89,P$5,$B$1)</f>
        <v>0</v>
      </c>
      <c r="Q89" s="54">
        <f>_xll.EQNXTDZ($A$1,$B89,Q$5,$B$1)</f>
        <v>184.55500000000001</v>
      </c>
      <c r="R89" s="54">
        <f>_xll.EQNXTDZ($A$1,$B89,R$5,$B$1)</f>
        <v>0</v>
      </c>
      <c r="S89" s="54">
        <f>_xll.EQNXTDZ($A$1,$B89,S$5,$B$1)</f>
        <v>0</v>
      </c>
      <c r="T89" s="54">
        <f>_xll.EQNXTDZ($A$1,$B89,T$5,$B$1)</f>
        <v>0</v>
      </c>
      <c r="U89" s="54">
        <f>_xll.EQNXTDZ($A$1,$B89,U$5,$B$1)</f>
        <v>274.59199999999998</v>
      </c>
      <c r="V89" s="54">
        <f>_xll.EQNXTDZ($A$1,$B89,V$5,$B$1)</f>
        <v>0</v>
      </c>
      <c r="W89" s="54">
        <f>_xll.EQNXTDZ($A$1,$B89,W$5,$B$1)</f>
        <v>304.05799999999999</v>
      </c>
      <c r="X89" s="54">
        <f>_xll.EQNXTDZ($A$1,$B89,X$5,$B$1)</f>
        <v>0</v>
      </c>
      <c r="Y89" s="54">
        <f>_xll.EQNXTDZ($A$1,$B89,Y$5,$B$1)</f>
        <v>190.946</v>
      </c>
      <c r="Z89" s="54">
        <f>_xll.EQNXTDZ($A$1,$B89,Z$5,$B$1)</f>
        <v>0</v>
      </c>
      <c r="AA89" s="54">
        <f>_xll.EQNXTDZ($A$1,$B89,AA$5,$B$1)</f>
        <v>414.97899999999998</v>
      </c>
      <c r="AB89" s="54">
        <f>_xll.EQNXTDZ($A$1,$B89,AB$5,$B$1)</f>
        <v>0</v>
      </c>
      <c r="AC89" s="54">
        <f>_xll.EQNXTDZ($A$1,$B89,AC$5,$B$1)</f>
        <v>316.79700000000003</v>
      </c>
      <c r="AD89" s="54">
        <f>_xll.EQNXTDZ($A$1,$B89,AD$5,$B$1)</f>
        <v>0</v>
      </c>
      <c r="AE89" s="54">
        <f>_xll.EQNXTDZ($A$1,$B89,AE$5,$B$1)</f>
        <v>637.36300000000006</v>
      </c>
      <c r="AF89" s="54">
        <f>_xll.EQNXTDZ($A$1,$B89,AF$5,$B$1)</f>
        <v>0</v>
      </c>
      <c r="AG89" s="54">
        <f>_xll.EQNXTDZ($A$1,$B89,AG$5,$B$1)</f>
        <v>477.661</v>
      </c>
      <c r="AH89" s="54">
        <f>_xll.EQNXTDZ($A$1,$B89,AH$5,$B$1)</f>
        <v>0</v>
      </c>
      <c r="AI89" s="54">
        <f>_xll.EQNXTDZ($A$1,$B89,AI$5,$B$1)</f>
        <v>530.03200000000004</v>
      </c>
      <c r="AJ89" s="54">
        <f>_xll.EQNXTDZ($A$1,$B89,AJ$5,$B$1)</f>
        <v>0</v>
      </c>
      <c r="AK89" s="54">
        <f>_xll.EQNXTDZ($A$1,$B89,AK$5,$B$1)</f>
        <v>511.38499999999999</v>
      </c>
      <c r="AL89" s="54">
        <f>_xll.EQNXTDZ($A$1,$B89,AL$5,$B$1)</f>
        <v>0</v>
      </c>
      <c r="AM89" s="54">
        <f>_xll.EQNXTDZ($A$1,$B89,AM$5,$B$1)</f>
        <v>561.22199999999998</v>
      </c>
      <c r="AN89" s="54">
        <f>_xll.EQNXTDZ($A$1,$B89,AN$5,$B$1)</f>
        <v>0</v>
      </c>
      <c r="AO89" s="54">
        <f>_xll.EQNXTDZ($A$1,$B89,AO$5,$B$1)</f>
        <v>711.75300000000004</v>
      </c>
      <c r="AP89" s="54">
        <f>_xll.EQNXTDZ($A$1,$B89,AP$5,$B$1)</f>
        <v>0</v>
      </c>
      <c r="AQ89" s="54">
        <f>_xll.EQNXTDZ($A$1,$B89,AQ$5,$B$1)</f>
        <v>985.25199999999995</v>
      </c>
      <c r="AR89" s="54">
        <f>_xll.EQNXTDZ($A$1,$B89,AR$5,$B$1)</f>
        <v>0</v>
      </c>
      <c r="AS89" s="54">
        <f>_xll.EQNXTDZ($A$1,$B89,AS$5,$B$1)</f>
        <v>824.26099999999997</v>
      </c>
      <c r="AT89" s="54">
        <f>_xll.EQNXTDZ($A$1,$B89,AT$5,$B$1)</f>
        <v>0</v>
      </c>
      <c r="AU89" s="54">
        <f>_xll.EQNXTDZ($A$1,$B89,AU$5,$B$1)</f>
        <v>1102.222</v>
      </c>
      <c r="AV89" s="54">
        <f>_xll.EQNXTDZ($A$1,$B89,AV$5,$B$1)</f>
        <v>0</v>
      </c>
      <c r="AW89" s="54">
        <f>_xll.EQNXTDZ($A$1,$B89,AW$5,$B$1)</f>
        <v>758.24800000000005</v>
      </c>
      <c r="AX89" s="54">
        <f>_xll.EQNXTDZ($A$1,$B89,AX$5,$B$1)</f>
        <v>0</v>
      </c>
      <c r="AY89" s="54">
        <f>_xll.EQNXTDZ($A$1,$B89,AY$5,$B$1)</f>
        <v>1408.654</v>
      </c>
      <c r="AZ89" s="54">
        <f>_xll.EQNXTDZ($A$1,$B89,AZ$5,$B$1)</f>
        <v>0</v>
      </c>
      <c r="BA89" s="54">
        <f>_xll.EQNXTDZ($A$1,$B89,BA$5,$B$1)</f>
        <v>1560.4269999999999</v>
      </c>
      <c r="BB89" s="54">
        <f>_xll.EQNXTDZ($A$1,$B89,BB$5,$B$1)</f>
        <v>0</v>
      </c>
      <c r="BC89" s="54">
        <f>_xll.EQNXTDZ($A$1,$B89,BC$5,$B$1)</f>
        <v>1369.816</v>
      </c>
      <c r="BD89" s="54">
        <f>_xll.EQNXTDZ($A$1,$B89,BD$5,$B$1)</f>
        <v>0</v>
      </c>
      <c r="BE89" s="54">
        <f>_xll.EQNXTDZ($A$1,$B89,BE$5,$B$1)</f>
        <v>1401.3040000000001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0</v>
      </c>
      <c r="J91" s="54">
        <f>_xll.EQNXTDZ($A$1,$B91,J$5,$B$1)</f>
        <v>0</v>
      </c>
      <c r="K91" s="54">
        <f>_xll.EQNXTDZ($A$1,$B91,K$5,$B$1)</f>
        <v>0</v>
      </c>
      <c r="L91" s="54">
        <f>_xll.EQNXTDZ($A$1,$B91,L$5,$B$1)</f>
        <v>0</v>
      </c>
      <c r="M91" s="54">
        <f>_xll.EQNXTDZ($A$1,$B91,M$5,$B$1)</f>
        <v>0</v>
      </c>
      <c r="N91" s="54">
        <f>_xll.EQNXTDZ($A$1,$B91,N$5,$B$1)</f>
        <v>0</v>
      </c>
      <c r="O91" s="54">
        <f>_xll.EQNXTDZ($A$1,$B91,O$5,$B$1)</f>
        <v>0</v>
      </c>
      <c r="P91" s="54">
        <f>_xll.EQNXTDZ($A$1,$B91,P$5,$B$1)</f>
        <v>0</v>
      </c>
      <c r="Q91" s="54">
        <f>_xll.EQNXTDZ($A$1,$B91,Q$5,$B$1)</f>
        <v>879.79200000000003</v>
      </c>
      <c r="R91" s="54">
        <f>_xll.EQNXTDZ($A$1,$B91,R$5,$B$1)</f>
        <v>0</v>
      </c>
      <c r="S91" s="54">
        <f>_xll.EQNXTDZ($A$1,$B91,S$5,$B$1)</f>
        <v>0</v>
      </c>
      <c r="T91" s="54">
        <f>_xll.EQNXTDZ($A$1,$B91,T$5,$B$1)</f>
        <v>0</v>
      </c>
      <c r="U91" s="54">
        <f>_xll.EQNXTDZ($A$1,$B91,U$5,$B$1)</f>
        <v>1018.301</v>
      </c>
      <c r="V91" s="54">
        <f>_xll.EQNXTDZ($A$1,$B91,V$5,$B$1)</f>
        <v>0</v>
      </c>
      <c r="W91" s="54">
        <f>_xll.EQNXTDZ($A$1,$B91,W$5,$B$1)</f>
        <v>1144.9480000000001</v>
      </c>
      <c r="X91" s="54">
        <f>_xll.EQNXTDZ($A$1,$B91,X$5,$B$1)</f>
        <v>0</v>
      </c>
      <c r="Y91" s="54">
        <f>_xll.EQNXTDZ($A$1,$B91,Y$5,$B$1)</f>
        <v>1027.787</v>
      </c>
      <c r="Z91" s="54">
        <f>_xll.EQNXTDZ($A$1,$B91,Z$5,$B$1)</f>
        <v>0</v>
      </c>
      <c r="AA91" s="54">
        <f>_xll.EQNXTDZ($A$1,$B91,AA$5,$B$1)</f>
        <v>1055.894</v>
      </c>
      <c r="AB91" s="54">
        <f>_xll.EQNXTDZ($A$1,$B91,AB$5,$B$1)</f>
        <v>0</v>
      </c>
      <c r="AC91" s="54">
        <f>_xll.EQNXTDZ($A$1,$B91,AC$5,$B$1)</f>
        <v>1030.4000000000001</v>
      </c>
      <c r="AD91" s="54">
        <f>_xll.EQNXTDZ($A$1,$B91,AD$5,$B$1)</f>
        <v>0</v>
      </c>
      <c r="AE91" s="54">
        <f>_xll.EQNXTDZ($A$1,$B91,AE$5,$B$1)</f>
        <v>1642.954</v>
      </c>
      <c r="AF91" s="54">
        <f>_xll.EQNXTDZ($A$1,$B91,AF$5,$B$1)</f>
        <v>0</v>
      </c>
      <c r="AG91" s="54">
        <f>_xll.EQNXTDZ($A$1,$B91,AG$5,$B$1)</f>
        <v>1245.498</v>
      </c>
      <c r="AH91" s="54">
        <f>_xll.EQNXTDZ($A$1,$B91,AH$5,$B$1)</f>
        <v>0</v>
      </c>
      <c r="AI91" s="54">
        <f>_xll.EQNXTDZ($A$1,$B91,AI$5,$B$1)</f>
        <v>1729.097</v>
      </c>
      <c r="AJ91" s="54">
        <f>_xll.EQNXTDZ($A$1,$B91,AJ$5,$B$1)</f>
        <v>0</v>
      </c>
      <c r="AK91" s="54">
        <f>_xll.EQNXTDZ($A$1,$B91,AK$5,$B$1)</f>
        <v>1176.5350000000001</v>
      </c>
      <c r="AL91" s="54">
        <f>_xll.EQNXTDZ($A$1,$B91,AL$5,$B$1)</f>
        <v>0</v>
      </c>
      <c r="AM91" s="54">
        <f>_xll.EQNXTDZ($A$1,$B91,AM$5,$B$1)</f>
        <v>1889.143</v>
      </c>
      <c r="AN91" s="54">
        <f>_xll.EQNXTDZ($A$1,$B91,AN$5,$B$1)</f>
        <v>0</v>
      </c>
      <c r="AO91" s="54">
        <f>_xll.EQNXTDZ($A$1,$B91,AO$5,$B$1)</f>
        <v>730.18499999999995</v>
      </c>
      <c r="AP91" s="54">
        <f>_xll.EQNXTDZ($A$1,$B91,AP$5,$B$1)</f>
        <v>0</v>
      </c>
      <c r="AQ91" s="54">
        <f>_xll.EQNXTDZ($A$1,$B91,AQ$5,$B$1)</f>
        <v>1230.354</v>
      </c>
      <c r="AR91" s="54">
        <f>_xll.EQNXTDZ($A$1,$B91,AR$5,$B$1)</f>
        <v>0</v>
      </c>
      <c r="AS91" s="54">
        <f>_xll.EQNXTDZ($A$1,$B91,AS$5,$B$1)</f>
        <v>1147.5119999999999</v>
      </c>
      <c r="AT91" s="54">
        <f>_xll.EQNXTDZ($A$1,$B91,AT$5,$B$1)</f>
        <v>0</v>
      </c>
      <c r="AU91" s="54">
        <f>_xll.EQNXTDZ($A$1,$B91,AU$5,$B$1)</f>
        <v>1434.962</v>
      </c>
      <c r="AV91" s="54">
        <f>_xll.EQNXTDZ($A$1,$B91,AV$5,$B$1)</f>
        <v>0</v>
      </c>
      <c r="AW91" s="54">
        <f>_xll.EQNXTDZ($A$1,$B91,AW$5,$B$1)</f>
        <v>1306.972</v>
      </c>
      <c r="AX91" s="54">
        <f>_xll.EQNXTDZ($A$1,$B91,AX$5,$B$1)</f>
        <v>0</v>
      </c>
      <c r="AY91" s="54">
        <f>_xll.EQNXTDZ($A$1,$B91,AY$5,$B$1)</f>
        <v>1837.0909999999999</v>
      </c>
      <c r="AZ91" s="54">
        <f>_xll.EQNXTDZ($A$1,$B91,AZ$5,$B$1)</f>
        <v>0</v>
      </c>
      <c r="BA91" s="54">
        <f>_xll.EQNXTDZ($A$1,$B91,BA$5,$B$1)</f>
        <v>1366.5219999999999</v>
      </c>
      <c r="BB91" s="54">
        <f>_xll.EQNXTDZ($A$1,$B91,BB$5,$B$1)</f>
        <v>0</v>
      </c>
      <c r="BC91" s="54">
        <f>_xll.EQNXTDZ($A$1,$B91,BC$5,$B$1)</f>
        <v>1954.9169999999999</v>
      </c>
      <c r="BD91" s="54">
        <f>_xll.EQNXTDZ($A$1,$B91,BD$5,$B$1)</f>
        <v>0</v>
      </c>
      <c r="BE91" s="54">
        <f>_xll.EQNXTDZ($A$1,$B91,BE$5,$B$1)</f>
        <v>1138.4449999999999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0</v>
      </c>
      <c r="E92" s="54">
        <f>_xll.EQNXTDZ($A$1,$B92,E$5,$B$1)</f>
        <v>0</v>
      </c>
      <c r="F92" s="54">
        <f>_xll.EQNXTDZ($A$1,$B92,F$5,$B$1)</f>
        <v>0</v>
      </c>
      <c r="G92" s="54">
        <f>_xll.EQNXTDZ($A$1,$B92,G$5,$B$1)</f>
        <v>0</v>
      </c>
      <c r="H92" s="54">
        <f>_xll.EQNXTDZ($A$1,$B92,H$5,$B$1)</f>
        <v>0</v>
      </c>
      <c r="I92" s="54">
        <f>_xll.EQNXTDZ($A$1,$B92,I$5,$B$1)</f>
        <v>0</v>
      </c>
      <c r="J92" s="54">
        <f>_xll.EQNXTDZ($A$1,$B92,J$5,$B$1)</f>
        <v>0</v>
      </c>
      <c r="K92" s="54">
        <f>_xll.EQNXTDZ($A$1,$B92,K$5,$B$1)</f>
        <v>0</v>
      </c>
      <c r="L92" s="54">
        <f>_xll.EQNXTDZ($A$1,$B92,L$5,$B$1)</f>
        <v>0</v>
      </c>
      <c r="M92" s="54">
        <f>_xll.EQNXTDZ($A$1,$B92,M$5,$B$1)</f>
        <v>0</v>
      </c>
      <c r="N92" s="54">
        <f>_xll.EQNXTDZ($A$1,$B92,N$5,$B$1)</f>
        <v>0</v>
      </c>
      <c r="O92" s="54">
        <f>_xll.EQNXTDZ($A$1,$B92,O$5,$B$1)</f>
        <v>0</v>
      </c>
      <c r="P92" s="54">
        <f>_xll.EQNXTDZ($A$1,$B92,P$5,$B$1)</f>
        <v>0</v>
      </c>
      <c r="Q92" s="54">
        <f>_xll.EQNXTDZ($A$1,$B92,Q$5,$B$1)</f>
        <v>37.206000000000003</v>
      </c>
      <c r="R92" s="54">
        <f>_xll.EQNXTDZ($A$1,$B92,R$5,$B$1)</f>
        <v>0</v>
      </c>
      <c r="S92" s="54">
        <f>_xll.EQNXTDZ($A$1,$B92,S$5,$B$1)</f>
        <v>0</v>
      </c>
      <c r="T92" s="54">
        <f>_xll.EQNXTDZ($A$1,$B92,T$5,$B$1)</f>
        <v>0</v>
      </c>
      <c r="U92" s="54">
        <f>_xll.EQNXTDZ($A$1,$B92,U$5,$B$1)</f>
        <v>43.008000000000003</v>
      </c>
      <c r="V92" s="54">
        <f>_xll.EQNXTDZ($A$1,$B92,V$5,$B$1)</f>
        <v>0</v>
      </c>
      <c r="W92" s="54">
        <f>_xll.EQNXTDZ($A$1,$B92,W$5,$B$1)</f>
        <v>14.744999999999999</v>
      </c>
      <c r="X92" s="54">
        <f>_xll.EQNXTDZ($A$1,$B92,X$5,$B$1)</f>
        <v>0</v>
      </c>
      <c r="Y92" s="54">
        <f>_xll.EQNXTDZ($A$1,$B92,Y$5,$B$1)</f>
        <v>16.75</v>
      </c>
      <c r="Z92" s="54">
        <f>_xll.EQNXTDZ($A$1,$B92,Z$5,$B$1)</f>
        <v>0</v>
      </c>
      <c r="AA92" s="54">
        <f>_xll.EQNXTDZ($A$1,$B92,AA$5,$B$1)</f>
        <v>27.800999999999998</v>
      </c>
      <c r="AB92" s="54">
        <f>_xll.EQNXTDZ($A$1,$B92,AB$5,$B$1)</f>
        <v>0</v>
      </c>
      <c r="AC92" s="54">
        <f>_xll.EQNXTDZ($A$1,$B92,AC$5,$B$1)</f>
        <v>16.018999999999998</v>
      </c>
      <c r="AD92" s="54">
        <f>_xll.EQNXTDZ($A$1,$B92,AD$5,$B$1)</f>
        <v>0</v>
      </c>
      <c r="AE92" s="54">
        <f>_xll.EQNXTDZ($A$1,$B92,AE$5,$B$1)</f>
        <v>25.187000000000001</v>
      </c>
      <c r="AF92" s="54">
        <f>_xll.EQNXTDZ($A$1,$B92,AF$5,$B$1)</f>
        <v>0</v>
      </c>
      <c r="AG92" s="54">
        <f>_xll.EQNXTDZ($A$1,$B92,AG$5,$B$1)</f>
        <v>29.978999999999999</v>
      </c>
      <c r="AH92" s="54">
        <f>_xll.EQNXTDZ($A$1,$B92,AH$5,$B$1)</f>
        <v>0</v>
      </c>
      <c r="AI92" s="54">
        <f>_xll.EQNXTDZ($A$1,$B92,AI$5,$B$1)</f>
        <v>30.431999999999999</v>
      </c>
      <c r="AJ92" s="54">
        <f>_xll.EQNXTDZ($A$1,$B92,AJ$5,$B$1)</f>
        <v>0</v>
      </c>
      <c r="AK92" s="54">
        <f>_xll.EQNXTDZ($A$1,$B92,AK$5,$B$1)</f>
        <v>33.171999999999997</v>
      </c>
      <c r="AL92" s="54">
        <f>_xll.EQNXTDZ($A$1,$B92,AL$5,$B$1)</f>
        <v>0</v>
      </c>
      <c r="AM92" s="54">
        <f>_xll.EQNXTDZ($A$1,$B92,AM$5,$B$1)</f>
        <v>66.165999999999997</v>
      </c>
      <c r="AN92" s="54">
        <f>_xll.EQNXTDZ($A$1,$B92,AN$5,$B$1)</f>
        <v>0</v>
      </c>
      <c r="AO92" s="54">
        <f>_xll.EQNXTDZ($A$1,$B92,AO$5,$B$1)</f>
        <v>49.74</v>
      </c>
      <c r="AP92" s="54">
        <f>_xll.EQNXTDZ($A$1,$B92,AP$5,$B$1)</f>
        <v>0</v>
      </c>
      <c r="AQ92" s="54">
        <f>_xll.EQNXTDZ($A$1,$B92,AQ$5,$B$1)</f>
        <v>27.951000000000001</v>
      </c>
      <c r="AR92" s="54">
        <f>_xll.EQNXTDZ($A$1,$B92,AR$5,$B$1)</f>
        <v>0</v>
      </c>
      <c r="AS92" s="54">
        <f>_xll.EQNXTDZ($A$1,$B92,AS$5,$B$1)</f>
        <v>29.190999999999999</v>
      </c>
      <c r="AT92" s="54">
        <f>_xll.EQNXTDZ($A$1,$B92,AT$5,$B$1)</f>
        <v>0</v>
      </c>
      <c r="AU92" s="54">
        <f>_xll.EQNXTDZ($A$1,$B92,AU$5,$B$1)</f>
        <v>30.135000000000002</v>
      </c>
      <c r="AV92" s="54">
        <f>_xll.EQNXTDZ($A$1,$B92,AV$5,$B$1)</f>
        <v>0</v>
      </c>
      <c r="AW92" s="54">
        <f>_xll.EQNXTDZ($A$1,$B92,AW$5,$B$1)</f>
        <v>82.543000000000006</v>
      </c>
      <c r="AX92" s="54">
        <f>_xll.EQNXTDZ($A$1,$B92,AX$5,$B$1)</f>
        <v>0</v>
      </c>
      <c r="AY92" s="54">
        <f>_xll.EQNXTDZ($A$1,$B92,AY$5,$B$1)</f>
        <v>95.227999999999994</v>
      </c>
      <c r="AZ92" s="54">
        <f>_xll.EQNXTDZ($A$1,$B92,AZ$5,$B$1)</f>
        <v>0</v>
      </c>
      <c r="BA92" s="54">
        <f>_xll.EQNXTDZ($A$1,$B92,BA$5,$B$1)</f>
        <v>73.900000000000006</v>
      </c>
      <c r="BB92" s="54">
        <f>_xll.EQNXTDZ($A$1,$B92,BB$5,$B$1)</f>
        <v>0</v>
      </c>
      <c r="BC92" s="54">
        <f>_xll.EQNXTDZ($A$1,$B92,BC$5,$B$1)</f>
        <v>78.019000000000005</v>
      </c>
      <c r="BD92" s="54">
        <f>_xll.EQNXTDZ($A$1,$B92,BD$5,$B$1)</f>
        <v>0</v>
      </c>
      <c r="BE92" s="54">
        <f>_xll.EQNXTDZ($A$1,$B92,BE$5,$B$1)</f>
        <v>50.526000000000003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0</v>
      </c>
      <c r="E93" s="54">
        <f>_xll.EQNXTDZ($A$1,$B93,E$5,$B$1)</f>
        <v>0</v>
      </c>
      <c r="F93" s="54">
        <f>_xll.EQNXTDZ($A$1,$B93,F$5,$B$1)</f>
        <v>0</v>
      </c>
      <c r="G93" s="54">
        <f>_xll.EQNXTDZ($A$1,$B93,G$5,$B$1)</f>
        <v>0</v>
      </c>
      <c r="H93" s="54">
        <f>_xll.EQNXTDZ($A$1,$B93,H$5,$B$1)</f>
        <v>0</v>
      </c>
      <c r="I93" s="54">
        <f>_xll.EQNXTDZ($A$1,$B93,I$5,$B$1)</f>
        <v>0</v>
      </c>
      <c r="J93" s="54">
        <f>_xll.EQNXTDZ($A$1,$B93,J$5,$B$1)</f>
        <v>0</v>
      </c>
      <c r="K93" s="54">
        <f>_xll.EQNXTDZ($A$1,$B93,K$5,$B$1)</f>
        <v>0</v>
      </c>
      <c r="L93" s="54">
        <f>_xll.EQNXTDZ($A$1,$B93,L$5,$B$1)</f>
        <v>0</v>
      </c>
      <c r="M93" s="54">
        <f>_xll.EQNXTDZ($A$1,$B93,M$5,$B$1)</f>
        <v>0</v>
      </c>
      <c r="N93" s="54">
        <f>_xll.EQNXTDZ($A$1,$B93,N$5,$B$1)</f>
        <v>0</v>
      </c>
      <c r="O93" s="54">
        <f>_xll.EQNXTDZ($A$1,$B93,O$5,$B$1)</f>
        <v>0</v>
      </c>
      <c r="P93" s="54">
        <f>_xll.EQNXTDZ($A$1,$B93,P$5,$B$1)</f>
        <v>0</v>
      </c>
      <c r="Q93" s="54">
        <f>_xll.EQNXTDZ($A$1,$B93,Q$5,$B$1)</f>
        <v>1353.9649999999999</v>
      </c>
      <c r="R93" s="54">
        <f>_xll.EQNXTDZ($A$1,$B93,R$5,$B$1)</f>
        <v>0</v>
      </c>
      <c r="S93" s="54">
        <f>_xll.EQNXTDZ($A$1,$B93,S$5,$B$1)</f>
        <v>0</v>
      </c>
      <c r="T93" s="54">
        <f>_xll.EQNXTDZ($A$1,$B93,T$5,$B$1)</f>
        <v>0</v>
      </c>
      <c r="U93" s="54">
        <f>_xll.EQNXTDZ($A$1,$B93,U$5,$B$1)</f>
        <v>1741.472</v>
      </c>
      <c r="V93" s="54">
        <f>_xll.EQNXTDZ($A$1,$B93,V$5,$B$1)</f>
        <v>0</v>
      </c>
      <c r="W93" s="54">
        <f>_xll.EQNXTDZ($A$1,$B93,W$5,$B$1)</f>
        <v>1835.0070000000001</v>
      </c>
      <c r="X93" s="54">
        <f>_xll.EQNXTDZ($A$1,$B93,X$5,$B$1)</f>
        <v>0</v>
      </c>
      <c r="Y93" s="54">
        <f>_xll.EQNXTDZ($A$1,$B93,Y$5,$B$1)</f>
        <v>1588.848</v>
      </c>
      <c r="Z93" s="54">
        <f>_xll.EQNXTDZ($A$1,$B93,Z$5,$B$1)</f>
        <v>0</v>
      </c>
      <c r="AA93" s="54">
        <f>_xll.EQNXTDZ($A$1,$B93,AA$5,$B$1)</f>
        <v>1847.4179999999999</v>
      </c>
      <c r="AB93" s="54">
        <f>_xll.EQNXTDZ($A$1,$B93,AB$5,$B$1)</f>
        <v>0</v>
      </c>
      <c r="AC93" s="54">
        <f>_xll.EQNXTDZ($A$1,$B93,AC$5,$B$1)</f>
        <v>1740.8710000000001</v>
      </c>
      <c r="AD93" s="54">
        <f>_xll.EQNXTDZ($A$1,$B93,AD$5,$B$1)</f>
        <v>0</v>
      </c>
      <c r="AE93" s="54">
        <f>_xll.EQNXTDZ($A$1,$B93,AE$5,$B$1)</f>
        <v>2457.0920000000001</v>
      </c>
      <c r="AF93" s="54">
        <f>_xll.EQNXTDZ($A$1,$B93,AF$5,$B$1)</f>
        <v>0</v>
      </c>
      <c r="AG93" s="54">
        <f>_xll.EQNXTDZ($A$1,$B93,AG$5,$B$1)</f>
        <v>2220.2919999999999</v>
      </c>
      <c r="AH93" s="54">
        <f>_xll.EQNXTDZ($A$1,$B93,AH$5,$B$1)</f>
        <v>0</v>
      </c>
      <c r="AI93" s="54">
        <f>_xll.EQNXTDZ($A$1,$B93,AI$5,$B$1)</f>
        <v>2645.1869999999999</v>
      </c>
      <c r="AJ93" s="54">
        <f>_xll.EQNXTDZ($A$1,$B93,AJ$5,$B$1)</f>
        <v>0</v>
      </c>
      <c r="AK93" s="54">
        <f>_xll.EQNXTDZ($A$1,$B93,AK$5,$B$1)</f>
        <v>2434.9499999999998</v>
      </c>
      <c r="AL93" s="54">
        <f>_xll.EQNXTDZ($A$1,$B93,AL$5,$B$1)</f>
        <v>0</v>
      </c>
      <c r="AM93" s="54">
        <f>_xll.EQNXTDZ($A$1,$B93,AM$5,$B$1)</f>
        <v>2941.7049999999999</v>
      </c>
      <c r="AN93" s="54">
        <f>_xll.EQNXTDZ($A$1,$B93,AN$5,$B$1)</f>
        <v>0</v>
      </c>
      <c r="AO93" s="54">
        <f>_xll.EQNXTDZ($A$1,$B93,AO$5,$B$1)</f>
        <v>3020.2460000000001</v>
      </c>
      <c r="AP93" s="54">
        <f>_xll.EQNXTDZ($A$1,$B93,AP$5,$B$1)</f>
        <v>0</v>
      </c>
      <c r="AQ93" s="54">
        <f>_xll.EQNXTDZ($A$1,$B93,AQ$5,$B$1)</f>
        <v>3703.2429999999999</v>
      </c>
      <c r="AR93" s="54">
        <f>_xll.EQNXTDZ($A$1,$B93,AR$5,$B$1)</f>
        <v>0</v>
      </c>
      <c r="AS93" s="54">
        <f>_xll.EQNXTDZ($A$1,$B93,AS$5,$B$1)</f>
        <v>3968.7539999999999</v>
      </c>
      <c r="AT93" s="54">
        <f>_xll.EQNXTDZ($A$1,$B93,AT$5,$B$1)</f>
        <v>0</v>
      </c>
      <c r="AU93" s="54">
        <f>_xll.EQNXTDZ($A$1,$B93,AU$5,$B$1)</f>
        <v>4263.9960000000001</v>
      </c>
      <c r="AV93" s="54">
        <f>_xll.EQNXTDZ($A$1,$B93,AV$5,$B$1)</f>
        <v>0</v>
      </c>
      <c r="AW93" s="54">
        <f>_xll.EQNXTDZ($A$1,$B93,AW$5,$B$1)</f>
        <v>4153.2120000000004</v>
      </c>
      <c r="AX93" s="54">
        <f>_xll.EQNXTDZ($A$1,$B93,AX$5,$B$1)</f>
        <v>0</v>
      </c>
      <c r="AY93" s="54">
        <f>_xll.EQNXTDZ($A$1,$B93,AY$5,$B$1)</f>
        <v>6088.2889999999998</v>
      </c>
      <c r="AZ93" s="54">
        <f>_xll.EQNXTDZ($A$1,$B93,AZ$5,$B$1)</f>
        <v>0</v>
      </c>
      <c r="BA93" s="54">
        <f>_xll.EQNXTDZ($A$1,$B93,BA$5,$B$1)</f>
        <v>4524.4250000000002</v>
      </c>
      <c r="BB93" s="54">
        <f>_xll.EQNXTDZ($A$1,$B93,BB$5,$B$1)</f>
        <v>0</v>
      </c>
      <c r="BC93" s="54">
        <f>_xll.EQNXTDZ($A$1,$B93,BC$5,$B$1)</f>
        <v>4457.9830000000002</v>
      </c>
      <c r="BD93" s="54">
        <f>_xll.EQNXTDZ($A$1,$B93,BD$5,$B$1)</f>
        <v>0</v>
      </c>
      <c r="BE93" s="54">
        <f>_xll.EQNXTDZ($A$1,$B93,BE$5,$B$1)</f>
        <v>4073.9450000000002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0</v>
      </c>
      <c r="E94" s="54">
        <f>_xll.EQNXTDZ($A$1,$B94,E$5,$B$1)</f>
        <v>0</v>
      </c>
      <c r="F94" s="54">
        <f>_xll.EQNXTDZ($A$1,$B94,F$5,$B$1)</f>
        <v>0</v>
      </c>
      <c r="G94" s="54">
        <f>_xll.EQNXTDZ($A$1,$B94,G$5,$B$1)</f>
        <v>0</v>
      </c>
      <c r="H94" s="54">
        <f>_xll.EQNXTDZ($A$1,$B94,H$5,$B$1)</f>
        <v>0</v>
      </c>
      <c r="I94" s="54">
        <f>_xll.EQNXTDZ($A$1,$B94,I$5,$B$1)</f>
        <v>0</v>
      </c>
      <c r="J94" s="54">
        <f>_xll.EQNXTDZ($A$1,$B94,J$5,$B$1)</f>
        <v>0</v>
      </c>
      <c r="K94" s="54">
        <f>_xll.EQNXTDZ($A$1,$B94,K$5,$B$1)</f>
        <v>0</v>
      </c>
      <c r="L94" s="54">
        <f>_xll.EQNXTDZ($A$1,$B94,L$5,$B$1)</f>
        <v>0</v>
      </c>
      <c r="M94" s="54">
        <f>_xll.EQNXTDZ($A$1,$B94,M$5,$B$1)</f>
        <v>0</v>
      </c>
      <c r="N94" s="54">
        <f>_xll.EQNXTDZ($A$1,$B94,N$5,$B$1)</f>
        <v>0</v>
      </c>
      <c r="O94" s="54">
        <f>_xll.EQNXTDZ($A$1,$B94,O$5,$B$1)</f>
        <v>0</v>
      </c>
      <c r="P94" s="54">
        <f>_xll.EQNXTDZ($A$1,$B94,P$5,$B$1)</f>
        <v>0</v>
      </c>
      <c r="Q94" s="54">
        <f>_xll.EQNXTDZ($A$1,$B94,Q$5,$B$1)</f>
        <v>-623.76300000000003</v>
      </c>
      <c r="R94" s="54">
        <f>_xll.EQNXTDZ($A$1,$B94,R$5,$B$1)</f>
        <v>0</v>
      </c>
      <c r="S94" s="54">
        <f>_xll.EQNXTDZ($A$1,$B94,S$5,$B$1)</f>
        <v>0</v>
      </c>
      <c r="T94" s="54">
        <f>_xll.EQNXTDZ($A$1,$B94,T$5,$B$1)</f>
        <v>0</v>
      </c>
      <c r="U94" s="54">
        <f>_xll.EQNXTDZ($A$1,$B94,U$5,$B$1)</f>
        <v>-867.05899999999997</v>
      </c>
      <c r="V94" s="54">
        <f>_xll.EQNXTDZ($A$1,$B94,V$5,$B$1)</f>
        <v>0</v>
      </c>
      <c r="W94" s="54">
        <f>_xll.EQNXTDZ($A$1,$B94,W$5,$B$1)</f>
        <v>-644.12400000000002</v>
      </c>
      <c r="X94" s="54">
        <f>_xll.EQNXTDZ($A$1,$B94,X$5,$B$1)</f>
        <v>0</v>
      </c>
      <c r="Y94" s="54">
        <f>_xll.EQNXTDZ($A$1,$B94,Y$5,$B$1)</f>
        <v>-620.22699999999998</v>
      </c>
      <c r="Z94" s="54">
        <f>_xll.EQNXTDZ($A$1,$B94,Z$5,$B$1)</f>
        <v>0</v>
      </c>
      <c r="AA94" s="54">
        <f>_xll.EQNXTDZ($A$1,$B94,AA$5,$B$1)</f>
        <v>-628.80600000000004</v>
      </c>
      <c r="AB94" s="54">
        <f>_xll.EQNXTDZ($A$1,$B94,AB$5,$B$1)</f>
        <v>0</v>
      </c>
      <c r="AC94" s="54">
        <f>_xll.EQNXTDZ($A$1,$B94,AC$5,$B$1)</f>
        <v>-600.12400000000002</v>
      </c>
      <c r="AD94" s="54">
        <f>_xll.EQNXTDZ($A$1,$B94,AD$5,$B$1)</f>
        <v>0</v>
      </c>
      <c r="AE94" s="54">
        <f>_xll.EQNXTDZ($A$1,$B94,AE$5,$B$1)</f>
        <v>-738.83199999999999</v>
      </c>
      <c r="AF94" s="54">
        <f>_xll.EQNXTDZ($A$1,$B94,AF$5,$B$1)</f>
        <v>0</v>
      </c>
      <c r="AG94" s="54">
        <f>_xll.EQNXTDZ($A$1,$B94,AG$5,$B$1)</f>
        <v>-548.40800000000002</v>
      </c>
      <c r="AH94" s="54">
        <f>_xll.EQNXTDZ($A$1,$B94,AH$5,$B$1)</f>
        <v>0</v>
      </c>
      <c r="AI94" s="54">
        <f>_xll.EQNXTDZ($A$1,$B94,AI$5,$B$1)</f>
        <v>-867.25599999999997</v>
      </c>
      <c r="AJ94" s="54">
        <f>_xll.EQNXTDZ($A$1,$B94,AJ$5,$B$1)</f>
        <v>0</v>
      </c>
      <c r="AK94" s="54">
        <f>_xll.EQNXTDZ($A$1,$B94,AK$5,$B$1)</f>
        <v>-635.274</v>
      </c>
      <c r="AL94" s="54">
        <f>_xll.EQNXTDZ($A$1,$B94,AL$5,$B$1)</f>
        <v>0</v>
      </c>
      <c r="AM94" s="54">
        <f>_xll.EQNXTDZ($A$1,$B94,AM$5,$B$1)</f>
        <v>-845.17399999999998</v>
      </c>
      <c r="AN94" s="54">
        <f>_xll.EQNXTDZ($A$1,$B94,AN$5,$B$1)</f>
        <v>0</v>
      </c>
      <c r="AO94" s="54">
        <f>_xll.EQNXTDZ($A$1,$B94,AO$5,$B$1)</f>
        <v>-474.13299999999998</v>
      </c>
      <c r="AP94" s="54">
        <f>_xll.EQNXTDZ($A$1,$B94,AP$5,$B$1)</f>
        <v>0</v>
      </c>
      <c r="AQ94" s="54">
        <f>_xll.EQNXTDZ($A$1,$B94,AQ$5,$B$1)</f>
        <v>-643.85400000000004</v>
      </c>
      <c r="AR94" s="54">
        <f>_xll.EQNXTDZ($A$1,$B94,AR$5,$B$1)</f>
        <v>0</v>
      </c>
      <c r="AS94" s="54">
        <f>_xll.EQNXTDZ($A$1,$B94,AS$5,$B$1)</f>
        <v>-564.72400000000005</v>
      </c>
      <c r="AT94" s="54">
        <f>_xll.EQNXTDZ($A$1,$B94,AT$5,$B$1)</f>
        <v>0</v>
      </c>
      <c r="AU94" s="54">
        <f>_xll.EQNXTDZ($A$1,$B94,AU$5,$B$1)</f>
        <v>-406.94799999999998</v>
      </c>
      <c r="AV94" s="54">
        <f>_xll.EQNXTDZ($A$1,$B94,AV$5,$B$1)</f>
        <v>0</v>
      </c>
      <c r="AW94" s="54">
        <f>_xll.EQNXTDZ($A$1,$B94,AW$5,$B$1)</f>
        <v>82.418000000000006</v>
      </c>
      <c r="AX94" s="54">
        <f>_xll.EQNXTDZ($A$1,$B94,AX$5,$B$1)</f>
        <v>0</v>
      </c>
      <c r="AY94" s="54">
        <f>_xll.EQNXTDZ($A$1,$B94,AY$5,$B$1)</f>
        <v>-417.97899999999902</v>
      </c>
      <c r="AZ94" s="54">
        <f>_xll.EQNXTDZ($A$1,$B94,AZ$5,$B$1)</f>
        <v>0</v>
      </c>
      <c r="BA94" s="54">
        <f>_xll.EQNXTDZ($A$1,$B94,BA$5,$B$1)</f>
        <v>3339.549</v>
      </c>
      <c r="BB94" s="54">
        <f>_xll.EQNXTDZ($A$1,$B94,BB$5,$B$1)</f>
        <v>0</v>
      </c>
      <c r="BC94" s="54">
        <f>_xll.EQNXTDZ($A$1,$B94,BC$5,$B$1)</f>
        <v>3555.4029999999998</v>
      </c>
      <c r="BD94" s="54">
        <f>_xll.EQNXTDZ($A$1,$B94,BD$5,$B$1)</f>
        <v>0</v>
      </c>
      <c r="BE94" s="54">
        <f>_xll.EQNXTDZ($A$1,$B94,BE$5,$B$1)</f>
        <v>3815.4580000000001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0</v>
      </c>
      <c r="E96" s="54">
        <f>_xll.EQNXTDZ($A$1,$B96,E$5,$B$1)</f>
        <v>0</v>
      </c>
      <c r="F96" s="54">
        <f>_xll.EQNXTDZ($A$1,$B96,F$5,$B$1)</f>
        <v>0</v>
      </c>
      <c r="G96" s="54">
        <f>_xll.EQNXTDZ($A$1,$B96,G$5,$B$1)</f>
        <v>0</v>
      </c>
      <c r="H96" s="54">
        <f>_xll.EQNXTDZ($A$1,$B96,H$5,$B$1)</f>
        <v>0</v>
      </c>
      <c r="I96" s="54">
        <f>_xll.EQNXTDZ($A$1,$B96,I$5,$B$1)</f>
        <v>0</v>
      </c>
      <c r="J96" s="54">
        <f>_xll.EQNXTDZ($A$1,$B96,J$5,$B$1)</f>
        <v>0</v>
      </c>
      <c r="K96" s="54">
        <f>_xll.EQNXTDZ($A$1,$B96,K$5,$B$1)</f>
        <v>0</v>
      </c>
      <c r="L96" s="54">
        <f>_xll.EQNXTDZ($A$1,$B96,L$5,$B$1)</f>
        <v>0</v>
      </c>
      <c r="M96" s="54">
        <f>_xll.EQNXTDZ($A$1,$B96,M$5,$B$1)</f>
        <v>0</v>
      </c>
      <c r="N96" s="54">
        <f>_xll.EQNXTDZ($A$1,$B96,N$5,$B$1)</f>
        <v>0</v>
      </c>
      <c r="O96" s="54">
        <f>_xll.EQNXTDZ($A$1,$B96,O$5,$B$1)</f>
        <v>0</v>
      </c>
      <c r="P96" s="54">
        <f>_xll.EQNXTDZ($A$1,$B96,P$5,$B$1)</f>
        <v>0</v>
      </c>
      <c r="Q96" s="54">
        <f>_xll.EQNXTDZ($A$1,$B96,Q$5,$B$1)</f>
        <v>-142.88499999999999</v>
      </c>
      <c r="R96" s="54">
        <f>_xll.EQNXTDZ($A$1,$B96,R$5,$B$1)</f>
        <v>0</v>
      </c>
      <c r="S96" s="54">
        <f>_xll.EQNXTDZ($A$1,$B96,S$5,$B$1)</f>
        <v>0</v>
      </c>
      <c r="T96" s="54">
        <f>_xll.EQNXTDZ($A$1,$B96,T$5,$B$1)</f>
        <v>0</v>
      </c>
      <c r="U96" s="54">
        <f>_xll.EQNXTDZ($A$1,$B96,U$5,$B$1)</f>
        <v>-215.78399999999999</v>
      </c>
      <c r="V96" s="54">
        <f>_xll.EQNXTDZ($A$1,$B96,V$5,$B$1)</f>
        <v>0</v>
      </c>
      <c r="W96" s="54">
        <f>_xll.EQNXTDZ($A$1,$B96,W$5,$B$1)</f>
        <v>-124.419</v>
      </c>
      <c r="X96" s="54">
        <f>_xll.EQNXTDZ($A$1,$B96,X$5,$B$1)</f>
        <v>0</v>
      </c>
      <c r="Y96" s="54">
        <f>_xll.EQNXTDZ($A$1,$B96,Y$5,$B$1)</f>
        <v>-142.14699999999999</v>
      </c>
      <c r="Z96" s="54">
        <f>_xll.EQNXTDZ($A$1,$B96,Z$5,$B$1)</f>
        <v>0</v>
      </c>
      <c r="AA96" s="54">
        <f>_xll.EQNXTDZ($A$1,$B96,AA$5,$B$1)</f>
        <v>-158.44</v>
      </c>
      <c r="AB96" s="54">
        <f>_xll.EQNXTDZ($A$1,$B96,AB$5,$B$1)</f>
        <v>0</v>
      </c>
      <c r="AC96" s="54">
        <f>_xll.EQNXTDZ($A$1,$B96,AC$5,$B$1)</f>
        <v>-158.76599999999999</v>
      </c>
      <c r="AD96" s="54">
        <f>_xll.EQNXTDZ($A$1,$B96,AD$5,$B$1)</f>
        <v>0</v>
      </c>
      <c r="AE96" s="54">
        <f>_xll.EQNXTDZ($A$1,$B96,AE$5,$B$1)</f>
        <v>-237.84800000000001</v>
      </c>
      <c r="AF96" s="54">
        <f>_xll.EQNXTDZ($A$1,$B96,AF$5,$B$1)</f>
        <v>0</v>
      </c>
      <c r="AG96" s="54">
        <f>_xll.EQNXTDZ($A$1,$B96,AG$5,$B$1)</f>
        <v>-269.65899999999999</v>
      </c>
      <c r="AH96" s="54">
        <f>_xll.EQNXTDZ($A$1,$B96,AH$5,$B$1)</f>
        <v>0</v>
      </c>
      <c r="AI96" s="54">
        <f>_xll.EQNXTDZ($A$1,$B96,AI$5,$B$1)</f>
        <v>-199.83199999999999</v>
      </c>
      <c r="AJ96" s="54">
        <f>_xll.EQNXTDZ($A$1,$B96,AJ$5,$B$1)</f>
        <v>0</v>
      </c>
      <c r="AK96" s="54">
        <f>_xll.EQNXTDZ($A$1,$B96,AK$5,$B$1)</f>
        <v>-214.92500000000001</v>
      </c>
      <c r="AL96" s="54">
        <f>_xll.EQNXTDZ($A$1,$B96,AL$5,$B$1)</f>
        <v>0</v>
      </c>
      <c r="AM96" s="54">
        <f>_xll.EQNXTDZ($A$1,$B96,AM$5,$B$1)</f>
        <v>-281.30399999999997</v>
      </c>
      <c r="AN96" s="54">
        <f>_xll.EQNXTDZ($A$1,$B96,AN$5,$B$1)</f>
        <v>0</v>
      </c>
      <c r="AO96" s="54">
        <f>_xll.EQNXTDZ($A$1,$B96,AO$5,$B$1)</f>
        <v>-308.73399999999998</v>
      </c>
      <c r="AP96" s="54">
        <f>_xll.EQNXTDZ($A$1,$B96,AP$5,$B$1)</f>
        <v>0</v>
      </c>
      <c r="AQ96" s="54">
        <f>_xll.EQNXTDZ($A$1,$B96,AQ$5,$B$1)</f>
        <v>-339.49799999999999</v>
      </c>
      <c r="AR96" s="54">
        <f>_xll.EQNXTDZ($A$1,$B96,AR$5,$B$1)</f>
        <v>0</v>
      </c>
      <c r="AS96" s="54">
        <f>_xll.EQNXTDZ($A$1,$B96,AS$5,$B$1)</f>
        <v>-336.84800000000001</v>
      </c>
      <c r="AT96" s="54">
        <f>_xll.EQNXTDZ($A$1,$B96,AT$5,$B$1)</f>
        <v>0</v>
      </c>
      <c r="AU96" s="54">
        <f>_xll.EQNXTDZ($A$1,$B96,AU$5,$B$1)</f>
        <v>-340.13299999999998</v>
      </c>
      <c r="AV96" s="54">
        <f>_xll.EQNXTDZ($A$1,$B96,AV$5,$B$1)</f>
        <v>0</v>
      </c>
      <c r="AW96" s="54">
        <f>_xll.EQNXTDZ($A$1,$B96,AW$5,$B$1)</f>
        <v>-343.01100000000002</v>
      </c>
      <c r="AX96" s="54">
        <f>_xll.EQNXTDZ($A$1,$B96,AX$5,$B$1)</f>
        <v>0</v>
      </c>
      <c r="AY96" s="54">
        <f>_xll.EQNXTDZ($A$1,$B96,AY$5,$B$1)</f>
        <v>-384.983</v>
      </c>
      <c r="AZ96" s="54">
        <f>_xll.EQNXTDZ($A$1,$B96,AZ$5,$B$1)</f>
        <v>0</v>
      </c>
      <c r="BA96" s="54">
        <f>_xll.EQNXTDZ($A$1,$B96,BA$5,$B$1)</f>
        <v>-468.27800000000002</v>
      </c>
      <c r="BB96" s="54">
        <f>_xll.EQNXTDZ($A$1,$B96,BB$5,$B$1)</f>
        <v>0</v>
      </c>
      <c r="BC96" s="54">
        <f>_xll.EQNXTDZ($A$1,$B96,BC$5,$B$1)</f>
        <v>-528.20500000000004</v>
      </c>
      <c r="BD96" s="54">
        <f>_xll.EQNXTDZ($A$1,$B96,BD$5,$B$1)</f>
        <v>0</v>
      </c>
      <c r="BE96" s="54">
        <f>_xll.EQNXTDZ($A$1,$B96,BE$5,$B$1)</f>
        <v>-594.75199999999995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0</v>
      </c>
      <c r="E97" s="54">
        <f>_xll.EQNXTDZ($A$1,$B97,E$5,$B$1)</f>
        <v>0</v>
      </c>
      <c r="F97" s="54">
        <f>_xll.EQNXTDZ($A$1,$B97,F$5,$B$1)</f>
        <v>0</v>
      </c>
      <c r="G97" s="54">
        <f>_xll.EQNXTDZ($A$1,$B97,G$5,$B$1)</f>
        <v>0</v>
      </c>
      <c r="H97" s="54">
        <f>_xll.EQNXTDZ($A$1,$B97,H$5,$B$1)</f>
        <v>0</v>
      </c>
      <c r="I97" s="54">
        <f>_xll.EQNXTDZ($A$1,$B97,I$5,$B$1)</f>
        <v>0</v>
      </c>
      <c r="J97" s="54">
        <f>_xll.EQNXTDZ($A$1,$B97,J$5,$B$1)</f>
        <v>0</v>
      </c>
      <c r="K97" s="54">
        <f>_xll.EQNXTDZ($A$1,$B97,K$5,$B$1)</f>
        <v>0</v>
      </c>
      <c r="L97" s="54">
        <f>_xll.EQNXTDZ($A$1,$B97,L$5,$B$1)</f>
        <v>0</v>
      </c>
      <c r="M97" s="54">
        <f>_xll.EQNXTDZ($A$1,$B97,M$5,$B$1)</f>
        <v>0</v>
      </c>
      <c r="N97" s="54">
        <f>_xll.EQNXTDZ($A$1,$B97,N$5,$B$1)</f>
        <v>0</v>
      </c>
      <c r="O97" s="54">
        <f>_xll.EQNXTDZ($A$1,$B97,O$5,$B$1)</f>
        <v>0</v>
      </c>
      <c r="P97" s="54">
        <f>_xll.EQNXTDZ($A$1,$B97,P$5,$B$1)</f>
        <v>0</v>
      </c>
      <c r="Q97" s="54">
        <f>_xll.EQNXTDZ($A$1,$B97,Q$5,$B$1)</f>
        <v>2934.393</v>
      </c>
      <c r="R97" s="54">
        <f>_xll.EQNXTDZ($A$1,$B97,R$5,$B$1)</f>
        <v>0</v>
      </c>
      <c r="S97" s="54">
        <f>_xll.EQNXTDZ($A$1,$B97,S$5,$B$1)</f>
        <v>0</v>
      </c>
      <c r="T97" s="54">
        <f>_xll.EQNXTDZ($A$1,$B97,T$5,$B$1)</f>
        <v>0</v>
      </c>
      <c r="U97" s="54">
        <f>_xll.EQNXTDZ($A$1,$B97,U$5,$B$1)</f>
        <v>3265.078</v>
      </c>
      <c r="V97" s="54">
        <f>_xll.EQNXTDZ($A$1,$B97,V$5,$B$1)</f>
        <v>0</v>
      </c>
      <c r="W97" s="54">
        <f>_xll.EQNXTDZ($A$1,$B97,W$5,$B$1)</f>
        <v>3401.076</v>
      </c>
      <c r="X97" s="54">
        <f>_xll.EQNXTDZ($A$1,$B97,X$5,$B$1)</f>
        <v>0</v>
      </c>
      <c r="Y97" s="54">
        <f>_xll.EQNXTDZ($A$1,$B97,Y$5,$B$1)</f>
        <v>3544.6089999999999</v>
      </c>
      <c r="Z97" s="54">
        <f>_xll.EQNXTDZ($A$1,$B97,Z$5,$B$1)</f>
        <v>0</v>
      </c>
      <c r="AA97" s="54">
        <f>_xll.EQNXTDZ($A$1,$B97,AA$5,$B$1)</f>
        <v>3765.7240000000002</v>
      </c>
      <c r="AB97" s="54">
        <f>_xll.EQNXTDZ($A$1,$B97,AB$5,$B$1)</f>
        <v>0</v>
      </c>
      <c r="AC97" s="54">
        <f>_xll.EQNXTDZ($A$1,$B97,AC$5,$B$1)</f>
        <v>4098.3710000000001</v>
      </c>
      <c r="AD97" s="54">
        <f>_xll.EQNXTDZ($A$1,$B97,AD$5,$B$1)</f>
        <v>0</v>
      </c>
      <c r="AE97" s="54">
        <f>_xll.EQNXTDZ($A$1,$B97,AE$5,$B$1)</f>
        <v>5757.4840000000004</v>
      </c>
      <c r="AF97" s="54">
        <f>_xll.EQNXTDZ($A$1,$B97,AF$5,$B$1)</f>
        <v>0</v>
      </c>
      <c r="AG97" s="54">
        <f>_xll.EQNXTDZ($A$1,$B97,AG$5,$B$1)</f>
        <v>5885.6350000000002</v>
      </c>
      <c r="AH97" s="54">
        <f>_xll.EQNXTDZ($A$1,$B97,AH$5,$B$1)</f>
        <v>0</v>
      </c>
      <c r="AI97" s="54">
        <f>_xll.EQNXTDZ($A$1,$B97,AI$5,$B$1)</f>
        <v>5651.75</v>
      </c>
      <c r="AJ97" s="54">
        <f>_xll.EQNXTDZ($A$1,$B97,AJ$5,$B$1)</f>
        <v>0</v>
      </c>
      <c r="AK97" s="54">
        <f>_xll.EQNXTDZ($A$1,$B97,AK$5,$B$1)</f>
        <v>5797.49</v>
      </c>
      <c r="AL97" s="54">
        <f>_xll.EQNXTDZ($A$1,$B97,AL$5,$B$1)</f>
        <v>0</v>
      </c>
      <c r="AM97" s="54">
        <f>_xll.EQNXTDZ($A$1,$B97,AM$5,$B$1)</f>
        <v>5578.3990000000003</v>
      </c>
      <c r="AN97" s="54">
        <f>_xll.EQNXTDZ($A$1,$B97,AN$5,$B$1)</f>
        <v>0</v>
      </c>
      <c r="AO97" s="54">
        <f>_xll.EQNXTDZ($A$1,$B97,AO$5,$B$1)</f>
        <v>6250.5029999999997</v>
      </c>
      <c r="AP97" s="54">
        <f>_xll.EQNXTDZ($A$1,$B97,AP$5,$B$1)</f>
        <v>0</v>
      </c>
      <c r="AQ97" s="54">
        <f>_xll.EQNXTDZ($A$1,$B97,AQ$5,$B$1)</f>
        <v>6127.62</v>
      </c>
      <c r="AR97" s="54">
        <f>_xll.EQNXTDZ($A$1,$B97,AR$5,$B$1)</f>
        <v>0</v>
      </c>
      <c r="AS97" s="54">
        <f>_xll.EQNXTDZ($A$1,$B97,AS$5,$B$1)</f>
        <v>7312.6409999999996</v>
      </c>
      <c r="AT97" s="54">
        <f>_xll.EQNXTDZ($A$1,$B97,AT$5,$B$1)</f>
        <v>0</v>
      </c>
      <c r="AU97" s="54">
        <f>_xll.EQNXTDZ($A$1,$B97,AU$5,$B$1)</f>
        <v>8814.4920000000002</v>
      </c>
      <c r="AV97" s="54">
        <f>_xll.EQNXTDZ($A$1,$B97,AV$5,$B$1)</f>
        <v>0</v>
      </c>
      <c r="AW97" s="54">
        <f>_xll.EQNXTDZ($A$1,$B97,AW$5,$B$1)</f>
        <v>10690.96</v>
      </c>
      <c r="AX97" s="54">
        <f>_xll.EQNXTDZ($A$1,$B97,AX$5,$B$1)</f>
        <v>0</v>
      </c>
      <c r="AY97" s="54">
        <f>_xll.EQNXTDZ($A$1,$B97,AY$5,$B$1)</f>
        <v>12906.885</v>
      </c>
      <c r="AZ97" s="54">
        <f>_xll.EQNXTDZ($A$1,$B97,AZ$5,$B$1)</f>
        <v>0</v>
      </c>
      <c r="BA97" s="54">
        <f>_xll.EQNXTDZ($A$1,$B97,BA$5,$B$1)</f>
        <v>18131.576000000001</v>
      </c>
      <c r="BB97" s="54">
        <f>_xll.EQNXTDZ($A$1,$B97,BB$5,$B$1)</f>
        <v>0</v>
      </c>
      <c r="BC97" s="54">
        <f>_xll.EQNXTDZ($A$1,$B97,BC$5,$B$1)</f>
        <v>19708.785</v>
      </c>
      <c r="BD97" s="54">
        <f>_xll.EQNXTDZ($A$1,$B97,BD$5,$B$1)</f>
        <v>0</v>
      </c>
      <c r="BE97" s="54">
        <f>_xll.EQNXTDZ($A$1,$B97,BE$5,$B$1)</f>
        <v>20872.019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209550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Varun Beverages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340.68526329999997</v>
      </c>
      <c r="H6">
        <f>_xll.EQNXTDZ($A$1,$B6,H$1,$B$1)</f>
        <v>367.68239340000002</v>
      </c>
      <c r="I6">
        <f>_xll.EQNXTDZ($A$1,$B6,I$1,$B$1)</f>
        <v>373.99352290000002</v>
      </c>
      <c r="J6">
        <f>_xll.EQNXTDZ($A$1,$B6,J$1,$B$1)</f>
        <v>425.89375039999999</v>
      </c>
      <c r="K6">
        <f>_xll.EQNXTDZ($A$1,$B6,K$1,$B$1)</f>
        <v>513.43037919999995</v>
      </c>
      <c r="L6">
        <f>_xll.EQNXTDZ($A$1,$B6,L$1,$B$1)</f>
        <v>826.05039360000001</v>
      </c>
      <c r="M6">
        <f>_xll.EQNXTDZ($A$1,$B6,M$1,$B$1)</f>
        <v>1046.6193853</v>
      </c>
      <c r="N6">
        <f>_xll.EQNXTDZ($A$1,$B6,N$1,$B$1)</f>
        <v>1237.9639999999999</v>
      </c>
      <c r="O6">
        <f>_xll.EQNXTDZ($A$1,$B6,O$1,$B$1)</f>
        <v>1986.1179999999999</v>
      </c>
      <c r="P6">
        <f>_xll.EQNXTDZ($A$1,$B6,P$1,$B$1)</f>
        <v>2351.1729999999998</v>
      </c>
      <c r="Q6">
        <f>_xll.EQNXTDZ($A$1,$B6,Q$1,$B$1)</f>
        <v>2811.0740000000001</v>
      </c>
      <c r="R6">
        <f>_xll.EQNXTDZ($A$1,$B6,R$1,$B$1)</f>
        <v>3905.8939999999998</v>
      </c>
      <c r="S6">
        <f>_xll.EQNXTDZ($A$1,$B6,S$1,$B$1)</f>
        <v>4531.4610000000002</v>
      </c>
      <c r="T6">
        <f>_xll.EQNXTDZ($A$1,$B6,T$1,$B$1)</f>
        <v>4516.3770000000004</v>
      </c>
      <c r="U6">
        <f>_xll.EQNXTDZ($A$1,$B6,U$1,$B$1)</f>
        <v>6175.3360000000002</v>
      </c>
      <c r="V6">
        <f>_xll.EQNXTDZ($A$1,$B6,V$1,$B$1)</f>
        <v>8630.9089999999997</v>
      </c>
      <c r="W6">
        <f>_xll.EQNXTDZ($A$1,$B6,W$1,$B$1)</f>
        <v>7660.2860000000001</v>
      </c>
      <c r="X6">
        <f>_xll.EQNXTDZ($A$1,$B6,X$1,$B$1)</f>
        <v>9310.3230000000003</v>
      </c>
      <c r="Y6">
        <f>_xll.EQNXTDZ($A$1,$B6,Y$1,$B$1)</f>
        <v>13771.664000000001</v>
      </c>
      <c r="Z6">
        <f>_xll.EQNXTDZ($A$1,$B6,Z$1,$B$1)</f>
        <v>16653.773000000001</v>
      </c>
      <c r="AA6">
        <f>_xll.EQNXTDZ($A$1,$B6,AA$1,$B$1)</f>
        <v>21234.143</v>
      </c>
      <c r="AB6">
        <f>_xll.EQNXTDZ($A$1,$B6,AB$1,$B$1)</f>
        <v>23118.466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947.20899999999995</v>
      </c>
      <c r="V8">
        <f>_xll.EQNXTDZ($A$1,$B8,V$1,$B$1)</f>
        <v>1382.451</v>
      </c>
      <c r="W8">
        <f>_xll.EQNXTDZ($A$1,$B8,W$1,$B$1)</f>
        <v>1104.4949999999999</v>
      </c>
      <c r="X8">
        <f>_xll.EQNXTDZ($A$1,$B8,X$1,$B$1)</f>
        <v>352.03199999999998</v>
      </c>
      <c r="Y8">
        <f>_xll.EQNXTDZ($A$1,$B8,Y$1,$B$1)</f>
        <v>381.10599999999999</v>
      </c>
      <c r="Z8">
        <f>_xll.EQNXTDZ($A$1,$B8,Z$1,$B$1)</f>
        <v>332.71</v>
      </c>
      <c r="AA8">
        <f>_xll.EQNXTDZ($A$1,$B8,AA$1,$B$1)</f>
        <v>752.81500000000005</v>
      </c>
      <c r="AB8">
        <f>_xll.EQNXTDZ($A$1,$B8,AB$1,$B$1)</f>
        <v>892.88199999999995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57.193838200000002</v>
      </c>
      <c r="H9">
        <f>_xll.EQNXTDZ($A$1,$B9,H$1,$B$1)</f>
        <v>60.750737600000001</v>
      </c>
      <c r="I9">
        <f>_xll.EQNXTDZ($A$1,$B9,I$1,$B$1)</f>
        <v>46.140744300000001</v>
      </c>
      <c r="J9">
        <f>_xll.EQNXTDZ($A$1,$B9,J$1,$B$1)</f>
        <v>53.163080600000001</v>
      </c>
      <c r="K9">
        <f>_xll.EQNXTDZ($A$1,$B9,K$1,$B$1)</f>
        <v>53.585175599999999</v>
      </c>
      <c r="L9">
        <f>_xll.EQNXTDZ($A$1,$B9,L$1,$B$1)</f>
        <v>54.458274299999999</v>
      </c>
      <c r="M9">
        <f>_xll.EQNXTDZ($A$1,$B9,M$1,$B$1)</f>
        <v>81.091828399999997</v>
      </c>
      <c r="N9">
        <f>_xll.EQNXTDZ($A$1,$B9,N$1,$B$1)</f>
        <v>98.36</v>
      </c>
      <c r="O9">
        <f>_xll.EQNXTDZ($A$1,$B9,O$1,$B$1)</f>
        <v>186.124</v>
      </c>
      <c r="P9">
        <f>_xll.EQNXTDZ($A$1,$B9,P$1,$B$1)</f>
        <v>236.024</v>
      </c>
      <c r="Q9">
        <f>_xll.EQNXTDZ($A$1,$B9,Q$1,$B$1)</f>
        <v>308.66699999999997</v>
      </c>
      <c r="R9">
        <f>_xll.EQNXTDZ($A$1,$B9,R$1,$B$1)</f>
        <v>511.745</v>
      </c>
      <c r="S9">
        <f>_xll.EQNXTDZ($A$1,$B9,S$1,$B$1)</f>
        <v>670.27800000000002</v>
      </c>
      <c r="T9">
        <f>_xll.EQNXTDZ($A$1,$B9,T$1,$B$1)</f>
        <v>512.83699999999999</v>
      </c>
      <c r="U9">
        <f>_xll.EQNXTDZ($A$1,$B9,U$1,$B$1)</f>
        <v>122.872</v>
      </c>
      <c r="V9">
        <f>_xll.EQNXTDZ($A$1,$B9,V$1,$B$1)</f>
        <v>118.88</v>
      </c>
      <c r="W9">
        <f>_xll.EQNXTDZ($A$1,$B9,W$1,$B$1)</f>
        <v>105.649</v>
      </c>
      <c r="X9">
        <f>_xll.EQNXTDZ($A$1,$B9,X$1,$B$1)</f>
        <v>135.06100000000001</v>
      </c>
      <c r="Y9">
        <f>_xll.EQNXTDZ($A$1,$B9,Y$1,$B$1)</f>
        <v>217.416</v>
      </c>
      <c r="Z9">
        <f>_xll.EQNXTDZ($A$1,$B9,Z$1,$B$1)</f>
        <v>278.48200000000003</v>
      </c>
      <c r="AA9">
        <f>_xll.EQNXTDZ($A$1,$B9,AA$1,$B$1)</f>
        <v>473.678</v>
      </c>
      <c r="AB9">
        <f>_xll.EQNXTDZ($A$1,$B9,AB$1,$B$1)</f>
        <v>540.20500000000004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283.49142510000001</v>
      </c>
      <c r="H10">
        <f>_xll.EQNXTDZ($A$1,$B10,H$1,$B$1)</f>
        <v>306.93165579999999</v>
      </c>
      <c r="I10">
        <f>_xll.EQNXTDZ($A$1,$B10,I$1,$B$1)</f>
        <v>327.85277860000002</v>
      </c>
      <c r="J10">
        <f>_xll.EQNXTDZ($A$1,$B10,J$1,$B$1)</f>
        <v>372.73066979999999</v>
      </c>
      <c r="K10">
        <f>_xll.EQNXTDZ($A$1,$B10,K$1,$B$1)</f>
        <v>459.84520359999999</v>
      </c>
      <c r="L10">
        <f>_xll.EQNXTDZ($A$1,$B10,L$1,$B$1)</f>
        <v>771.59211930000004</v>
      </c>
      <c r="M10">
        <f>_xll.EQNXTDZ($A$1,$B10,M$1,$B$1)</f>
        <v>965.52755690000004</v>
      </c>
      <c r="N10">
        <f>_xll.EQNXTDZ($A$1,$B10,N$1,$B$1)</f>
        <v>1139.604</v>
      </c>
      <c r="O10">
        <f>_xll.EQNXTDZ($A$1,$B10,O$1,$B$1)</f>
        <v>1799.9939999999999</v>
      </c>
      <c r="P10">
        <f>_xll.EQNXTDZ($A$1,$B10,P$1,$B$1)</f>
        <v>2115.1489999999999</v>
      </c>
      <c r="Q10">
        <f>_xll.EQNXTDZ($A$1,$B10,Q$1,$B$1)</f>
        <v>2502.4070000000002</v>
      </c>
      <c r="R10">
        <f>_xll.EQNXTDZ($A$1,$B10,R$1,$B$1)</f>
        <v>3394.1489999999999</v>
      </c>
      <c r="S10">
        <f>_xll.EQNXTDZ($A$1,$B10,S$1,$B$1)</f>
        <v>3861.183</v>
      </c>
      <c r="T10">
        <f>_xll.EQNXTDZ($A$1,$B10,T$1,$B$1)</f>
        <v>4003.54</v>
      </c>
      <c r="U10">
        <f>_xll.EQNXTDZ($A$1,$B10,U$1,$B$1)</f>
        <v>5105.2550000000001</v>
      </c>
      <c r="V10">
        <f>_xll.EQNXTDZ($A$1,$B10,V$1,$B$1)</f>
        <v>7129.5780000000004</v>
      </c>
      <c r="W10">
        <f>_xll.EQNXTDZ($A$1,$B10,W$1,$B$1)</f>
        <v>6450.1419999999998</v>
      </c>
      <c r="X10">
        <f>_xll.EQNXTDZ($A$1,$B10,X$1,$B$1)</f>
        <v>8823.23</v>
      </c>
      <c r="Y10">
        <f>_xll.EQNXTDZ($A$1,$B10,Y$1,$B$1)</f>
        <v>13173.142</v>
      </c>
      <c r="Z10">
        <f>_xll.EQNXTDZ($A$1,$B10,Z$1,$B$1)</f>
        <v>16042.581</v>
      </c>
      <c r="AA10">
        <f>_xll.EQNXTDZ($A$1,$B10,AA$1,$B$1)</f>
        <v>20007.650000000001</v>
      </c>
      <c r="AB10">
        <f>_xll.EQNXTDZ($A$1,$B10,AB$1,$B$1)</f>
        <v>21685.379000000001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-7.2403228999999998</v>
      </c>
      <c r="H11">
        <f>_xll.EQNXTDZ($A$1,$B11,H$1,$B$1)</f>
        <v>2.2733899000000002</v>
      </c>
      <c r="I11">
        <f>_xll.EQNXTDZ($A$1,$B11,I$1,$B$1)</f>
        <v>-3.1626000000000001E-2</v>
      </c>
      <c r="J11">
        <f>_xll.EQNXTDZ($A$1,$B11,J$1,$B$1)</f>
        <v>-2.1219877999999999</v>
      </c>
      <c r="K11">
        <f>_xll.EQNXTDZ($A$1,$B11,K$1,$B$1)</f>
        <v>-11.5000103</v>
      </c>
      <c r="L11">
        <f>_xll.EQNXTDZ($A$1,$B11,L$1,$B$1)</f>
        <v>-17.142855399999998</v>
      </c>
      <c r="M11">
        <f>_xll.EQNXTDZ($A$1,$B11,M$1,$B$1)</f>
        <v>-8.8457708000000004</v>
      </c>
      <c r="N11">
        <f>_xll.EQNXTDZ($A$1,$B11,N$1,$B$1)</f>
        <v>-31.2</v>
      </c>
      <c r="O11">
        <f>_xll.EQNXTDZ($A$1,$B11,O$1,$B$1)</f>
        <v>3.3130000000000002</v>
      </c>
      <c r="P11">
        <f>_xll.EQNXTDZ($A$1,$B11,P$1,$B$1)</f>
        <v>-8.4540000000000006</v>
      </c>
      <c r="Q11">
        <f>_xll.EQNXTDZ($A$1,$B11,Q$1,$B$1)</f>
        <v>0.19400000000000001</v>
      </c>
      <c r="R11">
        <f>_xll.EQNXTDZ($A$1,$B11,R$1,$B$1)</f>
        <v>-28.984999999999999</v>
      </c>
      <c r="S11">
        <f>_xll.EQNXTDZ($A$1,$B11,S$1,$B$1)</f>
        <v>-31.855</v>
      </c>
      <c r="T11">
        <f>_xll.EQNXTDZ($A$1,$B11,T$1,$B$1)</f>
        <v>-73.221999999999994</v>
      </c>
      <c r="U11">
        <f>_xll.EQNXTDZ($A$1,$B11,U$1,$B$1)</f>
        <v>-62.396999999999998</v>
      </c>
      <c r="V11">
        <f>_xll.EQNXTDZ($A$1,$B11,V$1,$B$1)</f>
        <v>-143.86099999999999</v>
      </c>
      <c r="W11">
        <f>_xll.EQNXTDZ($A$1,$B11,W$1,$B$1)</f>
        <v>-17.158999999999999</v>
      </c>
      <c r="X11">
        <f>_xll.EQNXTDZ($A$1,$B11,X$1,$B$1)</f>
        <v>-99.721999999999994</v>
      </c>
      <c r="Y11">
        <f>_xll.EQNXTDZ($A$1,$B11,Y$1,$B$1)</f>
        <v>-344.50700000000001</v>
      </c>
      <c r="Z11">
        <f>_xll.EQNXTDZ($A$1,$B11,Z$1,$B$1)</f>
        <v>-84.269000000000005</v>
      </c>
      <c r="AA11">
        <f>_xll.EQNXTDZ($A$1,$B11,AA$1,$B$1)</f>
        <v>-74.94</v>
      </c>
      <c r="AB11">
        <f>_xll.EQNXTDZ($A$1,$B11,AB$1,$B$1)</f>
        <v>8.9139999999999997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146.19764979999999</v>
      </c>
      <c r="H12">
        <f>_xll.EQNXTDZ($A$1,$B12,H$1,$B$1)</f>
        <v>156.13787429999999</v>
      </c>
      <c r="I12">
        <f>_xll.EQNXTDZ($A$1,$B12,I$1,$B$1)</f>
        <v>175.91753610000001</v>
      </c>
      <c r="J12">
        <f>_xll.EQNXTDZ($A$1,$B12,J$1,$B$1)</f>
        <v>209.33044179999999</v>
      </c>
      <c r="K12">
        <f>_xll.EQNXTDZ($A$1,$B12,K$1,$B$1)</f>
        <v>270.02375949999998</v>
      </c>
      <c r="L12">
        <f>_xll.EQNXTDZ($A$1,$B12,L$1,$B$1)</f>
        <v>490.8718068</v>
      </c>
      <c r="M12">
        <f>_xll.EQNXTDZ($A$1,$B12,M$1,$B$1)</f>
        <v>603.70977040000002</v>
      </c>
      <c r="N12">
        <f>_xll.EQNXTDZ($A$1,$B12,N$1,$B$1)</f>
        <v>735.77</v>
      </c>
      <c r="O12">
        <f>_xll.EQNXTDZ($A$1,$B12,O$1,$B$1)</f>
        <v>1024.471</v>
      </c>
      <c r="P12">
        <f>_xll.EQNXTDZ($A$1,$B12,P$1,$B$1)</f>
        <v>1207.663</v>
      </c>
      <c r="Q12">
        <f>_xll.EQNXTDZ($A$1,$B12,Q$1,$B$1)</f>
        <v>1375.923</v>
      </c>
      <c r="R12">
        <f>_xll.EQNXTDZ($A$1,$B12,R$1,$B$1)</f>
        <v>1745.4590000000001</v>
      </c>
      <c r="S12">
        <f>_xll.EQNXTDZ($A$1,$B12,S$1,$B$1)</f>
        <v>1769.7380000000001</v>
      </c>
      <c r="T12">
        <f>_xll.EQNXTDZ($A$1,$B12,T$1,$B$1)</f>
        <v>1883.278</v>
      </c>
      <c r="U12">
        <f>_xll.EQNXTDZ($A$1,$B12,U$1,$B$1)</f>
        <v>2306.4960000000001</v>
      </c>
      <c r="V12">
        <f>_xll.EQNXTDZ($A$1,$B12,V$1,$B$1)</f>
        <v>3363.2890000000002</v>
      </c>
      <c r="W12">
        <f>_xll.EQNXTDZ($A$1,$B12,W$1,$B$1)</f>
        <v>2781.096</v>
      </c>
      <c r="X12">
        <f>_xll.EQNXTDZ($A$1,$B12,X$1,$B$1)</f>
        <v>4134.3819999999996</v>
      </c>
      <c r="Y12">
        <f>_xll.EQNXTDZ($A$1,$B12,Y$1,$B$1)</f>
        <v>6605.6629999999996</v>
      </c>
      <c r="Z12">
        <f>_xll.EQNXTDZ($A$1,$B12,Z$1,$B$1)</f>
        <v>7489.1570000000002</v>
      </c>
      <c r="AA12">
        <f>_xll.EQNXTDZ($A$1,$B12,AA$1,$B$1)</f>
        <v>8979.6640000000007</v>
      </c>
      <c r="AB12">
        <f>_xll.EQNXTDZ($A$1,$B12,AB$1,$B$1)</f>
        <v>9706.5149999999994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16.275856999999998</v>
      </c>
      <c r="H13">
        <f>_xll.EQNXTDZ($A$1,$B13,H$1,$B$1)</f>
        <v>17.007646000000001</v>
      </c>
      <c r="I13">
        <f>_xll.EQNXTDZ($A$1,$B13,I$1,$B$1)</f>
        <v>15.3166622</v>
      </c>
      <c r="J13">
        <f>_xll.EQNXTDZ($A$1,$B13,J$1,$B$1)</f>
        <v>14.8364698</v>
      </c>
      <c r="K13">
        <f>_xll.EQNXTDZ($A$1,$B13,K$1,$B$1)</f>
        <v>21.461026</v>
      </c>
      <c r="L13">
        <f>_xll.EQNXTDZ($A$1,$B13,L$1,$B$1)</f>
        <v>30.7346459</v>
      </c>
      <c r="M13">
        <f>_xll.EQNXTDZ($A$1,$B13,M$1,$B$1)</f>
        <v>40.687784000000001</v>
      </c>
      <c r="N13">
        <f>_xll.EQNXTDZ($A$1,$B13,N$1,$B$1)</f>
        <v>43.405999999999999</v>
      </c>
      <c r="O13">
        <f>_xll.EQNXTDZ($A$1,$B13,O$1,$B$1)</f>
        <v>83.534999999999997</v>
      </c>
      <c r="P13">
        <f>_xll.EQNXTDZ($A$1,$B13,P$1,$B$1)</f>
        <v>100.92400000000001</v>
      </c>
      <c r="Q13">
        <f>_xll.EQNXTDZ($A$1,$B13,Q$1,$B$1)</f>
        <v>113.623</v>
      </c>
      <c r="R13">
        <f>_xll.EQNXTDZ($A$1,$B13,R$1,$B$1)</f>
        <v>131.15299999999999</v>
      </c>
      <c r="S13">
        <f>_xll.EQNXTDZ($A$1,$B13,S$1,$B$1)</f>
        <v>156.215</v>
      </c>
      <c r="T13">
        <f>_xll.EQNXTDZ($A$1,$B13,T$1,$B$1)</f>
        <v>160.03800000000001</v>
      </c>
      <c r="U13">
        <f>_xll.EQNXTDZ($A$1,$B13,U$1,$B$1)</f>
        <v>194.79599999999999</v>
      </c>
      <c r="V13">
        <f>_xll.EQNXTDZ($A$1,$B13,V$1,$B$1)</f>
        <v>279.06200000000001</v>
      </c>
      <c r="W13">
        <f>_xll.EQNXTDZ($A$1,$B13,W$1,$B$1)</f>
        <v>267</v>
      </c>
      <c r="X13">
        <f>_xll.EQNXTDZ($A$1,$B13,X$1,$B$1)</f>
        <v>329.92500000000001</v>
      </c>
      <c r="Y13">
        <f>_xll.EQNXTDZ($A$1,$B13,Y$1,$B$1)</f>
        <v>479.22</v>
      </c>
      <c r="Z13">
        <f>_xll.EQNXTDZ($A$1,$B13,Z$1,$B$1)</f>
        <v>550.28499999999997</v>
      </c>
      <c r="AA13">
        <f>_xll.EQNXTDZ($A$1,$B13,AA$1,$B$1)</f>
        <v>629.50800000000004</v>
      </c>
      <c r="AB13">
        <f>_xll.EQNXTDZ($A$1,$B13,AB$1,$B$1)</f>
        <v>636.55799999999999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15.354205800000001</v>
      </c>
      <c r="H14">
        <f>_xll.EQNXTDZ($A$1,$B14,H$1,$B$1)</f>
        <v>18.509316800000001</v>
      </c>
      <c r="I14">
        <f>_xll.EQNXTDZ($A$1,$B14,I$1,$B$1)</f>
        <v>20.416253600000001</v>
      </c>
      <c r="J14">
        <f>_xll.EQNXTDZ($A$1,$B14,J$1,$B$1)</f>
        <v>21.135453399999999</v>
      </c>
      <c r="K14">
        <f>_xll.EQNXTDZ($A$1,$B14,K$1,$B$1)</f>
        <v>28.809941200000001</v>
      </c>
      <c r="L14">
        <f>_xll.EQNXTDZ($A$1,$B14,L$1,$B$1)</f>
        <v>47.908134400000002</v>
      </c>
      <c r="M14">
        <f>_xll.EQNXTDZ($A$1,$B14,M$1,$B$1)</f>
        <v>60.118574500000001</v>
      </c>
      <c r="N14">
        <f>_xll.EQNXTDZ($A$1,$B14,N$1,$B$1)</f>
        <v>73.149000000000001</v>
      </c>
      <c r="O14">
        <f>_xll.EQNXTDZ($A$1,$B14,O$1,$B$1)</f>
        <v>152.42400000000001</v>
      </c>
      <c r="P14">
        <f>_xll.EQNXTDZ($A$1,$B14,P$1,$B$1)</f>
        <v>182.99100000000001</v>
      </c>
      <c r="Q14">
        <f>_xll.EQNXTDZ($A$1,$B14,Q$1,$B$1)</f>
        <v>216.79900000000001</v>
      </c>
      <c r="R14">
        <f>_xll.EQNXTDZ($A$1,$B14,R$1,$B$1)</f>
        <v>323.75099999999998</v>
      </c>
      <c r="S14">
        <f>_xll.EQNXTDZ($A$1,$B14,S$1,$B$1)</f>
        <v>421.03</v>
      </c>
      <c r="T14">
        <f>_xll.EQNXTDZ($A$1,$B14,T$1,$B$1)</f>
        <v>462.84399999999999</v>
      </c>
      <c r="U14">
        <f>_xll.EQNXTDZ($A$1,$B14,U$1,$B$1)</f>
        <v>582.95100000000002</v>
      </c>
      <c r="V14">
        <f>_xll.EQNXTDZ($A$1,$B14,V$1,$B$1)</f>
        <v>810.81500000000005</v>
      </c>
      <c r="W14">
        <f>_xll.EQNXTDZ($A$1,$B14,W$1,$B$1)</f>
        <v>889.73599999999999</v>
      </c>
      <c r="X14">
        <f>_xll.EQNXTDZ($A$1,$B14,X$1,$B$1)</f>
        <v>1007.699</v>
      </c>
      <c r="Y14">
        <f>_xll.EQNXTDZ($A$1,$B14,Y$1,$B$1)</f>
        <v>1216.6420000000001</v>
      </c>
      <c r="Z14">
        <f>_xll.EQNXTDZ($A$1,$B14,Z$1,$B$1)</f>
        <v>1446.587</v>
      </c>
      <c r="AA14">
        <f>_xll.EQNXTDZ($A$1,$B14,AA$1,$B$1)</f>
        <v>1885.0260000000001</v>
      </c>
      <c r="AB14">
        <f>_xll.EQNXTDZ($A$1,$B14,AB$1,$B$1)</f>
        <v>2200.7429999999999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41.620309300000002</v>
      </c>
      <c r="H15">
        <f>_xll.EQNXTDZ($A$1,$B15,H$1,$B$1)</f>
        <v>43.679927900000003</v>
      </c>
      <c r="I15">
        <f>_xll.EQNXTDZ($A$1,$B15,I$1,$B$1)</f>
        <v>46.400612299999999</v>
      </c>
      <c r="J15">
        <f>_xll.EQNXTDZ($A$1,$B15,J$1,$B$1)</f>
        <v>51.546875499999999</v>
      </c>
      <c r="K15">
        <f>_xll.EQNXTDZ($A$1,$B15,K$1,$B$1)</f>
        <v>57.9513715</v>
      </c>
      <c r="L15">
        <f>_xll.EQNXTDZ($A$1,$B15,L$1,$B$1)</f>
        <v>92.905751499999994</v>
      </c>
      <c r="M15">
        <f>_xll.EQNXTDZ($A$1,$B15,M$1,$B$1)</f>
        <v>96.008182399999995</v>
      </c>
      <c r="N15">
        <f>_xll.EQNXTDZ($A$1,$B15,N$1,$B$1)</f>
        <v>96.820999999999998</v>
      </c>
      <c r="O15">
        <f>_xll.EQNXTDZ($A$1,$B15,O$1,$B$1)</f>
        <v>194.21700000000001</v>
      </c>
      <c r="P15">
        <f>_xll.EQNXTDZ($A$1,$B15,P$1,$B$1)</f>
        <v>217.51499999999999</v>
      </c>
      <c r="Q15">
        <f>_xll.EQNXTDZ($A$1,$B15,Q$1,$B$1)</f>
        <v>266.54500000000002</v>
      </c>
      <c r="R15">
        <f>_xll.EQNXTDZ($A$1,$B15,R$1,$B$1)</f>
        <v>370.90600000000001</v>
      </c>
      <c r="S15">
        <f>_xll.EQNXTDZ($A$1,$B15,S$1,$B$1)</f>
        <v>459.34100000000001</v>
      </c>
      <c r="T15">
        <f>_xll.EQNXTDZ($A$1,$B15,T$1,$B$1)</f>
        <v>435.56700000000001</v>
      </c>
      <c r="U15">
        <f>_xll.EQNXTDZ($A$1,$B15,U$1,$B$1)</f>
        <v>624.39700000000005</v>
      </c>
      <c r="V15">
        <f>_xll.EQNXTDZ($A$1,$B15,V$1,$B$1)</f>
        <v>824.06399999999996</v>
      </c>
      <c r="W15">
        <f>_xll.EQNXTDZ($A$1,$B15,W$1,$B$1)</f>
        <v>873.02099999999996</v>
      </c>
      <c r="X15">
        <f>_xll.EQNXTDZ($A$1,$B15,X$1,$B$1)</f>
        <v>1074.154</v>
      </c>
      <c r="Y15">
        <f>_xll.EQNXTDZ($A$1,$B15,Y$1,$B$1)</f>
        <v>1531.9649999999999</v>
      </c>
      <c r="Z15">
        <f>_xll.EQNXTDZ($A$1,$B15,Z$1,$B$1)</f>
        <v>1828.22</v>
      </c>
      <c r="AA15">
        <f>_xll.EQNXTDZ($A$1,$B15,AA$1,$B$1)</f>
        <v>2373.1819999999998</v>
      </c>
      <c r="AB15">
        <f>_xll.EQNXTDZ($A$1,$B15,AB$1,$B$1)</f>
        <v>2558.1869999999999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6.838419</v>
      </c>
      <c r="H17">
        <f>_xll.EQNXTDZ($A$1,$B17,H$1,$B$1)</f>
        <v>7.6012442</v>
      </c>
      <c r="I17">
        <f>_xll.EQNXTDZ($A$1,$B17,I$1,$B$1)</f>
        <v>12.186068799999999</v>
      </c>
      <c r="J17">
        <f>_xll.EQNXTDZ($A$1,$B17,J$1,$B$1)</f>
        <v>13.7616496</v>
      </c>
      <c r="K17">
        <f>_xll.EQNXTDZ($A$1,$B17,K$1,$B$1)</f>
        <v>15.662524899999999</v>
      </c>
      <c r="L17">
        <f>_xll.EQNXTDZ($A$1,$B17,L$1,$B$1)</f>
        <v>20.7796588</v>
      </c>
      <c r="M17">
        <f>_xll.EQNXTDZ($A$1,$B17,M$1,$B$1)</f>
        <v>37.076262100000001</v>
      </c>
      <c r="N17">
        <f>_xll.EQNXTDZ($A$1,$B17,N$1,$B$1)</f>
        <v>34.557000000000002</v>
      </c>
      <c r="O17">
        <f>_xll.EQNXTDZ($A$1,$B17,O$1,$B$1)</f>
        <v>57.774999999999999</v>
      </c>
      <c r="P17">
        <f>_xll.EQNXTDZ($A$1,$B17,P$1,$B$1)</f>
        <v>63.908999999999999</v>
      </c>
      <c r="Q17">
        <f>_xll.EQNXTDZ($A$1,$B17,Q$1,$B$1)</f>
        <v>71.95</v>
      </c>
      <c r="R17">
        <f>_xll.EQNXTDZ($A$1,$B17,R$1,$B$1)</f>
        <v>112.584</v>
      </c>
      <c r="S17">
        <f>_xll.EQNXTDZ($A$1,$B17,S$1,$B$1)</f>
        <v>147.72499999999999</v>
      </c>
      <c r="T17">
        <f>_xll.EQNXTDZ($A$1,$B17,T$1,$B$1)</f>
        <v>141.12899999999999</v>
      </c>
      <c r="U17">
        <f>_xll.EQNXTDZ($A$1,$B17,U$1,$B$1)</f>
        <v>172.744</v>
      </c>
      <c r="V17">
        <f>_xll.EQNXTDZ($A$1,$B17,V$1,$B$1)</f>
        <v>258.911</v>
      </c>
      <c r="W17">
        <f>_xll.EQNXTDZ($A$1,$B17,W$1,$B$1)</f>
        <v>259.81599999999997</v>
      </c>
      <c r="X17">
        <f>_xll.EQNXTDZ($A$1,$B17,X$1,$B$1)</f>
        <v>344.48200000000003</v>
      </c>
      <c r="Y17">
        <f>_xll.EQNXTDZ($A$1,$B17,Y$1,$B$1)</f>
        <v>371.911</v>
      </c>
      <c r="Z17">
        <f>_xll.EQNXTDZ($A$1,$B17,Z$1,$B$1)</f>
        <v>503.779</v>
      </c>
      <c r="AA17">
        <f>_xll.EQNXTDZ($A$1,$B17,AA$1,$B$1)</f>
        <v>618.95100000000002</v>
      </c>
      <c r="AB17">
        <f>_xll.EQNXTDZ($A$1,$B17,AB$1,$B$1)</f>
        <v>673.88099999999997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2.9303384000000001</v>
      </c>
      <c r="H18">
        <f>_xll.EQNXTDZ($A$1,$B18,H$1,$B$1)</f>
        <v>4.3703567000000003</v>
      </c>
      <c r="I18">
        <f>_xll.EQNXTDZ($A$1,$B18,I$1,$B$1)</f>
        <v>2.9705898999999998</v>
      </c>
      <c r="J18">
        <f>_xll.EQNXTDZ($A$1,$B18,J$1,$B$1)</f>
        <v>4.6175069000000004</v>
      </c>
      <c r="K18">
        <f>_xll.EQNXTDZ($A$1,$B18,K$1,$B$1)</f>
        <v>8.7109044000000004</v>
      </c>
      <c r="L18">
        <f>_xll.EQNXTDZ($A$1,$B18,L$1,$B$1)</f>
        <v>12.277279</v>
      </c>
      <c r="M18">
        <f>_xll.EQNXTDZ($A$1,$B18,M$1,$B$1)</f>
        <v>14.6565458</v>
      </c>
      <c r="N18">
        <f>_xll.EQNXTDZ($A$1,$B18,N$1,$B$1)</f>
        <v>46.122</v>
      </c>
      <c r="O18">
        <f>_xll.EQNXTDZ($A$1,$B18,O$1,$B$1)</f>
        <v>46.106999999999999</v>
      </c>
      <c r="P18">
        <f>_xll.EQNXTDZ($A$1,$B18,P$1,$B$1)</f>
        <v>49.923000000000002</v>
      </c>
      <c r="Q18">
        <f>_xll.EQNXTDZ($A$1,$B18,Q$1,$B$1)</f>
        <v>59.905000000000001</v>
      </c>
      <c r="R18">
        <f>_xll.EQNXTDZ($A$1,$B18,R$1,$B$1)</f>
        <v>82.358999999999995</v>
      </c>
      <c r="S18">
        <f>_xll.EQNXTDZ($A$1,$B18,S$1,$B$1)</f>
        <v>111.35899999999999</v>
      </c>
      <c r="T18">
        <f>_xll.EQNXTDZ($A$1,$B18,T$1,$B$1)</f>
        <v>115.279</v>
      </c>
      <c r="U18">
        <f>_xll.EQNXTDZ($A$1,$B18,U$1,$B$1)</f>
        <v>153.64400000000001</v>
      </c>
      <c r="V18">
        <f>_xll.EQNXTDZ($A$1,$B18,V$1,$B$1)</f>
        <v>167.506</v>
      </c>
      <c r="W18">
        <f>_xll.EQNXTDZ($A$1,$B18,W$1,$B$1)</f>
        <v>157.35900000000001</v>
      </c>
      <c r="X18">
        <f>_xll.EQNXTDZ($A$1,$B18,X$1,$B$1)</f>
        <v>316.31799999999998</v>
      </c>
      <c r="Y18">
        <f>_xll.EQNXTDZ($A$1,$B18,Y$1,$B$1)</f>
        <v>417.995</v>
      </c>
      <c r="Z18">
        <f>_xll.EQNXTDZ($A$1,$B18,Z$1,$B$1)</f>
        <v>509.54899999999998</v>
      </c>
      <c r="AA18">
        <f>_xll.EQNXTDZ($A$1,$B18,AA$1,$B$1)</f>
        <v>669.55200000000002</v>
      </c>
      <c r="AB18">
        <f>_xll.EQNXTDZ($A$1,$B18,AB$1,$B$1)</f>
        <v>770.55200000000002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0.33950999999999998</v>
      </c>
      <c r="H19">
        <f>_xll.EQNXTDZ($A$1,$B19,H$1,$B$1)</f>
        <v>2.0761435000000001</v>
      </c>
      <c r="I19">
        <f>_xll.EQNXTDZ($A$1,$B19,I$1,$B$1)</f>
        <v>0.17815300000000001</v>
      </c>
      <c r="J19">
        <f>_xll.EQNXTDZ($A$1,$B19,J$1,$B$1)</f>
        <v>0.40611019999999998</v>
      </c>
      <c r="K19">
        <f>_xll.EQNXTDZ($A$1,$B19,K$1,$B$1)</f>
        <v>1.4018866999999999</v>
      </c>
      <c r="L19">
        <f>_xll.EQNXTDZ($A$1,$B19,L$1,$B$1)</f>
        <v>2.3568068000000002</v>
      </c>
      <c r="M19">
        <f>_xll.EQNXTDZ($A$1,$B19,M$1,$B$1)</f>
        <v>1.617084</v>
      </c>
      <c r="N19">
        <f>_xll.EQNXTDZ($A$1,$B19,N$1,$B$1)</f>
        <v>1.3149999999999999</v>
      </c>
      <c r="O19">
        <f>_xll.EQNXTDZ($A$1,$B19,O$1,$B$1)</f>
        <v>9.6959999999999997</v>
      </c>
      <c r="P19">
        <f>_xll.EQNXTDZ($A$1,$B19,P$1,$B$1)</f>
        <v>8.109</v>
      </c>
      <c r="Q19">
        <f>_xll.EQNXTDZ($A$1,$B19,Q$1,$B$1)</f>
        <v>10.967000000000001</v>
      </c>
      <c r="R19">
        <f>_xll.EQNXTDZ($A$1,$B19,R$1,$B$1)</f>
        <v>18.486000000000001</v>
      </c>
      <c r="S19">
        <f>_xll.EQNXTDZ($A$1,$B19,S$1,$B$1)</f>
        <v>29.454999999999998</v>
      </c>
      <c r="T19">
        <f>_xll.EQNXTDZ($A$1,$B19,T$1,$B$1)</f>
        <v>40.302</v>
      </c>
      <c r="U19">
        <f>_xll.EQNXTDZ($A$1,$B19,U$1,$B$1)</f>
        <v>115.797</v>
      </c>
      <c r="V19">
        <f>_xll.EQNXTDZ($A$1,$B19,V$1,$B$1)</f>
        <v>107.47199999999999</v>
      </c>
      <c r="W19">
        <f>_xll.EQNXTDZ($A$1,$B19,W$1,$B$1)</f>
        <v>24.768999999999998</v>
      </c>
      <c r="X19">
        <f>_xll.EQNXTDZ($A$1,$B19,X$1,$B$1)</f>
        <v>39.079000000000001</v>
      </c>
      <c r="Y19">
        <f>_xll.EQNXTDZ($A$1,$B19,Y$1,$B$1)</f>
        <v>88.183000000000007</v>
      </c>
      <c r="Z19">
        <f>_xll.EQNXTDZ($A$1,$B19,Z$1,$B$1)</f>
        <v>166.292</v>
      </c>
      <c r="AA19">
        <f>_xll.EQNXTDZ($A$1,$B19,AA$1,$B$1)</f>
        <v>183.16399999999999</v>
      </c>
      <c r="AB19">
        <f>_xll.EQNXTDZ($A$1,$B19,AB$1,$B$1)</f>
        <v>54.255000000000003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222.31596640000001</v>
      </c>
      <c r="H21">
        <f>_xll.EQNXTDZ($A$1,$B21,H$1,$B$1)</f>
        <v>251.65589929999999</v>
      </c>
      <c r="I21">
        <f>_xll.EQNXTDZ($A$1,$B21,I$1,$B$1)</f>
        <v>273.35424990000001</v>
      </c>
      <c r="J21">
        <f>_xll.EQNXTDZ($A$1,$B21,J$1,$B$1)</f>
        <v>313.51251939999997</v>
      </c>
      <c r="K21">
        <f>_xll.EQNXTDZ($A$1,$B21,K$1,$B$1)</f>
        <v>392.5214039</v>
      </c>
      <c r="L21">
        <f>_xll.EQNXTDZ($A$1,$B21,L$1,$B$1)</f>
        <v>680.69122779999998</v>
      </c>
      <c r="M21">
        <f>_xll.EQNXTDZ($A$1,$B21,M$1,$B$1)</f>
        <v>845.02843240000004</v>
      </c>
      <c r="N21">
        <f>_xll.EQNXTDZ($A$1,$B21,N$1,$B$1)</f>
        <v>999.94</v>
      </c>
      <c r="O21">
        <f>_xll.EQNXTDZ($A$1,$B21,O$1,$B$1)</f>
        <v>1571.538</v>
      </c>
      <c r="P21">
        <f>_xll.EQNXTDZ($A$1,$B21,P$1,$B$1)</f>
        <v>1822.58</v>
      </c>
      <c r="Q21">
        <f>_xll.EQNXTDZ($A$1,$B21,Q$1,$B$1)</f>
        <v>2115.9059999999999</v>
      </c>
      <c r="R21">
        <f>_xll.EQNXTDZ($A$1,$B21,R$1,$B$1)</f>
        <v>2755.7130000000002</v>
      </c>
      <c r="S21">
        <f>_xll.EQNXTDZ($A$1,$B21,S$1,$B$1)</f>
        <v>3063.0079999999998</v>
      </c>
      <c r="T21">
        <f>_xll.EQNXTDZ($A$1,$B21,T$1,$B$1)</f>
        <v>3165.2150000000001</v>
      </c>
      <c r="U21">
        <f>_xll.EQNXTDZ($A$1,$B21,U$1,$B$1)</f>
        <v>4088.4279999999999</v>
      </c>
      <c r="V21">
        <f>_xll.EQNXTDZ($A$1,$B21,V$1,$B$1)</f>
        <v>5667.2579999999998</v>
      </c>
      <c r="W21">
        <f>_xll.EQNXTDZ($A$1,$B21,W$1,$B$1)</f>
        <v>5235.6379999999999</v>
      </c>
      <c r="X21">
        <f>_xll.EQNXTDZ($A$1,$B21,X$1,$B$1)</f>
        <v>7146.317</v>
      </c>
      <c r="Y21">
        <f>_xll.EQNXTDZ($A$1,$B21,Y$1,$B$1)</f>
        <v>10367.072</v>
      </c>
      <c r="Z21">
        <f>_xll.EQNXTDZ($A$1,$B21,Z$1,$B$1)</f>
        <v>12409.6</v>
      </c>
      <c r="AA21">
        <f>_xll.EQNXTDZ($A$1,$B21,AA$1,$B$1)</f>
        <v>15264.107</v>
      </c>
      <c r="AB21">
        <f>_xll.EQNXTDZ($A$1,$B21,AB$1,$B$1)</f>
        <v>16609.605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61.1754587</v>
      </c>
      <c r="H22">
        <f>_xll.EQNXTDZ($A$1,$B22,H$1,$B$1)</f>
        <v>55.2757565</v>
      </c>
      <c r="I22">
        <f>_xll.EQNXTDZ($A$1,$B22,I$1,$B$1)</f>
        <v>54.498528700000001</v>
      </c>
      <c r="J22">
        <f>_xll.EQNXTDZ($A$1,$B22,J$1,$B$1)</f>
        <v>59.218150399999999</v>
      </c>
      <c r="K22">
        <f>_xll.EQNXTDZ($A$1,$B22,K$1,$B$1)</f>
        <v>67.323799699999995</v>
      </c>
      <c r="L22">
        <f>_xll.EQNXTDZ($A$1,$B22,L$1,$B$1)</f>
        <v>90.9008915</v>
      </c>
      <c r="M22">
        <f>_xll.EQNXTDZ($A$1,$B22,M$1,$B$1)</f>
        <v>120.49912449999999</v>
      </c>
      <c r="N22">
        <f>_xll.EQNXTDZ($A$1,$B22,N$1,$B$1)</f>
        <v>139.66399999999999</v>
      </c>
      <c r="O22">
        <f>_xll.EQNXTDZ($A$1,$B22,O$1,$B$1)</f>
        <v>228.45599999999999</v>
      </c>
      <c r="P22">
        <f>_xll.EQNXTDZ($A$1,$B22,P$1,$B$1)</f>
        <v>292.56900000000002</v>
      </c>
      <c r="Q22">
        <f>_xll.EQNXTDZ($A$1,$B22,Q$1,$B$1)</f>
        <v>386.50099999999998</v>
      </c>
      <c r="R22">
        <f>_xll.EQNXTDZ($A$1,$B22,R$1,$B$1)</f>
        <v>638.43600000000004</v>
      </c>
      <c r="S22">
        <f>_xll.EQNXTDZ($A$1,$B22,S$1,$B$1)</f>
        <v>798.17499999999995</v>
      </c>
      <c r="T22">
        <f>_xll.EQNXTDZ($A$1,$B22,T$1,$B$1)</f>
        <v>838.32500000000005</v>
      </c>
      <c r="U22">
        <f>_xll.EQNXTDZ($A$1,$B22,U$1,$B$1)</f>
        <v>1016.827</v>
      </c>
      <c r="V22">
        <f>_xll.EQNXTDZ($A$1,$B22,V$1,$B$1)</f>
        <v>1462.32</v>
      </c>
      <c r="W22">
        <f>_xll.EQNXTDZ($A$1,$B22,W$1,$B$1)</f>
        <v>1214.5039999999999</v>
      </c>
      <c r="X22">
        <f>_xll.EQNXTDZ($A$1,$B22,X$1,$B$1)</f>
        <v>1676.913</v>
      </c>
      <c r="Y22">
        <f>_xll.EQNXTDZ($A$1,$B22,Y$1,$B$1)</f>
        <v>2806.07</v>
      </c>
      <c r="Z22">
        <f>_xll.EQNXTDZ($A$1,$B22,Z$1,$B$1)</f>
        <v>3632.9810000000002</v>
      </c>
      <c r="AA22">
        <f>_xll.EQNXTDZ($A$1,$B22,AA$1,$B$1)</f>
        <v>4743.5429999999997</v>
      </c>
      <c r="AB22">
        <f>_xll.EQNXTDZ($A$1,$B22,AB$1,$B$1)</f>
        <v>5075.7740000000003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2.2789537000000002</v>
      </c>
      <c r="H23">
        <f>_xll.EQNXTDZ($A$1,$B23,H$1,$B$1)</f>
        <v>3.1997436000000001</v>
      </c>
      <c r="I23">
        <f>_xll.EQNXTDZ($A$1,$B23,I$1,$B$1)</f>
        <v>3.1739386000000001</v>
      </c>
      <c r="J23">
        <f>_xll.EQNXTDZ($A$1,$B23,J$1,$B$1)</f>
        <v>3.2994210000000002</v>
      </c>
      <c r="K23">
        <f>_xll.EQNXTDZ($A$1,$B23,K$1,$B$1)</f>
        <v>6.4659674000000003</v>
      </c>
      <c r="L23">
        <f>_xll.EQNXTDZ($A$1,$B23,L$1,$B$1)</f>
        <v>6.5208307999999997</v>
      </c>
      <c r="M23">
        <f>_xll.EQNXTDZ($A$1,$B23,M$1,$B$1)</f>
        <v>13.657298000000001</v>
      </c>
      <c r="N23">
        <f>_xll.EQNXTDZ($A$1,$B23,N$1,$B$1)</f>
        <v>0.42799999999999999</v>
      </c>
      <c r="O23">
        <f>_xll.EQNXTDZ($A$1,$B23,O$1,$B$1)</f>
        <v>44.195999999999998</v>
      </c>
      <c r="P23">
        <f>_xll.EQNXTDZ($A$1,$B23,P$1,$B$1)</f>
        <v>17.353999999999999</v>
      </c>
      <c r="Q23">
        <f>_xll.EQNXTDZ($A$1,$B23,Q$1,$B$1)</f>
        <v>14.689</v>
      </c>
      <c r="R23">
        <f>_xll.EQNXTDZ($A$1,$B23,R$1,$B$1)</f>
        <v>39.732999999999997</v>
      </c>
      <c r="S23">
        <f>_xll.EQNXTDZ($A$1,$B23,S$1,$B$1)</f>
        <v>35.732999999999997</v>
      </c>
      <c r="T23">
        <f>_xll.EQNXTDZ($A$1,$B23,T$1,$B$1)</f>
        <v>12.512</v>
      </c>
      <c r="U23">
        <f>_xll.EQNXTDZ($A$1,$B23,U$1,$B$1)</f>
        <v>21.824000000000002</v>
      </c>
      <c r="V23">
        <f>_xll.EQNXTDZ($A$1,$B23,V$1,$B$1)</f>
        <v>42.527999999999999</v>
      </c>
      <c r="W23">
        <f>_xll.EQNXTDZ($A$1,$B23,W$1,$B$1)</f>
        <v>36.972000000000001</v>
      </c>
      <c r="X23">
        <f>_xll.EQNXTDZ($A$1,$B23,X$1,$B$1)</f>
        <v>68.262</v>
      </c>
      <c r="Y23">
        <f>_xll.EQNXTDZ($A$1,$B23,Y$1,$B$1)</f>
        <v>38.848999999999997</v>
      </c>
      <c r="Z23">
        <f>_xll.EQNXTDZ($A$1,$B23,Z$1,$B$1)</f>
        <v>79.358999999999995</v>
      </c>
      <c r="AA23">
        <f>_xll.EQNXTDZ($A$1,$B23,AA$1,$B$1)</f>
        <v>121.268</v>
      </c>
      <c r="AB23">
        <f>_xll.EQNXTDZ($A$1,$B23,AB$1,$B$1)</f>
        <v>352.34800000000001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63.454412400000002</v>
      </c>
      <c r="H24">
        <f>_xll.EQNXTDZ($A$1,$B24,H$1,$B$1)</f>
        <v>58.475500099999998</v>
      </c>
      <c r="I24">
        <f>_xll.EQNXTDZ($A$1,$B24,I$1,$B$1)</f>
        <v>57.672467300000001</v>
      </c>
      <c r="J24">
        <f>_xll.EQNXTDZ($A$1,$B24,J$1,$B$1)</f>
        <v>62.517571400000001</v>
      </c>
      <c r="K24">
        <f>_xll.EQNXTDZ($A$1,$B24,K$1,$B$1)</f>
        <v>73.789767100000006</v>
      </c>
      <c r="L24">
        <f>_xll.EQNXTDZ($A$1,$B24,L$1,$B$1)</f>
        <v>97.421722299999999</v>
      </c>
      <c r="M24">
        <f>_xll.EQNXTDZ($A$1,$B24,M$1,$B$1)</f>
        <v>134.15642249999999</v>
      </c>
      <c r="N24">
        <f>_xll.EQNXTDZ($A$1,$B24,N$1,$B$1)</f>
        <v>140.09200000000001</v>
      </c>
      <c r="O24">
        <f>_xll.EQNXTDZ($A$1,$B24,O$1,$B$1)</f>
        <v>272.65199999999999</v>
      </c>
      <c r="P24">
        <f>_xll.EQNXTDZ($A$1,$B24,P$1,$B$1)</f>
        <v>309.923</v>
      </c>
      <c r="Q24">
        <f>_xll.EQNXTDZ($A$1,$B24,Q$1,$B$1)</f>
        <v>401.19</v>
      </c>
      <c r="R24">
        <f>_xll.EQNXTDZ($A$1,$B24,R$1,$B$1)</f>
        <v>678.16899999999998</v>
      </c>
      <c r="S24">
        <f>_xll.EQNXTDZ($A$1,$B24,S$1,$B$1)</f>
        <v>833.90800000000002</v>
      </c>
      <c r="T24">
        <f>_xll.EQNXTDZ($A$1,$B24,T$1,$B$1)</f>
        <v>850.83699999999999</v>
      </c>
      <c r="U24">
        <f>_xll.EQNXTDZ($A$1,$B24,U$1,$B$1)</f>
        <v>1038.6510000000001</v>
      </c>
      <c r="V24">
        <f>_xll.EQNXTDZ($A$1,$B24,V$1,$B$1)</f>
        <v>1504.848</v>
      </c>
      <c r="W24">
        <f>_xll.EQNXTDZ($A$1,$B24,W$1,$B$1)</f>
        <v>1251.4760000000001</v>
      </c>
      <c r="X24">
        <f>_xll.EQNXTDZ($A$1,$B24,X$1,$B$1)</f>
        <v>1745.175</v>
      </c>
      <c r="Y24">
        <f>_xll.EQNXTDZ($A$1,$B24,Y$1,$B$1)</f>
        <v>2844.9189999999999</v>
      </c>
      <c r="Z24">
        <f>_xll.EQNXTDZ($A$1,$B24,Z$1,$B$1)</f>
        <v>3712.34</v>
      </c>
      <c r="AA24">
        <f>_xll.EQNXTDZ($A$1,$B24,AA$1,$B$1)</f>
        <v>4864.8109999999997</v>
      </c>
      <c r="AB24">
        <f>_xll.EQNXTDZ($A$1,$B24,AB$1,$B$1)</f>
        <v>5428.1220000000003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14.0025537</v>
      </c>
      <c r="H25">
        <f>_xll.EQNXTDZ($A$1,$B25,H$1,$B$1)</f>
        <v>13.223031300000001</v>
      </c>
      <c r="I25">
        <f>_xll.EQNXTDZ($A$1,$B25,I$1,$B$1)</f>
        <v>12.5192526</v>
      </c>
      <c r="J25">
        <f>_xll.EQNXTDZ($A$1,$B25,J$1,$B$1)</f>
        <v>10.448866900000001</v>
      </c>
      <c r="K25">
        <f>_xll.EQNXTDZ($A$1,$B25,K$1,$B$1)</f>
        <v>16.740536500000001</v>
      </c>
      <c r="L25">
        <f>_xll.EQNXTDZ($A$1,$B25,L$1,$B$1)</f>
        <v>28.319420900000001</v>
      </c>
      <c r="M25">
        <f>_xll.EQNXTDZ($A$1,$B25,M$1,$B$1)</f>
        <v>49.0262764</v>
      </c>
      <c r="N25">
        <f>_xll.EQNXTDZ($A$1,$B25,N$1,$B$1)</f>
        <v>72.034999999999997</v>
      </c>
      <c r="O25">
        <f>_xll.EQNXTDZ($A$1,$B25,O$1,$B$1)</f>
        <v>116.014</v>
      </c>
      <c r="P25">
        <f>_xll.EQNXTDZ($A$1,$B25,P$1,$B$1)</f>
        <v>171.155</v>
      </c>
      <c r="Q25">
        <f>_xll.EQNXTDZ($A$1,$B25,Q$1,$B$1)</f>
        <v>187.36</v>
      </c>
      <c r="R25">
        <f>_xll.EQNXTDZ($A$1,$B25,R$1,$B$1)</f>
        <v>170.15100000000001</v>
      </c>
      <c r="S25">
        <f>_xll.EQNXTDZ($A$1,$B25,S$1,$B$1)</f>
        <v>434.74299999999999</v>
      </c>
      <c r="T25">
        <f>_xll.EQNXTDZ($A$1,$B25,T$1,$B$1)</f>
        <v>214.59200000000001</v>
      </c>
      <c r="U25">
        <f>_xll.EQNXTDZ($A$1,$B25,U$1,$B$1)</f>
        <v>222.803</v>
      </c>
      <c r="V25">
        <f>_xll.EQNXTDZ($A$1,$B25,V$1,$B$1)</f>
        <v>324.30900000000003</v>
      </c>
      <c r="W25">
        <f>_xll.EQNXTDZ($A$1,$B25,W$1,$B$1)</f>
        <v>293.74</v>
      </c>
      <c r="X25">
        <f>_xll.EQNXTDZ($A$1,$B25,X$1,$B$1)</f>
        <v>207.30500000000001</v>
      </c>
      <c r="Y25">
        <f>_xll.EQNXTDZ($A$1,$B25,Y$1,$B$1)</f>
        <v>204.08699999999999</v>
      </c>
      <c r="Z25">
        <f>_xll.EQNXTDZ($A$1,$B25,Z$1,$B$1)</f>
        <v>291.59500000000003</v>
      </c>
      <c r="AA25">
        <f>_xll.EQNXTDZ($A$1,$B25,AA$1,$B$1)</f>
        <v>482.858</v>
      </c>
      <c r="AB25">
        <f>_xll.EQNXTDZ($A$1,$B25,AB$1,$B$1)</f>
        <v>195.98400000000001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49.451858700000003</v>
      </c>
      <c r="H26">
        <f>_xll.EQNXTDZ($A$1,$B26,H$1,$B$1)</f>
        <v>45.252468800000003</v>
      </c>
      <c r="I26">
        <f>_xll.EQNXTDZ($A$1,$B26,I$1,$B$1)</f>
        <v>45.153214699999999</v>
      </c>
      <c r="J26">
        <f>_xll.EQNXTDZ($A$1,$B26,J$1,$B$1)</f>
        <v>52.068704500000003</v>
      </c>
      <c r="K26">
        <f>_xll.EQNXTDZ($A$1,$B26,K$1,$B$1)</f>
        <v>57.049230600000001</v>
      </c>
      <c r="L26">
        <f>_xll.EQNXTDZ($A$1,$B26,L$1,$B$1)</f>
        <v>69.102301400000002</v>
      </c>
      <c r="M26">
        <f>_xll.EQNXTDZ($A$1,$B26,M$1,$B$1)</f>
        <v>85.130146100000005</v>
      </c>
      <c r="N26">
        <f>_xll.EQNXTDZ($A$1,$B26,N$1,$B$1)</f>
        <v>68.057000000000002</v>
      </c>
      <c r="O26">
        <f>_xll.EQNXTDZ($A$1,$B26,O$1,$B$1)</f>
        <v>156.63800000000001</v>
      </c>
      <c r="P26">
        <f>_xll.EQNXTDZ($A$1,$B26,P$1,$B$1)</f>
        <v>138.768</v>
      </c>
      <c r="Q26">
        <f>_xll.EQNXTDZ($A$1,$B26,Q$1,$B$1)</f>
        <v>213.83</v>
      </c>
      <c r="R26">
        <f>_xll.EQNXTDZ($A$1,$B26,R$1,$B$1)</f>
        <v>508.01799999999997</v>
      </c>
      <c r="S26">
        <f>_xll.EQNXTDZ($A$1,$B26,S$1,$B$1)</f>
        <v>399.16500000000002</v>
      </c>
      <c r="T26">
        <f>_xll.EQNXTDZ($A$1,$B26,T$1,$B$1)</f>
        <v>636.245</v>
      </c>
      <c r="U26">
        <f>_xll.EQNXTDZ($A$1,$B26,U$1,$B$1)</f>
        <v>815.84799999999996</v>
      </c>
      <c r="V26">
        <f>_xll.EQNXTDZ($A$1,$B26,V$1,$B$1)</f>
        <v>1180.539</v>
      </c>
      <c r="W26">
        <f>_xll.EQNXTDZ($A$1,$B26,W$1,$B$1)</f>
        <v>957.73599999999999</v>
      </c>
      <c r="X26">
        <f>_xll.EQNXTDZ($A$1,$B26,X$1,$B$1)</f>
        <v>1537.87</v>
      </c>
      <c r="Y26">
        <f>_xll.EQNXTDZ($A$1,$B26,Y$1,$B$1)</f>
        <v>2640.8319999999999</v>
      </c>
      <c r="Z26">
        <f>_xll.EQNXTDZ($A$1,$B26,Z$1,$B$1)</f>
        <v>3420.7449999999999</v>
      </c>
      <c r="AA26">
        <f>_xll.EQNXTDZ($A$1,$B26,AA$1,$B$1)</f>
        <v>4381.9530000000004</v>
      </c>
      <c r="AB26">
        <f>_xll.EQNXTDZ($A$1,$B26,AB$1,$B$1)</f>
        <v>5232.1379999999999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18.074276900000001</v>
      </c>
      <c r="H27">
        <f>_xll.EQNXTDZ($A$1,$B27,H$1,$B$1)</f>
        <v>25.204786800000001</v>
      </c>
      <c r="I27">
        <f>_xll.EQNXTDZ($A$1,$B27,I$1,$B$1)</f>
        <v>26.143208600000001</v>
      </c>
      <c r="J27">
        <f>_xll.EQNXTDZ($A$1,$B27,J$1,$B$1)</f>
        <v>18.588623599999998</v>
      </c>
      <c r="K27">
        <f>_xll.EQNXTDZ($A$1,$B27,K$1,$B$1)</f>
        <v>23.400851800000002</v>
      </c>
      <c r="L27">
        <f>_xll.EQNXTDZ($A$1,$B27,L$1,$B$1)</f>
        <v>35.418050200000003</v>
      </c>
      <c r="M27">
        <f>_xll.EQNXTDZ($A$1,$B27,M$1,$B$1)</f>
        <v>48.367688999999999</v>
      </c>
      <c r="N27">
        <f>_xll.EQNXTDZ($A$1,$B27,N$1,$B$1)</f>
        <v>55.933999999999997</v>
      </c>
      <c r="O27">
        <f>_xll.EQNXTDZ($A$1,$B27,O$1,$B$1)</f>
        <v>135.78899999999999</v>
      </c>
      <c r="P27">
        <f>_xll.EQNXTDZ($A$1,$B27,P$1,$B$1)</f>
        <v>184.358</v>
      </c>
      <c r="Q27">
        <f>_xll.EQNXTDZ($A$1,$B27,Q$1,$B$1)</f>
        <v>210.05500000000001</v>
      </c>
      <c r="R27">
        <f>_xll.EQNXTDZ($A$1,$B27,R$1,$B$1)</f>
        <v>317.40899999999999</v>
      </c>
      <c r="S27">
        <f>_xll.EQNXTDZ($A$1,$B27,S$1,$B$1)</f>
        <v>322.20800000000003</v>
      </c>
      <c r="T27">
        <f>_xll.EQNXTDZ($A$1,$B27,T$1,$B$1)</f>
        <v>346.64100000000002</v>
      </c>
      <c r="U27">
        <f>_xll.EQNXTDZ($A$1,$B27,U$1,$B$1)</f>
        <v>385.07</v>
      </c>
      <c r="V27">
        <f>_xll.EQNXTDZ($A$1,$B27,V$1,$B$1)</f>
        <v>488.62799999999999</v>
      </c>
      <c r="W27">
        <f>_xll.EQNXTDZ($A$1,$B27,W$1,$B$1)</f>
        <v>528.702</v>
      </c>
      <c r="X27">
        <f>_xll.EQNXTDZ($A$1,$B27,X$1,$B$1)</f>
        <v>531.26199999999994</v>
      </c>
      <c r="Y27">
        <f>_xll.EQNXTDZ($A$1,$B27,Y$1,$B$1)</f>
        <v>617.18899999999996</v>
      </c>
      <c r="Z27">
        <f>_xll.EQNXTDZ($A$1,$B27,Z$1,$B$1)</f>
        <v>680.90599999999995</v>
      </c>
      <c r="AA27">
        <f>_xll.EQNXTDZ($A$1,$B27,AA$1,$B$1)</f>
        <v>947.38599999999997</v>
      </c>
      <c r="AB27">
        <f>_xll.EQNXTDZ($A$1,$B27,AB$1,$B$1)</f>
        <v>1216.463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2.3780000000000001</v>
      </c>
      <c r="T28">
        <f>_xll.EQNXTDZ($A$1,$B28,T$1,$B$1)</f>
        <v>1.35</v>
      </c>
      <c r="U28">
        <f>_xll.EQNXTDZ($A$1,$B28,U$1,$B$1)</f>
        <v>3.02</v>
      </c>
      <c r="V28">
        <f>_xll.EQNXTDZ($A$1,$B28,V$1,$B$1)</f>
        <v>4.3609999999999998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-6.0000000000000001E-3</v>
      </c>
      <c r="Z28">
        <f>_xll.EQNXTDZ($A$1,$B28,Z$1,$B$1)</f>
        <v>-0.47899999999999998</v>
      </c>
      <c r="AA28">
        <f>_xll.EQNXTDZ($A$1,$B28,AA$1,$B$1)</f>
        <v>-1.478</v>
      </c>
      <c r="AB28">
        <f>_xll.EQNXTDZ($A$1,$B28,AB$1,$B$1)</f>
        <v>-6.0270000000000001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-66.528999999999996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13.206833700000001</v>
      </c>
      <c r="H30">
        <f>_xll.EQNXTDZ($A$1,$B30,H$1,$B$1)</f>
        <v>9.1863785</v>
      </c>
      <c r="I30">
        <f>_xll.EQNXTDZ($A$1,$B30,I$1,$B$1)</f>
        <v>4.8914093999999997</v>
      </c>
      <c r="J30">
        <f>_xll.EQNXTDZ($A$1,$B30,J$1,$B$1)</f>
        <v>12.2928011</v>
      </c>
      <c r="K30">
        <f>_xll.EQNXTDZ($A$1,$B30,K$1,$B$1)</f>
        <v>11.7826656</v>
      </c>
      <c r="L30">
        <f>_xll.EQNXTDZ($A$1,$B30,L$1,$B$1)</f>
        <v>11.4863392</v>
      </c>
      <c r="M30">
        <f>_xll.EQNXTDZ($A$1,$B30,M$1,$B$1)</f>
        <v>11.947740599999999</v>
      </c>
      <c r="N30">
        <f>_xll.EQNXTDZ($A$1,$B30,N$1,$B$1)</f>
        <v>4.3440000000000003</v>
      </c>
      <c r="O30">
        <f>_xll.EQNXTDZ($A$1,$B30,O$1,$B$1)</f>
        <v>-4.2610000000000001</v>
      </c>
      <c r="P30">
        <f>_xll.EQNXTDZ($A$1,$B30,P$1,$B$1)</f>
        <v>-5.218</v>
      </c>
      <c r="Q30">
        <f>_xll.EQNXTDZ($A$1,$B30,Q$1,$B$1)</f>
        <v>24.812000000000001</v>
      </c>
      <c r="R30">
        <f>_xll.EQNXTDZ($A$1,$B30,R$1,$B$1)</f>
        <v>78.856999999999999</v>
      </c>
      <c r="S30">
        <f>_xll.EQNXTDZ($A$1,$B30,S$1,$B$1)</f>
        <v>31.295999999999999</v>
      </c>
      <c r="T30">
        <f>_xll.EQNXTDZ($A$1,$B30,T$1,$B$1)</f>
        <v>76.894999999999996</v>
      </c>
      <c r="U30">
        <f>_xll.EQNXTDZ($A$1,$B30,U$1,$B$1)</f>
        <v>133.935</v>
      </c>
      <c r="V30">
        <f>_xll.EQNXTDZ($A$1,$B30,V$1,$B$1)</f>
        <v>224.06700000000001</v>
      </c>
      <c r="W30">
        <f>_xll.EQNXTDZ($A$1,$B30,W$1,$B$1)</f>
        <v>5.234</v>
      </c>
      <c r="X30">
        <f>_xll.EQNXTDZ($A$1,$B30,X$1,$B$1)</f>
        <v>260.55599999999998</v>
      </c>
      <c r="Y30">
        <f>_xll.EQNXTDZ($A$1,$B30,Y$1,$B$1)</f>
        <v>473.52300000000002</v>
      </c>
      <c r="Z30">
        <f>_xll.EQNXTDZ($A$1,$B30,Z$1,$B$1)</f>
        <v>637.54700000000003</v>
      </c>
      <c r="AA30">
        <f>_xll.EQNXTDZ($A$1,$B30,AA$1,$B$1)</f>
        <v>798.80399999999997</v>
      </c>
      <c r="AB30">
        <f>_xll.EQNXTDZ($A$1,$B30,AB$1,$B$1)</f>
        <v>947.60599999999999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-2E-3</v>
      </c>
      <c r="P32">
        <f>_xll.EQNXTDZ($A$1,$B32,P$1,$B$1)</f>
        <v>1E-3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-5.6630000000000003</v>
      </c>
      <c r="T32">
        <f>_xll.EQNXTDZ($A$1,$B32,T$1,$B$1)</f>
        <v>-3.9049999999999998</v>
      </c>
      <c r="U32">
        <f>_xll.EQNXTDZ($A$1,$B32,U$1,$B$1)</f>
        <v>-7.0220000000000002</v>
      </c>
      <c r="V32">
        <f>_xll.EQNXTDZ($A$1,$B32,V$1,$B$1)</f>
        <v>-3.23</v>
      </c>
      <c r="W32">
        <f>_xll.EQNXTDZ($A$1,$B32,W$1,$B$1)</f>
        <v>-28.276</v>
      </c>
      <c r="X32">
        <f>_xll.EQNXTDZ($A$1,$B32,X$1,$B$1)</f>
        <v>-52</v>
      </c>
      <c r="Y32">
        <f>_xll.EQNXTDZ($A$1,$B32,Y$1,$B$1)</f>
        <v>-52.680999999999997</v>
      </c>
      <c r="Z32">
        <f>_xll.EQNXTDZ($A$1,$B32,Z$1,$B$1)</f>
        <v>-45.890999999999998</v>
      </c>
      <c r="AA32">
        <f>_xll.EQNXTDZ($A$1,$B32,AA$1,$B$1)</f>
        <v>-39.652000000000001</v>
      </c>
      <c r="AB32">
        <f>_xll.EQNXTDZ($A$1,$B32,AB$1,$B$1)</f>
        <v>-25.553000000000001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0.84099999999999997</v>
      </c>
      <c r="Q33">
        <f>_xll.EQNXTDZ($A$1,$B33,Q$1,$B$1)</f>
        <v>0.88100000000000001</v>
      </c>
      <c r="R33">
        <f>_xll.EQNXTDZ($A$1,$B33,R$1,$B$1)</f>
        <v>1.29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18.170748100000001</v>
      </c>
      <c r="H35">
        <f>_xll.EQNXTDZ($A$1,$B35,H$1,$B$1)</f>
        <v>10.8613035</v>
      </c>
      <c r="I35">
        <f>_xll.EQNXTDZ($A$1,$B35,I$1,$B$1)</f>
        <v>14.118596699999999</v>
      </c>
      <c r="J35">
        <f>_xll.EQNXTDZ($A$1,$B35,J$1,$B$1)</f>
        <v>21.187279799999999</v>
      </c>
      <c r="K35">
        <f>_xll.EQNXTDZ($A$1,$B35,K$1,$B$1)</f>
        <v>21.865713199999998</v>
      </c>
      <c r="L35">
        <f>_xll.EQNXTDZ($A$1,$B35,L$1,$B$1)</f>
        <v>22.197911999999999</v>
      </c>
      <c r="M35">
        <f>_xll.EQNXTDZ($A$1,$B35,M$1,$B$1)</f>
        <v>24.814716499999999</v>
      </c>
      <c r="N35">
        <f>_xll.EQNXTDZ($A$1,$B35,N$1,$B$1)</f>
        <v>7.7789999999999999</v>
      </c>
      <c r="O35">
        <f>_xll.EQNXTDZ($A$1,$B35,O$1,$B$1)</f>
        <v>25.108000000000001</v>
      </c>
      <c r="P35">
        <f>_xll.EQNXTDZ($A$1,$B35,P$1,$B$1)</f>
        <v>-39.53</v>
      </c>
      <c r="Q35">
        <f>_xll.EQNXTDZ($A$1,$B35,Q$1,$B$1)</f>
        <v>-20.155999999999999</v>
      </c>
      <c r="R35">
        <f>_xll.EQNXTDZ($A$1,$B35,R$1,$B$1)</f>
        <v>113.042</v>
      </c>
      <c r="S35">
        <f>_xll.EQNXTDZ($A$1,$B35,S$1,$B$1)</f>
        <v>42.375999999999998</v>
      </c>
      <c r="T35">
        <f>_xll.EQNXTDZ($A$1,$B35,T$1,$B$1)</f>
        <v>210.154</v>
      </c>
      <c r="U35">
        <f>_xll.EQNXTDZ($A$1,$B35,U$1,$B$1)</f>
        <v>292.84100000000001</v>
      </c>
      <c r="V35">
        <f>_xll.EQNXTDZ($A$1,$B35,V$1,$B$1)</f>
        <v>468.97500000000002</v>
      </c>
      <c r="W35">
        <f>_xll.EQNXTDZ($A$1,$B35,W$1,$B$1)</f>
        <v>328.995</v>
      </c>
      <c r="X35">
        <f>_xll.EQNXTDZ($A$1,$B35,X$1,$B$1)</f>
        <v>694.05200000000002</v>
      </c>
      <c r="Y35">
        <f>_xll.EQNXTDZ($A$1,$B35,Y$1,$B$1)</f>
        <v>1497.433</v>
      </c>
      <c r="Z35">
        <f>_xll.EQNXTDZ($A$1,$B35,Z$1,$B$1)</f>
        <v>2055.922</v>
      </c>
      <c r="AA35">
        <f>_xll.EQNXTDZ($A$1,$B35,AA$1,$B$1)</f>
        <v>2594.6329999999998</v>
      </c>
      <c r="AB35">
        <f>_xll.EQNXTDZ($A$1,$B35,AB$1,$B$1)</f>
        <v>3036.489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85.376350000000002</v>
      </c>
      <c r="H41" s="54">
        <f>_xll.EQNXTDZ($A$1,$B41,H$1,$B$1)</f>
        <v>85.376350000000002</v>
      </c>
      <c r="I41" s="54">
        <f>_xll.EQNXTDZ($A$1,$B41,I$1,$B$1)</f>
        <v>85.376350000000002</v>
      </c>
      <c r="J41" s="54">
        <f>_xll.EQNXTDZ($A$1,$B41,J$1,$B$1)</f>
        <v>85.376350000000002</v>
      </c>
      <c r="K41" s="54">
        <f>_xll.EQNXTDZ($A$1,$B41,K$1,$B$1)</f>
        <v>85.376350000000002</v>
      </c>
      <c r="L41" s="54">
        <f>_xll.EQNXTDZ($A$1,$B41,L$1,$B$1)</f>
        <v>85.376350000000002</v>
      </c>
      <c r="M41" s="54">
        <f>_xll.EQNXTDZ($A$1,$B41,M$1,$B$1)</f>
        <v>85.376350000000002</v>
      </c>
      <c r="N41" s="54">
        <f>_xll.EQNXTDZ($A$1,$B41,N$1,$B$1)</f>
        <v>8</v>
      </c>
      <c r="O41" s="54">
        <f>_xll.EQNXTDZ($A$1,$B41,O$1,$B$1)</f>
        <v>8</v>
      </c>
      <c r="P41" s="54">
        <f>_xll.EQNXTDZ($A$1,$B41,P$1,$B$1)</f>
        <v>133.76599999999999</v>
      </c>
      <c r="Q41" s="54">
        <f>_xll.EQNXTDZ($A$1,$B41,Q$1,$B$1)</f>
        <v>333.76600000000002</v>
      </c>
      <c r="R41" s="54">
        <f>_xll.EQNXTDZ($A$1,$B41,R$1,$B$1)</f>
        <v>583.76599999999996</v>
      </c>
      <c r="S41" s="54">
        <f>_xll.EQNXTDZ($A$1,$B41,S$1,$B$1)</f>
        <v>182.31299999999999</v>
      </c>
      <c r="T41" s="54">
        <f>_xll.EQNXTDZ($A$1,$B41,T$1,$B$1)</f>
        <v>182.58699999999999</v>
      </c>
      <c r="U41" s="54">
        <f>_xll.EQNXTDZ($A$1,$B41,U$1,$B$1)</f>
        <v>182.642</v>
      </c>
      <c r="V41" s="54">
        <f>_xll.EQNXTDZ($A$1,$B41,V$1,$B$1)</f>
        <v>288.68900000000002</v>
      </c>
      <c r="W41" s="54">
        <f>_xll.EQNXTDZ($A$1,$B41,W$1,$B$1)</f>
        <v>288.68900000000002</v>
      </c>
      <c r="X41" s="54">
        <f>_xll.EQNXTDZ($A$1,$B41,X$1,$B$1)</f>
        <v>433.03300000000002</v>
      </c>
      <c r="Y41" s="54">
        <f>_xll.EQNXTDZ($A$1,$B41,Y$1,$B$1)</f>
        <v>649.54999999999995</v>
      </c>
      <c r="Z41" s="54">
        <f>_xll.EQNXTDZ($A$1,$B41,Z$1,$B$1)</f>
        <v>649.60699999999997</v>
      </c>
      <c r="AA41" s="54">
        <f>_xll.EQNXTDZ($A$1,$B41,AA$1,$B$1)</f>
        <v>676.30200000000002</v>
      </c>
      <c r="AB41" s="54">
        <f>_xll.EQNXTDZ($A$1,$B41,AB$1,$B$1)</f>
        <v>676.39800000000002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18.753</v>
      </c>
      <c r="P42" s="54">
        <f>_xll.EQNXTDZ($A$1,$B42,P$1,$B$1)</f>
        <v>40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0.58599999999999997</v>
      </c>
      <c r="T42" s="54">
        <f>_xll.EQNXTDZ($A$1,$B42,T$1,$B$1)</f>
        <v>0.23799999999999999</v>
      </c>
      <c r="U42" s="54">
        <f>_xll.EQNXTDZ($A$1,$B42,U$1,$B$1)</f>
        <v>3.9E-2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2.9060000000000001</v>
      </c>
      <c r="Z42" s="54">
        <f>_xll.EQNXTDZ($A$1,$B42,Z$1,$B$1)</f>
        <v>8.8480000000000008</v>
      </c>
      <c r="AA42" s="54">
        <f>_xll.EQNXTDZ($A$1,$B42,AA$1,$B$1)</f>
        <v>18.469000000000001</v>
      </c>
      <c r="AB42" s="54">
        <f>_xll.EQNXTDZ($A$1,$B42,AB$1,$B$1)</f>
        <v>18.52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62.854671699999997</v>
      </c>
      <c r="H43" s="54">
        <f>_xll.EQNXTDZ($A$1,$B43,H$1,$B$1)</f>
        <v>74.238344900000001</v>
      </c>
      <c r="I43" s="54">
        <f>_xll.EQNXTDZ($A$1,$B43,I$1,$B$1)</f>
        <v>87.674491000000003</v>
      </c>
      <c r="J43" s="54">
        <f>_xll.EQNXTDZ($A$1,$B43,J$1,$B$1)</f>
        <v>108.877751</v>
      </c>
      <c r="K43" s="54">
        <f>_xll.EQNXTDZ($A$1,$B43,K$1,$B$1)</f>
        <v>129.80048540000001</v>
      </c>
      <c r="L43" s="54">
        <f>_xll.EQNXTDZ($A$1,$B43,L$1,$B$1)</f>
        <v>109.48390759999999</v>
      </c>
      <c r="M43" s="54">
        <f>_xll.EQNXTDZ($A$1,$B43,M$1,$B$1)</f>
        <v>102.4276534</v>
      </c>
      <c r="N43" s="54">
        <f>_xll.EQNXTDZ($A$1,$B43,N$1,$B$1)</f>
        <v>102.25700000000001</v>
      </c>
      <c r="O43" s="54">
        <f>_xll.EQNXTDZ($A$1,$B43,O$1,$B$1)</f>
        <v>144.857</v>
      </c>
      <c r="P43" s="54">
        <f>_xll.EQNXTDZ($A$1,$B43,P$1,$B$1)</f>
        <v>41.591000000000001</v>
      </c>
      <c r="Q43" s="54">
        <f>_xll.EQNXTDZ($A$1,$B43,Q$1,$B$1)</f>
        <v>9.3119999999999994</v>
      </c>
      <c r="R43" s="54">
        <f>_xll.EQNXTDZ($A$1,$B43,R$1,$B$1)</f>
        <v>90.510999999999996</v>
      </c>
      <c r="S43" s="54">
        <f>_xll.EQNXTDZ($A$1,$B43,S$1,$B$1)</f>
        <v>1510.6959999999999</v>
      </c>
      <c r="T43" s="54">
        <f>_xll.EQNXTDZ($A$1,$B43,T$1,$B$1)</f>
        <v>1586.6030000000001</v>
      </c>
      <c r="U43" s="54">
        <f>_xll.EQNXTDZ($A$1,$B43,U$1,$B$1)</f>
        <v>1815.8230000000001</v>
      </c>
      <c r="V43" s="54">
        <f>_xll.EQNXTDZ($A$1,$B43,V$1,$B$1)</f>
        <v>3039.7330000000002</v>
      </c>
      <c r="W43" s="54">
        <f>_xll.EQNXTDZ($A$1,$B43,W$1,$B$1)</f>
        <v>3235.3119999999999</v>
      </c>
      <c r="X43" s="54">
        <f>_xll.EQNXTDZ($A$1,$B43,X$1,$B$1)</f>
        <v>3646.875</v>
      </c>
      <c r="Y43" s="54">
        <f>_xll.EQNXTDZ($A$1,$B43,Y$1,$B$1)</f>
        <v>4449.924</v>
      </c>
      <c r="Z43" s="54">
        <f>_xll.EQNXTDZ($A$1,$B43,Z$1,$B$1)</f>
        <v>6278.0429999999997</v>
      </c>
      <c r="AA43" s="54">
        <f>_xll.EQNXTDZ($A$1,$B43,AA$1,$B$1)</f>
        <v>15915.057000000001</v>
      </c>
      <c r="AB43" s="54">
        <f>_xll.EQNXTDZ($A$1,$B43,AB$1,$B$1)</f>
        <v>18883.786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148.23102170000001</v>
      </c>
      <c r="H44" s="54">
        <f>_xll.EQNXTDZ($A$1,$B44,H$1,$B$1)</f>
        <v>159.61469489999999</v>
      </c>
      <c r="I44" s="54">
        <f>_xll.EQNXTDZ($A$1,$B44,I$1,$B$1)</f>
        <v>173.05084099999999</v>
      </c>
      <c r="J44" s="54">
        <f>_xll.EQNXTDZ($A$1,$B44,J$1,$B$1)</f>
        <v>194.25410099999999</v>
      </c>
      <c r="K44" s="54">
        <f>_xll.EQNXTDZ($A$1,$B44,K$1,$B$1)</f>
        <v>215.17683539999999</v>
      </c>
      <c r="L44" s="54">
        <f>_xll.EQNXTDZ($A$1,$B44,L$1,$B$1)</f>
        <v>194.86025760000001</v>
      </c>
      <c r="M44" s="54">
        <f>_xll.EQNXTDZ($A$1,$B44,M$1,$B$1)</f>
        <v>187.8040034</v>
      </c>
      <c r="N44" s="54">
        <f>_xll.EQNXTDZ($A$1,$B44,N$1,$B$1)</f>
        <v>110.25700000000001</v>
      </c>
      <c r="O44" s="54">
        <f>_xll.EQNXTDZ($A$1,$B44,O$1,$B$1)</f>
        <v>171.61</v>
      </c>
      <c r="P44" s="54">
        <f>_xll.EQNXTDZ($A$1,$B44,P$1,$B$1)</f>
        <v>215.357</v>
      </c>
      <c r="Q44" s="54">
        <f>_xll.EQNXTDZ($A$1,$B44,Q$1,$B$1)</f>
        <v>343.07799999999997</v>
      </c>
      <c r="R44" s="54">
        <f>_xll.EQNXTDZ($A$1,$B44,R$1,$B$1)</f>
        <v>674.27700000000004</v>
      </c>
      <c r="S44" s="54">
        <f>_xll.EQNXTDZ($A$1,$B44,S$1,$B$1)</f>
        <v>1693.595</v>
      </c>
      <c r="T44" s="54">
        <f>_xll.EQNXTDZ($A$1,$B44,T$1,$B$1)</f>
        <v>1769.4280000000001</v>
      </c>
      <c r="U44" s="54">
        <f>_xll.EQNXTDZ($A$1,$B44,U$1,$B$1)</f>
        <v>1998.5039999999999</v>
      </c>
      <c r="V44" s="54">
        <f>_xll.EQNXTDZ($A$1,$B44,V$1,$B$1)</f>
        <v>3328.422</v>
      </c>
      <c r="W44" s="54">
        <f>_xll.EQNXTDZ($A$1,$B44,W$1,$B$1)</f>
        <v>3524.0010000000002</v>
      </c>
      <c r="X44" s="54">
        <f>_xll.EQNXTDZ($A$1,$B44,X$1,$B$1)</f>
        <v>4079.9079999999999</v>
      </c>
      <c r="Y44" s="54">
        <f>_xll.EQNXTDZ($A$1,$B44,Y$1,$B$1)</f>
        <v>5102.38</v>
      </c>
      <c r="Z44" s="54">
        <f>_xll.EQNXTDZ($A$1,$B44,Z$1,$B$1)</f>
        <v>6936.4979999999996</v>
      </c>
      <c r="AA44" s="54">
        <f>_xll.EQNXTDZ($A$1,$B44,AA$1,$B$1)</f>
        <v>16609.828000000001</v>
      </c>
      <c r="AB44" s="54">
        <f>_xll.EQNXTDZ($A$1,$B44,AB$1,$B$1)</f>
        <v>19578.704000000002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0.01</v>
      </c>
      <c r="P45" s="54">
        <f>_xll.EQNXTDZ($A$1,$B45,P$1,$B$1)</f>
        <v>0.01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-12.906000000000001</v>
      </c>
      <c r="T45" s="54">
        <f>_xll.EQNXTDZ($A$1,$B45,T$1,$B$1)</f>
        <v>-1.4319999999999999</v>
      </c>
      <c r="U45" s="54">
        <f>_xll.EQNXTDZ($A$1,$B45,U$1,$B$1)</f>
        <v>7.7679999999999998</v>
      </c>
      <c r="V45" s="54">
        <f>_xll.EQNXTDZ($A$1,$B45,V$1,$B$1)</f>
        <v>30.678999999999998</v>
      </c>
      <c r="W45" s="54">
        <f>_xll.EQNXTDZ($A$1,$B45,W$1,$B$1)</f>
        <v>64.787999999999997</v>
      </c>
      <c r="X45" s="54">
        <f>_xll.EQNXTDZ($A$1,$B45,X$1,$B$1)</f>
        <v>116.789</v>
      </c>
      <c r="Y45" s="54">
        <f>_xll.EQNXTDZ($A$1,$B45,Y$1,$B$1)</f>
        <v>113.107</v>
      </c>
      <c r="Z45" s="54">
        <f>_xll.EQNXTDZ($A$1,$B45,Z$1,$B$1)</f>
        <v>148.155</v>
      </c>
      <c r="AA45" s="54">
        <f>_xll.EQNXTDZ($A$1,$B45,AA$1,$B$1)</f>
        <v>129.80699999999999</v>
      </c>
      <c r="AB45" s="54">
        <f>_xll.EQNXTDZ($A$1,$B45,AB$1,$B$1)</f>
        <v>162.251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165.50053689999999</v>
      </c>
      <c r="H47" s="54">
        <f>_xll.EQNXTDZ($A$1,$B47,H$1,$B$1)</f>
        <v>139.91500919999999</v>
      </c>
      <c r="I47" s="54">
        <f>_xll.EQNXTDZ($A$1,$B47,I$1,$B$1)</f>
        <v>124.5594869</v>
      </c>
      <c r="J47" s="54">
        <f>_xll.EQNXTDZ($A$1,$B47,J$1,$B$1)</f>
        <v>105.705096</v>
      </c>
      <c r="K47" s="54">
        <f>_xll.EQNXTDZ($A$1,$B47,K$1,$B$1)</f>
        <v>200.72581360000001</v>
      </c>
      <c r="L47" s="54">
        <f>_xll.EQNXTDZ($A$1,$B47,L$1,$B$1)</f>
        <v>246.0109209</v>
      </c>
      <c r="M47" s="54">
        <f>_xll.EQNXTDZ($A$1,$B47,M$1,$B$1)</f>
        <v>399.5980232</v>
      </c>
      <c r="N47" s="54">
        <f>_xll.EQNXTDZ($A$1,$B47,N$1,$B$1)</f>
        <v>436.69600000000003</v>
      </c>
      <c r="O47" s="54">
        <f>_xll.EQNXTDZ($A$1,$B47,O$1,$B$1)</f>
        <v>792.73400000000004</v>
      </c>
      <c r="P47" s="54">
        <f>_xll.EQNXTDZ($A$1,$B47,P$1,$B$1)</f>
        <v>1133.2809999999999</v>
      </c>
      <c r="Q47" s="54">
        <f>_xll.EQNXTDZ($A$1,$B47,Q$1,$B$1)</f>
        <v>989.33199999999999</v>
      </c>
      <c r="R47" s="54">
        <f>_xll.EQNXTDZ($A$1,$B47,R$1,$B$1)</f>
        <v>759.61300000000006</v>
      </c>
      <c r="S47" s="54">
        <f>_xll.EQNXTDZ($A$1,$B47,S$1,$B$1)</f>
        <v>1143.3779999999999</v>
      </c>
      <c r="T47" s="54">
        <f>_xll.EQNXTDZ($A$1,$B47,T$1,$B$1)</f>
        <v>1632.5150000000001</v>
      </c>
      <c r="U47" s="54">
        <f>_xll.EQNXTDZ($A$1,$B47,U$1,$B$1)</f>
        <v>1973.6590000000001</v>
      </c>
      <c r="V47" s="54">
        <f>_xll.EQNXTDZ($A$1,$B47,V$1,$B$1)</f>
        <v>2355.3760000000002</v>
      </c>
      <c r="W47" s="54">
        <f>_xll.EQNXTDZ($A$1,$B47,W$1,$B$1)</f>
        <v>1979.6220000000001</v>
      </c>
      <c r="X47" s="54">
        <f>_xll.EQNXTDZ($A$1,$B47,X$1,$B$1)</f>
        <v>1813.327</v>
      </c>
      <c r="Y47" s="54">
        <f>_xll.EQNXTDZ($A$1,$B47,Y$1,$B$1)</f>
        <v>1727.0219999999999</v>
      </c>
      <c r="Z47" s="54">
        <f>_xll.EQNXTDZ($A$1,$B47,Z$1,$B$1)</f>
        <v>3188.9380000000001</v>
      </c>
      <c r="AA47" s="54">
        <f>_xll.EQNXTDZ($A$1,$B47,AA$1,$B$1)</f>
        <v>840.68899999999996</v>
      </c>
      <c r="AB47" s="54">
        <f>_xll.EQNXTDZ($A$1,$B47,AB$1,$B$1)</f>
        <v>540.44899999999996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5</v>
      </c>
      <c r="H48" s="54">
        <f>_xll.EQNXTDZ($A$1,$B48,H$1,$B$1)</f>
        <v>5</v>
      </c>
      <c r="I48" s="54">
        <f>_xll.EQNXTDZ($A$1,$B48,I$1,$B$1)</f>
        <v>8.9282734000000001</v>
      </c>
      <c r="J48" s="54">
        <f>_xll.EQNXTDZ($A$1,$B48,J$1,$B$1)</f>
        <v>22.4055781</v>
      </c>
      <c r="K48" s="54">
        <f>_xll.EQNXTDZ($A$1,$B48,K$1,$B$1)</f>
        <v>36.577232000000002</v>
      </c>
      <c r="L48" s="54">
        <f>_xll.EQNXTDZ($A$1,$B48,L$1,$B$1)</f>
        <v>145.94052490000001</v>
      </c>
      <c r="M48" s="54">
        <f>_xll.EQNXTDZ($A$1,$B48,M$1,$B$1)</f>
        <v>155.1311384</v>
      </c>
      <c r="N48" s="54">
        <f>_xll.EQNXTDZ($A$1,$B48,N$1,$B$1)</f>
        <v>124.782</v>
      </c>
      <c r="O48" s="54">
        <f>_xll.EQNXTDZ($A$1,$B48,O$1,$B$1)</f>
        <v>570.07799999999997</v>
      </c>
      <c r="P48" s="54">
        <f>_xll.EQNXTDZ($A$1,$B48,P$1,$B$1)</f>
        <v>561.90599999999995</v>
      </c>
      <c r="Q48" s="54">
        <f>_xll.EQNXTDZ($A$1,$B48,Q$1,$B$1)</f>
        <v>640.90599999999995</v>
      </c>
      <c r="R48" s="54">
        <f>_xll.EQNXTDZ($A$1,$B48,R$1,$B$1)</f>
        <v>819.90599999999995</v>
      </c>
      <c r="S48" s="54">
        <f>_xll.EQNXTDZ($A$1,$B48,S$1,$B$1)</f>
        <v>74.983000000000004</v>
      </c>
      <c r="T48" s="54">
        <f>_xll.EQNXTDZ($A$1,$B48,T$1,$B$1)</f>
        <v>58.853000000000002</v>
      </c>
      <c r="U48" s="54">
        <f>_xll.EQNXTDZ($A$1,$B48,U$1,$B$1)</f>
        <v>6.41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37.210960300000004</v>
      </c>
      <c r="H49" s="54">
        <f>_xll.EQNXTDZ($A$1,$B49,H$1,$B$1)</f>
        <v>44.297338799999999</v>
      </c>
      <c r="I49" s="54">
        <f>_xll.EQNXTDZ($A$1,$B49,I$1,$B$1)</f>
        <v>46.438748199999999</v>
      </c>
      <c r="J49" s="54">
        <f>_xll.EQNXTDZ($A$1,$B49,J$1,$B$1)</f>
        <v>50.766549300000001</v>
      </c>
      <c r="K49" s="54">
        <f>_xll.EQNXTDZ($A$1,$B49,K$1,$B$1)</f>
        <v>55.055435500000002</v>
      </c>
      <c r="L49" s="54">
        <f>_xll.EQNXTDZ($A$1,$B49,L$1,$B$1)</f>
        <v>63.576663699999997</v>
      </c>
      <c r="M49" s="54">
        <f>_xll.EQNXTDZ($A$1,$B49,M$1,$B$1)</f>
        <v>66.352439200000006</v>
      </c>
      <c r="N49" s="54">
        <f>_xll.EQNXTDZ($A$1,$B49,N$1,$B$1)</f>
        <v>70.173000000000002</v>
      </c>
      <c r="O49" s="54">
        <f>_xll.EQNXTDZ($A$1,$B49,O$1,$B$1)</f>
        <v>71.129000000000005</v>
      </c>
      <c r="P49" s="54">
        <f>_xll.EQNXTDZ($A$1,$B49,P$1,$B$1)</f>
        <v>60.024999999999999</v>
      </c>
      <c r="Q49" s="54">
        <f>_xll.EQNXTDZ($A$1,$B49,Q$1,$B$1)</f>
        <v>77.811999999999998</v>
      </c>
      <c r="R49" s="54">
        <f>_xll.EQNXTDZ($A$1,$B49,R$1,$B$1)</f>
        <v>142.88499999999999</v>
      </c>
      <c r="S49" s="54">
        <f>_xll.EQNXTDZ($A$1,$B49,S$1,$B$1)</f>
        <v>121.804</v>
      </c>
      <c r="T49" s="54">
        <f>_xll.EQNXTDZ($A$1,$B49,T$1,$B$1)</f>
        <v>142.14699999999999</v>
      </c>
      <c r="U49" s="54">
        <f>_xll.EQNXTDZ($A$1,$B49,U$1,$B$1)</f>
        <v>158.76599999999999</v>
      </c>
      <c r="V49" s="54">
        <f>_xll.EQNXTDZ($A$1,$B49,V$1,$B$1)</f>
        <v>269.65899999999999</v>
      </c>
      <c r="W49" s="54">
        <f>_xll.EQNXTDZ($A$1,$B49,W$1,$B$1)</f>
        <v>214.92500000000001</v>
      </c>
      <c r="X49" s="54">
        <f>_xll.EQNXTDZ($A$1,$B49,X$1,$B$1)</f>
        <v>308.73399999999998</v>
      </c>
      <c r="Y49" s="54">
        <f>_xll.EQNXTDZ($A$1,$B49,Y$1,$B$1)</f>
        <v>336.84800000000001</v>
      </c>
      <c r="Z49" s="54">
        <f>_xll.EQNXTDZ($A$1,$B49,Z$1,$B$1)</f>
        <v>343.01100000000002</v>
      </c>
      <c r="AA49" s="54">
        <f>_xll.EQNXTDZ($A$1,$B49,AA$1,$B$1)</f>
        <v>468.27800000000002</v>
      </c>
      <c r="AB49" s="54">
        <f>_xll.EQNXTDZ($A$1,$B49,AB$1,$B$1)</f>
        <v>594.75199999999995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54.487000000000002</v>
      </c>
      <c r="O50" s="54">
        <f>_xll.EQNXTDZ($A$1,$B50,O$1,$B$1)</f>
        <v>35.21</v>
      </c>
      <c r="P50" s="54">
        <f>_xll.EQNXTDZ($A$1,$B50,P$1,$B$1)</f>
        <v>31.42</v>
      </c>
      <c r="Q50" s="54">
        <f>_xll.EQNXTDZ($A$1,$B50,Q$1,$B$1)</f>
        <v>11.074</v>
      </c>
      <c r="R50" s="54">
        <f>_xll.EQNXTDZ($A$1,$B50,R$1,$B$1)</f>
        <v>636.28399999999999</v>
      </c>
      <c r="S50" s="54">
        <f>_xll.EQNXTDZ($A$1,$B50,S$1,$B$1)</f>
        <v>15.446999999999999</v>
      </c>
      <c r="T50" s="54">
        <f>_xll.EQNXTDZ($A$1,$B50,T$1,$B$1)</f>
        <v>11.981</v>
      </c>
      <c r="U50" s="54">
        <f>_xll.EQNXTDZ($A$1,$B50,U$1,$B$1)</f>
        <v>6.7750000000000004</v>
      </c>
      <c r="V50" s="54">
        <f>_xll.EQNXTDZ($A$1,$B50,V$1,$B$1)</f>
        <v>0.82299999999999995</v>
      </c>
      <c r="W50" s="54">
        <f>_xll.EQNXTDZ($A$1,$B50,W$1,$B$1)</f>
        <v>25.172999999999998</v>
      </c>
      <c r="X50" s="54">
        <f>_xll.EQNXTDZ($A$1,$B50,X$1,$B$1)</f>
        <v>31.936</v>
      </c>
      <c r="Y50" s="54">
        <f>_xll.EQNXTDZ($A$1,$B50,Y$1,$B$1)</f>
        <v>166.01900000000001</v>
      </c>
      <c r="Z50" s="54">
        <f>_xll.EQNXTDZ($A$1,$B50,Z$1,$B$1)</f>
        <v>204.72499999999999</v>
      </c>
      <c r="AA50" s="54">
        <f>_xll.EQNXTDZ($A$1,$B50,AA$1,$B$1)</f>
        <v>361.81700000000001</v>
      </c>
      <c r="AB50" s="54">
        <f>_xll.EQNXTDZ($A$1,$B50,AB$1,$B$1)</f>
        <v>400.154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7.8689999999999998</v>
      </c>
      <c r="O52" s="54">
        <f>_xll.EQNXTDZ($A$1,$B52,O$1,$B$1)</f>
        <v>13.842000000000001</v>
      </c>
      <c r="P52" s="54">
        <f>_xll.EQNXTDZ($A$1,$B52,P$1,$B$1)</f>
        <v>17.599</v>
      </c>
      <c r="Q52" s="54">
        <f>_xll.EQNXTDZ($A$1,$B52,Q$1,$B$1)</f>
        <v>25.911000000000001</v>
      </c>
      <c r="R52" s="54">
        <f>_xll.EQNXTDZ($A$1,$B52,R$1,$B$1)</f>
        <v>44.313000000000002</v>
      </c>
      <c r="S52" s="54">
        <f>_xll.EQNXTDZ($A$1,$B52,S$1,$B$1)</f>
        <v>60.588000000000001</v>
      </c>
      <c r="T52" s="54">
        <f>_xll.EQNXTDZ($A$1,$B52,T$1,$B$1)</f>
        <v>73.263999999999996</v>
      </c>
      <c r="U52" s="54">
        <f>_xll.EQNXTDZ($A$1,$B52,U$1,$B$1)</f>
        <v>105.255</v>
      </c>
      <c r="V52" s="54">
        <f>_xll.EQNXTDZ($A$1,$B52,V$1,$B$1)</f>
        <v>170.33500000000001</v>
      </c>
      <c r="W52" s="54">
        <f>_xll.EQNXTDZ($A$1,$B52,W$1,$B$1)</f>
        <v>203.90600000000001</v>
      </c>
      <c r="X52" s="54">
        <f>_xll.EQNXTDZ($A$1,$B52,X$1,$B$1)</f>
        <v>208.54300000000001</v>
      </c>
      <c r="Y52" s="54">
        <f>_xll.EQNXTDZ($A$1,$B52,Y$1,$B$1)</f>
        <v>204.113</v>
      </c>
      <c r="Z52" s="54">
        <f>_xll.EQNXTDZ($A$1,$B52,Z$1,$B$1)</f>
        <v>212.64400000000001</v>
      </c>
      <c r="AA52" s="54">
        <f>_xll.EQNXTDZ($A$1,$B52,AA$1,$B$1)</f>
        <v>189.434</v>
      </c>
      <c r="AB52" s="54">
        <f>_xll.EQNXTDZ($A$1,$B52,AB$1,$B$1)</f>
        <v>190.46100000000001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207.7114972</v>
      </c>
      <c r="H53" s="54">
        <f>_xll.EQNXTDZ($A$1,$B53,H$1,$B$1)</f>
        <v>189.21234799999999</v>
      </c>
      <c r="I53" s="54">
        <f>_xll.EQNXTDZ($A$1,$B53,I$1,$B$1)</f>
        <v>179.92650850000001</v>
      </c>
      <c r="J53" s="54">
        <f>_xll.EQNXTDZ($A$1,$B53,J$1,$B$1)</f>
        <v>178.87722339999999</v>
      </c>
      <c r="K53" s="54">
        <f>_xll.EQNXTDZ($A$1,$B53,K$1,$B$1)</f>
        <v>292.35848110000001</v>
      </c>
      <c r="L53" s="54">
        <f>_xll.EQNXTDZ($A$1,$B53,L$1,$B$1)</f>
        <v>455.52810950000003</v>
      </c>
      <c r="M53" s="54">
        <f>_xll.EQNXTDZ($A$1,$B53,M$1,$B$1)</f>
        <v>621.08160080000005</v>
      </c>
      <c r="N53" s="54">
        <f>_xll.EQNXTDZ($A$1,$B53,N$1,$B$1)</f>
        <v>694.00699999999995</v>
      </c>
      <c r="O53" s="54">
        <f>_xll.EQNXTDZ($A$1,$B53,O$1,$B$1)</f>
        <v>1482.9929999999999</v>
      </c>
      <c r="P53" s="54">
        <f>_xll.EQNXTDZ($A$1,$B53,P$1,$B$1)</f>
        <v>1804.231</v>
      </c>
      <c r="Q53" s="54">
        <f>_xll.EQNXTDZ($A$1,$B53,Q$1,$B$1)</f>
        <v>1745.0350000000001</v>
      </c>
      <c r="R53" s="54">
        <f>_xll.EQNXTDZ($A$1,$B53,R$1,$B$1)</f>
        <v>2403.0010000000002</v>
      </c>
      <c r="S53" s="54">
        <f>_xll.EQNXTDZ($A$1,$B53,S$1,$B$1)</f>
        <v>1416.2</v>
      </c>
      <c r="T53" s="54">
        <f>_xll.EQNXTDZ($A$1,$B53,T$1,$B$1)</f>
        <v>1918.76</v>
      </c>
      <c r="U53" s="54">
        <f>_xll.EQNXTDZ($A$1,$B53,U$1,$B$1)</f>
        <v>2250.8649999999998</v>
      </c>
      <c r="V53" s="54">
        <f>_xll.EQNXTDZ($A$1,$B53,V$1,$B$1)</f>
        <v>2796.1930000000002</v>
      </c>
      <c r="W53" s="54">
        <f>_xll.EQNXTDZ($A$1,$B53,W$1,$B$1)</f>
        <v>2423.6260000000002</v>
      </c>
      <c r="X53" s="54">
        <f>_xll.EQNXTDZ($A$1,$B53,X$1,$B$1)</f>
        <v>2362.54</v>
      </c>
      <c r="Y53" s="54">
        <f>_xll.EQNXTDZ($A$1,$B53,Y$1,$B$1)</f>
        <v>2434.002</v>
      </c>
      <c r="Z53" s="54">
        <f>_xll.EQNXTDZ($A$1,$B53,Z$1,$B$1)</f>
        <v>3949.3180000000002</v>
      </c>
      <c r="AA53" s="54">
        <f>_xll.EQNXTDZ($A$1,$B53,AA$1,$B$1)</f>
        <v>1860.2180000000001</v>
      </c>
      <c r="AB53" s="54">
        <f>_xll.EQNXTDZ($A$1,$B53,AB$1,$B$1)</f>
        <v>1725.816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15.234545799999999</v>
      </c>
      <c r="H54" s="54">
        <f>_xll.EQNXTDZ($A$1,$B54,H$1,$B$1)</f>
        <v>17.247636100000001</v>
      </c>
      <c r="I54" s="54">
        <f>_xll.EQNXTDZ($A$1,$B54,I$1,$B$1)</f>
        <v>18.7599956</v>
      </c>
      <c r="J54" s="54">
        <f>_xll.EQNXTDZ($A$1,$B54,J$1,$B$1)</f>
        <v>28.7060028</v>
      </c>
      <c r="K54" s="54">
        <f>_xll.EQNXTDZ($A$1,$B54,K$1,$B$1)</f>
        <v>31.0876999</v>
      </c>
      <c r="L54" s="54">
        <f>_xll.EQNXTDZ($A$1,$B54,L$1,$B$1)</f>
        <v>82.368639700000003</v>
      </c>
      <c r="M54" s="54">
        <f>_xll.EQNXTDZ($A$1,$B54,M$1,$B$1)</f>
        <v>69.616975400000001</v>
      </c>
      <c r="N54" s="54">
        <f>_xll.EQNXTDZ($A$1,$B54,N$1,$B$1)</f>
        <v>28.805</v>
      </c>
      <c r="O54" s="54">
        <f>_xll.EQNXTDZ($A$1,$B54,O$1,$B$1)</f>
        <v>90.661000000000001</v>
      </c>
      <c r="P54" s="54">
        <f>_xll.EQNXTDZ($A$1,$B54,P$1,$B$1)</f>
        <v>139.18100000000001</v>
      </c>
      <c r="Q54" s="54">
        <f>_xll.EQNXTDZ($A$1,$B54,Q$1,$B$1)</f>
        <v>180.63200000000001</v>
      </c>
      <c r="R54" s="54">
        <f>_xll.EQNXTDZ($A$1,$B54,R$1,$B$1)</f>
        <v>184.55500000000001</v>
      </c>
      <c r="S54" s="54">
        <f>_xll.EQNXTDZ($A$1,$B54,S$1,$B$1)</f>
        <v>274.58999999999997</v>
      </c>
      <c r="T54" s="54">
        <f>_xll.EQNXTDZ($A$1,$B54,T$1,$B$1)</f>
        <v>190.946</v>
      </c>
      <c r="U54" s="54">
        <f>_xll.EQNXTDZ($A$1,$B54,U$1,$B$1)</f>
        <v>316.79700000000003</v>
      </c>
      <c r="V54" s="54">
        <f>_xll.EQNXTDZ($A$1,$B54,V$1,$B$1)</f>
        <v>477.661</v>
      </c>
      <c r="W54" s="54">
        <f>_xll.EQNXTDZ($A$1,$B54,W$1,$B$1)</f>
        <v>511.38499999999999</v>
      </c>
      <c r="X54" s="54">
        <f>_xll.EQNXTDZ($A$1,$B54,X$1,$B$1)</f>
        <v>711.75300000000004</v>
      </c>
      <c r="Y54" s="54">
        <f>_xll.EQNXTDZ($A$1,$B54,Y$1,$B$1)</f>
        <v>824.26099999999997</v>
      </c>
      <c r="Z54" s="54">
        <f>_xll.EQNXTDZ($A$1,$B54,Z$1,$B$1)</f>
        <v>758.24800000000005</v>
      </c>
      <c r="AA54" s="54">
        <f>_xll.EQNXTDZ($A$1,$B54,AA$1,$B$1)</f>
        <v>1560.4269999999999</v>
      </c>
      <c r="AB54" s="54">
        <f>_xll.EQNXTDZ($A$1,$B54,AB$1,$B$1)</f>
        <v>1401.3040000000001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32.704368500000001</v>
      </c>
      <c r="H55" s="54">
        <f>_xll.EQNXTDZ($A$1,$B55,H$1,$B$1)</f>
        <v>36.154086700000001</v>
      </c>
      <c r="I55" s="54">
        <f>_xll.EQNXTDZ($A$1,$B55,I$1,$B$1)</f>
        <v>43.798346299999999</v>
      </c>
      <c r="J55" s="54">
        <f>_xll.EQNXTDZ($A$1,$B55,J$1,$B$1)</f>
        <v>36.219710200000002</v>
      </c>
      <c r="K55" s="54">
        <f>_xll.EQNXTDZ($A$1,$B55,K$1,$B$1)</f>
        <v>26.295652199999999</v>
      </c>
      <c r="L55" s="54">
        <f>_xll.EQNXTDZ($A$1,$B55,L$1,$B$1)</f>
        <v>30.274596500000001</v>
      </c>
      <c r="M55" s="54">
        <f>_xll.EQNXTDZ($A$1,$B55,M$1,$B$1)</f>
        <v>36.164772300000003</v>
      </c>
      <c r="N55" s="54">
        <f>_xll.EQNXTDZ($A$1,$B55,N$1,$B$1)</f>
        <v>182.30199999999999</v>
      </c>
      <c r="O55" s="54">
        <f>_xll.EQNXTDZ($A$1,$B55,O$1,$B$1)</f>
        <v>463.25900000000001</v>
      </c>
      <c r="P55" s="54">
        <f>_xll.EQNXTDZ($A$1,$B55,P$1,$B$1)</f>
        <v>482.85399999999998</v>
      </c>
      <c r="Q55" s="54">
        <f>_xll.EQNXTDZ($A$1,$B55,Q$1,$B$1)</f>
        <v>496.74599999999998</v>
      </c>
      <c r="R55" s="54">
        <f>_xll.EQNXTDZ($A$1,$B55,R$1,$B$1)</f>
        <v>879.79200000000003</v>
      </c>
      <c r="S55" s="54">
        <f>_xll.EQNXTDZ($A$1,$B55,S$1,$B$1)</f>
        <v>1019.3</v>
      </c>
      <c r="T55" s="54">
        <f>_xll.EQNXTDZ($A$1,$B55,T$1,$B$1)</f>
        <v>1020.952</v>
      </c>
      <c r="U55" s="54">
        <f>_xll.EQNXTDZ($A$1,$B55,U$1,$B$1)</f>
        <v>997.89800000000002</v>
      </c>
      <c r="V55" s="54">
        <f>_xll.EQNXTDZ($A$1,$B55,V$1,$B$1)</f>
        <v>1230.298</v>
      </c>
      <c r="W55" s="54">
        <f>_xll.EQNXTDZ($A$1,$B55,W$1,$B$1)</f>
        <v>1172.643</v>
      </c>
      <c r="X55" s="54">
        <f>_xll.EQNXTDZ($A$1,$B55,X$1,$B$1)</f>
        <v>1616.32</v>
      </c>
      <c r="Y55" s="54">
        <f>_xll.EQNXTDZ($A$1,$B55,Y$1,$B$1)</f>
        <v>2412.0390000000002</v>
      </c>
      <c r="Z55" s="54">
        <f>_xll.EQNXTDZ($A$1,$B55,Z$1,$B$1)</f>
        <v>2270.2139999999999</v>
      </c>
      <c r="AA55" s="54">
        <f>_xll.EQNXTDZ($A$1,$B55,AA$1,$B$1)</f>
        <v>1537.865</v>
      </c>
      <c r="AB55" s="54">
        <f>_xll.EQNXTDZ($A$1,$B55,AB$1,$B$1)</f>
        <v>1337.5429999999999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235.71799999999999</v>
      </c>
      <c r="O56" s="54">
        <f>_xll.EQNXTDZ($A$1,$B56,O$1,$B$1)</f>
        <v>338.44</v>
      </c>
      <c r="P56" s="54">
        <f>_xll.EQNXTDZ($A$1,$B56,P$1,$B$1)</f>
        <v>337.649</v>
      </c>
      <c r="Q56" s="54">
        <f>_xll.EQNXTDZ($A$1,$B56,Q$1,$B$1)</f>
        <v>508.517</v>
      </c>
      <c r="R56" s="54">
        <f>_xll.EQNXTDZ($A$1,$B56,R$1,$B$1)</f>
        <v>252.41200000000001</v>
      </c>
      <c r="S56" s="54">
        <f>_xll.EQNXTDZ($A$1,$B56,S$1,$B$1)</f>
        <v>411.12900000000002</v>
      </c>
      <c r="T56" s="54">
        <f>_xll.EQNXTDZ($A$1,$B56,T$1,$B$1)</f>
        <v>353.36500000000001</v>
      </c>
      <c r="U56" s="54">
        <f>_xll.EQNXTDZ($A$1,$B56,U$1,$B$1)</f>
        <v>377.65499999999997</v>
      </c>
      <c r="V56" s="54">
        <f>_xll.EQNXTDZ($A$1,$B56,V$1,$B$1)</f>
        <v>467.154</v>
      </c>
      <c r="W56" s="54">
        <f>_xll.EQNXTDZ($A$1,$B56,W$1,$B$1)</f>
        <v>713.85799999999995</v>
      </c>
      <c r="X56" s="54">
        <f>_xll.EQNXTDZ($A$1,$B56,X$1,$B$1)</f>
        <v>628.49199999999996</v>
      </c>
      <c r="Y56" s="54">
        <f>_xll.EQNXTDZ($A$1,$B56,Y$1,$B$1)</f>
        <v>627.69500000000005</v>
      </c>
      <c r="Z56" s="54">
        <f>_xll.EQNXTDZ($A$1,$B56,Z$1,$B$1)</f>
        <v>1003.205</v>
      </c>
      <c r="AA56" s="54">
        <f>_xll.EQNXTDZ($A$1,$B56,AA$1,$B$1)</f>
        <v>1286.6110000000001</v>
      </c>
      <c r="AB56" s="54">
        <f>_xll.EQNXTDZ($A$1,$B56,AB$1,$B$1)</f>
        <v>1272.2929999999999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2.5</v>
      </c>
      <c r="H57" s="54">
        <f>_xll.EQNXTDZ($A$1,$B57,H$1,$B$1)</f>
        <v>2.1</v>
      </c>
      <c r="I57" s="54">
        <f>_xll.EQNXTDZ($A$1,$B57,I$1,$B$1)</f>
        <v>2.75</v>
      </c>
      <c r="J57" s="54">
        <f>_xll.EQNXTDZ($A$1,$B57,J$1,$B$1)</f>
        <v>8.4571778999999996</v>
      </c>
      <c r="K57" s="54">
        <f>_xll.EQNXTDZ($A$1,$B57,K$1,$B$1)</f>
        <v>11.2636617</v>
      </c>
      <c r="L57" s="54">
        <f>_xll.EQNXTDZ($A$1,$B57,L$1,$B$1)</f>
        <v>7.5</v>
      </c>
      <c r="M57" s="54">
        <f>_xll.EQNXTDZ($A$1,$B57,M$1,$B$1)</f>
        <v>9</v>
      </c>
      <c r="N57" s="54">
        <f>_xll.EQNXTDZ($A$1,$B57,N$1,$B$1)</f>
        <v>1.2869999999999999</v>
      </c>
      <c r="O57" s="54">
        <f>_xll.EQNXTDZ($A$1,$B57,O$1,$B$1)</f>
        <v>6.4889999999999999</v>
      </c>
      <c r="P57" s="54">
        <f>_xll.EQNXTDZ($A$1,$B57,P$1,$B$1)</f>
        <v>6.2880000000000003</v>
      </c>
      <c r="Q57" s="54">
        <f>_xll.EQNXTDZ($A$1,$B57,Q$1,$B$1)</f>
        <v>17.628</v>
      </c>
      <c r="R57" s="54">
        <f>_xll.EQNXTDZ($A$1,$B57,R$1,$B$1)</f>
        <v>37.206000000000003</v>
      </c>
      <c r="S57" s="54">
        <f>_xll.EQNXTDZ($A$1,$B57,S$1,$B$1)</f>
        <v>22.513999999999999</v>
      </c>
      <c r="T57" s="54">
        <f>_xll.EQNXTDZ($A$1,$B57,T$1,$B$1)</f>
        <v>23.585000000000001</v>
      </c>
      <c r="U57" s="54">
        <f>_xll.EQNXTDZ($A$1,$B57,U$1,$B$1)</f>
        <v>48.521000000000001</v>
      </c>
      <c r="V57" s="54">
        <f>_xll.EQNXTDZ($A$1,$B57,V$1,$B$1)</f>
        <v>45.179000000000002</v>
      </c>
      <c r="W57" s="54">
        <f>_xll.EQNXTDZ($A$1,$B57,W$1,$B$1)</f>
        <v>37.064</v>
      </c>
      <c r="X57" s="54">
        <f>_xll.EQNXTDZ($A$1,$B57,X$1,$B$1)</f>
        <v>63.680999999999997</v>
      </c>
      <c r="Y57" s="54">
        <f>_xll.EQNXTDZ($A$1,$B57,Y$1,$B$1)</f>
        <v>104.759</v>
      </c>
      <c r="Z57" s="54">
        <f>_xll.EQNXTDZ($A$1,$B57,Z$1,$B$1)</f>
        <v>121.545</v>
      </c>
      <c r="AA57" s="54">
        <f>_xll.EQNXTDZ($A$1,$B57,AA$1,$B$1)</f>
        <v>139.523</v>
      </c>
      <c r="AB57" s="54">
        <f>_xll.EQNXTDZ($A$1,$B57,AB$1,$B$1)</f>
        <v>62.805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50.4389143</v>
      </c>
      <c r="H59" s="54">
        <f>_xll.EQNXTDZ($A$1,$B59,H$1,$B$1)</f>
        <v>55.501722800000003</v>
      </c>
      <c r="I59" s="54">
        <f>_xll.EQNXTDZ($A$1,$B59,I$1,$B$1)</f>
        <v>65.308341900000002</v>
      </c>
      <c r="J59" s="54">
        <f>_xll.EQNXTDZ($A$1,$B59,J$1,$B$1)</f>
        <v>73.382890900000007</v>
      </c>
      <c r="K59" s="54">
        <f>_xll.EQNXTDZ($A$1,$B59,K$1,$B$1)</f>
        <v>68.647013799999996</v>
      </c>
      <c r="L59" s="54">
        <f>_xll.EQNXTDZ($A$1,$B59,L$1,$B$1)</f>
        <v>120.1432362</v>
      </c>
      <c r="M59" s="54">
        <f>_xll.EQNXTDZ($A$1,$B59,M$1,$B$1)</f>
        <v>114.7817477</v>
      </c>
      <c r="N59" s="54">
        <f>_xll.EQNXTDZ($A$1,$B59,N$1,$B$1)</f>
        <v>448.11200000000002</v>
      </c>
      <c r="O59" s="54">
        <f>_xll.EQNXTDZ($A$1,$B59,O$1,$B$1)</f>
        <v>898.84900000000005</v>
      </c>
      <c r="P59" s="54">
        <f>_xll.EQNXTDZ($A$1,$B59,P$1,$B$1)</f>
        <v>965.97199999999998</v>
      </c>
      <c r="Q59" s="54">
        <f>_xll.EQNXTDZ($A$1,$B59,Q$1,$B$1)</f>
        <v>1203.5229999999999</v>
      </c>
      <c r="R59" s="54">
        <f>_xll.EQNXTDZ($A$1,$B59,R$1,$B$1)</f>
        <v>1353.9649999999999</v>
      </c>
      <c r="S59" s="54">
        <f>_xll.EQNXTDZ($A$1,$B59,S$1,$B$1)</f>
        <v>1727.5329999999999</v>
      </c>
      <c r="T59" s="54">
        <f>_xll.EQNXTDZ($A$1,$B59,T$1,$B$1)</f>
        <v>1588.848</v>
      </c>
      <c r="U59" s="54">
        <f>_xll.EQNXTDZ($A$1,$B59,U$1,$B$1)</f>
        <v>1740.8710000000001</v>
      </c>
      <c r="V59" s="54">
        <f>_xll.EQNXTDZ($A$1,$B59,V$1,$B$1)</f>
        <v>2220.2919999999999</v>
      </c>
      <c r="W59" s="54">
        <f>_xll.EQNXTDZ($A$1,$B59,W$1,$B$1)</f>
        <v>2434.9499999999998</v>
      </c>
      <c r="X59" s="54">
        <f>_xll.EQNXTDZ($A$1,$B59,X$1,$B$1)</f>
        <v>3020.2460000000001</v>
      </c>
      <c r="Y59" s="54">
        <f>_xll.EQNXTDZ($A$1,$B59,Y$1,$B$1)</f>
        <v>3968.7539999999999</v>
      </c>
      <c r="Z59" s="54">
        <f>_xll.EQNXTDZ($A$1,$B59,Z$1,$B$1)</f>
        <v>4153.2120000000004</v>
      </c>
      <c r="AA59" s="54">
        <f>_xll.EQNXTDZ($A$1,$B59,AA$1,$B$1)</f>
        <v>4524.4260000000004</v>
      </c>
      <c r="AB59" s="54">
        <f>_xll.EQNXTDZ($A$1,$B59,AB$1,$B$1)</f>
        <v>4073.9450000000002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406.3814332</v>
      </c>
      <c r="H60" s="54">
        <f>_xll.EQNXTDZ($A$1,$B60,H$1,$B$1)</f>
        <v>404.32876570000002</v>
      </c>
      <c r="I60" s="54">
        <f>_xll.EQNXTDZ($A$1,$B60,I$1,$B$1)</f>
        <v>418.28569140000002</v>
      </c>
      <c r="J60" s="54">
        <f>_xll.EQNXTDZ($A$1,$B60,J$1,$B$1)</f>
        <v>446.51421529999999</v>
      </c>
      <c r="K60" s="54">
        <f>_xll.EQNXTDZ($A$1,$B60,K$1,$B$1)</f>
        <v>576.18233029999999</v>
      </c>
      <c r="L60" s="54">
        <f>_xll.EQNXTDZ($A$1,$B60,L$1,$B$1)</f>
        <v>770.53160330000003</v>
      </c>
      <c r="M60" s="54">
        <f>_xll.EQNXTDZ($A$1,$B60,M$1,$B$1)</f>
        <v>923.66735189999997</v>
      </c>
      <c r="N60" s="54">
        <f>_xll.EQNXTDZ($A$1,$B60,N$1,$B$1)</f>
        <v>1252.376</v>
      </c>
      <c r="O60" s="54">
        <f>_xll.EQNXTDZ($A$1,$B60,O$1,$B$1)</f>
        <v>2553.462</v>
      </c>
      <c r="P60" s="54">
        <f>_xll.EQNXTDZ($A$1,$B60,P$1,$B$1)</f>
        <v>2985.57</v>
      </c>
      <c r="Q60" s="54">
        <f>_xll.EQNXTDZ($A$1,$B60,Q$1,$B$1)</f>
        <v>3291.636</v>
      </c>
      <c r="R60" s="54">
        <f>_xll.EQNXTDZ($A$1,$B60,R$1,$B$1)</f>
        <v>4431.2430000000004</v>
      </c>
      <c r="S60" s="54">
        <f>_xll.EQNXTDZ($A$1,$B60,S$1,$B$1)</f>
        <v>4824.4219999999996</v>
      </c>
      <c r="T60" s="54">
        <f>_xll.EQNXTDZ($A$1,$B60,T$1,$B$1)</f>
        <v>5275.6040000000003</v>
      </c>
      <c r="U60" s="54">
        <f>_xll.EQNXTDZ($A$1,$B60,U$1,$B$1)</f>
        <v>5998.0079999999998</v>
      </c>
      <c r="V60" s="54">
        <f>_xll.EQNXTDZ($A$1,$B60,V$1,$B$1)</f>
        <v>8375.5859999999993</v>
      </c>
      <c r="W60" s="54">
        <f>_xll.EQNXTDZ($A$1,$B60,W$1,$B$1)</f>
        <v>8447.3649999999998</v>
      </c>
      <c r="X60" s="54">
        <f>_xll.EQNXTDZ($A$1,$B60,X$1,$B$1)</f>
        <v>9579.4830000000002</v>
      </c>
      <c r="Y60" s="54">
        <f>_xll.EQNXTDZ($A$1,$B60,Y$1,$B$1)</f>
        <v>11618.243</v>
      </c>
      <c r="Z60" s="54">
        <f>_xll.EQNXTDZ($A$1,$B60,Z$1,$B$1)</f>
        <v>15187.183000000001</v>
      </c>
      <c r="AA60" s="54">
        <f>_xll.EQNXTDZ($A$1,$B60,AA$1,$B$1)</f>
        <v>23124.278999999999</v>
      </c>
      <c r="AB60" s="54">
        <f>_xll.EQNXTDZ($A$1,$B60,AB$1,$B$1)</f>
        <v>25540.716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407.36907889999998</v>
      </c>
      <c r="H62" s="54">
        <f>_xll.EQNXTDZ($A$1,$B62,H$1,$B$1)</f>
        <v>414.09677090000002</v>
      </c>
      <c r="I62" s="54">
        <f>_xll.EQNXTDZ($A$1,$B62,I$1,$B$1)</f>
        <v>436.4532246</v>
      </c>
      <c r="J62" s="54">
        <f>_xll.EQNXTDZ($A$1,$B62,J$1,$B$1)</f>
        <v>455.65571740000001</v>
      </c>
      <c r="K62" s="54">
        <f>_xll.EQNXTDZ($A$1,$B62,K$1,$B$1)</f>
        <v>514.24857610000004</v>
      </c>
      <c r="L62" s="54">
        <f>_xll.EQNXTDZ($A$1,$B62,L$1,$B$1)</f>
        <v>663.21772269999997</v>
      </c>
      <c r="M62" s="54">
        <f>_xll.EQNXTDZ($A$1,$B62,M$1,$B$1)</f>
        <v>797.59072920000006</v>
      </c>
      <c r="N62" s="54">
        <f>_xll.EQNXTDZ($A$1,$B62,N$1,$B$1)</f>
        <v>1004.734</v>
      </c>
      <c r="O62" s="54">
        <f>_xll.EQNXTDZ($A$1,$B62,O$1,$B$1)</f>
        <v>2240.1149999999998</v>
      </c>
      <c r="P62" s="54">
        <f>_xll.EQNXTDZ($A$1,$B62,P$1,$B$1)</f>
        <v>3064.0819999999999</v>
      </c>
      <c r="Q62" s="54">
        <f>_xll.EQNXTDZ($A$1,$B62,Q$1,$B$1)</f>
        <v>3223.252</v>
      </c>
      <c r="R62" s="54">
        <f>_xll.EQNXTDZ($A$1,$B62,R$1,$B$1)</f>
        <v>4632.4669999999996</v>
      </c>
      <c r="S62" s="54">
        <f>_xll.EQNXTDZ($A$1,$B62,S$1,$B$1)</f>
        <v>5158.9290000000001</v>
      </c>
      <c r="T62" s="54">
        <f>_xll.EQNXTDZ($A$1,$B62,T$1,$B$1)</f>
        <v>5634.5420000000004</v>
      </c>
      <c r="U62" s="54">
        <f>_xll.EQNXTDZ($A$1,$B62,U$1,$B$1)</f>
        <v>6171.6440000000002</v>
      </c>
      <c r="V62" s="54">
        <f>_xll.EQNXTDZ($A$1,$B62,V$1,$B$1)</f>
        <v>8744.5349999999999</v>
      </c>
      <c r="W62" s="54">
        <f>_xll.EQNXTDZ($A$1,$B62,W$1,$B$1)</f>
        <v>9032.8340000000007</v>
      </c>
      <c r="X62" s="54">
        <f>_xll.EQNXTDZ($A$1,$B62,X$1,$B$1)</f>
        <v>9409.8909999999996</v>
      </c>
      <c r="Y62" s="54">
        <f>_xll.EQNXTDZ($A$1,$B62,Y$1,$B$1)</f>
        <v>10441.422</v>
      </c>
      <c r="Z62" s="54">
        <f>_xll.EQNXTDZ($A$1,$B62,Z$1,$B$1)</f>
        <v>12445.092000000001</v>
      </c>
      <c r="AA62" s="54">
        <f>_xll.EQNXTDZ($A$1,$B62,AA$1,$B$1)</f>
        <v>18801.844000000001</v>
      </c>
      <c r="AB62" s="54">
        <f>_xll.EQNXTDZ($A$1,$B62,AB$1,$B$1)</f>
        <v>23600.148000000001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100.87414200000001</v>
      </c>
      <c r="H63" s="54">
        <f>_xll.EQNXTDZ($A$1,$B63,H$1,$B$1)</f>
        <v>120.48380400000001</v>
      </c>
      <c r="I63" s="54">
        <f>_xll.EQNXTDZ($A$1,$B63,I$1,$B$1)</f>
        <v>143.223669</v>
      </c>
      <c r="J63" s="54">
        <f>_xll.EQNXTDZ($A$1,$B63,J$1,$B$1)</f>
        <v>150.7021785</v>
      </c>
      <c r="K63" s="54">
        <f>_xll.EQNXTDZ($A$1,$B63,K$1,$B$1)</f>
        <v>157.30134760000001</v>
      </c>
      <c r="L63" s="54">
        <f>_xll.EQNXTDZ($A$1,$B63,L$1,$B$1)</f>
        <v>166.0897784</v>
      </c>
      <c r="M63" s="54">
        <f>_xll.EQNXTDZ($A$1,$B63,M$1,$B$1)</f>
        <v>211.13117769999999</v>
      </c>
      <c r="N63" s="54">
        <f>_xll.EQNXTDZ($A$1,$B63,N$1,$B$1)</f>
        <v>265.33300000000003</v>
      </c>
      <c r="O63" s="54">
        <f>_xll.EQNXTDZ($A$1,$B63,O$1,$B$1)</f>
        <v>527.37199999999996</v>
      </c>
      <c r="P63" s="54">
        <f>_xll.EQNXTDZ($A$1,$B63,P$1,$B$1)</f>
        <v>689.45500000000004</v>
      </c>
      <c r="Q63" s="54">
        <f>_xll.EQNXTDZ($A$1,$B63,Q$1,$B$1)</f>
        <v>868.38599999999997</v>
      </c>
      <c r="R63" s="54">
        <f>_xll.EQNXTDZ($A$1,$B63,R$1,$B$1)</f>
        <v>1136.9000000000001</v>
      </c>
      <c r="S63" s="54">
        <f>_xll.EQNXTDZ($A$1,$B63,S$1,$B$1)</f>
        <v>1443.434</v>
      </c>
      <c r="T63" s="54">
        <f>_xll.EQNXTDZ($A$1,$B63,T$1,$B$1)</f>
        <v>1654.021</v>
      </c>
      <c r="U63" s="54">
        <f>_xll.EQNXTDZ($A$1,$B63,U$1,$B$1)</f>
        <v>1784.67</v>
      </c>
      <c r="V63" s="54">
        <f>_xll.EQNXTDZ($A$1,$B63,V$1,$B$1)</f>
        <v>2265.4920000000002</v>
      </c>
      <c r="W63" s="54">
        <f>_xll.EQNXTDZ($A$1,$B63,W$1,$B$1)</f>
        <v>2624.2150000000001</v>
      </c>
      <c r="X63" s="54">
        <f>_xll.EQNXTDZ($A$1,$B63,X$1,$B$1)</f>
        <v>3099.116</v>
      </c>
      <c r="Y63" s="54">
        <f>_xll.EQNXTDZ($A$1,$B63,Y$1,$B$1)</f>
        <v>3509.203</v>
      </c>
      <c r="Z63" s="54">
        <f>_xll.EQNXTDZ($A$1,$B63,Z$1,$B$1)</f>
        <v>4035.9229999999998</v>
      </c>
      <c r="AA63" s="54">
        <f>_xll.EQNXTDZ($A$1,$B63,AA$1,$B$1)</f>
        <v>5400.1080000000002</v>
      </c>
      <c r="AB63" s="54">
        <f>_xll.EQNXTDZ($A$1,$B63,AB$1,$B$1)</f>
        <v>6841.2209999999995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306.49493690000003</v>
      </c>
      <c r="H65" s="54">
        <f>_xll.EQNXTDZ($A$1,$B65,H$1,$B$1)</f>
        <v>293.6129669</v>
      </c>
      <c r="I65" s="54">
        <f>_xll.EQNXTDZ($A$1,$B65,I$1,$B$1)</f>
        <v>293.22955560000003</v>
      </c>
      <c r="J65" s="54">
        <f>_xll.EQNXTDZ($A$1,$B65,J$1,$B$1)</f>
        <v>304.95353890000001</v>
      </c>
      <c r="K65" s="54">
        <f>_xll.EQNXTDZ($A$1,$B65,K$1,$B$1)</f>
        <v>356.94722849999999</v>
      </c>
      <c r="L65" s="54">
        <f>_xll.EQNXTDZ($A$1,$B65,L$1,$B$1)</f>
        <v>497.12794430000002</v>
      </c>
      <c r="M65" s="54">
        <f>_xll.EQNXTDZ($A$1,$B65,M$1,$B$1)</f>
        <v>586.45955149999998</v>
      </c>
      <c r="N65" s="54">
        <f>_xll.EQNXTDZ($A$1,$B65,N$1,$B$1)</f>
        <v>739.40099999999995</v>
      </c>
      <c r="O65" s="54">
        <f>_xll.EQNXTDZ($A$1,$B65,O$1,$B$1)</f>
        <v>1712.7429999999999</v>
      </c>
      <c r="P65" s="54">
        <f>_xll.EQNXTDZ($A$1,$B65,P$1,$B$1)</f>
        <v>2374.627</v>
      </c>
      <c r="Q65" s="54">
        <f>_xll.EQNXTDZ($A$1,$B65,Q$1,$B$1)</f>
        <v>2354.866</v>
      </c>
      <c r="R65" s="54">
        <f>_xll.EQNXTDZ($A$1,$B65,R$1,$B$1)</f>
        <v>3495.567</v>
      </c>
      <c r="S65" s="54">
        <f>_xll.EQNXTDZ($A$1,$B65,S$1,$B$1)</f>
        <v>3715.4949999999999</v>
      </c>
      <c r="T65" s="54">
        <f>_xll.EQNXTDZ($A$1,$B65,T$1,$B$1)</f>
        <v>3980.5210000000002</v>
      </c>
      <c r="U65" s="54">
        <f>_xll.EQNXTDZ($A$1,$B65,U$1,$B$1)</f>
        <v>4386.9740000000002</v>
      </c>
      <c r="V65" s="54">
        <f>_xll.EQNXTDZ($A$1,$B65,V$1,$B$1)</f>
        <v>6479.0429999999997</v>
      </c>
      <c r="W65" s="54">
        <f>_xll.EQNXTDZ($A$1,$B65,W$1,$B$1)</f>
        <v>6408.6189999999997</v>
      </c>
      <c r="X65" s="54">
        <f>_xll.EQNXTDZ($A$1,$B65,X$1,$B$1)</f>
        <v>6310.7749999999996</v>
      </c>
      <c r="Y65" s="54">
        <f>_xll.EQNXTDZ($A$1,$B65,Y$1,$B$1)</f>
        <v>6932.2190000000001</v>
      </c>
      <c r="Z65" s="54">
        <f>_xll.EQNXTDZ($A$1,$B65,Z$1,$B$1)</f>
        <v>8409.1689999999999</v>
      </c>
      <c r="AA65" s="54">
        <f>_xll.EQNXTDZ($A$1,$B65,AA$1,$B$1)</f>
        <v>13401.736000000001</v>
      </c>
      <c r="AB65" s="54">
        <f>_xll.EQNXTDZ($A$1,$B65,AB$1,$B$1)</f>
        <v>16758.927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0.17218510000000001</v>
      </c>
      <c r="H67" s="54">
        <f>_xll.EQNXTDZ($A$1,$B67,H$1,$B$1)</f>
        <v>5.4787353000000003</v>
      </c>
      <c r="I67" s="54">
        <f>_xll.EQNXTDZ($A$1,$B67,I$1,$B$1)</f>
        <v>4.0167162000000003</v>
      </c>
      <c r="J67" s="54">
        <f>_xll.EQNXTDZ($A$1,$B67,J$1,$B$1)</f>
        <v>13.9623557</v>
      </c>
      <c r="K67" s="54">
        <f>_xll.EQNXTDZ($A$1,$B67,K$1,$B$1)</f>
        <v>17.7980372</v>
      </c>
      <c r="L67" s="54">
        <f>_xll.EQNXTDZ($A$1,$B67,L$1,$B$1)</f>
        <v>18.975753699999999</v>
      </c>
      <c r="M67" s="54">
        <f>_xll.EQNXTDZ($A$1,$B67,M$1,$B$1)</f>
        <v>35.666137200000001</v>
      </c>
      <c r="N67" s="54">
        <f>_xll.EQNXTDZ($A$1,$B67,N$1,$B$1)</f>
        <v>108.961</v>
      </c>
      <c r="O67" s="54">
        <f>_xll.EQNXTDZ($A$1,$B67,O$1,$B$1)</f>
        <v>189.34800000000001</v>
      </c>
      <c r="P67" s="54">
        <f>_xll.EQNXTDZ($A$1,$B67,P$1,$B$1)</f>
        <v>27.434000000000001</v>
      </c>
      <c r="Q67" s="54">
        <f>_xll.EQNXTDZ($A$1,$B67,Q$1,$B$1)</f>
        <v>24.75</v>
      </c>
      <c r="R67" s="54">
        <f>_xll.EQNXTDZ($A$1,$B67,R$1,$B$1)</f>
        <v>37.911999999999999</v>
      </c>
      <c r="S67" s="54">
        <f>_xll.EQNXTDZ($A$1,$B67,S$1,$B$1)</f>
        <v>95.578000000000003</v>
      </c>
      <c r="T67" s="54">
        <f>_xll.EQNXTDZ($A$1,$B67,T$1,$B$1)</f>
        <v>145.43799999999999</v>
      </c>
      <c r="U67" s="54">
        <f>_xll.EQNXTDZ($A$1,$B67,U$1,$B$1)</f>
        <v>352.35700000000003</v>
      </c>
      <c r="V67" s="54">
        <f>_xll.EQNXTDZ($A$1,$B67,V$1,$B$1)</f>
        <v>63.823999999999998</v>
      </c>
      <c r="W67" s="54">
        <f>_xll.EQNXTDZ($A$1,$B67,W$1,$B$1)</f>
        <v>66.814999999999998</v>
      </c>
      <c r="X67" s="54">
        <f>_xll.EQNXTDZ($A$1,$B67,X$1,$B$1)</f>
        <v>496.608</v>
      </c>
      <c r="Y67" s="54">
        <f>_xll.EQNXTDZ($A$1,$B67,Y$1,$B$1)</f>
        <v>606.63199999999995</v>
      </c>
      <c r="Z67" s="54">
        <f>_xll.EQNXTDZ($A$1,$B67,Z$1,$B$1)</f>
        <v>1922.222</v>
      </c>
      <c r="AA67" s="54">
        <f>_xll.EQNXTDZ($A$1,$B67,AA$1,$B$1)</f>
        <v>1162.3430000000001</v>
      </c>
      <c r="AB67" s="54">
        <f>_xll.EQNXTDZ($A$1,$B67,AB$1,$B$1)</f>
        <v>266.30399999999997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4.3689999999999998</v>
      </c>
      <c r="AB68" s="54">
        <f>_xll.EQNXTDZ($A$1,$B68,AB$1,$B$1)</f>
        <v>4.4829999999999997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27.149766899999999</v>
      </c>
      <c r="H71" s="54">
        <f>_xll.EQNXTDZ($A$1,$B71,H$1,$B$1)</f>
        <v>27.149766899999999</v>
      </c>
      <c r="I71" s="54">
        <f>_xll.EQNXTDZ($A$1,$B71,I$1,$B$1)</f>
        <v>27.149766899999999</v>
      </c>
      <c r="J71" s="54">
        <f>_xll.EQNXTDZ($A$1,$B71,J$1,$B$1)</f>
        <v>5.9120606000000002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1.4E-2</v>
      </c>
      <c r="P71" s="54">
        <f>_xll.EQNXTDZ($A$1,$B71,P$1,$B$1)</f>
        <v>0.876</v>
      </c>
      <c r="Q71" s="54">
        <f>_xll.EQNXTDZ($A$1,$B71,Q$1,$B$1)</f>
        <v>1.7569999999999999</v>
      </c>
      <c r="R71" s="54">
        <f>_xll.EQNXTDZ($A$1,$B71,R$1,$B$1)</f>
        <v>3.2730000000000001</v>
      </c>
      <c r="S71" s="54">
        <f>_xll.EQNXTDZ($A$1,$B71,S$1,$B$1)</f>
        <v>6.8739999999999997</v>
      </c>
      <c r="T71" s="54">
        <f>_xll.EQNXTDZ($A$1,$B71,T$1,$B$1)</f>
        <v>8.2270000000000003</v>
      </c>
      <c r="U71" s="54">
        <f>_xll.EQNXTDZ($A$1,$B71,U$1,$B$1)</f>
        <v>11.244</v>
      </c>
      <c r="V71" s="54">
        <f>_xll.EQNXTDZ($A$1,$B71,V$1,$B$1)</f>
        <v>1E-3</v>
      </c>
      <c r="W71" s="54">
        <f>_xll.EQNXTDZ($A$1,$B71,W$1,$B$1)</f>
        <v>1E-3</v>
      </c>
      <c r="X71" s="54">
        <f>_xll.EQNXTDZ($A$1,$B71,X$1,$B$1)</f>
        <v>1E-3</v>
      </c>
      <c r="Y71" s="54">
        <f>_xll.EQNXTDZ($A$1,$B71,Y$1,$B$1)</f>
        <v>5.0000000000000001E-3</v>
      </c>
      <c r="Z71" s="54">
        <f>_xll.EQNXTDZ($A$1,$B71,Z$1,$B$1)</f>
        <v>21.082999999999998</v>
      </c>
      <c r="AA71" s="54">
        <f>_xll.EQNXTDZ($A$1,$B71,AA$1,$B$1)</f>
        <v>59.502000000000002</v>
      </c>
      <c r="AB71" s="54">
        <f>_xll.EQNXTDZ($A$1,$B71,AB$1,$B$1)</f>
        <v>174.27799999999999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25.222000000000001</v>
      </c>
      <c r="O72" s="54">
        <f>_xll.EQNXTDZ($A$1,$B72,O$1,$B$1)</f>
        <v>64.418999999999997</v>
      </c>
      <c r="P72" s="54">
        <f>_xll.EQNXTDZ($A$1,$B72,P$1,$B$1)</f>
        <v>36.926000000000002</v>
      </c>
      <c r="Q72" s="54">
        <f>_xll.EQNXTDZ($A$1,$B72,Q$1,$B$1)</f>
        <v>44.600999999999999</v>
      </c>
      <c r="R72" s="54">
        <f>_xll.EQNXTDZ($A$1,$B72,R$1,$B$1)</f>
        <v>159.27699999999999</v>
      </c>
      <c r="S72" s="54">
        <f>_xll.EQNXTDZ($A$1,$B72,S$1,$B$1)</f>
        <v>150.93299999999999</v>
      </c>
      <c r="T72" s="54">
        <f>_xll.EQNXTDZ($A$1,$B72,T$1,$B$1)</f>
        <v>169.03100000000001</v>
      </c>
      <c r="U72" s="54">
        <f>_xll.EQNXTDZ($A$1,$B72,U$1,$B$1)</f>
        <v>102.78400000000001</v>
      </c>
      <c r="V72" s="54">
        <f>_xll.EQNXTDZ($A$1,$B72,V$1,$B$1)</f>
        <v>156.12799999999999</v>
      </c>
      <c r="W72" s="54">
        <f>_xll.EQNXTDZ($A$1,$B72,W$1,$B$1)</f>
        <v>168.71600000000001</v>
      </c>
      <c r="X72" s="54">
        <f>_xll.EQNXTDZ($A$1,$B72,X$1,$B$1)</f>
        <v>222.114</v>
      </c>
      <c r="Y72" s="54">
        <f>_xll.EQNXTDZ($A$1,$B72,Y$1,$B$1)</f>
        <v>671.73900000000003</v>
      </c>
      <c r="Z72" s="54">
        <f>_xll.EQNXTDZ($A$1,$B72,Z$1,$B$1)</f>
        <v>591.15700000000004</v>
      </c>
      <c r="AA72" s="54">
        <f>_xll.EQNXTDZ($A$1,$B72,AA$1,$B$1)</f>
        <v>622.36199999999997</v>
      </c>
      <c r="AB72" s="54">
        <f>_xll.EQNXTDZ($A$1,$B72,AB$1,$B$1)</f>
        <v>432.43299999999999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0.31</v>
      </c>
      <c r="O73" s="54">
        <f>_xll.EQNXTDZ($A$1,$B73,O$1,$B$1)</f>
        <v>2.4940000000000002</v>
      </c>
      <c r="P73" s="54">
        <f>_xll.EQNXTDZ($A$1,$B73,P$1,$B$1)</f>
        <v>2.0670000000000002</v>
      </c>
      <c r="Q73" s="54">
        <f>_xll.EQNXTDZ($A$1,$B73,Q$1,$B$1)</f>
        <v>6.7690000000000001</v>
      </c>
      <c r="R73" s="54">
        <f>_xll.EQNXTDZ($A$1,$B73,R$1,$B$1)</f>
        <v>5.0119999999999996</v>
      </c>
      <c r="S73" s="54">
        <f>_xll.EQNXTDZ($A$1,$B73,S$1,$B$1)</f>
        <v>2.9780000000000002</v>
      </c>
      <c r="T73" s="54">
        <f>_xll.EQNXTDZ($A$1,$B73,T$1,$B$1)</f>
        <v>3.766</v>
      </c>
      <c r="U73" s="54">
        <f>_xll.EQNXTDZ($A$1,$B73,U$1,$B$1)</f>
        <v>3.9020000000000001</v>
      </c>
      <c r="V73" s="54">
        <f>_xll.EQNXTDZ($A$1,$B73,V$1,$B$1)</f>
        <v>4.7060000000000004</v>
      </c>
      <c r="W73" s="54">
        <f>_xll.EQNXTDZ($A$1,$B73,W$1,$B$1)</f>
        <v>3.5379999999999998</v>
      </c>
      <c r="X73" s="54">
        <f>_xll.EQNXTDZ($A$1,$B73,X$1,$B$1)</f>
        <v>3.8719999999999999</v>
      </c>
      <c r="Y73" s="54">
        <f>_xll.EQNXTDZ($A$1,$B73,Y$1,$B$1)</f>
        <v>3.6179999999999999</v>
      </c>
      <c r="Z73" s="54">
        <f>_xll.EQNXTDZ($A$1,$B73,Z$1,$B$1)</f>
        <v>7.9219999999999997</v>
      </c>
      <c r="AA73" s="54">
        <f>_xll.EQNXTDZ($A$1,$B73,AA$1,$B$1)</f>
        <v>9.9930000000000003</v>
      </c>
      <c r="AB73" s="54">
        <f>_xll.EQNXTDZ($A$1,$B73,AB$1,$B$1)</f>
        <v>8.2479999999999993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333.81688889999998</v>
      </c>
      <c r="H74" s="54">
        <f>_xll.EQNXTDZ($A$1,$B74,H$1,$B$1)</f>
        <v>326.24146910000002</v>
      </c>
      <c r="I74" s="54">
        <f>_xll.EQNXTDZ($A$1,$B74,I$1,$B$1)</f>
        <v>324.39603870000002</v>
      </c>
      <c r="J74" s="54">
        <f>_xll.EQNXTDZ($A$1,$B74,J$1,$B$1)</f>
        <v>324.82795520000002</v>
      </c>
      <c r="K74" s="54">
        <f>_xll.EQNXTDZ($A$1,$B74,K$1,$B$1)</f>
        <v>374.7452657</v>
      </c>
      <c r="L74" s="54">
        <f>_xll.EQNXTDZ($A$1,$B74,L$1,$B$1)</f>
        <v>516.10369800000001</v>
      </c>
      <c r="M74" s="54">
        <f>_xll.EQNXTDZ($A$1,$B74,M$1,$B$1)</f>
        <v>622.12568869999996</v>
      </c>
      <c r="N74" s="54">
        <f>_xll.EQNXTDZ($A$1,$B74,N$1,$B$1)</f>
        <v>873.89400000000001</v>
      </c>
      <c r="O74" s="54">
        <f>_xll.EQNXTDZ($A$1,$B74,O$1,$B$1)</f>
        <v>1969.018</v>
      </c>
      <c r="P74" s="54">
        <f>_xll.EQNXTDZ($A$1,$B74,P$1,$B$1)</f>
        <v>2441.9299999999998</v>
      </c>
      <c r="Q74" s="54">
        <f>_xll.EQNXTDZ($A$1,$B74,Q$1,$B$1)</f>
        <v>2432.7429999999999</v>
      </c>
      <c r="R74" s="54">
        <f>_xll.EQNXTDZ($A$1,$B74,R$1,$B$1)</f>
        <v>3701.0410000000002</v>
      </c>
      <c r="S74" s="54">
        <f>_xll.EQNXTDZ($A$1,$B74,S$1,$B$1)</f>
        <v>3971.8580000000002</v>
      </c>
      <c r="T74" s="54">
        <f>_xll.EQNXTDZ($A$1,$B74,T$1,$B$1)</f>
        <v>4306.9830000000002</v>
      </c>
      <c r="U74" s="54">
        <f>_xll.EQNXTDZ($A$1,$B74,U$1,$B$1)</f>
        <v>4857.2610000000004</v>
      </c>
      <c r="V74" s="54">
        <f>_xll.EQNXTDZ($A$1,$B74,V$1,$B$1)</f>
        <v>6703.7020000000002</v>
      </c>
      <c r="W74" s="54">
        <f>_xll.EQNXTDZ($A$1,$B74,W$1,$B$1)</f>
        <v>6647.6890000000003</v>
      </c>
      <c r="X74" s="54">
        <f>_xll.EQNXTDZ($A$1,$B74,X$1,$B$1)</f>
        <v>7033.37</v>
      </c>
      <c r="Y74" s="54">
        <f>_xll.EQNXTDZ($A$1,$B74,Y$1,$B$1)</f>
        <v>8214.2129999999997</v>
      </c>
      <c r="Z74" s="54">
        <f>_xll.EQNXTDZ($A$1,$B74,Z$1,$B$1)</f>
        <v>10951.553</v>
      </c>
      <c r="AA74" s="54">
        <f>_xll.EQNXTDZ($A$1,$B74,AA$1,$B$1)</f>
        <v>15260.305</v>
      </c>
      <c r="AB74" s="54">
        <f>_xll.EQNXTDZ($A$1,$B74,AB$1,$B$1)</f>
        <v>17644.672999999999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1E-3</v>
      </c>
      <c r="P75" s="54">
        <f>_xll.EQNXTDZ($A$1,$B75,P$1,$B$1)</f>
        <v>1E-3</v>
      </c>
      <c r="Q75" s="54">
        <f>_xll.EQNXTDZ($A$1,$B75,Q$1,$B$1)</f>
        <v>301.98</v>
      </c>
      <c r="R75" s="54">
        <f>_xll.EQNXTDZ($A$1,$B75,R$1,$B$1)</f>
        <v>1E-3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31.991942900000002</v>
      </c>
      <c r="H76" s="54">
        <f>_xll.EQNXTDZ($A$1,$B76,H$1,$B$1)</f>
        <v>28.974369899999999</v>
      </c>
      <c r="I76" s="54">
        <f>_xll.EQNXTDZ($A$1,$B76,I$1,$B$1)</f>
        <v>27.904665000000001</v>
      </c>
      <c r="J76" s="54">
        <f>_xll.EQNXTDZ($A$1,$B76,J$1,$B$1)</f>
        <v>36.604550500000002</v>
      </c>
      <c r="K76" s="54">
        <f>_xll.EQNXTDZ($A$1,$B76,K$1,$B$1)</f>
        <v>55.723019700000002</v>
      </c>
      <c r="L76" s="54">
        <f>_xll.EQNXTDZ($A$1,$B76,L$1,$B$1)</f>
        <v>94.712744499999999</v>
      </c>
      <c r="M76" s="54">
        <f>_xll.EQNXTDZ($A$1,$B76,M$1,$B$1)</f>
        <v>121.9791118</v>
      </c>
      <c r="N76" s="54">
        <f>_xll.EQNXTDZ($A$1,$B76,N$1,$B$1)</f>
        <v>170.03299999999999</v>
      </c>
      <c r="O76" s="54">
        <f>_xll.EQNXTDZ($A$1,$B76,O$1,$B$1)</f>
        <v>230.578</v>
      </c>
      <c r="P76" s="54">
        <f>_xll.EQNXTDZ($A$1,$B76,P$1,$B$1)</f>
        <v>246.40600000000001</v>
      </c>
      <c r="Q76" s="54">
        <f>_xll.EQNXTDZ($A$1,$B76,Q$1,$B$1)</f>
        <v>289.25</v>
      </c>
      <c r="R76" s="54">
        <f>_xll.EQNXTDZ($A$1,$B76,R$1,$B$1)</f>
        <v>424.661</v>
      </c>
      <c r="S76" s="54">
        <f>_xll.EQNXTDZ($A$1,$B76,S$1,$B$1)</f>
        <v>489.92599999999999</v>
      </c>
      <c r="T76" s="54">
        <f>_xll.EQNXTDZ($A$1,$B76,T$1,$B$1)</f>
        <v>438.89400000000001</v>
      </c>
      <c r="U76" s="54">
        <f>_xll.EQNXTDZ($A$1,$B76,U$1,$B$1)</f>
        <v>578.39700000000005</v>
      </c>
      <c r="V76" s="54">
        <f>_xll.EQNXTDZ($A$1,$B76,V$1,$B$1)</f>
        <v>881.51300000000003</v>
      </c>
      <c r="W76" s="54">
        <f>_xll.EQNXTDZ($A$1,$B76,W$1,$B$1)</f>
        <v>928.80399999999997</v>
      </c>
      <c r="X76" s="54">
        <f>_xll.EQNXTDZ($A$1,$B76,X$1,$B$1)</f>
        <v>1448.087</v>
      </c>
      <c r="Y76" s="54">
        <f>_xll.EQNXTDZ($A$1,$B76,Y$1,$B$1)</f>
        <v>1993.885</v>
      </c>
      <c r="Z76" s="54">
        <f>_xll.EQNXTDZ($A$1,$B76,Z$1,$B$1)</f>
        <v>2150.5329999999999</v>
      </c>
      <c r="AA76" s="54">
        <f>_xll.EQNXTDZ($A$1,$B76,AA$1,$B$1)</f>
        <v>2791.2339999999999</v>
      </c>
      <c r="AB76" s="54">
        <f>_xll.EQNXTDZ($A$1,$B76,AB$1,$B$1)</f>
        <v>2951.7890000000002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21.581258500000001</v>
      </c>
      <c r="H77" s="54">
        <f>_xll.EQNXTDZ($A$1,$B77,H$1,$B$1)</f>
        <v>24.531050100000002</v>
      </c>
      <c r="I77" s="54">
        <f>_xll.EQNXTDZ($A$1,$B77,I$1,$B$1)</f>
        <v>31.467520199999999</v>
      </c>
      <c r="J77" s="54">
        <f>_xll.EQNXTDZ($A$1,$B77,J$1,$B$1)</f>
        <v>42.074909499999997</v>
      </c>
      <c r="K77" s="54">
        <f>_xll.EQNXTDZ($A$1,$B77,K$1,$B$1)</f>
        <v>93.6080367</v>
      </c>
      <c r="L77" s="54">
        <f>_xll.EQNXTDZ($A$1,$B77,L$1,$B$1)</f>
        <v>64.306281400000003</v>
      </c>
      <c r="M77" s="54">
        <f>_xll.EQNXTDZ($A$1,$B77,M$1,$B$1)</f>
        <v>83.332298100000003</v>
      </c>
      <c r="N77" s="54">
        <f>_xll.EQNXTDZ($A$1,$B77,N$1,$B$1)</f>
        <v>86.905000000000001</v>
      </c>
      <c r="O77" s="54">
        <f>_xll.EQNXTDZ($A$1,$B77,O$1,$B$1)</f>
        <v>90.65</v>
      </c>
      <c r="P77" s="54">
        <f>_xll.EQNXTDZ($A$1,$B77,P$1,$B$1)</f>
        <v>65.206999999999994</v>
      </c>
      <c r="Q77" s="54">
        <f>_xll.EQNXTDZ($A$1,$B77,Q$1,$B$1)</f>
        <v>97.287999999999997</v>
      </c>
      <c r="R77" s="54">
        <f>_xll.EQNXTDZ($A$1,$B77,R$1,$B$1)</f>
        <v>97.91</v>
      </c>
      <c r="S77" s="54">
        <f>_xll.EQNXTDZ($A$1,$B77,S$1,$B$1)</f>
        <v>131.345</v>
      </c>
      <c r="T77" s="54">
        <f>_xll.EQNXTDZ($A$1,$B77,T$1,$B$1)</f>
        <v>150.245</v>
      </c>
      <c r="U77" s="54">
        <f>_xll.EQNXTDZ($A$1,$B77,U$1,$B$1)</f>
        <v>128.02500000000001</v>
      </c>
      <c r="V77" s="54">
        <f>_xll.EQNXTDZ($A$1,$B77,V$1,$B$1)</f>
        <v>172.55500000000001</v>
      </c>
      <c r="W77" s="54">
        <f>_xll.EQNXTDZ($A$1,$B77,W$1,$B$1)</f>
        <v>241.797</v>
      </c>
      <c r="X77" s="54">
        <f>_xll.EQNXTDZ($A$1,$B77,X$1,$B$1)</f>
        <v>221.249</v>
      </c>
      <c r="Y77" s="54">
        <f>_xll.EQNXTDZ($A$1,$B77,Y$1,$B$1)</f>
        <v>299.33800000000002</v>
      </c>
      <c r="Z77" s="54">
        <f>_xll.EQNXTDZ($A$1,$B77,Z$1,$B$1)</f>
        <v>359.38499999999999</v>
      </c>
      <c r="AA77" s="54">
        <f>_xll.EQNXTDZ($A$1,$B77,AA$1,$B$1)</f>
        <v>845.84199999999998</v>
      </c>
      <c r="AB77" s="54">
        <f>_xll.EQNXTDZ($A$1,$B77,AB$1,$B$1)</f>
        <v>1249.0309999999999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1.7700400000000001</v>
      </c>
      <c r="H78" s="54">
        <f>_xll.EQNXTDZ($A$1,$B78,H$1,$B$1)</f>
        <v>4.8681732999999996</v>
      </c>
      <c r="I78" s="54">
        <f>_xll.EQNXTDZ($A$1,$B78,I$1,$B$1)</f>
        <v>14.961001400000001</v>
      </c>
      <c r="J78" s="54">
        <f>_xll.EQNXTDZ($A$1,$B78,J$1,$B$1)</f>
        <v>4.5311630999999997</v>
      </c>
      <c r="K78" s="54">
        <f>_xll.EQNXTDZ($A$1,$B78,K$1,$B$1)</f>
        <v>4.1210351999999997</v>
      </c>
      <c r="L78" s="54">
        <f>_xll.EQNXTDZ($A$1,$B78,L$1,$B$1)</f>
        <v>11.8001743</v>
      </c>
      <c r="M78" s="54">
        <f>_xll.EQNXTDZ($A$1,$B78,M$1,$B$1)</f>
        <v>18.489582800000001</v>
      </c>
      <c r="N78" s="54">
        <f>_xll.EQNXTDZ($A$1,$B78,N$1,$B$1)</f>
        <v>3.7770000000000001</v>
      </c>
      <c r="O78" s="54">
        <f>_xll.EQNXTDZ($A$1,$B78,O$1,$B$1)</f>
        <v>38.384</v>
      </c>
      <c r="P78" s="54">
        <f>_xll.EQNXTDZ($A$1,$B78,P$1,$B$1)</f>
        <v>50.896000000000001</v>
      </c>
      <c r="Q78" s="54">
        <f>_xll.EQNXTDZ($A$1,$B78,Q$1,$B$1)</f>
        <v>34.408999999999999</v>
      </c>
      <c r="R78" s="54">
        <f>_xll.EQNXTDZ($A$1,$B78,R$1,$B$1)</f>
        <v>58.073</v>
      </c>
      <c r="S78" s="54">
        <f>_xll.EQNXTDZ($A$1,$B78,S$1,$B$1)</f>
        <v>65.701999999999998</v>
      </c>
      <c r="T78" s="54">
        <f>_xll.EQNXTDZ($A$1,$B78,T$1,$B$1)</f>
        <v>94.46</v>
      </c>
      <c r="U78" s="54">
        <f>_xll.EQNXTDZ($A$1,$B78,U$1,$B$1)</f>
        <v>93.48</v>
      </c>
      <c r="V78" s="54">
        <f>_xll.EQNXTDZ($A$1,$B78,V$1,$B$1)</f>
        <v>171.077</v>
      </c>
      <c r="W78" s="54">
        <f>_xll.EQNXTDZ($A$1,$B78,W$1,$B$1)</f>
        <v>190.05</v>
      </c>
      <c r="X78" s="54">
        <f>_xll.EQNXTDZ($A$1,$B78,X$1,$B$1)</f>
        <v>336.62200000000001</v>
      </c>
      <c r="Y78" s="54">
        <f>_xll.EQNXTDZ($A$1,$B78,Y$1,$B$1)</f>
        <v>285.267</v>
      </c>
      <c r="Z78" s="54">
        <f>_xll.EQNXTDZ($A$1,$B78,Z$1,$B$1)</f>
        <v>459.86200000000002</v>
      </c>
      <c r="AA78" s="54">
        <f>_xll.EQNXTDZ($A$1,$B78,AA$1,$B$1)</f>
        <v>2450.0540000000001</v>
      </c>
      <c r="AB78" s="54">
        <f>_xll.EQNXTDZ($A$1,$B78,AB$1,$B$1)</f>
        <v>1998.491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0.35789840000000001</v>
      </c>
      <c r="H79" s="54">
        <f>_xll.EQNXTDZ($A$1,$B79,H$1,$B$1)</f>
        <v>0.61204740000000002</v>
      </c>
      <c r="I79" s="54">
        <f>_xll.EQNXTDZ($A$1,$B79,I$1,$B$1)</f>
        <v>0.82777009999999995</v>
      </c>
      <c r="J79" s="54">
        <f>_xll.EQNXTDZ($A$1,$B79,J$1,$B$1)</f>
        <v>0.3742337</v>
      </c>
      <c r="K79" s="54">
        <f>_xll.EQNXTDZ($A$1,$B79,K$1,$B$1)</f>
        <v>0.31738240000000001</v>
      </c>
      <c r="L79" s="54">
        <f>_xll.EQNXTDZ($A$1,$B79,L$1,$B$1)</f>
        <v>4.4148209999999999</v>
      </c>
      <c r="M79" s="54">
        <f>_xll.EQNXTDZ($A$1,$B79,M$1,$B$1)</f>
        <v>4.4728668000000003</v>
      </c>
      <c r="N79" s="54">
        <f>_xll.EQNXTDZ($A$1,$B79,N$1,$B$1)</f>
        <v>3.5880000000000001</v>
      </c>
      <c r="O79" s="54">
        <f>_xll.EQNXTDZ($A$1,$B79,O$1,$B$1)</f>
        <v>24.050999999999998</v>
      </c>
      <c r="P79" s="54">
        <f>_xll.EQNXTDZ($A$1,$B79,P$1,$B$1)</f>
        <v>15.930999999999999</v>
      </c>
      <c r="Q79" s="54">
        <f>_xll.EQNXTDZ($A$1,$B79,Q$1,$B$1)</f>
        <v>41.029000000000003</v>
      </c>
      <c r="R79" s="54">
        <f>_xll.EQNXTDZ($A$1,$B79,R$1,$B$1)</f>
        <v>40.216000000000001</v>
      </c>
      <c r="S79" s="54">
        <f>_xll.EQNXTDZ($A$1,$B79,S$1,$B$1)</f>
        <v>24.46</v>
      </c>
      <c r="T79" s="54">
        <f>_xll.EQNXTDZ($A$1,$B79,T$1,$B$1)</f>
        <v>100.223</v>
      </c>
      <c r="U79" s="54">
        <f>_xll.EQNXTDZ($A$1,$B79,U$1,$B$1)</f>
        <v>149.267</v>
      </c>
      <c r="V79" s="54">
        <f>_xll.EQNXTDZ($A$1,$B79,V$1,$B$1)</f>
        <v>233.887</v>
      </c>
      <c r="W79" s="54">
        <f>_xll.EQNXTDZ($A$1,$B79,W$1,$B$1)</f>
        <v>192.64599999999999</v>
      </c>
      <c r="X79" s="54">
        <f>_xll.EQNXTDZ($A$1,$B79,X$1,$B$1)</f>
        <v>251.268</v>
      </c>
      <c r="Y79" s="54">
        <f>_xll.EQNXTDZ($A$1,$B79,Y$1,$B$1)</f>
        <v>401.53300000000002</v>
      </c>
      <c r="Z79" s="54">
        <f>_xll.EQNXTDZ($A$1,$B79,Z$1,$B$1)</f>
        <v>739.88699999999994</v>
      </c>
      <c r="AA79" s="54">
        <f>_xll.EQNXTDZ($A$1,$B79,AA$1,$B$1)</f>
        <v>858.79399999999998</v>
      </c>
      <c r="AB79" s="54">
        <f>_xll.EQNXTDZ($A$1,$B79,AB$1,$B$1)</f>
        <v>1185.47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16.756686500000001</v>
      </c>
      <c r="H80" s="54">
        <f>_xll.EQNXTDZ($A$1,$B80,H$1,$B$1)</f>
        <v>19.022771299999999</v>
      </c>
      <c r="I80" s="54">
        <f>_xll.EQNXTDZ($A$1,$B80,I$1,$B$1)</f>
        <v>18.676386000000001</v>
      </c>
      <c r="J80" s="54">
        <f>_xll.EQNXTDZ($A$1,$B80,J$1,$B$1)</f>
        <v>38.075248299999998</v>
      </c>
      <c r="K80" s="54">
        <f>_xll.EQNXTDZ($A$1,$B80,K$1,$B$1)</f>
        <v>47.667590599999997</v>
      </c>
      <c r="L80" s="54">
        <f>_xll.EQNXTDZ($A$1,$B80,L$1,$B$1)</f>
        <v>79.193884100000005</v>
      </c>
      <c r="M80" s="54">
        <f>_xll.EQNXTDZ($A$1,$B80,M$1,$B$1)</f>
        <v>73.267803700000002</v>
      </c>
      <c r="N80" s="54">
        <f>_xll.EQNXTDZ($A$1,$B80,N$1,$B$1)</f>
        <v>114.179</v>
      </c>
      <c r="O80" s="54">
        <f>_xll.EQNXTDZ($A$1,$B80,O$1,$B$1)</f>
        <v>200.78</v>
      </c>
      <c r="P80" s="54">
        <f>_xll.EQNXTDZ($A$1,$B80,P$1,$B$1)</f>
        <v>165.19900000000001</v>
      </c>
      <c r="Q80" s="54">
        <f>_xll.EQNXTDZ($A$1,$B80,Q$1,$B$1)</f>
        <v>94.936999999999998</v>
      </c>
      <c r="R80" s="54">
        <f>_xll.EQNXTDZ($A$1,$B80,R$1,$B$1)</f>
        <v>109.34099999999999</v>
      </c>
      <c r="S80" s="54">
        <f>_xll.EQNXTDZ($A$1,$B80,S$1,$B$1)</f>
        <v>141.131</v>
      </c>
      <c r="T80" s="54">
        <f>_xll.EQNXTDZ($A$1,$B80,T$1,$B$1)</f>
        <v>146.304</v>
      </c>
      <c r="U80" s="54">
        <f>_xll.EQNXTDZ($A$1,$B80,U$1,$B$1)</f>
        <v>191.578</v>
      </c>
      <c r="V80" s="54">
        <f>_xll.EQNXTDZ($A$1,$B80,V$1,$B$1)</f>
        <v>212.852</v>
      </c>
      <c r="W80" s="54">
        <f>_xll.EQNXTDZ($A$1,$B80,W$1,$B$1)</f>
        <v>246.37899999999999</v>
      </c>
      <c r="X80" s="54">
        <f>_xll.EQNXTDZ($A$1,$B80,X$1,$B$1)</f>
        <v>288.887</v>
      </c>
      <c r="Y80" s="54">
        <f>_xll.EQNXTDZ($A$1,$B80,Y$1,$B$1)</f>
        <v>424.00700000000001</v>
      </c>
      <c r="Z80" s="54">
        <f>_xll.EQNXTDZ($A$1,$B80,Z$1,$B$1)</f>
        <v>525.96299999999997</v>
      </c>
      <c r="AA80" s="54">
        <f>_xll.EQNXTDZ($A$1,$B80,AA$1,$B$1)</f>
        <v>918.05</v>
      </c>
      <c r="AB80" s="54">
        <f>_xll.EQNXTDZ($A$1,$B80,AB$1,$B$1)</f>
        <v>504.62200000000001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38.494999999999997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6.64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72.457826299999994</v>
      </c>
      <c r="H82" s="54">
        <f>_xll.EQNXTDZ($A$1,$B82,H$1,$B$1)</f>
        <v>78.008412000000007</v>
      </c>
      <c r="I82" s="54">
        <f>_xll.EQNXTDZ($A$1,$B82,I$1,$B$1)</f>
        <v>93.837342699999994</v>
      </c>
      <c r="J82" s="54">
        <f>_xll.EQNXTDZ($A$1,$B82,J$1,$B$1)</f>
        <v>121.6601051</v>
      </c>
      <c r="K82" s="54">
        <f>_xll.EQNXTDZ($A$1,$B82,K$1,$B$1)</f>
        <v>201.43706460000001</v>
      </c>
      <c r="L82" s="54">
        <f>_xll.EQNXTDZ($A$1,$B82,L$1,$B$1)</f>
        <v>254.42790529999999</v>
      </c>
      <c r="M82" s="54">
        <f>_xll.EQNXTDZ($A$1,$B82,M$1,$B$1)</f>
        <v>301.54166320000002</v>
      </c>
      <c r="N82" s="54">
        <f>_xll.EQNXTDZ($A$1,$B82,N$1,$B$1)</f>
        <v>378.48200000000003</v>
      </c>
      <c r="O82" s="54">
        <f>_xll.EQNXTDZ($A$1,$B82,O$1,$B$1)</f>
        <v>584.44399999999996</v>
      </c>
      <c r="P82" s="54">
        <f>_xll.EQNXTDZ($A$1,$B82,P$1,$B$1)</f>
        <v>543.64</v>
      </c>
      <c r="Q82" s="54">
        <f>_xll.EQNXTDZ($A$1,$B82,Q$1,$B$1)</f>
        <v>858.89300000000003</v>
      </c>
      <c r="R82" s="54">
        <f>_xll.EQNXTDZ($A$1,$B82,R$1,$B$1)</f>
        <v>730.202</v>
      </c>
      <c r="S82" s="54">
        <f>_xll.EQNXTDZ($A$1,$B82,S$1,$B$1)</f>
        <v>852.56399999999996</v>
      </c>
      <c r="T82" s="54">
        <f>_xll.EQNXTDZ($A$1,$B82,T$1,$B$1)</f>
        <v>930.12599999999998</v>
      </c>
      <c r="U82" s="54">
        <f>_xll.EQNXTDZ($A$1,$B82,U$1,$B$1)</f>
        <v>1140.7470000000001</v>
      </c>
      <c r="V82" s="54">
        <f>_xll.EQNXTDZ($A$1,$B82,V$1,$B$1)</f>
        <v>1671.884</v>
      </c>
      <c r="W82" s="54">
        <f>_xll.EQNXTDZ($A$1,$B82,W$1,$B$1)</f>
        <v>1799.6759999999999</v>
      </c>
      <c r="X82" s="54">
        <f>_xll.EQNXTDZ($A$1,$B82,X$1,$B$1)</f>
        <v>2546.1129999999998</v>
      </c>
      <c r="Y82" s="54">
        <f>_xll.EQNXTDZ($A$1,$B82,Y$1,$B$1)</f>
        <v>3404.03</v>
      </c>
      <c r="Z82" s="54">
        <f>_xll.EQNXTDZ($A$1,$B82,Z$1,$B$1)</f>
        <v>4235.63</v>
      </c>
      <c r="AA82" s="54">
        <f>_xll.EQNXTDZ($A$1,$B82,AA$1,$B$1)</f>
        <v>7863.9740000000002</v>
      </c>
      <c r="AB82" s="54">
        <f>_xll.EQNXTDZ($A$1,$B82,AB$1,$B$1)</f>
        <v>7889.4030000000002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0.10671799999999999</v>
      </c>
      <c r="H83" s="54">
        <f>_xll.EQNXTDZ($A$1,$B83,H$1,$B$1)</f>
        <v>7.8884599999999999E-2</v>
      </c>
      <c r="I83" s="54">
        <f>_xll.EQNXTDZ($A$1,$B83,I$1,$B$1)</f>
        <v>5.2310000000000002E-2</v>
      </c>
      <c r="J83" s="54">
        <f>_xll.EQNXTDZ($A$1,$B83,J$1,$B$1)</f>
        <v>2.6155000000000001E-2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406.3814332</v>
      </c>
      <c r="H84" s="54">
        <f>_xll.EQNXTDZ($A$1,$B84,H$1,$B$1)</f>
        <v>404.32876570000002</v>
      </c>
      <c r="I84" s="54">
        <f>_xll.EQNXTDZ($A$1,$B84,I$1,$B$1)</f>
        <v>418.28569140000002</v>
      </c>
      <c r="J84" s="54">
        <f>_xll.EQNXTDZ($A$1,$B84,J$1,$B$1)</f>
        <v>446.51421529999999</v>
      </c>
      <c r="K84" s="54">
        <f>_xll.EQNXTDZ($A$1,$B84,K$1,$B$1)</f>
        <v>576.18233029999999</v>
      </c>
      <c r="L84" s="54">
        <f>_xll.EQNXTDZ($A$1,$B84,L$1,$B$1)</f>
        <v>770.53160330000003</v>
      </c>
      <c r="M84" s="54">
        <f>_xll.EQNXTDZ($A$1,$B84,M$1,$B$1)</f>
        <v>923.66735189999997</v>
      </c>
      <c r="N84" s="54">
        <f>_xll.EQNXTDZ($A$1,$B84,N$1,$B$1)</f>
        <v>1252.376</v>
      </c>
      <c r="O84" s="54">
        <f>_xll.EQNXTDZ($A$1,$B84,O$1,$B$1)</f>
        <v>2553.462</v>
      </c>
      <c r="P84" s="54">
        <f>_xll.EQNXTDZ($A$1,$B84,P$1,$B$1)</f>
        <v>2985.57</v>
      </c>
      <c r="Q84" s="54">
        <f>_xll.EQNXTDZ($A$1,$B84,Q$1,$B$1)</f>
        <v>3291.636</v>
      </c>
      <c r="R84" s="54">
        <f>_xll.EQNXTDZ($A$1,$B84,R$1,$B$1)</f>
        <v>4431.2430000000004</v>
      </c>
      <c r="S84" s="54">
        <f>_xll.EQNXTDZ($A$1,$B84,S$1,$B$1)</f>
        <v>4824.4219999999996</v>
      </c>
      <c r="T84" s="54">
        <f>_xll.EQNXTDZ($A$1,$B84,T$1,$B$1)</f>
        <v>5275.6040000000003</v>
      </c>
      <c r="U84" s="54">
        <f>_xll.EQNXTDZ($A$1,$B84,U$1,$B$1)</f>
        <v>5998.0079999999998</v>
      </c>
      <c r="V84" s="54">
        <f>_xll.EQNXTDZ($A$1,$B84,V$1,$B$1)</f>
        <v>8375.5859999999993</v>
      </c>
      <c r="W84" s="54">
        <f>_xll.EQNXTDZ($A$1,$B84,W$1,$B$1)</f>
        <v>8447.3649999999998</v>
      </c>
      <c r="X84" s="54">
        <f>_xll.EQNXTDZ($A$1,$B84,X$1,$B$1)</f>
        <v>9579.4830000000002</v>
      </c>
      <c r="Y84" s="54">
        <f>_xll.EQNXTDZ($A$1,$B84,Y$1,$B$1)</f>
        <v>11618.243</v>
      </c>
      <c r="Z84" s="54">
        <f>_xll.EQNXTDZ($A$1,$B84,Z$1,$B$1)</f>
        <v>15187.183000000001</v>
      </c>
      <c r="AA84" s="54">
        <f>_xll.EQNXTDZ($A$1,$B84,AA$1,$B$1)</f>
        <v>23124.278999999999</v>
      </c>
      <c r="AB84" s="54">
        <f>_xll.EQNXTDZ($A$1,$B84,AB$1,$B$1)</f>
        <v>25540.716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37.685499999999998</v>
      </c>
      <c r="H85" s="54">
        <f>_xll.EQNXTDZ($A$1,$B85,H$1,$B$1)</f>
        <v>55.9923</v>
      </c>
      <c r="I85" s="54">
        <f>_xll.EQNXTDZ($A$1,$B85,I$1,$B$1)</f>
        <v>43.246099999999998</v>
      </c>
      <c r="J85" s="54">
        <f>_xll.EQNXTDZ($A$1,$B85,J$1,$B$1)</f>
        <v>87.994500000000002</v>
      </c>
      <c r="K85" s="54">
        <f>_xll.EQNXTDZ($A$1,$B85,K$1,$B$1)</f>
        <v>146.86609999999999</v>
      </c>
      <c r="L85" s="54">
        <f>_xll.EQNXTDZ($A$1,$B85,L$1,$B$1)</f>
        <v>195.12989999999999</v>
      </c>
      <c r="M85" s="54">
        <f>_xll.EQNXTDZ($A$1,$B85,M$1,$B$1)</f>
        <v>180.6728</v>
      </c>
      <c r="N85" s="54">
        <f>_xll.EQNXTDZ($A$1,$B85,N$1,$B$1)</f>
        <v>106.74299999999999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93.382999999999996</v>
      </c>
      <c r="R85" s="54">
        <f>_xll.EQNXTDZ($A$1,$B85,R$1,$B$1)</f>
        <v>97.712999999999994</v>
      </c>
      <c r="S85" s="54">
        <f>_xll.EQNXTDZ($A$1,$B85,S$1,$B$1)</f>
        <v>180.928</v>
      </c>
      <c r="T85" s="54">
        <f>_xll.EQNXTDZ($A$1,$B85,T$1,$B$1)</f>
        <v>118.61799999999999</v>
      </c>
      <c r="U85" s="54">
        <f>_xll.EQNXTDZ($A$1,$B85,U$1,$B$1)</f>
        <v>206.30799999999999</v>
      </c>
      <c r="V85" s="54">
        <f>_xll.EQNXTDZ($A$1,$B85,V$1,$B$1)</f>
        <v>303.93200000000002</v>
      </c>
      <c r="W85" s="54">
        <f>_xll.EQNXTDZ($A$1,$B85,W$1,$B$1)</f>
        <v>268.79300000000001</v>
      </c>
      <c r="X85" s="54">
        <f>_xll.EQNXTDZ($A$1,$B85,X$1,$B$1)</f>
        <v>282.923</v>
      </c>
      <c r="Y85" s="54">
        <f>_xll.EQNXTDZ($A$1,$B85,Y$1,$B$1)</f>
        <v>230.04599999999999</v>
      </c>
      <c r="Z85" s="54">
        <f>_xll.EQNXTDZ($A$1,$B85,Z$1,$B$1)</f>
        <v>225.399</v>
      </c>
      <c r="AA85" s="54">
        <f>_xll.EQNXTDZ($A$1,$B85,AA$1,$B$1)</f>
        <v>302.44200000000001</v>
      </c>
      <c r="AB85" s="54">
        <f>_xll.EQNXTDZ($A$1,$B85,AB$1,$B$1)</f>
        <v>484.79399999999998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9.5410000000000004</v>
      </c>
      <c r="P86" s="54">
        <f>_xll.EQNXTDZ($A$1,$B86,P$1,$B$1)</f>
        <v>9.5419999999999998</v>
      </c>
      <c r="Q86" s="54">
        <f>_xll.EQNXTDZ($A$1,$B86,Q$1,$B$1)</f>
        <v>9.5410000000000004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1.94</v>
      </c>
      <c r="U86" s="54">
        <f>_xll.EQNXTDZ($A$1,$B86,U$1,$B$1)</f>
        <v>1.94</v>
      </c>
      <c r="V86" s="54">
        <f>_xll.EQNXTDZ($A$1,$B86,V$1,$B$1)</f>
        <v>24.23</v>
      </c>
      <c r="W86" s="54">
        <f>_xll.EQNXTDZ($A$1,$B86,W$1,$B$1)</f>
        <v>24.23</v>
      </c>
      <c r="X86" s="54">
        <f>_xll.EQNXTDZ($A$1,$B86,X$1,$B$1)</f>
        <v>24.23</v>
      </c>
      <c r="Y86" s="54">
        <f>_xll.EQNXTDZ($A$1,$B86,Y$1,$B$1)</f>
        <v>24.23</v>
      </c>
      <c r="Z86" s="54">
        <f>_xll.EQNXTDZ($A$1,$B86,Z$1,$B$1)</f>
        <v>24.23</v>
      </c>
      <c r="AA86" s="54">
        <f>_xll.EQNXTDZ($A$1,$B86,AA$1,$B$1)</f>
        <v>300.93700000000001</v>
      </c>
      <c r="AB86" s="54">
        <f>_xll.EQNXTDZ($A$1,$B86,AB$1,$B$1)</f>
        <v>354.21300000000002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91.465999999999994</v>
      </c>
      <c r="O88" s="54">
        <f>_xll.EQNXTDZ($A$1,$B88,O$1,$B$1)</f>
        <v>238.964</v>
      </c>
      <c r="P88" s="54">
        <f>_xll.EQNXTDZ($A$1,$B88,P$1,$B$1)</f>
        <v>298.81099999999998</v>
      </c>
      <c r="Q88" s="54">
        <f>_xll.EQNXTDZ($A$1,$B88,Q$1,$B$1)</f>
        <v>276.56</v>
      </c>
      <c r="R88" s="54">
        <f>_xll.EQNXTDZ($A$1,$B88,R$1,$B$1)</f>
        <v>207.119</v>
      </c>
      <c r="S88" s="54">
        <f>_xll.EQNXTDZ($A$1,$B88,S$1,$B$1)</f>
        <v>548.72</v>
      </c>
      <c r="T88" s="54">
        <f>_xll.EQNXTDZ($A$1,$B88,T$1,$B$1)</f>
        <v>574.6</v>
      </c>
      <c r="U88" s="54">
        <f>_xll.EQNXTDZ($A$1,$B88,U$1,$B$1)</f>
        <v>448.83600000000001</v>
      </c>
      <c r="V88" s="54">
        <f>_xll.EQNXTDZ($A$1,$B88,V$1,$B$1)</f>
        <v>591.774</v>
      </c>
      <c r="W88" s="54">
        <f>_xll.EQNXTDZ($A$1,$B88,W$1,$B$1)</f>
        <v>421.00900000000001</v>
      </c>
      <c r="X88" s="54">
        <f>_xll.EQNXTDZ($A$1,$B88,X$1,$B$1)</f>
        <v>808.89800000000002</v>
      </c>
      <c r="Y88" s="54">
        <f>_xll.EQNXTDZ($A$1,$B88,Y$1,$B$1)</f>
        <v>1340.095</v>
      </c>
      <c r="Z88" s="54">
        <f>_xll.EQNXTDZ($A$1,$B88,Z$1,$B$1)</f>
        <v>1002.244</v>
      </c>
      <c r="AA88" s="54">
        <f>_xll.EQNXTDZ($A$1,$B88,AA$1,$B$1)</f>
        <v>236.965</v>
      </c>
      <c r="AB88" s="54">
        <f>_xll.EQNXTDZ($A$1,$B88,AB$1,$B$1)</f>
        <v>211.37700000000001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33.162999999999997</v>
      </c>
      <c r="S89" s="54">
        <f>_xll.EQNXTDZ($A$1,$B89,S$1,$B$1)</f>
        <v>33.976999999999997</v>
      </c>
      <c r="T89" s="54">
        <f>_xll.EQNXTDZ($A$1,$B89,T$1,$B$1)</f>
        <v>31.963000000000001</v>
      </c>
      <c r="U89" s="54">
        <f>_xll.EQNXTDZ($A$1,$B89,U$1,$B$1)</f>
        <v>0</v>
      </c>
      <c r="V89" s="54">
        <f>_xll.EQNXTDZ($A$1,$B89,V$1,$B$1)</f>
        <v>2.3740000000000001</v>
      </c>
      <c r="W89" s="54">
        <f>_xll.EQNXTDZ($A$1,$B89,W$1,$B$1)</f>
        <v>91.408000000000001</v>
      </c>
      <c r="X89" s="54">
        <f>_xll.EQNXTDZ($A$1,$B89,X$1,$B$1)</f>
        <v>91.177999999999997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5.1319999999999997</v>
      </c>
      <c r="S90" s="54">
        <f>_xll.EQNXTDZ($A$1,$B90,S$1,$B$1)</f>
        <v>3.22</v>
      </c>
      <c r="T90" s="54">
        <f>_xll.EQNXTDZ($A$1,$B90,T$1,$B$1)</f>
        <v>2.4060000000000001</v>
      </c>
      <c r="U90" s="54">
        <f>_xll.EQNXTDZ($A$1,$B90,U$1,$B$1)</f>
        <v>1.3069999999999999</v>
      </c>
      <c r="V90" s="54">
        <f>_xll.EQNXTDZ($A$1,$B90,V$1,$B$1)</f>
        <v>0.495</v>
      </c>
      <c r="W90" s="54">
        <f>_xll.EQNXTDZ($A$1,$B90,W$1,$B$1)</f>
        <v>10.226000000000001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9.5410000000000004</v>
      </c>
      <c r="P91" s="54">
        <f>_xll.EQNXTDZ($A$1,$B91,P$1,$B$1)</f>
        <v>9.5419999999999998</v>
      </c>
      <c r="Q91" s="54">
        <f>_xll.EQNXTDZ($A$1,$B91,Q$1,$B$1)</f>
        <v>9.5410000000000004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1.94</v>
      </c>
      <c r="U91" s="54">
        <f>_xll.EQNXTDZ($A$1,$B91,U$1,$B$1)</f>
        <v>1.94</v>
      </c>
      <c r="V91" s="54">
        <f>_xll.EQNXTDZ($A$1,$B91,V$1,$B$1)</f>
        <v>24.23</v>
      </c>
      <c r="W91" s="54">
        <f>_xll.EQNXTDZ($A$1,$B91,W$1,$B$1)</f>
        <v>24.23</v>
      </c>
      <c r="X91" s="54">
        <f>_xll.EQNXTDZ($A$1,$B91,X$1,$B$1)</f>
        <v>24.23</v>
      </c>
      <c r="Y91" s="54">
        <f>_xll.EQNXTDZ($A$1,$B91,Y$1,$B$1)</f>
        <v>24.23</v>
      </c>
      <c r="Z91" s="54">
        <f>_xll.EQNXTDZ($A$1,$B91,Z$1,$B$1)</f>
        <v>24.23</v>
      </c>
      <c r="AA91" s="54">
        <f>_xll.EQNXTDZ($A$1,$B91,AA$1,$B$1)</f>
        <v>300.93700000000001</v>
      </c>
      <c r="AB91" s="54">
        <f>_xll.EQNXTDZ($A$1,$B91,AB$1,$B$1)</f>
        <v>354.21300000000002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12.811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23.058</v>
      </c>
      <c r="R93" s="54">
        <f>_xll.EQNXTDZ($A$1,$B93,R$1,$B$1)</f>
        <v>22.353000000000002</v>
      </c>
      <c r="S93" s="54">
        <f>_xll.EQNXTDZ($A$1,$B93,S$1,$B$1)</f>
        <v>146.94800000000001</v>
      </c>
      <c r="T93" s="54">
        <f>_xll.EQNXTDZ($A$1,$B93,T$1,$B$1)</f>
        <v>84.728999999999999</v>
      </c>
      <c r="U93" s="54">
        <f>_xll.EQNXTDZ($A$1,$B93,U$1,$B$1)</f>
        <v>199.078</v>
      </c>
      <c r="V93" s="54">
        <f>_xll.EQNXTDZ($A$1,$B93,V$1,$B$1)</f>
        <v>296.58699999999999</v>
      </c>
      <c r="W93" s="54">
        <f>_xll.EQNXTDZ($A$1,$B93,W$1,$B$1)</f>
        <v>260.69099999999997</v>
      </c>
      <c r="X93" s="54">
        <f>_xll.EQNXTDZ($A$1,$B93,X$1,$B$1)</f>
        <v>274.99599999999998</v>
      </c>
      <c r="Y93" s="54">
        <f>_xll.EQNXTDZ($A$1,$B93,Y$1,$B$1)</f>
        <v>194.50299999999999</v>
      </c>
      <c r="Z93" s="54">
        <f>_xll.EQNXTDZ($A$1,$B93,Z$1,$B$1)</f>
        <v>188.06</v>
      </c>
      <c r="AA93" s="54">
        <f>_xll.EQNXTDZ($A$1,$B93,AA$1,$B$1)</f>
        <v>256.59399999999999</v>
      </c>
      <c r="AB93" s="54">
        <f>_xll.EQNXTDZ($A$1,$B93,AB$1,$B$1)</f>
        <v>310.44499999999999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34.3583</v>
      </c>
      <c r="H95" s="54">
        <f>_xll.EQNXTDZ($A$1,$B95,H$1,$B$1)</f>
        <v>34.357300000000002</v>
      </c>
      <c r="I95" s="54">
        <f>_xll.EQNXTDZ($A$1,$B95,I$1,$B$1)</f>
        <v>33.204900000000002</v>
      </c>
      <c r="J95" s="54">
        <f>_xll.EQNXTDZ($A$1,$B95,J$1,$B$1)</f>
        <v>44.198500000000003</v>
      </c>
      <c r="K95" s="54">
        <f>_xll.EQNXTDZ($A$1,$B95,K$1,$B$1)</f>
        <v>108.0842</v>
      </c>
      <c r="L95" s="54">
        <f>_xll.EQNXTDZ($A$1,$B95,L$1,$B$1)</f>
        <v>91.034199999999998</v>
      </c>
      <c r="M95" s="54">
        <f>_xll.EQNXTDZ($A$1,$B95,M$1,$B$1)</f>
        <v>143.58189999999999</v>
      </c>
      <c r="N95" s="54">
        <f>_xll.EQNXTDZ($A$1,$B95,N$1,$B$1)</f>
        <v>93.932000000000002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70.325000000000003</v>
      </c>
      <c r="R95" s="54">
        <f>_xll.EQNXTDZ($A$1,$B95,R$1,$B$1)</f>
        <v>75.36</v>
      </c>
      <c r="S95" s="54">
        <f>_xll.EQNXTDZ($A$1,$B95,S$1,$B$1)</f>
        <v>33.979999999999997</v>
      </c>
      <c r="T95" s="54">
        <f>_xll.EQNXTDZ($A$1,$B95,T$1,$B$1)</f>
        <v>33.889000000000003</v>
      </c>
      <c r="U95" s="54">
        <f>_xll.EQNXTDZ($A$1,$B95,U$1,$B$1)</f>
        <v>7.23</v>
      </c>
      <c r="V95" s="54">
        <f>_xll.EQNXTDZ($A$1,$B95,V$1,$B$1)</f>
        <v>7.3449999999999998</v>
      </c>
      <c r="W95" s="54">
        <f>_xll.EQNXTDZ($A$1,$B95,W$1,$B$1)</f>
        <v>8.1020000000000003</v>
      </c>
      <c r="X95" s="54">
        <f>_xll.EQNXTDZ($A$1,$B95,X$1,$B$1)</f>
        <v>7.9269999999999996</v>
      </c>
      <c r="Y95" s="54">
        <f>_xll.EQNXTDZ($A$1,$B95,Y$1,$B$1)</f>
        <v>35.542999999999999</v>
      </c>
      <c r="Z95" s="54">
        <f>_xll.EQNXTDZ($A$1,$B95,Z$1,$B$1)</f>
        <v>37.338999999999999</v>
      </c>
      <c r="AA95" s="54">
        <f>_xll.EQNXTDZ($A$1,$B95,AA$1,$B$1)</f>
        <v>45.847999999999999</v>
      </c>
      <c r="AB95" s="54">
        <f>_xll.EQNXTDZ($A$1,$B95,AB$1,$B$1)</f>
        <v>174.34899999999999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3.2768999999999999</v>
      </c>
      <c r="H98" s="54">
        <f>_xll.EQNXTDZ($A$1,$B98,H$1,$B$1)</f>
        <v>13.512600000000001</v>
      </c>
      <c r="I98" s="54">
        <f>_xll.EQNXTDZ($A$1,$B98,I$1,$B$1)</f>
        <v>9.016</v>
      </c>
      <c r="J98" s="54">
        <f>_xll.EQNXTDZ($A$1,$B98,J$1,$B$1)</f>
        <v>20.502400000000002</v>
      </c>
      <c r="K98" s="54">
        <f>_xll.EQNXTDZ($A$1,$B98,K$1,$B$1)</f>
        <v>25.1845</v>
      </c>
      <c r="L98" s="54">
        <f>_xll.EQNXTDZ($A$1,$B98,L$1,$B$1)</f>
        <v>99.946299999999994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5.0299999999999997E-2</v>
      </c>
      <c r="H99" s="54">
        <f>_xll.EQNXTDZ($A$1,$B99,H$1,$B$1)</f>
        <v>8.1224000000000007</v>
      </c>
      <c r="I99" s="54">
        <f>_xll.EQNXTDZ($A$1,$B99,I$1,$B$1)</f>
        <v>1.0251999999999999</v>
      </c>
      <c r="J99" s="54">
        <f>_xll.EQNXTDZ($A$1,$B99,J$1,$B$1)</f>
        <v>23.293600000000001</v>
      </c>
      <c r="K99" s="54">
        <f>_xll.EQNXTDZ($A$1,$B99,K$1,$B$1)</f>
        <v>13.5974</v>
      </c>
      <c r="L99" s="54">
        <f>_xll.EQNXTDZ($A$1,$B99,L$1,$B$1)</f>
        <v>4.1494</v>
      </c>
      <c r="M99" s="54">
        <f>_xll.EQNXTDZ($A$1,$B99,M$1,$B$1)</f>
        <v>37.090899999999998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8</v>
      </c>
      <c r="H104" s="54">
        <f>_xll.EQNXTDZ($A$1,$B104,H$1,$B$1)</f>
        <v>8</v>
      </c>
      <c r="I104" s="54">
        <f>_xll.EQNXTDZ($A$1,$B104,I$1,$B$1)</f>
        <v>8</v>
      </c>
      <c r="J104" s="54">
        <f>_xll.EQNXTDZ($A$1,$B104,J$1,$B$1)</f>
        <v>8</v>
      </c>
      <c r="K104" s="54">
        <f>_xll.EQNXTDZ($A$1,$B104,K$1,$B$1)</f>
        <v>8</v>
      </c>
      <c r="L104" s="54">
        <f>_xll.EQNXTDZ($A$1,$B104,L$1,$B$1)</f>
        <v>8</v>
      </c>
      <c r="M104" s="54">
        <f>_xll.EQNXTDZ($A$1,$B104,M$1,$B$1)</f>
        <v>8</v>
      </c>
      <c r="N104" s="54">
        <f>_xll.EQNXTDZ($A$1,$B104,N$1,$B$1)</f>
        <v>8</v>
      </c>
      <c r="O104" s="54">
        <f>_xll.EQNXTDZ($A$1,$B104,O$1,$B$1)</f>
        <v>8</v>
      </c>
      <c r="P104" s="54">
        <f>_xll.EQNXTDZ($A$1,$B104,P$1,$B$1)</f>
        <v>133.76599999999999</v>
      </c>
      <c r="Q104" s="54">
        <f>_xll.EQNXTDZ($A$1,$B104,Q$1,$B$1)</f>
        <v>133.76599999999999</v>
      </c>
      <c r="R104" s="54">
        <f>_xll.EQNXTDZ($A$1,$B104,R$1,$B$1)</f>
        <v>133.76599999999999</v>
      </c>
      <c r="S104" s="54">
        <f>_xll.EQNXTDZ($A$1,$B104,S$1,$B$1)</f>
        <v>182.31299999999999</v>
      </c>
      <c r="T104" s="54">
        <f>_xll.EQNXTDZ($A$1,$B104,T$1,$B$1)</f>
        <v>182.58699999999999</v>
      </c>
      <c r="U104" s="54">
        <f>_xll.EQNXTDZ($A$1,$B104,U$1,$B$1)</f>
        <v>182.642</v>
      </c>
      <c r="V104" s="54">
        <f>_xll.EQNXTDZ($A$1,$B104,V$1,$B$1)</f>
        <v>288.68900000000002</v>
      </c>
      <c r="W104" s="54">
        <f>_xll.EQNXTDZ($A$1,$B104,W$1,$B$1)</f>
        <v>288.68900000000002</v>
      </c>
      <c r="X104" s="54">
        <f>_xll.EQNXTDZ($A$1,$B104,X$1,$B$1)</f>
        <v>433.03300000000002</v>
      </c>
      <c r="Y104" s="54">
        <f>_xll.EQNXTDZ($A$1,$B104,Y$1,$B$1)</f>
        <v>649.54999999999995</v>
      </c>
      <c r="Z104" s="54">
        <f>_xll.EQNXTDZ($A$1,$B104,Z$1,$B$1)</f>
        <v>649.60699999999997</v>
      </c>
      <c r="AA104" s="54">
        <f>_xll.EQNXTDZ($A$1,$B104,AA$1,$B$1)</f>
        <v>676.30200000000002</v>
      </c>
      <c r="AB104" s="54">
        <f>_xll.EQNXTDZ($A$1,$B104,AB$1,$B$1)</f>
        <v>676.39800000000002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5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0</v>
      </c>
      <c r="S106" s="54">
        <f>_xll.EQNXTDZ($A$1,$B106,S$1,$B$1)</f>
        <v>22.5985185185185</v>
      </c>
      <c r="T106" s="54">
        <f>_xll.EQNXTDZ($A$1,$B106,T$1,$B$1)</f>
        <v>38.598518518518503</v>
      </c>
      <c r="U106" s="54">
        <f>_xll.EQNXTDZ($A$1,$B106,U$1,$B$1)</f>
        <v>46.645925925925901</v>
      </c>
      <c r="V106" s="54">
        <f>_xll.EQNXTDZ($A$1,$B106,V$1,$B$1)</f>
        <v>62.928888888888899</v>
      </c>
      <c r="W106" s="54">
        <f>_xll.EQNXTDZ($A$1,$B106,W$1,$B$1)</f>
        <v>81.373333333333306</v>
      </c>
      <c r="X106" s="54">
        <f>_xll.EQNXTDZ($A$1,$B106,X$1,$B$1)</f>
        <v>118.206666666667</v>
      </c>
      <c r="Y106" s="54">
        <f>_xll.EQNXTDZ($A$1,$B106,Y$1,$B$1)</f>
        <v>264.5</v>
      </c>
      <c r="Z106" s="54">
        <f>_xll.EQNXTDZ($A$1,$B106,Z$1,$B$1)</f>
        <v>494.62</v>
      </c>
      <c r="AA106" s="54">
        <f>_xll.EQNXTDZ($A$1,$B106,AA$1,$B$1)</f>
        <v>638.45000000000005</v>
      </c>
      <c r="AB106" s="54">
        <f>_xll.EQNXTDZ($A$1,$B106,AB$1,$B$1)</f>
        <v>489.85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0</v>
      </c>
      <c r="S107" s="54">
        <f>_xll.EQNXTDZ($A$1,$B107,S$1,$B$1)</f>
        <v>27.911111111111101</v>
      </c>
      <c r="T107" s="54">
        <f>_xll.EQNXTDZ($A$1,$B107,T$1,$B$1)</f>
        <v>39.404444444444401</v>
      </c>
      <c r="U107" s="54">
        <f>_xll.EQNXTDZ($A$1,$B107,U$1,$B$1)</f>
        <v>50.311111111111103</v>
      </c>
      <c r="V107" s="54">
        <f>_xll.EQNXTDZ($A$1,$B107,V$1,$B$1)</f>
        <v>70.1111111111111</v>
      </c>
      <c r="W107" s="54">
        <f>_xll.EQNXTDZ($A$1,$B107,W$1,$B$1)</f>
        <v>88.808888888888902</v>
      </c>
      <c r="X107" s="54">
        <f>_xll.EQNXTDZ($A$1,$B107,X$1,$B$1)</f>
        <v>136</v>
      </c>
      <c r="Y107" s="54">
        <f>_xll.EQNXTDZ($A$1,$B107,Y$1,$B$1)</f>
        <v>286.41000000000003</v>
      </c>
      <c r="Z107" s="54">
        <f>_xll.EQNXTDZ($A$1,$B107,Z$1,$B$1)</f>
        <v>552.17999999999995</v>
      </c>
      <c r="AA107" s="54">
        <f>_xll.EQNXTDZ($A$1,$B107,AA$1,$B$1)</f>
        <v>682.84</v>
      </c>
      <c r="AB107" s="54">
        <f>_xll.EQNXTDZ($A$1,$B107,AB$1,$B$1)</f>
        <v>663.7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0</v>
      </c>
      <c r="S108" s="54">
        <f>_xll.EQNXTDZ($A$1,$B108,S$1,$B$1)</f>
        <v>20.4444444444444</v>
      </c>
      <c r="T108" s="54">
        <f>_xll.EQNXTDZ($A$1,$B108,T$1,$B$1)</f>
        <v>20.2222222222222</v>
      </c>
      <c r="U108" s="54">
        <f>_xll.EQNXTDZ($A$1,$B108,U$1,$B$1)</f>
        <v>35.128888888888902</v>
      </c>
      <c r="V108" s="54">
        <f>_xll.EQNXTDZ($A$1,$B108,V$1,$B$1)</f>
        <v>44.145185185185198</v>
      </c>
      <c r="W108" s="54">
        <f>_xll.EQNXTDZ($A$1,$B108,W$1,$B$1)</f>
        <v>43.115555555555602</v>
      </c>
      <c r="X108" s="54">
        <f>_xll.EQNXTDZ($A$1,$B108,X$1,$B$1)</f>
        <v>76</v>
      </c>
      <c r="Y108" s="54">
        <f>_xll.EQNXTDZ($A$1,$B108,Y$1,$B$1)</f>
        <v>111.446666666667</v>
      </c>
      <c r="Z108" s="54">
        <f>_xll.EQNXTDZ($A$1,$B108,Z$1,$B$1)</f>
        <v>220</v>
      </c>
      <c r="AA108" s="54">
        <f>_xll.EQNXTDZ($A$1,$B108,AA$1,$B$1)</f>
        <v>478.48</v>
      </c>
      <c r="AB108" s="54">
        <f>_xll.EQNXTDZ($A$1,$B108,AB$1,$B$1)</f>
        <v>419.4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0</v>
      </c>
      <c r="S109" s="54">
        <f>_xll.EQNXTDZ($A$1,$B109,S$1,$B$1)</f>
        <v>6952.5062550000002</v>
      </c>
      <c r="T109" s="54">
        <f>_xll.EQNXTDZ($A$1,$B109,T$1,$B$1)</f>
        <v>11892.804244999999</v>
      </c>
      <c r="U109" s="54">
        <f>_xll.EQNXTDZ($A$1,$B109,U$1,$B$1)</f>
        <v>14376.66503</v>
      </c>
      <c r="V109" s="54">
        <f>_xll.EQNXTDZ($A$1,$B109,V$1,$B$1)</f>
        <v>20437.737754999998</v>
      </c>
      <c r="W109" s="54">
        <f>_xll.EQNXTDZ($A$1,$B109,W$1,$B$1)</f>
        <v>26428.034505</v>
      </c>
      <c r="X109" s="54">
        <f>_xll.EQNXTDZ($A$1,$B109,X$1,$B$1)</f>
        <v>38390.540614999998</v>
      </c>
      <c r="Y109" s="54">
        <f>_xll.EQNXTDZ($A$1,$B109,Y$1,$B$1)</f>
        <v>85902.987500000003</v>
      </c>
      <c r="Z109" s="54">
        <f>_xll.EQNXTDZ($A$1,$B109,Z$1,$B$1)</f>
        <v>160654.30716999999</v>
      </c>
      <c r="AA109" s="54">
        <f>_xll.EQNXTDZ($A$1,$B109,AA$1,$B$1)</f>
        <v>215892.50594999999</v>
      </c>
      <c r="AB109" s="54">
        <f>_xll.EQNXTDZ($A$1,$B109,AB$1,$B$1)</f>
        <v>165666.78015000001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0.148148148148148</v>
      </c>
      <c r="U110" s="54">
        <f>_xll.EQNXTDZ($A$1,$B110,U$1,$B$1)</f>
        <v>0.148148148148148</v>
      </c>
      <c r="V110" s="54">
        <f>_xll.EQNXTDZ($A$1,$B110,V$1,$B$1)</f>
        <v>0.22222222222222199</v>
      </c>
      <c r="W110" s="54">
        <f>_xll.EQNXTDZ($A$1,$B110,W$1,$B$1)</f>
        <v>0.22222222222222199</v>
      </c>
      <c r="X110" s="54">
        <f>_xll.EQNXTDZ($A$1,$B110,X$1,$B$1)</f>
        <v>0.33333333333333298</v>
      </c>
      <c r="Y110" s="54">
        <f>_xll.EQNXTDZ($A$1,$B110,Y$1,$B$1)</f>
        <v>0.7</v>
      </c>
      <c r="Z110" s="54">
        <f>_xll.EQNXTDZ($A$1,$B110,Z$1,$B$1)</f>
        <v>1</v>
      </c>
      <c r="AA110" s="54">
        <f>_xll.EQNXTDZ($A$1,$B110,AA$1,$B$1)</f>
        <v>1</v>
      </c>
      <c r="AB110" s="54">
        <f>_xll.EQNXTDZ($A$1,$B110,AB$1,$B$1)</f>
        <v>1.5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66.959999999999994</v>
      </c>
      <c r="R112" s="55">
        <f>_xll.EQNXTDZ($A$1,$B112,R$5)</f>
        <v>98.72</v>
      </c>
      <c r="S112" s="55">
        <f>_xll.EQNXTDZ($A$1,$B112,S$5)</f>
        <v>73.59</v>
      </c>
      <c r="T112" s="55">
        <f>_xll.EQNXTDZ($A$1,$B112,T$5)</f>
        <v>73.59</v>
      </c>
      <c r="U112" s="55">
        <f>_xll.EQNXTDZ($A$1,$B112,U$5)</f>
        <v>73.56</v>
      </c>
      <c r="V112" s="55">
        <f>_xll.EQNXTDZ($A$1,$B112,V$5)</f>
        <v>68.430000000000007</v>
      </c>
      <c r="W112" s="55">
        <f>_xll.EQNXTDZ($A$1,$B112,W$5)</f>
        <v>66.400000000000006</v>
      </c>
      <c r="X112" s="55">
        <f>_xll.EQNXTDZ($A$1,$B112,X$5)</f>
        <v>64.89</v>
      </c>
      <c r="Y112" s="55">
        <f>_xll.EQNXTDZ($A$1,$B112,Y$5)</f>
        <v>63.9</v>
      </c>
      <c r="Z112" s="55">
        <f>_xll.EQNXTDZ($A$1,$B112,Z$5)</f>
        <v>63.09</v>
      </c>
      <c r="AA112" s="55">
        <f>_xll.EQNXTDZ($A$1,$B112,AA$5)</f>
        <v>60.2</v>
      </c>
      <c r="AB112" s="55">
        <f>_xll.EQNXTDZ($A$1,$B112,AB$5)</f>
        <v>59.44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0.13</v>
      </c>
      <c r="U113" s="55">
        <f>_xll.EQNXTDZ($A$1,$B113,U$5)</f>
        <v>0.13</v>
      </c>
      <c r="V113" s="55">
        <f>_xll.EQNXTDZ($A$1,$B113,V$5)</f>
        <v>0.13</v>
      </c>
      <c r="W113" s="55">
        <f>_xll.EQNXTDZ($A$1,$B113,W$5)</f>
        <v>0</v>
      </c>
      <c r="X113" s="55">
        <f>_xll.EQNXTDZ($A$1,$B113,X$5)</f>
        <v>0.04</v>
      </c>
      <c r="Y113" s="55">
        <f>_xll.EQNXTDZ($A$1,$B113,Y$5)</f>
        <v>0.04</v>
      </c>
      <c r="Z113" s="55">
        <f>_xll.EQNXTDZ($A$1,$B113,Z$5)</f>
        <v>0.04</v>
      </c>
      <c r="AA113" s="55">
        <f>_xll.EQNXTDZ($A$1,$B113,AA$5)</f>
        <v>0.04</v>
      </c>
      <c r="AB113" s="55">
        <f>_xll.EQNXTDZ($A$1,$B113,AB$5)</f>
        <v>0.04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209550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25.481481481481499</v>
      </c>
      <c r="BE6" cm="1">
        <f t="array" ref="BE6">_xll.EQNXTDZ($A$1,$B6,BE$1)</f>
        <v>25.786666666666701</v>
      </c>
      <c r="BF6" cm="1">
        <f t="array" ref="BF6">_xll.EQNXTDZ($A$1,$B6,BF$1)</f>
        <v>22.874074074074102</v>
      </c>
      <c r="BG6" cm="1">
        <f t="array" ref="BG6">_xll.EQNXTDZ($A$1,$B6,BG$1)</f>
        <v>23.561481481481501</v>
      </c>
      <c r="BH6" cm="1">
        <f t="array" ref="BH6">_xll.EQNXTDZ($A$1,$B6,BH$1)</f>
        <v>23.6444444444444</v>
      </c>
      <c r="BI6" cm="1">
        <f t="array" ref="BI6">_xll.EQNXTDZ($A$1,$B6,BI$1)</f>
        <v>23.928888888888899</v>
      </c>
      <c r="BJ6" cm="1">
        <f t="array" ref="BJ6">_xll.EQNXTDZ($A$1,$B6,BJ$1)</f>
        <v>27.318518518518498</v>
      </c>
      <c r="BK6" cm="1">
        <f t="array" ref="BK6">_xll.EQNXTDZ($A$1,$B6,BK$1)</f>
        <v>29.354074074074099</v>
      </c>
      <c r="BL6" cm="1">
        <f t="array" ref="BL6">_xll.EQNXTDZ($A$1,$B6,BL$1)</f>
        <v>31.475555555555601</v>
      </c>
      <c r="BM6" cm="1">
        <f t="array" ref="BM6">_xll.EQNXTDZ($A$1,$B6,BM$1)</f>
        <v>29.522962962963</v>
      </c>
      <c r="BN6" cm="1">
        <f t="array" ref="BN6">_xll.EQNXTDZ($A$1,$B6,BN$1)</f>
        <v>31.031111111111102</v>
      </c>
      <c r="BO6" cm="1">
        <f t="array" ref="BO6">_xll.EQNXTDZ($A$1,$B6,BO$1)</f>
        <v>30.2222222222222</v>
      </c>
      <c r="BP6" cm="1">
        <f t="array" ref="BP6">_xll.EQNXTDZ($A$1,$B6,BP$1)</f>
        <v>29.9674074074074</v>
      </c>
      <c r="BQ6" cm="1">
        <f t="array" ref="BQ6">_xll.EQNXTDZ($A$1,$B6,BQ$1)</f>
        <v>30.269629629629598</v>
      </c>
      <c r="BR6" cm="1">
        <f t="array" ref="BR6">_xll.EQNXTDZ($A$1,$B6,BR$1)</f>
        <v>38.625185185185202</v>
      </c>
      <c r="BS6" cm="1">
        <f t="array" ref="BS6">_xll.EQNXTDZ($A$1,$B6,BS$1)</f>
        <v>40.945185185185203</v>
      </c>
      <c r="BT6" cm="1">
        <f t="array" ref="BT6">_xll.EQNXTDZ($A$1,$B6,BT$1)</f>
        <v>38.755555555555603</v>
      </c>
      <c r="BU6" cm="1">
        <f t="array" ref="BU6">_xll.EQNXTDZ($A$1,$B6,BU$1)</f>
        <v>37.718518518518501</v>
      </c>
      <c r="BV6" cm="1">
        <f t="array" ref="BV6">_xll.EQNXTDZ($A$1,$B6,BV$1)</f>
        <v>38.7585185185185</v>
      </c>
      <c r="BW6" cm="1">
        <f t="array" ref="BW6">_xll.EQNXTDZ($A$1,$B6,BW$1)</f>
        <v>45.591111111111097</v>
      </c>
      <c r="BX6" cm="1">
        <f t="array" ref="BX6">_xll.EQNXTDZ($A$1,$B6,BX$1)</f>
        <v>44.971851851851902</v>
      </c>
      <c r="BY6" cm="1">
        <f t="array" ref="BY6">_xll.EQNXTDZ($A$1,$B6,BY$1)</f>
        <v>44.912592592592603</v>
      </c>
      <c r="BZ6" cm="1">
        <f t="array" ref="BZ6">_xll.EQNXTDZ($A$1,$B6,BZ$1)</f>
        <v>48.592592592592602</v>
      </c>
      <c r="CA6" cm="1">
        <f t="array" ref="CA6">_xll.EQNXTDZ($A$1,$B6,CA$1)</f>
        <v>42.915555555555599</v>
      </c>
      <c r="CB6" cm="1">
        <f t="array" ref="CB6">_xll.EQNXTDZ($A$1,$B6,CB$1)</f>
        <v>48.8</v>
      </c>
      <c r="CC6" cm="1">
        <f t="array" ref="CC6">_xll.EQNXTDZ($A$1,$B6,CC$1)</f>
        <v>46.802962962963001</v>
      </c>
      <c r="CD6" cm="1">
        <f t="array" ref="CD6">_xll.EQNXTDZ($A$1,$B6,CD$1)</f>
        <v>46.814814814814802</v>
      </c>
      <c r="CE6" cm="1">
        <f t="array" ref="CE6">_xll.EQNXTDZ($A$1,$B6,CE$1)</f>
        <v>48.841481481481502</v>
      </c>
      <c r="CF6" cm="1">
        <f t="array" ref="CF6">_xll.EQNXTDZ($A$1,$B6,CF$1)</f>
        <v>48</v>
      </c>
      <c r="CG6" cm="1">
        <f t="array" ref="CG6">_xll.EQNXTDZ($A$1,$B6,CG$1)</f>
        <v>51.724444444444401</v>
      </c>
      <c r="CH6" cm="1">
        <f t="array" ref="CH6">_xll.EQNXTDZ($A$1,$B6,CH$1)</f>
        <v>52.148148148148103</v>
      </c>
      <c r="CI6" cm="1">
        <f t="array" ref="CI6">_xll.EQNXTDZ($A$1,$B6,CI$1)</f>
        <v>55.644444444444403</v>
      </c>
      <c r="CJ6" cm="1">
        <f t="array" ref="CJ6">_xll.EQNXTDZ($A$1,$B6,CJ$1)</f>
        <v>56.414814814814797</v>
      </c>
      <c r="CK6" cm="1">
        <f t="array" ref="CK6">_xll.EQNXTDZ($A$1,$B6,CK$1)</f>
        <v>57.142222222222202</v>
      </c>
      <c r="CL6" cm="1">
        <f t="array" ref="CL6">_xll.EQNXTDZ($A$1,$B6,CL$1)</f>
        <v>57.066666666666698</v>
      </c>
      <c r="CM6" cm="1">
        <f t="array" ref="CM6">_xll.EQNXTDZ($A$1,$B6,CM$1)</f>
        <v>55.906666666666702</v>
      </c>
      <c r="CN6" cm="1">
        <f t="array" ref="CN6">_xll.EQNXTDZ($A$1,$B6,CN$1)</f>
        <v>55.466666666666697</v>
      </c>
      <c r="CO6" cm="1">
        <f t="array" ref="CO6">_xll.EQNXTDZ($A$1,$B6,CO$1)</f>
        <v>65.155555555555594</v>
      </c>
      <c r="CP6" cm="1">
        <f t="array" ref="CP6">_xll.EQNXTDZ($A$1,$B6,CP$1)</f>
        <v>62.755555555555603</v>
      </c>
      <c r="CQ6" cm="1">
        <f t="array" ref="CQ6">_xll.EQNXTDZ($A$1,$B6,CQ$1)</f>
        <v>68.875555555555593</v>
      </c>
      <c r="CR6" cm="1">
        <f t="array" ref="CR6">_xll.EQNXTDZ($A$1,$B6,CR$1)</f>
        <v>72.8888888888889</v>
      </c>
      <c r="CS6" cm="1">
        <f t="array" ref="CS6">_xll.EQNXTDZ($A$1,$B6,CS$1)</f>
        <v>47.546666666666702</v>
      </c>
      <c r="CT6" cm="1">
        <f t="array" ref="CT6">_xll.EQNXTDZ($A$1,$B6,CT$1)</f>
        <v>58.977777777777803</v>
      </c>
      <c r="CU6" cm="1">
        <f t="array" ref="CU6">_xll.EQNXTDZ($A$1,$B6,CU$1)</f>
        <v>56.8888888888889</v>
      </c>
      <c r="CV6" cm="1">
        <f t="array" ref="CV6">_xll.EQNXTDZ($A$1,$B6,CV$1)</f>
        <v>60.964444444444403</v>
      </c>
      <c r="CW6" cm="1">
        <f t="array" ref="CW6">_xll.EQNXTDZ($A$1,$B6,CW$1)</f>
        <v>63.253333333333302</v>
      </c>
      <c r="CX6" cm="1">
        <f t="array" ref="CX6">_xll.EQNXTDZ($A$1,$B6,CX$1)</f>
        <v>64.177777777777806</v>
      </c>
      <c r="CY6" cm="1">
        <f t="array" ref="CY6">_xll.EQNXTDZ($A$1,$B6,CY$1)</f>
        <v>62.8888888888889</v>
      </c>
      <c r="CZ6" cm="1">
        <f t="array" ref="CZ6">_xll.EQNXTDZ($A$1,$B6,CZ$1)</f>
        <v>59.2</v>
      </c>
      <c r="DA6" cm="1">
        <f t="array" ref="DA6">_xll.EQNXTDZ($A$1,$B6,DA$1)</f>
        <v>80</v>
      </c>
      <c r="DB6" cm="1">
        <f t="array" ref="DB6">_xll.EQNXTDZ($A$1,$B6,DB$1)</f>
        <v>81.066666666666706</v>
      </c>
      <c r="DC6" cm="1">
        <f t="array" ref="DC6">_xll.EQNXTDZ($A$1,$B6,DC$1)</f>
        <v>79.817777777777806</v>
      </c>
      <c r="DD6" cm="1">
        <f t="array" ref="DD6">_xll.EQNXTDZ($A$1,$B6,DD$1)</f>
        <v>95.1111111111111</v>
      </c>
      <c r="DE6" cm="1">
        <f t="array" ref="DE6">_xll.EQNXTDZ($A$1,$B6,DE$1)</f>
        <v>89.786666666666704</v>
      </c>
      <c r="DF6" cm="1">
        <f t="array" ref="DF6">_xll.EQNXTDZ($A$1,$B6,DF$1)</f>
        <v>86.2222222222222</v>
      </c>
      <c r="DG6" cm="1">
        <f t="array" ref="DG6">_xll.EQNXTDZ($A$1,$B6,DG$1)</f>
        <v>90.2222222222222</v>
      </c>
      <c r="DH6" cm="1">
        <f t="array" ref="DH6">_xll.EQNXTDZ($A$1,$B6,DH$1)</f>
        <v>98</v>
      </c>
      <c r="DI6" cm="1">
        <f t="array" ref="DI6">_xll.EQNXTDZ($A$1,$B6,DI$1)</f>
        <v>102.666666666667</v>
      </c>
      <c r="DJ6" cm="1">
        <f t="array" ref="DJ6">_xll.EQNXTDZ($A$1,$B6,DJ$1)</f>
        <v>112.92</v>
      </c>
      <c r="DK6" cm="1">
        <f t="array" ref="DK6">_xll.EQNXTDZ($A$1,$B6,DK$1)</f>
        <v>120.02</v>
      </c>
      <c r="DL6" cm="1">
        <f t="array" ref="DL6">_xll.EQNXTDZ($A$1,$B6,DL$1)</f>
        <v>114.466666666667</v>
      </c>
      <c r="DM6" cm="1">
        <f t="array" ref="DM6">_xll.EQNXTDZ($A$1,$B6,DM$1)</f>
        <v>119.273333333333</v>
      </c>
      <c r="DN6" cm="1">
        <f t="array" ref="DN6">_xll.EQNXTDZ($A$1,$B6,DN$1)</f>
        <v>118.333333333333</v>
      </c>
      <c r="DO6" cm="1">
        <f t="array" ref="DO6">_xll.EQNXTDZ($A$1,$B6,DO$1)</f>
        <v>121.466666666667</v>
      </c>
      <c r="DP6" cm="1">
        <f t="array" ref="DP6">_xll.EQNXTDZ($A$1,$B6,DP$1)</f>
        <v>126</v>
      </c>
      <c r="DQ6" cm="1">
        <f t="array" ref="DQ6">_xll.EQNXTDZ($A$1,$B6,DQ$1)</f>
        <v>124.666666666667</v>
      </c>
      <c r="DR6" cm="1">
        <f t="array" ref="DR6">_xll.EQNXTDZ($A$1,$B6,DR$1)</f>
        <v>144.26666666666699</v>
      </c>
      <c r="DS6" cm="1">
        <f t="array" ref="DS6">_xll.EQNXTDZ($A$1,$B6,DS$1)</f>
        <v>141.14666666666699</v>
      </c>
      <c r="DT6" cm="1">
        <f t="array" ref="DT6">_xll.EQNXTDZ($A$1,$B6,DT$1)</f>
        <v>158</v>
      </c>
      <c r="DU6" cm="1">
        <f t="array" ref="DU6">_xll.EQNXTDZ($A$1,$B6,DU$1)</f>
        <v>178.36</v>
      </c>
      <c r="DV6" cm="1">
        <f t="array" ref="DV6">_xll.EQNXTDZ($A$1,$B6,DV$1)</f>
        <v>205</v>
      </c>
      <c r="DW6" cm="1">
        <f t="array" ref="DW6">_xll.EQNXTDZ($A$1,$B6,DW$1)</f>
        <v>209</v>
      </c>
      <c r="DX6" cm="1">
        <f t="array" ref="DX6">_xll.EQNXTDZ($A$1,$B6,DX$1)</f>
        <v>212</v>
      </c>
      <c r="DY6" cm="1">
        <f t="array" ref="DY6">_xll.EQNXTDZ($A$1,$B6,DY$1)</f>
        <v>255</v>
      </c>
      <c r="DZ6" cm="1">
        <f t="array" ref="DZ6">_xll.EQNXTDZ($A$1,$B6,DZ$1)</f>
        <v>267.89</v>
      </c>
      <c r="EA6" cm="1">
        <f t="array" ref="EA6">_xll.EQNXTDZ($A$1,$B6,EA$1)</f>
        <v>231.89</v>
      </c>
      <c r="EB6" cm="1">
        <f t="array" ref="EB6">_xll.EQNXTDZ($A$1,$B6,EB$1)</f>
        <v>262.39999999999998</v>
      </c>
      <c r="EC6" cm="1">
        <f t="array" ref="EC6">_xll.EQNXTDZ($A$1,$B6,EC$1)</f>
        <v>279</v>
      </c>
      <c r="ED6" cm="1">
        <f t="array" ref="ED6">_xll.EQNXTDZ($A$1,$B6,ED$1)</f>
        <v>292</v>
      </c>
      <c r="EE6" cm="1">
        <f t="array" ref="EE6">_xll.EQNXTDZ($A$1,$B6,EE$1)</f>
        <v>338.16</v>
      </c>
      <c r="EF6" cm="1">
        <f t="array" ref="EF6">_xll.EQNXTDZ($A$1,$B6,EF$1)</f>
        <v>321.02</v>
      </c>
      <c r="EG6" cm="1">
        <f t="array" ref="EG6">_xll.EQNXTDZ($A$1,$B6,EG$1)</f>
        <v>323.95999999999998</v>
      </c>
      <c r="EH6" cm="1">
        <f t="array" ref="EH6">_xll.EQNXTDZ($A$1,$B6,EH$1)</f>
        <v>360.8</v>
      </c>
      <c r="EI6" cm="1">
        <f t="array" ref="EI6">_xll.EQNXTDZ($A$1,$B6,EI$1)</f>
        <v>378.72</v>
      </c>
      <c r="EJ6" cm="1">
        <f t="array" ref="EJ6">_xll.EQNXTDZ($A$1,$B6,EJ$1)</f>
        <v>365.12</v>
      </c>
      <c r="EK6" cm="1">
        <f t="array" ref="EK6">_xll.EQNXTDZ($A$1,$B6,EK$1)</f>
        <v>444</v>
      </c>
      <c r="EL6" cm="1">
        <f t="array" ref="EL6">_xll.EQNXTDZ($A$1,$B6,EL$1)</f>
        <v>496.72</v>
      </c>
      <c r="EM6" cm="1">
        <f t="array" ref="EM6">_xll.EQNXTDZ($A$1,$B6,EM$1)</f>
        <v>513.12</v>
      </c>
      <c r="EN6" cm="1">
        <f t="array" ref="EN6">_xll.EQNXTDZ($A$1,$B6,EN$1)</f>
        <v>571.22</v>
      </c>
      <c r="EO6" cm="1">
        <f t="array" ref="EO6">_xll.EQNXTDZ($A$1,$B6,EO$1)</f>
        <v>563.20000000000005</v>
      </c>
      <c r="EP6" cm="1">
        <f t="array" ref="EP6">_xll.EQNXTDZ($A$1,$B6,EP$1)</f>
        <v>590.04</v>
      </c>
      <c r="EQ6" cm="1">
        <f t="array" ref="EQ6">_xll.EQNXTDZ($A$1,$B6,EQ$1)</f>
        <v>589.6</v>
      </c>
      <c r="ER6" cm="1">
        <f t="array" ref="ER6">_xll.EQNXTDZ($A$1,$B6,ER$1)</f>
        <v>652</v>
      </c>
      <c r="ES6" cm="1">
        <f t="array" ref="ES6">_xll.EQNXTDZ($A$1,$B6,ES$1)</f>
        <v>636.41999999999996</v>
      </c>
      <c r="ET6" cm="1">
        <f t="array" ref="ET6">_xll.EQNXTDZ($A$1,$B6,ET$1)</f>
        <v>600.34</v>
      </c>
      <c r="EU6" cm="1">
        <f t="array" ref="EU6">_xll.EQNXTDZ($A$1,$B6,EU$1)</f>
        <v>608</v>
      </c>
      <c r="EV6" cm="1">
        <f t="array" ref="EV6">_xll.EQNXTDZ($A$1,$B6,EV$1)</f>
        <v>600</v>
      </c>
      <c r="EW6" cm="1">
        <f t="array" ref="EW6">_xll.EQNXTDZ($A$1,$B6,EW$1)</f>
        <v>625</v>
      </c>
      <c r="EX6" cm="1">
        <f t="array" ref="EX6">_xll.EQNXTDZ($A$1,$B6,EX$1)</f>
        <v>638.5</v>
      </c>
      <c r="EY6" cm="1">
        <f t="array" ref="EY6">_xll.EQNXTDZ($A$1,$B6,EY$1)</f>
        <v>539.04999999999995</v>
      </c>
      <c r="EZ6" cm="1">
        <f t="array" ref="EZ6">_xll.EQNXTDZ($A$1,$B6,EZ$1)</f>
        <v>436</v>
      </c>
      <c r="FA6" cm="1">
        <f t="array" ref="FA6">_xll.EQNXTDZ($A$1,$B6,FA$1)</f>
        <v>550</v>
      </c>
      <c r="FB6" cm="1">
        <f t="array" ref="FB6">_xll.EQNXTDZ($A$1,$B6,FB$1)</f>
        <v>526.85</v>
      </c>
      <c r="FC6" cm="1">
        <f t="array" ref="FC6">_xll.EQNXTDZ($A$1,$B6,FC$1)</f>
        <v>476</v>
      </c>
      <c r="FD6" cm="1">
        <f t="array" ref="FD6">_xll.EQNXTDZ($A$1,$B6,FD$1)</f>
        <v>459</v>
      </c>
      <c r="FE6" cm="1">
        <f t="array" ref="FE6">_xll.EQNXTDZ($A$1,$B6,FE$1)</f>
        <v>522.6</v>
      </c>
      <c r="FF6" cm="1">
        <f t="array" ref="FF6">_xll.EQNXTDZ($A$1,$B6,FF$1)</f>
        <v>485</v>
      </c>
      <c r="FG6" cm="1">
        <f t="array" ref="FG6">_xll.EQNXTDZ($A$1,$B6,FG$1)</f>
        <v>444.9</v>
      </c>
      <c r="FH6" cm="1">
        <f t="array" ref="FH6">_xll.EQNXTDZ($A$1,$B6,FH$1)</f>
        <v>470</v>
      </c>
      <c r="FI6" cm="1">
        <f t="array" ref="FI6">_xll.EQNXTDZ($A$1,$B6,FI$1)</f>
        <v>482</v>
      </c>
      <c r="FJ6" cm="1">
        <f t="array" ref="FJ6">_xll.EQNXTDZ($A$1,$B6,FJ$1)</f>
        <v>490.05</v>
      </c>
      <c r="FK6" cm="1">
        <f t="array" ref="FK6">_xll.EQNXTDZ($A$1,$B6,FK$1)</f>
        <v>470</v>
      </c>
      <c r="FL6" cm="1">
        <f t="array" ref="FL6">_xll.EQNXTDZ($A$1,$B6,FL$1)</f>
        <v>434.95</v>
      </c>
      <c r="FM6" cm="1">
        <f t="array" ref="FM6">_xll.EQNXTDZ($A$1,$B6,FM$1)</f>
        <v>397.3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27.955555555555598</v>
      </c>
      <c r="BE7" s="115" cm="1">
        <f t="array" ref="BE7">_xll.EQNXTDZ($A$1,$B7,BE$1)</f>
        <v>26.068148148148101</v>
      </c>
      <c r="BF7" s="115" cm="1">
        <f t="array" ref="BF7">_xll.EQNXTDZ($A$1,$B7,BF$1)</f>
        <v>24.8859259259259</v>
      </c>
      <c r="BG7" s="115" cm="1">
        <f t="array" ref="BG7">_xll.EQNXTDZ($A$1,$B7,BG$1)</f>
        <v>24.136296296296301</v>
      </c>
      <c r="BH7" s="115" cm="1">
        <f t="array" ref="BH7">_xll.EQNXTDZ($A$1,$B7,BH$1)</f>
        <v>24.8888888888889</v>
      </c>
      <c r="BI7" s="115" cm="1">
        <f t="array" ref="BI7">_xll.EQNXTDZ($A$1,$B7,BI$1)</f>
        <v>29.570370370370402</v>
      </c>
      <c r="BJ7" s="115" cm="1">
        <f t="array" ref="BJ7">_xll.EQNXTDZ($A$1,$B7,BJ$1)</f>
        <v>29.985185185185198</v>
      </c>
      <c r="BK7" s="115" cm="1">
        <f t="array" ref="BK7">_xll.EQNXTDZ($A$1,$B7,BK$1)</f>
        <v>33.247407407407401</v>
      </c>
      <c r="BL7" s="115" cm="1">
        <f t="array" ref="BL7">_xll.EQNXTDZ($A$1,$B7,BL$1)</f>
        <v>33.742222222222203</v>
      </c>
      <c r="BM7" s="115" cm="1">
        <f t="array" ref="BM7">_xll.EQNXTDZ($A$1,$B7,BM$1)</f>
        <v>33.979259259259301</v>
      </c>
      <c r="BN7" s="115" cm="1">
        <f t="array" ref="BN7">_xll.EQNXTDZ($A$1,$B7,BN$1)</f>
        <v>32.414814814814797</v>
      </c>
      <c r="BO7" s="115" cm="1">
        <f t="array" ref="BO7">_xll.EQNXTDZ($A$1,$B7,BO$1)</f>
        <v>31.407407407407401</v>
      </c>
      <c r="BP7" s="115" cm="1">
        <f t="array" ref="BP7">_xll.EQNXTDZ($A$1,$B7,BP$1)</f>
        <v>32.296296296296298</v>
      </c>
      <c r="BQ7" s="115" cm="1">
        <f t="array" ref="BQ7">_xll.EQNXTDZ($A$1,$B7,BQ$1)</f>
        <v>39.348148148148098</v>
      </c>
      <c r="BR7" s="115" cm="1">
        <f t="array" ref="BR7">_xll.EQNXTDZ($A$1,$B7,BR$1)</f>
        <v>44.965925925925902</v>
      </c>
      <c r="BS7" s="115" cm="1">
        <f t="array" ref="BS7">_xll.EQNXTDZ($A$1,$B7,BS$1)</f>
        <v>43.022222222222197</v>
      </c>
      <c r="BT7" s="115" cm="1">
        <f t="array" ref="BT7">_xll.EQNXTDZ($A$1,$B7,BT$1)</f>
        <v>39.229629629629599</v>
      </c>
      <c r="BU7" s="115" cm="1">
        <f t="array" ref="BU7">_xll.EQNXTDZ($A$1,$B7,BU$1)</f>
        <v>40.296296296296298</v>
      </c>
      <c r="BV7" s="115" cm="1">
        <f t="array" ref="BV7">_xll.EQNXTDZ($A$1,$B7,BV$1)</f>
        <v>47.1111111111111</v>
      </c>
      <c r="BW7" s="115" cm="1">
        <f t="array" ref="BW7">_xll.EQNXTDZ($A$1,$B7,BW$1)</f>
        <v>46.811851851851898</v>
      </c>
      <c r="BX7" s="115" cm="1">
        <f t="array" ref="BX7">_xll.EQNXTDZ($A$1,$B7,BX$1)</f>
        <v>46.16</v>
      </c>
      <c r="BY7" s="115" cm="1">
        <f t="array" ref="BY7">_xll.EQNXTDZ($A$1,$B7,BY$1)</f>
        <v>49.765925925925899</v>
      </c>
      <c r="BZ7" s="115" cm="1">
        <f t="array" ref="BZ7">_xll.EQNXTDZ($A$1,$B7,BZ$1)</f>
        <v>49.481481481481502</v>
      </c>
      <c r="CA7" s="115" cm="1">
        <f t="array" ref="CA7">_xll.EQNXTDZ($A$1,$B7,CA$1)</f>
        <v>50.077037037037002</v>
      </c>
      <c r="CB7" s="115" cm="1">
        <f t="array" ref="CB7">_xll.EQNXTDZ($A$1,$B7,CB$1)</f>
        <v>48.8</v>
      </c>
      <c r="CC7" s="115" cm="1">
        <f t="array" ref="CC7">_xll.EQNXTDZ($A$1,$B7,CC$1)</f>
        <v>47.244444444444397</v>
      </c>
      <c r="CD7" s="115" cm="1">
        <f t="array" ref="CD7">_xll.EQNXTDZ($A$1,$B7,CD$1)</f>
        <v>49.7777777777778</v>
      </c>
      <c r="CE7" s="115" cm="1">
        <f t="array" ref="CE7">_xll.EQNXTDZ($A$1,$B7,CE$1)</f>
        <v>50.251851851851903</v>
      </c>
      <c r="CF7" s="115" cm="1">
        <f t="array" ref="CF7">_xll.EQNXTDZ($A$1,$B7,CF$1)</f>
        <v>51.970370370370397</v>
      </c>
      <c r="CG7" s="115" cm="1">
        <f t="array" ref="CG7">_xll.EQNXTDZ($A$1,$B7,CG$1)</f>
        <v>56.56</v>
      </c>
      <c r="CH7" s="115" cm="1">
        <f t="array" ref="CH7">_xll.EQNXTDZ($A$1,$B7,CH$1)</f>
        <v>57.004444444444403</v>
      </c>
      <c r="CI7" s="115" cm="1">
        <f t="array" ref="CI7">_xll.EQNXTDZ($A$1,$B7,CI$1)</f>
        <v>56.589629629629599</v>
      </c>
      <c r="CJ7" s="115" cm="1">
        <f t="array" ref="CJ7">_xll.EQNXTDZ($A$1,$B7,CJ$1)</f>
        <v>59.911111111111097</v>
      </c>
      <c r="CK7" s="115" cm="1">
        <f t="array" ref="CK7">_xll.EQNXTDZ($A$1,$B7,CK$1)</f>
        <v>58.662222222222198</v>
      </c>
      <c r="CL7" s="115" cm="1">
        <f t="array" ref="CL7">_xll.EQNXTDZ($A$1,$B7,CL$1)</f>
        <v>58.937777777777796</v>
      </c>
      <c r="CM7" s="115" cm="1">
        <f t="array" ref="CM7">_xll.EQNXTDZ($A$1,$B7,CM$1)</f>
        <v>57.586666666666702</v>
      </c>
      <c r="CN7" s="115" cm="1">
        <f t="array" ref="CN7">_xll.EQNXTDZ($A$1,$B7,CN$1)</f>
        <v>70.133333333333297</v>
      </c>
      <c r="CO7" s="115" cm="1">
        <f t="array" ref="CO7">_xll.EQNXTDZ($A$1,$B7,CO$1)</f>
        <v>67.102222222222196</v>
      </c>
      <c r="CP7" s="115" cm="1">
        <f t="array" ref="CP7">_xll.EQNXTDZ($A$1,$B7,CP$1)</f>
        <v>77.3333333333333</v>
      </c>
      <c r="CQ7" s="115" cm="1">
        <f t="array" ref="CQ7">_xll.EQNXTDZ($A$1,$B7,CQ$1)</f>
        <v>76.706666666666706</v>
      </c>
      <c r="CR7" s="115" cm="1">
        <f t="array" ref="CR7">_xll.EQNXTDZ($A$1,$B7,CR$1)</f>
        <v>74.040000000000006</v>
      </c>
      <c r="CS7" s="115" cm="1">
        <f t="array" ref="CS7">_xll.EQNXTDZ($A$1,$B7,CS$1)</f>
        <v>61.155555555555601</v>
      </c>
      <c r="CT7" s="115" cm="1">
        <f t="array" ref="CT7">_xll.EQNXTDZ($A$1,$B7,CT$1)</f>
        <v>61.511111111111099</v>
      </c>
      <c r="CU7" s="115" cm="1">
        <f t="array" ref="CU7">_xll.EQNXTDZ($A$1,$B7,CU$1)</f>
        <v>65.6933333333333</v>
      </c>
      <c r="CV7" s="115" cm="1">
        <f t="array" ref="CV7">_xll.EQNXTDZ($A$1,$B7,CV$1)</f>
        <v>65.066666666666706</v>
      </c>
      <c r="CW7" s="115" cm="1">
        <f t="array" ref="CW7">_xll.EQNXTDZ($A$1,$B7,CW$1)</f>
        <v>70.826666666666696</v>
      </c>
      <c r="CX7" s="115" cm="1">
        <f t="array" ref="CX7">_xll.EQNXTDZ($A$1,$B7,CX$1)</f>
        <v>69.155555555555594</v>
      </c>
      <c r="CY7" s="115" cm="1">
        <f t="array" ref="CY7">_xll.EQNXTDZ($A$1,$B7,CY$1)</f>
        <v>63.1111111111111</v>
      </c>
      <c r="CZ7" s="115" cm="1">
        <f t="array" ref="CZ7">_xll.EQNXTDZ($A$1,$B7,CZ$1)</f>
        <v>82.133333333333297</v>
      </c>
      <c r="DA7" s="115" cm="1">
        <f t="array" ref="DA7">_xll.EQNXTDZ($A$1,$B7,DA$1)</f>
        <v>88.866666666666703</v>
      </c>
      <c r="DB7" s="115" cm="1">
        <f t="array" ref="DB7">_xll.EQNXTDZ($A$1,$B7,DB$1)</f>
        <v>94.791111111111107</v>
      </c>
      <c r="DC7" s="115" cm="1">
        <f t="array" ref="DC7">_xll.EQNXTDZ($A$1,$B7,DC$1)</f>
        <v>100.444444444444</v>
      </c>
      <c r="DD7" s="115" cm="1">
        <f t="array" ref="DD7">_xll.EQNXTDZ($A$1,$B7,DD$1)</f>
        <v>95.1111111111111</v>
      </c>
      <c r="DE7" s="115" cm="1">
        <f t="array" ref="DE7">_xll.EQNXTDZ($A$1,$B7,DE$1)</f>
        <v>91.5555555555556</v>
      </c>
      <c r="DF7" s="115" cm="1">
        <f t="array" ref="DF7">_xll.EQNXTDZ($A$1,$B7,DF$1)</f>
        <v>93.764444444444393</v>
      </c>
      <c r="DG7" s="115" cm="1">
        <f t="array" ref="DG7">_xll.EQNXTDZ($A$1,$B7,DG$1)</f>
        <v>122.45333333333301</v>
      </c>
      <c r="DH7" s="115" cm="1">
        <f t="array" ref="DH7">_xll.EQNXTDZ($A$1,$B7,DH$1)</f>
        <v>107.2</v>
      </c>
      <c r="DI7" s="115" cm="1">
        <f t="array" ref="DI7">_xll.EQNXTDZ($A$1,$B7,DI$1)</f>
        <v>114.666666666667</v>
      </c>
      <c r="DJ7" s="115" cm="1">
        <f t="array" ref="DJ7">_xll.EQNXTDZ($A$1,$B7,DJ$1)</f>
        <v>126.933333333333</v>
      </c>
      <c r="DK7" s="115" cm="1">
        <f t="array" ref="DK7">_xll.EQNXTDZ($A$1,$B7,DK$1)</f>
        <v>123.253333333333</v>
      </c>
      <c r="DL7" s="115" cm="1">
        <f t="array" ref="DL7">_xll.EQNXTDZ($A$1,$B7,DL$1)</f>
        <v>135.46666666666701</v>
      </c>
      <c r="DM7" s="115" cm="1">
        <f t="array" ref="DM7">_xll.EQNXTDZ($A$1,$B7,DM$1)</f>
        <v>123.17333333333301</v>
      </c>
      <c r="DN7" s="115" cm="1">
        <f t="array" ref="DN7">_xll.EQNXTDZ($A$1,$B7,DN$1)</f>
        <v>126.8</v>
      </c>
      <c r="DO7" s="115" cm="1">
        <f t="array" ref="DO7">_xll.EQNXTDZ($A$1,$B7,DO$1)</f>
        <v>129.19999999999999</v>
      </c>
      <c r="DP7" s="115" cm="1">
        <f t="array" ref="DP7">_xll.EQNXTDZ($A$1,$B7,DP$1)</f>
        <v>135.30666666666701</v>
      </c>
      <c r="DQ7" s="115" cm="1">
        <f t="array" ref="DQ7">_xll.EQNXTDZ($A$1,$B7,DQ$1)</f>
        <v>153.86000000000001</v>
      </c>
      <c r="DR7" s="115" cm="1">
        <f t="array" ref="DR7">_xll.EQNXTDZ($A$1,$B7,DR$1)</f>
        <v>152.666666666667</v>
      </c>
      <c r="DS7" s="115" cm="1">
        <f t="array" ref="DS7">_xll.EQNXTDZ($A$1,$B7,DS$1)</f>
        <v>161.12</v>
      </c>
      <c r="DT7" s="115" cm="1">
        <f t="array" ref="DT7">_xll.EQNXTDZ($A$1,$B7,DT$1)</f>
        <v>182.12</v>
      </c>
      <c r="DU7" s="115" cm="1">
        <f t="array" ref="DU7">_xll.EQNXTDZ($A$1,$B7,DU$1)</f>
        <v>216.83</v>
      </c>
      <c r="DV7" s="115" cm="1">
        <f t="array" ref="DV7">_xll.EQNXTDZ($A$1,$B7,DV$1)</f>
        <v>238.94</v>
      </c>
      <c r="DW7" s="115" cm="1">
        <f t="array" ref="DW7">_xll.EQNXTDZ($A$1,$B7,DW$1)</f>
        <v>231</v>
      </c>
      <c r="DX7" s="115" cm="1">
        <f t="array" ref="DX7">_xll.EQNXTDZ($A$1,$B7,DX$1)</f>
        <v>264.8</v>
      </c>
      <c r="DY7" s="115" cm="1">
        <f t="array" ref="DY7">_xll.EQNXTDZ($A$1,$B7,DY$1)</f>
        <v>286.49</v>
      </c>
      <c r="DZ7" s="115" cm="1">
        <f t="array" ref="DZ7">_xll.EQNXTDZ($A$1,$B7,DZ$1)</f>
        <v>271.5</v>
      </c>
      <c r="EA7" s="115" cm="1">
        <f t="array" ref="EA7">_xll.EQNXTDZ($A$1,$B7,EA$1)</f>
        <v>270.2</v>
      </c>
      <c r="EB7" s="115" cm="1">
        <f t="array" ref="EB7">_xll.EQNXTDZ($A$1,$B7,EB$1)</f>
        <v>278.99</v>
      </c>
      <c r="EC7" s="115" cm="1">
        <f t="array" ref="EC7">_xll.EQNXTDZ($A$1,$B7,EC$1)</f>
        <v>294.8</v>
      </c>
      <c r="ED7" s="115" cm="1">
        <f t="array" ref="ED7">_xll.EQNXTDZ($A$1,$B7,ED$1)</f>
        <v>349.4</v>
      </c>
      <c r="EE7" s="115" cm="1">
        <f t="array" ref="EE7">_xll.EQNXTDZ($A$1,$B7,EE$1)</f>
        <v>348.11</v>
      </c>
      <c r="EF7" s="115" cm="1">
        <f t="array" ref="EF7">_xll.EQNXTDZ($A$1,$B7,EF$1)</f>
        <v>339.6</v>
      </c>
      <c r="EG7" s="115" cm="1">
        <f t="array" ref="EG7">_xll.EQNXTDZ($A$1,$B7,EG$1)</f>
        <v>373.86</v>
      </c>
      <c r="EH7" s="115" cm="1">
        <f t="array" ref="EH7">_xll.EQNXTDZ($A$1,$B7,EH$1)</f>
        <v>391.6</v>
      </c>
      <c r="EI7" s="115" cm="1">
        <f t="array" ref="EI7">_xll.EQNXTDZ($A$1,$B7,EI$1)</f>
        <v>380.4</v>
      </c>
      <c r="EJ7" s="115" cm="1">
        <f t="array" ref="EJ7">_xll.EQNXTDZ($A$1,$B7,EJ$1)</f>
        <v>451.88</v>
      </c>
      <c r="EK7" s="115" cm="1">
        <f t="array" ref="EK7">_xll.EQNXTDZ($A$1,$B7,EK$1)</f>
        <v>552</v>
      </c>
      <c r="EL7" s="115" cm="1">
        <f t="array" ref="EL7">_xll.EQNXTDZ($A$1,$B7,EL$1)</f>
        <v>523.98</v>
      </c>
      <c r="EM7" s="115" cm="1">
        <f t="array" ref="EM7">_xll.EQNXTDZ($A$1,$B7,EM$1)</f>
        <v>624.78</v>
      </c>
      <c r="EN7" s="115" cm="1">
        <f t="array" ref="EN7">_xll.EQNXTDZ($A$1,$B7,EN$1)</f>
        <v>598</v>
      </c>
      <c r="EO7" s="115" cm="1">
        <f t="array" ref="EO7">_xll.EQNXTDZ($A$1,$B7,EO$1)</f>
        <v>617.98</v>
      </c>
      <c r="EP7" s="115" cm="1">
        <f t="array" ref="EP7">_xll.EQNXTDZ($A$1,$B7,EP$1)</f>
        <v>623.6</v>
      </c>
      <c r="EQ7" s="115" cm="1">
        <f t="array" ref="EQ7">_xll.EQNXTDZ($A$1,$B7,EQ$1)</f>
        <v>668.8</v>
      </c>
      <c r="ER7" s="115" cm="1">
        <f t="array" ref="ER7">_xll.EQNXTDZ($A$1,$B7,ER$1)</f>
        <v>681.12</v>
      </c>
      <c r="ES7" s="115" cm="1">
        <f t="array" ref="ES7">_xll.EQNXTDZ($A$1,$B7,ES$1)</f>
        <v>643.78</v>
      </c>
      <c r="ET7" s="115" cm="1">
        <f t="array" ref="ET7">_xll.EQNXTDZ($A$1,$B7,ET$1)</f>
        <v>668</v>
      </c>
      <c r="EU7" s="115" cm="1">
        <f t="array" ref="EU7">_xll.EQNXTDZ($A$1,$B7,EU$1)</f>
        <v>631.20000000000005</v>
      </c>
      <c r="EV7" s="115" cm="1">
        <f t="array" ref="EV7">_xll.EQNXTDZ($A$1,$B7,EV$1)</f>
        <v>639.6</v>
      </c>
      <c r="EW7" s="115" cm="1">
        <f t="array" ref="EW7">_xll.EQNXTDZ($A$1,$B7,EW$1)</f>
        <v>662</v>
      </c>
      <c r="EX7" s="115" cm="1">
        <f t="array" ref="EX7">_xll.EQNXTDZ($A$1,$B7,EX$1)</f>
        <v>663.6</v>
      </c>
      <c r="EY7" s="115" cm="1">
        <f t="array" ref="EY7">_xll.EQNXTDZ($A$1,$B7,EY$1)</f>
        <v>592.95000000000005</v>
      </c>
      <c r="EZ7" s="115" cm="1">
        <f t="array" ref="EZ7">_xll.EQNXTDZ($A$1,$B7,EZ$1)</f>
        <v>558.6</v>
      </c>
      <c r="FA7" s="115" cm="1">
        <f t="array" ref="FA7">_xll.EQNXTDZ($A$1,$B7,FA$1)</f>
        <v>568.5</v>
      </c>
      <c r="FB7" s="115" cm="1">
        <f t="array" ref="FB7">_xll.EQNXTDZ($A$1,$B7,FB$1)</f>
        <v>543.70000000000005</v>
      </c>
      <c r="FC7" s="115" cm="1">
        <f t="array" ref="FC7">_xll.EQNXTDZ($A$1,$B7,FC$1)</f>
        <v>484.8</v>
      </c>
      <c r="FD7" s="115" cm="1">
        <f t="array" ref="FD7">_xll.EQNXTDZ($A$1,$B7,FD$1)</f>
        <v>534.20000000000005</v>
      </c>
      <c r="FE7" s="115" cm="1">
        <f t="array" ref="FE7">_xll.EQNXTDZ($A$1,$B7,FE$1)</f>
        <v>524.54999999999995</v>
      </c>
      <c r="FF7" s="115" cm="1">
        <f t="array" ref="FF7">_xll.EQNXTDZ($A$1,$B7,FF$1)</f>
        <v>513.65</v>
      </c>
      <c r="FG7" s="115" cm="1">
        <f t="array" ref="FG7">_xll.EQNXTDZ($A$1,$B7,FG$1)</f>
        <v>501.7</v>
      </c>
      <c r="FH7" s="115" cm="1">
        <f t="array" ref="FH7">_xll.EQNXTDZ($A$1,$B7,FH$1)</f>
        <v>487</v>
      </c>
      <c r="FI7" s="115" cm="1">
        <f t="array" ref="FI7">_xll.EQNXTDZ($A$1,$B7,FI$1)</f>
        <v>494.35</v>
      </c>
      <c r="FJ7" s="115" cm="1">
        <f t="array" ref="FJ7">_xll.EQNXTDZ($A$1,$B7,FJ$1)</f>
        <v>511.65</v>
      </c>
      <c r="FK7" s="115" cm="1">
        <f t="array" ref="FK7">_xll.EQNXTDZ($A$1,$B7,FK$1)</f>
        <v>492.15</v>
      </c>
      <c r="FL7" s="115" cm="1">
        <f t="array" ref="FL7">_xll.EQNXTDZ($A$1,$B7,FL$1)</f>
        <v>455.75</v>
      </c>
      <c r="FM7" s="115" cm="1">
        <f t="array" ref="FM7">_xll.EQNXTDZ($A$1,$B7,FM$1)</f>
        <v>529.4</v>
      </c>
      <c r="FN7" s="115" cm="1">
        <f t="array" ref="FN7">_xll.EQNXTDZ($A$1,$B7,FN$1)</f>
        <v>0</v>
      </c>
      <c r="FO7" s="115" cm="1">
        <f t="array" ref="FO7">_xll.EQNXTDZ($A$1,$B7,FO$1)</f>
        <v>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27.955555555555598</v>
      </c>
      <c r="IH7" s="115">
        <f>+MAX(BF7:BH7)</f>
        <v>24.8888888888889</v>
      </c>
      <c r="II7" s="115">
        <f>+MAX(BI7:BK7)</f>
        <v>33.247407407407401</v>
      </c>
      <c r="IJ7" s="115">
        <f>+MAX(BL7:BN7)</f>
        <v>33.979259259259301</v>
      </c>
      <c r="IK7" s="115">
        <f>+MAX(BO7:BQ7)</f>
        <v>39.348148148148098</v>
      </c>
      <c r="IL7" s="115">
        <f>+MAX(BR7:BT7)</f>
        <v>44.965925925925902</v>
      </c>
      <c r="IM7" s="115">
        <f>+MAX(BU7:BW7)</f>
        <v>47.1111111111111</v>
      </c>
      <c r="IN7" s="115">
        <f>+MAX(BX7:BZ7)</f>
        <v>49.765925925925899</v>
      </c>
      <c r="IO7" s="115">
        <f>+MAX(CA7:CC7)</f>
        <v>50.077037037037002</v>
      </c>
      <c r="IP7" s="115">
        <f>+MAX(CD7:CF7)</f>
        <v>51.970370370370397</v>
      </c>
      <c r="IQ7" s="115">
        <f>+MAX(CG7:CI7)</f>
        <v>57.004444444444403</v>
      </c>
      <c r="IR7" s="115">
        <f>+MAX(CJ7:CL7)</f>
        <v>59.911111111111097</v>
      </c>
      <c r="IS7" s="115">
        <f>+MAX(CM7:CO7)</f>
        <v>70.133333333333297</v>
      </c>
      <c r="IT7" s="115">
        <f>+MAX(CP7:CR7)</f>
        <v>77.3333333333333</v>
      </c>
      <c r="IU7" s="115">
        <f>+MAX(CS7:CU7)</f>
        <v>65.6933333333333</v>
      </c>
      <c r="IV7" s="115">
        <f>+MAX(CV7:CX7)</f>
        <v>70.826666666666696</v>
      </c>
      <c r="IW7" s="115">
        <f>+MAX(CY7:DA7)</f>
        <v>88.866666666666703</v>
      </c>
      <c r="IX7" s="115">
        <f>+MAX(DB7:DD7)</f>
        <v>100.444444444444</v>
      </c>
      <c r="IY7" s="115">
        <f>+MAX(DE7:DG7)</f>
        <v>122.45333333333301</v>
      </c>
      <c r="IZ7" s="115">
        <f>+MAX(DH7:DJ7)</f>
        <v>126.933333333333</v>
      </c>
      <c r="JA7" s="115">
        <f>+MAX(DK7:DM7)</f>
        <v>135.46666666666701</v>
      </c>
      <c r="JB7" s="115">
        <f>+MAX(DN7:DP7)</f>
        <v>135.30666666666701</v>
      </c>
      <c r="JC7" s="115">
        <f>+MAX(DQ7:DS7)</f>
        <v>161.12</v>
      </c>
      <c r="JD7" s="115">
        <f>+MAX(DT7:DV7)</f>
        <v>238.94</v>
      </c>
      <c r="JE7" s="115">
        <f>+MAX(DW7:DY7)</f>
        <v>286.49</v>
      </c>
      <c r="JF7" s="115">
        <f>+MAX(DZ7:EB7)</f>
        <v>278.99</v>
      </c>
      <c r="JG7" s="115">
        <f>+MAX(EC7:EE7)</f>
        <v>349.4</v>
      </c>
      <c r="JH7" s="115">
        <f>+MAX(EF7:EH7)</f>
        <v>391.6</v>
      </c>
      <c r="JI7" s="115">
        <f>+MAX(EI7:EK7)</f>
        <v>552</v>
      </c>
      <c r="JJ7" s="115">
        <f>+MAX(EL7:EN7)</f>
        <v>624.78</v>
      </c>
      <c r="JK7" s="115">
        <f>MAX(EO7:EQ7)</f>
        <v>668.8</v>
      </c>
      <c r="JL7" s="115">
        <f>MAX(ER7:ET7)</f>
        <v>681.12</v>
      </c>
      <c r="JM7" s="115">
        <f>MAX(EU7:EW7)</f>
        <v>662</v>
      </c>
      <c r="JN7" s="115">
        <f>MAX(EX7:EZ7)</f>
        <v>663.6</v>
      </c>
      <c r="JO7" s="115">
        <f>MAX(FA7:FC7)</f>
        <v>568.5</v>
      </c>
      <c r="JP7" s="115">
        <f>MAX(FD7:FF7)</f>
        <v>534.20000000000005</v>
      </c>
      <c r="JQ7" s="115">
        <f>MAX(FG7:FI7)</f>
        <v>501.7</v>
      </c>
      <c r="JR7" s="115">
        <f>MAX(FJ7:FL7)</f>
        <v>511.65</v>
      </c>
      <c r="JS7" s="115">
        <f>MAX(FM7:FO7)</f>
        <v>529.4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23.288888888888899</v>
      </c>
      <c r="BE8" s="115" cm="1">
        <f t="array" ref="BE8">_xll.EQNXTDZ($A$1,$B8,BE$1)</f>
        <v>20.8</v>
      </c>
      <c r="BF8" s="115" cm="1">
        <f t="array" ref="BF8">_xll.EQNXTDZ($A$1,$B8,BF$1)</f>
        <v>22.580740740740701</v>
      </c>
      <c r="BG8" s="115" cm="1">
        <f t="array" ref="BG8">_xll.EQNXTDZ($A$1,$B8,BG$1)</f>
        <v>22.527407407407399</v>
      </c>
      <c r="BH8" s="115" cm="1">
        <f t="array" ref="BH8">_xll.EQNXTDZ($A$1,$B8,BH$1)</f>
        <v>20.148148148148099</v>
      </c>
      <c r="BI8" s="115" cm="1">
        <f t="array" ref="BI8">_xll.EQNXTDZ($A$1,$B8,BI$1)</f>
        <v>23.703703703703699</v>
      </c>
      <c r="BJ8" s="115" cm="1">
        <f t="array" ref="BJ8">_xll.EQNXTDZ($A$1,$B8,BJ$1)</f>
        <v>27.318518518518498</v>
      </c>
      <c r="BK8" s="115" cm="1">
        <f t="array" ref="BK8">_xll.EQNXTDZ($A$1,$B8,BK$1)</f>
        <v>28.817777777777799</v>
      </c>
      <c r="BL8" s="115" cm="1">
        <f t="array" ref="BL8">_xll.EQNXTDZ($A$1,$B8,BL$1)</f>
        <v>28.213333333333299</v>
      </c>
      <c r="BM8" s="115" cm="1">
        <f t="array" ref="BM8">_xll.EQNXTDZ($A$1,$B8,BM$1)</f>
        <v>29.054814814814801</v>
      </c>
      <c r="BN8" s="115" cm="1">
        <f t="array" ref="BN8">_xll.EQNXTDZ($A$1,$B8,BN$1)</f>
        <v>29.259259259259299</v>
      </c>
      <c r="BO8" s="115" cm="1">
        <f t="array" ref="BO8">_xll.EQNXTDZ($A$1,$B8,BO$1)</f>
        <v>29.096296296296298</v>
      </c>
      <c r="BP8" s="115" cm="1">
        <f t="array" ref="BP8">_xll.EQNXTDZ($A$1,$B8,BP$1)</f>
        <v>28.776296296296302</v>
      </c>
      <c r="BQ8" s="115" cm="1">
        <f t="array" ref="BQ8">_xll.EQNXTDZ($A$1,$B8,BQ$1)</f>
        <v>29.188148148148102</v>
      </c>
      <c r="BR8" s="115" cm="1">
        <f t="array" ref="BR8">_xll.EQNXTDZ($A$1,$B8,BR$1)</f>
        <v>36.977777777777803</v>
      </c>
      <c r="BS8" s="115" cm="1">
        <f t="array" ref="BS8">_xll.EQNXTDZ($A$1,$B8,BS$1)</f>
        <v>37.105185185185199</v>
      </c>
      <c r="BT8" s="115" cm="1">
        <f t="array" ref="BT8">_xll.EQNXTDZ($A$1,$B8,BT$1)</f>
        <v>34.957037037036997</v>
      </c>
      <c r="BU8" s="115" cm="1">
        <f t="array" ref="BU8">_xll.EQNXTDZ($A$1,$B8,BU$1)</f>
        <v>37.054814814814797</v>
      </c>
      <c r="BV8" s="115" cm="1">
        <f t="array" ref="BV8">_xll.EQNXTDZ($A$1,$B8,BV$1)</f>
        <v>38.7585185185185</v>
      </c>
      <c r="BW8" s="115" cm="1">
        <f t="array" ref="BW8">_xll.EQNXTDZ($A$1,$B8,BW$1)</f>
        <v>42.074074074074097</v>
      </c>
      <c r="BX8" s="115" cm="1">
        <f t="array" ref="BX8">_xll.EQNXTDZ($A$1,$B8,BX$1)</f>
        <v>39.514074074074102</v>
      </c>
      <c r="BY8" s="115" cm="1">
        <f t="array" ref="BY8">_xll.EQNXTDZ($A$1,$B8,BY$1)</f>
        <v>42.7911111111111</v>
      </c>
      <c r="BZ8" s="115" cm="1">
        <f t="array" ref="BZ8">_xll.EQNXTDZ($A$1,$B8,BZ$1)</f>
        <v>40.625185185185202</v>
      </c>
      <c r="CA8" s="115" cm="1">
        <f t="array" ref="CA8">_xll.EQNXTDZ($A$1,$B8,CA$1)</f>
        <v>42.370370370370402</v>
      </c>
      <c r="CB8" s="115" cm="1">
        <f t="array" ref="CB8">_xll.EQNXTDZ($A$1,$B8,CB$1)</f>
        <v>43.579259259259302</v>
      </c>
      <c r="CC8" s="115" cm="1">
        <f t="array" ref="CC8">_xll.EQNXTDZ($A$1,$B8,CC$1)</f>
        <v>40.462222222222202</v>
      </c>
      <c r="CD8" s="115" cm="1">
        <f t="array" ref="CD8">_xll.EQNXTDZ($A$1,$B8,CD$1)</f>
        <v>44.805925925925898</v>
      </c>
      <c r="CE8" s="115" cm="1">
        <f t="array" ref="CE8">_xll.EQNXTDZ($A$1,$B8,CE$1)</f>
        <v>43.558518518518497</v>
      </c>
      <c r="CF8" s="115" cm="1">
        <f t="array" ref="CF8">_xll.EQNXTDZ($A$1,$B8,CF$1)</f>
        <v>47.081481481481497</v>
      </c>
      <c r="CG8" s="115" cm="1">
        <f t="array" ref="CG8">_xll.EQNXTDZ($A$1,$B8,CG$1)</f>
        <v>48.151111111111099</v>
      </c>
      <c r="CH8" s="115" cm="1">
        <f t="array" ref="CH8">_xll.EQNXTDZ($A$1,$B8,CH$1)</f>
        <v>51.905185185185204</v>
      </c>
      <c r="CI8" s="115" cm="1">
        <f t="array" ref="CI8">_xll.EQNXTDZ($A$1,$B8,CI$1)</f>
        <v>46.942222222222199</v>
      </c>
      <c r="CJ8" s="115" cm="1">
        <f t="array" ref="CJ8">_xll.EQNXTDZ($A$1,$B8,CJ$1)</f>
        <v>45.890370370370398</v>
      </c>
      <c r="CK8" s="115" cm="1">
        <f t="array" ref="CK8">_xll.EQNXTDZ($A$1,$B8,CK$1)</f>
        <v>52</v>
      </c>
      <c r="CL8" s="115" cm="1">
        <f t="array" ref="CL8">_xll.EQNXTDZ($A$1,$B8,CL$1)</f>
        <v>51.12</v>
      </c>
      <c r="CM8" s="115" cm="1">
        <f t="array" ref="CM8">_xll.EQNXTDZ($A$1,$B8,CM$1)</f>
        <v>52.373333333333299</v>
      </c>
      <c r="CN8" s="115" cm="1">
        <f t="array" ref="CN8">_xll.EQNXTDZ($A$1,$B8,CN$1)</f>
        <v>54.6666666666667</v>
      </c>
      <c r="CO8" s="115" cm="1">
        <f t="array" ref="CO8">_xll.EQNXTDZ($A$1,$B8,CO$1)</f>
        <v>60.5422222222222</v>
      </c>
      <c r="CP8" s="115" cm="1">
        <f t="array" ref="CP8">_xll.EQNXTDZ($A$1,$B8,CP$1)</f>
        <v>60.866666666666703</v>
      </c>
      <c r="CQ8" s="115" cm="1">
        <f t="array" ref="CQ8">_xll.EQNXTDZ($A$1,$B8,CQ$1)</f>
        <v>66.688888888888897</v>
      </c>
      <c r="CR8" s="115" cm="1">
        <f t="array" ref="CR8">_xll.EQNXTDZ($A$1,$B8,CR$1)</f>
        <v>42.862222222222201</v>
      </c>
      <c r="CS8" s="115" cm="1">
        <f t="array" ref="CS8">_xll.EQNXTDZ($A$1,$B8,CS$1)</f>
        <v>44.4444444444444</v>
      </c>
      <c r="CT8" s="115" cm="1">
        <f t="array" ref="CT8">_xll.EQNXTDZ($A$1,$B8,CT$1)</f>
        <v>50.7777777777778</v>
      </c>
      <c r="CU8" s="115" cm="1">
        <f t="array" ref="CU8">_xll.EQNXTDZ($A$1,$B8,CU$1)</f>
        <v>52.088888888888903</v>
      </c>
      <c r="CV8" s="115" cm="1">
        <f t="array" ref="CV8">_xll.EQNXTDZ($A$1,$B8,CV$1)</f>
        <v>58.786666666666697</v>
      </c>
      <c r="CW8" s="115" cm="1">
        <f t="array" ref="CW8">_xll.EQNXTDZ($A$1,$B8,CW$1)</f>
        <v>60.4444444444444</v>
      </c>
      <c r="CX8" s="115" cm="1">
        <f t="array" ref="CX8">_xll.EQNXTDZ($A$1,$B8,CX$1)</f>
        <v>59.177777777777798</v>
      </c>
      <c r="CY8" s="115" cm="1">
        <f t="array" ref="CY8">_xll.EQNXTDZ($A$1,$B8,CY$1)</f>
        <v>57.453333333333298</v>
      </c>
      <c r="CZ8" s="115" cm="1">
        <f t="array" ref="CZ8">_xll.EQNXTDZ($A$1,$B8,CZ$1)</f>
        <v>58.213333333333303</v>
      </c>
      <c r="DA8" s="115" cm="1">
        <f t="array" ref="DA8">_xll.EQNXTDZ($A$1,$B8,DA$1)</f>
        <v>73.053333333333299</v>
      </c>
      <c r="DB8" s="115" cm="1">
        <f t="array" ref="DB8">_xll.EQNXTDZ($A$1,$B8,DB$1)</f>
        <v>75.915555555555599</v>
      </c>
      <c r="DC8" s="115" cm="1">
        <f t="array" ref="DC8">_xll.EQNXTDZ($A$1,$B8,DC$1)</f>
        <v>76.977777777777803</v>
      </c>
      <c r="DD8" s="115" cm="1">
        <f t="array" ref="DD8">_xll.EQNXTDZ($A$1,$B8,DD$1)</f>
        <v>85.155555555555594</v>
      </c>
      <c r="DE8" s="115" cm="1">
        <f t="array" ref="DE8">_xll.EQNXTDZ($A$1,$B8,DE$1)</f>
        <v>77.64</v>
      </c>
      <c r="DF8" s="115" cm="1">
        <f t="array" ref="DF8">_xll.EQNXTDZ($A$1,$B8,DF$1)</f>
        <v>85.448888888888902</v>
      </c>
      <c r="DG8" s="115" cm="1">
        <f t="array" ref="DG8">_xll.EQNXTDZ($A$1,$B8,DG$1)</f>
        <v>88.977777777777803</v>
      </c>
      <c r="DH8" s="115" cm="1">
        <f t="array" ref="DH8">_xll.EQNXTDZ($A$1,$B8,DH$1)</f>
        <v>94.533333333333303</v>
      </c>
      <c r="DI8" s="115" cm="1">
        <f t="array" ref="DI8">_xll.EQNXTDZ($A$1,$B8,DI$1)</f>
        <v>96.086666666666702</v>
      </c>
      <c r="DJ8" s="115" cm="1">
        <f t="array" ref="DJ8">_xll.EQNXTDZ($A$1,$B8,DJ$1)</f>
        <v>111.073333333333</v>
      </c>
      <c r="DK8" s="115" cm="1">
        <f t="array" ref="DK8">_xll.EQNXTDZ($A$1,$B8,DK$1)</f>
        <v>107.84</v>
      </c>
      <c r="DL8" s="115" cm="1">
        <f t="array" ref="DL8">_xll.EQNXTDZ($A$1,$B8,DL$1)</f>
        <v>112.45333333333301</v>
      </c>
      <c r="DM8" s="115" cm="1">
        <f t="array" ref="DM8">_xll.EQNXTDZ($A$1,$B8,DM$1)</f>
        <v>108.973333333333</v>
      </c>
      <c r="DN8" s="115" cm="1">
        <f t="array" ref="DN8">_xll.EQNXTDZ($A$1,$B8,DN$1)</f>
        <v>111.413333333333</v>
      </c>
      <c r="DO8" s="115" cm="1">
        <f t="array" ref="DO8">_xll.EQNXTDZ($A$1,$B8,DO$1)</f>
        <v>117.286666666667</v>
      </c>
      <c r="DP8" s="115" cm="1">
        <f t="array" ref="DP8">_xll.EQNXTDZ($A$1,$B8,DP$1)</f>
        <v>116.72</v>
      </c>
      <c r="DQ8" s="115" cm="1">
        <f t="array" ref="DQ8">_xll.EQNXTDZ($A$1,$B8,DQ$1)</f>
        <v>124.23333333333299</v>
      </c>
      <c r="DR8" s="115" cm="1">
        <f t="array" ref="DR8">_xll.EQNXTDZ($A$1,$B8,DR$1)</f>
        <v>137.333333333333</v>
      </c>
      <c r="DS8" s="115" cm="1">
        <f t="array" ref="DS8">_xll.EQNXTDZ($A$1,$B8,DS$1)</f>
        <v>140.26666666666699</v>
      </c>
      <c r="DT8" s="115" cm="1">
        <f t="array" ref="DT8">_xll.EQNXTDZ($A$1,$B8,DT$1)</f>
        <v>156.11000000000001</v>
      </c>
      <c r="DU8" s="115" cm="1">
        <f t="array" ref="DU8">_xll.EQNXTDZ($A$1,$B8,DU$1)</f>
        <v>178</v>
      </c>
      <c r="DV8" s="115" cm="1">
        <f t="array" ref="DV8">_xll.EQNXTDZ($A$1,$B8,DV$1)</f>
        <v>201.5</v>
      </c>
      <c r="DW8" s="115" cm="1">
        <f t="array" ref="DW8">_xll.EQNXTDZ($A$1,$B8,DW$1)</f>
        <v>193.02</v>
      </c>
      <c r="DX8" s="115" cm="1">
        <f t="array" ref="DX8">_xll.EQNXTDZ($A$1,$B8,DX$1)</f>
        <v>210.48</v>
      </c>
      <c r="DY8" s="115" cm="1">
        <f t="array" ref="DY8">_xll.EQNXTDZ($A$1,$B8,DY$1)</f>
        <v>248.21</v>
      </c>
      <c r="DZ8" s="115" cm="1">
        <f t="array" ref="DZ8">_xll.EQNXTDZ($A$1,$B8,DZ$1)</f>
        <v>224.53</v>
      </c>
      <c r="EA8" s="115" cm="1">
        <f t="array" ref="EA8">_xll.EQNXTDZ($A$1,$B8,EA$1)</f>
        <v>220</v>
      </c>
      <c r="EB8" s="115" cm="1">
        <f t="array" ref="EB8">_xll.EQNXTDZ($A$1,$B8,EB$1)</f>
        <v>253.37</v>
      </c>
      <c r="EC8" s="115" cm="1">
        <f t="array" ref="EC8">_xll.EQNXTDZ($A$1,$B8,EC$1)</f>
        <v>275</v>
      </c>
      <c r="ED8" s="115" cm="1">
        <f t="array" ref="ED8">_xll.EQNXTDZ($A$1,$B8,ED$1)</f>
        <v>280</v>
      </c>
      <c r="EE8" s="115" cm="1">
        <f t="array" ref="EE8">_xll.EQNXTDZ($A$1,$B8,EE$1)</f>
        <v>302</v>
      </c>
      <c r="EF8" s="115" cm="1">
        <f t="array" ref="EF8">_xll.EQNXTDZ($A$1,$B8,EF$1)</f>
        <v>313.95999999999998</v>
      </c>
      <c r="EG8" s="115" cm="1">
        <f t="array" ref="EG8">_xll.EQNXTDZ($A$1,$B8,EG$1)</f>
        <v>319.58</v>
      </c>
      <c r="EH8" s="115" cm="1">
        <f t="array" ref="EH8">_xll.EQNXTDZ($A$1,$B8,EH$1)</f>
        <v>356.72</v>
      </c>
      <c r="EI8" s="115" cm="1">
        <f t="array" ref="EI8">_xll.EQNXTDZ($A$1,$B8,EI$1)</f>
        <v>331.26</v>
      </c>
      <c r="EJ8" s="115" cm="1">
        <f t="array" ref="EJ8">_xll.EQNXTDZ($A$1,$B8,EJ$1)</f>
        <v>364.48</v>
      </c>
      <c r="EK8" s="115" cm="1">
        <f t="array" ref="EK8">_xll.EQNXTDZ($A$1,$B8,EK$1)</f>
        <v>422.2</v>
      </c>
      <c r="EL8" s="115" cm="1">
        <f t="array" ref="EL8">_xll.EQNXTDZ($A$1,$B8,EL$1)</f>
        <v>478.56</v>
      </c>
      <c r="EM8" s="115" cm="1">
        <f t="array" ref="EM8">_xll.EQNXTDZ($A$1,$B8,EM$1)</f>
        <v>504</v>
      </c>
      <c r="EN8" s="115" cm="1">
        <f t="array" ref="EN8">_xll.EQNXTDZ($A$1,$B8,EN$1)</f>
        <v>541.67999999999995</v>
      </c>
      <c r="EO8" s="115" cm="1">
        <f t="array" ref="EO8">_xll.EQNXTDZ($A$1,$B8,EO$1)</f>
        <v>539.88</v>
      </c>
      <c r="EP8" s="115" cm="1">
        <f t="array" ref="EP8">_xll.EQNXTDZ($A$1,$B8,EP$1)</f>
        <v>556.1</v>
      </c>
      <c r="EQ8" s="115" cm="1">
        <f t="array" ref="EQ8">_xll.EQNXTDZ($A$1,$B8,EQ$1)</f>
        <v>528.02</v>
      </c>
      <c r="ER8" s="115" cm="1">
        <f t="array" ref="ER8">_xll.EQNXTDZ($A$1,$B8,ER$1)</f>
        <v>603.1</v>
      </c>
      <c r="ES8" s="115" cm="1">
        <f t="array" ref="ES8">_xll.EQNXTDZ($A$1,$B8,ES$1)</f>
        <v>565</v>
      </c>
      <c r="ET8" s="115" cm="1">
        <f t="array" ref="ET8">_xll.EQNXTDZ($A$1,$B8,ET$1)</f>
        <v>549.22</v>
      </c>
      <c r="EU8" s="115" cm="1">
        <f t="array" ref="EU8">_xll.EQNXTDZ($A$1,$B8,EU$1)</f>
        <v>536.85</v>
      </c>
      <c r="EV8" s="115" cm="1">
        <f t="array" ref="EV8">_xll.EQNXTDZ($A$1,$B8,EV$1)</f>
        <v>565</v>
      </c>
      <c r="EW8" s="115" cm="1">
        <f t="array" ref="EW8">_xll.EQNXTDZ($A$1,$B8,EW$1)</f>
        <v>598.79999999999995</v>
      </c>
      <c r="EX8" s="115" cm="1">
        <f t="array" ref="EX8">_xll.EQNXTDZ($A$1,$B8,EX$1)</f>
        <v>516.95000000000005</v>
      </c>
      <c r="EY8" s="115" cm="1">
        <f t="array" ref="EY8">_xll.EQNXTDZ($A$1,$B8,EY$1)</f>
        <v>429.65</v>
      </c>
      <c r="EZ8" s="115" cm="1">
        <f t="array" ref="EZ8">_xll.EQNXTDZ($A$1,$B8,EZ$1)</f>
        <v>419.55</v>
      </c>
      <c r="FA8" s="115" cm="1">
        <f t="array" ref="FA8">_xll.EQNXTDZ($A$1,$B8,FA$1)</f>
        <v>482.35</v>
      </c>
      <c r="FB8" s="115" cm="1">
        <f t="array" ref="FB8">_xll.EQNXTDZ($A$1,$B8,FB$1)</f>
        <v>467.4</v>
      </c>
      <c r="FC8" s="115" cm="1">
        <f t="array" ref="FC8">_xll.EQNXTDZ($A$1,$B8,FC$1)</f>
        <v>446.15</v>
      </c>
      <c r="FD8" s="115" cm="1">
        <f t="array" ref="FD8">_xll.EQNXTDZ($A$1,$B8,FD$1)</f>
        <v>449.3</v>
      </c>
      <c r="FE8" s="115" cm="1">
        <f t="array" ref="FE8">_xll.EQNXTDZ($A$1,$B8,FE$1)</f>
        <v>483.9</v>
      </c>
      <c r="FF8" s="115" cm="1">
        <f t="array" ref="FF8">_xll.EQNXTDZ($A$1,$B8,FF$1)</f>
        <v>441.05</v>
      </c>
      <c r="FG8" s="115" cm="1">
        <f t="array" ref="FG8">_xll.EQNXTDZ($A$1,$B8,FG$1)</f>
        <v>431.65</v>
      </c>
      <c r="FH8" s="115" cm="1">
        <f t="array" ref="FH8">_xll.EQNXTDZ($A$1,$B8,FH$1)</f>
        <v>442.15</v>
      </c>
      <c r="FI8" s="115" cm="1">
        <f t="array" ref="FI8">_xll.EQNXTDZ($A$1,$B8,FI$1)</f>
        <v>457.4</v>
      </c>
      <c r="FJ8" s="115" cm="1">
        <f t="array" ref="FJ8">_xll.EQNXTDZ($A$1,$B8,FJ$1)</f>
        <v>451.45</v>
      </c>
      <c r="FK8" s="115" cm="1">
        <f t="array" ref="FK8">_xll.EQNXTDZ($A$1,$B8,FK$1)</f>
        <v>432.2</v>
      </c>
      <c r="FL8" s="115" cm="1">
        <f t="array" ref="FL8">_xll.EQNXTDZ($A$1,$B8,FL$1)</f>
        <v>381</v>
      </c>
      <c r="FM8" s="115" cm="1">
        <f t="array" ref="FM8">_xll.EQNXTDZ($A$1,$B8,FM$1)</f>
        <v>389.05</v>
      </c>
      <c r="FN8" s="115" cm="1">
        <f t="array" ref="FN8">_xll.EQNXTDZ($A$1,$B8,FN$1)</f>
        <v>0</v>
      </c>
      <c r="FO8" s="115" cm="1">
        <f t="array" ref="FO8">_xll.EQNXTDZ($A$1,$B8,FO$1)</f>
        <v>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20.148148148148099</v>
      </c>
      <c r="II8" s="115">
        <f>+MIN(BI8:BK8)</f>
        <v>23.703703703703699</v>
      </c>
      <c r="IJ8" s="115">
        <f>+MIN(BL8:BN8)</f>
        <v>28.213333333333299</v>
      </c>
      <c r="IK8" s="115">
        <f>+MIN(BO8:BQ8)</f>
        <v>28.776296296296302</v>
      </c>
      <c r="IL8" s="115">
        <f>+MIN(BR8:BT8)</f>
        <v>34.957037037036997</v>
      </c>
      <c r="IM8" s="115">
        <f>+MIN(BU8:BW8)</f>
        <v>37.054814814814797</v>
      </c>
      <c r="IN8" s="115">
        <f>+MIN(BX8:BZ8)</f>
        <v>39.514074074074102</v>
      </c>
      <c r="IO8" s="115">
        <f>+MIN(CA8:CC8)</f>
        <v>40.462222222222202</v>
      </c>
      <c r="IP8" s="115">
        <f>+MIN(CD8:CF8)</f>
        <v>43.558518518518497</v>
      </c>
      <c r="IQ8" s="115">
        <f>+MIN(CG8:CI8)</f>
        <v>46.942222222222199</v>
      </c>
      <c r="IR8" s="115">
        <f>+MIN(CJ8:CL8)</f>
        <v>45.890370370370398</v>
      </c>
      <c r="IS8" s="115">
        <f>+MIN(CM8:CO8)</f>
        <v>52.373333333333299</v>
      </c>
      <c r="IT8" s="115">
        <f>+MIN(CP8:CR8)</f>
        <v>42.862222222222201</v>
      </c>
      <c r="IU8" s="115">
        <f>+MIN(CS8:CU8)</f>
        <v>44.4444444444444</v>
      </c>
      <c r="IV8" s="115">
        <f>+MIN(CV8:CX8)</f>
        <v>58.786666666666697</v>
      </c>
      <c r="IW8" s="115">
        <f>+MIN(CY8:DA8)</f>
        <v>57.453333333333298</v>
      </c>
      <c r="IX8" s="115">
        <f>+MIN(DB8:DD8)</f>
        <v>75.915555555555599</v>
      </c>
      <c r="IY8" s="115">
        <f>+MIN(DE8:DG8)</f>
        <v>77.64</v>
      </c>
      <c r="IZ8" s="115">
        <f>+MIN(DH8:DJ8)</f>
        <v>94.533333333333303</v>
      </c>
      <c r="JA8" s="115">
        <f>+MIN(DK8:DM8)</f>
        <v>107.84</v>
      </c>
      <c r="JB8" s="115">
        <f>+MIN(DN8:DP8)</f>
        <v>111.413333333333</v>
      </c>
      <c r="JC8" s="115">
        <f>+MIN(DQ8:DS8)</f>
        <v>124.23333333333299</v>
      </c>
      <c r="JD8" s="115">
        <f>+MIN(DT8:DV8)</f>
        <v>156.11000000000001</v>
      </c>
      <c r="JE8" s="115">
        <f>+MIN(DW8:DY8)</f>
        <v>193.02</v>
      </c>
      <c r="JF8" s="115">
        <f>+MIN(DZ8:EB8)</f>
        <v>220</v>
      </c>
      <c r="JG8" s="115">
        <f>+MIN(EC8:EE8)</f>
        <v>275</v>
      </c>
      <c r="JH8" s="115">
        <f>+MIN(EF8:EH8)</f>
        <v>313.95999999999998</v>
      </c>
      <c r="JI8" s="115">
        <f>+MIN(EI8:EK8)</f>
        <v>331.26</v>
      </c>
      <c r="JJ8" s="115">
        <f>+MIN(EL8:EN8)</f>
        <v>478.56</v>
      </c>
      <c r="JK8" s="115">
        <f>MIN(EO8:EQ8)</f>
        <v>528.02</v>
      </c>
      <c r="JL8" s="115">
        <f>MIN(ER8:ET8)</f>
        <v>549.22</v>
      </c>
      <c r="JM8" s="115">
        <f>MIN(EU8:EW8)</f>
        <v>536.85</v>
      </c>
      <c r="JN8" s="115">
        <f>MIN(EX8:EZ8)</f>
        <v>419.55</v>
      </c>
      <c r="JO8" s="115">
        <f>MIN(FA8:FC8)</f>
        <v>446.15</v>
      </c>
      <c r="JP8" s="115">
        <f>MIN(FD8:FF8)</f>
        <v>441.05</v>
      </c>
      <c r="JQ8" s="115">
        <f>MIN(FG8:FI8)</f>
        <v>431.65</v>
      </c>
      <c r="JR8" s="115">
        <f>MIN(FJ8:FL8)</f>
        <v>381</v>
      </c>
      <c r="JS8" s="115">
        <f>MIN(FM8:FO8)</f>
        <v>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26.0355555555556</v>
      </c>
      <c r="BE9" s="115" cm="1">
        <f t="array" ref="BE9">_xll.EQNXTDZ($A$1,$B9,BE$1)</f>
        <v>22.551111111111101</v>
      </c>
      <c r="BF9" s="115" cm="1">
        <f t="array" ref="BF9">_xll.EQNXTDZ($A$1,$B9,BF$1)</f>
        <v>23.561481481481501</v>
      </c>
      <c r="BG9" s="115" cm="1">
        <f t="array" ref="BG9">_xll.EQNXTDZ($A$1,$B9,BG$1)</f>
        <v>23.128888888888898</v>
      </c>
      <c r="BH9" s="115" cm="1">
        <f t="array" ref="BH9">_xll.EQNXTDZ($A$1,$B9,BH$1)</f>
        <v>23.997037037037</v>
      </c>
      <c r="BI9" s="115" cm="1">
        <f t="array" ref="BI9">_xll.EQNXTDZ($A$1,$B9,BI$1)</f>
        <v>27.8725925925926</v>
      </c>
      <c r="BJ9" s="115" cm="1">
        <f t="array" ref="BJ9">_xll.EQNXTDZ($A$1,$B9,BJ$1)</f>
        <v>29.52</v>
      </c>
      <c r="BK9" s="115" cm="1">
        <f t="array" ref="BK9">_xll.EQNXTDZ($A$1,$B9,BK$1)</f>
        <v>31.694814814814801</v>
      </c>
      <c r="BL9" s="115" cm="1">
        <f t="array" ref="BL9">_xll.EQNXTDZ($A$1,$B9,BL$1)</f>
        <v>29.522962962963</v>
      </c>
      <c r="BM9" s="115" cm="1">
        <f t="array" ref="BM9">_xll.EQNXTDZ($A$1,$B9,BM$1)</f>
        <v>31.031111111111102</v>
      </c>
      <c r="BN9" s="115" cm="1">
        <f t="array" ref="BN9">_xll.EQNXTDZ($A$1,$B9,BN$1)</f>
        <v>30.2548148148148</v>
      </c>
      <c r="BO9" s="115" cm="1">
        <f t="array" ref="BO9">_xll.EQNXTDZ($A$1,$B9,BO$1)</f>
        <v>29.819259259259301</v>
      </c>
      <c r="BP9" s="115" cm="1">
        <f t="array" ref="BP9">_xll.EQNXTDZ($A$1,$B9,BP$1)</f>
        <v>30.118518518518499</v>
      </c>
      <c r="BQ9" s="115" cm="1">
        <f t="array" ref="BQ9">_xll.EQNXTDZ($A$1,$B9,BQ$1)</f>
        <v>38.711111111111101</v>
      </c>
      <c r="BR9" s="115" cm="1">
        <f t="array" ref="BR9">_xll.EQNXTDZ($A$1,$B9,BR$1)</f>
        <v>40.930370370370397</v>
      </c>
      <c r="BS9" s="115" cm="1">
        <f t="array" ref="BS9">_xll.EQNXTDZ($A$1,$B9,BS$1)</f>
        <v>38.465185185185199</v>
      </c>
      <c r="BT9" s="115" cm="1">
        <f t="array" ref="BT9">_xll.EQNXTDZ($A$1,$B9,BT$1)</f>
        <v>37.297777777777803</v>
      </c>
      <c r="BU9" s="115" cm="1">
        <f t="array" ref="BU9">_xll.EQNXTDZ($A$1,$B9,BU$1)</f>
        <v>38.7585185185185</v>
      </c>
      <c r="BV9" s="115" cm="1">
        <f t="array" ref="BV9">_xll.EQNXTDZ($A$1,$B9,BV$1)</f>
        <v>45.229629629629599</v>
      </c>
      <c r="BW9" s="115" cm="1">
        <f t="array" ref="BW9">_xll.EQNXTDZ($A$1,$B9,BW$1)</f>
        <v>44.657777777777802</v>
      </c>
      <c r="BX9" s="115" cm="1">
        <f t="array" ref="BX9">_xll.EQNXTDZ($A$1,$B9,BX$1)</f>
        <v>44.598518518518503</v>
      </c>
      <c r="BY9" s="115" cm="1">
        <f t="array" ref="BY9">_xll.EQNXTDZ($A$1,$B9,BY$1)</f>
        <v>48.551111111111098</v>
      </c>
      <c r="BZ9" s="115" cm="1">
        <f t="array" ref="BZ9">_xll.EQNXTDZ($A$1,$B9,BZ$1)</f>
        <v>43.783703703703701</v>
      </c>
      <c r="CA9" s="115" cm="1">
        <f t="array" ref="CA9">_xll.EQNXTDZ($A$1,$B9,CA$1)</f>
        <v>48.334814814814798</v>
      </c>
      <c r="CB9" s="115" cm="1">
        <f t="array" ref="CB9">_xll.EQNXTDZ($A$1,$B9,CB$1)</f>
        <v>45.958518518518503</v>
      </c>
      <c r="CC9" s="115" cm="1">
        <f t="array" ref="CC9">_xll.EQNXTDZ($A$1,$B9,CC$1)</f>
        <v>46.482962962963001</v>
      </c>
      <c r="CD9" s="115" cm="1">
        <f t="array" ref="CD9">_xll.EQNXTDZ($A$1,$B9,CD$1)</f>
        <v>48.6340740740741</v>
      </c>
      <c r="CE9" s="115" cm="1">
        <f t="array" ref="CE9">_xll.EQNXTDZ($A$1,$B9,CE$1)</f>
        <v>47.946666666666701</v>
      </c>
      <c r="CF9" s="115" cm="1">
        <f t="array" ref="CF9">_xll.EQNXTDZ($A$1,$B9,CF$1)</f>
        <v>51.357037037037003</v>
      </c>
      <c r="CG9" s="115" cm="1">
        <f t="array" ref="CG9">_xll.EQNXTDZ($A$1,$B9,CG$1)</f>
        <v>51.896296296296299</v>
      </c>
      <c r="CH9" s="115" cm="1">
        <f t="array" ref="CH9">_xll.EQNXTDZ($A$1,$B9,CH$1)</f>
        <v>55.288888888888899</v>
      </c>
      <c r="CI9" s="115" cm="1">
        <f t="array" ref="CI9">_xll.EQNXTDZ($A$1,$B9,CI$1)</f>
        <v>56.106666666666698</v>
      </c>
      <c r="CJ9" s="115" cm="1">
        <f t="array" ref="CJ9">_xll.EQNXTDZ($A$1,$B9,CJ$1)</f>
        <v>56.7911111111111</v>
      </c>
      <c r="CK9" s="115" cm="1">
        <f t="array" ref="CK9">_xll.EQNXTDZ($A$1,$B9,CK$1)</f>
        <v>57.4444444444444</v>
      </c>
      <c r="CL9" s="115" cm="1">
        <f t="array" ref="CL9">_xll.EQNXTDZ($A$1,$B9,CL$1)</f>
        <v>55.475555555555601</v>
      </c>
      <c r="CM9" s="115" cm="1">
        <f t="array" ref="CM9">_xll.EQNXTDZ($A$1,$B9,CM$1)</f>
        <v>55.1244444444444</v>
      </c>
      <c r="CN9" s="115" cm="1">
        <f t="array" ref="CN9">_xll.EQNXTDZ($A$1,$B9,CN$1)</f>
        <v>64.284444444444404</v>
      </c>
      <c r="CO9" s="115" cm="1">
        <f t="array" ref="CO9">_xll.EQNXTDZ($A$1,$B9,CO$1)</f>
        <v>62.9866666666667</v>
      </c>
      <c r="CP9" s="115" cm="1">
        <f t="array" ref="CP9">_xll.EQNXTDZ($A$1,$B9,CP$1)</f>
        <v>68.186666666666696</v>
      </c>
      <c r="CQ9" s="115" cm="1">
        <f t="array" ref="CQ9">_xll.EQNXTDZ($A$1,$B9,CQ$1)</f>
        <v>72.275555555555599</v>
      </c>
      <c r="CR9" s="115" cm="1">
        <f t="array" ref="CR9">_xll.EQNXTDZ($A$1,$B9,CR$1)</f>
        <v>47.062222222222204</v>
      </c>
      <c r="CS9" s="115" cm="1">
        <f t="array" ref="CS9">_xll.EQNXTDZ($A$1,$B9,CS$1)</f>
        <v>59.515555555555601</v>
      </c>
      <c r="CT9" s="115" cm="1">
        <f t="array" ref="CT9">_xll.EQNXTDZ($A$1,$B9,CT$1)</f>
        <v>56.146666666666697</v>
      </c>
      <c r="CU9" s="115" cm="1">
        <f t="array" ref="CU9">_xll.EQNXTDZ($A$1,$B9,CU$1)</f>
        <v>60.528888888888901</v>
      </c>
      <c r="CV9" s="115" cm="1">
        <f t="array" ref="CV9">_xll.EQNXTDZ($A$1,$B9,CV$1)</f>
        <v>62.942222222222199</v>
      </c>
      <c r="CW9" s="115" cm="1">
        <f t="array" ref="CW9">_xll.EQNXTDZ($A$1,$B9,CW$1)</f>
        <v>65.422222222222203</v>
      </c>
      <c r="CX9" s="115" cm="1">
        <f t="array" ref="CX9">_xll.EQNXTDZ($A$1,$B9,CX$1)</f>
        <v>62.071111111111101</v>
      </c>
      <c r="CY9" s="115" cm="1">
        <f t="array" ref="CY9">_xll.EQNXTDZ($A$1,$B9,CY$1)</f>
        <v>58.213333333333303</v>
      </c>
      <c r="CZ9" s="115" cm="1">
        <f t="array" ref="CZ9">_xll.EQNXTDZ($A$1,$B9,CZ$1)</f>
        <v>77.457777777777807</v>
      </c>
      <c r="DA9" s="115" cm="1">
        <f t="array" ref="DA9">_xll.EQNXTDZ($A$1,$B9,DA$1)</f>
        <v>81.426666666666705</v>
      </c>
      <c r="DB9" s="115" cm="1">
        <f t="array" ref="DB9">_xll.EQNXTDZ($A$1,$B9,DB$1)</f>
        <v>79.875555555555593</v>
      </c>
      <c r="DC9" s="115" cm="1">
        <f t="array" ref="DC9">_xll.EQNXTDZ($A$1,$B9,DC$1)</f>
        <v>92.706666666666706</v>
      </c>
      <c r="DD9" s="115" cm="1">
        <f t="array" ref="DD9">_xll.EQNXTDZ($A$1,$B9,DD$1)</f>
        <v>89.151111111111106</v>
      </c>
      <c r="DE9" s="115" cm="1">
        <f t="array" ref="DE9">_xll.EQNXTDZ($A$1,$B9,DE$1)</f>
        <v>84.493333333333297</v>
      </c>
      <c r="DF9" s="115" cm="1">
        <f t="array" ref="DF9">_xll.EQNXTDZ($A$1,$B9,DF$1)</f>
        <v>89.915555555555599</v>
      </c>
      <c r="DG9" s="115" cm="1">
        <f t="array" ref="DG9">_xll.EQNXTDZ($A$1,$B9,DG$1)</f>
        <v>97.28</v>
      </c>
      <c r="DH9" s="115" cm="1">
        <f t="array" ref="DH9">_xll.EQNXTDZ($A$1,$B9,DH$1)</f>
        <v>101.573333333333</v>
      </c>
      <c r="DI9" s="115" cm="1">
        <f t="array" ref="DI9">_xll.EQNXTDZ($A$1,$B9,DI$1)</f>
        <v>112.926666666667</v>
      </c>
      <c r="DJ9" s="115" cm="1">
        <f t="array" ref="DJ9">_xll.EQNXTDZ($A$1,$B9,DJ$1)</f>
        <v>119.68</v>
      </c>
      <c r="DK9" s="115" cm="1">
        <f t="array" ref="DK9">_xll.EQNXTDZ($A$1,$B9,DK$1)</f>
        <v>113.246666666667</v>
      </c>
      <c r="DL9" s="115" cm="1">
        <f t="array" ref="DL9">_xll.EQNXTDZ($A$1,$B9,DL$1)</f>
        <v>118.86</v>
      </c>
      <c r="DM9" s="115" cm="1">
        <f t="array" ref="DM9">_xll.EQNXTDZ($A$1,$B9,DM$1)</f>
        <v>118.44</v>
      </c>
      <c r="DN9" s="115" cm="1">
        <f t="array" ref="DN9">_xll.EQNXTDZ($A$1,$B9,DN$1)</f>
        <v>120.646666666667</v>
      </c>
      <c r="DO9" s="115" cm="1">
        <f t="array" ref="DO9">_xll.EQNXTDZ($A$1,$B9,DO$1)</f>
        <v>126.066666666667</v>
      </c>
      <c r="DP9" s="115" cm="1">
        <f t="array" ref="DP9">_xll.EQNXTDZ($A$1,$B9,DP$1)</f>
        <v>125.506666666667</v>
      </c>
      <c r="DQ9" s="115" cm="1">
        <f t="array" ref="DQ9">_xll.EQNXTDZ($A$1,$B9,DQ$1)</f>
        <v>144.47333333333299</v>
      </c>
      <c r="DR9" s="115" cm="1">
        <f t="array" ref="DR9">_xll.EQNXTDZ($A$1,$B9,DR$1)</f>
        <v>140.86666666666699</v>
      </c>
      <c r="DS9" s="115" cm="1">
        <f t="array" ref="DS9">_xll.EQNXTDZ($A$1,$B9,DS$1)</f>
        <v>158.11000000000001</v>
      </c>
      <c r="DT9" s="115" cm="1">
        <f t="array" ref="DT9">_xll.EQNXTDZ($A$1,$B9,DT$1)</f>
        <v>176.54</v>
      </c>
      <c r="DU9" s="115" cm="1">
        <f t="array" ref="DU9">_xll.EQNXTDZ($A$1,$B9,DU$1)</f>
        <v>206.83</v>
      </c>
      <c r="DV9" s="115" cm="1">
        <f t="array" ref="DV9">_xll.EQNXTDZ($A$1,$B9,DV$1)</f>
        <v>208.84</v>
      </c>
      <c r="DW9" s="115" cm="1">
        <f t="array" ref="DW9">_xll.EQNXTDZ($A$1,$B9,DW$1)</f>
        <v>209.81</v>
      </c>
      <c r="DX9" s="115" cm="1">
        <f t="array" ref="DX9">_xll.EQNXTDZ($A$1,$B9,DX$1)</f>
        <v>249.95</v>
      </c>
      <c r="DY9" s="115" cm="1">
        <f t="array" ref="DY9">_xll.EQNXTDZ($A$1,$B9,DY$1)</f>
        <v>264.51</v>
      </c>
      <c r="DZ9" s="115" cm="1">
        <f t="array" ref="DZ9">_xll.EQNXTDZ($A$1,$B9,DZ$1)</f>
        <v>229.25</v>
      </c>
      <c r="EA9" s="115" cm="1">
        <f t="array" ref="EA9">_xll.EQNXTDZ($A$1,$B9,EA$1)</f>
        <v>260.14999999999998</v>
      </c>
      <c r="EB9" s="115" cm="1">
        <f t="array" ref="EB9">_xll.EQNXTDZ($A$1,$B9,EB$1)</f>
        <v>277.39999999999998</v>
      </c>
      <c r="EC9" s="115" cm="1">
        <f t="array" ref="EC9">_xll.EQNXTDZ($A$1,$B9,EC$1)</f>
        <v>289.04000000000002</v>
      </c>
      <c r="ED9" s="115" cm="1">
        <f t="array" ref="ED9">_xll.EQNXTDZ($A$1,$B9,ED$1)</f>
        <v>338.89</v>
      </c>
      <c r="EE9" s="115" cm="1">
        <f t="array" ref="EE9">_xll.EQNXTDZ($A$1,$B9,EE$1)</f>
        <v>321.02</v>
      </c>
      <c r="EF9" s="115" cm="1">
        <f t="array" ref="EF9">_xll.EQNXTDZ($A$1,$B9,EF$1)</f>
        <v>321.76</v>
      </c>
      <c r="EG9" s="115" cm="1">
        <f t="array" ref="EG9">_xll.EQNXTDZ($A$1,$B9,EG$1)</f>
        <v>359.8</v>
      </c>
      <c r="EH9" s="115" cm="1">
        <f t="array" ref="EH9">_xll.EQNXTDZ($A$1,$B9,EH$1)</f>
        <v>378.28</v>
      </c>
      <c r="EI9" s="115" cm="1">
        <f t="array" ref="EI9">_xll.EQNXTDZ($A$1,$B9,EI$1)</f>
        <v>363.52</v>
      </c>
      <c r="EJ9" s="115" cm="1">
        <f t="array" ref="EJ9">_xll.EQNXTDZ($A$1,$B9,EJ$1)</f>
        <v>442</v>
      </c>
      <c r="EK9" s="115" cm="1">
        <f t="array" ref="EK9">_xll.EQNXTDZ($A$1,$B9,EK$1)</f>
        <v>494.76</v>
      </c>
      <c r="EL9" s="115" cm="1">
        <f t="array" ref="EL9">_xll.EQNXTDZ($A$1,$B9,EL$1)</f>
        <v>512.16</v>
      </c>
      <c r="EM9" s="115" cm="1">
        <f t="array" ref="EM9">_xll.EQNXTDZ($A$1,$B9,EM$1)</f>
        <v>563.4</v>
      </c>
      <c r="EN9" s="115" cm="1">
        <f t="array" ref="EN9">_xll.EQNXTDZ($A$1,$B9,EN$1)</f>
        <v>559.44000000000005</v>
      </c>
      <c r="EO9" s="115" cm="1">
        <f t="array" ref="EO9">_xll.EQNXTDZ($A$1,$B9,EO$1)</f>
        <v>591.78</v>
      </c>
      <c r="EP9" s="115" cm="1">
        <f t="array" ref="EP9">_xll.EQNXTDZ($A$1,$B9,EP$1)</f>
        <v>570.72</v>
      </c>
      <c r="EQ9" s="115" cm="1">
        <f t="array" ref="EQ9">_xll.EQNXTDZ($A$1,$B9,EQ$1)</f>
        <v>651.79999999999995</v>
      </c>
      <c r="ER9" s="115" cm="1">
        <f t="array" ref="ER9">_xll.EQNXTDZ($A$1,$B9,ER$1)</f>
        <v>630.96</v>
      </c>
      <c r="ES9" s="115" cm="1">
        <f t="array" ref="ES9">_xll.EQNXTDZ($A$1,$B9,ES$1)</f>
        <v>600.36</v>
      </c>
      <c r="ET9" s="115" cm="1">
        <f t="array" ref="ET9">_xll.EQNXTDZ($A$1,$B9,ET$1)</f>
        <v>606.29999999999995</v>
      </c>
      <c r="EU9" s="115" cm="1">
        <f t="array" ref="EU9">_xll.EQNXTDZ($A$1,$B9,EU$1)</f>
        <v>597.75</v>
      </c>
      <c r="EV9" s="115" cm="1">
        <f t="array" ref="EV9">_xll.EQNXTDZ($A$1,$B9,EV$1)</f>
        <v>621.20000000000005</v>
      </c>
      <c r="EW9" s="115" cm="1">
        <f t="array" ref="EW9">_xll.EQNXTDZ($A$1,$B9,EW$1)</f>
        <v>638.5</v>
      </c>
      <c r="EX9" s="115" cm="1">
        <f t="array" ref="EX9">_xll.EQNXTDZ($A$1,$B9,EX$1)</f>
        <v>536.75</v>
      </c>
      <c r="EY9" s="115" cm="1">
        <f t="array" ref="EY9">_xll.EQNXTDZ($A$1,$B9,EY$1)</f>
        <v>436.05</v>
      </c>
      <c r="EZ9" s="115" cm="1">
        <f t="array" ref="EZ9">_xll.EQNXTDZ($A$1,$B9,EZ$1)</f>
        <v>539.65</v>
      </c>
      <c r="FA9" s="115" cm="1">
        <f t="array" ref="FA9">_xll.EQNXTDZ($A$1,$B9,FA$1)</f>
        <v>522.35</v>
      </c>
      <c r="FB9" s="115" cm="1">
        <f t="array" ref="FB9">_xll.EQNXTDZ($A$1,$B9,FB$1)</f>
        <v>475.95</v>
      </c>
      <c r="FC9" s="115" cm="1">
        <f t="array" ref="FC9">_xll.EQNXTDZ($A$1,$B9,FC$1)</f>
        <v>457.55</v>
      </c>
      <c r="FD9" s="115" cm="1">
        <f t="array" ref="FD9">_xll.EQNXTDZ($A$1,$B9,FD$1)</f>
        <v>522.6</v>
      </c>
      <c r="FE9" s="115" cm="1">
        <f t="array" ref="FE9">_xll.EQNXTDZ($A$1,$B9,FE$1)</f>
        <v>487.15</v>
      </c>
      <c r="FF9" s="115" cm="1">
        <f t="array" ref="FF9">_xll.EQNXTDZ($A$1,$B9,FF$1)</f>
        <v>443.7</v>
      </c>
      <c r="FG9" s="115" cm="1">
        <f t="array" ref="FG9">_xll.EQNXTDZ($A$1,$B9,FG$1)</f>
        <v>469.65</v>
      </c>
      <c r="FH9" s="115" cm="1">
        <f t="array" ref="FH9">_xll.EQNXTDZ($A$1,$B9,FH$1)</f>
        <v>481.55</v>
      </c>
      <c r="FI9" s="115" cm="1">
        <f t="array" ref="FI9">_xll.EQNXTDZ($A$1,$B9,FI$1)</f>
        <v>489.85</v>
      </c>
      <c r="FJ9" s="115" cm="1">
        <f t="array" ref="FJ9">_xll.EQNXTDZ($A$1,$B9,FJ$1)</f>
        <v>471.25</v>
      </c>
      <c r="FK9" s="115" cm="1">
        <f t="array" ref="FK9">_xll.EQNXTDZ($A$1,$B9,FK$1)</f>
        <v>451.4</v>
      </c>
      <c r="FL9" s="115" cm="1">
        <f t="array" ref="FL9">_xll.EQNXTDZ($A$1,$B9,FL$1)</f>
        <v>384.1</v>
      </c>
      <c r="FM9" s="115" cm="1">
        <f t="array" ref="FM9">_xll.EQNXTDZ($A$1,$B9,FM$1)</f>
        <v>518.54999999999995</v>
      </c>
      <c r="FN9" s="115" cm="1">
        <f t="array" ref="FN9">_xll.EQNXTDZ($A$1,$B9,FN$1)</f>
        <v>0</v>
      </c>
      <c r="FO9" s="115" cm="1">
        <f t="array" ref="FO9">_xll.EQNXTDZ($A$1,$B9,FO$1)</f>
        <v>0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22.551111111111101</v>
      </c>
      <c r="IH9" s="115">
        <f>+BH9</f>
        <v>23.997037037037</v>
      </c>
      <c r="II9" s="115">
        <f>+BK9</f>
        <v>31.694814814814801</v>
      </c>
      <c r="IJ9" s="115">
        <f>+BN9</f>
        <v>30.2548148148148</v>
      </c>
      <c r="IK9" s="115">
        <f>+BQ9</f>
        <v>38.711111111111101</v>
      </c>
      <c r="IL9" s="115">
        <f>+BT9</f>
        <v>37.297777777777803</v>
      </c>
      <c r="IM9" s="115">
        <f>+BW9</f>
        <v>44.657777777777802</v>
      </c>
      <c r="IN9" s="115">
        <f>+BZ9</f>
        <v>43.783703703703701</v>
      </c>
      <c r="IO9" s="115">
        <f>+CC9</f>
        <v>46.482962962963001</v>
      </c>
      <c r="IP9" s="115">
        <f>+CF9</f>
        <v>51.357037037037003</v>
      </c>
      <c r="IQ9" s="115">
        <f>+CI9</f>
        <v>56.106666666666698</v>
      </c>
      <c r="IR9" s="115">
        <f>+CL9</f>
        <v>55.475555555555601</v>
      </c>
      <c r="IS9" s="115">
        <f>+CO9</f>
        <v>62.9866666666667</v>
      </c>
      <c r="IT9" s="115">
        <f>+CR9</f>
        <v>47.062222222222204</v>
      </c>
      <c r="IU9" s="115">
        <f>+CU9</f>
        <v>60.528888888888901</v>
      </c>
      <c r="IV9" s="115">
        <f>+CX9</f>
        <v>62.071111111111101</v>
      </c>
      <c r="IW9" s="115">
        <f>+DA9</f>
        <v>81.426666666666705</v>
      </c>
      <c r="IX9" s="115">
        <f>+DD9</f>
        <v>89.151111111111106</v>
      </c>
      <c r="IY9" s="115">
        <f>+DG9</f>
        <v>97.28</v>
      </c>
      <c r="IZ9" s="115">
        <f>+DJ9</f>
        <v>119.68</v>
      </c>
      <c r="JA9" s="115">
        <f>+DM9</f>
        <v>118.44</v>
      </c>
      <c r="JB9" s="115">
        <f>+DP9</f>
        <v>125.506666666667</v>
      </c>
      <c r="JC9" s="115">
        <f>+DS9</f>
        <v>158.11000000000001</v>
      </c>
      <c r="JD9" s="115">
        <f>+DV9</f>
        <v>208.84</v>
      </c>
      <c r="JE9" s="115">
        <f>+DY9</f>
        <v>264.51</v>
      </c>
      <c r="JF9" s="115">
        <f>+EB9</f>
        <v>277.39999999999998</v>
      </c>
      <c r="JG9" s="115">
        <f>+EE9</f>
        <v>321.02</v>
      </c>
      <c r="JH9" s="115">
        <f>+EH9</f>
        <v>378.28</v>
      </c>
      <c r="JI9" s="115">
        <f>+EK9</f>
        <v>494.76</v>
      </c>
      <c r="JJ9" s="115">
        <f>+EN9</f>
        <v>559.44000000000005</v>
      </c>
      <c r="JK9" s="115">
        <f>EQ9</f>
        <v>651.79999999999995</v>
      </c>
      <c r="JL9" s="115">
        <f>ET9</f>
        <v>606.29999999999995</v>
      </c>
      <c r="JM9" s="115">
        <f>EW9</f>
        <v>638.5</v>
      </c>
      <c r="JN9" s="115">
        <f>EZ9</f>
        <v>539.65</v>
      </c>
      <c r="JO9" s="115">
        <f>FC9</f>
        <v>457.55</v>
      </c>
      <c r="JP9" s="115">
        <f>FF9</f>
        <v>443.7</v>
      </c>
      <c r="JQ9" s="115">
        <f>FI9</f>
        <v>489.85</v>
      </c>
      <c r="JR9" s="115">
        <f>FL9</f>
        <v>384.1</v>
      </c>
      <c r="JS9" s="115">
        <f>FO9</f>
        <v>0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0</v>
      </c>
      <c r="FO12" cm="1">
        <f t="array" ref="FO12">_xll.EQNXTDZ($A$1,$B12,FO$1)</f>
        <v>0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25.481481481481499</v>
      </c>
      <c r="BE13" cm="1">
        <f t="array" ref="BE13">_xll.EQNXTDZ($A$1,$B13,BE$1)</f>
        <v>25.943703703703701</v>
      </c>
      <c r="BF13" cm="1">
        <f t="array" ref="BF13">_xll.EQNXTDZ($A$1,$B13,BF$1)</f>
        <v>22.7911111111111</v>
      </c>
      <c r="BG13" cm="1">
        <f t="array" ref="BG13">_xll.EQNXTDZ($A$1,$B13,BG$1)</f>
        <v>23.5259259259259</v>
      </c>
      <c r="BH13" cm="1">
        <f t="array" ref="BH13">_xll.EQNXTDZ($A$1,$B13,BH$1)</f>
        <v>23.407407407407401</v>
      </c>
      <c r="BI13" cm="1">
        <f t="array" ref="BI13">_xll.EQNXTDZ($A$1,$B13,BI$1)</f>
        <v>24.293333333333301</v>
      </c>
      <c r="BJ13" cm="1">
        <f t="array" ref="BJ13">_xll.EQNXTDZ($A$1,$B13,BJ$1)</f>
        <v>27.792592592592602</v>
      </c>
      <c r="BK13" cm="1">
        <f t="array" ref="BK13">_xll.EQNXTDZ($A$1,$B13,BK$1)</f>
        <v>29.4340740740741</v>
      </c>
      <c r="BL13" cm="1">
        <f t="array" ref="BL13">_xll.EQNXTDZ($A$1,$B13,BL$1)</f>
        <v>31.404444444444401</v>
      </c>
      <c r="BM13" cm="1">
        <f t="array" ref="BM13">_xll.EQNXTDZ($A$1,$B13,BM$1)</f>
        <v>29.451851851851899</v>
      </c>
      <c r="BN13" cm="1">
        <f t="array" ref="BN13">_xll.EQNXTDZ($A$1,$B13,BN$1)</f>
        <v>30.832592592592601</v>
      </c>
      <c r="BO13" cm="1">
        <f t="array" ref="BO13">_xll.EQNXTDZ($A$1,$B13,BO$1)</f>
        <v>30.2518518518519</v>
      </c>
      <c r="BP13" cm="1">
        <f t="array" ref="BP13">_xll.EQNXTDZ($A$1,$B13,BP$1)</f>
        <v>30.050370370370398</v>
      </c>
      <c r="BQ13" cm="1">
        <f t="array" ref="BQ13">_xll.EQNXTDZ($A$1,$B13,BQ$1)</f>
        <v>30.201481481481501</v>
      </c>
      <c r="BR13" cm="1">
        <f t="array" ref="BR13">_xll.EQNXTDZ($A$1,$B13,BR$1)</f>
        <v>38.696296296296303</v>
      </c>
      <c r="BS13" cm="1">
        <f t="array" ref="BS13">_xll.EQNXTDZ($A$1,$B13,BS$1)</f>
        <v>40.829629629629601</v>
      </c>
      <c r="BT13" cm="1">
        <f t="array" ref="BT13">_xll.EQNXTDZ($A$1,$B13,BT$1)</f>
        <v>38.906666666666702</v>
      </c>
      <c r="BU13" cm="1">
        <f t="array" ref="BU13">_xll.EQNXTDZ($A$1,$B13,BU$1)</f>
        <v>37.4251851851852</v>
      </c>
      <c r="BV13" cm="1">
        <f t="array" ref="BV13">_xll.EQNXTDZ($A$1,$B13,BV$1)</f>
        <v>38.874074074074102</v>
      </c>
      <c r="BW13" cm="1">
        <f t="array" ref="BW13">_xll.EQNXTDZ($A$1,$B13,BW$1)</f>
        <v>45.511111111111099</v>
      </c>
      <c r="BX13" cm="1">
        <f t="array" ref="BX13">_xll.EQNXTDZ($A$1,$B13,BX$1)</f>
        <v>44.622222222222199</v>
      </c>
      <c r="BY13" cm="1">
        <f t="array" ref="BY13">_xll.EQNXTDZ($A$1,$B13,BY$1)</f>
        <v>45.025185185185201</v>
      </c>
      <c r="BZ13" cm="1">
        <f t="array" ref="BZ13">_xll.EQNXTDZ($A$1,$B13,BZ$1)</f>
        <v>48.474074074074103</v>
      </c>
      <c r="CA13" cm="1">
        <f t="array" ref="CA13">_xll.EQNXTDZ($A$1,$B13,CA$1)</f>
        <v>43.259259259259302</v>
      </c>
      <c r="CB13" cm="1">
        <f t="array" ref="CB13">_xll.EQNXTDZ($A$1,$B13,CB$1)</f>
        <v>48.533333333333303</v>
      </c>
      <c r="CC13" cm="1">
        <f t="array" ref="CC13">_xll.EQNXTDZ($A$1,$B13,CC$1)</f>
        <v>46.314074074074099</v>
      </c>
      <c r="CD13" cm="1">
        <f t="array" ref="CD13">_xll.EQNXTDZ($A$1,$B13,CD$1)</f>
        <v>47.057777777777801</v>
      </c>
      <c r="CE13" cm="1">
        <f t="array" ref="CE13">_xll.EQNXTDZ($A$1,$B13,CE$1)</f>
        <v>49.066666666666698</v>
      </c>
      <c r="CF13" cm="1">
        <f t="array" ref="CF13">_xll.EQNXTDZ($A$1,$B13,CF$1)</f>
        <v>47.487407407407403</v>
      </c>
      <c r="CG13" cm="1">
        <f t="array" ref="CG13">_xll.EQNXTDZ($A$1,$B13,CG$1)</f>
        <v>51.958518518518503</v>
      </c>
      <c r="CH13" cm="1">
        <f t="array" ref="CH13">_xll.EQNXTDZ($A$1,$B13,CH$1)</f>
        <v>52.497777777777799</v>
      </c>
      <c r="CI13" cm="1">
        <f t="array" ref="CI13">_xll.EQNXTDZ($A$1,$B13,CI$1)</f>
        <v>55.348148148148098</v>
      </c>
      <c r="CJ13" cm="1">
        <f t="array" ref="CJ13">_xll.EQNXTDZ($A$1,$B13,CJ$1)</f>
        <v>56.071111111111101</v>
      </c>
      <c r="CK13" cm="1">
        <f t="array" ref="CK13">_xll.EQNXTDZ($A$1,$B13,CK$1)</f>
        <v>57.733333333333299</v>
      </c>
      <c r="CL13" cm="1">
        <f t="array" ref="CL13">_xll.EQNXTDZ($A$1,$B13,CL$1)</f>
        <v>56.488888888888901</v>
      </c>
      <c r="CM13" cm="1">
        <f t="array" ref="CM13">_xll.EQNXTDZ($A$1,$B13,CM$1)</f>
        <v>55.1111111111111</v>
      </c>
      <c r="CN13" cm="1">
        <f t="array" ref="CN13">_xll.EQNXTDZ($A$1,$B13,CN$1)</f>
        <v>55.128888888888902</v>
      </c>
      <c r="CO13" cm="1">
        <f t="array" ref="CO13">_xll.EQNXTDZ($A$1,$B13,CO$1)</f>
        <v>64.471111111111099</v>
      </c>
      <c r="CP13" cm="1">
        <f t="array" ref="CP13">_xll.EQNXTDZ($A$1,$B13,CP$1)</f>
        <v>63.2</v>
      </c>
      <c r="CQ13" cm="1">
        <f t="array" ref="CQ13">_xll.EQNXTDZ($A$1,$B13,CQ$1)</f>
        <v>68.648888888888905</v>
      </c>
      <c r="CR13" cm="1">
        <f t="array" ref="CR13">_xll.EQNXTDZ($A$1,$B13,CR$1)</f>
        <v>73.564444444444405</v>
      </c>
      <c r="CS13" cm="1">
        <f t="array" ref="CS13">_xll.EQNXTDZ($A$1,$B13,CS$1)</f>
        <v>47.991111111111103</v>
      </c>
      <c r="CT13" cm="1">
        <f t="array" ref="CT13">_xll.EQNXTDZ($A$1,$B13,CT$1)</f>
        <v>58.893333333333302</v>
      </c>
      <c r="CU13" cm="1">
        <f t="array" ref="CU13">_xll.EQNXTDZ($A$1,$B13,CU$1)</f>
        <v>56.622222222222199</v>
      </c>
      <c r="CV13" cm="1">
        <f t="array" ref="CV13">_xll.EQNXTDZ($A$1,$B13,CV$1)</f>
        <v>61.28</v>
      </c>
      <c r="CW13" cm="1">
        <f t="array" ref="CW13">_xll.EQNXTDZ($A$1,$B13,CW$1)</f>
        <v>63.031111111111102</v>
      </c>
      <c r="CX13" cm="1">
        <f t="array" ref="CX13">_xll.EQNXTDZ($A$1,$B13,CX$1)</f>
        <v>64.004444444444403</v>
      </c>
      <c r="CY13" cm="1">
        <f t="array" ref="CY13">_xll.EQNXTDZ($A$1,$B13,CY$1)</f>
        <v>63.0133333333333</v>
      </c>
      <c r="CZ13" cm="1">
        <f t="array" ref="CZ13">_xll.EQNXTDZ($A$1,$B13,CZ$1)</f>
        <v>58.622222222222199</v>
      </c>
      <c r="DA13" cm="1">
        <f t="array" ref="DA13">_xll.EQNXTDZ($A$1,$B13,DA$1)</f>
        <v>77.36</v>
      </c>
      <c r="DB13" cm="1">
        <f t="array" ref="DB13">_xll.EQNXTDZ($A$1,$B13,DB$1)</f>
        <v>81.524444444444399</v>
      </c>
      <c r="DC13" cm="1">
        <f t="array" ref="DC13">_xll.EQNXTDZ($A$1,$B13,DC$1)</f>
        <v>77.688888888888897</v>
      </c>
      <c r="DD13" cm="1">
        <f t="array" ref="DD13">_xll.EQNXTDZ($A$1,$B13,DD$1)</f>
        <v>94.031111111111102</v>
      </c>
      <c r="DE13" cm="1">
        <f t="array" ref="DE13">_xll.EQNXTDZ($A$1,$B13,DE$1)</f>
        <v>89.413333333333298</v>
      </c>
      <c r="DF13" cm="1">
        <f t="array" ref="DF13">_xll.EQNXTDZ($A$1,$B13,DF$1)</f>
        <v>85.688888888888897</v>
      </c>
      <c r="DG13" cm="1">
        <f t="array" ref="DG13">_xll.EQNXTDZ($A$1,$B13,DG$1)</f>
        <v>90.6666666666667</v>
      </c>
      <c r="DH13" cm="1">
        <f t="array" ref="DH13">_xll.EQNXTDZ($A$1,$B13,DH$1)</f>
        <v>97.233333333333306</v>
      </c>
      <c r="DI13" cm="1">
        <f t="array" ref="DI13">_xll.EQNXTDZ($A$1,$B13,DI$1)</f>
        <v>103.333333333333</v>
      </c>
      <c r="DJ13" cm="1">
        <f t="array" ref="DJ13">_xll.EQNXTDZ($A$1,$B13,DJ$1)</f>
        <v>112.666666666667</v>
      </c>
      <c r="DK13" cm="1">
        <f t="array" ref="DK13">_xll.EQNXTDZ($A$1,$B13,DK$1)</f>
        <v>120.533333333333</v>
      </c>
      <c r="DL13" cm="1">
        <f t="array" ref="DL13">_xll.EQNXTDZ($A$1,$B13,DL$1)</f>
        <v>113.446666666667</v>
      </c>
      <c r="DM13" cm="1">
        <f t="array" ref="DM13">_xll.EQNXTDZ($A$1,$B13,DM$1)</f>
        <v>120.533333333333</v>
      </c>
      <c r="DN13" cm="1">
        <f t="array" ref="DN13">_xll.EQNXTDZ($A$1,$B13,DN$1)</f>
        <v>118.213333333333</v>
      </c>
      <c r="DO13" cm="1">
        <f t="array" ref="DO13">_xll.EQNXTDZ($A$1,$B13,DO$1)</f>
        <v>122.96</v>
      </c>
      <c r="DP13" cm="1">
        <f t="array" ref="DP13">_xll.EQNXTDZ($A$1,$B13,DP$1)</f>
        <v>124.333333333333</v>
      </c>
      <c r="DQ13" cm="1">
        <f t="array" ref="DQ13">_xll.EQNXTDZ($A$1,$B13,DQ$1)</f>
        <v>128</v>
      </c>
      <c r="DR13" cm="1">
        <f t="array" ref="DR13">_xll.EQNXTDZ($A$1,$B13,DR$1)</f>
        <v>144.40666666666701</v>
      </c>
      <c r="DS13" cm="1">
        <f t="array" ref="DS13">_xll.EQNXTDZ($A$1,$B13,DS$1)</f>
        <v>141.19333333333299</v>
      </c>
      <c r="DT13" cm="1">
        <f t="array" ref="DT13">_xll.EQNXTDZ($A$1,$B13,DT$1)</f>
        <v>157.82</v>
      </c>
      <c r="DU13" cm="1">
        <f t="array" ref="DU13">_xll.EQNXTDZ($A$1,$B13,DU$1)</f>
        <v>178.4</v>
      </c>
      <c r="DV13" cm="1">
        <f t="array" ref="DV13">_xll.EQNXTDZ($A$1,$B13,DV$1)</f>
        <v>204</v>
      </c>
      <c r="DW13" cm="1">
        <f t="array" ref="DW13">_xll.EQNXTDZ($A$1,$B13,DW$1)</f>
        <v>209.79</v>
      </c>
      <c r="DX13" cm="1">
        <f t="array" ref="DX13">_xll.EQNXTDZ($A$1,$B13,DX$1)</f>
        <v>211</v>
      </c>
      <c r="DY13" cm="1">
        <f t="array" ref="DY13">_xll.EQNXTDZ($A$1,$B13,DY$1)</f>
        <v>252.4</v>
      </c>
      <c r="DZ13" cm="1">
        <f t="array" ref="DZ13">_xll.EQNXTDZ($A$1,$B13,DZ$1)</f>
        <v>269.14</v>
      </c>
      <c r="EA13" cm="1">
        <f t="array" ref="EA13">_xll.EQNXTDZ($A$1,$B13,EA$1)</f>
        <v>230.01</v>
      </c>
      <c r="EB13" cm="1">
        <f t="array" ref="EB13">_xll.EQNXTDZ($A$1,$B13,EB$1)</f>
        <v>262.39999999999998</v>
      </c>
      <c r="EC13" cm="1">
        <f t="array" ref="EC13">_xll.EQNXTDZ($A$1,$B13,EC$1)</f>
        <v>277.81</v>
      </c>
      <c r="ED13" cm="1">
        <f t="array" ref="ED13">_xll.EQNXTDZ($A$1,$B13,ED$1)</f>
        <v>292.79000000000002</v>
      </c>
      <c r="EE13" cm="1">
        <f t="array" ref="EE13">_xll.EQNXTDZ($A$1,$B13,EE$1)</f>
        <v>338</v>
      </c>
      <c r="EF13" cm="1">
        <f t="array" ref="EF13">_xll.EQNXTDZ($A$1,$B13,EF$1)</f>
        <v>320.44</v>
      </c>
      <c r="EG13" cm="1">
        <f t="array" ref="EG13">_xll.EQNXTDZ($A$1,$B13,EG$1)</f>
        <v>323.22000000000003</v>
      </c>
      <c r="EH13" cm="1">
        <f t="array" ref="EH13">_xll.EQNXTDZ($A$1,$B13,EH$1)</f>
        <v>363.24</v>
      </c>
      <c r="EI13" cm="1">
        <f t="array" ref="EI13">_xll.EQNXTDZ($A$1,$B13,EI$1)</f>
        <v>379.98</v>
      </c>
      <c r="EJ13" cm="1">
        <f t="array" ref="EJ13">_xll.EQNXTDZ($A$1,$B13,EJ$1)</f>
        <v>368.88</v>
      </c>
      <c r="EK13" cm="1">
        <f t="array" ref="EK13">_xll.EQNXTDZ($A$1,$B13,EK$1)</f>
        <v>445.98</v>
      </c>
      <c r="EL13" cm="1">
        <f t="array" ref="EL13">_xll.EQNXTDZ($A$1,$B13,EL$1)</f>
        <v>495.02</v>
      </c>
      <c r="EM13" cm="1">
        <f t="array" ref="EM13">_xll.EQNXTDZ($A$1,$B13,EM$1)</f>
        <v>512.46</v>
      </c>
      <c r="EN13" cm="1">
        <f t="array" ref="EN13">_xll.EQNXTDZ($A$1,$B13,EN$1)</f>
        <v>571.17999999999995</v>
      </c>
      <c r="EO13" cm="1">
        <f t="array" ref="EO13">_xll.EQNXTDZ($A$1,$B13,EO$1)</f>
        <v>560.62</v>
      </c>
      <c r="EP13" cm="1">
        <f t="array" ref="EP13">_xll.EQNXTDZ($A$1,$B13,EP$1)</f>
        <v>590.64</v>
      </c>
      <c r="EQ13" cm="1">
        <f t="array" ref="EQ13">_xll.EQNXTDZ($A$1,$B13,EQ$1)</f>
        <v>594.76</v>
      </c>
      <c r="ER13" cm="1">
        <f t="array" ref="ER13">_xll.EQNXTDZ($A$1,$B13,ER$1)</f>
        <v>651.9</v>
      </c>
      <c r="ES13" cm="1">
        <f t="array" ref="ES13">_xll.EQNXTDZ($A$1,$B13,ES$1)</f>
        <v>637.74</v>
      </c>
      <c r="ET13" cm="1">
        <f t="array" ref="ET13">_xll.EQNXTDZ($A$1,$B13,ET$1)</f>
        <v>598.02</v>
      </c>
      <c r="EU13" cm="1">
        <f t="array" ref="EU13">_xll.EQNXTDZ($A$1,$B13,EU$1)</f>
        <v>609.75</v>
      </c>
      <c r="EV13" cm="1">
        <f t="array" ref="EV13">_xll.EQNXTDZ($A$1,$B13,EV$1)</f>
        <v>599.75</v>
      </c>
      <c r="EW13" cm="1">
        <f t="array" ref="EW13">_xll.EQNXTDZ($A$1,$B13,EW$1)</f>
        <v>624.95000000000005</v>
      </c>
      <c r="EX13" cm="1">
        <f t="array" ref="EX13">_xll.EQNXTDZ($A$1,$B13,EX$1)</f>
        <v>640</v>
      </c>
      <c r="EY13" cm="1">
        <f t="array" ref="EY13">_xll.EQNXTDZ($A$1,$B13,EY$1)</f>
        <v>539.85</v>
      </c>
      <c r="EZ13" cm="1">
        <f t="array" ref="EZ13">_xll.EQNXTDZ($A$1,$B13,EZ$1)</f>
        <v>436</v>
      </c>
      <c r="FA13" cm="1">
        <f t="array" ref="FA13">_xll.EQNXTDZ($A$1,$B13,FA$1)</f>
        <v>546.1</v>
      </c>
      <c r="FB13" cm="1">
        <f t="array" ref="FB13">_xll.EQNXTDZ($A$1,$B13,FB$1)</f>
        <v>528.15</v>
      </c>
      <c r="FC13" cm="1">
        <f t="array" ref="FC13">_xll.EQNXTDZ($A$1,$B13,FC$1)</f>
        <v>477.85</v>
      </c>
      <c r="FD13" cm="1">
        <f t="array" ref="FD13">_xll.EQNXTDZ($A$1,$B13,FD$1)</f>
        <v>460.45</v>
      </c>
      <c r="FE13" cm="1">
        <f t="array" ref="FE13">_xll.EQNXTDZ($A$1,$B13,FE$1)</f>
        <v>522.6</v>
      </c>
      <c r="FF13" cm="1">
        <f t="array" ref="FF13">_xll.EQNXTDZ($A$1,$B13,FF$1)</f>
        <v>485</v>
      </c>
      <c r="FG13" cm="1">
        <f t="array" ref="FG13">_xll.EQNXTDZ($A$1,$B13,FG$1)</f>
        <v>448.7</v>
      </c>
      <c r="FH13" cm="1">
        <f t="array" ref="FH13">_xll.EQNXTDZ($A$1,$B13,FH$1)</f>
        <v>471.35</v>
      </c>
      <c r="FI13" cm="1">
        <f t="array" ref="FI13">_xll.EQNXTDZ($A$1,$B13,FI$1)</f>
        <v>483.75</v>
      </c>
      <c r="FJ13" cm="1">
        <f t="array" ref="FJ13">_xll.EQNXTDZ($A$1,$B13,FJ$1)</f>
        <v>491.9</v>
      </c>
      <c r="FK13" cm="1">
        <f t="array" ref="FK13">_xll.EQNXTDZ($A$1,$B13,FK$1)</f>
        <v>470.85</v>
      </c>
      <c r="FL13" cm="1">
        <f t="array" ref="FL13">_xll.EQNXTDZ($A$1,$B13,FL$1)</f>
        <v>426.15</v>
      </c>
      <c r="FM13" cm="1">
        <f t="array" ref="FM13">_xll.EQNXTDZ($A$1,$B13,FM$1)</f>
        <v>393.5</v>
      </c>
      <c r="FN13" cm="1">
        <f t="array" ref="FN13">_xll.EQNXTDZ($A$1,$B13,FN$1)</f>
        <v>0</v>
      </c>
      <c r="FO13" cm="1">
        <f t="array" ref="FO13">_xll.EQNXTDZ($A$1,$B13,FO$1)</f>
        <v>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0</v>
      </c>
      <c r="D14" s="115" cm="1">
        <f t="array" ref="D14">_xll.EQNXTDZ($A$1,$B14,D$1)</f>
        <v>0</v>
      </c>
      <c r="E14" s="115" cm="1">
        <f t="array" ref="E14">_xll.EQNXTDZ($A$1,$B14,E$1)</f>
        <v>0</v>
      </c>
      <c r="F14" s="115" cm="1">
        <f t="array" ref="F14">_xll.EQNXTDZ($A$1,$B14,F$1)</f>
        <v>0</v>
      </c>
      <c r="G14" s="115" cm="1">
        <f t="array" ref="G14">_xll.EQNXTDZ($A$1,$B14,G$1)</f>
        <v>0</v>
      </c>
      <c r="H14" s="115" cm="1">
        <f t="array" ref="H14">_xll.EQNXTDZ($A$1,$B14,H$1)</f>
        <v>0</v>
      </c>
      <c r="I14" s="115" cm="1">
        <f t="array" ref="I14">_xll.EQNXTDZ($A$1,$B14,I$1)</f>
        <v>0</v>
      </c>
      <c r="J14" s="115" cm="1">
        <f t="array" ref="J14">_xll.EQNXTDZ($A$1,$B14,J$1)</f>
        <v>0</v>
      </c>
      <c r="K14" s="115" cm="1">
        <f t="array" ref="K14">_xll.EQNXTDZ($A$1,$B14,K$1)</f>
        <v>0</v>
      </c>
      <c r="L14" s="115" cm="1">
        <f t="array" ref="L14">_xll.EQNXTDZ($A$1,$B14,L$1)</f>
        <v>0</v>
      </c>
      <c r="M14" s="115" cm="1">
        <f t="array" ref="M14">_xll.EQNXTDZ($A$1,$B14,M$1)</f>
        <v>0</v>
      </c>
      <c r="N14" s="115" cm="1">
        <f t="array" ref="N14">_xll.EQNXTDZ($A$1,$B14,N$1)</f>
        <v>0</v>
      </c>
      <c r="O14" s="115" cm="1">
        <f t="array" ref="O14">_xll.EQNXTDZ($A$1,$B14,O$1)</f>
        <v>0</v>
      </c>
      <c r="P14" s="115" cm="1">
        <f t="array" ref="P14">_xll.EQNXTDZ($A$1,$B14,P$1)</f>
        <v>0</v>
      </c>
      <c r="Q14" s="115" cm="1">
        <f t="array" ref="Q14">_xll.EQNXTDZ($A$1,$B14,Q$1)</f>
        <v>0</v>
      </c>
      <c r="R14" s="115" cm="1">
        <f t="array" ref="R14">_xll.EQNXTDZ($A$1,$B14,R$1)</f>
        <v>0</v>
      </c>
      <c r="S14" s="115" cm="1">
        <f t="array" ref="S14">_xll.EQNXTDZ($A$1,$B14,S$1)</f>
        <v>0</v>
      </c>
      <c r="T14" s="115" cm="1">
        <f t="array" ref="T14">_xll.EQNXTDZ($A$1,$B14,T$1)</f>
        <v>0</v>
      </c>
      <c r="U14" s="115" cm="1">
        <f t="array" ref="U14">_xll.EQNXTDZ($A$1,$B14,U$1)</f>
        <v>0</v>
      </c>
      <c r="V14" s="115" cm="1">
        <f t="array" ref="V14">_xll.EQNXTDZ($A$1,$B14,V$1)</f>
        <v>0</v>
      </c>
      <c r="W14" s="115" cm="1">
        <f t="array" ref="W14">_xll.EQNXTDZ($A$1,$B14,W$1)</f>
        <v>0</v>
      </c>
      <c r="X14" s="115" cm="1">
        <f t="array" ref="X14">_xll.EQNXTDZ($A$1,$B14,X$1)</f>
        <v>0</v>
      </c>
      <c r="Y14" s="115" cm="1">
        <f t="array" ref="Y14">_xll.EQNXTDZ($A$1,$B14,Y$1)</f>
        <v>0</v>
      </c>
      <c r="Z14" s="115" cm="1">
        <f t="array" ref="Z14">_xll.EQNXTDZ($A$1,$B14,Z$1)</f>
        <v>0</v>
      </c>
      <c r="AA14" s="115" cm="1">
        <f t="array" ref="AA14">_xll.EQNXTDZ($A$1,$B14,AA$1)</f>
        <v>0</v>
      </c>
      <c r="AB14" s="115" cm="1">
        <f t="array" ref="AB14">_xll.EQNXTDZ($A$1,$B14,AB$1)</f>
        <v>0</v>
      </c>
      <c r="AC14" s="115" cm="1">
        <f t="array" ref="AC14">_xll.EQNXTDZ($A$1,$B14,AC$1)</f>
        <v>0</v>
      </c>
      <c r="AD14" s="115" cm="1">
        <f t="array" ref="AD14">_xll.EQNXTDZ($A$1,$B14,AD$1)</f>
        <v>0</v>
      </c>
      <c r="AE14" s="115" cm="1">
        <f t="array" ref="AE14">_xll.EQNXTDZ($A$1,$B14,AE$1)</f>
        <v>0</v>
      </c>
      <c r="AF14" s="115" cm="1">
        <f t="array" ref="AF14">_xll.EQNXTDZ($A$1,$B14,AF$1)</f>
        <v>0</v>
      </c>
      <c r="AG14" s="115" cm="1">
        <f t="array" ref="AG14">_xll.EQNXTDZ($A$1,$B14,AG$1)</f>
        <v>0</v>
      </c>
      <c r="AH14" s="115" cm="1">
        <f t="array" ref="AH14">_xll.EQNXTDZ($A$1,$B14,AH$1)</f>
        <v>0</v>
      </c>
      <c r="AI14" s="115" cm="1">
        <f t="array" ref="AI14">_xll.EQNXTDZ($A$1,$B14,AI$1)</f>
        <v>0</v>
      </c>
      <c r="AJ14" s="115" cm="1">
        <f t="array" ref="AJ14">_xll.EQNXTDZ($A$1,$B14,AJ$1)</f>
        <v>0</v>
      </c>
      <c r="AK14" s="115" cm="1">
        <f t="array" ref="AK14">_xll.EQNXTDZ($A$1,$B14,AK$1)</f>
        <v>0</v>
      </c>
      <c r="AL14" s="115" cm="1">
        <f t="array" ref="AL14">_xll.EQNXTDZ($A$1,$B14,AL$1)</f>
        <v>0</v>
      </c>
      <c r="AM14" s="115" cm="1">
        <f t="array" ref="AM14">_xll.EQNXTDZ($A$1,$B14,AM$1)</f>
        <v>0</v>
      </c>
      <c r="AN14" s="115" cm="1">
        <f t="array" ref="AN14">_xll.EQNXTDZ($A$1,$B14,AN$1)</f>
        <v>0</v>
      </c>
      <c r="AO14" s="115" cm="1">
        <f t="array" ref="AO14">_xll.EQNXTDZ($A$1,$B14,AO$1)</f>
        <v>0</v>
      </c>
      <c r="AP14" s="115" cm="1">
        <f t="array" ref="AP14">_xll.EQNXTDZ($A$1,$B14,AP$1)</f>
        <v>0</v>
      </c>
      <c r="AQ14" s="115" cm="1">
        <f t="array" ref="AQ14">_xll.EQNXTDZ($A$1,$B14,AQ$1)</f>
        <v>0</v>
      </c>
      <c r="AR14" s="115" cm="1">
        <f t="array" ref="AR14">_xll.EQNXTDZ($A$1,$B14,AR$1)</f>
        <v>0</v>
      </c>
      <c r="AS14" s="115" cm="1">
        <f t="array" ref="AS14">_xll.EQNXTDZ($A$1,$B14,AS$1)</f>
        <v>0</v>
      </c>
      <c r="AT14" s="115" cm="1">
        <f t="array" ref="AT14">_xll.EQNXTDZ($A$1,$B14,AT$1)</f>
        <v>0</v>
      </c>
      <c r="AU14" s="115" cm="1">
        <f t="array" ref="AU14">_xll.EQNXTDZ($A$1,$B14,AU$1)</f>
        <v>0</v>
      </c>
      <c r="AV14" s="115" cm="1">
        <f t="array" ref="AV14">_xll.EQNXTDZ($A$1,$B14,AV$1)</f>
        <v>0</v>
      </c>
      <c r="AW14" s="115" cm="1">
        <f t="array" ref="AW14">_xll.EQNXTDZ($A$1,$B14,AW$1)</f>
        <v>0</v>
      </c>
      <c r="AX14" s="115" cm="1">
        <f t="array" ref="AX14">_xll.EQNXTDZ($A$1,$B14,AX$1)</f>
        <v>0</v>
      </c>
      <c r="AY14" s="115" cm="1">
        <f t="array" ref="AY14">_xll.EQNXTDZ($A$1,$B14,AY$1)</f>
        <v>0</v>
      </c>
      <c r="AZ14" s="115" cm="1">
        <f t="array" ref="AZ14">_xll.EQNXTDZ($A$1,$B14,AZ$1)</f>
        <v>0</v>
      </c>
      <c r="BA14" s="115" cm="1">
        <f t="array" ref="BA14">_xll.EQNXTDZ($A$1,$B14,BA$1)</f>
        <v>0</v>
      </c>
      <c r="BB14" s="115" cm="1">
        <f t="array" ref="BB14">_xll.EQNXTDZ($A$1,$B14,BB$1)</f>
        <v>0</v>
      </c>
      <c r="BC14" s="115" cm="1">
        <f t="array" ref="BC14">_xll.EQNXTDZ($A$1,$B14,BC$1)</f>
        <v>0</v>
      </c>
      <c r="BD14" s="115" cm="1">
        <f t="array" ref="BD14">_xll.EQNXTDZ($A$1,$B14,BD$1)</f>
        <v>27.911111111111101</v>
      </c>
      <c r="BE14" s="115" cm="1">
        <f t="array" ref="BE14">_xll.EQNXTDZ($A$1,$B14,BE$1)</f>
        <v>26.044444444444402</v>
      </c>
      <c r="BF14" s="115" cm="1">
        <f t="array" ref="BF14">_xll.EQNXTDZ($A$1,$B14,BF$1)</f>
        <v>24.7940740740741</v>
      </c>
      <c r="BG14" s="115" cm="1">
        <f t="array" ref="BG14">_xll.EQNXTDZ($A$1,$B14,BG$1)</f>
        <v>24.651851851851902</v>
      </c>
      <c r="BH14" s="115" cm="1">
        <f t="array" ref="BH14">_xll.EQNXTDZ($A$1,$B14,BH$1)</f>
        <v>24.177777777777798</v>
      </c>
      <c r="BI14" s="115" cm="1">
        <f t="array" ref="BI14">_xll.EQNXTDZ($A$1,$B14,BI$1)</f>
        <v>29.570370370370402</v>
      </c>
      <c r="BJ14" s="115" cm="1">
        <f t="array" ref="BJ14">_xll.EQNXTDZ($A$1,$B14,BJ$1)</f>
        <v>30.0977777777778</v>
      </c>
      <c r="BK14" s="115" cm="1">
        <f t="array" ref="BK14">_xll.EQNXTDZ($A$1,$B14,BK$1)</f>
        <v>33.066666666666698</v>
      </c>
      <c r="BL14" s="115" cm="1">
        <f t="array" ref="BL14">_xll.EQNXTDZ($A$1,$B14,BL$1)</f>
        <v>33.757037037037001</v>
      </c>
      <c r="BM14" s="115" cm="1">
        <f t="array" ref="BM14">_xll.EQNXTDZ($A$1,$B14,BM$1)</f>
        <v>33.973333333333301</v>
      </c>
      <c r="BN14" s="115" cm="1">
        <f t="array" ref="BN14">_xll.EQNXTDZ($A$1,$B14,BN$1)</f>
        <v>32.355555555555597</v>
      </c>
      <c r="BO14" s="115" cm="1">
        <f t="array" ref="BO14">_xll.EQNXTDZ($A$1,$B14,BO$1)</f>
        <v>31.2414814814815</v>
      </c>
      <c r="BP14" s="115" cm="1">
        <f t="array" ref="BP14">_xll.EQNXTDZ($A$1,$B14,BP$1)</f>
        <v>32.349629629629597</v>
      </c>
      <c r="BQ14" s="115" cm="1">
        <f t="array" ref="BQ14">_xll.EQNXTDZ($A$1,$B14,BQ$1)</f>
        <v>39.404444444444401</v>
      </c>
      <c r="BR14" s="115" cm="1">
        <f t="array" ref="BR14">_xll.EQNXTDZ($A$1,$B14,BR$1)</f>
        <v>45.128888888888902</v>
      </c>
      <c r="BS14" s="115" cm="1">
        <f t="array" ref="BS14">_xll.EQNXTDZ($A$1,$B14,BS$1)</f>
        <v>42.933333333333302</v>
      </c>
      <c r="BT14" s="115" cm="1">
        <f t="array" ref="BT14">_xll.EQNXTDZ($A$1,$B14,BT$1)</f>
        <v>39.229629629629599</v>
      </c>
      <c r="BU14" s="115" cm="1">
        <f t="array" ref="BU14">_xll.EQNXTDZ($A$1,$B14,BU$1)</f>
        <v>40.397037037037002</v>
      </c>
      <c r="BV14" s="115" cm="1">
        <f t="array" ref="BV14">_xll.EQNXTDZ($A$1,$B14,BV$1)</f>
        <v>46.044444444444402</v>
      </c>
      <c r="BW14" s="115" cm="1">
        <f t="array" ref="BW14">_xll.EQNXTDZ($A$1,$B14,BW$1)</f>
        <v>46.755555555555603</v>
      </c>
      <c r="BX14" s="115" cm="1">
        <f t="array" ref="BX14">_xll.EQNXTDZ($A$1,$B14,BX$1)</f>
        <v>46.4</v>
      </c>
      <c r="BY14" s="115" cm="1">
        <f t="array" ref="BY14">_xll.EQNXTDZ($A$1,$B14,BY$1)</f>
        <v>49.718518518518501</v>
      </c>
      <c r="BZ14" s="115" cm="1">
        <f t="array" ref="BZ14">_xll.EQNXTDZ($A$1,$B14,BZ$1)</f>
        <v>50.311111111111103</v>
      </c>
      <c r="CA14" s="115" cm="1">
        <f t="array" ref="CA14">_xll.EQNXTDZ($A$1,$B14,CA$1)</f>
        <v>49.860740740740702</v>
      </c>
      <c r="CB14" s="115" cm="1">
        <f t="array" ref="CB14">_xll.EQNXTDZ($A$1,$B14,CB$1)</f>
        <v>48.595555555555599</v>
      </c>
      <c r="CC14" s="115" cm="1">
        <f t="array" ref="CC14">_xll.EQNXTDZ($A$1,$B14,CC$1)</f>
        <v>47.288888888888899</v>
      </c>
      <c r="CD14" s="115" cm="1">
        <f t="array" ref="CD14">_xll.EQNXTDZ($A$1,$B14,CD$1)</f>
        <v>49.478518518518499</v>
      </c>
      <c r="CE14" s="115" cm="1">
        <f t="array" ref="CE14">_xll.EQNXTDZ($A$1,$B14,CE$1)</f>
        <v>50.2548148148148</v>
      </c>
      <c r="CF14" s="115" cm="1">
        <f t="array" ref="CF14">_xll.EQNXTDZ($A$1,$B14,CF$1)</f>
        <v>52.059259259259299</v>
      </c>
      <c r="CG14" s="115" cm="1">
        <f t="array" ref="CG14">_xll.EQNXTDZ($A$1,$B14,CG$1)</f>
        <v>56.177777777777798</v>
      </c>
      <c r="CH14" s="115" cm="1">
        <f t="array" ref="CH14">_xll.EQNXTDZ($A$1,$B14,CH$1)</f>
        <v>57.066666666666698</v>
      </c>
      <c r="CI14" s="115" cm="1">
        <f t="array" ref="CI14">_xll.EQNXTDZ($A$1,$B14,CI$1)</f>
        <v>56.533333333333303</v>
      </c>
      <c r="CJ14" s="115" cm="1">
        <f t="array" ref="CJ14">_xll.EQNXTDZ($A$1,$B14,CJ$1)</f>
        <v>60.724444444444401</v>
      </c>
      <c r="CK14" s="115" cm="1">
        <f t="array" ref="CK14">_xll.EQNXTDZ($A$1,$B14,CK$1)</f>
        <v>58.755555555555603</v>
      </c>
      <c r="CL14" s="115" cm="1">
        <f t="array" ref="CL14">_xll.EQNXTDZ($A$1,$B14,CL$1)</f>
        <v>58.6666666666667</v>
      </c>
      <c r="CM14" s="115" cm="1">
        <f t="array" ref="CM14">_xll.EQNXTDZ($A$1,$B14,CM$1)</f>
        <v>57.6</v>
      </c>
      <c r="CN14" s="115" cm="1">
        <f t="array" ref="CN14">_xll.EQNXTDZ($A$1,$B14,CN$1)</f>
        <v>70.1111111111111</v>
      </c>
      <c r="CO14" s="115" cm="1">
        <f t="array" ref="CO14">_xll.EQNXTDZ($A$1,$B14,CO$1)</f>
        <v>67.022222222222197</v>
      </c>
      <c r="CP14" s="115" cm="1">
        <f t="array" ref="CP14">_xll.EQNXTDZ($A$1,$B14,CP$1)</f>
        <v>77.328888888888898</v>
      </c>
      <c r="CQ14" s="115" cm="1">
        <f t="array" ref="CQ14">_xll.EQNXTDZ($A$1,$B14,CQ$1)</f>
        <v>76.715555555555596</v>
      </c>
      <c r="CR14" s="115" cm="1">
        <f t="array" ref="CR14">_xll.EQNXTDZ($A$1,$B14,CR$1)</f>
        <v>74.022222222222197</v>
      </c>
      <c r="CS14" s="115" cm="1">
        <f t="array" ref="CS14">_xll.EQNXTDZ($A$1,$B14,CS$1)</f>
        <v>61.102222222222203</v>
      </c>
      <c r="CT14" s="115" cm="1">
        <f t="array" ref="CT14">_xll.EQNXTDZ($A$1,$B14,CT$1)</f>
        <v>61.408888888888903</v>
      </c>
      <c r="CU14" s="115" cm="1">
        <f t="array" ref="CU14">_xll.EQNXTDZ($A$1,$B14,CU$1)</f>
        <v>65.635555555555598</v>
      </c>
      <c r="CV14" s="115" cm="1">
        <f t="array" ref="CV14">_xll.EQNXTDZ($A$1,$B14,CV$1)</f>
        <v>65.155555555555594</v>
      </c>
      <c r="CW14" s="115" cm="1">
        <f t="array" ref="CW14">_xll.EQNXTDZ($A$1,$B14,CW$1)</f>
        <v>70.844444444444406</v>
      </c>
      <c r="CX14" s="115" cm="1">
        <f t="array" ref="CX14">_xll.EQNXTDZ($A$1,$B14,CX$1)</f>
        <v>69.773333333333298</v>
      </c>
      <c r="CY14" s="115" cm="1">
        <f t="array" ref="CY14">_xll.EQNXTDZ($A$1,$B14,CY$1)</f>
        <v>65.3333333333333</v>
      </c>
      <c r="CZ14" s="115" cm="1">
        <f t="array" ref="CZ14">_xll.EQNXTDZ($A$1,$B14,CZ$1)</f>
        <v>82.16</v>
      </c>
      <c r="DA14" s="115" cm="1">
        <f t="array" ref="DA14">_xll.EQNXTDZ($A$1,$B14,DA$1)</f>
        <v>88.808888888888902</v>
      </c>
      <c r="DB14" s="115" cm="1">
        <f t="array" ref="DB14">_xll.EQNXTDZ($A$1,$B14,DB$1)</f>
        <v>94.746666666666698</v>
      </c>
      <c r="DC14" s="115" cm="1">
        <f t="array" ref="DC14">_xll.EQNXTDZ($A$1,$B14,DC$1)</f>
        <v>97.408888888888896</v>
      </c>
      <c r="DD14" s="115" cm="1">
        <f t="array" ref="DD14">_xll.EQNXTDZ($A$1,$B14,DD$1)</f>
        <v>94.6933333333333</v>
      </c>
      <c r="DE14" s="115" cm="1">
        <f t="array" ref="DE14">_xll.EQNXTDZ($A$1,$B14,DE$1)</f>
        <v>91.377777777777794</v>
      </c>
      <c r="DF14" s="115" cm="1">
        <f t="array" ref="DF14">_xll.EQNXTDZ($A$1,$B14,DF$1)</f>
        <v>93.813333333333304</v>
      </c>
      <c r="DG14" s="115" cm="1">
        <f t="array" ref="DG14">_xll.EQNXTDZ($A$1,$B14,DG$1)</f>
        <v>122.48</v>
      </c>
      <c r="DH14" s="115" cm="1">
        <f t="array" ref="DH14">_xll.EQNXTDZ($A$1,$B14,DH$1)</f>
        <v>107.28</v>
      </c>
      <c r="DI14" s="115" cm="1">
        <f t="array" ref="DI14">_xll.EQNXTDZ($A$1,$B14,DI$1)</f>
        <v>114.666666666667</v>
      </c>
      <c r="DJ14" s="115" cm="1">
        <f t="array" ref="DJ14">_xll.EQNXTDZ($A$1,$B14,DJ$1)</f>
        <v>127.253333333333</v>
      </c>
      <c r="DK14" s="115" cm="1">
        <f t="array" ref="DK14">_xll.EQNXTDZ($A$1,$B14,DK$1)</f>
        <v>123.333333333333</v>
      </c>
      <c r="DL14" s="115" cm="1">
        <f t="array" ref="DL14">_xll.EQNXTDZ($A$1,$B14,DL$1)</f>
        <v>136</v>
      </c>
      <c r="DM14" s="115" cm="1">
        <f t="array" ref="DM14">_xll.EQNXTDZ($A$1,$B14,DM$1)</f>
        <v>123.026666666667</v>
      </c>
      <c r="DN14" s="115" cm="1">
        <f t="array" ref="DN14">_xll.EQNXTDZ($A$1,$B14,DN$1)</f>
        <v>127.066666666667</v>
      </c>
      <c r="DO14" s="115" cm="1">
        <f t="array" ref="DO14">_xll.EQNXTDZ($A$1,$B14,DO$1)</f>
        <v>129.07333333333301</v>
      </c>
      <c r="DP14" s="115" cm="1">
        <f t="array" ref="DP14">_xll.EQNXTDZ($A$1,$B14,DP$1)</f>
        <v>135.333333333333</v>
      </c>
      <c r="DQ14" s="115" cm="1">
        <f t="array" ref="DQ14">_xll.EQNXTDZ($A$1,$B14,DQ$1)</f>
        <v>153.69999999999999</v>
      </c>
      <c r="DR14" s="115" cm="1">
        <f t="array" ref="DR14">_xll.EQNXTDZ($A$1,$B14,DR$1)</f>
        <v>153.38</v>
      </c>
      <c r="DS14" s="115" cm="1">
        <f t="array" ref="DS14">_xll.EQNXTDZ($A$1,$B14,DS$1)</f>
        <v>161.09</v>
      </c>
      <c r="DT14" s="115" cm="1">
        <f t="array" ref="DT14">_xll.EQNXTDZ($A$1,$B14,DT$1)</f>
        <v>182.21</v>
      </c>
      <c r="DU14" s="115" cm="1">
        <f t="array" ref="DU14">_xll.EQNXTDZ($A$1,$B14,DU$1)</f>
        <v>216.72</v>
      </c>
      <c r="DV14" s="115" cm="1">
        <f t="array" ref="DV14">_xll.EQNXTDZ($A$1,$B14,DV$1)</f>
        <v>238.96</v>
      </c>
      <c r="DW14" s="115" cm="1">
        <f t="array" ref="DW14">_xll.EQNXTDZ($A$1,$B14,DW$1)</f>
        <v>230.94</v>
      </c>
      <c r="DX14" s="115" cm="1">
        <f t="array" ref="DX14">_xll.EQNXTDZ($A$1,$B14,DX$1)</f>
        <v>264.98</v>
      </c>
      <c r="DY14" s="115" cm="1">
        <f t="array" ref="DY14">_xll.EQNXTDZ($A$1,$B14,DY$1)</f>
        <v>286.41000000000003</v>
      </c>
      <c r="DZ14" s="115" cm="1">
        <f t="array" ref="DZ14">_xll.EQNXTDZ($A$1,$B14,DZ$1)</f>
        <v>271.25</v>
      </c>
      <c r="EA14" s="115" cm="1">
        <f t="array" ref="EA14">_xll.EQNXTDZ($A$1,$B14,EA$1)</f>
        <v>270.2</v>
      </c>
      <c r="EB14" s="115" cm="1">
        <f t="array" ref="EB14">_xll.EQNXTDZ($A$1,$B14,EB$1)</f>
        <v>278.94</v>
      </c>
      <c r="EC14" s="115" cm="1">
        <f t="array" ref="EC14">_xll.EQNXTDZ($A$1,$B14,EC$1)</f>
        <v>294.77</v>
      </c>
      <c r="ED14" s="115" cm="1">
        <f t="array" ref="ED14">_xll.EQNXTDZ($A$1,$B14,ED$1)</f>
        <v>349.43</v>
      </c>
      <c r="EE14" s="115" cm="1">
        <f t="array" ref="EE14">_xll.EQNXTDZ($A$1,$B14,EE$1)</f>
        <v>348.13</v>
      </c>
      <c r="EF14" s="115" cm="1">
        <f t="array" ref="EF14">_xll.EQNXTDZ($A$1,$B14,EF$1)</f>
        <v>339.48</v>
      </c>
      <c r="EG14" s="115" cm="1">
        <f t="array" ref="EG14">_xll.EQNXTDZ($A$1,$B14,EG$1)</f>
        <v>373.8</v>
      </c>
      <c r="EH14" s="115" cm="1">
        <f t="array" ref="EH14">_xll.EQNXTDZ($A$1,$B14,EH$1)</f>
        <v>391.66</v>
      </c>
      <c r="EI14" s="115" cm="1">
        <f t="array" ref="EI14">_xll.EQNXTDZ($A$1,$B14,EI$1)</f>
        <v>380.2</v>
      </c>
      <c r="EJ14" s="115" cm="1">
        <f t="array" ref="EJ14">_xll.EQNXTDZ($A$1,$B14,EJ$1)</f>
        <v>452.06</v>
      </c>
      <c r="EK14" s="115" cm="1">
        <f t="array" ref="EK14">_xll.EQNXTDZ($A$1,$B14,EK$1)</f>
        <v>552.17999999999995</v>
      </c>
      <c r="EL14" s="115" cm="1">
        <f t="array" ref="EL14">_xll.EQNXTDZ($A$1,$B14,EL$1)</f>
        <v>523.6</v>
      </c>
      <c r="EM14" s="115" cm="1">
        <f t="array" ref="EM14">_xll.EQNXTDZ($A$1,$B14,EM$1)</f>
        <v>624.12</v>
      </c>
      <c r="EN14" s="115" cm="1">
        <f t="array" ref="EN14">_xll.EQNXTDZ($A$1,$B14,EN$1)</f>
        <v>597.98</v>
      </c>
      <c r="EO14" s="115" cm="1">
        <f t="array" ref="EO14">_xll.EQNXTDZ($A$1,$B14,EO$1)</f>
        <v>617.6</v>
      </c>
      <c r="EP14" s="115" cm="1">
        <f t="array" ref="EP14">_xll.EQNXTDZ($A$1,$B14,EP$1)</f>
        <v>623.38</v>
      </c>
      <c r="EQ14" s="115" cm="1">
        <f t="array" ref="EQ14">_xll.EQNXTDZ($A$1,$B14,EQ$1)</f>
        <v>669.48</v>
      </c>
      <c r="ER14" s="115" cm="1">
        <f t="array" ref="ER14">_xll.EQNXTDZ($A$1,$B14,ER$1)</f>
        <v>682.84</v>
      </c>
      <c r="ES14" s="115" cm="1">
        <f t="array" ref="ES14">_xll.EQNXTDZ($A$1,$B14,ES$1)</f>
        <v>644</v>
      </c>
      <c r="ET14" s="115" cm="1">
        <f t="array" ref="ET14">_xll.EQNXTDZ($A$1,$B14,ET$1)</f>
        <v>668.05</v>
      </c>
      <c r="EU14" s="115" cm="1">
        <f t="array" ref="EU14">_xll.EQNXTDZ($A$1,$B14,EU$1)</f>
        <v>632</v>
      </c>
      <c r="EV14" s="115" cm="1">
        <f t="array" ref="EV14">_xll.EQNXTDZ($A$1,$B14,EV$1)</f>
        <v>639.54999999999995</v>
      </c>
      <c r="EW14" s="115" cm="1">
        <f t="array" ref="EW14">_xll.EQNXTDZ($A$1,$B14,EW$1)</f>
        <v>661.7</v>
      </c>
      <c r="EX14" s="115" cm="1">
        <f t="array" ref="EX14">_xll.EQNXTDZ($A$1,$B14,EX$1)</f>
        <v>663.7</v>
      </c>
      <c r="EY14" s="115" cm="1">
        <f t="array" ref="EY14">_xll.EQNXTDZ($A$1,$B14,EY$1)</f>
        <v>593</v>
      </c>
      <c r="EZ14" s="115" cm="1">
        <f t="array" ref="EZ14">_xll.EQNXTDZ($A$1,$B14,EZ$1)</f>
        <v>558.65</v>
      </c>
      <c r="FA14" s="115" cm="1">
        <f t="array" ref="FA14">_xll.EQNXTDZ($A$1,$B14,FA$1)</f>
        <v>568.5</v>
      </c>
      <c r="FB14" s="115" cm="1">
        <f t="array" ref="FB14">_xll.EQNXTDZ($A$1,$B14,FB$1)</f>
        <v>543.5</v>
      </c>
      <c r="FC14" s="115" cm="1">
        <f t="array" ref="FC14">_xll.EQNXTDZ($A$1,$B14,FC$1)</f>
        <v>485</v>
      </c>
      <c r="FD14" s="115" cm="1">
        <f t="array" ref="FD14">_xll.EQNXTDZ($A$1,$B14,FD$1)</f>
        <v>534</v>
      </c>
      <c r="FE14" s="115" cm="1">
        <f t="array" ref="FE14">_xll.EQNXTDZ($A$1,$B14,FE$1)</f>
        <v>524.75</v>
      </c>
      <c r="FF14" s="115" cm="1">
        <f t="array" ref="FF14">_xll.EQNXTDZ($A$1,$B14,FF$1)</f>
        <v>513.35</v>
      </c>
      <c r="FG14" s="115" cm="1">
        <f t="array" ref="FG14">_xll.EQNXTDZ($A$1,$B14,FG$1)</f>
        <v>500.8</v>
      </c>
      <c r="FH14" s="115" cm="1">
        <f t="array" ref="FH14">_xll.EQNXTDZ($A$1,$B14,FH$1)</f>
        <v>487</v>
      </c>
      <c r="FI14" s="115" cm="1">
        <f t="array" ref="FI14">_xll.EQNXTDZ($A$1,$B14,FI$1)</f>
        <v>494.6</v>
      </c>
      <c r="FJ14" s="115" cm="1">
        <f t="array" ref="FJ14">_xll.EQNXTDZ($A$1,$B14,FJ$1)</f>
        <v>511.75</v>
      </c>
      <c r="FK14" s="115" cm="1">
        <f t="array" ref="FK14">_xll.EQNXTDZ($A$1,$B14,FK$1)</f>
        <v>492</v>
      </c>
      <c r="FL14" s="115" cm="1">
        <f t="array" ref="FL14">_xll.EQNXTDZ($A$1,$B14,FL$1)</f>
        <v>455.65</v>
      </c>
      <c r="FM14" s="115" cm="1">
        <f t="array" ref="FM14">_xll.EQNXTDZ($A$1,$B14,FM$1)</f>
        <v>529</v>
      </c>
      <c r="FN14" s="115" cm="1">
        <f t="array" ref="FN14">_xll.EQNXTDZ($A$1,$B14,FN$1)</f>
        <v>0</v>
      </c>
      <c r="FO14" s="115" cm="1">
        <f t="array" ref="FO14">_xll.EQNXTDZ($A$1,$B14,FO$1)</f>
        <v>0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0</v>
      </c>
      <c r="HQ14" s="115">
        <f>+MAX(G14:I14)</f>
        <v>0</v>
      </c>
      <c r="HR14" s="115">
        <f>+MAX(J14:L14)</f>
        <v>0</v>
      </c>
      <c r="HS14" s="115">
        <f>+MAX(M14:O14)</f>
        <v>0</v>
      </c>
      <c r="HT14" s="115">
        <f>+MAX(P14:R14)</f>
        <v>0</v>
      </c>
      <c r="HU14" s="115">
        <f>+MAX(S14:U14)</f>
        <v>0</v>
      </c>
      <c r="HV14" s="115">
        <f>+MAX(V14:X14)</f>
        <v>0</v>
      </c>
      <c r="HW14" s="115">
        <f>+MAX(Y14:AA14)</f>
        <v>0</v>
      </c>
      <c r="HX14" s="115">
        <f>+MAX(AB14:AD14)</f>
        <v>0</v>
      </c>
      <c r="HY14" s="115">
        <f>+MAX(AE14:AG14)</f>
        <v>0</v>
      </c>
      <c r="HZ14" s="115">
        <f>+MAX(AH14:AJ14)</f>
        <v>0</v>
      </c>
      <c r="IA14" s="115">
        <f>+MAX(AK14:AM14)</f>
        <v>0</v>
      </c>
      <c r="IB14" s="115">
        <f>+MAX(AN14:AP14)</f>
        <v>0</v>
      </c>
      <c r="IC14" s="115">
        <f>+MAX(AQ14:AS14)</f>
        <v>0</v>
      </c>
      <c r="ID14" s="115">
        <f>+MAX(AT14:AV14)</f>
        <v>0</v>
      </c>
      <c r="IE14" s="115">
        <f>+MAX(AW14:AY14)</f>
        <v>0</v>
      </c>
      <c r="IF14" s="115">
        <f>+MAX(AZ14:BB14)</f>
        <v>0</v>
      </c>
      <c r="IG14" s="115">
        <f>+MAX(BC14:BE14)</f>
        <v>27.911111111111101</v>
      </c>
      <c r="IH14" s="115">
        <f>+MAX(BF14:BH14)</f>
        <v>24.7940740740741</v>
      </c>
      <c r="II14" s="115">
        <f>+MAX(BI14:BK14)</f>
        <v>33.066666666666698</v>
      </c>
      <c r="IJ14" s="115">
        <f>+MAX(BL14:BN14)</f>
        <v>33.973333333333301</v>
      </c>
      <c r="IK14" s="115">
        <f>+MAX(BO14:BQ14)</f>
        <v>39.404444444444401</v>
      </c>
      <c r="IL14" s="115">
        <f>+MAX(BR14:BT14)</f>
        <v>45.128888888888902</v>
      </c>
      <c r="IM14" s="115">
        <f>+MAX(BU14:BW14)</f>
        <v>46.755555555555603</v>
      </c>
      <c r="IN14" s="115">
        <f>+MAX(BX14:BZ14)</f>
        <v>50.311111111111103</v>
      </c>
      <c r="IO14" s="115">
        <f>+MAX(CA14:CC14)</f>
        <v>49.860740740740702</v>
      </c>
      <c r="IP14" s="115">
        <f>+MAX(CD14:CF14)</f>
        <v>52.059259259259299</v>
      </c>
      <c r="IQ14" s="115">
        <f>+MAX(CG14:CI14)</f>
        <v>57.066666666666698</v>
      </c>
      <c r="IR14" s="115">
        <f>+MAX(CJ14:CL14)</f>
        <v>60.724444444444401</v>
      </c>
      <c r="IS14" s="115">
        <f>+MAX(CM14:CO14)</f>
        <v>70.1111111111111</v>
      </c>
      <c r="IT14" s="115">
        <f>+MAX(CP14:CR14)</f>
        <v>77.328888888888898</v>
      </c>
      <c r="IU14" s="115">
        <f>+MAX(CS14:CU14)</f>
        <v>65.635555555555598</v>
      </c>
      <c r="IV14" s="115">
        <f>+MAX(CV14:CX14)</f>
        <v>70.844444444444406</v>
      </c>
      <c r="IW14" s="115">
        <f>+MAX(CY14:DA14)</f>
        <v>88.808888888888902</v>
      </c>
      <c r="IX14" s="115">
        <f>+MAX(DB14:DD14)</f>
        <v>97.408888888888896</v>
      </c>
      <c r="IY14" s="115">
        <f>+MAX(DE14:DG14)</f>
        <v>122.48</v>
      </c>
      <c r="IZ14" s="115">
        <f>+MAX(DH14:DJ14)</f>
        <v>127.253333333333</v>
      </c>
      <c r="JA14" s="115">
        <f>+MAX(DK14:DM14)</f>
        <v>136</v>
      </c>
      <c r="JB14" s="115">
        <f>+MAX(DN14:DP14)</f>
        <v>135.333333333333</v>
      </c>
      <c r="JC14" s="115">
        <f>+MAX(DQ14:DS14)</f>
        <v>161.09</v>
      </c>
      <c r="JD14" s="115">
        <f>+MAX(DT14:DV14)</f>
        <v>238.96</v>
      </c>
      <c r="JE14" s="115">
        <f>+MAX(DW14:DY14)</f>
        <v>286.41000000000003</v>
      </c>
      <c r="JF14" s="115">
        <f>+MAX(DZ14:EB14)</f>
        <v>278.94</v>
      </c>
      <c r="JG14" s="115">
        <f>+MAX(EC14:EE14)</f>
        <v>349.43</v>
      </c>
      <c r="JH14" s="115">
        <f>+MAX(EF14:EH14)</f>
        <v>391.66</v>
      </c>
      <c r="JI14" s="115">
        <f>+MAX(EI14:EK14)</f>
        <v>552.17999999999995</v>
      </c>
      <c r="JJ14" s="115">
        <f>+MAX(EL14:EN14)</f>
        <v>624.12</v>
      </c>
      <c r="JK14" s="115">
        <f>MAX(EO14:EQ14)</f>
        <v>669.48</v>
      </c>
      <c r="JL14" s="115">
        <f>MAX(ER14:ET14)</f>
        <v>682.84</v>
      </c>
      <c r="JM14" s="115">
        <f>MAX(EU14:EW14)</f>
        <v>661.7</v>
      </c>
      <c r="JN14" s="115">
        <f>MAX(EX14:EZ14)</f>
        <v>663.7</v>
      </c>
      <c r="JO14" s="115">
        <f>MAX(FA14:FC14)</f>
        <v>568.5</v>
      </c>
      <c r="JP14" s="115">
        <f>MAX(FD14:FF14)</f>
        <v>534</v>
      </c>
      <c r="JQ14" s="115">
        <f>MAX(FG14:FI14)</f>
        <v>500.8</v>
      </c>
      <c r="JR14" s="115">
        <f>MAX(FJ14:FL14)</f>
        <v>511.75</v>
      </c>
      <c r="JS14" s="115">
        <f>MAX(FM14:FO14)</f>
        <v>529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0</v>
      </c>
      <c r="D15" s="115" cm="1">
        <f t="array" ref="D15">_xll.EQNXTDZ($A$1,$B15,D$1)</f>
        <v>0</v>
      </c>
      <c r="E15" s="115" cm="1">
        <f t="array" ref="E15">_xll.EQNXTDZ($A$1,$B15,E$1)</f>
        <v>0</v>
      </c>
      <c r="F15" s="115" cm="1">
        <f t="array" ref="F15">_xll.EQNXTDZ($A$1,$B15,F$1)</f>
        <v>0</v>
      </c>
      <c r="G15" s="115" cm="1">
        <f t="array" ref="G15">_xll.EQNXTDZ($A$1,$B15,G$1)</f>
        <v>0</v>
      </c>
      <c r="H15" s="115" cm="1">
        <f t="array" ref="H15">_xll.EQNXTDZ($A$1,$B15,H$1)</f>
        <v>0</v>
      </c>
      <c r="I15" s="115" cm="1">
        <f t="array" ref="I15">_xll.EQNXTDZ($A$1,$B15,I$1)</f>
        <v>0</v>
      </c>
      <c r="J15" s="115" cm="1">
        <f t="array" ref="J15">_xll.EQNXTDZ($A$1,$B15,J$1)</f>
        <v>0</v>
      </c>
      <c r="K15" s="115" cm="1">
        <f t="array" ref="K15">_xll.EQNXTDZ($A$1,$B15,K$1)</f>
        <v>0</v>
      </c>
      <c r="L15" s="115" cm="1">
        <f t="array" ref="L15">_xll.EQNXTDZ($A$1,$B15,L$1)</f>
        <v>0</v>
      </c>
      <c r="M15" s="115" cm="1">
        <f t="array" ref="M15">_xll.EQNXTDZ($A$1,$B15,M$1)</f>
        <v>0</v>
      </c>
      <c r="N15" s="115" cm="1">
        <f t="array" ref="N15">_xll.EQNXTDZ($A$1,$B15,N$1)</f>
        <v>0</v>
      </c>
      <c r="O15" s="115" cm="1">
        <f t="array" ref="O15">_xll.EQNXTDZ($A$1,$B15,O$1)</f>
        <v>0</v>
      </c>
      <c r="P15" s="115" cm="1">
        <f t="array" ref="P15">_xll.EQNXTDZ($A$1,$B15,P$1)</f>
        <v>0</v>
      </c>
      <c r="Q15" s="115" cm="1">
        <f t="array" ref="Q15">_xll.EQNXTDZ($A$1,$B15,Q$1)</f>
        <v>0</v>
      </c>
      <c r="R15" s="115" cm="1">
        <f t="array" ref="R15">_xll.EQNXTDZ($A$1,$B15,R$1)</f>
        <v>0</v>
      </c>
      <c r="S15" s="115" cm="1">
        <f t="array" ref="S15">_xll.EQNXTDZ($A$1,$B15,S$1)</f>
        <v>0</v>
      </c>
      <c r="T15" s="115" cm="1">
        <f t="array" ref="T15">_xll.EQNXTDZ($A$1,$B15,T$1)</f>
        <v>0</v>
      </c>
      <c r="U15" s="115" cm="1">
        <f t="array" ref="U15">_xll.EQNXTDZ($A$1,$B15,U$1)</f>
        <v>0</v>
      </c>
      <c r="V15" s="115" cm="1">
        <f t="array" ref="V15">_xll.EQNXTDZ($A$1,$B15,V$1)</f>
        <v>0</v>
      </c>
      <c r="W15" s="115" cm="1">
        <f t="array" ref="W15">_xll.EQNXTDZ($A$1,$B15,W$1)</f>
        <v>0</v>
      </c>
      <c r="X15" s="115" cm="1">
        <f t="array" ref="X15">_xll.EQNXTDZ($A$1,$B15,X$1)</f>
        <v>0</v>
      </c>
      <c r="Y15" s="115" cm="1">
        <f t="array" ref="Y15">_xll.EQNXTDZ($A$1,$B15,Y$1)</f>
        <v>0</v>
      </c>
      <c r="Z15" s="115" cm="1">
        <f t="array" ref="Z15">_xll.EQNXTDZ($A$1,$B15,Z$1)</f>
        <v>0</v>
      </c>
      <c r="AA15" s="115" cm="1">
        <f t="array" ref="AA15">_xll.EQNXTDZ($A$1,$B15,AA$1)</f>
        <v>0</v>
      </c>
      <c r="AB15" s="115" cm="1">
        <f t="array" ref="AB15">_xll.EQNXTDZ($A$1,$B15,AB$1)</f>
        <v>0</v>
      </c>
      <c r="AC15" s="115" cm="1">
        <f t="array" ref="AC15">_xll.EQNXTDZ($A$1,$B15,AC$1)</f>
        <v>0</v>
      </c>
      <c r="AD15" s="115" cm="1">
        <f t="array" ref="AD15">_xll.EQNXTDZ($A$1,$B15,AD$1)</f>
        <v>0</v>
      </c>
      <c r="AE15" s="115" cm="1">
        <f t="array" ref="AE15">_xll.EQNXTDZ($A$1,$B15,AE$1)</f>
        <v>0</v>
      </c>
      <c r="AF15" s="115" cm="1">
        <f t="array" ref="AF15">_xll.EQNXTDZ($A$1,$B15,AF$1)</f>
        <v>0</v>
      </c>
      <c r="AG15" s="115" cm="1">
        <f t="array" ref="AG15">_xll.EQNXTDZ($A$1,$B15,AG$1)</f>
        <v>0</v>
      </c>
      <c r="AH15" s="115" cm="1">
        <f t="array" ref="AH15">_xll.EQNXTDZ($A$1,$B15,AH$1)</f>
        <v>0</v>
      </c>
      <c r="AI15" s="115" cm="1">
        <f t="array" ref="AI15">_xll.EQNXTDZ($A$1,$B15,AI$1)</f>
        <v>0</v>
      </c>
      <c r="AJ15" s="115" cm="1">
        <f t="array" ref="AJ15">_xll.EQNXTDZ($A$1,$B15,AJ$1)</f>
        <v>0</v>
      </c>
      <c r="AK15" s="115" cm="1">
        <f t="array" ref="AK15">_xll.EQNXTDZ($A$1,$B15,AK$1)</f>
        <v>0</v>
      </c>
      <c r="AL15" s="115" cm="1">
        <f t="array" ref="AL15">_xll.EQNXTDZ($A$1,$B15,AL$1)</f>
        <v>0</v>
      </c>
      <c r="AM15" s="115" cm="1">
        <f t="array" ref="AM15">_xll.EQNXTDZ($A$1,$B15,AM$1)</f>
        <v>0</v>
      </c>
      <c r="AN15" s="115" cm="1">
        <f t="array" ref="AN15">_xll.EQNXTDZ($A$1,$B15,AN$1)</f>
        <v>0</v>
      </c>
      <c r="AO15" s="115" cm="1">
        <f t="array" ref="AO15">_xll.EQNXTDZ($A$1,$B15,AO$1)</f>
        <v>0</v>
      </c>
      <c r="AP15" s="115" cm="1">
        <f t="array" ref="AP15">_xll.EQNXTDZ($A$1,$B15,AP$1)</f>
        <v>0</v>
      </c>
      <c r="AQ15" s="115" cm="1">
        <f t="array" ref="AQ15">_xll.EQNXTDZ($A$1,$B15,AQ$1)</f>
        <v>0</v>
      </c>
      <c r="AR15" s="115" cm="1">
        <f t="array" ref="AR15">_xll.EQNXTDZ($A$1,$B15,AR$1)</f>
        <v>0</v>
      </c>
      <c r="AS15" s="115" cm="1">
        <f t="array" ref="AS15">_xll.EQNXTDZ($A$1,$B15,AS$1)</f>
        <v>0</v>
      </c>
      <c r="AT15" s="115" cm="1">
        <f t="array" ref="AT15">_xll.EQNXTDZ($A$1,$B15,AT$1)</f>
        <v>0</v>
      </c>
      <c r="AU15" s="115" cm="1">
        <f t="array" ref="AU15">_xll.EQNXTDZ($A$1,$B15,AU$1)</f>
        <v>0</v>
      </c>
      <c r="AV15" s="115" cm="1">
        <f t="array" ref="AV15">_xll.EQNXTDZ($A$1,$B15,AV$1)</f>
        <v>0</v>
      </c>
      <c r="AW15" s="115" cm="1">
        <f t="array" ref="AW15">_xll.EQNXTDZ($A$1,$B15,AW$1)</f>
        <v>0</v>
      </c>
      <c r="AX15" s="115" cm="1">
        <f t="array" ref="AX15">_xll.EQNXTDZ($A$1,$B15,AX$1)</f>
        <v>0</v>
      </c>
      <c r="AY15" s="115" cm="1">
        <f t="array" ref="AY15">_xll.EQNXTDZ($A$1,$B15,AY$1)</f>
        <v>0</v>
      </c>
      <c r="AZ15" s="115" cm="1">
        <f t="array" ref="AZ15">_xll.EQNXTDZ($A$1,$B15,AZ$1)</f>
        <v>0</v>
      </c>
      <c r="BA15" s="115" cm="1">
        <f t="array" ref="BA15">_xll.EQNXTDZ($A$1,$B15,BA$1)</f>
        <v>0</v>
      </c>
      <c r="BB15" s="115" cm="1">
        <f t="array" ref="BB15">_xll.EQNXTDZ($A$1,$B15,BB$1)</f>
        <v>0</v>
      </c>
      <c r="BC15" s="115" cm="1">
        <f t="array" ref="BC15">_xll.EQNXTDZ($A$1,$B15,BC$1)</f>
        <v>0</v>
      </c>
      <c r="BD15" s="115" cm="1">
        <f t="array" ref="BD15">_xll.EQNXTDZ($A$1,$B15,BD$1)</f>
        <v>23.2</v>
      </c>
      <c r="BE15" s="115" cm="1">
        <f t="array" ref="BE15">_xll.EQNXTDZ($A$1,$B15,BE$1)</f>
        <v>20.4444444444444</v>
      </c>
      <c r="BF15" s="115" cm="1">
        <f t="array" ref="BF15">_xll.EQNXTDZ($A$1,$B15,BF$1)</f>
        <v>22.678518518518501</v>
      </c>
      <c r="BG15" s="115" cm="1">
        <f t="array" ref="BG15">_xll.EQNXTDZ($A$1,$B15,BG$1)</f>
        <v>22.6666666666667</v>
      </c>
      <c r="BH15" s="115" cm="1">
        <f t="array" ref="BH15">_xll.EQNXTDZ($A$1,$B15,BH$1)</f>
        <v>20.2222222222222</v>
      </c>
      <c r="BI15" s="115" cm="1">
        <f t="array" ref="BI15">_xll.EQNXTDZ($A$1,$B15,BI$1)</f>
        <v>23.739259259259299</v>
      </c>
      <c r="BJ15" s="115" cm="1">
        <f t="array" ref="BJ15">_xll.EQNXTDZ($A$1,$B15,BJ$1)</f>
        <v>27.3688888888889</v>
      </c>
      <c r="BK15" s="115" cm="1">
        <f t="array" ref="BK15">_xll.EQNXTDZ($A$1,$B15,BK$1)</f>
        <v>28.237037037036998</v>
      </c>
      <c r="BL15" s="115" cm="1">
        <f t="array" ref="BL15">_xll.EQNXTDZ($A$1,$B15,BL$1)</f>
        <v>28.9214814814815</v>
      </c>
      <c r="BM15" s="115" cm="1">
        <f t="array" ref="BM15">_xll.EQNXTDZ($A$1,$B15,BM$1)</f>
        <v>28.515555555555601</v>
      </c>
      <c r="BN15" s="115" cm="1">
        <f t="array" ref="BN15">_xll.EQNXTDZ($A$1,$B15,BN$1)</f>
        <v>29.688888888888901</v>
      </c>
      <c r="BO15" s="115" cm="1">
        <f t="array" ref="BO15">_xll.EQNXTDZ($A$1,$B15,BO$1)</f>
        <v>28.814814814814799</v>
      </c>
      <c r="BP15" s="115" cm="1">
        <f t="array" ref="BP15">_xll.EQNXTDZ($A$1,$B15,BP$1)</f>
        <v>28.8</v>
      </c>
      <c r="BQ15" s="115" cm="1">
        <f t="array" ref="BQ15">_xll.EQNXTDZ($A$1,$B15,BQ$1)</f>
        <v>29.125925925925898</v>
      </c>
      <c r="BR15" s="115" cm="1">
        <f t="array" ref="BR15">_xll.EQNXTDZ($A$1,$B15,BR$1)</f>
        <v>36.942222222222199</v>
      </c>
      <c r="BS15" s="115" cm="1">
        <f t="array" ref="BS15">_xll.EQNXTDZ($A$1,$B15,BS$1)</f>
        <v>37.137777777777799</v>
      </c>
      <c r="BT15" s="115" cm="1">
        <f t="array" ref="BT15">_xll.EQNXTDZ($A$1,$B15,BT$1)</f>
        <v>35.128888888888902</v>
      </c>
      <c r="BU15" s="115" cm="1">
        <f t="array" ref="BU15">_xll.EQNXTDZ($A$1,$B15,BU$1)</f>
        <v>37.137777777777799</v>
      </c>
      <c r="BV15" s="115" cm="1">
        <f t="array" ref="BV15">_xll.EQNXTDZ($A$1,$B15,BV$1)</f>
        <v>38.874074074074102</v>
      </c>
      <c r="BW15" s="115" cm="1">
        <f t="array" ref="BW15">_xll.EQNXTDZ($A$1,$B15,BW$1)</f>
        <v>42.293333333333301</v>
      </c>
      <c r="BX15" s="115" cm="1">
        <f t="array" ref="BX15">_xll.EQNXTDZ($A$1,$B15,BX$1)</f>
        <v>39.709629629629603</v>
      </c>
      <c r="BY15" s="115" cm="1">
        <f t="array" ref="BY15">_xll.EQNXTDZ($A$1,$B15,BY$1)</f>
        <v>42.8237037037037</v>
      </c>
      <c r="BZ15" s="115" cm="1">
        <f t="array" ref="BZ15">_xll.EQNXTDZ($A$1,$B15,BZ$1)</f>
        <v>41.125925925925898</v>
      </c>
      <c r="CA15" s="115" cm="1">
        <f t="array" ref="CA15">_xll.EQNXTDZ($A$1,$B15,CA$1)</f>
        <v>41.976296296296297</v>
      </c>
      <c r="CB15" s="115" cm="1">
        <f t="array" ref="CB15">_xll.EQNXTDZ($A$1,$B15,CB$1)</f>
        <v>43.564444444444398</v>
      </c>
      <c r="CC15" s="115" cm="1">
        <f t="array" ref="CC15">_xll.EQNXTDZ($A$1,$B15,CC$1)</f>
        <v>40.450370370370401</v>
      </c>
      <c r="CD15" s="115" cm="1">
        <f t="array" ref="CD15">_xll.EQNXTDZ($A$1,$B15,CD$1)</f>
        <v>44.859259259259296</v>
      </c>
      <c r="CE15" s="115" cm="1">
        <f t="array" ref="CE15">_xll.EQNXTDZ($A$1,$B15,CE$1)</f>
        <v>44.145185185185198</v>
      </c>
      <c r="CF15" s="115" cm="1">
        <f t="array" ref="CF15">_xll.EQNXTDZ($A$1,$B15,CF$1)</f>
        <v>46.820740740740703</v>
      </c>
      <c r="CG15" s="115" cm="1">
        <f t="array" ref="CG15">_xll.EQNXTDZ($A$1,$B15,CG$1)</f>
        <v>48.311111111111103</v>
      </c>
      <c r="CH15" s="115" cm="1">
        <f t="array" ref="CH15">_xll.EQNXTDZ($A$1,$B15,CH$1)</f>
        <v>52.085925925925899</v>
      </c>
      <c r="CI15" s="115" cm="1">
        <f t="array" ref="CI15">_xll.EQNXTDZ($A$1,$B15,CI$1)</f>
        <v>47.170370370370399</v>
      </c>
      <c r="CJ15" s="115" cm="1">
        <f t="array" ref="CJ15">_xll.EQNXTDZ($A$1,$B15,CJ$1)</f>
        <v>51.854814814814802</v>
      </c>
      <c r="CK15" s="115" cm="1">
        <f t="array" ref="CK15">_xll.EQNXTDZ($A$1,$B15,CK$1)</f>
        <v>52.088888888888903</v>
      </c>
      <c r="CL15" s="115" cm="1">
        <f t="array" ref="CL15">_xll.EQNXTDZ($A$1,$B15,CL$1)</f>
        <v>51.2222222222222</v>
      </c>
      <c r="CM15" s="115" cm="1">
        <f t="array" ref="CM15">_xll.EQNXTDZ($A$1,$B15,CM$1)</f>
        <v>52.5822222222222</v>
      </c>
      <c r="CN15" s="115" cm="1">
        <f t="array" ref="CN15">_xll.EQNXTDZ($A$1,$B15,CN$1)</f>
        <v>54.6666666666667</v>
      </c>
      <c r="CO15" s="115" cm="1">
        <f t="array" ref="CO15">_xll.EQNXTDZ($A$1,$B15,CO$1)</f>
        <v>60.626666666666701</v>
      </c>
      <c r="CP15" s="115" cm="1">
        <f t="array" ref="CP15">_xll.EQNXTDZ($A$1,$B15,CP$1)</f>
        <v>60.933333333333302</v>
      </c>
      <c r="CQ15" s="115" cm="1">
        <f t="array" ref="CQ15">_xll.EQNXTDZ($A$1,$B15,CQ$1)</f>
        <v>66.6666666666667</v>
      </c>
      <c r="CR15" s="115" cm="1">
        <f t="array" ref="CR15">_xll.EQNXTDZ($A$1,$B15,CR$1)</f>
        <v>43.115555555555602</v>
      </c>
      <c r="CS15" s="115" cm="1">
        <f t="array" ref="CS15">_xll.EQNXTDZ($A$1,$B15,CS$1)</f>
        <v>44.626666666666701</v>
      </c>
      <c r="CT15" s="115" cm="1">
        <f t="array" ref="CT15">_xll.EQNXTDZ($A$1,$B15,CT$1)</f>
        <v>50.808888888888902</v>
      </c>
      <c r="CU15" s="115" cm="1">
        <f t="array" ref="CU15">_xll.EQNXTDZ($A$1,$B15,CU$1)</f>
        <v>52.364444444444402</v>
      </c>
      <c r="CV15" s="115" cm="1">
        <f t="array" ref="CV15">_xll.EQNXTDZ($A$1,$B15,CV$1)</f>
        <v>58.844444444444399</v>
      </c>
      <c r="CW15" s="115" cm="1">
        <f t="array" ref="CW15">_xll.EQNXTDZ($A$1,$B15,CW$1)</f>
        <v>60.493333333333297</v>
      </c>
      <c r="CX15" s="115" cm="1">
        <f t="array" ref="CX15">_xll.EQNXTDZ($A$1,$B15,CX$1)</f>
        <v>58.844444444444399</v>
      </c>
      <c r="CY15" s="115" cm="1">
        <f t="array" ref="CY15">_xll.EQNXTDZ($A$1,$B15,CY$1)</f>
        <v>57.351111111111102</v>
      </c>
      <c r="CZ15" s="115" cm="1">
        <f t="array" ref="CZ15">_xll.EQNXTDZ($A$1,$B15,CZ$1)</f>
        <v>58.3466666666667</v>
      </c>
      <c r="DA15" s="115" cm="1">
        <f t="array" ref="DA15">_xll.EQNXTDZ($A$1,$B15,DA$1)</f>
        <v>73.182222222222194</v>
      </c>
      <c r="DB15" s="115" cm="1">
        <f t="array" ref="DB15">_xll.EQNXTDZ($A$1,$B15,DB$1)</f>
        <v>76</v>
      </c>
      <c r="DC15" s="115" cm="1">
        <f t="array" ref="DC15">_xll.EQNXTDZ($A$1,$B15,DC$1)</f>
        <v>77.013333333333307</v>
      </c>
      <c r="DD15" s="115" cm="1">
        <f t="array" ref="DD15">_xll.EQNXTDZ($A$1,$B15,DD$1)</f>
        <v>85.191111111111098</v>
      </c>
      <c r="DE15" s="115" cm="1">
        <f t="array" ref="DE15">_xll.EQNXTDZ($A$1,$B15,DE$1)</f>
        <v>77.688888888888897</v>
      </c>
      <c r="DF15" s="115" cm="1">
        <f t="array" ref="DF15">_xll.EQNXTDZ($A$1,$B15,DF$1)</f>
        <v>85.688888888888897</v>
      </c>
      <c r="DG15" s="115" cm="1">
        <f t="array" ref="DG15">_xll.EQNXTDZ($A$1,$B15,DG$1)</f>
        <v>89.244444444444397</v>
      </c>
      <c r="DH15" s="115" cm="1">
        <f t="array" ref="DH15">_xll.EQNXTDZ($A$1,$B15,DH$1)</f>
        <v>94.6666666666667</v>
      </c>
      <c r="DI15" s="115" cm="1">
        <f t="array" ref="DI15">_xll.EQNXTDZ($A$1,$B15,DI$1)</f>
        <v>96.126666666666694</v>
      </c>
      <c r="DJ15" s="115" cm="1">
        <f t="array" ref="DJ15">_xll.EQNXTDZ($A$1,$B15,DJ$1)</f>
        <v>111.2</v>
      </c>
      <c r="DK15" s="115" cm="1">
        <f t="array" ref="DK15">_xll.EQNXTDZ($A$1,$B15,DK$1)</f>
        <v>107.76</v>
      </c>
      <c r="DL15" s="115" cm="1">
        <f t="array" ref="DL15">_xll.EQNXTDZ($A$1,$B15,DL$1)</f>
        <v>112.666666666667</v>
      </c>
      <c r="DM15" s="115" cm="1">
        <f t="array" ref="DM15">_xll.EQNXTDZ($A$1,$B15,DM$1)</f>
        <v>109.053333333333</v>
      </c>
      <c r="DN15" s="115" cm="1">
        <f t="array" ref="DN15">_xll.EQNXTDZ($A$1,$B15,DN$1)</f>
        <v>111.62666666666701</v>
      </c>
      <c r="DO15" s="115" cm="1">
        <f t="array" ref="DO15">_xll.EQNXTDZ($A$1,$B15,DO$1)</f>
        <v>111.446666666667</v>
      </c>
      <c r="DP15" s="115" cm="1">
        <f t="array" ref="DP15">_xll.EQNXTDZ($A$1,$B15,DP$1)</f>
        <v>116.84</v>
      </c>
      <c r="DQ15" s="115" cm="1">
        <f t="array" ref="DQ15">_xll.EQNXTDZ($A$1,$B15,DQ$1)</f>
        <v>124.22</v>
      </c>
      <c r="DR15" s="115" cm="1">
        <f t="array" ref="DR15">_xll.EQNXTDZ($A$1,$B15,DR$1)</f>
        <v>134.933333333333</v>
      </c>
      <c r="DS15" s="115" cm="1">
        <f t="array" ref="DS15">_xll.EQNXTDZ($A$1,$B15,DS$1)</f>
        <v>140.393333333333</v>
      </c>
      <c r="DT15" s="115" cm="1">
        <f t="array" ref="DT15">_xll.EQNXTDZ($A$1,$B15,DT$1)</f>
        <v>156.09</v>
      </c>
      <c r="DU15" s="115" cm="1">
        <f t="array" ref="DU15">_xll.EQNXTDZ($A$1,$B15,DU$1)</f>
        <v>177.94</v>
      </c>
      <c r="DV15" s="115" cm="1">
        <f t="array" ref="DV15">_xll.EQNXTDZ($A$1,$B15,DV$1)</f>
        <v>201.37</v>
      </c>
      <c r="DW15" s="115" cm="1">
        <f t="array" ref="DW15">_xll.EQNXTDZ($A$1,$B15,DW$1)</f>
        <v>192.67</v>
      </c>
      <c r="DX15" s="115" cm="1">
        <f t="array" ref="DX15">_xll.EQNXTDZ($A$1,$B15,DX$1)</f>
        <v>210.16</v>
      </c>
      <c r="DY15" s="115" cm="1">
        <f t="array" ref="DY15">_xll.EQNXTDZ($A$1,$B15,DY$1)</f>
        <v>248.4</v>
      </c>
      <c r="DZ15" s="115" cm="1">
        <f t="array" ref="DZ15">_xll.EQNXTDZ($A$1,$B15,DZ$1)</f>
        <v>224.43</v>
      </c>
      <c r="EA15" s="115" cm="1">
        <f t="array" ref="EA15">_xll.EQNXTDZ($A$1,$B15,EA$1)</f>
        <v>220</v>
      </c>
      <c r="EB15" s="115" cm="1">
        <f t="array" ref="EB15">_xll.EQNXTDZ($A$1,$B15,EB$1)</f>
        <v>253.32</v>
      </c>
      <c r="EC15" s="115" cm="1">
        <f t="array" ref="EC15">_xll.EQNXTDZ($A$1,$B15,EC$1)</f>
        <v>275</v>
      </c>
      <c r="ED15" s="115" cm="1">
        <f t="array" ref="ED15">_xll.EQNXTDZ($A$1,$B15,ED$1)</f>
        <v>280</v>
      </c>
      <c r="EE15" s="115" cm="1">
        <f t="array" ref="EE15">_xll.EQNXTDZ($A$1,$B15,EE$1)</f>
        <v>301.74</v>
      </c>
      <c r="EF15" s="115" cm="1">
        <f t="array" ref="EF15">_xll.EQNXTDZ($A$1,$B15,EF$1)</f>
        <v>314</v>
      </c>
      <c r="EG15" s="115" cm="1">
        <f t="array" ref="EG15">_xll.EQNXTDZ($A$1,$B15,EG$1)</f>
        <v>319.76</v>
      </c>
      <c r="EH15" s="115" cm="1">
        <f t="array" ref="EH15">_xll.EQNXTDZ($A$1,$B15,EH$1)</f>
        <v>356.48</v>
      </c>
      <c r="EI15" s="115" cm="1">
        <f t="array" ref="EI15">_xll.EQNXTDZ($A$1,$B15,EI$1)</f>
        <v>331.28</v>
      </c>
      <c r="EJ15" s="115" cm="1">
        <f t="array" ref="EJ15">_xll.EQNXTDZ($A$1,$B15,EJ$1)</f>
        <v>364.4</v>
      </c>
      <c r="EK15" s="115" cm="1">
        <f t="array" ref="EK15">_xll.EQNXTDZ($A$1,$B15,EK$1)</f>
        <v>422.16</v>
      </c>
      <c r="EL15" s="115" cm="1">
        <f t="array" ref="EL15">_xll.EQNXTDZ($A$1,$B15,EL$1)</f>
        <v>478.48</v>
      </c>
      <c r="EM15" s="115" cm="1">
        <f t="array" ref="EM15">_xll.EQNXTDZ($A$1,$B15,EM$1)</f>
        <v>504.26</v>
      </c>
      <c r="EN15" s="115" cm="1">
        <f t="array" ref="EN15">_xll.EQNXTDZ($A$1,$B15,EN$1)</f>
        <v>541.79999999999995</v>
      </c>
      <c r="EO15" s="115" cm="1">
        <f t="array" ref="EO15">_xll.EQNXTDZ($A$1,$B15,EO$1)</f>
        <v>528.82000000000005</v>
      </c>
      <c r="EP15" s="115" cm="1">
        <f t="array" ref="EP15">_xll.EQNXTDZ($A$1,$B15,EP$1)</f>
        <v>556.08000000000004</v>
      </c>
      <c r="EQ15" s="115" cm="1">
        <f t="array" ref="EQ15">_xll.EQNXTDZ($A$1,$B15,EQ$1)</f>
        <v>528.4</v>
      </c>
      <c r="ER15" s="115" cm="1">
        <f t="array" ref="ER15">_xll.EQNXTDZ($A$1,$B15,ER$1)</f>
        <v>602.79999999999995</v>
      </c>
      <c r="ES15" s="115" cm="1">
        <f t="array" ref="ES15">_xll.EQNXTDZ($A$1,$B15,ES$1)</f>
        <v>565.20000000000005</v>
      </c>
      <c r="ET15" s="115" cm="1">
        <f t="array" ref="ET15">_xll.EQNXTDZ($A$1,$B15,ET$1)</f>
        <v>549.6</v>
      </c>
      <c r="EU15" s="115" cm="1">
        <f t="array" ref="EU15">_xll.EQNXTDZ($A$1,$B15,EU$1)</f>
        <v>537.79999999999995</v>
      </c>
      <c r="EV15" s="115" cm="1">
        <f t="array" ref="EV15">_xll.EQNXTDZ($A$1,$B15,EV$1)</f>
        <v>565</v>
      </c>
      <c r="EW15" s="115" cm="1">
        <f t="array" ref="EW15">_xll.EQNXTDZ($A$1,$B15,EW$1)</f>
        <v>600</v>
      </c>
      <c r="EX15" s="115" cm="1">
        <f t="array" ref="EX15">_xll.EQNXTDZ($A$1,$B15,EX$1)</f>
        <v>516.95000000000005</v>
      </c>
      <c r="EY15" s="115" cm="1">
        <f t="array" ref="EY15">_xll.EQNXTDZ($A$1,$B15,EY$1)</f>
        <v>429.7</v>
      </c>
      <c r="EZ15" s="115" cm="1">
        <f t="array" ref="EZ15">_xll.EQNXTDZ($A$1,$B15,EZ$1)</f>
        <v>419.4</v>
      </c>
      <c r="FA15" s="115" cm="1">
        <f t="array" ref="FA15">_xll.EQNXTDZ($A$1,$B15,FA$1)</f>
        <v>488</v>
      </c>
      <c r="FB15" s="115" cm="1">
        <f t="array" ref="FB15">_xll.EQNXTDZ($A$1,$B15,FB$1)</f>
        <v>467.45</v>
      </c>
      <c r="FC15" s="115" cm="1">
        <f t="array" ref="FC15">_xll.EQNXTDZ($A$1,$B15,FC$1)</f>
        <v>445.6</v>
      </c>
      <c r="FD15" s="115" cm="1">
        <f t="array" ref="FD15">_xll.EQNXTDZ($A$1,$B15,FD$1)</f>
        <v>449.6</v>
      </c>
      <c r="FE15" s="115" cm="1">
        <f t="array" ref="FE15">_xll.EQNXTDZ($A$1,$B15,FE$1)</f>
        <v>484</v>
      </c>
      <c r="FF15" s="115" cm="1">
        <f t="array" ref="FF15">_xll.EQNXTDZ($A$1,$B15,FF$1)</f>
        <v>441.1</v>
      </c>
      <c r="FG15" s="115" cm="1">
        <f t="array" ref="FG15">_xll.EQNXTDZ($A$1,$B15,FG$1)</f>
        <v>431.3</v>
      </c>
      <c r="FH15" s="115" cm="1">
        <f t="array" ref="FH15">_xll.EQNXTDZ($A$1,$B15,FH$1)</f>
        <v>442.5</v>
      </c>
      <c r="FI15" s="115" cm="1">
        <f t="array" ref="FI15">_xll.EQNXTDZ($A$1,$B15,FI$1)</f>
        <v>457.6</v>
      </c>
      <c r="FJ15" s="115" cm="1">
        <f t="array" ref="FJ15">_xll.EQNXTDZ($A$1,$B15,FJ$1)</f>
        <v>451.8</v>
      </c>
      <c r="FK15" s="115" cm="1">
        <f t="array" ref="FK15">_xll.EQNXTDZ($A$1,$B15,FK$1)</f>
        <v>432.3</v>
      </c>
      <c r="FL15" s="115" cm="1">
        <f t="array" ref="FL15">_xll.EQNXTDZ($A$1,$B15,FL$1)</f>
        <v>381</v>
      </c>
      <c r="FM15" s="115" cm="1">
        <f t="array" ref="FM15">_xll.EQNXTDZ($A$1,$B15,FM$1)</f>
        <v>389.1</v>
      </c>
      <c r="FN15" s="115" cm="1">
        <f t="array" ref="FN15">_xll.EQNXTDZ($A$1,$B15,FN$1)</f>
        <v>0</v>
      </c>
      <c r="FO15" s="115" cm="1">
        <f t="array" ref="FO15">_xll.EQNXTDZ($A$1,$B15,FO$1)</f>
        <v>0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0</v>
      </c>
      <c r="HQ15" s="115">
        <f>+MIN(G15:I15)</f>
        <v>0</v>
      </c>
      <c r="HR15" s="115">
        <f>+MIN(J15:L15)</f>
        <v>0</v>
      </c>
      <c r="HS15" s="115">
        <f>+MIN(M15:O15)</f>
        <v>0</v>
      </c>
      <c r="HT15" s="115">
        <f>+MIN(P15:R15)</f>
        <v>0</v>
      </c>
      <c r="HU15" s="115">
        <f>+MIN(S15:U15)</f>
        <v>0</v>
      </c>
      <c r="HV15" s="115">
        <f>+MIN(V15:X15)</f>
        <v>0</v>
      </c>
      <c r="HW15" s="115">
        <f>+MIN(Y15:AA15)</f>
        <v>0</v>
      </c>
      <c r="HX15" s="115">
        <f>+MIN(AB15:AD15)</f>
        <v>0</v>
      </c>
      <c r="HY15" s="115">
        <f>+MIN(AE15:AG15)</f>
        <v>0</v>
      </c>
      <c r="HZ15" s="115">
        <f>+MIN(AH15:AJ15)</f>
        <v>0</v>
      </c>
      <c r="IA15" s="115">
        <f>+MIN(AK15:AM15)</f>
        <v>0</v>
      </c>
      <c r="IB15" s="115">
        <f>+MIN(AN15:AP15)</f>
        <v>0</v>
      </c>
      <c r="IC15" s="115">
        <f>+MIN(AQ15:AS15)</f>
        <v>0</v>
      </c>
      <c r="ID15" s="115">
        <f>+MIN(AT15:AV15)</f>
        <v>0</v>
      </c>
      <c r="IE15" s="115">
        <f>+MIN(AW15:AY15)</f>
        <v>0</v>
      </c>
      <c r="IF15" s="115">
        <f>+MIN(AZ15:BB15)</f>
        <v>0</v>
      </c>
      <c r="IG15" s="115">
        <f>+MIN(BC15:BE15)</f>
        <v>0</v>
      </c>
      <c r="IH15" s="115">
        <f>+MIN(BF15:BH15)</f>
        <v>20.2222222222222</v>
      </c>
      <c r="II15" s="115">
        <f>+MIN(BI15:BK15)</f>
        <v>23.739259259259299</v>
      </c>
      <c r="IJ15" s="115">
        <f>+MIN(BL15:BN15)</f>
        <v>28.515555555555601</v>
      </c>
      <c r="IK15" s="115">
        <f>+MIN(BO15:BQ15)</f>
        <v>28.8</v>
      </c>
      <c r="IL15" s="115">
        <f>+MIN(BR15:BT15)</f>
        <v>35.128888888888902</v>
      </c>
      <c r="IM15" s="115">
        <f>+MIN(BU15:BW15)</f>
        <v>37.137777777777799</v>
      </c>
      <c r="IN15" s="115">
        <f>+MIN(BX15:BZ15)</f>
        <v>39.709629629629603</v>
      </c>
      <c r="IO15" s="115">
        <f>+MIN(CA15:CC15)</f>
        <v>40.450370370370401</v>
      </c>
      <c r="IP15" s="115">
        <f>+MIN(CD15:CF15)</f>
        <v>44.145185185185198</v>
      </c>
      <c r="IQ15" s="115">
        <f>+MIN(CG15:CI15)</f>
        <v>47.170370370370399</v>
      </c>
      <c r="IR15" s="115">
        <f>+MIN(CJ15:CL15)</f>
        <v>51.2222222222222</v>
      </c>
      <c r="IS15" s="115">
        <f>+MIN(CM15:CO15)</f>
        <v>52.5822222222222</v>
      </c>
      <c r="IT15" s="115">
        <f>+MIN(CP15:CR15)</f>
        <v>43.115555555555602</v>
      </c>
      <c r="IU15" s="115">
        <f>+MIN(CS15:CU15)</f>
        <v>44.626666666666701</v>
      </c>
      <c r="IV15" s="115">
        <f>+MIN(CV15:CX15)</f>
        <v>58.844444444444399</v>
      </c>
      <c r="IW15" s="115">
        <f>+MIN(CY15:DA15)</f>
        <v>57.351111111111102</v>
      </c>
      <c r="IX15" s="115">
        <f>+MIN(DB15:DD15)</f>
        <v>76</v>
      </c>
      <c r="IY15" s="115">
        <f>+MIN(DE15:DG15)</f>
        <v>77.688888888888897</v>
      </c>
      <c r="IZ15" s="115">
        <f>+MIN(DH15:DJ15)</f>
        <v>94.6666666666667</v>
      </c>
      <c r="JA15" s="115">
        <f>+MIN(DK15:DM15)</f>
        <v>107.76</v>
      </c>
      <c r="JB15" s="115">
        <f>+MIN(DN15:DP15)</f>
        <v>111.446666666667</v>
      </c>
      <c r="JC15" s="115">
        <f>+MIN(DQ15:DS15)</f>
        <v>124.22</v>
      </c>
      <c r="JD15" s="115">
        <f>+MIN(DT15:DV15)</f>
        <v>156.09</v>
      </c>
      <c r="JE15" s="115">
        <f>+MIN(DW15:DY15)</f>
        <v>192.67</v>
      </c>
      <c r="JF15" s="115">
        <f>+MIN(DZ15:EB15)</f>
        <v>220</v>
      </c>
      <c r="JG15" s="115">
        <f>+MIN(EC15:EE15)</f>
        <v>275</v>
      </c>
      <c r="JH15" s="115">
        <f>+MIN(EF15:EH15)</f>
        <v>314</v>
      </c>
      <c r="JI15" s="115">
        <f>+MIN(EI15:EK15)</f>
        <v>331.28</v>
      </c>
      <c r="JJ15" s="115">
        <f>+MIN(EL15:EN15)</f>
        <v>478.48</v>
      </c>
      <c r="JK15" s="115">
        <f>MIN(EO15:EQ15)</f>
        <v>528.4</v>
      </c>
      <c r="JL15" s="115">
        <f>MIN(ER15:ET15)</f>
        <v>549.6</v>
      </c>
      <c r="JM15" s="115">
        <f>MIN(EU15:EW15)</f>
        <v>537.79999999999995</v>
      </c>
      <c r="JN15" s="115">
        <f>MIN(EX15:EZ15)</f>
        <v>419.4</v>
      </c>
      <c r="JO15" s="115">
        <f>MIN(FA15:FC15)</f>
        <v>445.6</v>
      </c>
      <c r="JP15" s="115">
        <f>MIN(FD15:FF15)</f>
        <v>441.1</v>
      </c>
      <c r="JQ15" s="115">
        <f>MIN(FG15:FI15)</f>
        <v>431.3</v>
      </c>
      <c r="JR15" s="115">
        <f>MIN(FJ15:FL15)</f>
        <v>381</v>
      </c>
      <c r="JS15" s="115">
        <f>MIN(FM15:FO15)</f>
        <v>0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0</v>
      </c>
      <c r="D16" s="115" cm="1">
        <f t="array" ref="D16">_xll.EQNXTDZ($A$1,$B16,D$1)</f>
        <v>0</v>
      </c>
      <c r="E16" s="115" cm="1">
        <f t="array" ref="E16">_xll.EQNXTDZ($A$1,$B16,E$1)</f>
        <v>0</v>
      </c>
      <c r="F16" s="115" cm="1">
        <f t="array" ref="F16">_xll.EQNXTDZ($A$1,$B16,F$1)</f>
        <v>0</v>
      </c>
      <c r="G16" s="115" cm="1">
        <f t="array" ref="G16">_xll.EQNXTDZ($A$1,$B16,G$1)</f>
        <v>0</v>
      </c>
      <c r="H16" s="115" cm="1">
        <f t="array" ref="H16">_xll.EQNXTDZ($A$1,$B16,H$1)</f>
        <v>0</v>
      </c>
      <c r="I16" s="115" cm="1">
        <f t="array" ref="I16">_xll.EQNXTDZ($A$1,$B16,I$1)</f>
        <v>0</v>
      </c>
      <c r="J16" s="115" cm="1">
        <f t="array" ref="J16">_xll.EQNXTDZ($A$1,$B16,J$1)</f>
        <v>0</v>
      </c>
      <c r="K16" s="115" cm="1">
        <f t="array" ref="K16">_xll.EQNXTDZ($A$1,$B16,K$1)</f>
        <v>0</v>
      </c>
      <c r="L16" s="115" cm="1">
        <f t="array" ref="L16">_xll.EQNXTDZ($A$1,$B16,L$1)</f>
        <v>0</v>
      </c>
      <c r="M16" s="115" cm="1">
        <f t="array" ref="M16">_xll.EQNXTDZ($A$1,$B16,M$1)</f>
        <v>0</v>
      </c>
      <c r="N16" s="115" cm="1">
        <f t="array" ref="N16">_xll.EQNXTDZ($A$1,$B16,N$1)</f>
        <v>0</v>
      </c>
      <c r="O16" s="115" cm="1">
        <f t="array" ref="O16">_xll.EQNXTDZ($A$1,$B16,O$1)</f>
        <v>0</v>
      </c>
      <c r="P16" s="115" cm="1">
        <f t="array" ref="P16">_xll.EQNXTDZ($A$1,$B16,P$1)</f>
        <v>0</v>
      </c>
      <c r="Q16" s="115" cm="1">
        <f t="array" ref="Q16">_xll.EQNXTDZ($A$1,$B16,Q$1)</f>
        <v>0</v>
      </c>
      <c r="R16" s="115" cm="1">
        <f t="array" ref="R16">_xll.EQNXTDZ($A$1,$B16,R$1)</f>
        <v>0</v>
      </c>
      <c r="S16" s="115" cm="1">
        <f t="array" ref="S16">_xll.EQNXTDZ($A$1,$B16,S$1)</f>
        <v>0</v>
      </c>
      <c r="T16" s="115" cm="1">
        <f t="array" ref="T16">_xll.EQNXTDZ($A$1,$B16,T$1)</f>
        <v>0</v>
      </c>
      <c r="U16" s="115" cm="1">
        <f t="array" ref="U16">_xll.EQNXTDZ($A$1,$B16,U$1)</f>
        <v>0</v>
      </c>
      <c r="V16" s="115" cm="1">
        <f t="array" ref="V16">_xll.EQNXTDZ($A$1,$B16,V$1)</f>
        <v>0</v>
      </c>
      <c r="W16" s="115" cm="1">
        <f t="array" ref="W16">_xll.EQNXTDZ($A$1,$B16,W$1)</f>
        <v>0</v>
      </c>
      <c r="X16" s="115" cm="1">
        <f t="array" ref="X16">_xll.EQNXTDZ($A$1,$B16,X$1)</f>
        <v>0</v>
      </c>
      <c r="Y16" s="115" cm="1">
        <f t="array" ref="Y16">_xll.EQNXTDZ($A$1,$B16,Y$1)</f>
        <v>0</v>
      </c>
      <c r="Z16" s="115" cm="1">
        <f t="array" ref="Z16">_xll.EQNXTDZ($A$1,$B16,Z$1)</f>
        <v>0</v>
      </c>
      <c r="AA16" s="115" cm="1">
        <f t="array" ref="AA16">_xll.EQNXTDZ($A$1,$B16,AA$1)</f>
        <v>0</v>
      </c>
      <c r="AB16" s="115" cm="1">
        <f t="array" ref="AB16">_xll.EQNXTDZ($A$1,$B16,AB$1)</f>
        <v>0</v>
      </c>
      <c r="AC16" s="115" cm="1">
        <f t="array" ref="AC16">_xll.EQNXTDZ($A$1,$B16,AC$1)</f>
        <v>0</v>
      </c>
      <c r="AD16" s="115" cm="1">
        <f t="array" ref="AD16">_xll.EQNXTDZ($A$1,$B16,AD$1)</f>
        <v>0</v>
      </c>
      <c r="AE16" s="115" cm="1">
        <f t="array" ref="AE16">_xll.EQNXTDZ($A$1,$B16,AE$1)</f>
        <v>0</v>
      </c>
      <c r="AF16" s="115" cm="1">
        <f t="array" ref="AF16">_xll.EQNXTDZ($A$1,$B16,AF$1)</f>
        <v>0</v>
      </c>
      <c r="AG16" s="115" cm="1">
        <f t="array" ref="AG16">_xll.EQNXTDZ($A$1,$B16,AG$1)</f>
        <v>0</v>
      </c>
      <c r="AH16" s="115" cm="1">
        <f t="array" ref="AH16">_xll.EQNXTDZ($A$1,$B16,AH$1)</f>
        <v>0</v>
      </c>
      <c r="AI16" s="115" cm="1">
        <f t="array" ref="AI16">_xll.EQNXTDZ($A$1,$B16,AI$1)</f>
        <v>0</v>
      </c>
      <c r="AJ16" s="115" cm="1">
        <f t="array" ref="AJ16">_xll.EQNXTDZ($A$1,$B16,AJ$1)</f>
        <v>0</v>
      </c>
      <c r="AK16" s="115" cm="1">
        <f t="array" ref="AK16">_xll.EQNXTDZ($A$1,$B16,AK$1)</f>
        <v>0</v>
      </c>
      <c r="AL16" s="115" cm="1">
        <f t="array" ref="AL16">_xll.EQNXTDZ($A$1,$B16,AL$1)</f>
        <v>0</v>
      </c>
      <c r="AM16" s="115" cm="1">
        <f t="array" ref="AM16">_xll.EQNXTDZ($A$1,$B16,AM$1)</f>
        <v>0</v>
      </c>
      <c r="AN16" s="115" cm="1">
        <f t="array" ref="AN16">_xll.EQNXTDZ($A$1,$B16,AN$1)</f>
        <v>0</v>
      </c>
      <c r="AO16" s="115" cm="1">
        <f t="array" ref="AO16">_xll.EQNXTDZ($A$1,$B16,AO$1)</f>
        <v>0</v>
      </c>
      <c r="AP16" s="115" cm="1">
        <f t="array" ref="AP16">_xll.EQNXTDZ($A$1,$B16,AP$1)</f>
        <v>0</v>
      </c>
      <c r="AQ16" s="115" cm="1">
        <f t="array" ref="AQ16">_xll.EQNXTDZ($A$1,$B16,AQ$1)</f>
        <v>0</v>
      </c>
      <c r="AR16" s="115" cm="1">
        <f t="array" ref="AR16">_xll.EQNXTDZ($A$1,$B16,AR$1)</f>
        <v>0</v>
      </c>
      <c r="AS16" s="115" cm="1">
        <f t="array" ref="AS16">_xll.EQNXTDZ($A$1,$B16,AS$1)</f>
        <v>0</v>
      </c>
      <c r="AT16" s="115" cm="1">
        <f t="array" ref="AT16">_xll.EQNXTDZ($A$1,$B16,AT$1)</f>
        <v>0</v>
      </c>
      <c r="AU16" s="115" cm="1">
        <f t="array" ref="AU16">_xll.EQNXTDZ($A$1,$B16,AU$1)</f>
        <v>0</v>
      </c>
      <c r="AV16" s="115" cm="1">
        <f t="array" ref="AV16">_xll.EQNXTDZ($A$1,$B16,AV$1)</f>
        <v>0</v>
      </c>
      <c r="AW16" s="115" cm="1">
        <f t="array" ref="AW16">_xll.EQNXTDZ($A$1,$B16,AW$1)</f>
        <v>0</v>
      </c>
      <c r="AX16" s="115" cm="1">
        <f t="array" ref="AX16">_xll.EQNXTDZ($A$1,$B16,AX$1)</f>
        <v>0</v>
      </c>
      <c r="AY16" s="115" cm="1">
        <f t="array" ref="AY16">_xll.EQNXTDZ($A$1,$B16,AY$1)</f>
        <v>0</v>
      </c>
      <c r="AZ16" s="115" cm="1">
        <f t="array" ref="AZ16">_xll.EQNXTDZ($A$1,$B16,AZ$1)</f>
        <v>0</v>
      </c>
      <c r="BA16" s="115" cm="1">
        <f t="array" ref="BA16">_xll.EQNXTDZ($A$1,$B16,BA$1)</f>
        <v>0</v>
      </c>
      <c r="BB16" s="115" cm="1">
        <f t="array" ref="BB16">_xll.EQNXTDZ($A$1,$B16,BB$1)</f>
        <v>0</v>
      </c>
      <c r="BC16" s="115" cm="1">
        <f t="array" ref="BC16">_xll.EQNXTDZ($A$1,$B16,BC$1)</f>
        <v>0</v>
      </c>
      <c r="BD16" s="115" cm="1">
        <f t="array" ref="BD16">_xll.EQNXTDZ($A$1,$B16,BD$1)</f>
        <v>25.8696296296296</v>
      </c>
      <c r="BE16" s="115" cm="1">
        <f t="array" ref="BE16">_xll.EQNXTDZ($A$1,$B16,BE$1)</f>
        <v>22.5985185185185</v>
      </c>
      <c r="BF16" s="115" cm="1">
        <f t="array" ref="BF16">_xll.EQNXTDZ($A$1,$B16,BF$1)</f>
        <v>23.671111111111099</v>
      </c>
      <c r="BG16" s="115" cm="1">
        <f t="array" ref="BG16">_xll.EQNXTDZ($A$1,$B16,BG$1)</f>
        <v>23.031111111111102</v>
      </c>
      <c r="BH16" s="115" cm="1">
        <f t="array" ref="BH16">_xll.EQNXTDZ($A$1,$B16,BH$1)</f>
        <v>23.985185185185198</v>
      </c>
      <c r="BI16" s="115" cm="1">
        <f t="array" ref="BI16">_xll.EQNXTDZ($A$1,$B16,BI$1)</f>
        <v>27.9022222222222</v>
      </c>
      <c r="BJ16" s="115" cm="1">
        <f t="array" ref="BJ16">_xll.EQNXTDZ($A$1,$B16,BJ$1)</f>
        <v>29.484444444444399</v>
      </c>
      <c r="BK16" s="115" cm="1">
        <f t="array" ref="BK16">_xll.EQNXTDZ($A$1,$B16,BK$1)</f>
        <v>31.6177777777778</v>
      </c>
      <c r="BL16" s="115" cm="1">
        <f t="array" ref="BL16">_xll.EQNXTDZ($A$1,$B16,BL$1)</f>
        <v>29.641481481481499</v>
      </c>
      <c r="BM16" s="115" cm="1">
        <f t="array" ref="BM16">_xll.EQNXTDZ($A$1,$B16,BM$1)</f>
        <v>31.069629629629599</v>
      </c>
      <c r="BN16" s="115" cm="1">
        <f t="array" ref="BN16">_xll.EQNXTDZ($A$1,$B16,BN$1)</f>
        <v>29.973333333333301</v>
      </c>
      <c r="BO16" s="115" cm="1">
        <f t="array" ref="BO16">_xll.EQNXTDZ($A$1,$B16,BO$1)</f>
        <v>29.703703703703699</v>
      </c>
      <c r="BP16" s="115" cm="1">
        <f t="array" ref="BP16">_xll.EQNXTDZ($A$1,$B16,BP$1)</f>
        <v>30.180740740740699</v>
      </c>
      <c r="BQ16" s="115" cm="1">
        <f t="array" ref="BQ16">_xll.EQNXTDZ($A$1,$B16,BQ$1)</f>
        <v>38.598518518518503</v>
      </c>
      <c r="BR16" s="115" cm="1">
        <f t="array" ref="BR16">_xll.EQNXTDZ($A$1,$B16,BR$1)</f>
        <v>40.951111111111103</v>
      </c>
      <c r="BS16" s="115" cm="1">
        <f t="array" ref="BS16">_xll.EQNXTDZ($A$1,$B16,BS$1)</f>
        <v>38.462222222222202</v>
      </c>
      <c r="BT16" s="115" cm="1">
        <f t="array" ref="BT16">_xll.EQNXTDZ($A$1,$B16,BT$1)</f>
        <v>36.586666666666702</v>
      </c>
      <c r="BU16" s="115" cm="1">
        <f t="array" ref="BU16">_xll.EQNXTDZ($A$1,$B16,BU$1)</f>
        <v>38.648888888888898</v>
      </c>
      <c r="BV16" s="115" cm="1">
        <f t="array" ref="BV16">_xll.EQNXTDZ($A$1,$B16,BV$1)</f>
        <v>45.413333333333298</v>
      </c>
      <c r="BW16" s="115" cm="1">
        <f t="array" ref="BW16">_xll.EQNXTDZ($A$1,$B16,BW$1)</f>
        <v>44.637037037036997</v>
      </c>
      <c r="BX16" s="115" cm="1">
        <f t="array" ref="BX16">_xll.EQNXTDZ($A$1,$B16,BX$1)</f>
        <v>44.580740740740701</v>
      </c>
      <c r="BY16" s="115" cm="1">
        <f t="array" ref="BY16">_xll.EQNXTDZ($A$1,$B16,BY$1)</f>
        <v>48.397037037037002</v>
      </c>
      <c r="BZ16" s="115" cm="1">
        <f t="array" ref="BZ16">_xll.EQNXTDZ($A$1,$B16,BZ$1)</f>
        <v>43.84</v>
      </c>
      <c r="CA16" s="115" cm="1">
        <f t="array" ref="CA16">_xll.EQNXTDZ($A$1,$B16,CA$1)</f>
        <v>47.905185185185204</v>
      </c>
      <c r="CB16" s="115" cm="1">
        <f t="array" ref="CB16">_xll.EQNXTDZ($A$1,$B16,CB$1)</f>
        <v>46.3525925925926</v>
      </c>
      <c r="CC16" s="115" cm="1">
        <f t="array" ref="CC16">_xll.EQNXTDZ($A$1,$B16,CC$1)</f>
        <v>46.645925925925901</v>
      </c>
      <c r="CD16" s="115" cm="1">
        <f t="array" ref="CD16">_xll.EQNXTDZ($A$1,$B16,CD$1)</f>
        <v>48.545185185185197</v>
      </c>
      <c r="CE16" s="115" cm="1">
        <f t="array" ref="CE16">_xll.EQNXTDZ($A$1,$B16,CE$1)</f>
        <v>47.656296296296297</v>
      </c>
      <c r="CF16" s="115" cm="1">
        <f t="array" ref="CF16">_xll.EQNXTDZ($A$1,$B16,CF$1)</f>
        <v>51.2681481481482</v>
      </c>
      <c r="CG16" s="115" cm="1">
        <f t="array" ref="CG16">_xll.EQNXTDZ($A$1,$B16,CG$1)</f>
        <v>51.893333333333302</v>
      </c>
      <c r="CH16" s="115" cm="1">
        <f t="array" ref="CH16">_xll.EQNXTDZ($A$1,$B16,CH$1)</f>
        <v>55.348148148148098</v>
      </c>
      <c r="CI16" s="115" cm="1">
        <f t="array" ref="CI16">_xll.EQNXTDZ($A$1,$B16,CI$1)</f>
        <v>56.014814814814798</v>
      </c>
      <c r="CJ16" s="115" cm="1">
        <f t="array" ref="CJ16">_xll.EQNXTDZ($A$1,$B16,CJ$1)</f>
        <v>56.946666666666701</v>
      </c>
      <c r="CK16" s="115" cm="1">
        <f t="array" ref="CK16">_xll.EQNXTDZ($A$1,$B16,CK$1)</f>
        <v>56.991111111111103</v>
      </c>
      <c r="CL16" s="115" cm="1">
        <f t="array" ref="CL16">_xll.EQNXTDZ($A$1,$B16,CL$1)</f>
        <v>55.577777777777797</v>
      </c>
      <c r="CM16" s="115" cm="1">
        <f t="array" ref="CM16">_xll.EQNXTDZ($A$1,$B16,CM$1)</f>
        <v>55.088888888888903</v>
      </c>
      <c r="CN16" s="115" cm="1">
        <f t="array" ref="CN16">_xll.EQNXTDZ($A$1,$B16,CN$1)</f>
        <v>64.822222222222194</v>
      </c>
      <c r="CO16" s="115" cm="1">
        <f t="array" ref="CO16">_xll.EQNXTDZ($A$1,$B16,CO$1)</f>
        <v>62.928888888888899</v>
      </c>
      <c r="CP16" s="115" cm="1">
        <f t="array" ref="CP16">_xll.EQNXTDZ($A$1,$B16,CP$1)</f>
        <v>68.648888888888905</v>
      </c>
      <c r="CQ16" s="115" cm="1">
        <f t="array" ref="CQ16">_xll.EQNXTDZ($A$1,$B16,CQ$1)</f>
        <v>71.706666666666706</v>
      </c>
      <c r="CR16" s="115" cm="1">
        <f t="array" ref="CR16">_xll.EQNXTDZ($A$1,$B16,CR$1)</f>
        <v>47.16</v>
      </c>
      <c r="CS16" s="115" cm="1">
        <f t="array" ref="CS16">_xll.EQNXTDZ($A$1,$B16,CS$1)</f>
        <v>59.657777777777802</v>
      </c>
      <c r="CT16" s="115" cm="1">
        <f t="array" ref="CT16">_xll.EQNXTDZ($A$1,$B16,CT$1)</f>
        <v>56.204444444444398</v>
      </c>
      <c r="CU16" s="115" cm="1">
        <f t="array" ref="CU16">_xll.EQNXTDZ($A$1,$B16,CU$1)</f>
        <v>60.684444444444502</v>
      </c>
      <c r="CV16" s="115" cm="1">
        <f t="array" ref="CV16">_xll.EQNXTDZ($A$1,$B16,CV$1)</f>
        <v>62.893333333333302</v>
      </c>
      <c r="CW16" s="115" cm="1">
        <f t="array" ref="CW16">_xll.EQNXTDZ($A$1,$B16,CW$1)</f>
        <v>65.431111111111093</v>
      </c>
      <c r="CX16" s="115" cm="1">
        <f t="array" ref="CX16">_xll.EQNXTDZ($A$1,$B16,CX$1)</f>
        <v>62.115555555555602</v>
      </c>
      <c r="CY16" s="115" cm="1">
        <f t="array" ref="CY16">_xll.EQNXTDZ($A$1,$B16,CY$1)</f>
        <v>58.1955555555556</v>
      </c>
      <c r="CZ16" s="115" cm="1">
        <f t="array" ref="CZ16">_xll.EQNXTDZ($A$1,$B16,CZ$1)</f>
        <v>77.622222222222206</v>
      </c>
      <c r="DA16" s="115" cm="1">
        <f t="array" ref="DA16">_xll.EQNXTDZ($A$1,$B16,DA$1)</f>
        <v>81.373333333333306</v>
      </c>
      <c r="DB16" s="115" cm="1">
        <f t="array" ref="DB16">_xll.EQNXTDZ($A$1,$B16,DB$1)</f>
        <v>79.995555555555597</v>
      </c>
      <c r="DC16" s="115" cm="1">
        <f t="array" ref="DC16">_xll.EQNXTDZ($A$1,$B16,DC$1)</f>
        <v>92.391111111111101</v>
      </c>
      <c r="DD16" s="115" cm="1">
        <f t="array" ref="DD16">_xll.EQNXTDZ($A$1,$B16,DD$1)</f>
        <v>89.413333333333298</v>
      </c>
      <c r="DE16" s="115" cm="1">
        <f t="array" ref="DE16">_xll.EQNXTDZ($A$1,$B16,DE$1)</f>
        <v>84.56</v>
      </c>
      <c r="DF16" s="115" cm="1">
        <f t="array" ref="DF16">_xll.EQNXTDZ($A$1,$B16,DF$1)</f>
        <v>90.022222222222197</v>
      </c>
      <c r="DG16" s="115" cm="1">
        <f t="array" ref="DG16">_xll.EQNXTDZ($A$1,$B16,DG$1)</f>
        <v>97.226666666666702</v>
      </c>
      <c r="DH16" s="115" cm="1">
        <f t="array" ref="DH16">_xll.EQNXTDZ($A$1,$B16,DH$1)</f>
        <v>101.54</v>
      </c>
      <c r="DI16" s="115" cm="1">
        <f t="array" ref="DI16">_xll.EQNXTDZ($A$1,$B16,DI$1)</f>
        <v>112.44</v>
      </c>
      <c r="DJ16" s="115" cm="1">
        <f t="array" ref="DJ16">_xll.EQNXTDZ($A$1,$B16,DJ$1)</f>
        <v>120.166666666667</v>
      </c>
      <c r="DK16" s="115" cm="1">
        <f t="array" ref="DK16">_xll.EQNXTDZ($A$1,$B16,DK$1)</f>
        <v>113.446666666667</v>
      </c>
      <c r="DL16" s="115" cm="1">
        <f t="array" ref="DL16">_xll.EQNXTDZ($A$1,$B16,DL$1)</f>
        <v>119.1</v>
      </c>
      <c r="DM16" s="115" cm="1">
        <f t="array" ref="DM16">_xll.EQNXTDZ($A$1,$B16,DM$1)</f>
        <v>118.206666666667</v>
      </c>
      <c r="DN16" s="115" cm="1">
        <f t="array" ref="DN16">_xll.EQNXTDZ($A$1,$B16,DN$1)</f>
        <v>120.48666666666701</v>
      </c>
      <c r="DO16" s="115" cm="1">
        <f t="array" ref="DO16">_xll.EQNXTDZ($A$1,$B16,DO$1)</f>
        <v>126</v>
      </c>
      <c r="DP16" s="115" cm="1">
        <f t="array" ref="DP16">_xll.EQNXTDZ($A$1,$B16,DP$1)</f>
        <v>125.473333333333</v>
      </c>
      <c r="DQ16" s="115" cm="1">
        <f t="array" ref="DQ16">_xll.EQNXTDZ($A$1,$B16,DQ$1)</f>
        <v>144.58000000000001</v>
      </c>
      <c r="DR16" s="115" cm="1">
        <f t="array" ref="DR16">_xll.EQNXTDZ($A$1,$B16,DR$1)</f>
        <v>141.04</v>
      </c>
      <c r="DS16" s="115" cm="1">
        <f t="array" ref="DS16">_xll.EQNXTDZ($A$1,$B16,DS$1)</f>
        <v>158.12</v>
      </c>
      <c r="DT16" s="115" cm="1">
        <f t="array" ref="DT16">_xll.EQNXTDZ($A$1,$B16,DT$1)</f>
        <v>176.63</v>
      </c>
      <c r="DU16" s="115" cm="1">
        <f t="array" ref="DU16">_xll.EQNXTDZ($A$1,$B16,DU$1)</f>
        <v>206.77</v>
      </c>
      <c r="DV16" s="115" cm="1">
        <f t="array" ref="DV16">_xll.EQNXTDZ($A$1,$B16,DV$1)</f>
        <v>208.8</v>
      </c>
      <c r="DW16" s="115" cm="1">
        <f t="array" ref="DW16">_xll.EQNXTDZ($A$1,$B16,DW$1)</f>
        <v>210.03</v>
      </c>
      <c r="DX16" s="115" cm="1">
        <f t="array" ref="DX16">_xll.EQNXTDZ($A$1,$B16,DX$1)</f>
        <v>248.32</v>
      </c>
      <c r="DY16" s="115" cm="1">
        <f t="array" ref="DY16">_xll.EQNXTDZ($A$1,$B16,DY$1)</f>
        <v>264.5</v>
      </c>
      <c r="DZ16" s="115" cm="1">
        <f t="array" ref="DZ16">_xll.EQNXTDZ($A$1,$B16,DZ$1)</f>
        <v>229.57</v>
      </c>
      <c r="EA16" s="115" cm="1">
        <f t="array" ref="EA16">_xll.EQNXTDZ($A$1,$B16,EA$1)</f>
        <v>260.55</v>
      </c>
      <c r="EB16" s="115" cm="1">
        <f t="array" ref="EB16">_xll.EQNXTDZ($A$1,$B16,EB$1)</f>
        <v>277.45</v>
      </c>
      <c r="EC16" s="115" cm="1">
        <f t="array" ref="EC16">_xll.EQNXTDZ($A$1,$B16,EC$1)</f>
        <v>288.76</v>
      </c>
      <c r="ED16" s="115" cm="1">
        <f t="array" ref="ED16">_xll.EQNXTDZ($A$1,$B16,ED$1)</f>
        <v>338.71</v>
      </c>
      <c r="EE16" s="115" cm="1">
        <f t="array" ref="EE16">_xll.EQNXTDZ($A$1,$B16,EE$1)</f>
        <v>320.2</v>
      </c>
      <c r="EF16" s="115" cm="1">
        <f t="array" ref="EF16">_xll.EQNXTDZ($A$1,$B16,EF$1)</f>
        <v>321.72000000000003</v>
      </c>
      <c r="EG16" s="115" cm="1">
        <f t="array" ref="EG16">_xll.EQNXTDZ($A$1,$B16,EG$1)</f>
        <v>359.9</v>
      </c>
      <c r="EH16" s="115" cm="1">
        <f t="array" ref="EH16">_xll.EQNXTDZ($A$1,$B16,EH$1)</f>
        <v>378.44</v>
      </c>
      <c r="EI16" s="115" cm="1">
        <f t="array" ref="EI16">_xll.EQNXTDZ($A$1,$B16,EI$1)</f>
        <v>363.82</v>
      </c>
      <c r="EJ16" s="115" cm="1">
        <f t="array" ref="EJ16">_xll.EQNXTDZ($A$1,$B16,EJ$1)</f>
        <v>442.14</v>
      </c>
      <c r="EK16" s="115" cm="1">
        <f t="array" ref="EK16">_xll.EQNXTDZ($A$1,$B16,EK$1)</f>
        <v>494.62</v>
      </c>
      <c r="EL16" s="115" cm="1">
        <f t="array" ref="EL16">_xll.EQNXTDZ($A$1,$B16,EL$1)</f>
        <v>512.04</v>
      </c>
      <c r="EM16" s="115" cm="1">
        <f t="array" ref="EM16">_xll.EQNXTDZ($A$1,$B16,EM$1)</f>
        <v>563.44000000000005</v>
      </c>
      <c r="EN16" s="115" cm="1">
        <f t="array" ref="EN16">_xll.EQNXTDZ($A$1,$B16,EN$1)</f>
        <v>559.24</v>
      </c>
      <c r="EO16" s="115" cm="1">
        <f t="array" ref="EO16">_xll.EQNXTDZ($A$1,$B16,EO$1)</f>
        <v>591.6</v>
      </c>
      <c r="EP16" s="115" cm="1">
        <f t="array" ref="EP16">_xll.EQNXTDZ($A$1,$B16,EP$1)</f>
        <v>570.22</v>
      </c>
      <c r="EQ16" s="115" cm="1">
        <f t="array" ref="EQ16">_xll.EQNXTDZ($A$1,$B16,EQ$1)</f>
        <v>651.9</v>
      </c>
      <c r="ER16" s="115" cm="1">
        <f t="array" ref="ER16">_xll.EQNXTDZ($A$1,$B16,ER$1)</f>
        <v>631.08000000000004</v>
      </c>
      <c r="ES16" s="115" cm="1">
        <f t="array" ref="ES16">_xll.EQNXTDZ($A$1,$B16,ES$1)</f>
        <v>600.38</v>
      </c>
      <c r="ET16" s="115" cm="1">
        <f t="array" ref="ET16">_xll.EQNXTDZ($A$1,$B16,ET$1)</f>
        <v>606.20000000000005</v>
      </c>
      <c r="EU16" s="115" cm="1">
        <f t="array" ref="EU16">_xll.EQNXTDZ($A$1,$B16,EU$1)</f>
        <v>598.15</v>
      </c>
      <c r="EV16" s="115" cm="1">
        <f t="array" ref="EV16">_xll.EQNXTDZ($A$1,$B16,EV$1)</f>
        <v>621</v>
      </c>
      <c r="EW16" s="115" cm="1">
        <f t="array" ref="EW16">_xll.EQNXTDZ($A$1,$B16,EW$1)</f>
        <v>638.45000000000005</v>
      </c>
      <c r="EX16" s="115" cm="1">
        <f t="array" ref="EX16">_xll.EQNXTDZ($A$1,$B16,EX$1)</f>
        <v>536.70000000000005</v>
      </c>
      <c r="EY16" s="115" cm="1">
        <f t="array" ref="EY16">_xll.EQNXTDZ($A$1,$B16,EY$1)</f>
        <v>435.45</v>
      </c>
      <c r="EZ16" s="115" cm="1">
        <f t="array" ref="EZ16">_xll.EQNXTDZ($A$1,$B16,EZ$1)</f>
        <v>539.6</v>
      </c>
      <c r="FA16" s="115" cm="1">
        <f t="array" ref="FA16">_xll.EQNXTDZ($A$1,$B16,FA$1)</f>
        <v>521</v>
      </c>
      <c r="FB16" s="115" cm="1">
        <f t="array" ref="FB16">_xll.EQNXTDZ($A$1,$B16,FB$1)</f>
        <v>475.9</v>
      </c>
      <c r="FC16" s="115" cm="1">
        <f t="array" ref="FC16">_xll.EQNXTDZ($A$1,$B16,FC$1)</f>
        <v>457.55</v>
      </c>
      <c r="FD16" s="115" cm="1">
        <f t="array" ref="FD16">_xll.EQNXTDZ($A$1,$B16,FD$1)</f>
        <v>522.6</v>
      </c>
      <c r="FE16" s="115" cm="1">
        <f t="array" ref="FE16">_xll.EQNXTDZ($A$1,$B16,FE$1)</f>
        <v>486.5</v>
      </c>
      <c r="FF16" s="115" cm="1">
        <f t="array" ref="FF16">_xll.EQNXTDZ($A$1,$B16,FF$1)</f>
        <v>443.55</v>
      </c>
      <c r="FG16" s="115" cm="1">
        <f t="array" ref="FG16">_xll.EQNXTDZ($A$1,$B16,FG$1)</f>
        <v>469.7</v>
      </c>
      <c r="FH16" s="115" cm="1">
        <f t="array" ref="FH16">_xll.EQNXTDZ($A$1,$B16,FH$1)</f>
        <v>481.5</v>
      </c>
      <c r="FI16" s="115" cm="1">
        <f t="array" ref="FI16">_xll.EQNXTDZ($A$1,$B16,FI$1)</f>
        <v>489.85</v>
      </c>
      <c r="FJ16" s="115" cm="1">
        <f t="array" ref="FJ16">_xll.EQNXTDZ($A$1,$B16,FJ$1)</f>
        <v>470.85</v>
      </c>
      <c r="FK16" s="115" cm="1">
        <f t="array" ref="FK16">_xll.EQNXTDZ($A$1,$B16,FK$1)</f>
        <v>450.95</v>
      </c>
      <c r="FL16" s="115" cm="1">
        <f t="array" ref="FL16">_xll.EQNXTDZ($A$1,$B16,FL$1)</f>
        <v>384.05</v>
      </c>
      <c r="FM16" s="115" cm="1">
        <f t="array" ref="FM16">_xll.EQNXTDZ($A$1,$B16,FM$1)</f>
        <v>518.85</v>
      </c>
      <c r="FN16" s="115" cm="1">
        <f t="array" ref="FN16">_xll.EQNXTDZ($A$1,$B16,FN$1)</f>
        <v>0</v>
      </c>
      <c r="FO16" s="115" cm="1">
        <f t="array" ref="FO16">_xll.EQNXTDZ($A$1,$B16,FO$1)</f>
        <v>0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0</v>
      </c>
      <c r="HQ16" s="115">
        <f>+I16</f>
        <v>0</v>
      </c>
      <c r="HR16" s="115">
        <f>+L16</f>
        <v>0</v>
      </c>
      <c r="HS16" s="115">
        <f>+O16</f>
        <v>0</v>
      </c>
      <c r="HT16" s="115">
        <f>+R16</f>
        <v>0</v>
      </c>
      <c r="HU16" s="115">
        <f>+U16</f>
        <v>0</v>
      </c>
      <c r="HV16" s="115">
        <f>+X16</f>
        <v>0</v>
      </c>
      <c r="HW16" s="115">
        <f>+AA16</f>
        <v>0</v>
      </c>
      <c r="HX16" s="115">
        <f>+AD16</f>
        <v>0</v>
      </c>
      <c r="HY16" s="115">
        <f>+AG16</f>
        <v>0</v>
      </c>
      <c r="HZ16" s="115">
        <f>+AJ16</f>
        <v>0</v>
      </c>
      <c r="IA16" s="115">
        <f>+AM16</f>
        <v>0</v>
      </c>
      <c r="IB16" s="115">
        <f>+AP16</f>
        <v>0</v>
      </c>
      <c r="IC16" s="115">
        <f>+AS16</f>
        <v>0</v>
      </c>
      <c r="ID16" s="115">
        <f>+AV16</f>
        <v>0</v>
      </c>
      <c r="IE16" s="115">
        <f>+AY16</f>
        <v>0</v>
      </c>
      <c r="IF16" s="115">
        <f>+BB16</f>
        <v>0</v>
      </c>
      <c r="IG16" s="115">
        <f>+BE16</f>
        <v>22.5985185185185</v>
      </c>
      <c r="IH16" s="115">
        <f>+BH16</f>
        <v>23.985185185185198</v>
      </c>
      <c r="II16" s="115">
        <f>+BK16</f>
        <v>31.6177777777778</v>
      </c>
      <c r="IJ16" s="115">
        <f>+BN16</f>
        <v>29.973333333333301</v>
      </c>
      <c r="IK16" s="115">
        <f>+BQ16</f>
        <v>38.598518518518503</v>
      </c>
      <c r="IL16" s="115">
        <f>+BT16</f>
        <v>36.586666666666702</v>
      </c>
      <c r="IM16" s="115">
        <f>+BW16</f>
        <v>44.637037037036997</v>
      </c>
      <c r="IN16" s="115">
        <f>+BZ16</f>
        <v>43.84</v>
      </c>
      <c r="IO16" s="115">
        <f>+CC16</f>
        <v>46.645925925925901</v>
      </c>
      <c r="IP16" s="115">
        <f>+CF16</f>
        <v>51.2681481481482</v>
      </c>
      <c r="IQ16" s="115">
        <f>+CI16</f>
        <v>56.014814814814798</v>
      </c>
      <c r="IR16" s="115">
        <f>+CL16</f>
        <v>55.577777777777797</v>
      </c>
      <c r="IS16" s="115">
        <f>+CO16</f>
        <v>62.928888888888899</v>
      </c>
      <c r="IT16" s="115">
        <f>+CR16</f>
        <v>47.16</v>
      </c>
      <c r="IU16" s="115">
        <f>+CU16</f>
        <v>60.684444444444502</v>
      </c>
      <c r="IV16" s="115">
        <f>+CX16</f>
        <v>62.115555555555602</v>
      </c>
      <c r="IW16" s="115">
        <f>+DA16</f>
        <v>81.373333333333306</v>
      </c>
      <c r="IX16" s="115">
        <f>+DD16</f>
        <v>89.413333333333298</v>
      </c>
      <c r="IY16" s="115">
        <f>+DG16</f>
        <v>97.226666666666702</v>
      </c>
      <c r="IZ16" s="115">
        <f>+DJ16</f>
        <v>120.166666666667</v>
      </c>
      <c r="JA16" s="115">
        <f>+DM16</f>
        <v>118.206666666667</v>
      </c>
      <c r="JB16" s="115">
        <f>+DP16</f>
        <v>125.473333333333</v>
      </c>
      <c r="JC16" s="115">
        <f>+DS16</f>
        <v>158.12</v>
      </c>
      <c r="JD16" s="115">
        <f>+DV16</f>
        <v>208.8</v>
      </c>
      <c r="JE16" s="115">
        <f>+DY16</f>
        <v>264.5</v>
      </c>
      <c r="JF16" s="115">
        <f>+EB16</f>
        <v>277.45</v>
      </c>
      <c r="JG16" s="115">
        <f>+EE16</f>
        <v>320.2</v>
      </c>
      <c r="JH16" s="115">
        <f>+EH16</f>
        <v>378.44</v>
      </c>
      <c r="JI16" s="115">
        <f>+EK16</f>
        <v>494.62</v>
      </c>
      <c r="JJ16" s="115">
        <f>+EN16</f>
        <v>559.24</v>
      </c>
      <c r="JK16" s="115">
        <f>EQ16</f>
        <v>651.9</v>
      </c>
      <c r="JL16" s="115">
        <f>ET16</f>
        <v>606.20000000000005</v>
      </c>
      <c r="JM16" s="115">
        <f>EW16</f>
        <v>638.45000000000005</v>
      </c>
      <c r="JN16" s="115">
        <f>EZ16</f>
        <v>539.6</v>
      </c>
      <c r="JO16" s="115">
        <f>FC16</f>
        <v>457.55</v>
      </c>
      <c r="JP16" s="115">
        <f>FF16</f>
        <v>443.55</v>
      </c>
      <c r="JQ16" s="115">
        <f>FI16</f>
        <v>489.85</v>
      </c>
      <c r="JR16" s="115">
        <f>FL16</f>
        <v>384.05</v>
      </c>
      <c r="JS16" s="115">
        <f>FO16</f>
        <v>0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0</v>
      </c>
      <c r="HQ19" s="115">
        <f t="shared" ref="HQ19:JI21" si="0">+IF(HQ14=0,HQ7,HQ14)</f>
        <v>0</v>
      </c>
      <c r="HR19" s="115">
        <f t="shared" si="0"/>
        <v>0</v>
      </c>
      <c r="HS19" s="115">
        <f t="shared" si="0"/>
        <v>0</v>
      </c>
      <c r="HT19" s="115">
        <f t="shared" si="0"/>
        <v>0</v>
      </c>
      <c r="HU19" s="115">
        <f t="shared" si="0"/>
        <v>0</v>
      </c>
      <c r="HV19" s="115">
        <f t="shared" si="0"/>
        <v>0</v>
      </c>
      <c r="HW19" s="115">
        <f t="shared" si="0"/>
        <v>0</v>
      </c>
      <c r="HX19" s="115">
        <f t="shared" si="0"/>
        <v>0</v>
      </c>
      <c r="HY19" s="115">
        <f t="shared" si="0"/>
        <v>0</v>
      </c>
      <c r="HZ19" s="115">
        <f t="shared" si="0"/>
        <v>0</v>
      </c>
      <c r="IA19" s="115">
        <f t="shared" si="0"/>
        <v>0</v>
      </c>
      <c r="IB19" s="115">
        <f t="shared" si="0"/>
        <v>0</v>
      </c>
      <c r="IC19" s="115">
        <f t="shared" si="0"/>
        <v>0</v>
      </c>
      <c r="ID19" s="115">
        <f t="shared" si="0"/>
        <v>0</v>
      </c>
      <c r="IE19" s="115">
        <f t="shared" si="0"/>
        <v>0</v>
      </c>
      <c r="IF19" s="115">
        <f t="shared" si="0"/>
        <v>0</v>
      </c>
      <c r="IG19" s="115">
        <f t="shared" si="0"/>
        <v>27.911111111111101</v>
      </c>
      <c r="IH19" s="115">
        <f t="shared" si="0"/>
        <v>24.7940740740741</v>
      </c>
      <c r="II19" s="115">
        <f t="shared" si="0"/>
        <v>33.066666666666698</v>
      </c>
      <c r="IJ19" s="115">
        <f t="shared" si="0"/>
        <v>33.973333333333301</v>
      </c>
      <c r="IK19" s="115">
        <f t="shared" si="0"/>
        <v>39.404444444444401</v>
      </c>
      <c r="IL19" s="115">
        <f t="shared" si="0"/>
        <v>45.128888888888902</v>
      </c>
      <c r="IM19" s="115">
        <f t="shared" si="0"/>
        <v>46.755555555555603</v>
      </c>
      <c r="IN19" s="115">
        <f t="shared" si="0"/>
        <v>50.311111111111103</v>
      </c>
      <c r="IO19" s="115">
        <f t="shared" si="0"/>
        <v>49.860740740740702</v>
      </c>
      <c r="IP19" s="115">
        <f t="shared" si="0"/>
        <v>52.059259259259299</v>
      </c>
      <c r="IQ19" s="115">
        <f t="shared" si="0"/>
        <v>57.066666666666698</v>
      </c>
      <c r="IR19" s="115">
        <f t="shared" si="0"/>
        <v>60.724444444444401</v>
      </c>
      <c r="IS19" s="115">
        <f t="shared" si="0"/>
        <v>70.1111111111111</v>
      </c>
      <c r="IT19" s="115">
        <f t="shared" si="0"/>
        <v>77.328888888888898</v>
      </c>
      <c r="IU19" s="115">
        <f t="shared" si="0"/>
        <v>65.635555555555598</v>
      </c>
      <c r="IV19" s="115">
        <f t="shared" si="0"/>
        <v>70.844444444444406</v>
      </c>
      <c r="IW19" s="115">
        <f t="shared" si="0"/>
        <v>88.808888888888902</v>
      </c>
      <c r="IX19" s="115">
        <f t="shared" si="0"/>
        <v>97.408888888888896</v>
      </c>
      <c r="IY19" s="115">
        <f t="shared" si="0"/>
        <v>122.48</v>
      </c>
      <c r="IZ19" s="115">
        <f t="shared" si="0"/>
        <v>127.253333333333</v>
      </c>
      <c r="JA19" s="115">
        <f t="shared" si="0"/>
        <v>136</v>
      </c>
      <c r="JB19" s="115">
        <f t="shared" si="0"/>
        <v>135.333333333333</v>
      </c>
      <c r="JC19" s="115">
        <f t="shared" si="0"/>
        <v>161.09</v>
      </c>
      <c r="JD19" s="115">
        <f t="shared" si="0"/>
        <v>238.96</v>
      </c>
      <c r="JE19" s="115">
        <f t="shared" si="0"/>
        <v>286.41000000000003</v>
      </c>
      <c r="JF19" s="115">
        <f t="shared" si="0"/>
        <v>278.94</v>
      </c>
      <c r="JG19" s="115">
        <f t="shared" si="0"/>
        <v>349.43</v>
      </c>
      <c r="JH19" s="115">
        <f t="shared" si="0"/>
        <v>391.66</v>
      </c>
      <c r="JI19" s="115">
        <f t="shared" si="0"/>
        <v>552.17999999999995</v>
      </c>
      <c r="JJ19" s="115">
        <f t="shared" ref="JJ19:JJ21" si="1">+IF(JJ14=0,JJ7,JJ14)</f>
        <v>624.12</v>
      </c>
      <c r="JK19" s="115">
        <f t="shared" ref="JK19" si="2">+IF(JK14=0,JK7,JK14)</f>
        <v>669.48</v>
      </c>
      <c r="JL19" s="115">
        <f t="shared" ref="JL19:JM19" si="3">+IF(JL14=0,JL7,JL14)</f>
        <v>682.84</v>
      </c>
      <c r="JM19" s="115">
        <f t="shared" si="3"/>
        <v>661.7</v>
      </c>
      <c r="JN19" s="115">
        <f t="shared" ref="JN19:JO19" si="4">+IF(JN14=0,JN7,JN14)</f>
        <v>663.7</v>
      </c>
      <c r="JO19" s="115">
        <f t="shared" si="4"/>
        <v>568.5</v>
      </c>
      <c r="JP19" s="115">
        <f t="shared" ref="JP19:KH21" si="5">+IF(JP14=0,JP7,JP14)</f>
        <v>534</v>
      </c>
      <c r="JQ19" s="115">
        <f t="shared" si="5"/>
        <v>500.8</v>
      </c>
      <c r="JR19" s="115">
        <f t="shared" si="5"/>
        <v>511.75</v>
      </c>
      <c r="JS19" s="115">
        <f t="shared" si="5"/>
        <v>529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0</v>
      </c>
      <c r="HQ20" s="115">
        <f t="shared" si="6"/>
        <v>0</v>
      </c>
      <c r="HR20" s="115">
        <f t="shared" si="6"/>
        <v>0</v>
      </c>
      <c r="HS20" s="115">
        <f t="shared" si="6"/>
        <v>0</v>
      </c>
      <c r="HT20" s="115">
        <f t="shared" si="6"/>
        <v>0</v>
      </c>
      <c r="HU20" s="115">
        <f t="shared" si="6"/>
        <v>0</v>
      </c>
      <c r="HV20" s="115">
        <f t="shared" si="6"/>
        <v>0</v>
      </c>
      <c r="HW20" s="115">
        <f t="shared" si="6"/>
        <v>0</v>
      </c>
      <c r="HX20" s="115">
        <f t="shared" si="6"/>
        <v>0</v>
      </c>
      <c r="HY20" s="115">
        <f t="shared" si="6"/>
        <v>0</v>
      </c>
      <c r="HZ20" s="115">
        <f t="shared" si="6"/>
        <v>0</v>
      </c>
      <c r="IA20" s="115">
        <f t="shared" si="6"/>
        <v>0</v>
      </c>
      <c r="IB20" s="115">
        <f t="shared" si="6"/>
        <v>0</v>
      </c>
      <c r="IC20" s="115">
        <f t="shared" si="6"/>
        <v>0</v>
      </c>
      <c r="ID20" s="115">
        <f t="shared" si="6"/>
        <v>0</v>
      </c>
      <c r="IE20" s="115">
        <f t="shared" si="6"/>
        <v>0</v>
      </c>
      <c r="IF20" s="115">
        <f t="shared" si="0"/>
        <v>0</v>
      </c>
      <c r="IG20" s="115">
        <f t="shared" si="0"/>
        <v>0</v>
      </c>
      <c r="IH20" s="115">
        <f t="shared" si="0"/>
        <v>20.2222222222222</v>
      </c>
      <c r="II20" s="115">
        <f t="shared" si="0"/>
        <v>23.739259259259299</v>
      </c>
      <c r="IJ20" s="115">
        <f t="shared" si="0"/>
        <v>28.515555555555601</v>
      </c>
      <c r="IK20" s="115">
        <f t="shared" si="0"/>
        <v>28.8</v>
      </c>
      <c r="IL20" s="115">
        <f t="shared" si="0"/>
        <v>35.128888888888902</v>
      </c>
      <c r="IM20" s="115">
        <f t="shared" si="0"/>
        <v>37.137777777777799</v>
      </c>
      <c r="IN20" s="115">
        <f t="shared" si="0"/>
        <v>39.709629629629603</v>
      </c>
      <c r="IO20" s="115">
        <f t="shared" si="0"/>
        <v>40.450370370370401</v>
      </c>
      <c r="IP20" s="115">
        <f t="shared" si="0"/>
        <v>44.145185185185198</v>
      </c>
      <c r="IQ20" s="115">
        <f t="shared" si="0"/>
        <v>47.170370370370399</v>
      </c>
      <c r="IR20" s="115">
        <f t="shared" si="0"/>
        <v>51.2222222222222</v>
      </c>
      <c r="IS20" s="115">
        <f t="shared" si="0"/>
        <v>52.5822222222222</v>
      </c>
      <c r="IT20" s="115">
        <f t="shared" si="0"/>
        <v>43.115555555555602</v>
      </c>
      <c r="IU20" s="115">
        <f t="shared" si="0"/>
        <v>44.626666666666701</v>
      </c>
      <c r="IV20" s="115">
        <f t="shared" si="0"/>
        <v>58.844444444444399</v>
      </c>
      <c r="IW20" s="115">
        <f t="shared" si="0"/>
        <v>57.351111111111102</v>
      </c>
      <c r="IX20" s="115">
        <f t="shared" si="0"/>
        <v>76</v>
      </c>
      <c r="IY20" s="115">
        <f t="shared" si="0"/>
        <v>77.688888888888897</v>
      </c>
      <c r="IZ20" s="115">
        <f t="shared" si="0"/>
        <v>94.6666666666667</v>
      </c>
      <c r="JA20" s="115">
        <f t="shared" si="0"/>
        <v>107.76</v>
      </c>
      <c r="JB20" s="115">
        <f t="shared" si="0"/>
        <v>111.446666666667</v>
      </c>
      <c r="JC20" s="115">
        <f t="shared" si="0"/>
        <v>124.22</v>
      </c>
      <c r="JD20" s="115">
        <f t="shared" si="0"/>
        <v>156.09</v>
      </c>
      <c r="JE20" s="115">
        <f t="shared" si="0"/>
        <v>192.67</v>
      </c>
      <c r="JF20" s="115">
        <f t="shared" si="0"/>
        <v>220</v>
      </c>
      <c r="JG20" s="115">
        <f t="shared" si="0"/>
        <v>275</v>
      </c>
      <c r="JH20" s="115">
        <f t="shared" si="0"/>
        <v>314</v>
      </c>
      <c r="JI20" s="115">
        <f t="shared" si="0"/>
        <v>331.28</v>
      </c>
      <c r="JJ20" s="115">
        <f t="shared" si="1"/>
        <v>478.48</v>
      </c>
      <c r="JK20" s="115">
        <f t="shared" ref="JK20" si="7">+IF(JK15=0,JK8,JK15)</f>
        <v>528.4</v>
      </c>
      <c r="JL20" s="115">
        <f t="shared" ref="JL20:JM20" si="8">+IF(JL15=0,JL8,JL15)</f>
        <v>549.6</v>
      </c>
      <c r="JM20" s="115">
        <f t="shared" si="8"/>
        <v>537.79999999999995</v>
      </c>
      <c r="JN20" s="115">
        <f t="shared" ref="JN20:JO20" si="9">+IF(JN15=0,JN8,JN15)</f>
        <v>419.4</v>
      </c>
      <c r="JO20" s="115">
        <f t="shared" si="9"/>
        <v>445.6</v>
      </c>
      <c r="JP20" s="115">
        <f t="shared" ref="JP20" si="10">+IF(JP15=0,JP8,JP15)</f>
        <v>441.1</v>
      </c>
      <c r="JQ20" s="115">
        <f t="shared" si="5"/>
        <v>431.3</v>
      </c>
      <c r="JR20" s="115">
        <f t="shared" si="5"/>
        <v>381</v>
      </c>
      <c r="JS20" s="115">
        <f t="shared" si="5"/>
        <v>0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0</v>
      </c>
      <c r="HQ21" s="115">
        <f t="shared" si="0"/>
        <v>0</v>
      </c>
      <c r="HR21" s="115">
        <f t="shared" si="0"/>
        <v>0</v>
      </c>
      <c r="HS21" s="115">
        <f t="shared" si="0"/>
        <v>0</v>
      </c>
      <c r="HT21" s="115">
        <f t="shared" si="0"/>
        <v>0</v>
      </c>
      <c r="HU21" s="115">
        <f t="shared" si="0"/>
        <v>0</v>
      </c>
      <c r="HV21" s="115">
        <f t="shared" si="0"/>
        <v>0</v>
      </c>
      <c r="HW21" s="115">
        <f t="shared" si="0"/>
        <v>0</v>
      </c>
      <c r="HX21" s="115">
        <f t="shared" si="0"/>
        <v>0</v>
      </c>
      <c r="HY21" s="115">
        <f t="shared" si="0"/>
        <v>0</v>
      </c>
      <c r="HZ21" s="115">
        <f t="shared" si="0"/>
        <v>0</v>
      </c>
      <c r="IA21" s="115">
        <f t="shared" si="0"/>
        <v>0</v>
      </c>
      <c r="IB21" s="115">
        <f t="shared" si="0"/>
        <v>0</v>
      </c>
      <c r="IC21" s="115">
        <f t="shared" si="0"/>
        <v>0</v>
      </c>
      <c r="ID21" s="115">
        <f t="shared" si="0"/>
        <v>0</v>
      </c>
      <c r="IE21" s="115">
        <f t="shared" si="0"/>
        <v>0</v>
      </c>
      <c r="IF21" s="115">
        <f t="shared" si="0"/>
        <v>0</v>
      </c>
      <c r="IG21" s="115">
        <f t="shared" si="0"/>
        <v>22.5985185185185</v>
      </c>
      <c r="IH21" s="115">
        <f t="shared" si="0"/>
        <v>23.985185185185198</v>
      </c>
      <c r="II21" s="115">
        <f t="shared" si="0"/>
        <v>31.6177777777778</v>
      </c>
      <c r="IJ21" s="115">
        <f t="shared" si="0"/>
        <v>29.973333333333301</v>
      </c>
      <c r="IK21" s="115">
        <f t="shared" si="0"/>
        <v>38.598518518518503</v>
      </c>
      <c r="IL21" s="115">
        <f t="shared" si="0"/>
        <v>36.586666666666702</v>
      </c>
      <c r="IM21" s="115">
        <f t="shared" si="0"/>
        <v>44.637037037036997</v>
      </c>
      <c r="IN21" s="115">
        <f t="shared" si="0"/>
        <v>43.84</v>
      </c>
      <c r="IO21" s="115">
        <f t="shared" si="0"/>
        <v>46.645925925925901</v>
      </c>
      <c r="IP21" s="115">
        <f t="shared" si="0"/>
        <v>51.2681481481482</v>
      </c>
      <c r="IQ21" s="115">
        <f t="shared" si="0"/>
        <v>56.014814814814798</v>
      </c>
      <c r="IR21" s="115">
        <f t="shared" si="0"/>
        <v>55.577777777777797</v>
      </c>
      <c r="IS21" s="115">
        <f t="shared" si="0"/>
        <v>62.928888888888899</v>
      </c>
      <c r="IT21" s="115">
        <f t="shared" si="0"/>
        <v>47.16</v>
      </c>
      <c r="IU21" s="115">
        <f t="shared" si="0"/>
        <v>60.684444444444502</v>
      </c>
      <c r="IV21" s="115">
        <f t="shared" si="0"/>
        <v>62.115555555555602</v>
      </c>
      <c r="IW21" s="115">
        <f t="shared" si="0"/>
        <v>81.373333333333306</v>
      </c>
      <c r="IX21" s="115">
        <f t="shared" si="0"/>
        <v>89.413333333333298</v>
      </c>
      <c r="IY21" s="115">
        <f t="shared" si="0"/>
        <v>97.226666666666702</v>
      </c>
      <c r="IZ21" s="115">
        <f t="shared" si="0"/>
        <v>120.166666666667</v>
      </c>
      <c r="JA21" s="115">
        <f t="shared" si="0"/>
        <v>118.206666666667</v>
      </c>
      <c r="JB21" s="115">
        <f t="shared" si="0"/>
        <v>125.473333333333</v>
      </c>
      <c r="JC21" s="115">
        <f t="shared" si="0"/>
        <v>158.12</v>
      </c>
      <c r="JD21" s="115">
        <f t="shared" si="0"/>
        <v>208.8</v>
      </c>
      <c r="JE21" s="115">
        <f t="shared" si="0"/>
        <v>264.5</v>
      </c>
      <c r="JF21" s="115">
        <f t="shared" si="0"/>
        <v>277.45</v>
      </c>
      <c r="JG21" s="115">
        <f t="shared" si="0"/>
        <v>320.2</v>
      </c>
      <c r="JH21" s="115">
        <f t="shared" si="0"/>
        <v>378.44</v>
      </c>
      <c r="JI21" s="115">
        <f t="shared" si="0"/>
        <v>494.62</v>
      </c>
      <c r="JJ21" s="115">
        <f t="shared" si="1"/>
        <v>559.24</v>
      </c>
      <c r="JK21" s="115">
        <f t="shared" ref="JK21" si="11">+IF(JK16=0,JK9,JK16)</f>
        <v>651.9</v>
      </c>
      <c r="JL21" s="115">
        <f t="shared" ref="JL21:JM21" si="12">+IF(JL16=0,JL9,JL16)</f>
        <v>606.20000000000005</v>
      </c>
      <c r="JM21" s="115">
        <f t="shared" si="12"/>
        <v>638.45000000000005</v>
      </c>
      <c r="JN21" s="115">
        <f t="shared" ref="JN21:JO21" si="13">+IF(JN16=0,JN9,JN16)</f>
        <v>539.6</v>
      </c>
      <c r="JO21" s="115">
        <f t="shared" si="13"/>
        <v>457.55</v>
      </c>
      <c r="JP21" s="115">
        <f t="shared" ref="JP21" si="14">+IF(JP16=0,JP9,JP16)</f>
        <v>443.55</v>
      </c>
      <c r="JQ21" s="115">
        <f t="shared" si="5"/>
        <v>489.85</v>
      </c>
      <c r="JR21" s="115">
        <f t="shared" si="5"/>
        <v>384.05</v>
      </c>
      <c r="JS21" s="115">
        <f t="shared" si="5"/>
        <v>0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209550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201412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201512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133766165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135669865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182312525</v>
      </c>
      <c r="V6" cm="1">
        <f t="array" ref="V6">_xll.EQNXTDZ($A$1,$B6,V$1)</f>
        <v>182411925</v>
      </c>
      <c r="W6" cm="1">
        <f t="array" ref="W6">_xll.EQNXTDZ($A$1,$B6,W$1)</f>
        <v>182510125</v>
      </c>
      <c r="X6" cm="1">
        <f t="array" ref="X6">_xll.EQNXTDZ($A$1,$B6,X$1)</f>
        <v>182583940</v>
      </c>
      <c r="Y6" cm="1">
        <f t="array" ref="Y6">_xll.EQNXTDZ($A$1,$B6,Y$1)</f>
        <v>182586940</v>
      </c>
      <c r="Z6" cm="1">
        <f t="array" ref="Z6">_xll.EQNXTDZ($A$1,$B6,Z$1)</f>
        <v>182614640</v>
      </c>
      <c r="AA6" cm="1">
        <f t="array" ref="AA6">_xll.EQNXTDZ($A$1,$B6,AA$1)</f>
        <v>182614640</v>
      </c>
      <c r="AB6" cm="1">
        <f t="array" ref="AB6">_xll.EQNXTDZ($A$1,$B6,AB$1)</f>
        <v>182634140</v>
      </c>
      <c r="AC6" cm="1">
        <f t="array" ref="AC6">_xll.EQNXTDZ($A$1,$B6,AC$1)</f>
        <v>182641940</v>
      </c>
      <c r="AD6" cm="1">
        <f t="array" ref="AD6">_xll.EQNXTDZ($A$1,$B6,AD$1)</f>
        <v>182651525</v>
      </c>
      <c r="AE6" cm="1">
        <f t="array" ref="AE6">_xll.EQNXTDZ($A$1,$B6,AE$1)</f>
        <v>182655225</v>
      </c>
      <c r="AF6" cm="1">
        <f t="array" ref="AF6">_xll.EQNXTDZ($A$1,$B6,AF$1)</f>
        <v>288688720</v>
      </c>
      <c r="AG6" cm="1">
        <f t="array" ref="AG6">_xll.EQNXTDZ($A$1,$B6,AG$1)</f>
        <v>288688720</v>
      </c>
      <c r="AH6" cm="1">
        <f t="array" ref="AH6">_xll.EQNXTDZ($A$1,$B6,AH$1)</f>
        <v>288688720</v>
      </c>
      <c r="AI6" cm="1">
        <f t="array" ref="AI6">_xll.EQNXTDZ($A$1,$B6,AI$1)</f>
        <v>288688720</v>
      </c>
      <c r="AJ6" cm="1">
        <f t="array" ref="AJ6">_xll.EQNXTDZ($A$1,$B6,AJ$1)</f>
        <v>288688720</v>
      </c>
      <c r="AK6" cm="1">
        <f t="array" ref="AK6">_xll.EQNXTDZ($A$1,$B6,AK$1)</f>
        <v>288688720</v>
      </c>
      <c r="AL6" cm="1">
        <f t="array" ref="AL6">_xll.EQNXTDZ($A$1,$B6,AL$1)</f>
        <v>288688720</v>
      </c>
      <c r="AM6" cm="1">
        <f t="array" ref="AM6">_xll.EQNXTDZ($A$1,$B6,AM$1)</f>
        <v>433033080</v>
      </c>
      <c r="AN6" cm="1">
        <f t="array" ref="AN6">_xll.EQNXTDZ($A$1,$B6,AN$1)</f>
        <v>433033080</v>
      </c>
      <c r="AO6" cm="1">
        <f t="array" ref="AO6">_xll.EQNXTDZ($A$1,$B6,AO$1)</f>
        <v>433033080</v>
      </c>
      <c r="AP6" cm="1">
        <f t="array" ref="AP6">_xll.EQNXTDZ($A$1,$B6,AP$1)</f>
        <v>433033080</v>
      </c>
      <c r="AQ6" cm="1">
        <f t="array" ref="AQ6">_xll.EQNXTDZ($A$1,$B6,AQ$1)</f>
        <v>649549620</v>
      </c>
      <c r="AR6" cm="1">
        <f t="array" ref="AR6">_xll.EQNXTDZ($A$1,$B6,AR$1)</f>
        <v>649549620</v>
      </c>
      <c r="AS6" cm="1">
        <f t="array" ref="AS6">_xll.EQNXTDZ($A$1,$B6,AS$1)</f>
        <v>649549620</v>
      </c>
      <c r="AT6" cm="1">
        <f t="array" ref="AT6">_xll.EQNXTDZ($A$1,$B6,AT$1)</f>
        <v>649558032</v>
      </c>
      <c r="AU6" cm="1">
        <f t="array" ref="AU6">_xll.EQNXTDZ($A$1,$B6,AU$1)</f>
        <v>1299136476</v>
      </c>
      <c r="AV6" cm="1">
        <f t="array" ref="AV6">_xll.EQNXTDZ($A$1,$B6,AV$1)</f>
        <v>1299136476</v>
      </c>
      <c r="AW6" cm="1">
        <f t="array" ref="AW6">_xll.EQNXTDZ($A$1,$B6,AW$1)</f>
        <v>1299214976</v>
      </c>
      <c r="AX6" cm="1">
        <f t="array" ref="AX6">_xll.EQNXTDZ($A$1,$B6,AX$1)</f>
        <v>1299403713</v>
      </c>
      <c r="AY6" cm="1">
        <f t="array" ref="AY6">_xll.EQNXTDZ($A$1,$B6,AY$1)</f>
        <v>1299440413</v>
      </c>
    </row>
    <row r="7" spans="1:51" x14ac:dyDescent="0.25">
      <c r="B7" t="s">
        <v>429</v>
      </c>
      <c r="C7" s="99">
        <f>+C6/10^7</f>
        <v>0</v>
      </c>
      <c r="D7" s="99">
        <f t="shared" ref="D7:X7" si="0">+D6/10^7</f>
        <v>0</v>
      </c>
      <c r="E7" s="99">
        <f t="shared" si="0"/>
        <v>0</v>
      </c>
      <c r="F7" s="99">
        <f t="shared" si="0"/>
        <v>0</v>
      </c>
      <c r="G7" s="99">
        <f t="shared" si="0"/>
        <v>0</v>
      </c>
      <c r="H7" s="99">
        <f t="shared" si="0"/>
        <v>0</v>
      </c>
      <c r="I7" s="99">
        <f t="shared" si="0"/>
        <v>0</v>
      </c>
      <c r="J7" s="99">
        <f t="shared" si="0"/>
        <v>0</v>
      </c>
      <c r="K7" s="99">
        <f t="shared" si="0"/>
        <v>0</v>
      </c>
      <c r="L7" s="99">
        <f t="shared" si="0"/>
        <v>0</v>
      </c>
      <c r="M7" s="99">
        <f t="shared" si="0"/>
        <v>13.376616500000001</v>
      </c>
      <c r="N7" s="99">
        <f t="shared" si="0"/>
        <v>0</v>
      </c>
      <c r="O7" s="99">
        <f t="shared" si="0"/>
        <v>0</v>
      </c>
      <c r="P7" s="99">
        <f t="shared" si="0"/>
        <v>0</v>
      </c>
      <c r="Q7" s="99">
        <f t="shared" si="0"/>
        <v>13.566986500000001</v>
      </c>
      <c r="R7" s="99">
        <f t="shared" si="0"/>
        <v>0</v>
      </c>
      <c r="S7" s="99">
        <f t="shared" si="0"/>
        <v>0</v>
      </c>
      <c r="T7" s="99">
        <f t="shared" si="0"/>
        <v>0</v>
      </c>
      <c r="U7" s="99">
        <f t="shared" si="0"/>
        <v>18.2312525</v>
      </c>
      <c r="V7" s="99">
        <f t="shared" si="0"/>
        <v>18.2411925</v>
      </c>
      <c r="W7" s="99">
        <f t="shared" si="0"/>
        <v>18.251012500000002</v>
      </c>
      <c r="X7" s="99">
        <f t="shared" si="0"/>
        <v>18.258393999999999</v>
      </c>
      <c r="Y7" s="99">
        <f t="shared" ref="Y7:AS7" si="1">+Y6/10^7</f>
        <v>18.258693999999998</v>
      </c>
      <c r="Z7" s="99">
        <f t="shared" si="1"/>
        <v>18.261464</v>
      </c>
      <c r="AA7" s="99">
        <f t="shared" si="1"/>
        <v>18.261464</v>
      </c>
      <c r="AB7" s="99">
        <f t="shared" si="1"/>
        <v>18.263414000000001</v>
      </c>
      <c r="AC7" s="99">
        <f t="shared" si="1"/>
        <v>18.264194</v>
      </c>
      <c r="AD7" s="99">
        <f t="shared" si="1"/>
        <v>18.265152499999999</v>
      </c>
      <c r="AE7" s="99">
        <f t="shared" si="1"/>
        <v>18.265522499999999</v>
      </c>
      <c r="AF7" s="99">
        <f t="shared" si="1"/>
        <v>28.868872</v>
      </c>
      <c r="AG7" s="99">
        <f t="shared" si="1"/>
        <v>28.868872</v>
      </c>
      <c r="AH7" s="99">
        <f t="shared" si="1"/>
        <v>28.868872</v>
      </c>
      <c r="AI7" s="99">
        <f t="shared" si="1"/>
        <v>28.868872</v>
      </c>
      <c r="AJ7" s="99">
        <f t="shared" si="1"/>
        <v>28.868872</v>
      </c>
      <c r="AK7" s="99">
        <f t="shared" si="1"/>
        <v>28.868872</v>
      </c>
      <c r="AL7" s="99">
        <f t="shared" si="1"/>
        <v>28.868872</v>
      </c>
      <c r="AM7" s="99">
        <f t="shared" si="1"/>
        <v>43.303308000000001</v>
      </c>
      <c r="AN7" s="99">
        <f t="shared" si="1"/>
        <v>43.303308000000001</v>
      </c>
      <c r="AO7" s="99">
        <f t="shared" si="1"/>
        <v>43.303308000000001</v>
      </c>
      <c r="AP7" s="99">
        <f t="shared" si="1"/>
        <v>43.303308000000001</v>
      </c>
      <c r="AQ7" s="99">
        <f t="shared" si="1"/>
        <v>64.954961999999995</v>
      </c>
      <c r="AR7" s="99">
        <f t="shared" si="1"/>
        <v>64.954961999999995</v>
      </c>
      <c r="AS7" s="99">
        <f t="shared" si="1"/>
        <v>64.954961999999995</v>
      </c>
      <c r="AT7" s="99">
        <f t="shared" ref="AT7:AX7" si="2">+AT6/10^7</f>
        <v>64.955803200000005</v>
      </c>
      <c r="AU7" s="99">
        <f t="shared" si="2"/>
        <v>129.91364759999999</v>
      </c>
      <c r="AV7" s="99">
        <f t="shared" si="2"/>
        <v>129.91364759999999</v>
      </c>
      <c r="AW7" s="99">
        <f t="shared" si="2"/>
        <v>129.92149760000001</v>
      </c>
      <c r="AX7" s="99">
        <f t="shared" si="2"/>
        <v>129.94037130000001</v>
      </c>
      <c r="AY7" s="99">
        <f t="shared" ref="AY7" si="3">+AY6/10^7</f>
        <v>129.94404130000001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209550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42682</v>
      </c>
      <c r="B4" s="115">
        <v>27.911111111111101</v>
      </c>
      <c r="C4" s="115">
        <v>27.371851851851901</v>
      </c>
      <c r="D4" s="115">
        <v>24.717037037036999</v>
      </c>
      <c r="E4" s="115">
        <v>25.481481481481499</v>
      </c>
      <c r="F4" s="115">
        <v>461.9</v>
      </c>
      <c r="G4">
        <v>5215325</v>
      </c>
      <c r="H4" s="115"/>
      <c r="I4" s="115"/>
      <c r="L4" s="169">
        <v>42682</v>
      </c>
      <c r="M4" s="115">
        <v>27.229629629629599</v>
      </c>
      <c r="N4" s="115">
        <v>27.955555555555598</v>
      </c>
      <c r="O4" s="115">
        <v>24.702222222222201</v>
      </c>
      <c r="P4" s="115">
        <v>25.481481481481499</v>
      </c>
      <c r="Q4" s="115">
        <v>459.5</v>
      </c>
      <c r="R4">
        <v>18118170</v>
      </c>
    </row>
    <row r="5" spans="1:18" x14ac:dyDescent="0.25">
      <c r="A5" s="169">
        <v>42683</v>
      </c>
      <c r="B5" s="115">
        <v>26.722962962962999</v>
      </c>
      <c r="C5" s="115">
        <v>25.8103703703704</v>
      </c>
      <c r="D5" s="115">
        <v>23.2</v>
      </c>
      <c r="E5" s="115">
        <v>23.2</v>
      </c>
      <c r="F5" s="115">
        <v>435.55</v>
      </c>
      <c r="G5">
        <v>328843</v>
      </c>
      <c r="H5" s="115"/>
      <c r="I5" s="115"/>
      <c r="L5" s="169">
        <v>42683</v>
      </c>
      <c r="M5" s="115">
        <v>25.739259259259299</v>
      </c>
      <c r="N5" s="115">
        <v>26.6666666666667</v>
      </c>
      <c r="O5" s="115">
        <v>23.288888888888899</v>
      </c>
      <c r="P5" s="115">
        <v>23.288888888888899</v>
      </c>
      <c r="Q5" s="115">
        <v>434.35</v>
      </c>
      <c r="R5">
        <v>811362</v>
      </c>
    </row>
    <row r="6" spans="1:18" x14ac:dyDescent="0.25">
      <c r="A6" s="169">
        <v>42684</v>
      </c>
      <c r="B6" s="115">
        <v>27.318518518518498</v>
      </c>
      <c r="C6" s="115">
        <v>25.851851851851901</v>
      </c>
      <c r="D6" s="115">
        <v>25.659259259259301</v>
      </c>
      <c r="E6" s="115">
        <v>26.370370370370399</v>
      </c>
      <c r="F6" s="115">
        <v>436.25</v>
      </c>
      <c r="G6">
        <v>199170</v>
      </c>
      <c r="H6" s="115"/>
      <c r="I6" s="115"/>
      <c r="L6" s="169">
        <v>42684</v>
      </c>
      <c r="M6" s="115">
        <v>25.857777777777802</v>
      </c>
      <c r="N6" s="115">
        <v>27.312592592592601</v>
      </c>
      <c r="O6" s="115">
        <v>25.674074074074099</v>
      </c>
      <c r="P6" s="115">
        <v>26.429629629629598</v>
      </c>
      <c r="Q6" s="115">
        <v>436.35</v>
      </c>
      <c r="R6">
        <v>459704</v>
      </c>
    </row>
    <row r="7" spans="1:18" x14ac:dyDescent="0.25">
      <c r="A7" s="169">
        <v>42685</v>
      </c>
      <c r="B7" s="115">
        <v>26.6637037037037</v>
      </c>
      <c r="C7" s="115">
        <v>26.008888888888901</v>
      </c>
      <c r="D7" s="115">
        <v>25.481481481481499</v>
      </c>
      <c r="E7" s="115">
        <v>25.718518518518501</v>
      </c>
      <c r="F7" s="115">
        <v>438.9</v>
      </c>
      <c r="G7">
        <v>132789</v>
      </c>
      <c r="H7" s="115"/>
      <c r="I7" s="115"/>
      <c r="L7" s="169">
        <v>42685</v>
      </c>
      <c r="M7" s="115">
        <v>26.112592592592598</v>
      </c>
      <c r="N7" s="115">
        <v>26.6666666666667</v>
      </c>
      <c r="O7" s="115">
        <v>25.478518518518499</v>
      </c>
      <c r="P7" s="115">
        <v>25.718518518518501</v>
      </c>
      <c r="Q7" s="115">
        <v>440.65</v>
      </c>
      <c r="R7">
        <v>324102</v>
      </c>
    </row>
    <row r="8" spans="1:18" x14ac:dyDescent="0.25">
      <c r="A8" s="169">
        <v>42689</v>
      </c>
      <c r="B8" s="115">
        <v>26.311111111111099</v>
      </c>
      <c r="C8" s="115">
        <v>25.780740740740701</v>
      </c>
      <c r="D8" s="115">
        <v>25.4577777777778</v>
      </c>
      <c r="E8" s="115">
        <v>25.896296296296299</v>
      </c>
      <c r="F8" s="115">
        <v>435.05</v>
      </c>
      <c r="G8">
        <v>66986</v>
      </c>
      <c r="H8" s="115"/>
      <c r="I8" s="115"/>
      <c r="L8" s="169">
        <v>42689</v>
      </c>
      <c r="M8" s="115">
        <v>25.961481481481499</v>
      </c>
      <c r="N8" s="115">
        <v>26.3525925925926</v>
      </c>
      <c r="O8" s="115">
        <v>25.481481481481499</v>
      </c>
      <c r="P8" s="115">
        <v>25.955555555555598</v>
      </c>
      <c r="Q8" s="115">
        <v>438.1</v>
      </c>
      <c r="R8">
        <v>359415</v>
      </c>
    </row>
    <row r="9" spans="1:18" x14ac:dyDescent="0.25">
      <c r="A9" s="169">
        <v>42690</v>
      </c>
      <c r="B9" s="115">
        <v>26.488888888888901</v>
      </c>
      <c r="C9" s="115">
        <v>25.4903703703704</v>
      </c>
      <c r="D9" s="115">
        <v>24.8888888888889</v>
      </c>
      <c r="E9" s="115">
        <v>26.311111111111099</v>
      </c>
      <c r="F9" s="115">
        <v>430.15</v>
      </c>
      <c r="G9">
        <v>32220</v>
      </c>
      <c r="H9" s="115"/>
      <c r="I9" s="115"/>
      <c r="L9" s="169">
        <v>42690</v>
      </c>
      <c r="M9" s="115">
        <v>25.819259259259301</v>
      </c>
      <c r="N9" s="115">
        <v>26.488888888888901</v>
      </c>
      <c r="O9" s="115">
        <v>25.540740740740699</v>
      </c>
      <c r="P9" s="115">
        <v>26.074074074074101</v>
      </c>
      <c r="Q9" s="115">
        <v>435.7</v>
      </c>
      <c r="R9">
        <v>79903</v>
      </c>
    </row>
    <row r="10" spans="1:18" x14ac:dyDescent="0.25">
      <c r="A10" s="169">
        <v>42691</v>
      </c>
      <c r="B10" s="115">
        <v>26.311111111111099</v>
      </c>
      <c r="C10" s="115">
        <v>26.100740740740701</v>
      </c>
      <c r="D10" s="115">
        <v>25.540740740740699</v>
      </c>
      <c r="E10" s="115">
        <v>25.6</v>
      </c>
      <c r="F10" s="115">
        <v>440.45</v>
      </c>
      <c r="G10">
        <v>57157</v>
      </c>
      <c r="H10" s="115"/>
      <c r="I10" s="115"/>
      <c r="L10" s="169">
        <v>42691</v>
      </c>
      <c r="M10" s="115">
        <v>26.085925925925899</v>
      </c>
      <c r="N10" s="115">
        <v>26.334814814814798</v>
      </c>
      <c r="O10" s="115">
        <v>25.540740740740699</v>
      </c>
      <c r="P10" s="115">
        <v>25.540740740740699</v>
      </c>
      <c r="Q10" s="115">
        <v>440.2</v>
      </c>
      <c r="R10">
        <v>217069</v>
      </c>
    </row>
    <row r="11" spans="1:18" x14ac:dyDescent="0.25">
      <c r="A11" s="169">
        <v>42692</v>
      </c>
      <c r="B11" s="115">
        <v>26.305185185185199</v>
      </c>
      <c r="C11" s="115">
        <v>25.822222222222202</v>
      </c>
      <c r="D11" s="115">
        <v>25.6</v>
      </c>
      <c r="E11" s="115">
        <v>25.783703703703701</v>
      </c>
      <c r="F11" s="115">
        <v>435.75</v>
      </c>
      <c r="G11">
        <v>27816</v>
      </c>
      <c r="H11" s="115"/>
      <c r="I11" s="115"/>
      <c r="L11" s="169">
        <v>42692</v>
      </c>
      <c r="M11" s="115">
        <v>26.103703703703701</v>
      </c>
      <c r="N11" s="115">
        <v>26.370370370370399</v>
      </c>
      <c r="O11" s="115">
        <v>25.7777777777778</v>
      </c>
      <c r="P11" s="115">
        <v>26.0651851851852</v>
      </c>
      <c r="Q11" s="115">
        <v>440.5</v>
      </c>
      <c r="R11">
        <v>84664</v>
      </c>
    </row>
    <row r="12" spans="1:18" x14ac:dyDescent="0.25">
      <c r="A12" s="169">
        <v>42695</v>
      </c>
      <c r="B12" s="115">
        <v>26.1925925925926</v>
      </c>
      <c r="C12" s="115">
        <v>26.08</v>
      </c>
      <c r="D12" s="115">
        <v>25.688888888888901</v>
      </c>
      <c r="E12" s="115">
        <v>25.908148148148101</v>
      </c>
      <c r="F12" s="115">
        <v>440.1</v>
      </c>
      <c r="G12">
        <v>36474</v>
      </c>
      <c r="H12" s="115"/>
      <c r="I12" s="115"/>
      <c r="L12" s="169">
        <v>42695</v>
      </c>
      <c r="M12" s="115">
        <v>26.068148148148101</v>
      </c>
      <c r="N12" s="115">
        <v>26.204444444444398</v>
      </c>
      <c r="O12" s="115">
        <v>25.6</v>
      </c>
      <c r="P12" s="115">
        <v>25.6</v>
      </c>
      <c r="Q12" s="115">
        <v>439.9</v>
      </c>
      <c r="R12">
        <v>74176</v>
      </c>
    </row>
    <row r="13" spans="1:18" x14ac:dyDescent="0.25">
      <c r="A13" s="169">
        <v>42696</v>
      </c>
      <c r="B13" s="115">
        <v>26.216296296296299</v>
      </c>
      <c r="C13" s="115">
        <v>26.109629629629602</v>
      </c>
      <c r="D13" s="115">
        <v>25.837037037037</v>
      </c>
      <c r="E13" s="115">
        <v>25.837037037037</v>
      </c>
      <c r="F13" s="115">
        <v>440.6</v>
      </c>
      <c r="G13">
        <v>30697</v>
      </c>
      <c r="H13" s="115"/>
      <c r="I13" s="115"/>
      <c r="L13" s="169">
        <v>42696</v>
      </c>
      <c r="M13" s="115">
        <v>26.121481481481499</v>
      </c>
      <c r="N13" s="115">
        <v>26.334814814814798</v>
      </c>
      <c r="O13" s="115">
        <v>25.608888888888899</v>
      </c>
      <c r="P13" s="115">
        <v>25.608888888888899</v>
      </c>
      <c r="Q13" s="115">
        <v>440.8</v>
      </c>
      <c r="R13">
        <v>72366</v>
      </c>
    </row>
    <row r="14" spans="1:18" x14ac:dyDescent="0.25">
      <c r="A14" s="169">
        <v>42697</v>
      </c>
      <c r="B14" s="115">
        <v>26.370370370370399</v>
      </c>
      <c r="C14" s="115">
        <v>26.198518518518501</v>
      </c>
      <c r="D14" s="115">
        <v>25.659259259259301</v>
      </c>
      <c r="E14" s="115">
        <v>26.074074074074101</v>
      </c>
      <c r="F14" s="115">
        <v>442.1</v>
      </c>
      <c r="G14">
        <v>49884</v>
      </c>
      <c r="H14" s="115"/>
      <c r="I14" s="115"/>
      <c r="L14" s="169">
        <v>42697</v>
      </c>
      <c r="M14" s="115">
        <v>26.263703703703701</v>
      </c>
      <c r="N14" s="115">
        <v>26.370370370370399</v>
      </c>
      <c r="O14" s="115">
        <v>25.677037037037</v>
      </c>
      <c r="P14" s="115">
        <v>25.8074074074074</v>
      </c>
      <c r="Q14" s="115">
        <v>443.2</v>
      </c>
      <c r="R14">
        <v>159354</v>
      </c>
    </row>
    <row r="15" spans="1:18" x14ac:dyDescent="0.25">
      <c r="A15" s="169">
        <v>42698</v>
      </c>
      <c r="B15" s="115">
        <v>26.180740740740699</v>
      </c>
      <c r="C15" s="115">
        <v>26.014814814814802</v>
      </c>
      <c r="D15" s="115">
        <v>25.7777777777778</v>
      </c>
      <c r="E15" s="115">
        <v>26.074074074074101</v>
      </c>
      <c r="F15" s="115">
        <v>439</v>
      </c>
      <c r="G15">
        <v>10490</v>
      </c>
      <c r="H15" s="115"/>
      <c r="I15" s="115"/>
      <c r="L15" s="169">
        <v>42698</v>
      </c>
      <c r="M15" s="115">
        <v>25.979259259259301</v>
      </c>
      <c r="N15" s="115">
        <v>26.183703703703699</v>
      </c>
      <c r="O15" s="115">
        <v>25.854814814814802</v>
      </c>
      <c r="P15" s="115">
        <v>26.005925925925901</v>
      </c>
      <c r="Q15" s="115">
        <v>438.4</v>
      </c>
      <c r="R15">
        <v>27508</v>
      </c>
    </row>
    <row r="16" spans="1:18" x14ac:dyDescent="0.25">
      <c r="A16" s="169">
        <v>42699</v>
      </c>
      <c r="B16" s="115">
        <v>26.133333333333301</v>
      </c>
      <c r="C16" s="115">
        <v>25.887407407407402</v>
      </c>
      <c r="D16" s="115">
        <v>25.84</v>
      </c>
      <c r="E16" s="115">
        <v>26.0296296296296</v>
      </c>
      <c r="F16" s="115">
        <v>436.85</v>
      </c>
      <c r="G16">
        <v>16982</v>
      </c>
      <c r="H16" s="115"/>
      <c r="I16" s="115"/>
      <c r="L16" s="169">
        <v>42699</v>
      </c>
      <c r="M16" s="115">
        <v>25.863703703703699</v>
      </c>
      <c r="N16" s="115">
        <v>26.133333333333301</v>
      </c>
      <c r="O16" s="115">
        <v>25.718518518518501</v>
      </c>
      <c r="P16" s="115">
        <v>25.837037037037</v>
      </c>
      <c r="Q16" s="115">
        <v>436.45</v>
      </c>
      <c r="R16">
        <v>44597</v>
      </c>
    </row>
    <row r="17" spans="1:18" x14ac:dyDescent="0.25">
      <c r="A17" s="169">
        <v>42702</v>
      </c>
      <c r="B17" s="115">
        <v>25.896296296296299</v>
      </c>
      <c r="C17" s="115">
        <v>25.4281481481482</v>
      </c>
      <c r="D17" s="115">
        <v>25.010370370370399</v>
      </c>
      <c r="E17" s="115">
        <v>25.896296296296299</v>
      </c>
      <c r="F17" s="115">
        <v>429.1</v>
      </c>
      <c r="G17">
        <v>11731</v>
      </c>
      <c r="H17" s="115"/>
      <c r="I17" s="115"/>
      <c r="L17" s="169">
        <v>42702</v>
      </c>
      <c r="M17" s="115">
        <v>25.357037037036999</v>
      </c>
      <c r="N17" s="115">
        <v>26.074074074074101</v>
      </c>
      <c r="O17" s="115">
        <v>25.188148148148102</v>
      </c>
      <c r="P17" s="115">
        <v>26.074074074074101</v>
      </c>
      <c r="Q17" s="115">
        <v>427.9</v>
      </c>
      <c r="R17">
        <v>45355</v>
      </c>
    </row>
    <row r="18" spans="1:18" x14ac:dyDescent="0.25">
      <c r="A18" s="169">
        <v>42703</v>
      </c>
      <c r="B18" s="115">
        <v>26.0651851851852</v>
      </c>
      <c r="C18" s="115">
        <v>25.8044444444444</v>
      </c>
      <c r="D18" s="115">
        <v>25.250370370370401</v>
      </c>
      <c r="E18" s="115">
        <v>25.36</v>
      </c>
      <c r="F18" s="115">
        <v>435.45</v>
      </c>
      <c r="G18">
        <v>22454</v>
      </c>
      <c r="H18" s="115"/>
      <c r="I18" s="115"/>
      <c r="L18" s="169">
        <v>42703</v>
      </c>
      <c r="M18" s="115">
        <v>25.783703703703701</v>
      </c>
      <c r="N18" s="115">
        <v>26.071111111111101</v>
      </c>
      <c r="O18" s="115">
        <v>25.217777777777801</v>
      </c>
      <c r="P18" s="115">
        <v>25.44</v>
      </c>
      <c r="Q18" s="115">
        <v>435.1</v>
      </c>
      <c r="R18">
        <v>39817</v>
      </c>
    </row>
    <row r="19" spans="1:18" x14ac:dyDescent="0.25">
      <c r="A19" s="169">
        <v>42704</v>
      </c>
      <c r="B19" s="115">
        <v>26.1244444444444</v>
      </c>
      <c r="C19" s="115">
        <v>25.8696296296296</v>
      </c>
      <c r="D19" s="115">
        <v>25.7777777777778</v>
      </c>
      <c r="E19" s="115">
        <v>25.896296296296299</v>
      </c>
      <c r="F19" s="115">
        <v>436.55</v>
      </c>
      <c r="G19">
        <v>15776</v>
      </c>
      <c r="H19" s="115"/>
      <c r="I19" s="115"/>
      <c r="L19" s="169">
        <v>42704</v>
      </c>
      <c r="M19" s="115">
        <v>26.0355555555556</v>
      </c>
      <c r="N19" s="115">
        <v>26.16</v>
      </c>
      <c r="O19" s="115">
        <v>25.659259259259301</v>
      </c>
      <c r="P19" s="115">
        <v>25.659259259259301</v>
      </c>
      <c r="Q19" s="115">
        <v>439.35</v>
      </c>
      <c r="R19">
        <v>52266</v>
      </c>
    </row>
    <row r="20" spans="1:18" x14ac:dyDescent="0.25">
      <c r="A20" s="169">
        <v>42705</v>
      </c>
      <c r="B20" s="115">
        <v>26.044444444444402</v>
      </c>
      <c r="C20" s="115">
        <v>25.659259259259301</v>
      </c>
      <c r="D20" s="115">
        <v>25.6</v>
      </c>
      <c r="E20" s="115">
        <v>25.943703703703701</v>
      </c>
      <c r="F20" s="115">
        <v>433</v>
      </c>
      <c r="G20">
        <v>29820</v>
      </c>
      <c r="H20" s="115"/>
      <c r="I20" s="115"/>
      <c r="L20" s="169">
        <v>42705</v>
      </c>
      <c r="M20" s="115">
        <v>25.662222222222201</v>
      </c>
      <c r="N20" s="115">
        <v>26.068148148148101</v>
      </c>
      <c r="O20" s="115">
        <v>25.6</v>
      </c>
      <c r="P20" s="115">
        <v>25.786666666666701</v>
      </c>
      <c r="Q20" s="115">
        <v>433.05</v>
      </c>
      <c r="R20">
        <v>17221</v>
      </c>
    </row>
    <row r="21" spans="1:18" x14ac:dyDescent="0.25">
      <c r="A21" s="169">
        <v>42706</v>
      </c>
      <c r="B21" s="115">
        <v>26.044444444444402</v>
      </c>
      <c r="C21" s="115">
        <v>25.605925925925899</v>
      </c>
      <c r="D21" s="115">
        <v>25.540740740740699</v>
      </c>
      <c r="E21" s="115">
        <v>25.7481481481481</v>
      </c>
      <c r="F21" s="115">
        <v>432.1</v>
      </c>
      <c r="G21">
        <v>15592</v>
      </c>
      <c r="H21" s="115"/>
      <c r="I21" s="115"/>
      <c r="L21" s="169">
        <v>42706</v>
      </c>
      <c r="M21" s="115">
        <v>25.605925925925899</v>
      </c>
      <c r="N21" s="115">
        <v>26.014814814814802</v>
      </c>
      <c r="O21" s="115">
        <v>25.543703703703699</v>
      </c>
      <c r="P21" s="115">
        <v>25.543703703703699</v>
      </c>
      <c r="Q21" s="115">
        <v>432.1</v>
      </c>
      <c r="R21">
        <v>19051</v>
      </c>
    </row>
    <row r="22" spans="1:18" x14ac:dyDescent="0.25">
      <c r="A22" s="169">
        <v>42709</v>
      </c>
      <c r="B22" s="115">
        <v>25.801481481481499</v>
      </c>
      <c r="C22" s="115">
        <v>25.602962962963002</v>
      </c>
      <c r="D22" s="115">
        <v>25.362962962963</v>
      </c>
      <c r="E22" s="115">
        <v>25.540740740740699</v>
      </c>
      <c r="F22" s="115">
        <v>432.05</v>
      </c>
      <c r="G22">
        <v>7043</v>
      </c>
      <c r="H22" s="115"/>
      <c r="I22" s="115"/>
      <c r="L22" s="169">
        <v>42709</v>
      </c>
      <c r="M22" s="115">
        <v>25.629629629629601</v>
      </c>
      <c r="N22" s="115">
        <v>25.837037037037</v>
      </c>
      <c r="O22" s="115">
        <v>25.3037037037037</v>
      </c>
      <c r="P22" s="115">
        <v>25.4933333333333</v>
      </c>
      <c r="Q22" s="115">
        <v>432.5</v>
      </c>
      <c r="R22">
        <v>24465</v>
      </c>
    </row>
    <row r="23" spans="1:18" x14ac:dyDescent="0.25">
      <c r="A23" s="169">
        <v>42710</v>
      </c>
      <c r="B23" s="115">
        <v>25.765925925925899</v>
      </c>
      <c r="C23" s="115">
        <v>25.102222222222199</v>
      </c>
      <c r="D23" s="115">
        <v>24.936296296296302</v>
      </c>
      <c r="E23" s="115">
        <v>25.765925925925899</v>
      </c>
      <c r="F23" s="115">
        <v>423.6</v>
      </c>
      <c r="G23">
        <v>10732</v>
      </c>
      <c r="H23" s="115"/>
      <c r="I23" s="115"/>
      <c r="L23" s="169">
        <v>42710</v>
      </c>
      <c r="M23" s="115">
        <v>25.066666666666698</v>
      </c>
      <c r="N23" s="115">
        <v>25.7777777777778</v>
      </c>
      <c r="O23" s="115">
        <v>24.900740740740702</v>
      </c>
      <c r="P23" s="115">
        <v>25.7777777777778</v>
      </c>
      <c r="Q23" s="115">
        <v>423</v>
      </c>
      <c r="R23">
        <v>19556</v>
      </c>
    </row>
    <row r="24" spans="1:18" x14ac:dyDescent="0.25">
      <c r="A24" s="169">
        <v>42711</v>
      </c>
      <c r="B24" s="115">
        <v>25.2118518518519</v>
      </c>
      <c r="C24" s="115">
        <v>24.296296296296301</v>
      </c>
      <c r="D24" s="115">
        <v>24.047407407407398</v>
      </c>
      <c r="E24" s="115">
        <v>24.948148148148199</v>
      </c>
      <c r="F24" s="115">
        <v>410</v>
      </c>
      <c r="G24">
        <v>21565</v>
      </c>
      <c r="H24" s="115"/>
      <c r="I24" s="115"/>
      <c r="L24" s="169">
        <v>42711</v>
      </c>
      <c r="M24" s="115">
        <v>24.334814814814798</v>
      </c>
      <c r="N24" s="115">
        <v>25.2414814814815</v>
      </c>
      <c r="O24" s="115">
        <v>24.148148148148099</v>
      </c>
      <c r="P24" s="115">
        <v>24.9214814814815</v>
      </c>
      <c r="Q24" s="115">
        <v>410.65</v>
      </c>
      <c r="R24">
        <v>49872</v>
      </c>
    </row>
    <row r="25" spans="1:18" x14ac:dyDescent="0.25">
      <c r="A25" s="169">
        <v>42712</v>
      </c>
      <c r="B25" s="115">
        <v>25.475555555555601</v>
      </c>
      <c r="C25" s="115">
        <v>24.9511111111111</v>
      </c>
      <c r="D25" s="115">
        <v>24.340740740740699</v>
      </c>
      <c r="E25" s="115">
        <v>24.340740740740699</v>
      </c>
      <c r="F25" s="115">
        <v>421.05</v>
      </c>
      <c r="G25">
        <v>11774</v>
      </c>
      <c r="H25" s="115"/>
      <c r="I25" s="115"/>
      <c r="L25" s="169">
        <v>42712</v>
      </c>
      <c r="M25" s="115">
        <v>25.0518518518519</v>
      </c>
      <c r="N25" s="115">
        <v>25.478518518518499</v>
      </c>
      <c r="O25" s="115">
        <v>24.358518518518501</v>
      </c>
      <c r="P25" s="115">
        <v>24.4118518518519</v>
      </c>
      <c r="Q25" s="115">
        <v>422.75</v>
      </c>
      <c r="R25">
        <v>39040</v>
      </c>
    </row>
    <row r="26" spans="1:18" x14ac:dyDescent="0.25">
      <c r="A26" s="169">
        <v>42713</v>
      </c>
      <c r="B26" s="115">
        <v>25.220740740740698</v>
      </c>
      <c r="C26" s="115">
        <v>24.533333333333299</v>
      </c>
      <c r="D26" s="115">
        <v>24.237037037036998</v>
      </c>
      <c r="E26" s="115">
        <v>25.007407407407399</v>
      </c>
      <c r="F26" s="115">
        <v>414</v>
      </c>
      <c r="G26">
        <v>4542</v>
      </c>
      <c r="H26" s="115"/>
      <c r="I26" s="115"/>
      <c r="L26" s="169">
        <v>42713</v>
      </c>
      <c r="M26" s="115">
        <v>24.6044444444444</v>
      </c>
      <c r="N26" s="115">
        <v>25.2088888888889</v>
      </c>
      <c r="O26" s="115">
        <v>24.5362962962963</v>
      </c>
      <c r="P26" s="115">
        <v>25.202962962962999</v>
      </c>
      <c r="Q26" s="115">
        <v>415.2</v>
      </c>
      <c r="R26">
        <v>18733</v>
      </c>
    </row>
    <row r="27" spans="1:18" x14ac:dyDescent="0.25">
      <c r="A27" s="169">
        <v>42716</v>
      </c>
      <c r="B27" s="115">
        <v>25.037037037036999</v>
      </c>
      <c r="C27" s="115">
        <v>24.974814814814799</v>
      </c>
      <c r="D27" s="115">
        <v>24.405925925925899</v>
      </c>
      <c r="E27" s="115">
        <v>24.405925925925899</v>
      </c>
      <c r="F27" s="115">
        <v>421.45</v>
      </c>
      <c r="G27">
        <v>5286</v>
      </c>
      <c r="H27" s="115"/>
      <c r="I27" s="115"/>
      <c r="L27" s="169">
        <v>42716</v>
      </c>
      <c r="M27" s="115">
        <v>24.936296296296302</v>
      </c>
      <c r="N27" s="115">
        <v>25.007407407407399</v>
      </c>
      <c r="O27" s="115">
        <v>24</v>
      </c>
      <c r="P27" s="115">
        <v>24</v>
      </c>
      <c r="Q27" s="115">
        <v>420.8</v>
      </c>
      <c r="R27">
        <v>20019</v>
      </c>
    </row>
    <row r="28" spans="1:18" x14ac:dyDescent="0.25">
      <c r="A28" s="169">
        <v>42717</v>
      </c>
      <c r="B28" s="115">
        <v>24.948148148148199</v>
      </c>
      <c r="C28" s="115">
        <v>24.6014814814815</v>
      </c>
      <c r="D28" s="115">
        <v>24.4148148148148</v>
      </c>
      <c r="E28" s="115">
        <v>24.654814814814799</v>
      </c>
      <c r="F28" s="115">
        <v>415.15</v>
      </c>
      <c r="G28">
        <v>3834</v>
      </c>
      <c r="H28" s="115"/>
      <c r="I28" s="115"/>
      <c r="L28" s="169">
        <v>42717</v>
      </c>
      <c r="M28" s="115">
        <v>24.746666666666702</v>
      </c>
      <c r="N28" s="115">
        <v>24.96</v>
      </c>
      <c r="O28" s="115">
        <v>24.4148148148148</v>
      </c>
      <c r="P28" s="115">
        <v>24.4148148148148</v>
      </c>
      <c r="Q28" s="115">
        <v>417.6</v>
      </c>
      <c r="R28">
        <v>7192</v>
      </c>
    </row>
    <row r="29" spans="1:18" x14ac:dyDescent="0.25">
      <c r="A29" s="169">
        <v>42718</v>
      </c>
      <c r="B29" s="115">
        <v>24.9185185185185</v>
      </c>
      <c r="C29" s="115">
        <v>24.6311111111111</v>
      </c>
      <c r="D29" s="115">
        <v>24.533333333333299</v>
      </c>
      <c r="E29" s="115">
        <v>24.8859259259259</v>
      </c>
      <c r="F29" s="115">
        <v>415.65</v>
      </c>
      <c r="G29">
        <v>6264</v>
      </c>
      <c r="H29" s="115"/>
      <c r="I29" s="115"/>
      <c r="L29" s="169">
        <v>42718</v>
      </c>
      <c r="M29" s="115">
        <v>24.684444444444399</v>
      </c>
      <c r="N29" s="115">
        <v>24.948148148148199</v>
      </c>
      <c r="O29" s="115">
        <v>24.625185185185199</v>
      </c>
      <c r="P29" s="115">
        <v>24.948148148148199</v>
      </c>
      <c r="Q29" s="115">
        <v>416.55</v>
      </c>
      <c r="R29">
        <v>16041</v>
      </c>
    </row>
    <row r="30" spans="1:18" x14ac:dyDescent="0.25">
      <c r="A30" s="169">
        <v>42719</v>
      </c>
      <c r="B30" s="115">
        <v>24.933333333333302</v>
      </c>
      <c r="C30" s="115">
        <v>24.779259259259302</v>
      </c>
      <c r="D30" s="115">
        <v>24.296296296296301</v>
      </c>
      <c r="E30" s="115">
        <v>24.296296296296301</v>
      </c>
      <c r="F30" s="115">
        <v>418.15</v>
      </c>
      <c r="G30">
        <v>3583</v>
      </c>
      <c r="H30" s="115"/>
      <c r="I30" s="115"/>
      <c r="L30" s="169">
        <v>42719</v>
      </c>
      <c r="M30" s="115">
        <v>24.894814814814801</v>
      </c>
      <c r="N30" s="115">
        <v>24.948148148148199</v>
      </c>
      <c r="O30" s="115">
        <v>24.296296296296301</v>
      </c>
      <c r="P30" s="115">
        <v>24.296296296296301</v>
      </c>
      <c r="Q30" s="115">
        <v>420.1</v>
      </c>
      <c r="R30">
        <v>23359</v>
      </c>
    </row>
    <row r="31" spans="1:18" x14ac:dyDescent="0.25">
      <c r="A31" s="169">
        <v>42720</v>
      </c>
      <c r="B31" s="115">
        <v>25.185185185185201</v>
      </c>
      <c r="C31" s="115">
        <v>24.64</v>
      </c>
      <c r="D31" s="115">
        <v>24.4740740740741</v>
      </c>
      <c r="E31" s="115">
        <v>24.909629629629599</v>
      </c>
      <c r="F31" s="115">
        <v>415.8</v>
      </c>
      <c r="G31">
        <v>8048</v>
      </c>
      <c r="H31" s="115"/>
      <c r="I31" s="115"/>
      <c r="L31" s="169">
        <v>42720</v>
      </c>
      <c r="M31" s="115">
        <v>24.471111111111099</v>
      </c>
      <c r="N31" s="115">
        <v>25.244444444444401</v>
      </c>
      <c r="O31" s="115">
        <v>24.3555555555556</v>
      </c>
      <c r="P31" s="115">
        <v>24.622222222222199</v>
      </c>
      <c r="Q31" s="115">
        <v>412.95</v>
      </c>
      <c r="R31">
        <v>62957</v>
      </c>
    </row>
    <row r="32" spans="1:18" x14ac:dyDescent="0.25">
      <c r="A32" s="169">
        <v>42723</v>
      </c>
      <c r="B32" s="115">
        <v>24.562962962962999</v>
      </c>
      <c r="C32" s="115">
        <v>24.183703703703699</v>
      </c>
      <c r="D32" s="115">
        <v>24.059259259259299</v>
      </c>
      <c r="E32" s="115">
        <v>24.548148148148101</v>
      </c>
      <c r="F32" s="115">
        <v>408.1</v>
      </c>
      <c r="G32">
        <v>4744</v>
      </c>
      <c r="H32" s="115"/>
      <c r="I32" s="115"/>
      <c r="L32" s="169">
        <v>42723</v>
      </c>
      <c r="M32" s="115">
        <v>24.3555555555556</v>
      </c>
      <c r="N32" s="115">
        <v>24.595555555555599</v>
      </c>
      <c r="O32" s="115">
        <v>24.059259259259299</v>
      </c>
      <c r="P32" s="115">
        <v>24.592592592592599</v>
      </c>
      <c r="Q32" s="115">
        <v>411</v>
      </c>
      <c r="R32">
        <v>41205</v>
      </c>
    </row>
    <row r="33" spans="1:18" x14ac:dyDescent="0.25">
      <c r="A33" s="169">
        <v>42724</v>
      </c>
      <c r="B33" s="115">
        <v>24.533333333333299</v>
      </c>
      <c r="C33" s="115">
        <v>24.014814814814802</v>
      </c>
      <c r="D33" s="115">
        <v>23.940740740740701</v>
      </c>
      <c r="E33" s="115">
        <v>24.237037037036998</v>
      </c>
      <c r="F33" s="115">
        <v>405.25</v>
      </c>
      <c r="G33">
        <v>3262</v>
      </c>
      <c r="H33" s="115"/>
      <c r="I33" s="115"/>
      <c r="L33" s="169">
        <v>42724</v>
      </c>
      <c r="M33" s="115">
        <v>24.0622222222222</v>
      </c>
      <c r="N33" s="115">
        <v>24.562962962962999</v>
      </c>
      <c r="O33" s="115">
        <v>24</v>
      </c>
      <c r="P33" s="115">
        <v>24.533333333333299</v>
      </c>
      <c r="Q33" s="115">
        <v>406.05</v>
      </c>
      <c r="R33">
        <v>21851</v>
      </c>
    </row>
    <row r="34" spans="1:18" x14ac:dyDescent="0.25">
      <c r="A34" s="169">
        <v>42725</v>
      </c>
      <c r="B34" s="115">
        <v>23.952592592592602</v>
      </c>
      <c r="C34" s="115">
        <v>23.374814814814801</v>
      </c>
      <c r="D34" s="115">
        <v>23.1762962962963</v>
      </c>
      <c r="E34" s="115">
        <v>23.9348148148148</v>
      </c>
      <c r="F34" s="115">
        <v>394.45</v>
      </c>
      <c r="G34">
        <v>6187</v>
      </c>
      <c r="H34" s="115"/>
      <c r="I34" s="115"/>
      <c r="L34" s="169">
        <v>42725</v>
      </c>
      <c r="M34" s="115">
        <v>23.564444444444401</v>
      </c>
      <c r="N34" s="115">
        <v>24.121481481481499</v>
      </c>
      <c r="O34" s="115">
        <v>23.445925925925899</v>
      </c>
      <c r="P34" s="115">
        <v>24.121481481481499</v>
      </c>
      <c r="Q34" s="115">
        <v>397.65</v>
      </c>
      <c r="R34">
        <v>35036</v>
      </c>
    </row>
    <row r="35" spans="1:18" x14ac:dyDescent="0.25">
      <c r="A35" s="169">
        <v>42726</v>
      </c>
      <c r="B35" s="115">
        <v>23.703703703703699</v>
      </c>
      <c r="C35" s="115">
        <v>22.714074074074102</v>
      </c>
      <c r="D35" s="115">
        <v>22.020740740740699</v>
      </c>
      <c r="E35" s="115">
        <v>23.579259259259299</v>
      </c>
      <c r="F35" s="115">
        <v>383.3</v>
      </c>
      <c r="G35">
        <v>8530</v>
      </c>
      <c r="H35" s="115"/>
      <c r="I35" s="115"/>
      <c r="L35" s="169">
        <v>42726</v>
      </c>
      <c r="M35" s="115">
        <v>22.7585185185185</v>
      </c>
      <c r="N35" s="115">
        <v>23.703703703703699</v>
      </c>
      <c r="O35" s="115">
        <v>21.445925925925899</v>
      </c>
      <c r="P35" s="115">
        <v>23.5881481481482</v>
      </c>
      <c r="Q35" s="115">
        <v>384.05</v>
      </c>
      <c r="R35">
        <v>50883</v>
      </c>
    </row>
    <row r="36" spans="1:18" x14ac:dyDescent="0.25">
      <c r="A36" s="169">
        <v>42727</v>
      </c>
      <c r="B36" s="115">
        <v>22.814814814814799</v>
      </c>
      <c r="C36" s="115">
        <v>21.988148148148099</v>
      </c>
      <c r="D36" s="115">
        <v>21.925925925925899</v>
      </c>
      <c r="E36" s="115">
        <v>22.814814814814799</v>
      </c>
      <c r="F36" s="115">
        <v>371.05</v>
      </c>
      <c r="G36">
        <v>9455</v>
      </c>
      <c r="H36" s="115"/>
      <c r="I36" s="115"/>
      <c r="L36" s="169">
        <v>42727</v>
      </c>
      <c r="M36" s="115">
        <v>22.041481481481501</v>
      </c>
      <c r="N36" s="115">
        <v>22.874074074074102</v>
      </c>
      <c r="O36" s="115">
        <v>21.925925925925899</v>
      </c>
      <c r="P36" s="115">
        <v>22.521481481481501</v>
      </c>
      <c r="Q36" s="115">
        <v>371.95</v>
      </c>
      <c r="R36">
        <v>23162</v>
      </c>
    </row>
    <row r="37" spans="1:18" x14ac:dyDescent="0.25">
      <c r="A37" s="169">
        <v>42730</v>
      </c>
      <c r="B37" s="115">
        <v>22.044444444444402</v>
      </c>
      <c r="C37" s="115">
        <v>20.912592592592599</v>
      </c>
      <c r="D37" s="115">
        <v>20.4444444444444</v>
      </c>
      <c r="E37" s="115">
        <v>22.044444444444402</v>
      </c>
      <c r="F37" s="115">
        <v>352.9</v>
      </c>
      <c r="G37">
        <v>17050</v>
      </c>
      <c r="H37" s="115"/>
      <c r="I37" s="115"/>
      <c r="L37" s="169">
        <v>42730</v>
      </c>
      <c r="M37" s="115">
        <v>21.3007407407407</v>
      </c>
      <c r="N37" s="115">
        <v>21.866666666666699</v>
      </c>
      <c r="O37" s="115">
        <v>20.8</v>
      </c>
      <c r="P37" s="115">
        <v>21.866666666666699</v>
      </c>
      <c r="Q37" s="115">
        <v>359.45</v>
      </c>
      <c r="R37">
        <v>36366</v>
      </c>
    </row>
    <row r="38" spans="1:18" x14ac:dyDescent="0.25">
      <c r="A38" s="169">
        <v>42731</v>
      </c>
      <c r="B38" s="115">
        <v>21.7748148148148</v>
      </c>
      <c r="C38" s="115">
        <v>21.410370370370401</v>
      </c>
      <c r="D38" s="115">
        <v>20.977777777777799</v>
      </c>
      <c r="E38" s="115">
        <v>20.977777777777799</v>
      </c>
      <c r="F38" s="115">
        <v>361.3</v>
      </c>
      <c r="G38">
        <v>3114</v>
      </c>
      <c r="H38" s="115"/>
      <c r="I38" s="115"/>
      <c r="L38" s="169">
        <v>42731</v>
      </c>
      <c r="M38" s="115">
        <v>21.638518518518499</v>
      </c>
      <c r="N38" s="115">
        <v>21.925925925925899</v>
      </c>
      <c r="O38" s="115">
        <v>20.912592592592599</v>
      </c>
      <c r="P38" s="115">
        <v>21.155555555555601</v>
      </c>
      <c r="Q38" s="115">
        <v>365.15</v>
      </c>
      <c r="R38">
        <v>19965</v>
      </c>
    </row>
    <row r="39" spans="1:18" x14ac:dyDescent="0.25">
      <c r="A39" s="169">
        <v>42732</v>
      </c>
      <c r="B39" s="115">
        <v>21.985185185185198</v>
      </c>
      <c r="C39" s="115">
        <v>21.6533333333333</v>
      </c>
      <c r="D39" s="115">
        <v>21.3333333333333</v>
      </c>
      <c r="E39" s="115">
        <v>21.635555555555602</v>
      </c>
      <c r="F39" s="115">
        <v>365.4</v>
      </c>
      <c r="G39">
        <v>2836</v>
      </c>
      <c r="H39" s="115"/>
      <c r="I39" s="115"/>
      <c r="L39" s="169">
        <v>42732</v>
      </c>
      <c r="M39" s="115">
        <v>21.765925925925899</v>
      </c>
      <c r="N39" s="115">
        <v>21.988148148148099</v>
      </c>
      <c r="O39" s="115">
        <v>21.3985185185185</v>
      </c>
      <c r="P39" s="115">
        <v>21.534814814814801</v>
      </c>
      <c r="Q39" s="115">
        <v>367.3</v>
      </c>
      <c r="R39">
        <v>28037</v>
      </c>
    </row>
    <row r="40" spans="1:18" x14ac:dyDescent="0.25">
      <c r="A40" s="169">
        <v>42733</v>
      </c>
      <c r="B40" s="115">
        <v>22.044444444444402</v>
      </c>
      <c r="C40" s="115">
        <v>21.952592592592602</v>
      </c>
      <c r="D40" s="115">
        <v>21.629629629629601</v>
      </c>
      <c r="E40" s="115">
        <v>21.68</v>
      </c>
      <c r="F40" s="115">
        <v>370.45</v>
      </c>
      <c r="G40">
        <v>1496</v>
      </c>
      <c r="H40" s="115"/>
      <c r="I40" s="115"/>
      <c r="L40" s="169">
        <v>42733</v>
      </c>
      <c r="M40" s="115">
        <v>22.174814814814798</v>
      </c>
      <c r="N40" s="115">
        <v>22.275555555555599</v>
      </c>
      <c r="O40" s="115">
        <v>21.514074074074099</v>
      </c>
      <c r="P40" s="115">
        <v>21.768888888888899</v>
      </c>
      <c r="Q40" s="115">
        <v>374.2</v>
      </c>
      <c r="R40">
        <v>20700</v>
      </c>
    </row>
    <row r="41" spans="1:18" x14ac:dyDescent="0.25">
      <c r="A41" s="169">
        <v>42734</v>
      </c>
      <c r="B41" s="115">
        <v>22.814814814814799</v>
      </c>
      <c r="C41" s="115">
        <v>22.5985185185185</v>
      </c>
      <c r="D41" s="115">
        <v>22.068148148148101</v>
      </c>
      <c r="E41" s="115">
        <v>22.068148148148101</v>
      </c>
      <c r="F41" s="115">
        <v>381.35</v>
      </c>
      <c r="G41">
        <v>7328</v>
      </c>
      <c r="H41" s="115"/>
      <c r="I41" s="115"/>
      <c r="L41" s="169">
        <v>42734</v>
      </c>
      <c r="M41" s="115">
        <v>22.551111111111101</v>
      </c>
      <c r="N41" s="115">
        <v>22.785185185185199</v>
      </c>
      <c r="O41" s="115">
        <v>22.219259259259299</v>
      </c>
      <c r="P41" s="115">
        <v>22.334814814814798</v>
      </c>
      <c r="Q41" s="115">
        <v>380.55</v>
      </c>
      <c r="R41">
        <v>15403</v>
      </c>
    </row>
    <row r="42" spans="1:18" x14ac:dyDescent="0.25">
      <c r="A42" s="169">
        <v>42737</v>
      </c>
      <c r="B42" s="115">
        <v>23.703703703703699</v>
      </c>
      <c r="C42" s="115">
        <v>23.472592592592601</v>
      </c>
      <c r="D42" s="115">
        <v>22.678518518518501</v>
      </c>
      <c r="E42" s="115">
        <v>22.7911111111111</v>
      </c>
      <c r="F42" s="115">
        <v>396.1</v>
      </c>
      <c r="G42">
        <v>3121</v>
      </c>
      <c r="H42" s="115"/>
      <c r="I42" s="115"/>
      <c r="L42" s="169">
        <v>42737</v>
      </c>
      <c r="M42" s="115">
        <v>23.659259259259301</v>
      </c>
      <c r="N42" s="115">
        <v>23.703703703703699</v>
      </c>
      <c r="O42" s="115">
        <v>22.580740740740701</v>
      </c>
      <c r="P42" s="115">
        <v>22.874074074074102</v>
      </c>
      <c r="Q42" s="115">
        <v>399.25</v>
      </c>
      <c r="R42">
        <v>14916</v>
      </c>
    </row>
    <row r="43" spans="1:18" x14ac:dyDescent="0.25">
      <c r="A43" s="169">
        <v>42738</v>
      </c>
      <c r="B43" s="115">
        <v>24.657777777777799</v>
      </c>
      <c r="C43" s="115">
        <v>24.186666666666699</v>
      </c>
      <c r="D43" s="115">
        <v>23.703703703703699</v>
      </c>
      <c r="E43" s="115">
        <v>24.1303703703704</v>
      </c>
      <c r="F43" s="115">
        <v>408.15</v>
      </c>
      <c r="G43">
        <v>9269</v>
      </c>
      <c r="H43" s="115"/>
      <c r="I43" s="115"/>
      <c r="L43" s="169">
        <v>42738</v>
      </c>
      <c r="M43" s="115">
        <v>24.325925925925901</v>
      </c>
      <c r="N43" s="115">
        <v>24.8592592592593</v>
      </c>
      <c r="O43" s="115">
        <v>24.177777777777798</v>
      </c>
      <c r="P43" s="115">
        <v>24.361481481481501</v>
      </c>
      <c r="Q43" s="115">
        <v>410.5</v>
      </c>
      <c r="R43">
        <v>62282</v>
      </c>
    </row>
    <row r="44" spans="1:18" x14ac:dyDescent="0.25">
      <c r="A44" s="169">
        <v>42739</v>
      </c>
      <c r="B44" s="115">
        <v>24.767407407407401</v>
      </c>
      <c r="C44" s="115">
        <v>24.388148148148101</v>
      </c>
      <c r="D44" s="115">
        <v>24.186666666666699</v>
      </c>
      <c r="E44" s="115">
        <v>24.557037037036999</v>
      </c>
      <c r="F44" s="115">
        <v>411.55</v>
      </c>
      <c r="G44">
        <v>3854</v>
      </c>
      <c r="H44" s="115"/>
      <c r="I44" s="115"/>
      <c r="L44" s="169">
        <v>42739</v>
      </c>
      <c r="M44" s="115">
        <v>24.6044444444444</v>
      </c>
      <c r="N44" s="115">
        <v>24.770370370370401</v>
      </c>
      <c r="O44" s="115">
        <v>24</v>
      </c>
      <c r="P44" s="115">
        <v>24.705185185185201</v>
      </c>
      <c r="Q44" s="115">
        <v>415.2</v>
      </c>
      <c r="R44">
        <v>28924</v>
      </c>
    </row>
    <row r="45" spans="1:18" x14ac:dyDescent="0.25">
      <c r="A45" s="169">
        <v>42740</v>
      </c>
      <c r="B45" s="115">
        <v>24.737777777777801</v>
      </c>
      <c r="C45" s="115">
        <v>24.545185185185201</v>
      </c>
      <c r="D45" s="115">
        <v>24.2577777777778</v>
      </c>
      <c r="E45" s="115">
        <v>24.592592592592599</v>
      </c>
      <c r="F45" s="115">
        <v>414.2</v>
      </c>
      <c r="G45">
        <v>4547</v>
      </c>
      <c r="H45" s="115"/>
      <c r="I45" s="115"/>
      <c r="L45" s="169">
        <v>42740</v>
      </c>
      <c r="M45" s="115">
        <v>24.7585185185185</v>
      </c>
      <c r="N45" s="115">
        <v>24.877037037036999</v>
      </c>
      <c r="O45" s="115">
        <v>24.361481481481501</v>
      </c>
      <c r="P45" s="115">
        <v>24.684444444444399</v>
      </c>
      <c r="Q45" s="115">
        <v>417.8</v>
      </c>
      <c r="R45">
        <v>27090</v>
      </c>
    </row>
    <row r="46" spans="1:18" x14ac:dyDescent="0.25">
      <c r="A46" s="169">
        <v>42741</v>
      </c>
      <c r="B46" s="115">
        <v>24.770370370370401</v>
      </c>
      <c r="C46" s="115">
        <v>24.397037037036998</v>
      </c>
      <c r="D46" s="115">
        <v>24.305185185185199</v>
      </c>
      <c r="E46" s="115">
        <v>24.580740740740701</v>
      </c>
      <c r="F46" s="115">
        <v>411.7</v>
      </c>
      <c r="G46">
        <v>3577</v>
      </c>
      <c r="H46" s="115"/>
      <c r="I46" s="115"/>
      <c r="L46" s="169">
        <v>42741</v>
      </c>
      <c r="M46" s="115">
        <v>24.468148148148099</v>
      </c>
      <c r="N46" s="115">
        <v>24.814814814814799</v>
      </c>
      <c r="O46" s="115">
        <v>24.302222222222198</v>
      </c>
      <c r="P46" s="115">
        <v>24.7585185185185</v>
      </c>
      <c r="Q46" s="115">
        <v>412.9</v>
      </c>
      <c r="R46">
        <v>18319</v>
      </c>
    </row>
    <row r="47" spans="1:18" x14ac:dyDescent="0.25">
      <c r="A47" s="169">
        <v>42744</v>
      </c>
      <c r="B47" s="115">
        <v>24.7940740740741</v>
      </c>
      <c r="C47" s="115">
        <v>24.619259259259302</v>
      </c>
      <c r="D47" s="115">
        <v>24.296296296296301</v>
      </c>
      <c r="E47" s="115">
        <v>24.4740740740741</v>
      </c>
      <c r="F47" s="115">
        <v>415.45</v>
      </c>
      <c r="G47">
        <v>3420</v>
      </c>
      <c r="H47" s="115"/>
      <c r="I47" s="115"/>
      <c r="L47" s="169">
        <v>42744</v>
      </c>
      <c r="M47" s="115">
        <v>24.740740740740701</v>
      </c>
      <c r="N47" s="115">
        <v>24.8859259259259</v>
      </c>
      <c r="O47" s="115">
        <v>24.180740740740699</v>
      </c>
      <c r="P47" s="115">
        <v>24.482962962963001</v>
      </c>
      <c r="Q47" s="115">
        <v>417.5</v>
      </c>
      <c r="R47">
        <v>23500</v>
      </c>
    </row>
    <row r="48" spans="1:18" x14ac:dyDescent="0.25">
      <c r="A48" s="169">
        <v>42745</v>
      </c>
      <c r="B48" s="115">
        <v>24.7259259259259</v>
      </c>
      <c r="C48" s="115">
        <v>24.589629629629599</v>
      </c>
      <c r="D48" s="115">
        <v>24.367407407407399</v>
      </c>
      <c r="E48" s="115">
        <v>24.4148148148148</v>
      </c>
      <c r="F48" s="115">
        <v>414.95</v>
      </c>
      <c r="G48">
        <v>2075</v>
      </c>
      <c r="H48" s="115"/>
      <c r="I48" s="115"/>
      <c r="L48" s="169">
        <v>42745</v>
      </c>
      <c r="M48" s="115">
        <v>24.7318518518519</v>
      </c>
      <c r="N48" s="115">
        <v>24.829629629629601</v>
      </c>
      <c r="O48" s="115">
        <v>24.429629629629598</v>
      </c>
      <c r="P48" s="115">
        <v>24.429629629629598</v>
      </c>
      <c r="Q48" s="115">
        <v>417.35</v>
      </c>
      <c r="R48">
        <v>9979</v>
      </c>
    </row>
    <row r="49" spans="1:18" x14ac:dyDescent="0.25">
      <c r="A49" s="169">
        <v>42746</v>
      </c>
      <c r="B49" s="115">
        <v>24.714074074074102</v>
      </c>
      <c r="C49" s="115">
        <v>24.4</v>
      </c>
      <c r="D49" s="115">
        <v>24.3851851851852</v>
      </c>
      <c r="E49" s="115">
        <v>24.6014814814815</v>
      </c>
      <c r="F49" s="115">
        <v>411.75</v>
      </c>
      <c r="G49">
        <v>3033</v>
      </c>
      <c r="H49" s="115"/>
      <c r="I49" s="115"/>
      <c r="L49" s="169">
        <v>42746</v>
      </c>
      <c r="M49" s="115">
        <v>24.491851851851902</v>
      </c>
      <c r="N49" s="115">
        <v>24.773333333333301</v>
      </c>
      <c r="O49" s="115">
        <v>24.4148148148148</v>
      </c>
      <c r="P49" s="115">
        <v>24.7614814814815</v>
      </c>
      <c r="Q49" s="115">
        <v>413.3</v>
      </c>
      <c r="R49">
        <v>24672</v>
      </c>
    </row>
    <row r="50" spans="1:18" x14ac:dyDescent="0.25">
      <c r="A50" s="169">
        <v>42747</v>
      </c>
      <c r="B50" s="115">
        <v>24.711111111111101</v>
      </c>
      <c r="C50" s="115">
        <v>24.4177777777778</v>
      </c>
      <c r="D50" s="115">
        <v>24.302222222222198</v>
      </c>
      <c r="E50" s="115">
        <v>24.711111111111101</v>
      </c>
      <c r="F50" s="115">
        <v>412.05</v>
      </c>
      <c r="G50">
        <v>1985</v>
      </c>
      <c r="H50" s="115"/>
      <c r="I50" s="115"/>
      <c r="L50" s="169">
        <v>42747</v>
      </c>
      <c r="M50" s="115">
        <v>24.557037037036999</v>
      </c>
      <c r="N50" s="115">
        <v>24.711111111111101</v>
      </c>
      <c r="O50" s="115">
        <v>24.477037037037</v>
      </c>
      <c r="P50" s="115">
        <v>24.477037037037</v>
      </c>
      <c r="Q50" s="115">
        <v>414.4</v>
      </c>
      <c r="R50">
        <v>13627</v>
      </c>
    </row>
    <row r="51" spans="1:18" x14ac:dyDescent="0.25">
      <c r="A51" s="169">
        <v>42748</v>
      </c>
      <c r="B51" s="115">
        <v>24.651851851851902</v>
      </c>
      <c r="C51" s="115">
        <v>24.4740740740741</v>
      </c>
      <c r="D51" s="115">
        <v>24.305185185185199</v>
      </c>
      <c r="E51" s="115">
        <v>24.305185185185199</v>
      </c>
      <c r="F51" s="115">
        <v>413</v>
      </c>
      <c r="G51">
        <v>3810</v>
      </c>
      <c r="H51" s="115"/>
      <c r="I51" s="115"/>
      <c r="L51" s="169">
        <v>42748</v>
      </c>
      <c r="M51" s="115">
        <v>24.734814814814801</v>
      </c>
      <c r="N51" s="115">
        <v>24.8859259259259</v>
      </c>
      <c r="O51" s="115">
        <v>24.340740740740699</v>
      </c>
      <c r="P51" s="115">
        <v>24.340740740740699</v>
      </c>
      <c r="Q51" s="115">
        <v>417.4</v>
      </c>
      <c r="R51">
        <v>26793</v>
      </c>
    </row>
    <row r="52" spans="1:18" x14ac:dyDescent="0.25">
      <c r="A52" s="169">
        <v>42751</v>
      </c>
      <c r="B52" s="115">
        <v>24.711111111111101</v>
      </c>
      <c r="C52" s="115">
        <v>24.450370370370401</v>
      </c>
      <c r="D52" s="115">
        <v>24.388148148148101</v>
      </c>
      <c r="E52" s="115">
        <v>24.711111111111101</v>
      </c>
      <c r="F52" s="115">
        <v>412.6</v>
      </c>
      <c r="G52">
        <v>1562</v>
      </c>
      <c r="H52" s="115"/>
      <c r="I52" s="115"/>
      <c r="L52" s="169">
        <v>42751</v>
      </c>
      <c r="M52" s="115">
        <v>24.5392592592593</v>
      </c>
      <c r="N52" s="115">
        <v>24.7911111111111</v>
      </c>
      <c r="O52" s="115">
        <v>24.4148148148148</v>
      </c>
      <c r="P52" s="115">
        <v>24.4148148148148</v>
      </c>
      <c r="Q52" s="115">
        <v>414.1</v>
      </c>
      <c r="R52">
        <v>11740</v>
      </c>
    </row>
    <row r="53" spans="1:18" x14ac:dyDescent="0.25">
      <c r="A53" s="169">
        <v>42752</v>
      </c>
      <c r="B53" s="115">
        <v>24.577777777777801</v>
      </c>
      <c r="C53" s="115">
        <v>24.423703703703701</v>
      </c>
      <c r="D53" s="115">
        <v>24.272592592592598</v>
      </c>
      <c r="E53" s="115">
        <v>24.340740740740699</v>
      </c>
      <c r="F53" s="115">
        <v>412.15</v>
      </c>
      <c r="G53">
        <v>1544</v>
      </c>
      <c r="H53" s="115"/>
      <c r="I53" s="115"/>
      <c r="L53" s="169">
        <v>42752</v>
      </c>
      <c r="M53" s="115">
        <v>24.4088888888889</v>
      </c>
      <c r="N53" s="115">
        <v>24.740740740740701</v>
      </c>
      <c r="O53" s="115">
        <v>24.302222222222198</v>
      </c>
      <c r="P53" s="115">
        <v>24.740740740740701</v>
      </c>
      <c r="Q53" s="115">
        <v>411.9</v>
      </c>
      <c r="R53">
        <v>10424</v>
      </c>
    </row>
    <row r="54" spans="1:18" x14ac:dyDescent="0.25">
      <c r="A54" s="169">
        <v>42753</v>
      </c>
      <c r="B54" s="115">
        <v>24.592592592592599</v>
      </c>
      <c r="C54" s="115">
        <v>24.136296296296301</v>
      </c>
      <c r="D54" s="115">
        <v>24.088888888888899</v>
      </c>
      <c r="E54" s="115">
        <v>24.589629629629599</v>
      </c>
      <c r="F54" s="115">
        <v>407.3</v>
      </c>
      <c r="G54">
        <v>1668</v>
      </c>
      <c r="H54" s="115"/>
      <c r="I54" s="115"/>
      <c r="L54" s="169">
        <v>42753</v>
      </c>
      <c r="M54" s="115">
        <v>24.204444444444398</v>
      </c>
      <c r="N54" s="115">
        <v>24.625185185185199</v>
      </c>
      <c r="O54" s="115">
        <v>24.0948148148148</v>
      </c>
      <c r="P54" s="115">
        <v>24.595555555555599</v>
      </c>
      <c r="Q54" s="115">
        <v>408.45</v>
      </c>
      <c r="R54">
        <v>75452</v>
      </c>
    </row>
    <row r="55" spans="1:18" x14ac:dyDescent="0.25">
      <c r="A55" s="169">
        <v>42754</v>
      </c>
      <c r="B55" s="115">
        <v>24.3822222222222</v>
      </c>
      <c r="C55" s="115">
        <v>24.204444444444398</v>
      </c>
      <c r="D55" s="115">
        <v>24.186666666666699</v>
      </c>
      <c r="E55" s="115">
        <v>24.269629629629598</v>
      </c>
      <c r="F55" s="115">
        <v>408.45</v>
      </c>
      <c r="G55">
        <v>1463</v>
      </c>
      <c r="H55" s="115"/>
      <c r="I55" s="115"/>
      <c r="L55" s="169">
        <v>42754</v>
      </c>
      <c r="M55" s="115">
        <v>24.3525925925926</v>
      </c>
      <c r="N55" s="115">
        <v>24.4414814814815</v>
      </c>
      <c r="O55" s="115">
        <v>24.2281481481482</v>
      </c>
      <c r="P55" s="115">
        <v>24.388148148148101</v>
      </c>
      <c r="Q55" s="115">
        <v>410.95</v>
      </c>
      <c r="R55">
        <v>13113</v>
      </c>
    </row>
    <row r="56" spans="1:18" x14ac:dyDescent="0.25">
      <c r="A56" s="169">
        <v>42755</v>
      </c>
      <c r="B56" s="115">
        <v>24.296296296296301</v>
      </c>
      <c r="C56" s="115">
        <v>23.816296296296301</v>
      </c>
      <c r="D56" s="115">
        <v>23.792592592592602</v>
      </c>
      <c r="E56" s="115">
        <v>24.183703703703699</v>
      </c>
      <c r="F56" s="115">
        <v>401.9</v>
      </c>
      <c r="G56">
        <v>2566</v>
      </c>
      <c r="H56" s="115"/>
      <c r="I56" s="115"/>
      <c r="L56" s="169">
        <v>42755</v>
      </c>
      <c r="M56" s="115">
        <v>23.976296296296301</v>
      </c>
      <c r="N56" s="115">
        <v>24.370370370370399</v>
      </c>
      <c r="O56" s="115">
        <v>23.822222222222202</v>
      </c>
      <c r="P56" s="115">
        <v>24.370370370370399</v>
      </c>
      <c r="Q56" s="115">
        <v>404.6</v>
      </c>
      <c r="R56">
        <v>11912</v>
      </c>
    </row>
    <row r="57" spans="1:18" x14ac:dyDescent="0.25">
      <c r="A57" s="169">
        <v>42758</v>
      </c>
      <c r="B57" s="115">
        <v>24.041481481481501</v>
      </c>
      <c r="C57" s="115">
        <v>23.481481481481499</v>
      </c>
      <c r="D57" s="115">
        <v>23.437037037037001</v>
      </c>
      <c r="E57" s="115">
        <v>24.041481481481501</v>
      </c>
      <c r="F57" s="115">
        <v>396.25</v>
      </c>
      <c r="G57">
        <v>1023</v>
      </c>
      <c r="H57" s="115"/>
      <c r="I57" s="115"/>
      <c r="L57" s="169">
        <v>42758</v>
      </c>
      <c r="M57" s="115">
        <v>23.508148148148098</v>
      </c>
      <c r="N57" s="115">
        <v>24.1896296296296</v>
      </c>
      <c r="O57" s="115">
        <v>23.478518518518499</v>
      </c>
      <c r="P57" s="115">
        <v>24</v>
      </c>
      <c r="Q57" s="115">
        <v>396.7</v>
      </c>
      <c r="R57">
        <v>6480</v>
      </c>
    </row>
    <row r="58" spans="1:18" x14ac:dyDescent="0.25">
      <c r="A58" s="169">
        <v>42759</v>
      </c>
      <c r="B58" s="115">
        <v>24.059259259259299</v>
      </c>
      <c r="C58" s="115">
        <v>23.792592592592602</v>
      </c>
      <c r="D58" s="115">
        <v>23.407407407407401</v>
      </c>
      <c r="E58" s="115">
        <v>23.407407407407401</v>
      </c>
      <c r="F58" s="115">
        <v>401.5</v>
      </c>
      <c r="G58">
        <v>2232</v>
      </c>
      <c r="H58" s="115"/>
      <c r="I58" s="115"/>
      <c r="L58" s="169">
        <v>42759</v>
      </c>
      <c r="M58" s="115">
        <v>23.985185185185198</v>
      </c>
      <c r="N58" s="115">
        <v>24.112592592592598</v>
      </c>
      <c r="O58" s="115">
        <v>23.407407407407401</v>
      </c>
      <c r="P58" s="115">
        <v>23.407407407407401</v>
      </c>
      <c r="Q58" s="115">
        <v>404.75</v>
      </c>
      <c r="R58">
        <v>10605</v>
      </c>
    </row>
    <row r="59" spans="1:18" x14ac:dyDescent="0.25">
      <c r="A59" s="169">
        <v>42760</v>
      </c>
      <c r="B59" s="115">
        <v>24.112592592592598</v>
      </c>
      <c r="C59" s="115">
        <v>23.801481481481499</v>
      </c>
      <c r="D59" s="115">
        <v>23.537777777777801</v>
      </c>
      <c r="E59" s="115">
        <v>23.792592592592602</v>
      </c>
      <c r="F59" s="115">
        <v>401.65</v>
      </c>
      <c r="G59">
        <v>3944</v>
      </c>
      <c r="H59" s="115"/>
      <c r="I59" s="115"/>
      <c r="L59" s="169">
        <v>42760</v>
      </c>
      <c r="M59" s="115">
        <v>23.991111111111099</v>
      </c>
      <c r="N59" s="115">
        <v>24.269629629629598</v>
      </c>
      <c r="O59" s="115">
        <v>23.594074074074101</v>
      </c>
      <c r="P59" s="115">
        <v>23.754074074074101</v>
      </c>
      <c r="Q59" s="115">
        <v>404.85</v>
      </c>
      <c r="R59">
        <v>12921</v>
      </c>
    </row>
    <row r="60" spans="1:18" x14ac:dyDescent="0.25">
      <c r="A60" s="169">
        <v>42762</v>
      </c>
      <c r="B60" s="115">
        <v>24</v>
      </c>
      <c r="C60" s="115">
        <v>23.6177777777778</v>
      </c>
      <c r="D60" s="115">
        <v>23.229629629629599</v>
      </c>
      <c r="E60" s="115">
        <v>23.988148148148099</v>
      </c>
      <c r="F60" s="115">
        <v>398.55</v>
      </c>
      <c r="G60">
        <v>3342</v>
      </c>
      <c r="H60" s="115"/>
      <c r="I60" s="115"/>
      <c r="L60" s="169">
        <v>42762</v>
      </c>
      <c r="M60" s="115">
        <v>23.629629629629601</v>
      </c>
      <c r="N60" s="115">
        <v>23.8755555555556</v>
      </c>
      <c r="O60" s="115">
        <v>23.2</v>
      </c>
      <c r="P60" s="115">
        <v>23.7096296296296</v>
      </c>
      <c r="Q60" s="115">
        <v>398.75</v>
      </c>
      <c r="R60">
        <v>27408</v>
      </c>
    </row>
    <row r="61" spans="1:18" x14ac:dyDescent="0.25">
      <c r="A61" s="169">
        <v>42765</v>
      </c>
      <c r="B61" s="115">
        <v>23.703703703703699</v>
      </c>
      <c r="C61" s="115">
        <v>23.576296296296299</v>
      </c>
      <c r="D61" s="115">
        <v>23.229629629629599</v>
      </c>
      <c r="E61" s="115">
        <v>23.700740740740699</v>
      </c>
      <c r="F61" s="115">
        <v>397.85</v>
      </c>
      <c r="G61">
        <v>2590</v>
      </c>
      <c r="H61" s="115"/>
      <c r="I61" s="115"/>
      <c r="L61" s="169">
        <v>42765</v>
      </c>
      <c r="M61" s="115">
        <v>23.718518518518501</v>
      </c>
      <c r="N61" s="115">
        <v>23.762962962963002</v>
      </c>
      <c r="O61" s="115">
        <v>23.407407407407401</v>
      </c>
      <c r="P61" s="115">
        <v>23.629629629629601</v>
      </c>
      <c r="Q61" s="115">
        <v>400.25</v>
      </c>
      <c r="R61">
        <v>25250</v>
      </c>
    </row>
    <row r="62" spans="1:18" x14ac:dyDescent="0.25">
      <c r="A62" s="169">
        <v>42766</v>
      </c>
      <c r="B62" s="115">
        <v>23.703703703703699</v>
      </c>
      <c r="C62" s="115">
        <v>23.671111111111099</v>
      </c>
      <c r="D62" s="115">
        <v>22.678518518518501</v>
      </c>
      <c r="E62" s="115">
        <v>23.469629629629601</v>
      </c>
      <c r="F62" s="115">
        <v>399.45</v>
      </c>
      <c r="G62">
        <v>3937</v>
      </c>
      <c r="H62" s="115"/>
      <c r="I62" s="115"/>
      <c r="L62" s="169">
        <v>42766</v>
      </c>
      <c r="M62" s="115">
        <v>23.561481481481501</v>
      </c>
      <c r="N62" s="115">
        <v>23.638518518518499</v>
      </c>
      <c r="O62" s="115">
        <v>23.351111111111098</v>
      </c>
      <c r="P62" s="115">
        <v>23.466666666666701</v>
      </c>
      <c r="Q62" s="115">
        <v>397.6</v>
      </c>
      <c r="R62">
        <v>8138</v>
      </c>
    </row>
    <row r="63" spans="1:18" x14ac:dyDescent="0.25">
      <c r="A63" s="169">
        <v>42767</v>
      </c>
      <c r="B63" s="115">
        <v>23.822222222222202</v>
      </c>
      <c r="C63" s="115">
        <v>23.546666666666699</v>
      </c>
      <c r="D63" s="115">
        <v>23.407407407407401</v>
      </c>
      <c r="E63" s="115">
        <v>23.5259259259259</v>
      </c>
      <c r="F63" s="115">
        <v>397.35</v>
      </c>
      <c r="G63">
        <v>1626</v>
      </c>
      <c r="H63" s="115"/>
      <c r="I63" s="115"/>
      <c r="L63" s="169">
        <v>42767</v>
      </c>
      <c r="M63" s="115">
        <v>23.6148148148148</v>
      </c>
      <c r="N63" s="115">
        <v>23.822222222222202</v>
      </c>
      <c r="O63" s="115">
        <v>23.348148148148098</v>
      </c>
      <c r="P63" s="115">
        <v>23.561481481481501</v>
      </c>
      <c r="Q63" s="115">
        <v>398.5</v>
      </c>
      <c r="R63">
        <v>8231</v>
      </c>
    </row>
    <row r="64" spans="1:18" x14ac:dyDescent="0.25">
      <c r="A64" s="169">
        <v>42768</v>
      </c>
      <c r="B64" s="115">
        <v>23.851851851851901</v>
      </c>
      <c r="C64" s="115">
        <v>23.522962962963</v>
      </c>
      <c r="D64" s="115">
        <v>23.288888888888899</v>
      </c>
      <c r="E64" s="115">
        <v>23.407407407407401</v>
      </c>
      <c r="F64" s="115">
        <v>396.95</v>
      </c>
      <c r="G64">
        <v>2049</v>
      </c>
      <c r="H64" s="115"/>
      <c r="I64" s="115"/>
      <c r="L64" s="169">
        <v>42768</v>
      </c>
      <c r="M64" s="115">
        <v>23.52</v>
      </c>
      <c r="N64" s="115">
        <v>23.997037037037</v>
      </c>
      <c r="O64" s="115">
        <v>23.469629629629601</v>
      </c>
      <c r="P64" s="115">
        <v>23.4962962962963</v>
      </c>
      <c r="Q64" s="115">
        <v>396.9</v>
      </c>
      <c r="R64">
        <v>5300</v>
      </c>
    </row>
    <row r="65" spans="1:18" x14ac:dyDescent="0.25">
      <c r="A65" s="169">
        <v>42769</v>
      </c>
      <c r="B65" s="115">
        <v>23.762962962963002</v>
      </c>
      <c r="C65" s="115">
        <v>23.3362962962963</v>
      </c>
      <c r="D65" s="115">
        <v>23.117037037037001</v>
      </c>
      <c r="E65" s="115">
        <v>23.484444444444399</v>
      </c>
      <c r="F65" s="115">
        <v>393.8</v>
      </c>
      <c r="G65">
        <v>6011</v>
      </c>
      <c r="H65" s="115"/>
      <c r="I65" s="115"/>
      <c r="L65" s="169">
        <v>42769</v>
      </c>
      <c r="M65" s="115">
        <v>23.3392592592593</v>
      </c>
      <c r="N65" s="115">
        <v>23.688888888888901</v>
      </c>
      <c r="O65" s="115">
        <v>23.1111111111111</v>
      </c>
      <c r="P65" s="115">
        <v>23.170370370370399</v>
      </c>
      <c r="Q65" s="115">
        <v>393.85</v>
      </c>
      <c r="R65">
        <v>46990</v>
      </c>
    </row>
    <row r="66" spans="1:18" x14ac:dyDescent="0.25">
      <c r="A66" s="169">
        <v>42772</v>
      </c>
      <c r="B66" s="115">
        <v>23.819259259259301</v>
      </c>
      <c r="C66" s="115">
        <v>23.697777777777802</v>
      </c>
      <c r="D66" s="115">
        <v>23.170370370370399</v>
      </c>
      <c r="E66" s="115">
        <v>23.537777777777801</v>
      </c>
      <c r="F66" s="115">
        <v>399.9</v>
      </c>
      <c r="G66">
        <v>4210</v>
      </c>
      <c r="H66" s="115"/>
      <c r="I66" s="115"/>
      <c r="L66" s="169">
        <v>42772</v>
      </c>
      <c r="M66" s="115">
        <v>23.9022222222222</v>
      </c>
      <c r="N66" s="115">
        <v>24</v>
      </c>
      <c r="O66" s="115">
        <v>23.288888888888899</v>
      </c>
      <c r="P66" s="115">
        <v>23.5822222222222</v>
      </c>
      <c r="Q66" s="115">
        <v>403.35</v>
      </c>
      <c r="R66">
        <v>33504</v>
      </c>
    </row>
    <row r="67" spans="1:18" x14ac:dyDescent="0.25">
      <c r="A67" s="169">
        <v>42773</v>
      </c>
      <c r="B67" s="115">
        <v>23.911111111111101</v>
      </c>
      <c r="C67" s="115">
        <v>23.783703703703701</v>
      </c>
      <c r="D67" s="115">
        <v>23.700740740740699</v>
      </c>
      <c r="E67" s="115">
        <v>23.8044444444444</v>
      </c>
      <c r="F67" s="115">
        <v>401.35</v>
      </c>
      <c r="G67">
        <v>2072</v>
      </c>
      <c r="H67" s="115"/>
      <c r="I67" s="115"/>
      <c r="L67" s="169">
        <v>42773</v>
      </c>
      <c r="M67" s="115">
        <v>23.973333333333301</v>
      </c>
      <c r="N67" s="115">
        <v>24.020740740740699</v>
      </c>
      <c r="O67" s="115">
        <v>23.671111111111099</v>
      </c>
      <c r="P67" s="115">
        <v>23.674074074074099</v>
      </c>
      <c r="Q67" s="115">
        <v>404.55</v>
      </c>
      <c r="R67">
        <v>73200</v>
      </c>
    </row>
    <row r="68" spans="1:18" x14ac:dyDescent="0.25">
      <c r="A68" s="169">
        <v>42774</v>
      </c>
      <c r="B68" s="115">
        <v>23.9377777777778</v>
      </c>
      <c r="C68" s="115">
        <v>23.768888888888899</v>
      </c>
      <c r="D68" s="115">
        <v>23.5259259259259</v>
      </c>
      <c r="E68" s="115">
        <v>23.851851851851901</v>
      </c>
      <c r="F68" s="115">
        <v>401.1</v>
      </c>
      <c r="G68">
        <v>2333</v>
      </c>
      <c r="H68" s="115"/>
      <c r="I68" s="115"/>
      <c r="L68" s="169">
        <v>42774</v>
      </c>
      <c r="M68" s="115">
        <v>23.9377777777778</v>
      </c>
      <c r="N68" s="115">
        <v>23.997037037037</v>
      </c>
      <c r="O68" s="115">
        <v>23.602962962963002</v>
      </c>
      <c r="P68" s="115">
        <v>23.703703703703699</v>
      </c>
      <c r="Q68" s="115">
        <v>403.95</v>
      </c>
      <c r="R68">
        <v>22544</v>
      </c>
    </row>
    <row r="69" spans="1:18" x14ac:dyDescent="0.25">
      <c r="A69" s="169">
        <v>42775</v>
      </c>
      <c r="B69" s="115">
        <v>24.651851851851902</v>
      </c>
      <c r="C69" s="115">
        <v>23.733333333333299</v>
      </c>
      <c r="D69" s="115">
        <v>23.703703703703699</v>
      </c>
      <c r="E69" s="115">
        <v>23.866666666666699</v>
      </c>
      <c r="F69" s="115">
        <v>400.5</v>
      </c>
      <c r="G69">
        <v>1779</v>
      </c>
      <c r="H69" s="115"/>
      <c r="I69" s="115"/>
      <c r="L69" s="169">
        <v>42775</v>
      </c>
      <c r="M69" s="115">
        <v>23.925925925925899</v>
      </c>
      <c r="N69" s="115">
        <v>23.940740740740701</v>
      </c>
      <c r="O69" s="115">
        <v>23.6444444444444</v>
      </c>
      <c r="P69" s="115">
        <v>23.795555555555602</v>
      </c>
      <c r="Q69" s="115">
        <v>403.75</v>
      </c>
      <c r="R69">
        <v>22275</v>
      </c>
    </row>
    <row r="70" spans="1:18" x14ac:dyDescent="0.25">
      <c r="A70" s="169">
        <v>42776</v>
      </c>
      <c r="B70" s="115">
        <v>23.991111111111099</v>
      </c>
      <c r="C70" s="115">
        <v>23.674074074074099</v>
      </c>
      <c r="D70" s="115">
        <v>23.6444444444444</v>
      </c>
      <c r="E70" s="115">
        <v>23.792592592592602</v>
      </c>
      <c r="F70" s="115">
        <v>399.5</v>
      </c>
      <c r="G70">
        <v>1107</v>
      </c>
      <c r="H70" s="115"/>
      <c r="I70" s="115"/>
      <c r="L70" s="169">
        <v>42776</v>
      </c>
      <c r="M70" s="115">
        <v>23.84</v>
      </c>
      <c r="N70" s="115">
        <v>23.917037037037002</v>
      </c>
      <c r="O70" s="115">
        <v>23.5881481481482</v>
      </c>
      <c r="P70" s="115">
        <v>23.860740740740699</v>
      </c>
      <c r="Q70" s="115">
        <v>402.3</v>
      </c>
      <c r="R70">
        <v>7688</v>
      </c>
    </row>
    <row r="71" spans="1:18" x14ac:dyDescent="0.25">
      <c r="A71" s="169">
        <v>42779</v>
      </c>
      <c r="B71" s="115">
        <v>23.940740740740701</v>
      </c>
      <c r="C71" s="115">
        <v>23.7718518518518</v>
      </c>
      <c r="D71" s="115">
        <v>23.5881481481482</v>
      </c>
      <c r="E71" s="115">
        <v>23.940740740740701</v>
      </c>
      <c r="F71" s="115">
        <v>401.15</v>
      </c>
      <c r="G71">
        <v>1072</v>
      </c>
      <c r="H71" s="115"/>
      <c r="I71" s="115"/>
      <c r="L71" s="169">
        <v>42779</v>
      </c>
      <c r="M71" s="115">
        <v>23.9377777777778</v>
      </c>
      <c r="N71" s="115">
        <v>23.958518518518499</v>
      </c>
      <c r="O71" s="115">
        <v>23.6503703703704</v>
      </c>
      <c r="P71" s="115">
        <v>23.6503703703704</v>
      </c>
      <c r="Q71" s="115">
        <v>403.95</v>
      </c>
      <c r="R71">
        <v>24832</v>
      </c>
    </row>
    <row r="72" spans="1:18" x14ac:dyDescent="0.25">
      <c r="A72" s="169">
        <v>42780</v>
      </c>
      <c r="B72" s="115">
        <v>23.762962962963002</v>
      </c>
      <c r="C72" s="115">
        <v>23.564444444444401</v>
      </c>
      <c r="D72" s="115">
        <v>23.466666666666701</v>
      </c>
      <c r="E72" s="115">
        <v>23.5881481481482</v>
      </c>
      <c r="F72" s="115">
        <v>397.65</v>
      </c>
      <c r="G72">
        <v>812</v>
      </c>
      <c r="H72" s="115"/>
      <c r="I72" s="115"/>
      <c r="L72" s="169">
        <v>42780</v>
      </c>
      <c r="M72" s="115">
        <v>23.76</v>
      </c>
      <c r="N72" s="115">
        <v>23.854814814814802</v>
      </c>
      <c r="O72" s="115">
        <v>23.6148148148148</v>
      </c>
      <c r="P72" s="115">
        <v>23.762962962963002</v>
      </c>
      <c r="Q72" s="115">
        <v>400.95</v>
      </c>
      <c r="R72">
        <v>7885</v>
      </c>
    </row>
    <row r="73" spans="1:18" x14ac:dyDescent="0.25">
      <c r="A73" s="169">
        <v>42781</v>
      </c>
      <c r="B73" s="115">
        <v>24</v>
      </c>
      <c r="C73" s="115">
        <v>23.917037037037002</v>
      </c>
      <c r="D73" s="115">
        <v>23.5881481481482</v>
      </c>
      <c r="E73" s="115">
        <v>23.5911111111111</v>
      </c>
      <c r="F73" s="115">
        <v>403.6</v>
      </c>
      <c r="G73">
        <v>4606</v>
      </c>
      <c r="H73" s="115"/>
      <c r="I73" s="115"/>
      <c r="L73" s="169">
        <v>42781</v>
      </c>
      <c r="M73" s="115">
        <v>23.9051851851852</v>
      </c>
      <c r="N73" s="115">
        <v>23.940740740740701</v>
      </c>
      <c r="O73" s="115">
        <v>23.5851851851852</v>
      </c>
      <c r="P73" s="115">
        <v>23.922962962962998</v>
      </c>
      <c r="Q73" s="115">
        <v>403.4</v>
      </c>
      <c r="R73">
        <v>26275</v>
      </c>
    </row>
    <row r="74" spans="1:18" x14ac:dyDescent="0.25">
      <c r="A74" s="169">
        <v>42782</v>
      </c>
      <c r="B74" s="115">
        <v>24.118518518518499</v>
      </c>
      <c r="C74" s="115">
        <v>23.973333333333301</v>
      </c>
      <c r="D74" s="115">
        <v>23.478518518518499</v>
      </c>
      <c r="E74" s="115">
        <v>23.6444444444444</v>
      </c>
      <c r="F74" s="115">
        <v>404.55</v>
      </c>
      <c r="G74">
        <v>13842</v>
      </c>
      <c r="H74" s="115"/>
      <c r="I74" s="115"/>
      <c r="L74" s="169">
        <v>42782</v>
      </c>
      <c r="M74" s="115">
        <v>23.7777777777778</v>
      </c>
      <c r="N74" s="115">
        <v>23.9703703703704</v>
      </c>
      <c r="O74" s="115">
        <v>23.229629629629599</v>
      </c>
      <c r="P74" s="115">
        <v>23.9703703703704</v>
      </c>
      <c r="Q74" s="115">
        <v>401.25</v>
      </c>
      <c r="R74">
        <v>153998</v>
      </c>
    </row>
    <row r="75" spans="1:18" x14ac:dyDescent="0.25">
      <c r="A75" s="169">
        <v>42783</v>
      </c>
      <c r="B75" s="115">
        <v>23.9377777777778</v>
      </c>
      <c r="C75" s="115">
        <v>23.842962962963</v>
      </c>
      <c r="D75" s="115">
        <v>23.594074074074101</v>
      </c>
      <c r="E75" s="115">
        <v>23.706666666666699</v>
      </c>
      <c r="F75" s="115">
        <v>402.35</v>
      </c>
      <c r="G75">
        <v>2885</v>
      </c>
      <c r="H75" s="115"/>
      <c r="I75" s="115"/>
      <c r="L75" s="169">
        <v>42783</v>
      </c>
      <c r="M75" s="115">
        <v>23.8755555555556</v>
      </c>
      <c r="N75" s="115">
        <v>23.940740740740701</v>
      </c>
      <c r="O75" s="115">
        <v>23.703703703703699</v>
      </c>
      <c r="P75" s="115">
        <v>23.703703703703699</v>
      </c>
      <c r="Q75" s="115">
        <v>402.9</v>
      </c>
      <c r="R75">
        <v>13286</v>
      </c>
    </row>
    <row r="76" spans="1:18" x14ac:dyDescent="0.25">
      <c r="A76" s="169">
        <v>42786</v>
      </c>
      <c r="B76" s="115">
        <v>24.115555555555598</v>
      </c>
      <c r="C76" s="115">
        <v>23.7777777777778</v>
      </c>
      <c r="D76" s="115">
        <v>23.5259259259259</v>
      </c>
      <c r="E76" s="115">
        <v>23.825185185185202</v>
      </c>
      <c r="F76" s="115">
        <v>401.25</v>
      </c>
      <c r="G76">
        <v>3992</v>
      </c>
      <c r="H76" s="115"/>
      <c r="I76" s="115"/>
      <c r="L76" s="169">
        <v>42786</v>
      </c>
      <c r="M76" s="115">
        <v>23.961481481481499</v>
      </c>
      <c r="N76" s="115">
        <v>24.136296296296301</v>
      </c>
      <c r="O76" s="115">
        <v>23.383703703703699</v>
      </c>
      <c r="P76" s="115">
        <v>23.383703703703699</v>
      </c>
      <c r="Q76" s="115">
        <v>404.35</v>
      </c>
      <c r="R76">
        <v>93866</v>
      </c>
    </row>
    <row r="77" spans="1:18" x14ac:dyDescent="0.25">
      <c r="A77" s="169">
        <v>42787</v>
      </c>
      <c r="B77" s="115">
        <v>23.931851851851899</v>
      </c>
      <c r="C77" s="115">
        <v>23.739259259259299</v>
      </c>
      <c r="D77" s="115">
        <v>23.475555555555601</v>
      </c>
      <c r="E77" s="115">
        <v>23.762962962963002</v>
      </c>
      <c r="F77" s="115">
        <v>400.6</v>
      </c>
      <c r="G77">
        <v>2948</v>
      </c>
      <c r="H77" s="115"/>
      <c r="I77" s="115"/>
      <c r="L77" s="169">
        <v>42787</v>
      </c>
      <c r="M77" s="115">
        <v>23.7125925925926</v>
      </c>
      <c r="N77" s="115">
        <v>24.002962962963</v>
      </c>
      <c r="O77" s="115">
        <v>23.481481481481499</v>
      </c>
      <c r="P77" s="115">
        <v>23.7777777777778</v>
      </c>
      <c r="Q77" s="115">
        <v>400.15</v>
      </c>
      <c r="R77">
        <v>131758</v>
      </c>
    </row>
    <row r="78" spans="1:18" x14ac:dyDescent="0.25">
      <c r="A78" s="169">
        <v>42788</v>
      </c>
      <c r="B78" s="115">
        <v>23.860740740740699</v>
      </c>
      <c r="C78" s="115">
        <v>23.0459259259259</v>
      </c>
      <c r="D78" s="115">
        <v>22.8237037037037</v>
      </c>
      <c r="E78" s="115">
        <v>23.481481481481499</v>
      </c>
      <c r="F78" s="115">
        <v>388.9</v>
      </c>
      <c r="G78">
        <v>3291</v>
      </c>
      <c r="H78" s="115"/>
      <c r="I78" s="115"/>
      <c r="L78" s="169">
        <v>42788</v>
      </c>
      <c r="M78" s="115">
        <v>23.0162962962963</v>
      </c>
      <c r="N78" s="115">
        <v>23.822222222222202</v>
      </c>
      <c r="O78" s="115">
        <v>22.8207407407407</v>
      </c>
      <c r="P78" s="115">
        <v>23.7155555555556</v>
      </c>
      <c r="Q78" s="115">
        <v>388.4</v>
      </c>
      <c r="R78">
        <v>122135</v>
      </c>
    </row>
    <row r="79" spans="1:18" x14ac:dyDescent="0.25">
      <c r="A79" s="169">
        <v>42789</v>
      </c>
      <c r="B79" s="115">
        <v>23.4014814814815</v>
      </c>
      <c r="C79" s="115">
        <v>22.974814814814799</v>
      </c>
      <c r="D79" s="115">
        <v>22.6666666666667</v>
      </c>
      <c r="E79" s="115">
        <v>23.4014814814815</v>
      </c>
      <c r="F79" s="115">
        <v>387.7</v>
      </c>
      <c r="G79">
        <v>3470</v>
      </c>
      <c r="H79" s="115"/>
      <c r="I79" s="115"/>
      <c r="L79" s="169">
        <v>42789</v>
      </c>
      <c r="M79" s="115">
        <v>23.161481481481498</v>
      </c>
      <c r="N79" s="115">
        <v>23.407407407407401</v>
      </c>
      <c r="O79" s="115">
        <v>22.527407407407399</v>
      </c>
      <c r="P79" s="115">
        <v>22.8237037037037</v>
      </c>
      <c r="Q79" s="115">
        <v>390.85</v>
      </c>
      <c r="R79">
        <v>38837</v>
      </c>
    </row>
    <row r="80" spans="1:18" x14ac:dyDescent="0.25">
      <c r="A80" s="169">
        <v>42793</v>
      </c>
      <c r="B80" s="115">
        <v>23.6444444444444</v>
      </c>
      <c r="C80" s="115">
        <v>23.28</v>
      </c>
      <c r="D80" s="115">
        <v>22.9511111111111</v>
      </c>
      <c r="E80" s="115">
        <v>23.348148148148098</v>
      </c>
      <c r="F80" s="115">
        <v>392.85</v>
      </c>
      <c r="G80">
        <v>1663</v>
      </c>
      <c r="H80" s="115"/>
      <c r="I80" s="115"/>
      <c r="L80" s="169">
        <v>42793</v>
      </c>
      <c r="M80" s="115">
        <v>23.419259259259299</v>
      </c>
      <c r="N80" s="115">
        <v>23.576296296296299</v>
      </c>
      <c r="O80" s="115">
        <v>22.912592592592599</v>
      </c>
      <c r="P80" s="115">
        <v>23.294814814814799</v>
      </c>
      <c r="Q80" s="115">
        <v>395.2</v>
      </c>
      <c r="R80">
        <v>12047</v>
      </c>
    </row>
    <row r="81" spans="1:18" x14ac:dyDescent="0.25">
      <c r="A81" s="169">
        <v>42794</v>
      </c>
      <c r="B81" s="115">
        <v>23.762962962963002</v>
      </c>
      <c r="C81" s="115">
        <v>23.031111111111102</v>
      </c>
      <c r="D81" s="115">
        <v>22.992592592592601</v>
      </c>
      <c r="E81" s="115">
        <v>23.632592592592601</v>
      </c>
      <c r="F81" s="115">
        <v>388.65</v>
      </c>
      <c r="G81">
        <v>4505</v>
      </c>
      <c r="H81" s="115"/>
      <c r="I81" s="115"/>
      <c r="L81" s="169">
        <v>42794</v>
      </c>
      <c r="M81" s="115">
        <v>23.128888888888898</v>
      </c>
      <c r="N81" s="115">
        <v>23.762962962963002</v>
      </c>
      <c r="O81" s="115">
        <v>22.992592592592601</v>
      </c>
      <c r="P81" s="115">
        <v>23.419259259259299</v>
      </c>
      <c r="Q81" s="115">
        <v>390.3</v>
      </c>
      <c r="R81">
        <v>55931</v>
      </c>
    </row>
    <row r="82" spans="1:18" x14ac:dyDescent="0.25">
      <c r="A82" s="169">
        <v>42795</v>
      </c>
      <c r="B82" s="115">
        <v>23.5259259259259</v>
      </c>
      <c r="C82" s="115">
        <v>22.6992592592593</v>
      </c>
      <c r="D82" s="115">
        <v>22.518518518518501</v>
      </c>
      <c r="E82" s="115">
        <v>23.407407407407401</v>
      </c>
      <c r="F82" s="115">
        <v>383.05</v>
      </c>
      <c r="G82">
        <v>3460</v>
      </c>
      <c r="H82" s="115"/>
      <c r="I82" s="115"/>
      <c r="L82" s="169">
        <v>42795</v>
      </c>
      <c r="M82" s="115">
        <v>22.847407407407399</v>
      </c>
      <c r="N82" s="115">
        <v>23.6444444444444</v>
      </c>
      <c r="O82" s="115">
        <v>22.518518518518501</v>
      </c>
      <c r="P82" s="115">
        <v>23.6444444444444</v>
      </c>
      <c r="Q82" s="115">
        <v>385.55</v>
      </c>
      <c r="R82">
        <v>83165</v>
      </c>
    </row>
    <row r="83" spans="1:18" x14ac:dyDescent="0.25">
      <c r="A83" s="169">
        <v>42796</v>
      </c>
      <c r="B83" s="115">
        <v>23.037037037036999</v>
      </c>
      <c r="C83" s="115">
        <v>22.2844444444444</v>
      </c>
      <c r="D83" s="115">
        <v>22.165925925925901</v>
      </c>
      <c r="E83" s="115">
        <v>23.037037037036999</v>
      </c>
      <c r="F83" s="115">
        <v>376.05</v>
      </c>
      <c r="G83">
        <v>2989</v>
      </c>
      <c r="H83" s="115"/>
      <c r="I83" s="115"/>
      <c r="L83" s="169">
        <v>42796</v>
      </c>
      <c r="M83" s="115">
        <v>22.308148148148099</v>
      </c>
      <c r="N83" s="115">
        <v>22.992592592592601</v>
      </c>
      <c r="O83" s="115">
        <v>22.165925925925901</v>
      </c>
      <c r="P83" s="115">
        <v>22.930370370370401</v>
      </c>
      <c r="Q83" s="115">
        <v>376.45</v>
      </c>
      <c r="R83">
        <v>31548</v>
      </c>
    </row>
    <row r="84" spans="1:18" x14ac:dyDescent="0.25">
      <c r="A84" s="169">
        <v>42797</v>
      </c>
      <c r="B84" s="115">
        <v>22.4</v>
      </c>
      <c r="C84" s="115">
        <v>22.014814814814802</v>
      </c>
      <c r="D84" s="115">
        <v>21.7481481481481</v>
      </c>
      <c r="E84" s="115">
        <v>22.242962962962999</v>
      </c>
      <c r="F84" s="115">
        <v>371.5</v>
      </c>
      <c r="G84">
        <v>2604</v>
      </c>
      <c r="H84" s="115"/>
      <c r="I84" s="115"/>
      <c r="L84" s="169">
        <v>42797</v>
      </c>
      <c r="M84" s="115">
        <v>22.091851851851899</v>
      </c>
      <c r="N84" s="115">
        <v>22.6666666666667</v>
      </c>
      <c r="O84" s="115">
        <v>21.928888888888899</v>
      </c>
      <c r="P84" s="115">
        <v>22.358518518518501</v>
      </c>
      <c r="Q84" s="115">
        <v>372.8</v>
      </c>
      <c r="R84">
        <v>57400</v>
      </c>
    </row>
    <row r="85" spans="1:18" x14ac:dyDescent="0.25">
      <c r="A85" s="169">
        <v>42800</v>
      </c>
      <c r="B85" s="115">
        <v>22.773333333333301</v>
      </c>
      <c r="C85" s="115">
        <v>22.026666666666699</v>
      </c>
      <c r="D85" s="115">
        <v>21.866666666666699</v>
      </c>
      <c r="E85" s="115">
        <v>22.091851851851899</v>
      </c>
      <c r="F85" s="115">
        <v>371.7</v>
      </c>
      <c r="G85">
        <v>2761</v>
      </c>
      <c r="H85" s="115"/>
      <c r="I85" s="115"/>
      <c r="L85" s="169">
        <v>42800</v>
      </c>
      <c r="M85" s="115">
        <v>22.085925925925899</v>
      </c>
      <c r="N85" s="115">
        <v>22.871111111111102</v>
      </c>
      <c r="O85" s="115">
        <v>21.925925925925899</v>
      </c>
      <c r="P85" s="115">
        <v>22.08</v>
      </c>
      <c r="Q85" s="115">
        <v>372.7</v>
      </c>
      <c r="R85">
        <v>19870</v>
      </c>
    </row>
    <row r="86" spans="1:18" x14ac:dyDescent="0.25">
      <c r="A86" s="169">
        <v>42801</v>
      </c>
      <c r="B86" s="115">
        <v>22.340740740740699</v>
      </c>
      <c r="C86" s="115">
        <v>22.16</v>
      </c>
      <c r="D86" s="115">
        <v>21.925925925925899</v>
      </c>
      <c r="E86" s="115">
        <v>22.216296296296299</v>
      </c>
      <c r="F86" s="115">
        <v>373.95</v>
      </c>
      <c r="G86">
        <v>2044</v>
      </c>
      <c r="H86" s="115"/>
      <c r="I86" s="115"/>
      <c r="L86" s="169">
        <v>42801</v>
      </c>
      <c r="M86" s="115">
        <v>22.2251851851852</v>
      </c>
      <c r="N86" s="115">
        <v>22.518518518518501</v>
      </c>
      <c r="O86" s="115">
        <v>21.955555555555598</v>
      </c>
      <c r="P86" s="115">
        <v>21.9674074074074</v>
      </c>
      <c r="Q86" s="115">
        <v>375.05</v>
      </c>
      <c r="R86">
        <v>24808</v>
      </c>
    </row>
    <row r="87" spans="1:18" x14ac:dyDescent="0.25">
      <c r="A87" s="169">
        <v>42802</v>
      </c>
      <c r="B87" s="115">
        <v>22.044444444444402</v>
      </c>
      <c r="C87" s="115">
        <v>21.7096296296296</v>
      </c>
      <c r="D87" s="115">
        <v>21.3037037037037</v>
      </c>
      <c r="E87" s="115">
        <v>21.985185185185198</v>
      </c>
      <c r="F87" s="115">
        <v>366.35</v>
      </c>
      <c r="G87">
        <v>3989</v>
      </c>
      <c r="H87" s="115"/>
      <c r="I87" s="115"/>
      <c r="L87" s="169">
        <v>42802</v>
      </c>
      <c r="M87" s="115">
        <v>21.694814814814801</v>
      </c>
      <c r="N87" s="115">
        <v>22.1896296296296</v>
      </c>
      <c r="O87" s="115">
        <v>21.629629629629601</v>
      </c>
      <c r="P87" s="115">
        <v>22.050370370370398</v>
      </c>
      <c r="Q87" s="115">
        <v>366.1</v>
      </c>
      <c r="R87">
        <v>15710</v>
      </c>
    </row>
    <row r="88" spans="1:18" x14ac:dyDescent="0.25">
      <c r="A88" s="169">
        <v>42803</v>
      </c>
      <c r="B88" s="115">
        <v>21.567407407407401</v>
      </c>
      <c r="C88" s="115">
        <v>21.202962962962999</v>
      </c>
      <c r="D88" s="115">
        <v>21.037037037036999</v>
      </c>
      <c r="E88" s="115">
        <v>21.454814814814799</v>
      </c>
      <c r="F88" s="115">
        <v>357.8</v>
      </c>
      <c r="G88">
        <v>4332</v>
      </c>
      <c r="H88" s="115"/>
      <c r="I88" s="115"/>
      <c r="L88" s="169">
        <v>42803</v>
      </c>
      <c r="M88" s="115">
        <v>21.128888888888898</v>
      </c>
      <c r="N88" s="115">
        <v>21.688888888888901</v>
      </c>
      <c r="O88" s="115">
        <v>21.042962962962999</v>
      </c>
      <c r="P88" s="115">
        <v>21.454814814814799</v>
      </c>
      <c r="Q88" s="115">
        <v>356.55</v>
      </c>
      <c r="R88">
        <v>29418</v>
      </c>
    </row>
    <row r="89" spans="1:18" x14ac:dyDescent="0.25">
      <c r="A89" s="169">
        <v>42804</v>
      </c>
      <c r="B89" s="115">
        <v>21.511111111111099</v>
      </c>
      <c r="C89" s="115">
        <v>21.164444444444399</v>
      </c>
      <c r="D89" s="115">
        <v>21.066666666666698</v>
      </c>
      <c r="E89" s="115">
        <v>21.511111111111099</v>
      </c>
      <c r="F89" s="115">
        <v>357.15</v>
      </c>
      <c r="G89">
        <v>2316</v>
      </c>
      <c r="H89" s="115"/>
      <c r="I89" s="115"/>
      <c r="L89" s="169">
        <v>42804</v>
      </c>
      <c r="M89" s="115">
        <v>21.202962962962999</v>
      </c>
      <c r="N89" s="115">
        <v>21.5881481481482</v>
      </c>
      <c r="O89" s="115">
        <v>21.096296296296298</v>
      </c>
      <c r="P89" s="115">
        <v>21.3333333333333</v>
      </c>
      <c r="Q89" s="115">
        <v>357.8</v>
      </c>
      <c r="R89">
        <v>14640</v>
      </c>
    </row>
    <row r="90" spans="1:18" x14ac:dyDescent="0.25">
      <c r="A90" s="169">
        <v>42808</v>
      </c>
      <c r="B90" s="115">
        <v>21.517037037036999</v>
      </c>
      <c r="C90" s="115">
        <v>20.589629629629599</v>
      </c>
      <c r="D90" s="115">
        <v>20.2222222222222</v>
      </c>
      <c r="E90" s="115">
        <v>21.517037037036999</v>
      </c>
      <c r="F90" s="115">
        <v>347.45</v>
      </c>
      <c r="G90">
        <v>8055</v>
      </c>
      <c r="H90" s="115"/>
      <c r="I90" s="115"/>
      <c r="L90" s="169">
        <v>42808</v>
      </c>
      <c r="M90" s="115">
        <v>20.64</v>
      </c>
      <c r="N90" s="115">
        <v>21.7481481481481</v>
      </c>
      <c r="O90" s="115">
        <v>20.148148148148099</v>
      </c>
      <c r="P90" s="115">
        <v>21.7481481481481</v>
      </c>
      <c r="Q90" s="115">
        <v>348.3</v>
      </c>
      <c r="R90">
        <v>50283</v>
      </c>
    </row>
    <row r="91" spans="1:18" x14ac:dyDescent="0.25">
      <c r="A91" s="169">
        <v>42809</v>
      </c>
      <c r="B91" s="115">
        <v>20.948148148148199</v>
      </c>
      <c r="C91" s="115">
        <v>20.607407407407401</v>
      </c>
      <c r="D91" s="115">
        <v>20.459259259259301</v>
      </c>
      <c r="E91" s="115">
        <v>20.562962962962999</v>
      </c>
      <c r="F91" s="115">
        <v>347.75</v>
      </c>
      <c r="G91">
        <v>3462</v>
      </c>
      <c r="H91" s="115"/>
      <c r="I91" s="115"/>
      <c r="L91" s="169">
        <v>42809</v>
      </c>
      <c r="M91" s="115">
        <v>20.711111111111101</v>
      </c>
      <c r="N91" s="115">
        <v>21.037037037036999</v>
      </c>
      <c r="O91" s="115">
        <v>20.491851851851902</v>
      </c>
      <c r="P91" s="115">
        <v>20.622222222222199</v>
      </c>
      <c r="Q91" s="115">
        <v>349.5</v>
      </c>
      <c r="R91">
        <v>32451</v>
      </c>
    </row>
    <row r="92" spans="1:18" x14ac:dyDescent="0.25">
      <c r="A92" s="169">
        <v>42810</v>
      </c>
      <c r="B92" s="115">
        <v>20.915555555555599</v>
      </c>
      <c r="C92" s="115">
        <v>20.551111111111101</v>
      </c>
      <c r="D92" s="115">
        <v>20.4444444444444</v>
      </c>
      <c r="E92" s="115">
        <v>20.829629629629601</v>
      </c>
      <c r="F92" s="115">
        <v>346.8</v>
      </c>
      <c r="G92">
        <v>3330</v>
      </c>
      <c r="H92" s="115"/>
      <c r="I92" s="115"/>
      <c r="L92" s="169">
        <v>42810</v>
      </c>
      <c r="M92" s="115">
        <v>20.749629629629599</v>
      </c>
      <c r="N92" s="115">
        <v>20.8592592592593</v>
      </c>
      <c r="O92" s="115">
        <v>20.5096296296296</v>
      </c>
      <c r="P92" s="115">
        <v>20.681481481481502</v>
      </c>
      <c r="Q92" s="115">
        <v>350.15</v>
      </c>
      <c r="R92">
        <v>32342</v>
      </c>
    </row>
    <row r="93" spans="1:18" x14ac:dyDescent="0.25">
      <c r="A93" s="169">
        <v>42811</v>
      </c>
      <c r="B93" s="115">
        <v>21.149629629629601</v>
      </c>
      <c r="C93" s="115">
        <v>20.939259259259298</v>
      </c>
      <c r="D93" s="115">
        <v>20.6933333333333</v>
      </c>
      <c r="E93" s="115">
        <v>20.8592592592593</v>
      </c>
      <c r="F93" s="115">
        <v>353.35</v>
      </c>
      <c r="G93">
        <v>5614</v>
      </c>
      <c r="H93" s="115"/>
      <c r="I93" s="115"/>
      <c r="L93" s="169">
        <v>42811</v>
      </c>
      <c r="M93" s="115">
        <v>21.093333333333302</v>
      </c>
      <c r="N93" s="115">
        <v>21.194074074074098</v>
      </c>
      <c r="O93" s="115">
        <v>20.702222222222201</v>
      </c>
      <c r="P93" s="115">
        <v>20.8562962962963</v>
      </c>
      <c r="Q93" s="115">
        <v>355.95</v>
      </c>
      <c r="R93">
        <v>79836</v>
      </c>
    </row>
    <row r="94" spans="1:18" x14ac:dyDescent="0.25">
      <c r="A94" s="169">
        <v>42814</v>
      </c>
      <c r="B94" s="115">
        <v>22.992592592592601</v>
      </c>
      <c r="C94" s="115">
        <v>22.1955555555556</v>
      </c>
      <c r="D94" s="115">
        <v>21.134814814814799</v>
      </c>
      <c r="E94" s="115">
        <v>21.134814814814799</v>
      </c>
      <c r="F94" s="115">
        <v>374.55</v>
      </c>
      <c r="G94">
        <v>26994</v>
      </c>
      <c r="H94" s="115"/>
      <c r="I94" s="115"/>
      <c r="L94" s="169">
        <v>42814</v>
      </c>
      <c r="M94" s="115">
        <v>22.186666666666699</v>
      </c>
      <c r="N94" s="115">
        <v>23.037037037036999</v>
      </c>
      <c r="O94" s="115">
        <v>21.072592592592599</v>
      </c>
      <c r="P94" s="115">
        <v>21.191111111111098</v>
      </c>
      <c r="Q94" s="115">
        <v>374.4</v>
      </c>
      <c r="R94">
        <v>149167</v>
      </c>
    </row>
    <row r="95" spans="1:18" x14ac:dyDescent="0.25">
      <c r="A95" s="169">
        <v>42815</v>
      </c>
      <c r="B95" s="115">
        <v>23.229629629629599</v>
      </c>
      <c r="C95" s="115">
        <v>22.2281481481482</v>
      </c>
      <c r="D95" s="115">
        <v>22.044444444444402</v>
      </c>
      <c r="E95" s="115">
        <v>22.814814814814799</v>
      </c>
      <c r="F95" s="115">
        <v>375.1</v>
      </c>
      <c r="G95">
        <v>37565</v>
      </c>
      <c r="H95" s="115"/>
      <c r="I95" s="115"/>
      <c r="L95" s="169">
        <v>42815</v>
      </c>
      <c r="M95" s="115">
        <v>22.08</v>
      </c>
      <c r="N95" s="115">
        <v>23.170370370370399</v>
      </c>
      <c r="O95" s="115">
        <v>21.985185185185198</v>
      </c>
      <c r="P95" s="115">
        <v>22.814814814814799</v>
      </c>
      <c r="Q95" s="115">
        <v>372.6</v>
      </c>
      <c r="R95">
        <v>216109</v>
      </c>
    </row>
    <row r="96" spans="1:18" x14ac:dyDescent="0.25">
      <c r="A96" s="169">
        <v>42816</v>
      </c>
      <c r="B96" s="115">
        <v>22.518518518518501</v>
      </c>
      <c r="C96" s="115">
        <v>22.118518518518499</v>
      </c>
      <c r="D96" s="115">
        <v>21.7096296296296</v>
      </c>
      <c r="E96" s="115">
        <v>21.899259259259299</v>
      </c>
      <c r="F96" s="115">
        <v>373.25</v>
      </c>
      <c r="G96">
        <v>8502</v>
      </c>
      <c r="H96" s="115"/>
      <c r="I96" s="115"/>
      <c r="L96" s="169">
        <v>42816</v>
      </c>
      <c r="M96" s="115">
        <v>22.133333333333301</v>
      </c>
      <c r="N96" s="115">
        <v>22.494814814814799</v>
      </c>
      <c r="O96" s="115">
        <v>21.68</v>
      </c>
      <c r="P96" s="115">
        <v>21.931851851851899</v>
      </c>
      <c r="Q96" s="115">
        <v>373.5</v>
      </c>
      <c r="R96">
        <v>124092</v>
      </c>
    </row>
    <row r="97" spans="1:18" x14ac:dyDescent="0.25">
      <c r="A97" s="169">
        <v>42817</v>
      </c>
      <c r="B97" s="115">
        <v>22.637037037037</v>
      </c>
      <c r="C97" s="115">
        <v>22.3555555555556</v>
      </c>
      <c r="D97" s="115">
        <v>22.145185185185198</v>
      </c>
      <c r="E97" s="115">
        <v>22.148148148148099</v>
      </c>
      <c r="F97" s="115">
        <v>377.25</v>
      </c>
      <c r="G97">
        <v>11374</v>
      </c>
      <c r="H97" s="115"/>
      <c r="I97" s="115"/>
      <c r="L97" s="169">
        <v>42817</v>
      </c>
      <c r="M97" s="115">
        <v>22.3555555555556</v>
      </c>
      <c r="N97" s="115">
        <v>22.56</v>
      </c>
      <c r="O97" s="115">
        <v>22.198518518518501</v>
      </c>
      <c r="P97" s="115">
        <v>22.2251851851852</v>
      </c>
      <c r="Q97" s="115">
        <v>377.25</v>
      </c>
      <c r="R97">
        <v>90450</v>
      </c>
    </row>
    <row r="98" spans="1:18" x14ac:dyDescent="0.25">
      <c r="A98" s="169">
        <v>42818</v>
      </c>
      <c r="B98" s="115">
        <v>23.6444444444444</v>
      </c>
      <c r="C98" s="115">
        <v>22.3822222222222</v>
      </c>
      <c r="D98" s="115">
        <v>22.281481481481499</v>
      </c>
      <c r="E98" s="115">
        <v>22.459259259259301</v>
      </c>
      <c r="F98" s="115">
        <v>377.7</v>
      </c>
      <c r="G98">
        <v>9343</v>
      </c>
      <c r="H98" s="115"/>
      <c r="I98" s="115"/>
      <c r="L98" s="169">
        <v>42818</v>
      </c>
      <c r="M98" s="115">
        <v>22.397037037036998</v>
      </c>
      <c r="N98" s="115">
        <v>22.56</v>
      </c>
      <c r="O98" s="115">
        <v>22.2222222222222</v>
      </c>
      <c r="P98" s="115">
        <v>22.328888888888901</v>
      </c>
      <c r="Q98" s="115">
        <v>377.95</v>
      </c>
      <c r="R98">
        <v>348478</v>
      </c>
    </row>
    <row r="99" spans="1:18" x14ac:dyDescent="0.25">
      <c r="A99" s="169">
        <v>42821</v>
      </c>
      <c r="B99" s="115">
        <v>23.158518518518498</v>
      </c>
      <c r="C99" s="115">
        <v>22.7940740740741</v>
      </c>
      <c r="D99" s="115">
        <v>22.577777777777801</v>
      </c>
      <c r="E99" s="115">
        <v>22.755555555555599</v>
      </c>
      <c r="F99" s="115">
        <v>384.65</v>
      </c>
      <c r="G99">
        <v>66242</v>
      </c>
      <c r="H99" s="115"/>
      <c r="I99" s="115"/>
      <c r="L99" s="169">
        <v>42821</v>
      </c>
      <c r="M99" s="115">
        <v>22.8</v>
      </c>
      <c r="N99" s="115">
        <v>23.093333333333302</v>
      </c>
      <c r="O99" s="115">
        <v>22.4</v>
      </c>
      <c r="P99" s="115">
        <v>22.4</v>
      </c>
      <c r="Q99" s="115">
        <v>384.75</v>
      </c>
      <c r="R99">
        <v>234697</v>
      </c>
    </row>
    <row r="100" spans="1:18" x14ac:dyDescent="0.25">
      <c r="A100" s="169">
        <v>42822</v>
      </c>
      <c r="B100" s="115">
        <v>23.152592592592601</v>
      </c>
      <c r="C100" s="115">
        <v>22.5688888888889</v>
      </c>
      <c r="D100" s="115">
        <v>22.296296296296301</v>
      </c>
      <c r="E100" s="115">
        <v>22.779259259259302</v>
      </c>
      <c r="F100" s="115">
        <v>380.85</v>
      </c>
      <c r="G100">
        <v>5267</v>
      </c>
      <c r="H100" s="115"/>
      <c r="I100" s="115"/>
      <c r="L100" s="169">
        <v>42822</v>
      </c>
      <c r="M100" s="115">
        <v>22.6044444444444</v>
      </c>
      <c r="N100" s="115">
        <v>23.093333333333302</v>
      </c>
      <c r="O100" s="115">
        <v>22.518518518518501</v>
      </c>
      <c r="P100" s="115">
        <v>22.915555555555599</v>
      </c>
      <c r="Q100" s="115">
        <v>381.45</v>
      </c>
      <c r="R100">
        <v>24807</v>
      </c>
    </row>
    <row r="101" spans="1:18" x14ac:dyDescent="0.25">
      <c r="A101" s="169">
        <v>42823</v>
      </c>
      <c r="B101" s="115">
        <v>22.808888888888902</v>
      </c>
      <c r="C101" s="115">
        <v>22.435555555555599</v>
      </c>
      <c r="D101" s="115">
        <v>22.3555555555556</v>
      </c>
      <c r="E101" s="115">
        <v>22.717037037036999</v>
      </c>
      <c r="F101" s="115">
        <v>378.6</v>
      </c>
      <c r="G101">
        <v>51723</v>
      </c>
      <c r="H101" s="115"/>
      <c r="I101" s="115"/>
      <c r="L101" s="169">
        <v>42823</v>
      </c>
      <c r="M101" s="115">
        <v>22.453333333333301</v>
      </c>
      <c r="N101" s="115">
        <v>22.814814814814799</v>
      </c>
      <c r="O101" s="115">
        <v>22.340740740740699</v>
      </c>
      <c r="P101" s="115">
        <v>22.577777777777801</v>
      </c>
      <c r="Q101" s="115">
        <v>378.9</v>
      </c>
      <c r="R101">
        <v>18052</v>
      </c>
    </row>
    <row r="102" spans="1:18" x14ac:dyDescent="0.25">
      <c r="A102" s="169">
        <v>42824</v>
      </c>
      <c r="B102" s="115">
        <v>22.814814814814799</v>
      </c>
      <c r="C102" s="115">
        <v>22.755555555555599</v>
      </c>
      <c r="D102" s="115">
        <v>22.545185185185201</v>
      </c>
      <c r="E102" s="115">
        <v>22.577777777777801</v>
      </c>
      <c r="F102" s="115">
        <v>384</v>
      </c>
      <c r="G102">
        <v>3509</v>
      </c>
      <c r="H102" s="115"/>
      <c r="I102" s="115"/>
      <c r="L102" s="169">
        <v>42824</v>
      </c>
      <c r="M102" s="115">
        <v>22.755555555555599</v>
      </c>
      <c r="N102" s="115">
        <v>22.8592592592593</v>
      </c>
      <c r="O102" s="115">
        <v>22.162962962963</v>
      </c>
      <c r="P102" s="115">
        <v>22.162962962963</v>
      </c>
      <c r="Q102" s="115">
        <v>384</v>
      </c>
      <c r="R102">
        <v>24765</v>
      </c>
    </row>
    <row r="103" spans="1:18" x14ac:dyDescent="0.25">
      <c r="A103" s="169">
        <v>42825</v>
      </c>
      <c r="B103" s="115">
        <v>24.177777777777798</v>
      </c>
      <c r="C103" s="115">
        <v>23.985185185185198</v>
      </c>
      <c r="D103" s="115">
        <v>22.518518518518501</v>
      </c>
      <c r="E103" s="115">
        <v>22.785185185185199</v>
      </c>
      <c r="F103" s="115">
        <v>404.75</v>
      </c>
      <c r="G103">
        <v>12154</v>
      </c>
      <c r="H103" s="115"/>
      <c r="I103" s="115"/>
      <c r="L103" s="169">
        <v>42825</v>
      </c>
      <c r="M103" s="115">
        <v>23.997037037037</v>
      </c>
      <c r="N103" s="115">
        <v>24.8888888888889</v>
      </c>
      <c r="O103" s="115">
        <v>22.488888888888901</v>
      </c>
      <c r="P103" s="115">
        <v>22.642962962963001</v>
      </c>
      <c r="Q103" s="115">
        <v>404.95</v>
      </c>
      <c r="R103">
        <v>650444</v>
      </c>
    </row>
    <row r="104" spans="1:18" x14ac:dyDescent="0.25">
      <c r="A104" s="169">
        <v>42828</v>
      </c>
      <c r="B104" s="115">
        <v>24.4148148148148</v>
      </c>
      <c r="C104" s="115">
        <v>23.9644444444444</v>
      </c>
      <c r="D104" s="115">
        <v>23.739259259259299</v>
      </c>
      <c r="E104" s="115">
        <v>24.293333333333301</v>
      </c>
      <c r="F104" s="115">
        <v>404.4</v>
      </c>
      <c r="G104">
        <v>5691</v>
      </c>
      <c r="H104" s="115"/>
      <c r="I104" s="115"/>
      <c r="L104" s="169">
        <v>42828</v>
      </c>
      <c r="M104" s="115">
        <v>23.979259259259301</v>
      </c>
      <c r="N104" s="115">
        <v>24.296296296296301</v>
      </c>
      <c r="O104" s="115">
        <v>23.703703703703699</v>
      </c>
      <c r="P104" s="115">
        <v>23.928888888888899</v>
      </c>
      <c r="Q104" s="115">
        <v>404.65</v>
      </c>
      <c r="R104">
        <v>129583</v>
      </c>
    </row>
    <row r="105" spans="1:18" x14ac:dyDescent="0.25">
      <c r="A105" s="169">
        <v>42830</v>
      </c>
      <c r="B105" s="115">
        <v>24.4148148148148</v>
      </c>
      <c r="C105" s="115">
        <v>24.299259259259301</v>
      </c>
      <c r="D105" s="115">
        <v>24.011851851851901</v>
      </c>
      <c r="E105" s="115">
        <v>24.059259259259299</v>
      </c>
      <c r="F105" s="115">
        <v>410.05</v>
      </c>
      <c r="G105">
        <v>11635</v>
      </c>
      <c r="H105" s="115"/>
      <c r="I105" s="115"/>
      <c r="L105" s="169">
        <v>42830</v>
      </c>
      <c r="M105" s="115">
        <v>24.334814814814798</v>
      </c>
      <c r="N105" s="115">
        <v>24.554074074074101</v>
      </c>
      <c r="O105" s="115">
        <v>23.940740740740701</v>
      </c>
      <c r="P105" s="115">
        <v>23.9644444444444</v>
      </c>
      <c r="Q105" s="115">
        <v>410.65</v>
      </c>
      <c r="R105">
        <v>117106</v>
      </c>
    </row>
    <row r="106" spans="1:18" x14ac:dyDescent="0.25">
      <c r="A106" s="169">
        <v>42831</v>
      </c>
      <c r="B106" s="115">
        <v>25.931851851851899</v>
      </c>
      <c r="C106" s="115">
        <v>25.001481481481498</v>
      </c>
      <c r="D106" s="115">
        <v>24.008888888888901</v>
      </c>
      <c r="E106" s="115">
        <v>24.237037037036998</v>
      </c>
      <c r="F106" s="115">
        <v>421.9</v>
      </c>
      <c r="G106">
        <v>13880</v>
      </c>
      <c r="H106" s="115"/>
      <c r="I106" s="115"/>
      <c r="L106" s="169">
        <v>42831</v>
      </c>
      <c r="M106" s="115">
        <v>24.945185185185199</v>
      </c>
      <c r="N106" s="115">
        <v>25.896296296296299</v>
      </c>
      <c r="O106" s="115">
        <v>24</v>
      </c>
      <c r="P106" s="115">
        <v>24.296296296296301</v>
      </c>
      <c r="Q106" s="115">
        <v>420.95</v>
      </c>
      <c r="R106">
        <v>163700</v>
      </c>
    </row>
    <row r="107" spans="1:18" x14ac:dyDescent="0.25">
      <c r="A107" s="169">
        <v>42832</v>
      </c>
      <c r="B107" s="115">
        <v>25.528888888888901</v>
      </c>
      <c r="C107" s="115">
        <v>25.197037037036999</v>
      </c>
      <c r="D107" s="115">
        <v>24.4740740740741</v>
      </c>
      <c r="E107" s="115">
        <v>24.4740740740741</v>
      </c>
      <c r="F107" s="115">
        <v>425.2</v>
      </c>
      <c r="G107">
        <v>11592</v>
      </c>
      <c r="H107" s="115"/>
      <c r="I107" s="115"/>
      <c r="L107" s="169">
        <v>42832</v>
      </c>
      <c r="M107" s="115">
        <v>25.214814814814801</v>
      </c>
      <c r="N107" s="115">
        <v>25.597037037037001</v>
      </c>
      <c r="O107" s="115">
        <v>24.808888888888902</v>
      </c>
      <c r="P107" s="115">
        <v>24.847407407407399</v>
      </c>
      <c r="Q107" s="115">
        <v>425.5</v>
      </c>
      <c r="R107">
        <v>67784</v>
      </c>
    </row>
    <row r="108" spans="1:18" x14ac:dyDescent="0.25">
      <c r="A108" s="169">
        <v>42835</v>
      </c>
      <c r="B108" s="115">
        <v>25.76</v>
      </c>
      <c r="C108" s="115">
        <v>25.5525925925926</v>
      </c>
      <c r="D108" s="115">
        <v>25.185185185185201</v>
      </c>
      <c r="E108" s="115">
        <v>25.185185185185201</v>
      </c>
      <c r="F108" s="115">
        <v>431.2</v>
      </c>
      <c r="G108">
        <v>8576</v>
      </c>
      <c r="H108" s="115"/>
      <c r="I108" s="115"/>
      <c r="L108" s="169">
        <v>42835</v>
      </c>
      <c r="M108" s="115">
        <v>25.671111111111099</v>
      </c>
      <c r="N108" s="115">
        <v>25.7777777777778</v>
      </c>
      <c r="O108" s="115">
        <v>25.191111111111098</v>
      </c>
      <c r="P108" s="115">
        <v>25.220740740740698</v>
      </c>
      <c r="Q108" s="115">
        <v>433.2</v>
      </c>
      <c r="R108">
        <v>51235</v>
      </c>
    </row>
    <row r="109" spans="1:18" x14ac:dyDescent="0.25">
      <c r="A109" s="169">
        <v>42836</v>
      </c>
      <c r="B109" s="115">
        <v>25.893333333333299</v>
      </c>
      <c r="C109" s="115">
        <v>25.6474074074074</v>
      </c>
      <c r="D109" s="115">
        <v>25.155555555555601</v>
      </c>
      <c r="E109" s="115">
        <v>25.3037037037037</v>
      </c>
      <c r="F109" s="115">
        <v>432.8</v>
      </c>
      <c r="G109">
        <v>8019</v>
      </c>
      <c r="H109" s="115"/>
      <c r="I109" s="115"/>
      <c r="L109" s="169">
        <v>42836</v>
      </c>
      <c r="M109" s="115">
        <v>25.786666666666701</v>
      </c>
      <c r="N109" s="115">
        <v>25.985185185185198</v>
      </c>
      <c r="O109" s="115">
        <v>25.131851851851899</v>
      </c>
      <c r="P109" s="115">
        <v>25.247407407407401</v>
      </c>
      <c r="Q109" s="115">
        <v>435.15</v>
      </c>
      <c r="R109">
        <v>59321</v>
      </c>
    </row>
    <row r="110" spans="1:18" x14ac:dyDescent="0.25">
      <c r="A110" s="169">
        <v>42837</v>
      </c>
      <c r="B110" s="115">
        <v>26.785185185185199</v>
      </c>
      <c r="C110" s="115">
        <v>26.675555555555601</v>
      </c>
      <c r="D110" s="115">
        <v>25.007407407407399</v>
      </c>
      <c r="E110" s="115">
        <v>25.481481481481499</v>
      </c>
      <c r="F110" s="115">
        <v>450.15</v>
      </c>
      <c r="G110">
        <v>34430</v>
      </c>
      <c r="H110" s="115"/>
      <c r="I110" s="115"/>
      <c r="L110" s="169">
        <v>42837</v>
      </c>
      <c r="M110" s="115">
        <v>26.722962962962999</v>
      </c>
      <c r="N110" s="115">
        <v>26.903703703703702</v>
      </c>
      <c r="O110" s="115">
        <v>25.202962962962999</v>
      </c>
      <c r="P110" s="115">
        <v>25.362962962963</v>
      </c>
      <c r="Q110" s="115">
        <v>450.95</v>
      </c>
      <c r="R110">
        <v>263238</v>
      </c>
    </row>
    <row r="111" spans="1:18" x14ac:dyDescent="0.25">
      <c r="A111" s="169">
        <v>42838</v>
      </c>
      <c r="B111" s="115">
        <v>28.681481481481502</v>
      </c>
      <c r="C111" s="115">
        <v>28.423703703703701</v>
      </c>
      <c r="D111" s="115">
        <v>26.6666666666667</v>
      </c>
      <c r="E111" s="115">
        <v>26.844444444444399</v>
      </c>
      <c r="F111" s="115">
        <v>479.65</v>
      </c>
      <c r="G111">
        <v>57951</v>
      </c>
      <c r="H111" s="115"/>
      <c r="I111" s="115"/>
      <c r="L111" s="169">
        <v>42838</v>
      </c>
      <c r="M111" s="115">
        <v>28.367407407407399</v>
      </c>
      <c r="N111" s="115">
        <v>28.681481481481502</v>
      </c>
      <c r="O111" s="115">
        <v>26.7585185185185</v>
      </c>
      <c r="P111" s="115">
        <v>26.779259259259302</v>
      </c>
      <c r="Q111" s="115">
        <v>478.7</v>
      </c>
      <c r="R111">
        <v>435458</v>
      </c>
    </row>
    <row r="112" spans="1:18" x14ac:dyDescent="0.25">
      <c r="A112" s="169">
        <v>42842</v>
      </c>
      <c r="B112" s="115">
        <v>29.570370370370402</v>
      </c>
      <c r="C112" s="115">
        <v>28.302222222222198</v>
      </c>
      <c r="D112" s="115">
        <v>28.154074074074099</v>
      </c>
      <c r="E112" s="115">
        <v>28.4444444444444</v>
      </c>
      <c r="F112" s="115">
        <v>477.6</v>
      </c>
      <c r="G112">
        <v>36188</v>
      </c>
      <c r="H112" s="115"/>
      <c r="I112" s="115"/>
      <c r="L112" s="169">
        <v>42842</v>
      </c>
      <c r="M112" s="115">
        <v>28.311111111111099</v>
      </c>
      <c r="N112" s="115">
        <v>29.570370370370402</v>
      </c>
      <c r="O112" s="115">
        <v>28.162962962963</v>
      </c>
      <c r="P112" s="115">
        <v>28.740740740740701</v>
      </c>
      <c r="Q112" s="115">
        <v>477.75</v>
      </c>
      <c r="R112">
        <v>221378</v>
      </c>
    </row>
    <row r="113" spans="1:18" x14ac:dyDescent="0.25">
      <c r="A113" s="169">
        <v>42843</v>
      </c>
      <c r="B113" s="115">
        <v>29.318518518518498</v>
      </c>
      <c r="C113" s="115">
        <v>28.7259259259259</v>
      </c>
      <c r="D113" s="115">
        <v>28.266666666666701</v>
      </c>
      <c r="E113" s="115">
        <v>28.9185185185185</v>
      </c>
      <c r="F113" s="115">
        <v>484.75</v>
      </c>
      <c r="G113">
        <v>22317</v>
      </c>
      <c r="H113" s="115"/>
      <c r="I113" s="115"/>
      <c r="L113" s="169">
        <v>42843</v>
      </c>
      <c r="M113" s="115">
        <v>28.734814814814801</v>
      </c>
      <c r="N113" s="115">
        <v>29.2681481481481</v>
      </c>
      <c r="O113" s="115">
        <v>28.0355555555556</v>
      </c>
      <c r="P113" s="115">
        <v>28.0355555555556</v>
      </c>
      <c r="Q113" s="115">
        <v>484.9</v>
      </c>
      <c r="R113">
        <v>185013</v>
      </c>
    </row>
    <row r="114" spans="1:18" x14ac:dyDescent="0.25">
      <c r="A114" s="169">
        <v>42844</v>
      </c>
      <c r="B114" s="115">
        <v>29.3333333333333</v>
      </c>
      <c r="C114" s="115">
        <v>29.042962962962999</v>
      </c>
      <c r="D114" s="115">
        <v>28.394074074074101</v>
      </c>
      <c r="E114" s="115">
        <v>29.022222222222201</v>
      </c>
      <c r="F114" s="115">
        <v>490.1</v>
      </c>
      <c r="G114">
        <v>65050</v>
      </c>
      <c r="H114" s="115"/>
      <c r="I114" s="115"/>
      <c r="L114" s="169">
        <v>42844</v>
      </c>
      <c r="M114" s="115">
        <v>29.004444444444399</v>
      </c>
      <c r="N114" s="115">
        <v>29.214814814814801</v>
      </c>
      <c r="O114" s="115">
        <v>28.4444444444444</v>
      </c>
      <c r="P114" s="115">
        <v>28.518518518518501</v>
      </c>
      <c r="Q114" s="115">
        <v>489.45</v>
      </c>
      <c r="R114">
        <v>183145</v>
      </c>
    </row>
    <row r="115" spans="1:18" x14ac:dyDescent="0.25">
      <c r="A115" s="169">
        <v>42845</v>
      </c>
      <c r="B115" s="115">
        <v>29.125925925925898</v>
      </c>
      <c r="C115" s="115">
        <v>28.462222222222199</v>
      </c>
      <c r="D115" s="115">
        <v>28.2251851851852</v>
      </c>
      <c r="E115" s="115">
        <v>28.9511111111111</v>
      </c>
      <c r="F115" s="115">
        <v>480.3</v>
      </c>
      <c r="G115">
        <v>14729</v>
      </c>
      <c r="H115" s="115"/>
      <c r="I115" s="115"/>
      <c r="L115" s="169">
        <v>42845</v>
      </c>
      <c r="M115" s="115">
        <v>28.462222222222199</v>
      </c>
      <c r="N115" s="115">
        <v>29.096296296296298</v>
      </c>
      <c r="O115" s="115">
        <v>28.331851851851901</v>
      </c>
      <c r="P115" s="115">
        <v>28.802962962963001</v>
      </c>
      <c r="Q115" s="115">
        <v>480.3</v>
      </c>
      <c r="R115">
        <v>67413</v>
      </c>
    </row>
    <row r="116" spans="1:18" x14ac:dyDescent="0.25">
      <c r="A116" s="169">
        <v>42846</v>
      </c>
      <c r="B116" s="115">
        <v>28.8</v>
      </c>
      <c r="C116" s="115">
        <v>27.6503703703704</v>
      </c>
      <c r="D116" s="115">
        <v>26.485925925925901</v>
      </c>
      <c r="E116" s="115">
        <v>28.8</v>
      </c>
      <c r="F116" s="115">
        <v>466.6</v>
      </c>
      <c r="G116">
        <v>34085</v>
      </c>
      <c r="H116" s="115"/>
      <c r="I116" s="115"/>
      <c r="L116" s="169">
        <v>42846</v>
      </c>
      <c r="M116" s="115">
        <v>27.629629629629601</v>
      </c>
      <c r="N116" s="115">
        <v>28.681481481481502</v>
      </c>
      <c r="O116" s="115">
        <v>26.488888888888901</v>
      </c>
      <c r="P116" s="115">
        <v>28.681481481481502</v>
      </c>
      <c r="Q116" s="115">
        <v>466.25</v>
      </c>
      <c r="R116">
        <v>225705</v>
      </c>
    </row>
    <row r="117" spans="1:18" x14ac:dyDescent="0.25">
      <c r="A117" s="169">
        <v>42849</v>
      </c>
      <c r="B117" s="115">
        <v>29.2414814814815</v>
      </c>
      <c r="C117" s="115">
        <v>27.8103703703704</v>
      </c>
      <c r="D117" s="115">
        <v>27.318518518518498</v>
      </c>
      <c r="E117" s="115">
        <v>27.437037037037001</v>
      </c>
      <c r="F117" s="115">
        <v>469.3</v>
      </c>
      <c r="G117">
        <v>23739</v>
      </c>
      <c r="H117" s="115"/>
      <c r="I117" s="115"/>
      <c r="L117" s="169">
        <v>42849</v>
      </c>
      <c r="M117" s="115">
        <v>27.682962962963</v>
      </c>
      <c r="N117" s="115">
        <v>29.265185185185199</v>
      </c>
      <c r="O117" s="115">
        <v>27.084444444444401</v>
      </c>
      <c r="P117" s="115">
        <v>27.629629629629601</v>
      </c>
      <c r="Q117" s="115">
        <v>467.15</v>
      </c>
      <c r="R117">
        <v>126652</v>
      </c>
    </row>
    <row r="118" spans="1:18" x14ac:dyDescent="0.25">
      <c r="A118" s="169">
        <v>42850</v>
      </c>
      <c r="B118" s="115">
        <v>28.3466666666667</v>
      </c>
      <c r="C118" s="115">
        <v>27.442962962963001</v>
      </c>
      <c r="D118" s="115">
        <v>27.318518518518498</v>
      </c>
      <c r="E118" s="115">
        <v>27.949629629629602</v>
      </c>
      <c r="F118" s="115">
        <v>463.1</v>
      </c>
      <c r="G118">
        <v>12278</v>
      </c>
      <c r="H118" s="115"/>
      <c r="I118" s="115"/>
      <c r="L118" s="169">
        <v>42850</v>
      </c>
      <c r="M118" s="115">
        <v>27.386666666666699</v>
      </c>
      <c r="N118" s="115">
        <v>28.3851851851852</v>
      </c>
      <c r="O118" s="115">
        <v>27.259259259259299</v>
      </c>
      <c r="P118" s="115">
        <v>27.848888888888901</v>
      </c>
      <c r="Q118" s="115">
        <v>462.15</v>
      </c>
      <c r="R118">
        <v>76319</v>
      </c>
    </row>
    <row r="119" spans="1:18" x14ac:dyDescent="0.25">
      <c r="A119" s="169">
        <v>42851</v>
      </c>
      <c r="B119" s="115">
        <v>28.148148148148099</v>
      </c>
      <c r="C119" s="115">
        <v>27.721481481481501</v>
      </c>
      <c r="D119" s="115">
        <v>27.437037037037001</v>
      </c>
      <c r="E119" s="115">
        <v>27.4962962962963</v>
      </c>
      <c r="F119" s="115">
        <v>467.8</v>
      </c>
      <c r="G119">
        <v>30192</v>
      </c>
      <c r="H119" s="115"/>
      <c r="I119" s="115"/>
      <c r="L119" s="169">
        <v>42851</v>
      </c>
      <c r="M119" s="115">
        <v>27.739259259259299</v>
      </c>
      <c r="N119" s="115">
        <v>28.148148148148099</v>
      </c>
      <c r="O119" s="115">
        <v>27.022222222222201</v>
      </c>
      <c r="P119" s="115">
        <v>27.022222222222201</v>
      </c>
      <c r="Q119" s="115">
        <v>468.1</v>
      </c>
      <c r="R119">
        <v>129409</v>
      </c>
    </row>
    <row r="120" spans="1:18" x14ac:dyDescent="0.25">
      <c r="A120" s="169">
        <v>42852</v>
      </c>
      <c r="B120" s="115">
        <v>28.207407407407398</v>
      </c>
      <c r="C120" s="115">
        <v>28.014814814814802</v>
      </c>
      <c r="D120" s="115">
        <v>27.5259259259259</v>
      </c>
      <c r="E120" s="115">
        <v>27.718518518518501</v>
      </c>
      <c r="F120" s="115">
        <v>472.75</v>
      </c>
      <c r="G120">
        <v>12878</v>
      </c>
      <c r="H120" s="115"/>
      <c r="I120" s="115"/>
      <c r="L120" s="169">
        <v>42852</v>
      </c>
      <c r="M120" s="115">
        <v>28.017777777777798</v>
      </c>
      <c r="N120" s="115">
        <v>28.207407407407398</v>
      </c>
      <c r="O120" s="115">
        <v>27.469629629629601</v>
      </c>
      <c r="P120" s="115">
        <v>28.142222222222198</v>
      </c>
      <c r="Q120" s="115">
        <v>472.8</v>
      </c>
      <c r="R120">
        <v>54708</v>
      </c>
    </row>
    <row r="121" spans="1:18" x14ac:dyDescent="0.25">
      <c r="A121" s="169">
        <v>42853</v>
      </c>
      <c r="B121" s="115">
        <v>28.207407407407398</v>
      </c>
      <c r="C121" s="115">
        <v>27.9022222222222</v>
      </c>
      <c r="D121" s="115">
        <v>27.674074074074099</v>
      </c>
      <c r="E121" s="115">
        <v>28.047407407407398</v>
      </c>
      <c r="F121" s="115">
        <v>470.85</v>
      </c>
      <c r="G121">
        <v>8606</v>
      </c>
      <c r="H121" s="115"/>
      <c r="I121" s="115"/>
      <c r="L121" s="169">
        <v>42853</v>
      </c>
      <c r="M121" s="115">
        <v>27.8725925925926</v>
      </c>
      <c r="N121" s="115">
        <v>28.266666666666701</v>
      </c>
      <c r="O121" s="115">
        <v>27.656296296296301</v>
      </c>
      <c r="P121" s="115">
        <v>27.7481481481481</v>
      </c>
      <c r="Q121" s="115">
        <v>470.35</v>
      </c>
      <c r="R121">
        <v>41232</v>
      </c>
    </row>
    <row r="122" spans="1:18" x14ac:dyDescent="0.25">
      <c r="A122" s="169">
        <v>42857</v>
      </c>
      <c r="B122" s="115">
        <v>27.9644444444444</v>
      </c>
      <c r="C122" s="115">
        <v>27.860740740740699</v>
      </c>
      <c r="D122" s="115">
        <v>27.3688888888889</v>
      </c>
      <c r="E122" s="115">
        <v>27.792592592592602</v>
      </c>
      <c r="F122" s="115">
        <v>470.15</v>
      </c>
      <c r="G122">
        <v>22836</v>
      </c>
      <c r="H122" s="115"/>
      <c r="I122" s="115"/>
      <c r="L122" s="169">
        <v>42857</v>
      </c>
      <c r="M122" s="115">
        <v>27.866666666666699</v>
      </c>
      <c r="N122" s="115">
        <v>27.911111111111101</v>
      </c>
      <c r="O122" s="115">
        <v>27.318518518518498</v>
      </c>
      <c r="P122" s="115">
        <v>27.318518518518498</v>
      </c>
      <c r="Q122" s="115">
        <v>470.25</v>
      </c>
      <c r="R122">
        <v>102999</v>
      </c>
    </row>
    <row r="123" spans="1:18" x14ac:dyDescent="0.25">
      <c r="A123" s="169">
        <v>42858</v>
      </c>
      <c r="B123" s="115">
        <v>28.8592592592593</v>
      </c>
      <c r="C123" s="115">
        <v>28.5688888888889</v>
      </c>
      <c r="D123" s="115">
        <v>27.792592592592602</v>
      </c>
      <c r="E123" s="115">
        <v>27.792592592592602</v>
      </c>
      <c r="F123" s="115">
        <v>482.1</v>
      </c>
      <c r="G123">
        <v>37412</v>
      </c>
      <c r="H123" s="115"/>
      <c r="I123" s="115"/>
      <c r="L123" s="169">
        <v>42858</v>
      </c>
      <c r="M123" s="115">
        <v>28.6044444444444</v>
      </c>
      <c r="N123" s="115">
        <v>28.8592592592593</v>
      </c>
      <c r="O123" s="115">
        <v>27.377777777777801</v>
      </c>
      <c r="P123" s="115">
        <v>27.377777777777801</v>
      </c>
      <c r="Q123" s="115">
        <v>482.7</v>
      </c>
      <c r="R123">
        <v>268501</v>
      </c>
    </row>
    <row r="124" spans="1:18" x14ac:dyDescent="0.25">
      <c r="A124" s="169">
        <v>42859</v>
      </c>
      <c r="B124" s="115">
        <v>28.740740740740701</v>
      </c>
      <c r="C124" s="115">
        <v>27.946666666666701</v>
      </c>
      <c r="D124" s="115">
        <v>27.854814814814802</v>
      </c>
      <c r="E124" s="115">
        <v>27.9703703703704</v>
      </c>
      <c r="F124" s="115">
        <v>471.6</v>
      </c>
      <c r="G124">
        <v>6418</v>
      </c>
      <c r="H124" s="115"/>
      <c r="I124" s="115"/>
      <c r="L124" s="169">
        <v>42859</v>
      </c>
      <c r="M124" s="115">
        <v>27.940740740740701</v>
      </c>
      <c r="N124" s="115">
        <v>28.8533333333333</v>
      </c>
      <c r="O124" s="115">
        <v>27.8074074074074</v>
      </c>
      <c r="P124" s="115">
        <v>28.296296296296301</v>
      </c>
      <c r="Q124" s="115">
        <v>471.5</v>
      </c>
      <c r="R124">
        <v>71581</v>
      </c>
    </row>
    <row r="125" spans="1:18" x14ac:dyDescent="0.25">
      <c r="A125" s="169">
        <v>42860</v>
      </c>
      <c r="B125" s="115">
        <v>29.466666666666701</v>
      </c>
      <c r="C125" s="115">
        <v>28.705185185185201</v>
      </c>
      <c r="D125" s="115">
        <v>28.453333333333301</v>
      </c>
      <c r="E125" s="115">
        <v>29.031111111111102</v>
      </c>
      <c r="F125" s="115">
        <v>484.4</v>
      </c>
      <c r="G125">
        <v>61046</v>
      </c>
      <c r="H125" s="115"/>
      <c r="I125" s="115"/>
      <c r="L125" s="169">
        <v>42860</v>
      </c>
      <c r="M125" s="115">
        <v>28.714074074074102</v>
      </c>
      <c r="N125" s="115">
        <v>29.448888888888899</v>
      </c>
      <c r="O125" s="115">
        <v>28.450370370370401</v>
      </c>
      <c r="P125" s="115">
        <v>28.8888888888889</v>
      </c>
      <c r="Q125" s="115">
        <v>484.55</v>
      </c>
      <c r="R125">
        <v>362772</v>
      </c>
    </row>
    <row r="126" spans="1:18" x14ac:dyDescent="0.25">
      <c r="A126" s="169">
        <v>42863</v>
      </c>
      <c r="B126" s="115">
        <v>29.659259259259301</v>
      </c>
      <c r="C126" s="115">
        <v>29.158518518518498</v>
      </c>
      <c r="D126" s="115">
        <v>28.7940740740741</v>
      </c>
      <c r="E126" s="115">
        <v>28.894814814814801</v>
      </c>
      <c r="F126" s="115">
        <v>492.05</v>
      </c>
      <c r="G126">
        <v>28044</v>
      </c>
      <c r="H126" s="115"/>
      <c r="I126" s="115"/>
      <c r="L126" s="169">
        <v>42863</v>
      </c>
      <c r="M126" s="115">
        <v>29.164444444444399</v>
      </c>
      <c r="N126" s="115">
        <v>29.629629629629601</v>
      </c>
      <c r="O126" s="115">
        <v>28.5125925925926</v>
      </c>
      <c r="P126" s="115">
        <v>28.5125925925926</v>
      </c>
      <c r="Q126" s="115">
        <v>492.15</v>
      </c>
      <c r="R126">
        <v>185490</v>
      </c>
    </row>
    <row r="127" spans="1:18" x14ac:dyDescent="0.25">
      <c r="A127" s="169">
        <v>42864</v>
      </c>
      <c r="B127" s="115">
        <v>30.0977777777778</v>
      </c>
      <c r="C127" s="115">
        <v>29.419259259259299</v>
      </c>
      <c r="D127" s="115">
        <v>29.0518518518519</v>
      </c>
      <c r="E127" s="115">
        <v>29.259259259259299</v>
      </c>
      <c r="F127" s="115">
        <v>496.45</v>
      </c>
      <c r="G127">
        <v>613328</v>
      </c>
      <c r="H127" s="115"/>
      <c r="I127" s="115"/>
      <c r="L127" s="169">
        <v>42864</v>
      </c>
      <c r="M127" s="115">
        <v>29.481481481481499</v>
      </c>
      <c r="N127" s="115">
        <v>29.985185185185198</v>
      </c>
      <c r="O127" s="115">
        <v>29.037037037036999</v>
      </c>
      <c r="P127" s="115">
        <v>29.3333333333333</v>
      </c>
      <c r="Q127" s="115">
        <v>497.5</v>
      </c>
      <c r="R127">
        <v>300522</v>
      </c>
    </row>
    <row r="128" spans="1:18" x14ac:dyDescent="0.25">
      <c r="A128" s="169">
        <v>42865</v>
      </c>
      <c r="B128" s="115">
        <v>29.8074074074074</v>
      </c>
      <c r="C128" s="115">
        <v>29.546666666666699</v>
      </c>
      <c r="D128" s="115">
        <v>29.3037037037037</v>
      </c>
      <c r="E128" s="115">
        <v>29.632592592592601</v>
      </c>
      <c r="F128" s="115">
        <v>498.6</v>
      </c>
      <c r="G128">
        <v>18395</v>
      </c>
      <c r="H128" s="115"/>
      <c r="I128" s="115"/>
      <c r="L128" s="169">
        <v>42865</v>
      </c>
      <c r="M128" s="115">
        <v>29.576296296296299</v>
      </c>
      <c r="N128" s="115">
        <v>29.837037037037</v>
      </c>
      <c r="O128" s="115">
        <v>29.3659259259259</v>
      </c>
      <c r="P128" s="115">
        <v>29.671111111111099</v>
      </c>
      <c r="Q128" s="115">
        <v>499.1</v>
      </c>
      <c r="R128">
        <v>117729</v>
      </c>
    </row>
    <row r="129" spans="1:18" x14ac:dyDescent="0.25">
      <c r="A129" s="169">
        <v>42866</v>
      </c>
      <c r="B129" s="115">
        <v>29.688888888888901</v>
      </c>
      <c r="C129" s="115">
        <v>29.031111111111102</v>
      </c>
      <c r="D129" s="115">
        <v>29.007407407407399</v>
      </c>
      <c r="E129" s="115">
        <v>29.677037037037</v>
      </c>
      <c r="F129" s="115">
        <v>489.9</v>
      </c>
      <c r="G129">
        <v>11520</v>
      </c>
      <c r="H129" s="115"/>
      <c r="I129" s="115"/>
      <c r="L129" s="169">
        <v>42866</v>
      </c>
      <c r="M129" s="115">
        <v>29.161481481481498</v>
      </c>
      <c r="N129" s="115">
        <v>29.795555555555602</v>
      </c>
      <c r="O129" s="115">
        <v>29.037037037036999</v>
      </c>
      <c r="P129" s="115">
        <v>29.7777777777778</v>
      </c>
      <c r="Q129" s="115">
        <v>492.1</v>
      </c>
      <c r="R129">
        <v>58140</v>
      </c>
    </row>
    <row r="130" spans="1:18" x14ac:dyDescent="0.25">
      <c r="A130" s="169">
        <v>42867</v>
      </c>
      <c r="B130" s="115">
        <v>29.925925925925899</v>
      </c>
      <c r="C130" s="115">
        <v>28.755555555555599</v>
      </c>
      <c r="D130" s="115">
        <v>28.219259259259299</v>
      </c>
      <c r="E130" s="115">
        <v>29.3007407407407</v>
      </c>
      <c r="F130" s="115">
        <v>485.25</v>
      </c>
      <c r="G130">
        <v>84651</v>
      </c>
      <c r="H130" s="115"/>
      <c r="I130" s="115"/>
      <c r="L130" s="169">
        <v>42867</v>
      </c>
      <c r="M130" s="115">
        <v>28.903703703703702</v>
      </c>
      <c r="N130" s="115">
        <v>29.940740740740701</v>
      </c>
      <c r="O130" s="115">
        <v>28.518518518518501</v>
      </c>
      <c r="P130" s="115">
        <v>29.623703703703701</v>
      </c>
      <c r="Q130" s="115">
        <v>487.75</v>
      </c>
      <c r="R130">
        <v>424033</v>
      </c>
    </row>
    <row r="131" spans="1:18" x14ac:dyDescent="0.25">
      <c r="A131" s="169">
        <v>42870</v>
      </c>
      <c r="B131" s="115">
        <v>29.546666666666699</v>
      </c>
      <c r="C131" s="115">
        <v>28.672592592592601</v>
      </c>
      <c r="D131" s="115">
        <v>28.562962962962999</v>
      </c>
      <c r="E131" s="115">
        <v>28.8237037037037</v>
      </c>
      <c r="F131" s="115">
        <v>483.85</v>
      </c>
      <c r="G131">
        <v>13788</v>
      </c>
      <c r="H131" s="115"/>
      <c r="I131" s="115"/>
      <c r="L131" s="169">
        <v>42870</v>
      </c>
      <c r="M131" s="115">
        <v>28.841481481481502</v>
      </c>
      <c r="N131" s="115">
        <v>29.6</v>
      </c>
      <c r="O131" s="115">
        <v>28.740740740740701</v>
      </c>
      <c r="P131" s="115">
        <v>28.915555555555599</v>
      </c>
      <c r="Q131" s="115">
        <v>486.7</v>
      </c>
      <c r="R131">
        <v>54059</v>
      </c>
    </row>
    <row r="132" spans="1:18" x14ac:dyDescent="0.25">
      <c r="A132" s="169">
        <v>42871</v>
      </c>
      <c r="B132" s="115">
        <v>29.235555555555599</v>
      </c>
      <c r="C132" s="115">
        <v>28.995555555555601</v>
      </c>
      <c r="D132" s="115">
        <v>28.8592592592593</v>
      </c>
      <c r="E132" s="115">
        <v>28.998518518518502</v>
      </c>
      <c r="F132" s="115">
        <v>489.3</v>
      </c>
      <c r="G132">
        <v>6414</v>
      </c>
      <c r="H132" s="115"/>
      <c r="I132" s="115"/>
      <c r="L132" s="169">
        <v>42871</v>
      </c>
      <c r="M132" s="115">
        <v>29.197037037036999</v>
      </c>
      <c r="N132" s="115">
        <v>29.3007407407407</v>
      </c>
      <c r="O132" s="115">
        <v>28.9185185185185</v>
      </c>
      <c r="P132" s="115">
        <v>28.977777777777799</v>
      </c>
      <c r="Q132" s="115">
        <v>492.7</v>
      </c>
      <c r="R132">
        <v>69934</v>
      </c>
    </row>
    <row r="133" spans="1:18" x14ac:dyDescent="0.25">
      <c r="A133" s="169">
        <v>42872</v>
      </c>
      <c r="B133" s="115">
        <v>29.896296296296299</v>
      </c>
      <c r="C133" s="115">
        <v>29.6474074074074</v>
      </c>
      <c r="D133" s="115">
        <v>29.131851851851899</v>
      </c>
      <c r="E133" s="115">
        <v>29.137777777777799</v>
      </c>
      <c r="F133" s="115">
        <v>500.3</v>
      </c>
      <c r="G133">
        <v>42360</v>
      </c>
      <c r="H133" s="115"/>
      <c r="I133" s="115"/>
      <c r="L133" s="169">
        <v>42872</v>
      </c>
      <c r="M133" s="115">
        <v>29.688888888888901</v>
      </c>
      <c r="N133" s="115">
        <v>29.822222222222202</v>
      </c>
      <c r="O133" s="115">
        <v>29.2740740740741</v>
      </c>
      <c r="P133" s="115">
        <v>29.451851851851899</v>
      </c>
      <c r="Q133" s="115">
        <v>501</v>
      </c>
      <c r="R133">
        <v>254016</v>
      </c>
    </row>
    <row r="134" spans="1:18" x14ac:dyDescent="0.25">
      <c r="A134" s="169">
        <v>42873</v>
      </c>
      <c r="B134" s="115">
        <v>29.594074074074101</v>
      </c>
      <c r="C134" s="115">
        <v>28.734814814814801</v>
      </c>
      <c r="D134" s="115">
        <v>28.628148148148099</v>
      </c>
      <c r="E134" s="115">
        <v>29.374814814814801</v>
      </c>
      <c r="F134" s="115">
        <v>484.9</v>
      </c>
      <c r="G134">
        <v>9452</v>
      </c>
      <c r="H134" s="115"/>
      <c r="I134" s="115"/>
      <c r="L134" s="169">
        <v>42873</v>
      </c>
      <c r="M134" s="115">
        <v>29.075555555555599</v>
      </c>
      <c r="N134" s="115">
        <v>29.534814814814801</v>
      </c>
      <c r="O134" s="115">
        <v>28.9540740740741</v>
      </c>
      <c r="P134" s="115">
        <v>29.0459259259259</v>
      </c>
      <c r="Q134" s="115">
        <v>490.65</v>
      </c>
      <c r="R134">
        <v>76544</v>
      </c>
    </row>
    <row r="135" spans="1:18" x14ac:dyDescent="0.25">
      <c r="A135" s="169">
        <v>42874</v>
      </c>
      <c r="B135" s="115">
        <v>29.7481481481481</v>
      </c>
      <c r="C135" s="115">
        <v>29.232592592592599</v>
      </c>
      <c r="D135" s="115">
        <v>28.325925925925901</v>
      </c>
      <c r="E135" s="115">
        <v>29.2385185185185</v>
      </c>
      <c r="F135" s="115">
        <v>493.3</v>
      </c>
      <c r="G135">
        <v>13918</v>
      </c>
      <c r="H135" s="115"/>
      <c r="I135" s="115"/>
      <c r="L135" s="169">
        <v>42874</v>
      </c>
      <c r="M135" s="115">
        <v>29.466666666666701</v>
      </c>
      <c r="N135" s="115">
        <v>29.866666666666699</v>
      </c>
      <c r="O135" s="115">
        <v>28.4444444444444</v>
      </c>
      <c r="P135" s="115">
        <v>29.2681481481481</v>
      </c>
      <c r="Q135" s="115">
        <v>497.25</v>
      </c>
      <c r="R135">
        <v>69784</v>
      </c>
    </row>
    <row r="136" spans="1:18" x14ac:dyDescent="0.25">
      <c r="A136" s="169">
        <v>42877</v>
      </c>
      <c r="B136" s="115">
        <v>29.3333333333333</v>
      </c>
      <c r="C136" s="115">
        <v>28.722962962962999</v>
      </c>
      <c r="D136" s="115">
        <v>28.5037037037037</v>
      </c>
      <c r="E136" s="115">
        <v>29.3333333333333</v>
      </c>
      <c r="F136" s="115">
        <v>484.7</v>
      </c>
      <c r="G136">
        <v>5288</v>
      </c>
      <c r="H136" s="115"/>
      <c r="I136" s="115"/>
      <c r="L136" s="169">
        <v>42877</v>
      </c>
      <c r="M136" s="115">
        <v>29.128888888888898</v>
      </c>
      <c r="N136" s="115">
        <v>29.392592592592599</v>
      </c>
      <c r="O136" s="115">
        <v>28.477037037037</v>
      </c>
      <c r="P136" s="115">
        <v>29.155555555555601</v>
      </c>
      <c r="Q136" s="115">
        <v>491.55</v>
      </c>
      <c r="R136">
        <v>40380</v>
      </c>
    </row>
    <row r="137" spans="1:18" x14ac:dyDescent="0.25">
      <c r="A137" s="169">
        <v>42878</v>
      </c>
      <c r="B137" s="115">
        <v>28.977777777777799</v>
      </c>
      <c r="C137" s="115">
        <v>28.343703703703699</v>
      </c>
      <c r="D137" s="115">
        <v>27.851851851851901</v>
      </c>
      <c r="E137" s="115">
        <v>28.740740740740701</v>
      </c>
      <c r="F137" s="115">
        <v>478.3</v>
      </c>
      <c r="G137">
        <v>11557</v>
      </c>
      <c r="H137" s="115"/>
      <c r="I137" s="115"/>
      <c r="L137" s="169">
        <v>42878</v>
      </c>
      <c r="M137" s="115">
        <v>28.554074074074101</v>
      </c>
      <c r="N137" s="115">
        <v>29.1792592592593</v>
      </c>
      <c r="O137" s="115">
        <v>28.151111111111099</v>
      </c>
      <c r="P137" s="115">
        <v>28.654814814814799</v>
      </c>
      <c r="Q137" s="115">
        <v>481.85</v>
      </c>
      <c r="R137">
        <v>75239</v>
      </c>
    </row>
    <row r="138" spans="1:18" x14ac:dyDescent="0.25">
      <c r="A138" s="169">
        <v>42879</v>
      </c>
      <c r="B138" s="115">
        <v>29.087407407407401</v>
      </c>
      <c r="C138" s="115">
        <v>27.5851851851852</v>
      </c>
      <c r="D138" s="115">
        <v>27.502222222222201</v>
      </c>
      <c r="E138" s="115">
        <v>28.5422222222222</v>
      </c>
      <c r="F138" s="115">
        <v>465.5</v>
      </c>
      <c r="G138">
        <v>7547</v>
      </c>
      <c r="H138" s="115"/>
      <c r="I138" s="115"/>
      <c r="L138" s="169">
        <v>42879</v>
      </c>
      <c r="M138" s="115">
        <v>27.8044444444444</v>
      </c>
      <c r="N138" s="115">
        <v>29.1792592592593</v>
      </c>
      <c r="O138" s="115">
        <v>27.6207407407407</v>
      </c>
      <c r="P138" s="115">
        <v>28.5659259259259</v>
      </c>
      <c r="Q138" s="115">
        <v>469.2</v>
      </c>
      <c r="R138">
        <v>79981</v>
      </c>
    </row>
    <row r="139" spans="1:18" x14ac:dyDescent="0.25">
      <c r="A139" s="169">
        <v>42880</v>
      </c>
      <c r="B139" s="115">
        <v>28.622222222222199</v>
      </c>
      <c r="C139" s="115">
        <v>28.5125925925926</v>
      </c>
      <c r="D139" s="115">
        <v>27.623703703703701</v>
      </c>
      <c r="E139" s="115">
        <v>27.845925925925901</v>
      </c>
      <c r="F139" s="115">
        <v>481.15</v>
      </c>
      <c r="G139">
        <v>4583</v>
      </c>
      <c r="H139" s="115"/>
      <c r="I139" s="115"/>
      <c r="L139" s="169">
        <v>42880</v>
      </c>
      <c r="M139" s="115">
        <v>28.610370370370401</v>
      </c>
      <c r="N139" s="115">
        <v>28.912592592592599</v>
      </c>
      <c r="O139" s="115">
        <v>27.522962962963</v>
      </c>
      <c r="P139" s="115">
        <v>28.266666666666701</v>
      </c>
      <c r="Q139" s="115">
        <v>482.8</v>
      </c>
      <c r="R139">
        <v>128892</v>
      </c>
    </row>
    <row r="140" spans="1:18" x14ac:dyDescent="0.25">
      <c r="A140" s="169">
        <v>42881</v>
      </c>
      <c r="B140" s="115">
        <v>28.7614814814815</v>
      </c>
      <c r="C140" s="115">
        <v>28.610370370370401</v>
      </c>
      <c r="D140" s="115">
        <v>28.370370370370399</v>
      </c>
      <c r="E140" s="115">
        <v>28.740740740740701</v>
      </c>
      <c r="F140" s="115">
        <v>482.8</v>
      </c>
      <c r="G140">
        <v>2636</v>
      </c>
      <c r="H140" s="115"/>
      <c r="I140" s="115"/>
      <c r="L140" s="169">
        <v>42881</v>
      </c>
      <c r="M140" s="115">
        <v>28.865185185185201</v>
      </c>
      <c r="N140" s="115">
        <v>29.037037037036999</v>
      </c>
      <c r="O140" s="115">
        <v>28.4444444444444</v>
      </c>
      <c r="P140" s="115">
        <v>28.903703703703702</v>
      </c>
      <c r="Q140" s="115">
        <v>487.1</v>
      </c>
      <c r="R140">
        <v>20566</v>
      </c>
    </row>
    <row r="141" spans="1:18" x14ac:dyDescent="0.25">
      <c r="A141" s="169">
        <v>42884</v>
      </c>
      <c r="B141" s="115">
        <v>28.740740740740701</v>
      </c>
      <c r="C141" s="115">
        <v>28.500740740740699</v>
      </c>
      <c r="D141" s="115">
        <v>28.237037037036998</v>
      </c>
      <c r="E141" s="115">
        <v>28.370370370370399</v>
      </c>
      <c r="F141" s="115">
        <v>480.95</v>
      </c>
      <c r="G141">
        <v>4085</v>
      </c>
      <c r="H141" s="115"/>
      <c r="I141" s="115"/>
      <c r="L141" s="169">
        <v>42884</v>
      </c>
      <c r="M141" s="115">
        <v>28.500740740740699</v>
      </c>
      <c r="N141" s="115">
        <v>28.654814814814799</v>
      </c>
      <c r="O141" s="115">
        <v>28.154074074074099</v>
      </c>
      <c r="P141" s="115">
        <v>28.154074074074099</v>
      </c>
      <c r="Q141" s="115">
        <v>480.95</v>
      </c>
      <c r="R141">
        <v>34325</v>
      </c>
    </row>
    <row r="142" spans="1:18" x14ac:dyDescent="0.25">
      <c r="A142" s="169">
        <v>42885</v>
      </c>
      <c r="B142" s="115">
        <v>29.259259259259299</v>
      </c>
      <c r="C142" s="115">
        <v>29.0192592592593</v>
      </c>
      <c r="D142" s="115">
        <v>28.121481481481499</v>
      </c>
      <c r="E142" s="115">
        <v>28.1274074074074</v>
      </c>
      <c r="F142" s="115">
        <v>489.7</v>
      </c>
      <c r="G142">
        <v>4589</v>
      </c>
      <c r="H142" s="115"/>
      <c r="I142" s="115"/>
      <c r="L142" s="169">
        <v>42885</v>
      </c>
      <c r="M142" s="115">
        <v>28.995555555555601</v>
      </c>
      <c r="N142" s="115">
        <v>29.3333333333333</v>
      </c>
      <c r="O142" s="115">
        <v>28.148148148148099</v>
      </c>
      <c r="P142" s="115">
        <v>28.201481481481501</v>
      </c>
      <c r="Q142" s="115">
        <v>489.3</v>
      </c>
      <c r="R142">
        <v>19558</v>
      </c>
    </row>
    <row r="143" spans="1:18" x14ac:dyDescent="0.25">
      <c r="A143" s="169">
        <v>42886</v>
      </c>
      <c r="B143" s="115">
        <v>29.570370370370402</v>
      </c>
      <c r="C143" s="115">
        <v>29.484444444444399</v>
      </c>
      <c r="D143" s="115">
        <v>28.8</v>
      </c>
      <c r="E143" s="115">
        <v>29.164444444444399</v>
      </c>
      <c r="F143" s="115">
        <v>497.55</v>
      </c>
      <c r="G143">
        <v>11240</v>
      </c>
      <c r="H143" s="115"/>
      <c r="I143" s="115"/>
      <c r="L143" s="169">
        <v>42886</v>
      </c>
      <c r="M143" s="115">
        <v>29.52</v>
      </c>
      <c r="N143" s="115">
        <v>29.5911111111111</v>
      </c>
      <c r="O143" s="115">
        <v>28.868148148148101</v>
      </c>
      <c r="P143" s="115">
        <v>29.037037037036999</v>
      </c>
      <c r="Q143" s="115">
        <v>498.15</v>
      </c>
      <c r="R143">
        <v>56702</v>
      </c>
    </row>
    <row r="144" spans="1:18" x14ac:dyDescent="0.25">
      <c r="A144" s="169">
        <v>42887</v>
      </c>
      <c r="B144" s="115">
        <v>29.6</v>
      </c>
      <c r="C144" s="115">
        <v>29.3303703703704</v>
      </c>
      <c r="D144" s="115">
        <v>28.829629629629601</v>
      </c>
      <c r="E144" s="115">
        <v>29.4340740740741</v>
      </c>
      <c r="F144" s="115">
        <v>494.95</v>
      </c>
      <c r="G144">
        <v>3088</v>
      </c>
      <c r="H144" s="115"/>
      <c r="I144" s="115"/>
      <c r="L144" s="169">
        <v>42887</v>
      </c>
      <c r="M144" s="115">
        <v>29.605925925925899</v>
      </c>
      <c r="N144" s="115">
        <v>29.688888888888901</v>
      </c>
      <c r="O144" s="115">
        <v>28.817777777777799</v>
      </c>
      <c r="P144" s="115">
        <v>29.354074074074099</v>
      </c>
      <c r="Q144" s="115">
        <v>499.6</v>
      </c>
      <c r="R144">
        <v>56536</v>
      </c>
    </row>
    <row r="145" spans="1:18" x14ac:dyDescent="0.25">
      <c r="A145" s="169">
        <v>42888</v>
      </c>
      <c r="B145" s="115">
        <v>30.518518518518501</v>
      </c>
      <c r="C145" s="115">
        <v>30.242962962962999</v>
      </c>
      <c r="D145" s="115">
        <v>29.392592592592599</v>
      </c>
      <c r="E145" s="115">
        <v>29.5585185185185</v>
      </c>
      <c r="F145" s="115">
        <v>510.35</v>
      </c>
      <c r="G145">
        <v>28987</v>
      </c>
      <c r="H145" s="115"/>
      <c r="I145" s="115"/>
      <c r="L145" s="169">
        <v>42888</v>
      </c>
      <c r="M145" s="115">
        <v>30.260740740740701</v>
      </c>
      <c r="N145" s="115">
        <v>30.548148148148101</v>
      </c>
      <c r="O145" s="115">
        <v>29.3303703703704</v>
      </c>
      <c r="P145" s="115">
        <v>29.629629629629601</v>
      </c>
      <c r="Q145" s="115">
        <v>510.65</v>
      </c>
      <c r="R145">
        <v>157599</v>
      </c>
    </row>
    <row r="146" spans="1:18" x14ac:dyDescent="0.25">
      <c r="A146" s="169">
        <v>42891</v>
      </c>
      <c r="B146" s="115">
        <v>31.697777777777802</v>
      </c>
      <c r="C146" s="115">
        <v>31.2</v>
      </c>
      <c r="D146" s="115">
        <v>30.405925925925899</v>
      </c>
      <c r="E146" s="115">
        <v>30.488888888888901</v>
      </c>
      <c r="F146" s="115">
        <v>526.5</v>
      </c>
      <c r="G146">
        <v>30464</v>
      </c>
      <c r="H146" s="115"/>
      <c r="I146" s="115"/>
      <c r="L146" s="169">
        <v>42891</v>
      </c>
      <c r="M146" s="115">
        <v>31.3362962962963</v>
      </c>
      <c r="N146" s="115">
        <v>31.940740740740701</v>
      </c>
      <c r="O146" s="115">
        <v>30.334814814814798</v>
      </c>
      <c r="P146" s="115">
        <v>30.459259259259301</v>
      </c>
      <c r="Q146" s="115">
        <v>528.79999999999995</v>
      </c>
      <c r="R146">
        <v>238964</v>
      </c>
    </row>
    <row r="147" spans="1:18" x14ac:dyDescent="0.25">
      <c r="A147" s="169">
        <v>42892</v>
      </c>
      <c r="B147" s="115">
        <v>31.5822222222222</v>
      </c>
      <c r="C147" s="115">
        <v>31.324444444444399</v>
      </c>
      <c r="D147" s="115">
        <v>30.971851851851898</v>
      </c>
      <c r="E147" s="115">
        <v>31.2059259259259</v>
      </c>
      <c r="F147" s="115">
        <v>528.6</v>
      </c>
      <c r="G147">
        <v>9735</v>
      </c>
      <c r="H147" s="115"/>
      <c r="I147" s="115"/>
      <c r="L147" s="169">
        <v>42892</v>
      </c>
      <c r="M147" s="115">
        <v>31.386666666666699</v>
      </c>
      <c r="N147" s="115">
        <v>31.597037037037001</v>
      </c>
      <c r="O147" s="115">
        <v>30.9807407407407</v>
      </c>
      <c r="P147" s="115">
        <v>31.131851851851899</v>
      </c>
      <c r="Q147" s="115">
        <v>529.65</v>
      </c>
      <c r="R147">
        <v>124181</v>
      </c>
    </row>
    <row r="148" spans="1:18" x14ac:dyDescent="0.25">
      <c r="A148" s="169">
        <v>42893</v>
      </c>
      <c r="B148" s="115">
        <v>31.407407407407401</v>
      </c>
      <c r="C148" s="115">
        <v>30.832592592592601</v>
      </c>
      <c r="D148" s="115">
        <v>28.237037037036998</v>
      </c>
      <c r="E148" s="115">
        <v>31.1111111111111</v>
      </c>
      <c r="F148" s="115">
        <v>520.29999999999995</v>
      </c>
      <c r="G148">
        <v>7096</v>
      </c>
      <c r="H148" s="115"/>
      <c r="I148" s="115"/>
      <c r="L148" s="169">
        <v>42893</v>
      </c>
      <c r="M148" s="115">
        <v>30.717037037036999</v>
      </c>
      <c r="N148" s="115">
        <v>31.170370370370399</v>
      </c>
      <c r="O148" s="115">
        <v>29.7481481481481</v>
      </c>
      <c r="P148" s="115">
        <v>29.7481481481481</v>
      </c>
      <c r="Q148" s="115">
        <v>518.35</v>
      </c>
      <c r="R148">
        <v>85919</v>
      </c>
    </row>
    <row r="149" spans="1:18" x14ac:dyDescent="0.25">
      <c r="A149" s="169">
        <v>42894</v>
      </c>
      <c r="B149" s="115">
        <v>31.52</v>
      </c>
      <c r="C149" s="115">
        <v>30.245925925925899</v>
      </c>
      <c r="D149" s="115">
        <v>30</v>
      </c>
      <c r="E149" s="115">
        <v>30.654814814814799</v>
      </c>
      <c r="F149" s="115">
        <v>510.4</v>
      </c>
      <c r="G149">
        <v>4587</v>
      </c>
      <c r="H149" s="115"/>
      <c r="I149" s="115"/>
      <c r="L149" s="169">
        <v>42894</v>
      </c>
      <c r="M149" s="115">
        <v>30.376296296296299</v>
      </c>
      <c r="N149" s="115">
        <v>31.5851851851852</v>
      </c>
      <c r="O149" s="115">
        <v>30.2222222222222</v>
      </c>
      <c r="P149" s="115">
        <v>30.637037037037</v>
      </c>
      <c r="Q149" s="115">
        <v>512.6</v>
      </c>
      <c r="R149">
        <v>72599</v>
      </c>
    </row>
    <row r="150" spans="1:18" x14ac:dyDescent="0.25">
      <c r="A150" s="169">
        <v>42895</v>
      </c>
      <c r="B150" s="115">
        <v>31.229629629629599</v>
      </c>
      <c r="C150" s="115">
        <v>30.4177777777778</v>
      </c>
      <c r="D150" s="115">
        <v>30.050370370370398</v>
      </c>
      <c r="E150" s="115">
        <v>30.459259259259301</v>
      </c>
      <c r="F150" s="115">
        <v>513.29999999999995</v>
      </c>
      <c r="G150">
        <v>13325</v>
      </c>
      <c r="H150" s="115"/>
      <c r="I150" s="115"/>
      <c r="L150" s="169">
        <v>42895</v>
      </c>
      <c r="M150" s="115">
        <v>30.450370370370401</v>
      </c>
      <c r="N150" s="115">
        <v>31.371851851851901</v>
      </c>
      <c r="O150" s="115">
        <v>30.260740740740701</v>
      </c>
      <c r="P150" s="115">
        <v>30.6340740740741</v>
      </c>
      <c r="Q150" s="115">
        <v>513.85</v>
      </c>
      <c r="R150">
        <v>139862</v>
      </c>
    </row>
    <row r="151" spans="1:18" x14ac:dyDescent="0.25">
      <c r="A151" s="169">
        <v>42898</v>
      </c>
      <c r="B151" s="115">
        <v>32.118518518518499</v>
      </c>
      <c r="C151" s="115">
        <v>31.84</v>
      </c>
      <c r="D151" s="115">
        <v>30.2222222222222</v>
      </c>
      <c r="E151" s="115">
        <v>30.2222222222222</v>
      </c>
      <c r="F151" s="115">
        <v>537.29999999999995</v>
      </c>
      <c r="G151">
        <v>17119</v>
      </c>
      <c r="H151" s="115"/>
      <c r="I151" s="115"/>
      <c r="L151" s="169">
        <v>42898</v>
      </c>
      <c r="M151" s="115">
        <v>31.789629629629601</v>
      </c>
      <c r="N151" s="115">
        <v>31.988148148148099</v>
      </c>
      <c r="O151" s="115">
        <v>30.491851851851798</v>
      </c>
      <c r="P151" s="115">
        <v>30.577777777777801</v>
      </c>
      <c r="Q151" s="115">
        <v>536.45000000000005</v>
      </c>
      <c r="R151">
        <v>142344</v>
      </c>
    </row>
    <row r="152" spans="1:18" x14ac:dyDescent="0.25">
      <c r="A152" s="169">
        <v>42899</v>
      </c>
      <c r="B152" s="115">
        <v>32.311111111111103</v>
      </c>
      <c r="C152" s="115">
        <v>32.2548148148148</v>
      </c>
      <c r="D152" s="115">
        <v>31.466666666666701</v>
      </c>
      <c r="E152" s="115">
        <v>32</v>
      </c>
      <c r="F152" s="115">
        <v>544.29999999999995</v>
      </c>
      <c r="G152">
        <v>9002</v>
      </c>
      <c r="H152" s="115"/>
      <c r="I152" s="115"/>
      <c r="L152" s="169">
        <v>42899</v>
      </c>
      <c r="M152" s="115">
        <v>32.2874074074074</v>
      </c>
      <c r="N152" s="115">
        <v>32.474074074074103</v>
      </c>
      <c r="O152" s="115">
        <v>31.407407407407401</v>
      </c>
      <c r="P152" s="115">
        <v>31.940740740740701</v>
      </c>
      <c r="Q152" s="115">
        <v>544.85</v>
      </c>
      <c r="R152">
        <v>164126</v>
      </c>
    </row>
    <row r="153" spans="1:18" x14ac:dyDescent="0.25">
      <c r="A153" s="169">
        <v>42900</v>
      </c>
      <c r="B153" s="115">
        <v>32.651851851851902</v>
      </c>
      <c r="C153" s="115">
        <v>31.9022222222222</v>
      </c>
      <c r="D153" s="115">
        <v>31.718518518518501</v>
      </c>
      <c r="E153" s="115">
        <v>32.314074074074099</v>
      </c>
      <c r="F153" s="115">
        <v>538.35</v>
      </c>
      <c r="G153">
        <v>4063</v>
      </c>
      <c r="H153" s="115"/>
      <c r="I153" s="115"/>
      <c r="L153" s="169">
        <v>42900</v>
      </c>
      <c r="M153" s="115">
        <v>31.988148148148099</v>
      </c>
      <c r="N153" s="115">
        <v>32.708148148148098</v>
      </c>
      <c r="O153" s="115">
        <v>31.677037037037</v>
      </c>
      <c r="P153" s="115">
        <v>32.5688888888889</v>
      </c>
      <c r="Q153" s="115">
        <v>539.79999999999995</v>
      </c>
      <c r="R153">
        <v>71266</v>
      </c>
    </row>
    <row r="154" spans="1:18" x14ac:dyDescent="0.25">
      <c r="A154" s="169">
        <v>42901</v>
      </c>
      <c r="B154" s="115">
        <v>32.592592592592602</v>
      </c>
      <c r="C154" s="115">
        <v>32.453333333333298</v>
      </c>
      <c r="D154" s="115">
        <v>32.053333333333299</v>
      </c>
      <c r="E154" s="115">
        <v>32.533333333333303</v>
      </c>
      <c r="F154" s="115">
        <v>547.65</v>
      </c>
      <c r="G154">
        <v>5295</v>
      </c>
      <c r="H154" s="115"/>
      <c r="I154" s="115"/>
      <c r="L154" s="169">
        <v>42901</v>
      </c>
      <c r="M154" s="115">
        <v>32.343703703703703</v>
      </c>
      <c r="N154" s="115">
        <v>32.651851851851902</v>
      </c>
      <c r="O154" s="115">
        <v>31.979259259259301</v>
      </c>
      <c r="P154" s="115">
        <v>31.979259259259301</v>
      </c>
      <c r="Q154" s="115">
        <v>545.79999999999995</v>
      </c>
      <c r="R154">
        <v>49396</v>
      </c>
    </row>
    <row r="155" spans="1:18" x14ac:dyDescent="0.25">
      <c r="A155" s="169">
        <v>42902</v>
      </c>
      <c r="B155" s="115">
        <v>33.066666666666698</v>
      </c>
      <c r="C155" s="115">
        <v>32.299259259259301</v>
      </c>
      <c r="D155" s="115">
        <v>30.874074074074102</v>
      </c>
      <c r="E155" s="115">
        <v>32.533333333333303</v>
      </c>
      <c r="F155" s="115">
        <v>545.04999999999995</v>
      </c>
      <c r="G155">
        <v>17721</v>
      </c>
      <c r="H155" s="115"/>
      <c r="I155" s="115"/>
      <c r="L155" s="169">
        <v>42902</v>
      </c>
      <c r="M155" s="115">
        <v>32.521481481481501</v>
      </c>
      <c r="N155" s="115">
        <v>33.247407407407401</v>
      </c>
      <c r="O155" s="115">
        <v>31.0518518518519</v>
      </c>
      <c r="P155" s="115">
        <v>32.225185185185197</v>
      </c>
      <c r="Q155" s="115">
        <v>548.79999999999995</v>
      </c>
      <c r="R155">
        <v>1019644</v>
      </c>
    </row>
    <row r="156" spans="1:18" x14ac:dyDescent="0.25">
      <c r="A156" s="169">
        <v>42905</v>
      </c>
      <c r="B156" s="115">
        <v>32.8888888888889</v>
      </c>
      <c r="C156" s="115">
        <v>32.275555555555599</v>
      </c>
      <c r="D156" s="115">
        <v>32</v>
      </c>
      <c r="E156" s="115">
        <v>32.8888888888889</v>
      </c>
      <c r="F156" s="115">
        <v>544.65</v>
      </c>
      <c r="G156">
        <v>2297</v>
      </c>
      <c r="H156" s="115"/>
      <c r="I156" s="115"/>
      <c r="L156" s="169">
        <v>42905</v>
      </c>
      <c r="M156" s="115">
        <v>32.314074074074099</v>
      </c>
      <c r="N156" s="115">
        <v>32.974814814814799</v>
      </c>
      <c r="O156" s="115">
        <v>32.020740740740699</v>
      </c>
      <c r="P156" s="115">
        <v>32.592592592592602</v>
      </c>
      <c r="Q156" s="115">
        <v>545.29999999999995</v>
      </c>
      <c r="R156">
        <v>24394</v>
      </c>
    </row>
    <row r="157" spans="1:18" x14ac:dyDescent="0.25">
      <c r="A157" s="169">
        <v>42906</v>
      </c>
      <c r="B157" s="115">
        <v>32.162962962963</v>
      </c>
      <c r="C157" s="115">
        <v>31.754074074074101</v>
      </c>
      <c r="D157" s="115">
        <v>31.540740740740699</v>
      </c>
      <c r="E157" s="115">
        <v>32.059259259259299</v>
      </c>
      <c r="F157" s="115">
        <v>535.85</v>
      </c>
      <c r="G157">
        <v>2481</v>
      </c>
      <c r="H157" s="115"/>
      <c r="I157" s="115"/>
      <c r="L157" s="169">
        <v>42906</v>
      </c>
      <c r="M157" s="115">
        <v>31.789629629629601</v>
      </c>
      <c r="N157" s="115">
        <v>32.177777777777798</v>
      </c>
      <c r="O157" s="115">
        <v>30.044444444444402</v>
      </c>
      <c r="P157" s="115">
        <v>30.044444444444402</v>
      </c>
      <c r="Q157" s="115">
        <v>536.45000000000005</v>
      </c>
      <c r="R157">
        <v>11933</v>
      </c>
    </row>
    <row r="158" spans="1:18" x14ac:dyDescent="0.25">
      <c r="A158" s="169">
        <v>42907</v>
      </c>
      <c r="B158" s="115">
        <v>31.6444444444444</v>
      </c>
      <c r="C158" s="115">
        <v>30.971851851851898</v>
      </c>
      <c r="D158" s="115">
        <v>30.64</v>
      </c>
      <c r="E158" s="115">
        <v>31.407407407407401</v>
      </c>
      <c r="F158" s="115">
        <v>522.65</v>
      </c>
      <c r="G158">
        <v>4331</v>
      </c>
      <c r="H158" s="115"/>
      <c r="I158" s="115"/>
      <c r="L158" s="169">
        <v>42907</v>
      </c>
      <c r="M158" s="115">
        <v>30.906666666666698</v>
      </c>
      <c r="N158" s="115">
        <v>31.931851851851899</v>
      </c>
      <c r="O158" s="115">
        <v>30.645925925925901</v>
      </c>
      <c r="P158" s="115">
        <v>31.407407407407401</v>
      </c>
      <c r="Q158" s="115">
        <v>521.54999999999995</v>
      </c>
      <c r="R158">
        <v>44460</v>
      </c>
    </row>
    <row r="159" spans="1:18" x14ac:dyDescent="0.25">
      <c r="A159" s="169">
        <v>42908</v>
      </c>
      <c r="B159" s="115">
        <v>31.125925925925898</v>
      </c>
      <c r="C159" s="115">
        <v>30.752592592592599</v>
      </c>
      <c r="D159" s="115">
        <v>30.5659259259259</v>
      </c>
      <c r="E159" s="115">
        <v>30.8918518518519</v>
      </c>
      <c r="F159" s="115">
        <v>518.95000000000005</v>
      </c>
      <c r="G159">
        <v>5620</v>
      </c>
      <c r="H159" s="115"/>
      <c r="I159" s="115"/>
      <c r="L159" s="169">
        <v>42908</v>
      </c>
      <c r="M159" s="115">
        <v>30.906666666666698</v>
      </c>
      <c r="N159" s="115">
        <v>31.324444444444399</v>
      </c>
      <c r="O159" s="115">
        <v>30.844444444444399</v>
      </c>
      <c r="P159" s="115">
        <v>31.324444444444399</v>
      </c>
      <c r="Q159" s="115">
        <v>521.54999999999995</v>
      </c>
      <c r="R159">
        <v>22862</v>
      </c>
    </row>
    <row r="160" spans="1:18" x14ac:dyDescent="0.25">
      <c r="A160" s="169">
        <v>42909</v>
      </c>
      <c r="B160" s="115">
        <v>30.924444444444401</v>
      </c>
      <c r="C160" s="115">
        <v>30.340740740740699</v>
      </c>
      <c r="D160" s="115">
        <v>30.16</v>
      </c>
      <c r="E160" s="115">
        <v>30.924444444444401</v>
      </c>
      <c r="F160" s="115">
        <v>512</v>
      </c>
      <c r="G160">
        <v>7396</v>
      </c>
      <c r="H160" s="115"/>
      <c r="I160" s="115"/>
      <c r="L160" s="169">
        <v>42909</v>
      </c>
      <c r="M160" s="115">
        <v>30.48</v>
      </c>
      <c r="N160" s="115">
        <v>31.128888888888898</v>
      </c>
      <c r="O160" s="115">
        <v>30.340740740740699</v>
      </c>
      <c r="P160" s="115">
        <v>31.128888888888898</v>
      </c>
      <c r="Q160" s="115">
        <v>514.35</v>
      </c>
      <c r="R160">
        <v>27462</v>
      </c>
    </row>
    <row r="161" spans="1:18" x14ac:dyDescent="0.25">
      <c r="A161" s="169">
        <v>42913</v>
      </c>
      <c r="B161" s="115">
        <v>30.930370370370401</v>
      </c>
      <c r="C161" s="115">
        <v>29.917037037037002</v>
      </c>
      <c r="D161" s="115">
        <v>29.3333333333333</v>
      </c>
      <c r="E161" s="115">
        <v>30.260740740740701</v>
      </c>
      <c r="F161" s="115">
        <v>504.85</v>
      </c>
      <c r="G161">
        <v>12415</v>
      </c>
      <c r="H161" s="115"/>
      <c r="I161" s="115"/>
      <c r="L161" s="169">
        <v>42913</v>
      </c>
      <c r="M161" s="115">
        <v>29.958518518518499</v>
      </c>
      <c r="N161" s="115">
        <v>30.548148148148101</v>
      </c>
      <c r="O161" s="115">
        <v>29.392592592592599</v>
      </c>
      <c r="P161" s="115">
        <v>30.121481481481499</v>
      </c>
      <c r="Q161" s="115">
        <v>505.55</v>
      </c>
      <c r="R161">
        <v>33314</v>
      </c>
    </row>
    <row r="162" spans="1:18" x14ac:dyDescent="0.25">
      <c r="A162" s="169">
        <v>42914</v>
      </c>
      <c r="B162" s="115">
        <v>30.808888888888902</v>
      </c>
      <c r="C162" s="115">
        <v>30.367407407407399</v>
      </c>
      <c r="D162" s="115">
        <v>29.677037037037</v>
      </c>
      <c r="E162" s="115">
        <v>29.8074074074074</v>
      </c>
      <c r="F162" s="115">
        <v>512.45000000000005</v>
      </c>
      <c r="G162">
        <v>4170</v>
      </c>
      <c r="H162" s="115"/>
      <c r="I162" s="115"/>
      <c r="L162" s="169">
        <v>42914</v>
      </c>
      <c r="M162" s="115">
        <v>30.3851851851852</v>
      </c>
      <c r="N162" s="115">
        <v>30.992592592592601</v>
      </c>
      <c r="O162" s="115">
        <v>29.688888888888901</v>
      </c>
      <c r="P162" s="115">
        <v>29.7481481481481</v>
      </c>
      <c r="Q162" s="115">
        <v>512.75</v>
      </c>
      <c r="R162">
        <v>118535</v>
      </c>
    </row>
    <row r="163" spans="1:18" x14ac:dyDescent="0.25">
      <c r="A163" s="169">
        <v>42915</v>
      </c>
      <c r="B163" s="115">
        <v>31.229629629629599</v>
      </c>
      <c r="C163" s="115">
        <v>30.610370370370401</v>
      </c>
      <c r="D163" s="115">
        <v>30.459259259259301</v>
      </c>
      <c r="E163" s="115">
        <v>30.459259259259301</v>
      </c>
      <c r="F163" s="115">
        <v>516.54999999999995</v>
      </c>
      <c r="G163">
        <v>2560</v>
      </c>
      <c r="H163" s="115"/>
      <c r="I163" s="115"/>
      <c r="L163" s="169">
        <v>42915</v>
      </c>
      <c r="M163" s="115">
        <v>30.776296296296302</v>
      </c>
      <c r="N163" s="115">
        <v>31.4014814814815</v>
      </c>
      <c r="O163" s="115">
        <v>30.477037037037</v>
      </c>
      <c r="P163" s="115">
        <v>30.992592592592601</v>
      </c>
      <c r="Q163" s="115">
        <v>519.35</v>
      </c>
      <c r="R163">
        <v>169775</v>
      </c>
    </row>
    <row r="164" spans="1:18" x14ac:dyDescent="0.25">
      <c r="A164" s="169">
        <v>42916</v>
      </c>
      <c r="B164" s="115">
        <v>31.9051851851852</v>
      </c>
      <c r="C164" s="115">
        <v>31.6177777777778</v>
      </c>
      <c r="D164" s="115">
        <v>30.423703703703701</v>
      </c>
      <c r="E164" s="115">
        <v>30.435555555555599</v>
      </c>
      <c r="F164" s="115">
        <v>533.54999999999995</v>
      </c>
      <c r="G164">
        <v>2495</v>
      </c>
      <c r="H164" s="115"/>
      <c r="I164" s="115"/>
      <c r="L164" s="169">
        <v>42916</v>
      </c>
      <c r="M164" s="115">
        <v>31.694814814814801</v>
      </c>
      <c r="N164" s="115">
        <v>32</v>
      </c>
      <c r="O164" s="115">
        <v>30.002962962963</v>
      </c>
      <c r="P164" s="115">
        <v>30.002962962963</v>
      </c>
      <c r="Q164" s="115">
        <v>534.85</v>
      </c>
      <c r="R164">
        <v>25505</v>
      </c>
    </row>
    <row r="165" spans="1:18" x14ac:dyDescent="0.25">
      <c r="A165" s="169">
        <v>42919</v>
      </c>
      <c r="B165" s="115">
        <v>31.5822222222222</v>
      </c>
      <c r="C165" s="115">
        <v>31.090370370370401</v>
      </c>
      <c r="D165" s="115">
        <v>30.755555555555599</v>
      </c>
      <c r="E165" s="115">
        <v>31.404444444444401</v>
      </c>
      <c r="F165" s="115">
        <v>524.65</v>
      </c>
      <c r="G165">
        <v>1443</v>
      </c>
      <c r="H165" s="115"/>
      <c r="I165" s="115"/>
      <c r="L165" s="169">
        <v>42919</v>
      </c>
      <c r="M165" s="115">
        <v>30.871111111111102</v>
      </c>
      <c r="N165" s="115">
        <v>31.697777777777802</v>
      </c>
      <c r="O165" s="115">
        <v>30.6607407407407</v>
      </c>
      <c r="P165" s="115">
        <v>31.475555555555601</v>
      </c>
      <c r="Q165" s="115">
        <v>520.95000000000005</v>
      </c>
      <c r="R165">
        <v>39948</v>
      </c>
    </row>
    <row r="166" spans="1:18" x14ac:dyDescent="0.25">
      <c r="A166" s="169">
        <v>42920</v>
      </c>
      <c r="B166" s="115">
        <v>31.348148148148098</v>
      </c>
      <c r="C166" s="115">
        <v>30.773333333333301</v>
      </c>
      <c r="D166" s="115">
        <v>30.459259259259301</v>
      </c>
      <c r="E166" s="115">
        <v>31.345185185185201</v>
      </c>
      <c r="F166" s="115">
        <v>519.29999999999995</v>
      </c>
      <c r="G166">
        <v>1388</v>
      </c>
      <c r="H166" s="115"/>
      <c r="I166" s="115"/>
      <c r="L166" s="169">
        <v>42920</v>
      </c>
      <c r="M166" s="115">
        <v>31.010370370370399</v>
      </c>
      <c r="N166" s="115">
        <v>31.407407407407401</v>
      </c>
      <c r="O166" s="115">
        <v>30.607407407407401</v>
      </c>
      <c r="P166" s="115">
        <v>31.407407407407401</v>
      </c>
      <c r="Q166" s="115">
        <v>523.29999999999995</v>
      </c>
      <c r="R166">
        <v>15667</v>
      </c>
    </row>
    <row r="167" spans="1:18" x14ac:dyDescent="0.25">
      <c r="A167" s="169">
        <v>42921</v>
      </c>
      <c r="B167" s="115">
        <v>31.105185185185199</v>
      </c>
      <c r="C167" s="115">
        <v>30.785185185185199</v>
      </c>
      <c r="D167" s="115">
        <v>30.705185185185201</v>
      </c>
      <c r="E167" s="115">
        <v>31.096296296296298</v>
      </c>
      <c r="F167" s="115">
        <v>519.5</v>
      </c>
      <c r="G167">
        <v>921</v>
      </c>
      <c r="H167" s="115"/>
      <c r="I167" s="115"/>
      <c r="L167" s="169">
        <v>42921</v>
      </c>
      <c r="M167" s="115">
        <v>30.88</v>
      </c>
      <c r="N167" s="115">
        <v>31.285925925925898</v>
      </c>
      <c r="O167" s="115">
        <v>30.642962962963001</v>
      </c>
      <c r="P167" s="115">
        <v>30.9837037037037</v>
      </c>
      <c r="Q167" s="115">
        <v>521.1</v>
      </c>
      <c r="R167">
        <v>37298</v>
      </c>
    </row>
    <row r="168" spans="1:18" x14ac:dyDescent="0.25">
      <c r="A168" s="169">
        <v>42922</v>
      </c>
      <c r="B168" s="115">
        <v>32.162962962963</v>
      </c>
      <c r="C168" s="115">
        <v>31.1111111111111</v>
      </c>
      <c r="D168" s="115">
        <v>30.6933333333333</v>
      </c>
      <c r="E168" s="115">
        <v>31.0518518518519</v>
      </c>
      <c r="F168" s="115">
        <v>525</v>
      </c>
      <c r="G168">
        <v>4915</v>
      </c>
      <c r="H168" s="115"/>
      <c r="I168" s="115"/>
      <c r="L168" s="169">
        <v>42922</v>
      </c>
      <c r="M168" s="115">
        <v>31.194074074074098</v>
      </c>
      <c r="N168" s="115">
        <v>32.296296296296298</v>
      </c>
      <c r="O168" s="115">
        <v>30.874074074074102</v>
      </c>
      <c r="P168" s="115">
        <v>30.933333333333302</v>
      </c>
      <c r="Q168" s="115">
        <v>526.4</v>
      </c>
      <c r="R168">
        <v>58078</v>
      </c>
    </row>
    <row r="169" spans="1:18" x14ac:dyDescent="0.25">
      <c r="A169" s="169">
        <v>42923</v>
      </c>
      <c r="B169" s="115">
        <v>33.757037037037001</v>
      </c>
      <c r="C169" s="115">
        <v>31.413333333333298</v>
      </c>
      <c r="D169" s="115">
        <v>31.105185185185199</v>
      </c>
      <c r="E169" s="115">
        <v>31.348148148148098</v>
      </c>
      <c r="F169" s="115">
        <v>530.1</v>
      </c>
      <c r="G169">
        <v>846073</v>
      </c>
      <c r="H169" s="115"/>
      <c r="I169" s="115"/>
      <c r="L169" s="169">
        <v>42923</v>
      </c>
      <c r="M169" s="115">
        <v>31.52</v>
      </c>
      <c r="N169" s="115">
        <v>33.742222222222203</v>
      </c>
      <c r="O169" s="115">
        <v>30.936296296296302</v>
      </c>
      <c r="P169" s="115">
        <v>31.037037037036999</v>
      </c>
      <c r="Q169" s="115">
        <v>531.9</v>
      </c>
      <c r="R169">
        <v>1185337</v>
      </c>
    </row>
    <row r="170" spans="1:18" x14ac:dyDescent="0.25">
      <c r="A170" s="169">
        <v>42926</v>
      </c>
      <c r="B170" s="115">
        <v>31.940740740740701</v>
      </c>
      <c r="C170" s="115">
        <v>30.874074074074102</v>
      </c>
      <c r="D170" s="115">
        <v>30.2222222222222</v>
      </c>
      <c r="E170" s="115">
        <v>31.940740740740701</v>
      </c>
      <c r="F170" s="115">
        <v>521</v>
      </c>
      <c r="G170">
        <v>12697</v>
      </c>
      <c r="H170" s="115"/>
      <c r="I170" s="115"/>
      <c r="L170" s="169">
        <v>42926</v>
      </c>
      <c r="M170" s="115">
        <v>30.927407407407401</v>
      </c>
      <c r="N170" s="115">
        <v>31.638518518518499</v>
      </c>
      <c r="O170" s="115">
        <v>28.213333333333299</v>
      </c>
      <c r="P170" s="115">
        <v>31.638518518518499</v>
      </c>
      <c r="Q170" s="115">
        <v>521.9</v>
      </c>
      <c r="R170">
        <v>15218</v>
      </c>
    </row>
    <row r="171" spans="1:18" x14ac:dyDescent="0.25">
      <c r="A171" s="169">
        <v>42927</v>
      </c>
      <c r="B171" s="115">
        <v>31.324444444444399</v>
      </c>
      <c r="C171" s="115">
        <v>30.877037037036999</v>
      </c>
      <c r="D171" s="115">
        <v>30.456296296296301</v>
      </c>
      <c r="E171" s="115">
        <v>30.874074074074102</v>
      </c>
      <c r="F171" s="115">
        <v>521.04999999999995</v>
      </c>
      <c r="G171">
        <v>7018</v>
      </c>
      <c r="H171" s="115"/>
      <c r="I171" s="115"/>
      <c r="L171" s="169">
        <v>42927</v>
      </c>
      <c r="M171" s="115">
        <v>31.0785185185185</v>
      </c>
      <c r="N171" s="115">
        <v>31.342222222222201</v>
      </c>
      <c r="O171" s="115">
        <v>30.2251851851852</v>
      </c>
      <c r="P171" s="115">
        <v>31.0518518518519</v>
      </c>
      <c r="Q171" s="115">
        <v>524.45000000000005</v>
      </c>
      <c r="R171">
        <v>61496</v>
      </c>
    </row>
    <row r="172" spans="1:18" x14ac:dyDescent="0.25">
      <c r="A172" s="169">
        <v>42928</v>
      </c>
      <c r="B172" s="115">
        <v>32.340740740740699</v>
      </c>
      <c r="C172" s="115">
        <v>31.9377777777778</v>
      </c>
      <c r="D172" s="115">
        <v>30.933333333333302</v>
      </c>
      <c r="E172" s="115">
        <v>31.072592592592599</v>
      </c>
      <c r="F172" s="115">
        <v>538.95000000000005</v>
      </c>
      <c r="G172">
        <v>10882</v>
      </c>
      <c r="H172" s="115"/>
      <c r="I172" s="115"/>
      <c r="L172" s="169">
        <v>42928</v>
      </c>
      <c r="M172" s="115">
        <v>32.08</v>
      </c>
      <c r="N172" s="115">
        <v>32.474074074074103</v>
      </c>
      <c r="O172" s="115">
        <v>30.281481481481499</v>
      </c>
      <c r="P172" s="115">
        <v>31.075555555555599</v>
      </c>
      <c r="Q172" s="115">
        <v>541.35</v>
      </c>
      <c r="R172">
        <v>343781</v>
      </c>
    </row>
    <row r="173" spans="1:18" x14ac:dyDescent="0.25">
      <c r="A173" s="169">
        <v>42929</v>
      </c>
      <c r="B173" s="115">
        <v>32.474074074074103</v>
      </c>
      <c r="C173" s="115">
        <v>31.256296296296298</v>
      </c>
      <c r="D173" s="115">
        <v>31.1111111111111</v>
      </c>
      <c r="E173" s="115">
        <v>32.361481481481498</v>
      </c>
      <c r="F173" s="115">
        <v>527.45000000000005</v>
      </c>
      <c r="G173">
        <v>7801</v>
      </c>
      <c r="H173" s="115"/>
      <c r="I173" s="115"/>
      <c r="L173" s="169">
        <v>42929</v>
      </c>
      <c r="M173" s="115">
        <v>31.410370370370401</v>
      </c>
      <c r="N173" s="115">
        <v>32.521481481481501</v>
      </c>
      <c r="O173" s="115">
        <v>31.1111111111111</v>
      </c>
      <c r="P173" s="115">
        <v>32.394074074074098</v>
      </c>
      <c r="Q173" s="115">
        <v>530.04999999999995</v>
      </c>
      <c r="R173">
        <v>43777</v>
      </c>
    </row>
    <row r="174" spans="1:18" x14ac:dyDescent="0.25">
      <c r="A174" s="169">
        <v>42930</v>
      </c>
      <c r="B174" s="115">
        <v>31.5851851851852</v>
      </c>
      <c r="C174" s="115">
        <v>30.8592592592593</v>
      </c>
      <c r="D174" s="115">
        <v>30.583703703703701</v>
      </c>
      <c r="E174" s="115">
        <v>31.540740740740699</v>
      </c>
      <c r="F174" s="115">
        <v>520.75</v>
      </c>
      <c r="G174">
        <v>5411</v>
      </c>
      <c r="H174" s="115"/>
      <c r="I174" s="115"/>
      <c r="L174" s="169">
        <v>42930</v>
      </c>
      <c r="M174" s="115">
        <v>30.9807407407407</v>
      </c>
      <c r="N174" s="115">
        <v>31.703703703703699</v>
      </c>
      <c r="O174" s="115">
        <v>30.518518518518501</v>
      </c>
      <c r="P174" s="115">
        <v>31.1140740740741</v>
      </c>
      <c r="Q174" s="115">
        <v>522.79999999999995</v>
      </c>
      <c r="R174">
        <v>39418</v>
      </c>
    </row>
    <row r="175" spans="1:18" x14ac:dyDescent="0.25">
      <c r="A175" s="169">
        <v>42933</v>
      </c>
      <c r="B175" s="115">
        <v>30.874074074074102</v>
      </c>
      <c r="C175" s="115">
        <v>30.260740740740701</v>
      </c>
      <c r="D175" s="115">
        <v>30.100740740740701</v>
      </c>
      <c r="E175" s="115">
        <v>30.613333333333301</v>
      </c>
      <c r="F175" s="115">
        <v>510.65</v>
      </c>
      <c r="G175">
        <v>2815</v>
      </c>
      <c r="H175" s="115"/>
      <c r="I175" s="115"/>
      <c r="L175" s="169">
        <v>42933</v>
      </c>
      <c r="M175" s="115">
        <v>30.485925925925901</v>
      </c>
      <c r="N175" s="115">
        <v>31.0785185185185</v>
      </c>
      <c r="O175" s="115">
        <v>30.340740740740699</v>
      </c>
      <c r="P175" s="115">
        <v>30.814814814814799</v>
      </c>
      <c r="Q175" s="115">
        <v>514.45000000000005</v>
      </c>
      <c r="R175">
        <v>19386</v>
      </c>
    </row>
    <row r="176" spans="1:18" x14ac:dyDescent="0.25">
      <c r="A176" s="169">
        <v>42934</v>
      </c>
      <c r="B176" s="115">
        <v>30.530370370370399</v>
      </c>
      <c r="C176" s="115">
        <v>29.834074074074099</v>
      </c>
      <c r="D176" s="115">
        <v>29.037037037036999</v>
      </c>
      <c r="E176" s="115">
        <v>30.530370370370399</v>
      </c>
      <c r="F176" s="115">
        <v>503.45</v>
      </c>
      <c r="G176">
        <v>3587</v>
      </c>
      <c r="H176" s="115"/>
      <c r="I176" s="115"/>
      <c r="L176" s="169">
        <v>42934</v>
      </c>
      <c r="M176" s="115">
        <v>30.216296296296299</v>
      </c>
      <c r="N176" s="115">
        <v>30.577777777777801</v>
      </c>
      <c r="O176" s="115">
        <v>29.7481481481481</v>
      </c>
      <c r="P176" s="115">
        <v>30.577777777777801</v>
      </c>
      <c r="Q176" s="115">
        <v>509.9</v>
      </c>
      <c r="R176">
        <v>176560</v>
      </c>
    </row>
    <row r="177" spans="1:18" x14ac:dyDescent="0.25">
      <c r="A177" s="169">
        <v>42935</v>
      </c>
      <c r="B177" s="115">
        <v>30.642962962963001</v>
      </c>
      <c r="C177" s="115">
        <v>30.3822222222222</v>
      </c>
      <c r="D177" s="115">
        <v>29.943703703703701</v>
      </c>
      <c r="E177" s="115">
        <v>30.059259259259299</v>
      </c>
      <c r="F177" s="115">
        <v>512.70000000000005</v>
      </c>
      <c r="G177">
        <v>1595</v>
      </c>
      <c r="H177" s="115"/>
      <c r="I177" s="115"/>
      <c r="L177" s="169">
        <v>42935</v>
      </c>
      <c r="M177" s="115">
        <v>30.337777777777799</v>
      </c>
      <c r="N177" s="115">
        <v>30.6962962962963</v>
      </c>
      <c r="O177" s="115">
        <v>30.002962962963</v>
      </c>
      <c r="P177" s="115">
        <v>30.234074074074101</v>
      </c>
      <c r="Q177" s="115">
        <v>511.95</v>
      </c>
      <c r="R177">
        <v>17358</v>
      </c>
    </row>
    <row r="178" spans="1:18" x14ac:dyDescent="0.25">
      <c r="A178" s="169">
        <v>42936</v>
      </c>
      <c r="B178" s="115">
        <v>30.8533333333333</v>
      </c>
      <c r="C178" s="115">
        <v>30.0651851851852</v>
      </c>
      <c r="D178" s="115">
        <v>29.629629629629601</v>
      </c>
      <c r="E178" s="115">
        <v>30.198518518518501</v>
      </c>
      <c r="F178" s="115">
        <v>507.35</v>
      </c>
      <c r="G178">
        <v>5409</v>
      </c>
      <c r="H178" s="115"/>
      <c r="I178" s="115"/>
      <c r="L178" s="169">
        <v>42936</v>
      </c>
      <c r="M178" s="115">
        <v>30.2577777777778</v>
      </c>
      <c r="N178" s="115">
        <v>30.903703703703702</v>
      </c>
      <c r="O178" s="115">
        <v>30.103703703703701</v>
      </c>
      <c r="P178" s="115">
        <v>30.2222222222222</v>
      </c>
      <c r="Q178" s="115">
        <v>510.6</v>
      </c>
      <c r="R178">
        <v>17684</v>
      </c>
    </row>
    <row r="179" spans="1:18" x14ac:dyDescent="0.25">
      <c r="A179" s="169">
        <v>42937</v>
      </c>
      <c r="B179" s="115">
        <v>30.4177777777778</v>
      </c>
      <c r="C179" s="115">
        <v>29.629629629629601</v>
      </c>
      <c r="D179" s="115">
        <v>28.9214814814815</v>
      </c>
      <c r="E179" s="115">
        <v>30.4177777777778</v>
      </c>
      <c r="F179" s="115">
        <v>500</v>
      </c>
      <c r="G179">
        <v>4611</v>
      </c>
      <c r="H179" s="115"/>
      <c r="I179" s="115"/>
      <c r="L179" s="169">
        <v>42937</v>
      </c>
      <c r="M179" s="115">
        <v>29.914074074074101</v>
      </c>
      <c r="N179" s="115">
        <v>30.482962962963001</v>
      </c>
      <c r="O179" s="115">
        <v>29.7481481481481</v>
      </c>
      <c r="P179" s="115">
        <v>30.477037037037</v>
      </c>
      <c r="Q179" s="115">
        <v>504.8</v>
      </c>
      <c r="R179">
        <v>15695</v>
      </c>
    </row>
    <row r="180" spans="1:18" x14ac:dyDescent="0.25">
      <c r="A180" s="169">
        <v>42940</v>
      </c>
      <c r="B180" s="115">
        <v>30.340740740740699</v>
      </c>
      <c r="C180" s="115">
        <v>29.682962962963</v>
      </c>
      <c r="D180" s="115">
        <v>29.511111111111099</v>
      </c>
      <c r="E180" s="115">
        <v>29.878518518518501</v>
      </c>
      <c r="F180" s="115">
        <v>500.9</v>
      </c>
      <c r="G180">
        <v>2077</v>
      </c>
      <c r="H180" s="115"/>
      <c r="I180" s="115"/>
      <c r="L180" s="169">
        <v>42940</v>
      </c>
      <c r="M180" s="115">
        <v>29.727407407407402</v>
      </c>
      <c r="N180" s="115">
        <v>30.456296296296301</v>
      </c>
      <c r="O180" s="115">
        <v>29.564444444444401</v>
      </c>
      <c r="P180" s="115">
        <v>29.973333333333301</v>
      </c>
      <c r="Q180" s="115">
        <v>501.65</v>
      </c>
      <c r="R180">
        <v>13235</v>
      </c>
    </row>
    <row r="181" spans="1:18" x14ac:dyDescent="0.25">
      <c r="A181" s="169">
        <v>42941</v>
      </c>
      <c r="B181" s="115">
        <v>30.802962962963001</v>
      </c>
      <c r="C181" s="115">
        <v>29.7748148148148</v>
      </c>
      <c r="D181" s="115">
        <v>29.570370370370402</v>
      </c>
      <c r="E181" s="115">
        <v>29.629629629629601</v>
      </c>
      <c r="F181" s="115">
        <v>502.45</v>
      </c>
      <c r="G181">
        <v>19145</v>
      </c>
      <c r="H181" s="115"/>
      <c r="I181" s="115"/>
      <c r="L181" s="169">
        <v>42941</v>
      </c>
      <c r="M181" s="115">
        <v>29.928888888888899</v>
      </c>
      <c r="N181" s="115">
        <v>30.814814814814799</v>
      </c>
      <c r="O181" s="115">
        <v>29.3333333333333</v>
      </c>
      <c r="P181" s="115">
        <v>29.3333333333333</v>
      </c>
      <c r="Q181" s="115">
        <v>505.05</v>
      </c>
      <c r="R181">
        <v>129391</v>
      </c>
    </row>
    <row r="182" spans="1:18" x14ac:dyDescent="0.25">
      <c r="A182" s="169">
        <v>42942</v>
      </c>
      <c r="B182" s="115">
        <v>30.6962962962963</v>
      </c>
      <c r="C182" s="115">
        <v>30.521481481481501</v>
      </c>
      <c r="D182" s="115">
        <v>29.925925925925899</v>
      </c>
      <c r="E182" s="115">
        <v>29.985185185185198</v>
      </c>
      <c r="F182" s="115">
        <v>515.04999999999995</v>
      </c>
      <c r="G182">
        <v>6413</v>
      </c>
      <c r="H182" s="115"/>
      <c r="I182" s="115"/>
      <c r="L182" s="169">
        <v>42942</v>
      </c>
      <c r="M182" s="115">
        <v>30.491851851851798</v>
      </c>
      <c r="N182" s="115">
        <v>30.717037037036999</v>
      </c>
      <c r="O182" s="115">
        <v>29.570370370370402</v>
      </c>
      <c r="P182" s="115">
        <v>29.570370370370402</v>
      </c>
      <c r="Q182" s="115">
        <v>514.54999999999995</v>
      </c>
      <c r="R182">
        <v>29574</v>
      </c>
    </row>
    <row r="183" spans="1:18" x14ac:dyDescent="0.25">
      <c r="A183" s="169">
        <v>42943</v>
      </c>
      <c r="B183" s="115">
        <v>30.841481481481502</v>
      </c>
      <c r="C183" s="115">
        <v>29.671111111111099</v>
      </c>
      <c r="D183" s="115">
        <v>29.52</v>
      </c>
      <c r="E183" s="115">
        <v>30.577777777777801</v>
      </c>
      <c r="F183" s="115">
        <v>500.7</v>
      </c>
      <c r="G183">
        <v>4351</v>
      </c>
      <c r="H183" s="115"/>
      <c r="I183" s="115"/>
      <c r="L183" s="169">
        <v>42943</v>
      </c>
      <c r="M183" s="115">
        <v>29.845925925925901</v>
      </c>
      <c r="N183" s="115">
        <v>30.814814814814799</v>
      </c>
      <c r="O183" s="115">
        <v>29.7481481481481</v>
      </c>
      <c r="P183" s="115">
        <v>30.755555555555599</v>
      </c>
      <c r="Q183" s="115">
        <v>503.65</v>
      </c>
      <c r="R183">
        <v>22915</v>
      </c>
    </row>
    <row r="184" spans="1:18" x14ac:dyDescent="0.25">
      <c r="A184" s="169">
        <v>42944</v>
      </c>
      <c r="B184" s="115">
        <v>31.315555555555601</v>
      </c>
      <c r="C184" s="115">
        <v>30.142222222222198</v>
      </c>
      <c r="D184" s="115">
        <v>29.567407407407401</v>
      </c>
      <c r="E184" s="115">
        <v>29.576296296296299</v>
      </c>
      <c r="F184" s="115">
        <v>508.65</v>
      </c>
      <c r="G184">
        <v>3506</v>
      </c>
      <c r="H184" s="115"/>
      <c r="I184" s="115"/>
      <c r="L184" s="169">
        <v>42944</v>
      </c>
      <c r="M184" s="115">
        <v>30.331851851851901</v>
      </c>
      <c r="N184" s="115">
        <v>31.348148148148098</v>
      </c>
      <c r="O184" s="115">
        <v>29.635555555555602</v>
      </c>
      <c r="P184" s="115">
        <v>29.76</v>
      </c>
      <c r="Q184" s="115">
        <v>511.85</v>
      </c>
      <c r="R184">
        <v>791834</v>
      </c>
    </row>
    <row r="185" spans="1:18" x14ac:dyDescent="0.25">
      <c r="A185" s="169">
        <v>42947</v>
      </c>
      <c r="B185" s="115">
        <v>30.459259259259301</v>
      </c>
      <c r="C185" s="115">
        <v>29.641481481481499</v>
      </c>
      <c r="D185" s="115">
        <v>29.392592592592599</v>
      </c>
      <c r="E185" s="115">
        <v>29.9348148148148</v>
      </c>
      <c r="F185" s="115">
        <v>500.2</v>
      </c>
      <c r="G185">
        <v>2359</v>
      </c>
      <c r="H185" s="115"/>
      <c r="I185" s="115"/>
      <c r="L185" s="169">
        <v>42947</v>
      </c>
      <c r="M185" s="115">
        <v>29.522962962963</v>
      </c>
      <c r="N185" s="115">
        <v>30.2281481481482</v>
      </c>
      <c r="O185" s="115">
        <v>29.054814814814801</v>
      </c>
      <c r="P185" s="115">
        <v>30.2281481481482</v>
      </c>
      <c r="Q185" s="115">
        <v>498.2</v>
      </c>
      <c r="R185">
        <v>22257</v>
      </c>
    </row>
    <row r="186" spans="1:18" x14ac:dyDescent="0.25">
      <c r="A186" s="169">
        <v>42948</v>
      </c>
      <c r="B186" s="115">
        <v>30.0296296296296</v>
      </c>
      <c r="C186" s="115">
        <v>29.6503703703704</v>
      </c>
      <c r="D186" s="115">
        <v>29.2740740740741</v>
      </c>
      <c r="E186" s="115">
        <v>29.451851851851899</v>
      </c>
      <c r="F186" s="115">
        <v>500.35</v>
      </c>
      <c r="G186">
        <v>3501</v>
      </c>
      <c r="H186" s="115"/>
      <c r="I186" s="115"/>
      <c r="L186" s="169">
        <v>42948</v>
      </c>
      <c r="M186" s="115">
        <v>29.6474074074074</v>
      </c>
      <c r="N186" s="115">
        <v>29.925925925925899</v>
      </c>
      <c r="O186" s="115">
        <v>29.217777777777801</v>
      </c>
      <c r="P186" s="115">
        <v>29.522962962963</v>
      </c>
      <c r="Q186" s="115">
        <v>500.3</v>
      </c>
      <c r="R186">
        <v>215087</v>
      </c>
    </row>
    <row r="187" spans="1:18" x14ac:dyDescent="0.25">
      <c r="A187" s="169">
        <v>42949</v>
      </c>
      <c r="B187" s="115">
        <v>29.925925925925899</v>
      </c>
      <c r="C187" s="115">
        <v>29.543703703703699</v>
      </c>
      <c r="D187" s="115">
        <v>28.515555555555601</v>
      </c>
      <c r="E187" s="115">
        <v>28.515555555555601</v>
      </c>
      <c r="F187" s="115">
        <v>498.55</v>
      </c>
      <c r="G187">
        <v>1809</v>
      </c>
      <c r="H187" s="115"/>
      <c r="I187" s="115"/>
      <c r="L187" s="169">
        <v>42949</v>
      </c>
      <c r="M187" s="115">
        <v>29.623703703703701</v>
      </c>
      <c r="N187" s="115">
        <v>29.922962962962998</v>
      </c>
      <c r="O187" s="115">
        <v>29.3688888888889</v>
      </c>
      <c r="P187" s="115">
        <v>29.629629629629601</v>
      </c>
      <c r="Q187" s="115">
        <v>499.9</v>
      </c>
      <c r="R187">
        <v>12279</v>
      </c>
    </row>
    <row r="188" spans="1:18" x14ac:dyDescent="0.25">
      <c r="A188" s="169">
        <v>42950</v>
      </c>
      <c r="B188" s="115">
        <v>29.570370370370402</v>
      </c>
      <c r="C188" s="115">
        <v>29.345185185185201</v>
      </c>
      <c r="D188" s="115">
        <v>29.214814814814801</v>
      </c>
      <c r="E188" s="115">
        <v>29.4340740740741</v>
      </c>
      <c r="F188" s="115">
        <v>495.2</v>
      </c>
      <c r="G188">
        <v>2423</v>
      </c>
      <c r="H188" s="115"/>
      <c r="I188" s="115"/>
      <c r="L188" s="169">
        <v>42950</v>
      </c>
      <c r="M188" s="115">
        <v>29.511111111111099</v>
      </c>
      <c r="N188" s="115">
        <v>29.682962962963</v>
      </c>
      <c r="O188" s="115">
        <v>29.054814814814801</v>
      </c>
      <c r="P188" s="115">
        <v>29.054814814814801</v>
      </c>
      <c r="Q188" s="115">
        <v>498</v>
      </c>
      <c r="R188">
        <v>24238</v>
      </c>
    </row>
    <row r="189" spans="1:18" x14ac:dyDescent="0.25">
      <c r="A189" s="169">
        <v>42951</v>
      </c>
      <c r="B189" s="115">
        <v>30.2222222222222</v>
      </c>
      <c r="C189" s="115">
        <v>29.899259259259299</v>
      </c>
      <c r="D189" s="115">
        <v>29.3333333333333</v>
      </c>
      <c r="E189" s="115">
        <v>29.502222222222201</v>
      </c>
      <c r="F189" s="115">
        <v>504.55</v>
      </c>
      <c r="G189">
        <v>5877</v>
      </c>
      <c r="H189" s="115"/>
      <c r="I189" s="115"/>
      <c r="L189" s="169">
        <v>42951</v>
      </c>
      <c r="M189" s="115">
        <v>29.7777777777778</v>
      </c>
      <c r="N189" s="115">
        <v>30.24</v>
      </c>
      <c r="O189" s="115">
        <v>29.505185185185201</v>
      </c>
      <c r="P189" s="115">
        <v>29.505185185185201</v>
      </c>
      <c r="Q189" s="115">
        <v>502.5</v>
      </c>
      <c r="R189">
        <v>30812</v>
      </c>
    </row>
    <row r="190" spans="1:18" x14ac:dyDescent="0.25">
      <c r="A190" s="169">
        <v>42954</v>
      </c>
      <c r="B190" s="115">
        <v>31.087407407407401</v>
      </c>
      <c r="C190" s="115">
        <v>30.8207407407407</v>
      </c>
      <c r="D190" s="115">
        <v>30.145185185185198</v>
      </c>
      <c r="E190" s="115">
        <v>30.145185185185198</v>
      </c>
      <c r="F190" s="115">
        <v>520.1</v>
      </c>
      <c r="G190">
        <v>5306</v>
      </c>
      <c r="H190" s="115"/>
      <c r="I190" s="115"/>
      <c r="L190" s="169">
        <v>42954</v>
      </c>
      <c r="M190" s="115">
        <v>30.782222222222199</v>
      </c>
      <c r="N190" s="115">
        <v>30.9540740740741</v>
      </c>
      <c r="O190" s="115">
        <v>29.985185185185198</v>
      </c>
      <c r="P190" s="115">
        <v>30.085925925925899</v>
      </c>
      <c r="Q190" s="115">
        <v>519.45000000000005</v>
      </c>
      <c r="R190">
        <v>51852</v>
      </c>
    </row>
    <row r="191" spans="1:18" x14ac:dyDescent="0.25">
      <c r="A191" s="169">
        <v>42955</v>
      </c>
      <c r="B191" s="115">
        <v>31.469629629629601</v>
      </c>
      <c r="C191" s="115">
        <v>30.817777777777799</v>
      </c>
      <c r="D191" s="115">
        <v>30.5392592592593</v>
      </c>
      <c r="E191" s="115">
        <v>30.72</v>
      </c>
      <c r="F191" s="115">
        <v>520.04999999999995</v>
      </c>
      <c r="G191">
        <v>8011</v>
      </c>
      <c r="H191" s="115"/>
      <c r="I191" s="115"/>
      <c r="L191" s="169">
        <v>42955</v>
      </c>
      <c r="M191" s="115">
        <v>30.894814814814801</v>
      </c>
      <c r="N191" s="115">
        <v>31.573333333333299</v>
      </c>
      <c r="O191" s="115">
        <v>30.459259259259301</v>
      </c>
      <c r="P191" s="115">
        <v>30.782222222222199</v>
      </c>
      <c r="Q191" s="115">
        <v>521.35</v>
      </c>
      <c r="R191">
        <v>192428</v>
      </c>
    </row>
    <row r="192" spans="1:18" x14ac:dyDescent="0.25">
      <c r="A192" s="169">
        <v>42956</v>
      </c>
      <c r="B192" s="115">
        <v>31.5259259259259</v>
      </c>
      <c r="C192" s="115">
        <v>31.3066666666667</v>
      </c>
      <c r="D192" s="115">
        <v>30.518518518518501</v>
      </c>
      <c r="E192" s="115">
        <v>30.814814814814799</v>
      </c>
      <c r="F192" s="115">
        <v>528.29999999999995</v>
      </c>
      <c r="G192">
        <v>6541</v>
      </c>
      <c r="H192" s="115"/>
      <c r="I192" s="115"/>
      <c r="L192" s="169">
        <v>42956</v>
      </c>
      <c r="M192" s="115">
        <v>31.214814814814801</v>
      </c>
      <c r="N192" s="115">
        <v>31.685925925925901</v>
      </c>
      <c r="O192" s="115">
        <v>30.545185185185201</v>
      </c>
      <c r="P192" s="115">
        <v>30.548148148148101</v>
      </c>
      <c r="Q192" s="115">
        <v>526.75</v>
      </c>
      <c r="R192">
        <v>33708</v>
      </c>
    </row>
    <row r="193" spans="1:18" x14ac:dyDescent="0.25">
      <c r="A193" s="169">
        <v>42957</v>
      </c>
      <c r="B193" s="115">
        <v>31.991111111111099</v>
      </c>
      <c r="C193" s="115">
        <v>30.829629629629601</v>
      </c>
      <c r="D193" s="115">
        <v>30.518518518518501</v>
      </c>
      <c r="E193" s="115">
        <v>31.4933333333333</v>
      </c>
      <c r="F193" s="115">
        <v>520.25</v>
      </c>
      <c r="G193">
        <v>8159</v>
      </c>
      <c r="H193" s="115"/>
      <c r="I193" s="115"/>
      <c r="L193" s="169">
        <v>42957</v>
      </c>
      <c r="M193" s="115">
        <v>31.054814814814801</v>
      </c>
      <c r="N193" s="115">
        <v>31.940740740740701</v>
      </c>
      <c r="O193" s="115">
        <v>30.577777777777801</v>
      </c>
      <c r="P193" s="115">
        <v>31.822222222222202</v>
      </c>
      <c r="Q193" s="115">
        <v>524.04999999999995</v>
      </c>
      <c r="R193">
        <v>135593</v>
      </c>
    </row>
    <row r="194" spans="1:18" x14ac:dyDescent="0.25">
      <c r="A194" s="169">
        <v>42958</v>
      </c>
      <c r="B194" s="115">
        <v>30.808888888888902</v>
      </c>
      <c r="C194" s="115">
        <v>30.4118518518519</v>
      </c>
      <c r="D194" s="115">
        <v>29.994074074074099</v>
      </c>
      <c r="E194" s="115">
        <v>29.994074074074099</v>
      </c>
      <c r="F194" s="115">
        <v>513.20000000000005</v>
      </c>
      <c r="G194">
        <v>2973</v>
      </c>
      <c r="H194" s="115"/>
      <c r="I194" s="115"/>
      <c r="L194" s="169">
        <v>42958</v>
      </c>
      <c r="M194" s="115">
        <v>30.515555555555601</v>
      </c>
      <c r="N194" s="115">
        <v>30.814814814814799</v>
      </c>
      <c r="O194" s="115">
        <v>29.949629629629602</v>
      </c>
      <c r="P194" s="115">
        <v>30.814814814814799</v>
      </c>
      <c r="Q194" s="115">
        <v>514.95000000000005</v>
      </c>
      <c r="R194">
        <v>23977</v>
      </c>
    </row>
    <row r="195" spans="1:18" x14ac:dyDescent="0.25">
      <c r="A195" s="169">
        <v>42961</v>
      </c>
      <c r="B195" s="115">
        <v>30.933333333333302</v>
      </c>
      <c r="C195" s="115">
        <v>30.524444444444399</v>
      </c>
      <c r="D195" s="115">
        <v>30.340740740740699</v>
      </c>
      <c r="E195" s="115">
        <v>30.340740740740699</v>
      </c>
      <c r="F195" s="115">
        <v>515.1</v>
      </c>
      <c r="G195">
        <v>1145</v>
      </c>
      <c r="H195" s="115"/>
      <c r="I195" s="115"/>
      <c r="L195" s="169">
        <v>42961</v>
      </c>
      <c r="M195" s="115">
        <v>30.462222222222199</v>
      </c>
      <c r="N195" s="115">
        <v>31.0518518518519</v>
      </c>
      <c r="O195" s="115">
        <v>30.115555555555598</v>
      </c>
      <c r="P195" s="115">
        <v>30.115555555555598</v>
      </c>
      <c r="Q195" s="115">
        <v>514.04999999999995</v>
      </c>
      <c r="R195">
        <v>11054</v>
      </c>
    </row>
    <row r="196" spans="1:18" x14ac:dyDescent="0.25">
      <c r="A196" s="169">
        <v>42963</v>
      </c>
      <c r="B196" s="115">
        <v>30.992592592592601</v>
      </c>
      <c r="C196" s="115">
        <v>30.711111111111101</v>
      </c>
      <c r="D196" s="115">
        <v>30.5125925925926</v>
      </c>
      <c r="E196" s="115">
        <v>30.5125925925926</v>
      </c>
      <c r="F196" s="115">
        <v>518.25</v>
      </c>
      <c r="G196">
        <v>1719</v>
      </c>
      <c r="H196" s="115"/>
      <c r="I196" s="115"/>
      <c r="L196" s="169">
        <v>42963</v>
      </c>
      <c r="M196" s="115">
        <v>30.8918518518519</v>
      </c>
      <c r="N196" s="115">
        <v>30.9866666666667</v>
      </c>
      <c r="O196" s="115">
        <v>30.391111111111101</v>
      </c>
      <c r="P196" s="115">
        <v>30.642962962963001</v>
      </c>
      <c r="Q196" s="115">
        <v>521.29999999999995</v>
      </c>
      <c r="R196">
        <v>84746</v>
      </c>
    </row>
    <row r="197" spans="1:18" x14ac:dyDescent="0.25">
      <c r="A197" s="169">
        <v>42964</v>
      </c>
      <c r="B197" s="115">
        <v>30.989629629629601</v>
      </c>
      <c r="C197" s="115">
        <v>30.862222222222201</v>
      </c>
      <c r="D197" s="115">
        <v>30.577777777777801</v>
      </c>
      <c r="E197" s="115">
        <v>30.6962962962963</v>
      </c>
      <c r="F197" s="115">
        <v>520.79999999999995</v>
      </c>
      <c r="G197">
        <v>369</v>
      </c>
      <c r="H197" s="115"/>
      <c r="I197" s="115"/>
      <c r="L197" s="169">
        <v>42964</v>
      </c>
      <c r="M197" s="115">
        <v>30.841481481481502</v>
      </c>
      <c r="N197" s="115">
        <v>31.0488888888889</v>
      </c>
      <c r="O197" s="115">
        <v>30.577777777777801</v>
      </c>
      <c r="P197" s="115">
        <v>30.749629629629599</v>
      </c>
      <c r="Q197" s="115">
        <v>520.45000000000005</v>
      </c>
      <c r="R197">
        <v>70263</v>
      </c>
    </row>
    <row r="198" spans="1:18" x14ac:dyDescent="0.25">
      <c r="A198" s="169">
        <v>42965</v>
      </c>
      <c r="B198" s="115">
        <v>32.592592592592602</v>
      </c>
      <c r="C198" s="115">
        <v>32.423703703703701</v>
      </c>
      <c r="D198" s="115">
        <v>30.358518518518501</v>
      </c>
      <c r="E198" s="115">
        <v>30.358518518518501</v>
      </c>
      <c r="F198" s="115">
        <v>547.15</v>
      </c>
      <c r="G198">
        <v>539294</v>
      </c>
      <c r="H198" s="115"/>
      <c r="I198" s="115"/>
      <c r="L198" s="169">
        <v>42965</v>
      </c>
      <c r="M198" s="115">
        <v>32.438518518518499</v>
      </c>
      <c r="N198" s="115">
        <v>32.711111111111101</v>
      </c>
      <c r="O198" s="115">
        <v>30.518518518518501</v>
      </c>
      <c r="P198" s="115">
        <v>30.518518518518501</v>
      </c>
      <c r="Q198" s="115">
        <v>547.4</v>
      </c>
      <c r="R198">
        <v>725220</v>
      </c>
    </row>
    <row r="199" spans="1:18" x14ac:dyDescent="0.25">
      <c r="A199" s="169">
        <v>42968</v>
      </c>
      <c r="B199" s="115">
        <v>33.362962962963003</v>
      </c>
      <c r="C199" s="115">
        <v>32.9540740740741</v>
      </c>
      <c r="D199" s="115">
        <v>32.554074074074101</v>
      </c>
      <c r="E199" s="115">
        <v>32.562962962962999</v>
      </c>
      <c r="F199" s="115">
        <v>556.1</v>
      </c>
      <c r="G199">
        <v>13992</v>
      </c>
      <c r="H199" s="115"/>
      <c r="I199" s="115"/>
      <c r="L199" s="169">
        <v>42968</v>
      </c>
      <c r="M199" s="115">
        <v>33.173333333333296</v>
      </c>
      <c r="N199" s="115">
        <v>33.410370370370401</v>
      </c>
      <c r="O199" s="115">
        <v>32.305185185185202</v>
      </c>
      <c r="P199" s="115">
        <v>32.426666666666698</v>
      </c>
      <c r="Q199" s="115">
        <v>559.79999999999995</v>
      </c>
      <c r="R199">
        <v>730836</v>
      </c>
    </row>
    <row r="200" spans="1:18" x14ac:dyDescent="0.25">
      <c r="A200" s="169">
        <v>42969</v>
      </c>
      <c r="B200" s="115">
        <v>33.973333333333301</v>
      </c>
      <c r="C200" s="115">
        <v>32.311111111111103</v>
      </c>
      <c r="D200" s="115">
        <v>31.783703703703701</v>
      </c>
      <c r="E200" s="115">
        <v>33.478518518518499</v>
      </c>
      <c r="F200" s="115">
        <v>545.25</v>
      </c>
      <c r="G200">
        <v>4636</v>
      </c>
      <c r="H200" s="115"/>
      <c r="I200" s="115"/>
      <c r="L200" s="169">
        <v>42969</v>
      </c>
      <c r="M200" s="115">
        <v>32.204444444444398</v>
      </c>
      <c r="N200" s="115">
        <v>33.979259259259301</v>
      </c>
      <c r="O200" s="115">
        <v>31.7125925925926</v>
      </c>
      <c r="P200" s="115">
        <v>33.102222222222203</v>
      </c>
      <c r="Q200" s="115">
        <v>543.45000000000005</v>
      </c>
      <c r="R200">
        <v>38058</v>
      </c>
    </row>
    <row r="201" spans="1:18" x14ac:dyDescent="0.25">
      <c r="A201" s="169">
        <v>42970</v>
      </c>
      <c r="B201" s="115">
        <v>33.010370370370403</v>
      </c>
      <c r="C201" s="115">
        <v>31.6444444444444</v>
      </c>
      <c r="D201" s="115">
        <v>31.472592592592601</v>
      </c>
      <c r="E201" s="115">
        <v>32.829629629629601</v>
      </c>
      <c r="F201" s="115">
        <v>534</v>
      </c>
      <c r="G201">
        <v>2377</v>
      </c>
      <c r="H201" s="115"/>
      <c r="I201" s="115"/>
      <c r="L201" s="169">
        <v>42970</v>
      </c>
      <c r="M201" s="115">
        <v>31.662222222222201</v>
      </c>
      <c r="N201" s="115">
        <v>33.004444444444403</v>
      </c>
      <c r="O201" s="115">
        <v>31.413333333333298</v>
      </c>
      <c r="P201" s="115">
        <v>32.871111111111098</v>
      </c>
      <c r="Q201" s="115">
        <v>534.29999999999995</v>
      </c>
      <c r="R201">
        <v>16760</v>
      </c>
    </row>
    <row r="202" spans="1:18" x14ac:dyDescent="0.25">
      <c r="A202" s="169">
        <v>42971</v>
      </c>
      <c r="B202" s="115">
        <v>32.237037037036998</v>
      </c>
      <c r="C202" s="115">
        <v>32.109629629629602</v>
      </c>
      <c r="D202" s="115">
        <v>31.795555555555602</v>
      </c>
      <c r="E202" s="115">
        <v>32.023703703703703</v>
      </c>
      <c r="F202" s="115">
        <v>541.85</v>
      </c>
      <c r="G202">
        <v>2835</v>
      </c>
      <c r="H202" s="115"/>
      <c r="I202" s="115"/>
      <c r="L202" s="169">
        <v>42971</v>
      </c>
      <c r="M202" s="115">
        <v>31.949629629629602</v>
      </c>
      <c r="N202" s="115">
        <v>32.296296296296298</v>
      </c>
      <c r="O202" s="115">
        <v>31.665185185185202</v>
      </c>
      <c r="P202" s="115">
        <v>31.665185185185202</v>
      </c>
      <c r="Q202" s="115">
        <v>539.15</v>
      </c>
      <c r="R202">
        <v>10453</v>
      </c>
    </row>
    <row r="203" spans="1:18" x14ac:dyDescent="0.25">
      <c r="A203" s="169">
        <v>42975</v>
      </c>
      <c r="B203" s="115">
        <v>32.474074074074103</v>
      </c>
      <c r="C203" s="115">
        <v>32.165925925925897</v>
      </c>
      <c r="D203" s="115">
        <v>31.976296296296301</v>
      </c>
      <c r="E203" s="115">
        <v>32.186666666666703</v>
      </c>
      <c r="F203" s="115">
        <v>542.79999999999995</v>
      </c>
      <c r="G203">
        <v>2586</v>
      </c>
      <c r="H203" s="115"/>
      <c r="I203" s="115"/>
      <c r="L203" s="169">
        <v>42975</v>
      </c>
      <c r="M203" s="115">
        <v>32.1896296296296</v>
      </c>
      <c r="N203" s="115">
        <v>32.592592592592602</v>
      </c>
      <c r="O203" s="115">
        <v>31.8074074074074</v>
      </c>
      <c r="P203" s="115">
        <v>32</v>
      </c>
      <c r="Q203" s="115">
        <v>543.20000000000005</v>
      </c>
      <c r="R203">
        <v>16697</v>
      </c>
    </row>
    <row r="204" spans="1:18" x14ac:dyDescent="0.25">
      <c r="A204" s="169">
        <v>42976</v>
      </c>
      <c r="B204" s="115">
        <v>32.118518518518499</v>
      </c>
      <c r="C204" s="115">
        <v>30.939259259259298</v>
      </c>
      <c r="D204" s="115">
        <v>30.6962962962963</v>
      </c>
      <c r="E204" s="115">
        <v>32.118518518518499</v>
      </c>
      <c r="F204" s="115">
        <v>522.1</v>
      </c>
      <c r="G204">
        <v>5386</v>
      </c>
      <c r="H204" s="115"/>
      <c r="I204" s="115"/>
      <c r="L204" s="169">
        <v>42976</v>
      </c>
      <c r="M204" s="115">
        <v>31.1733333333333</v>
      </c>
      <c r="N204" s="115">
        <v>32.3466666666667</v>
      </c>
      <c r="O204" s="115">
        <v>30.939259259259298</v>
      </c>
      <c r="P204" s="115">
        <v>32</v>
      </c>
      <c r="Q204" s="115">
        <v>526.04999999999995</v>
      </c>
      <c r="R204">
        <v>15272</v>
      </c>
    </row>
    <row r="205" spans="1:18" x14ac:dyDescent="0.25">
      <c r="A205" s="169">
        <v>42977</v>
      </c>
      <c r="B205" s="115">
        <v>31.629629629629601</v>
      </c>
      <c r="C205" s="115">
        <v>30.705185185185201</v>
      </c>
      <c r="D205" s="115">
        <v>30.557037037036999</v>
      </c>
      <c r="E205" s="115">
        <v>31.629629629629601</v>
      </c>
      <c r="F205" s="115">
        <v>518.15</v>
      </c>
      <c r="G205">
        <v>1421</v>
      </c>
      <c r="H205" s="115"/>
      <c r="I205" s="115"/>
      <c r="L205" s="169">
        <v>42977</v>
      </c>
      <c r="M205" s="115">
        <v>30.737777777777801</v>
      </c>
      <c r="N205" s="115">
        <v>31.733333333333299</v>
      </c>
      <c r="O205" s="115">
        <v>30.5422222222222</v>
      </c>
      <c r="P205" s="115">
        <v>31.188148148148102</v>
      </c>
      <c r="Q205" s="115">
        <v>518.70000000000005</v>
      </c>
      <c r="R205">
        <v>12878</v>
      </c>
    </row>
    <row r="206" spans="1:18" x14ac:dyDescent="0.25">
      <c r="A206" s="169">
        <v>42978</v>
      </c>
      <c r="B206" s="115">
        <v>31.170370370370399</v>
      </c>
      <c r="C206" s="115">
        <v>31.069629629629599</v>
      </c>
      <c r="D206" s="115">
        <v>30.5659259259259</v>
      </c>
      <c r="E206" s="115">
        <v>30.5718518518519</v>
      </c>
      <c r="F206" s="115">
        <v>524.29999999999995</v>
      </c>
      <c r="G206">
        <v>1911</v>
      </c>
      <c r="H206" s="115"/>
      <c r="I206" s="115"/>
      <c r="L206" s="169">
        <v>42978</v>
      </c>
      <c r="M206" s="115">
        <v>31.031111111111102</v>
      </c>
      <c r="N206" s="115">
        <v>31.4014814814815</v>
      </c>
      <c r="O206" s="115">
        <v>30.518518518518501</v>
      </c>
      <c r="P206" s="115">
        <v>30.773333333333301</v>
      </c>
      <c r="Q206" s="115">
        <v>523.65</v>
      </c>
      <c r="R206">
        <v>6416</v>
      </c>
    </row>
    <row r="207" spans="1:18" x14ac:dyDescent="0.25">
      <c r="A207" s="169">
        <v>42979</v>
      </c>
      <c r="B207" s="115">
        <v>31.511111111111099</v>
      </c>
      <c r="C207" s="115">
        <v>31.386666666666699</v>
      </c>
      <c r="D207" s="115">
        <v>30.832592592592601</v>
      </c>
      <c r="E207" s="115">
        <v>30.832592592592601</v>
      </c>
      <c r="F207" s="115">
        <v>529.65</v>
      </c>
      <c r="G207">
        <v>1393</v>
      </c>
      <c r="H207" s="115"/>
      <c r="I207" s="115"/>
      <c r="L207" s="169">
        <v>42979</v>
      </c>
      <c r="M207" s="115">
        <v>31.484444444444399</v>
      </c>
      <c r="N207" s="115">
        <v>31.6444444444444</v>
      </c>
      <c r="O207" s="115">
        <v>30.844444444444399</v>
      </c>
      <c r="P207" s="115">
        <v>31.031111111111102</v>
      </c>
      <c r="Q207" s="115">
        <v>531.29999999999995</v>
      </c>
      <c r="R207">
        <v>9153</v>
      </c>
    </row>
    <row r="208" spans="1:18" x14ac:dyDescent="0.25">
      <c r="A208" s="169">
        <v>42982</v>
      </c>
      <c r="B208" s="115">
        <v>31.5822222222222</v>
      </c>
      <c r="C208" s="115">
        <v>30.782222222222199</v>
      </c>
      <c r="D208" s="115">
        <v>30.702222222222201</v>
      </c>
      <c r="E208" s="115">
        <v>31.4251851851852</v>
      </c>
      <c r="F208" s="115">
        <v>519.45000000000005</v>
      </c>
      <c r="G208">
        <v>421</v>
      </c>
      <c r="H208" s="115"/>
      <c r="I208" s="115"/>
      <c r="L208" s="169">
        <v>42982</v>
      </c>
      <c r="M208" s="115">
        <v>30.802962962963001</v>
      </c>
      <c r="N208" s="115">
        <v>31.931851851851899</v>
      </c>
      <c r="O208" s="115">
        <v>30.64</v>
      </c>
      <c r="P208" s="115">
        <v>31.422222222222199</v>
      </c>
      <c r="Q208" s="115">
        <v>519.79999999999995</v>
      </c>
      <c r="R208">
        <v>6751</v>
      </c>
    </row>
    <row r="209" spans="1:18" x14ac:dyDescent="0.25">
      <c r="A209" s="169">
        <v>42983</v>
      </c>
      <c r="B209" s="115">
        <v>30.814814814814799</v>
      </c>
      <c r="C209" s="115">
        <v>30.5392592592593</v>
      </c>
      <c r="D209" s="115">
        <v>29.697777777777802</v>
      </c>
      <c r="E209" s="115">
        <v>30.814814814814799</v>
      </c>
      <c r="F209" s="115">
        <v>515.35</v>
      </c>
      <c r="G209">
        <v>5801</v>
      </c>
      <c r="H209" s="115"/>
      <c r="I209" s="115"/>
      <c r="L209" s="169">
        <v>42983</v>
      </c>
      <c r="M209" s="115">
        <v>30.6962962962963</v>
      </c>
      <c r="N209" s="115">
        <v>31.0518518518519</v>
      </c>
      <c r="O209" s="115">
        <v>29.259259259259299</v>
      </c>
      <c r="P209" s="115">
        <v>30.877037037036999</v>
      </c>
      <c r="Q209" s="115">
        <v>518</v>
      </c>
      <c r="R209">
        <v>22042</v>
      </c>
    </row>
    <row r="210" spans="1:18" x14ac:dyDescent="0.25">
      <c r="A210" s="169">
        <v>42984</v>
      </c>
      <c r="B210" s="115">
        <v>31.1762962962963</v>
      </c>
      <c r="C210" s="115">
        <v>31.0785185185185</v>
      </c>
      <c r="D210" s="115">
        <v>30.6992592592593</v>
      </c>
      <c r="E210" s="115">
        <v>31.0518518518519</v>
      </c>
      <c r="F210" s="115">
        <v>524.45000000000005</v>
      </c>
      <c r="G210">
        <v>1452</v>
      </c>
      <c r="H210" s="115"/>
      <c r="I210" s="115"/>
      <c r="L210" s="169">
        <v>42984</v>
      </c>
      <c r="M210" s="115">
        <v>31.004444444444399</v>
      </c>
      <c r="N210" s="115">
        <v>31.229629629629599</v>
      </c>
      <c r="O210" s="115">
        <v>30.64</v>
      </c>
      <c r="P210" s="115">
        <v>30.755555555555599</v>
      </c>
      <c r="Q210" s="115">
        <v>523.20000000000005</v>
      </c>
      <c r="R210">
        <v>12942</v>
      </c>
    </row>
    <row r="211" spans="1:18" x14ac:dyDescent="0.25">
      <c r="A211" s="169">
        <v>42985</v>
      </c>
      <c r="B211" s="115">
        <v>31.4874074074074</v>
      </c>
      <c r="C211" s="115">
        <v>30.942222222222199</v>
      </c>
      <c r="D211" s="115">
        <v>30.8266666666667</v>
      </c>
      <c r="E211" s="115">
        <v>31.294814814814799</v>
      </c>
      <c r="F211" s="115">
        <v>522.15</v>
      </c>
      <c r="G211">
        <v>1583</v>
      </c>
      <c r="H211" s="115"/>
      <c r="I211" s="115"/>
      <c r="L211" s="169">
        <v>42985</v>
      </c>
      <c r="M211" s="115">
        <v>31.194074074074098</v>
      </c>
      <c r="N211" s="115">
        <v>31.703703703703699</v>
      </c>
      <c r="O211" s="115">
        <v>30.7585185185185</v>
      </c>
      <c r="P211" s="115">
        <v>30.844444444444399</v>
      </c>
      <c r="Q211" s="115">
        <v>526.4</v>
      </c>
      <c r="R211">
        <v>9303</v>
      </c>
    </row>
    <row r="212" spans="1:18" x14ac:dyDescent="0.25">
      <c r="A212" s="169">
        <v>42986</v>
      </c>
      <c r="B212" s="115">
        <v>32.177777777777798</v>
      </c>
      <c r="C212" s="115">
        <v>31.505185185185201</v>
      </c>
      <c r="D212" s="115">
        <v>30.6044444444444</v>
      </c>
      <c r="E212" s="115">
        <v>30.6044444444444</v>
      </c>
      <c r="F212" s="115">
        <v>531.65</v>
      </c>
      <c r="G212">
        <v>2056</v>
      </c>
      <c r="H212" s="115"/>
      <c r="I212" s="115"/>
      <c r="L212" s="169">
        <v>42986</v>
      </c>
      <c r="M212" s="115">
        <v>31.597037037037001</v>
      </c>
      <c r="N212" s="115">
        <v>32.237037037036998</v>
      </c>
      <c r="O212" s="115">
        <v>30.7585185185185</v>
      </c>
      <c r="P212" s="115">
        <v>30.7585185185185</v>
      </c>
      <c r="Q212" s="115">
        <v>533.20000000000005</v>
      </c>
      <c r="R212">
        <v>28957</v>
      </c>
    </row>
    <row r="213" spans="1:18" x14ac:dyDescent="0.25">
      <c r="A213" s="169">
        <v>42989</v>
      </c>
      <c r="B213" s="115">
        <v>31.9051851851852</v>
      </c>
      <c r="C213" s="115">
        <v>31.445925925925899</v>
      </c>
      <c r="D213" s="115">
        <v>30.847407407407399</v>
      </c>
      <c r="E213" s="115">
        <v>31.6503703703704</v>
      </c>
      <c r="F213" s="115">
        <v>530.65</v>
      </c>
      <c r="G213">
        <v>2934</v>
      </c>
      <c r="H213" s="115"/>
      <c r="I213" s="115"/>
      <c r="L213" s="169">
        <v>42989</v>
      </c>
      <c r="M213" s="115">
        <v>31.4933333333333</v>
      </c>
      <c r="N213" s="115">
        <v>32</v>
      </c>
      <c r="O213" s="115">
        <v>30.8207407407407</v>
      </c>
      <c r="P213" s="115">
        <v>31.5822222222222</v>
      </c>
      <c r="Q213" s="115">
        <v>531.45000000000005</v>
      </c>
      <c r="R213">
        <v>22110</v>
      </c>
    </row>
    <row r="214" spans="1:18" x14ac:dyDescent="0.25">
      <c r="A214" s="169">
        <v>42990</v>
      </c>
      <c r="B214" s="115">
        <v>31.851851851851901</v>
      </c>
      <c r="C214" s="115">
        <v>31.022222222222201</v>
      </c>
      <c r="D214" s="115">
        <v>30.945185185185199</v>
      </c>
      <c r="E214" s="115">
        <v>31.285925925925898</v>
      </c>
      <c r="F214" s="115">
        <v>523.5</v>
      </c>
      <c r="G214">
        <v>1011</v>
      </c>
      <c r="H214" s="115"/>
      <c r="I214" s="115"/>
      <c r="L214" s="169">
        <v>42990</v>
      </c>
      <c r="M214" s="115">
        <v>31.28</v>
      </c>
      <c r="N214" s="115">
        <v>31.822222222222202</v>
      </c>
      <c r="O214" s="115">
        <v>31.117037037037001</v>
      </c>
      <c r="P214" s="115">
        <v>31.2088888888889</v>
      </c>
      <c r="Q214" s="115">
        <v>527.85</v>
      </c>
      <c r="R214">
        <v>8958</v>
      </c>
    </row>
    <row r="215" spans="1:18" x14ac:dyDescent="0.25">
      <c r="A215" s="169">
        <v>42991</v>
      </c>
      <c r="B215" s="115">
        <v>31.9081481481482</v>
      </c>
      <c r="C215" s="115">
        <v>31.605925925925899</v>
      </c>
      <c r="D215" s="115">
        <v>31.2118518518519</v>
      </c>
      <c r="E215" s="115">
        <v>31.28</v>
      </c>
      <c r="F215" s="115">
        <v>533.35</v>
      </c>
      <c r="G215">
        <v>1328</v>
      </c>
      <c r="H215" s="115"/>
      <c r="I215" s="115"/>
      <c r="L215" s="169">
        <v>42991</v>
      </c>
      <c r="M215" s="115">
        <v>31.4637037037037</v>
      </c>
      <c r="N215" s="115">
        <v>32</v>
      </c>
      <c r="O215" s="115">
        <v>31.1111111111111</v>
      </c>
      <c r="P215" s="115">
        <v>31.117037037037001</v>
      </c>
      <c r="Q215" s="115">
        <v>530.95000000000005</v>
      </c>
      <c r="R215">
        <v>19608</v>
      </c>
    </row>
    <row r="216" spans="1:18" x14ac:dyDescent="0.25">
      <c r="A216" s="169">
        <v>42992</v>
      </c>
      <c r="B216" s="115">
        <v>31.878518518518501</v>
      </c>
      <c r="C216" s="115">
        <v>31.602962962963002</v>
      </c>
      <c r="D216" s="115">
        <v>30.974814814814799</v>
      </c>
      <c r="E216" s="115">
        <v>31.7451851851852</v>
      </c>
      <c r="F216" s="115">
        <v>533.29999999999995</v>
      </c>
      <c r="G216">
        <v>1287</v>
      </c>
      <c r="H216" s="115"/>
      <c r="I216" s="115"/>
      <c r="L216" s="169">
        <v>42992</v>
      </c>
      <c r="M216" s="115">
        <v>31.718518518518501</v>
      </c>
      <c r="N216" s="115">
        <v>31.9051851851852</v>
      </c>
      <c r="O216" s="115">
        <v>31.1407407407407</v>
      </c>
      <c r="P216" s="115">
        <v>31.6177777777778</v>
      </c>
      <c r="Q216" s="115">
        <v>535.25</v>
      </c>
      <c r="R216">
        <v>16268</v>
      </c>
    </row>
    <row r="217" spans="1:18" x14ac:dyDescent="0.25">
      <c r="A217" s="169">
        <v>42993</v>
      </c>
      <c r="B217" s="115">
        <v>32.177777777777798</v>
      </c>
      <c r="C217" s="115">
        <v>31.952592592592602</v>
      </c>
      <c r="D217" s="115">
        <v>31.466666666666701</v>
      </c>
      <c r="E217" s="115">
        <v>31.5555555555556</v>
      </c>
      <c r="F217" s="115">
        <v>539.20000000000005</v>
      </c>
      <c r="G217">
        <v>2386</v>
      </c>
      <c r="H217" s="115"/>
      <c r="I217" s="115"/>
      <c r="L217" s="169">
        <v>42993</v>
      </c>
      <c r="M217" s="115">
        <v>32.136296296296301</v>
      </c>
      <c r="N217" s="115">
        <v>32.296296296296298</v>
      </c>
      <c r="O217" s="115">
        <v>31.128888888888898</v>
      </c>
      <c r="P217" s="115">
        <v>31.128888888888898</v>
      </c>
      <c r="Q217" s="115">
        <v>542.29999999999995</v>
      </c>
      <c r="R217">
        <v>38746</v>
      </c>
    </row>
    <row r="218" spans="1:18" x14ac:dyDescent="0.25">
      <c r="A218" s="169">
        <v>42996</v>
      </c>
      <c r="B218" s="115">
        <v>32.219259259259303</v>
      </c>
      <c r="C218" s="115">
        <v>31.5259259259259</v>
      </c>
      <c r="D218" s="115">
        <v>31.466666666666701</v>
      </c>
      <c r="E218" s="115">
        <v>32.219259259259303</v>
      </c>
      <c r="F218" s="115">
        <v>532</v>
      </c>
      <c r="G218">
        <v>2098</v>
      </c>
      <c r="H218" s="115"/>
      <c r="I218" s="115"/>
      <c r="L218" s="169">
        <v>42996</v>
      </c>
      <c r="M218" s="115">
        <v>31.6177777777778</v>
      </c>
      <c r="N218" s="115">
        <v>32.296296296296298</v>
      </c>
      <c r="O218" s="115">
        <v>31.528888888888901</v>
      </c>
      <c r="P218" s="115">
        <v>31.528888888888901</v>
      </c>
      <c r="Q218" s="115">
        <v>533.54999999999995</v>
      </c>
      <c r="R218">
        <v>14239</v>
      </c>
    </row>
    <row r="219" spans="1:18" x14ac:dyDescent="0.25">
      <c r="A219" s="169">
        <v>42997</v>
      </c>
      <c r="B219" s="115">
        <v>32.281481481481499</v>
      </c>
      <c r="C219" s="115">
        <v>31.928888888888899</v>
      </c>
      <c r="D219" s="115">
        <v>31.6444444444444</v>
      </c>
      <c r="E219" s="115">
        <v>31.6533333333333</v>
      </c>
      <c r="F219" s="115">
        <v>538.79999999999995</v>
      </c>
      <c r="G219">
        <v>2367</v>
      </c>
      <c r="H219" s="115"/>
      <c r="I219" s="115"/>
      <c r="L219" s="169">
        <v>42997</v>
      </c>
      <c r="M219" s="115">
        <v>31.899259259259299</v>
      </c>
      <c r="N219" s="115">
        <v>32.296296296296298</v>
      </c>
      <c r="O219" s="115">
        <v>31.594074074074101</v>
      </c>
      <c r="P219" s="115">
        <v>31.928888888888899</v>
      </c>
      <c r="Q219" s="115">
        <v>538.29999999999995</v>
      </c>
      <c r="R219">
        <v>21775</v>
      </c>
    </row>
    <row r="220" spans="1:18" x14ac:dyDescent="0.25">
      <c r="A220" s="169">
        <v>42998</v>
      </c>
      <c r="B220" s="115">
        <v>32</v>
      </c>
      <c r="C220" s="115">
        <v>31.795555555555602</v>
      </c>
      <c r="D220" s="115">
        <v>31.5881481481481</v>
      </c>
      <c r="E220" s="115">
        <v>31.762962962963002</v>
      </c>
      <c r="F220" s="115">
        <v>536.54999999999995</v>
      </c>
      <c r="G220">
        <v>6668</v>
      </c>
      <c r="H220" s="115"/>
      <c r="I220" s="115"/>
      <c r="L220" s="169">
        <v>42998</v>
      </c>
      <c r="M220" s="115">
        <v>31.9703703703704</v>
      </c>
      <c r="N220" s="115">
        <v>32.062222222222204</v>
      </c>
      <c r="O220" s="115">
        <v>31.6148148148148</v>
      </c>
      <c r="P220" s="115">
        <v>31.703703703703699</v>
      </c>
      <c r="Q220" s="115">
        <v>539.5</v>
      </c>
      <c r="R220">
        <v>18038</v>
      </c>
    </row>
    <row r="221" spans="1:18" x14ac:dyDescent="0.25">
      <c r="A221" s="169">
        <v>42999</v>
      </c>
      <c r="B221" s="115">
        <v>32.005925925925901</v>
      </c>
      <c r="C221" s="115">
        <v>31.3303703703704</v>
      </c>
      <c r="D221" s="115">
        <v>31.202962962962999</v>
      </c>
      <c r="E221" s="115">
        <v>31.860740740740699</v>
      </c>
      <c r="F221" s="115">
        <v>528.70000000000005</v>
      </c>
      <c r="G221">
        <v>3025</v>
      </c>
      <c r="H221" s="115"/>
      <c r="I221" s="115"/>
      <c r="L221" s="169">
        <v>42999</v>
      </c>
      <c r="M221" s="115">
        <v>31.52</v>
      </c>
      <c r="N221" s="115">
        <v>32.059259259259299</v>
      </c>
      <c r="O221" s="115">
        <v>31.309629629629601</v>
      </c>
      <c r="P221" s="115">
        <v>31.991111111111099</v>
      </c>
      <c r="Q221" s="115">
        <v>531.9</v>
      </c>
      <c r="R221">
        <v>8855</v>
      </c>
    </row>
    <row r="222" spans="1:18" x14ac:dyDescent="0.25">
      <c r="A222" s="169">
        <v>43000</v>
      </c>
      <c r="B222" s="115">
        <v>31.351111111111098</v>
      </c>
      <c r="C222" s="115">
        <v>30.909629629629599</v>
      </c>
      <c r="D222" s="115">
        <v>30.814814814814799</v>
      </c>
      <c r="E222" s="115">
        <v>31.351111111111098</v>
      </c>
      <c r="F222" s="115">
        <v>521.6</v>
      </c>
      <c r="G222">
        <v>1980</v>
      </c>
      <c r="H222" s="115"/>
      <c r="I222" s="115"/>
      <c r="L222" s="169">
        <v>43000</v>
      </c>
      <c r="M222" s="115">
        <v>30.998518518518502</v>
      </c>
      <c r="N222" s="115">
        <v>31.44</v>
      </c>
      <c r="O222" s="115">
        <v>30.874074074074102</v>
      </c>
      <c r="P222" s="115">
        <v>31.44</v>
      </c>
      <c r="Q222" s="115">
        <v>523.1</v>
      </c>
      <c r="R222">
        <v>11076</v>
      </c>
    </row>
    <row r="223" spans="1:18" x14ac:dyDescent="0.25">
      <c r="A223" s="169">
        <v>43003</v>
      </c>
      <c r="B223" s="115">
        <v>30.613333333333301</v>
      </c>
      <c r="C223" s="115">
        <v>30.308148148148099</v>
      </c>
      <c r="D223" s="115">
        <v>29.878518518518501</v>
      </c>
      <c r="E223" s="115">
        <v>30.613333333333301</v>
      </c>
      <c r="F223" s="115">
        <v>511.45</v>
      </c>
      <c r="G223">
        <v>2548</v>
      </c>
      <c r="H223" s="115"/>
      <c r="I223" s="115"/>
      <c r="L223" s="169">
        <v>43003</v>
      </c>
      <c r="M223" s="115">
        <v>30.263703703703701</v>
      </c>
      <c r="N223" s="115">
        <v>30.874074074074102</v>
      </c>
      <c r="O223" s="115">
        <v>29.925925925925899</v>
      </c>
      <c r="P223" s="115">
        <v>30.874074074074102</v>
      </c>
      <c r="Q223" s="115">
        <v>510.7</v>
      </c>
      <c r="R223">
        <v>16005</v>
      </c>
    </row>
    <row r="224" spans="1:18" x14ac:dyDescent="0.25">
      <c r="A224" s="169">
        <v>43004</v>
      </c>
      <c r="B224" s="115">
        <v>30.4740740740741</v>
      </c>
      <c r="C224" s="115">
        <v>30.281481481481499</v>
      </c>
      <c r="D224" s="115">
        <v>30.1955555555556</v>
      </c>
      <c r="E224" s="115">
        <v>30.370370370370399</v>
      </c>
      <c r="F224" s="115">
        <v>511</v>
      </c>
      <c r="G224">
        <v>809</v>
      </c>
      <c r="H224" s="115"/>
      <c r="I224" s="115"/>
      <c r="L224" s="169">
        <v>43004</v>
      </c>
      <c r="M224" s="115">
        <v>30.370370370370399</v>
      </c>
      <c r="N224" s="115">
        <v>30.6637037037037</v>
      </c>
      <c r="O224" s="115">
        <v>30.1896296296296</v>
      </c>
      <c r="P224" s="115">
        <v>30.4177777777778</v>
      </c>
      <c r="Q224" s="115">
        <v>512.5</v>
      </c>
      <c r="R224">
        <v>9822</v>
      </c>
    </row>
    <row r="225" spans="1:18" x14ac:dyDescent="0.25">
      <c r="A225" s="169">
        <v>43005</v>
      </c>
      <c r="B225" s="115">
        <v>30.897777777777801</v>
      </c>
      <c r="C225" s="115">
        <v>30.106666666666701</v>
      </c>
      <c r="D225" s="115">
        <v>30.068148148148101</v>
      </c>
      <c r="E225" s="115">
        <v>30.5985185185185</v>
      </c>
      <c r="F225" s="115">
        <v>508.05</v>
      </c>
      <c r="G225">
        <v>1077</v>
      </c>
      <c r="H225" s="115"/>
      <c r="I225" s="115"/>
      <c r="L225" s="169">
        <v>43005</v>
      </c>
      <c r="M225" s="115">
        <v>30.121481481481499</v>
      </c>
      <c r="N225" s="115">
        <v>31.001481481481498</v>
      </c>
      <c r="O225" s="115">
        <v>29.925925925925899</v>
      </c>
      <c r="P225" s="115">
        <v>30.524444444444399</v>
      </c>
      <c r="Q225" s="115">
        <v>508.3</v>
      </c>
      <c r="R225">
        <v>14854</v>
      </c>
    </row>
    <row r="226" spans="1:18" x14ac:dyDescent="0.25">
      <c r="A226" s="169">
        <v>43006</v>
      </c>
      <c r="B226" s="115">
        <v>32.355555555555597</v>
      </c>
      <c r="C226" s="115">
        <v>30.6044444444444</v>
      </c>
      <c r="D226" s="115">
        <v>30.103703703703701</v>
      </c>
      <c r="E226" s="115">
        <v>30.103703703703701</v>
      </c>
      <c r="F226" s="115">
        <v>516.45000000000005</v>
      </c>
      <c r="G226">
        <v>14966</v>
      </c>
      <c r="H226" s="115"/>
      <c r="I226" s="115"/>
      <c r="L226" s="169">
        <v>43006</v>
      </c>
      <c r="M226" s="115">
        <v>30.334814814814798</v>
      </c>
      <c r="N226" s="115">
        <v>32.414814814814797</v>
      </c>
      <c r="O226" s="115">
        <v>29.988148148148099</v>
      </c>
      <c r="P226" s="115">
        <v>30.162962962963</v>
      </c>
      <c r="Q226" s="115">
        <v>511.9</v>
      </c>
      <c r="R226">
        <v>141081</v>
      </c>
    </row>
    <row r="227" spans="1:18" x14ac:dyDescent="0.25">
      <c r="A227" s="169">
        <v>43007</v>
      </c>
      <c r="B227" s="115">
        <v>30.548148148148101</v>
      </c>
      <c r="C227" s="115">
        <v>29.973333333333301</v>
      </c>
      <c r="D227" s="115">
        <v>29.688888888888901</v>
      </c>
      <c r="E227" s="115">
        <v>30.548148148148101</v>
      </c>
      <c r="F227" s="115">
        <v>505.8</v>
      </c>
      <c r="G227">
        <v>3372</v>
      </c>
      <c r="H227" s="115"/>
      <c r="I227" s="115"/>
      <c r="L227" s="169">
        <v>43007</v>
      </c>
      <c r="M227" s="115">
        <v>30.2548148148148</v>
      </c>
      <c r="N227" s="115">
        <v>30.6962962962963</v>
      </c>
      <c r="O227" s="115">
        <v>29.573333333333299</v>
      </c>
      <c r="P227" s="115">
        <v>30.684444444444399</v>
      </c>
      <c r="Q227" s="115">
        <v>510.55</v>
      </c>
      <c r="R227">
        <v>56384</v>
      </c>
    </row>
    <row r="228" spans="1:18" x14ac:dyDescent="0.25">
      <c r="A228" s="169">
        <v>43011</v>
      </c>
      <c r="B228" s="115">
        <v>30.874074074074102</v>
      </c>
      <c r="C228" s="115">
        <v>30.518518518518501</v>
      </c>
      <c r="D228" s="115">
        <v>30.162962962963</v>
      </c>
      <c r="E228" s="115">
        <v>30.2518518518519</v>
      </c>
      <c r="F228" s="115">
        <v>515</v>
      </c>
      <c r="G228">
        <v>1961</v>
      </c>
      <c r="H228" s="115"/>
      <c r="I228" s="115"/>
      <c r="L228" s="169">
        <v>43011</v>
      </c>
      <c r="M228" s="115">
        <v>30.5688888888889</v>
      </c>
      <c r="N228" s="115">
        <v>31.001481481481498</v>
      </c>
      <c r="O228" s="115">
        <v>30.077037037037002</v>
      </c>
      <c r="P228" s="115">
        <v>30.2222222222222</v>
      </c>
      <c r="Q228" s="115">
        <v>515.85</v>
      </c>
      <c r="R228">
        <v>15583</v>
      </c>
    </row>
    <row r="229" spans="1:18" x14ac:dyDescent="0.25">
      <c r="A229" s="169">
        <v>43012</v>
      </c>
      <c r="B229" s="115">
        <v>30.577777777777801</v>
      </c>
      <c r="C229" s="115">
        <v>30.231111111111101</v>
      </c>
      <c r="D229" s="115">
        <v>30.168888888888901</v>
      </c>
      <c r="E229" s="115">
        <v>30.577777777777801</v>
      </c>
      <c r="F229" s="115">
        <v>510.15</v>
      </c>
      <c r="G229">
        <v>709</v>
      </c>
      <c r="H229" s="115"/>
      <c r="I229" s="115"/>
      <c r="L229" s="169">
        <v>43012</v>
      </c>
      <c r="M229" s="115">
        <v>30.293333333333301</v>
      </c>
      <c r="N229" s="115">
        <v>30.6014814814815</v>
      </c>
      <c r="O229" s="115">
        <v>30.2222222222222</v>
      </c>
      <c r="P229" s="115">
        <v>30.2577777777778</v>
      </c>
      <c r="Q229" s="115">
        <v>511.2</v>
      </c>
      <c r="R229">
        <v>5446</v>
      </c>
    </row>
    <row r="230" spans="1:18" x14ac:dyDescent="0.25">
      <c r="A230" s="169">
        <v>43013</v>
      </c>
      <c r="B230" s="115">
        <v>30.6311111111111</v>
      </c>
      <c r="C230" s="115">
        <v>30.394074074074101</v>
      </c>
      <c r="D230" s="115">
        <v>29.982222222222202</v>
      </c>
      <c r="E230" s="115">
        <v>30.2874074074074</v>
      </c>
      <c r="F230" s="115">
        <v>512.9</v>
      </c>
      <c r="G230">
        <v>1636</v>
      </c>
      <c r="H230" s="115"/>
      <c r="I230" s="115"/>
      <c r="L230" s="169">
        <v>43013</v>
      </c>
      <c r="M230" s="115">
        <v>30.5985185185185</v>
      </c>
      <c r="N230" s="115">
        <v>30.814814814814799</v>
      </c>
      <c r="O230" s="115">
        <v>30.056296296296299</v>
      </c>
      <c r="P230" s="115">
        <v>30.234074074074101</v>
      </c>
      <c r="Q230" s="115">
        <v>516.35</v>
      </c>
      <c r="R230">
        <v>9325</v>
      </c>
    </row>
    <row r="231" spans="1:18" x14ac:dyDescent="0.25">
      <c r="A231" s="169">
        <v>43014</v>
      </c>
      <c r="B231" s="115">
        <v>30.6962962962963</v>
      </c>
      <c r="C231" s="115">
        <v>30.521481481481501</v>
      </c>
      <c r="D231" s="115">
        <v>30.2281481481482</v>
      </c>
      <c r="E231" s="115">
        <v>30.394074074074101</v>
      </c>
      <c r="F231" s="115">
        <v>515.04999999999995</v>
      </c>
      <c r="G231">
        <v>1092</v>
      </c>
      <c r="H231" s="115"/>
      <c r="I231" s="115"/>
      <c r="L231" s="169">
        <v>43014</v>
      </c>
      <c r="M231" s="115">
        <v>30.740740740740701</v>
      </c>
      <c r="N231" s="115">
        <v>31.0814814814815</v>
      </c>
      <c r="O231" s="115">
        <v>30.299259259259301</v>
      </c>
      <c r="P231" s="115">
        <v>30.6992592592593</v>
      </c>
      <c r="Q231" s="115">
        <v>518.75</v>
      </c>
      <c r="R231">
        <v>12153</v>
      </c>
    </row>
    <row r="232" spans="1:18" x14ac:dyDescent="0.25">
      <c r="A232" s="169">
        <v>43017</v>
      </c>
      <c r="B232" s="115">
        <v>31.2414814814815</v>
      </c>
      <c r="C232" s="115">
        <v>31.0162962962963</v>
      </c>
      <c r="D232" s="115">
        <v>30.2251851851852</v>
      </c>
      <c r="E232" s="115">
        <v>30.752592592592599</v>
      </c>
      <c r="F232" s="115">
        <v>523.4</v>
      </c>
      <c r="G232">
        <v>998</v>
      </c>
      <c r="H232" s="115"/>
      <c r="I232" s="115"/>
      <c r="L232" s="169">
        <v>43017</v>
      </c>
      <c r="M232" s="115">
        <v>31.0162962962963</v>
      </c>
      <c r="N232" s="115">
        <v>31.407407407407401</v>
      </c>
      <c r="O232" s="115">
        <v>30.2874074074074</v>
      </c>
      <c r="P232" s="115">
        <v>30.3555555555556</v>
      </c>
      <c r="Q232" s="115">
        <v>523.4</v>
      </c>
      <c r="R232">
        <v>13808</v>
      </c>
    </row>
    <row r="233" spans="1:18" x14ac:dyDescent="0.25">
      <c r="A233" s="169">
        <v>43018</v>
      </c>
      <c r="B233" s="115">
        <v>30.903703703703702</v>
      </c>
      <c r="C233" s="115">
        <v>30.48</v>
      </c>
      <c r="D233" s="115">
        <v>30.3525925925926</v>
      </c>
      <c r="E233" s="115">
        <v>30.844444444444399</v>
      </c>
      <c r="F233" s="115">
        <v>514.35</v>
      </c>
      <c r="G233">
        <v>961</v>
      </c>
      <c r="H233" s="115"/>
      <c r="I233" s="115"/>
      <c r="L233" s="169">
        <v>43018</v>
      </c>
      <c r="M233" s="115">
        <v>30.477037037037</v>
      </c>
      <c r="N233" s="115">
        <v>31.108148148148199</v>
      </c>
      <c r="O233" s="115">
        <v>30.361481481481501</v>
      </c>
      <c r="P233" s="115">
        <v>30.7288888888889</v>
      </c>
      <c r="Q233" s="115">
        <v>514.29999999999995</v>
      </c>
      <c r="R233">
        <v>10081</v>
      </c>
    </row>
    <row r="234" spans="1:18" x14ac:dyDescent="0.25">
      <c r="A234" s="169">
        <v>43019</v>
      </c>
      <c r="B234" s="115">
        <v>30.622222222222199</v>
      </c>
      <c r="C234" s="115">
        <v>30.139259259259301</v>
      </c>
      <c r="D234" s="115">
        <v>30.103703703703701</v>
      </c>
      <c r="E234" s="115">
        <v>30.5718518518519</v>
      </c>
      <c r="F234" s="115">
        <v>508.6</v>
      </c>
      <c r="G234">
        <v>1344</v>
      </c>
      <c r="H234" s="115"/>
      <c r="I234" s="115"/>
      <c r="L234" s="169">
        <v>43019</v>
      </c>
      <c r="M234" s="115">
        <v>30.2281481481482</v>
      </c>
      <c r="N234" s="115">
        <v>30.7259259259259</v>
      </c>
      <c r="O234" s="115">
        <v>30.103703703703701</v>
      </c>
      <c r="P234" s="115">
        <v>30.242962962962999</v>
      </c>
      <c r="Q234" s="115">
        <v>510.1</v>
      </c>
      <c r="R234">
        <v>4789</v>
      </c>
    </row>
    <row r="235" spans="1:18" x14ac:dyDescent="0.25">
      <c r="A235" s="169">
        <v>43020</v>
      </c>
      <c r="B235" s="115">
        <v>30.1955555555556</v>
      </c>
      <c r="C235" s="115">
        <v>29.911111111111101</v>
      </c>
      <c r="D235" s="115">
        <v>29.688888888888901</v>
      </c>
      <c r="E235" s="115">
        <v>30.162962962963</v>
      </c>
      <c r="F235" s="115">
        <v>504.75</v>
      </c>
      <c r="G235">
        <v>2559</v>
      </c>
      <c r="H235" s="115"/>
      <c r="I235" s="115"/>
      <c r="L235" s="169">
        <v>43020</v>
      </c>
      <c r="M235" s="115">
        <v>29.751111111111101</v>
      </c>
      <c r="N235" s="115">
        <v>30.5066666666667</v>
      </c>
      <c r="O235" s="115">
        <v>29.451851851851899</v>
      </c>
      <c r="P235" s="115">
        <v>29.985185185185198</v>
      </c>
      <c r="Q235" s="115">
        <v>502.05</v>
      </c>
      <c r="R235">
        <v>10997</v>
      </c>
    </row>
    <row r="236" spans="1:18" x14ac:dyDescent="0.25">
      <c r="A236" s="169">
        <v>43021</v>
      </c>
      <c r="B236" s="115">
        <v>29.718518518518501</v>
      </c>
      <c r="C236" s="115">
        <v>29.3659259259259</v>
      </c>
      <c r="D236" s="115">
        <v>29.185185185185201</v>
      </c>
      <c r="E236" s="115">
        <v>29.694814814814801</v>
      </c>
      <c r="F236" s="115">
        <v>495.55</v>
      </c>
      <c r="G236">
        <v>2791</v>
      </c>
      <c r="H236" s="115"/>
      <c r="I236" s="115"/>
      <c r="L236" s="169">
        <v>43021</v>
      </c>
      <c r="M236" s="115">
        <v>29.511111111111099</v>
      </c>
      <c r="N236" s="115">
        <v>29.9022222222222</v>
      </c>
      <c r="O236" s="115">
        <v>29.155555555555601</v>
      </c>
      <c r="P236" s="115">
        <v>29.629629629629601</v>
      </c>
      <c r="Q236" s="115">
        <v>498</v>
      </c>
      <c r="R236">
        <v>34113</v>
      </c>
    </row>
    <row r="237" spans="1:18" x14ac:dyDescent="0.25">
      <c r="A237" s="169">
        <v>43024</v>
      </c>
      <c r="B237" s="115">
        <v>30.0977777777778</v>
      </c>
      <c r="C237" s="115">
        <v>29.3985185185185</v>
      </c>
      <c r="D237" s="115">
        <v>29.3333333333333</v>
      </c>
      <c r="E237" s="115">
        <v>29.866666666666699</v>
      </c>
      <c r="F237" s="115">
        <v>496.1</v>
      </c>
      <c r="G237">
        <v>1570</v>
      </c>
      <c r="H237" s="115"/>
      <c r="I237" s="115"/>
      <c r="L237" s="169">
        <v>43024</v>
      </c>
      <c r="M237" s="115">
        <v>29.6148148148148</v>
      </c>
      <c r="N237" s="115">
        <v>30.210370370370399</v>
      </c>
      <c r="O237" s="115">
        <v>29.4577777777778</v>
      </c>
      <c r="P237" s="115">
        <v>29.511111111111099</v>
      </c>
      <c r="Q237" s="115">
        <v>499.75</v>
      </c>
      <c r="R237">
        <v>11513</v>
      </c>
    </row>
    <row r="238" spans="1:18" x14ac:dyDescent="0.25">
      <c r="A238" s="169">
        <v>43025</v>
      </c>
      <c r="B238" s="115">
        <v>30.044444444444402</v>
      </c>
      <c r="C238" s="115">
        <v>29.952592592592602</v>
      </c>
      <c r="D238" s="115">
        <v>29.718518518518501</v>
      </c>
      <c r="E238" s="115">
        <v>30.017777777777798</v>
      </c>
      <c r="F238" s="115">
        <v>505.45</v>
      </c>
      <c r="G238">
        <v>831</v>
      </c>
      <c r="H238" s="115"/>
      <c r="I238" s="115"/>
      <c r="L238" s="169">
        <v>43025</v>
      </c>
      <c r="M238" s="115">
        <v>30</v>
      </c>
      <c r="N238" s="115">
        <v>30.1955555555556</v>
      </c>
      <c r="O238" s="115">
        <v>29.6148148148148</v>
      </c>
      <c r="P238" s="115">
        <v>29.6148148148148</v>
      </c>
      <c r="Q238" s="115">
        <v>506.25</v>
      </c>
      <c r="R238">
        <v>5665</v>
      </c>
    </row>
    <row r="239" spans="1:18" x14ac:dyDescent="0.25">
      <c r="A239" s="169">
        <v>43026</v>
      </c>
      <c r="B239" s="115">
        <v>29.917037037037002</v>
      </c>
      <c r="C239" s="115">
        <v>29.389629629629599</v>
      </c>
      <c r="D239" s="115">
        <v>29.3333333333333</v>
      </c>
      <c r="E239" s="115">
        <v>29.917037037037002</v>
      </c>
      <c r="F239" s="115">
        <v>495.95</v>
      </c>
      <c r="G239">
        <v>1146</v>
      </c>
      <c r="H239" s="115"/>
      <c r="I239" s="115"/>
      <c r="L239" s="169">
        <v>43026</v>
      </c>
      <c r="M239" s="115">
        <v>29.52</v>
      </c>
      <c r="N239" s="115">
        <v>29.84</v>
      </c>
      <c r="O239" s="115">
        <v>29.2681481481481</v>
      </c>
      <c r="P239" s="115">
        <v>29.754074074074101</v>
      </c>
      <c r="Q239" s="115">
        <v>498.15</v>
      </c>
      <c r="R239">
        <v>9921</v>
      </c>
    </row>
    <row r="240" spans="1:18" x14ac:dyDescent="0.25">
      <c r="A240" s="169">
        <v>43027</v>
      </c>
      <c r="B240" s="115">
        <v>29.570370370370402</v>
      </c>
      <c r="C240" s="115">
        <v>29.288888888888899</v>
      </c>
      <c r="D240" s="115">
        <v>29.0488888888889</v>
      </c>
      <c r="E240" s="115">
        <v>29.472592592592601</v>
      </c>
      <c r="F240" s="115">
        <v>494.25</v>
      </c>
      <c r="G240">
        <v>186</v>
      </c>
      <c r="H240" s="115"/>
      <c r="I240" s="115"/>
      <c r="L240" s="169">
        <v>43027</v>
      </c>
      <c r="M240" s="115">
        <v>29.28</v>
      </c>
      <c r="N240" s="115">
        <v>29.866666666666699</v>
      </c>
      <c r="O240" s="115">
        <v>29.155555555555601</v>
      </c>
      <c r="P240" s="115">
        <v>29.3333333333333</v>
      </c>
      <c r="Q240" s="115">
        <v>494.1</v>
      </c>
      <c r="R240">
        <v>1473</v>
      </c>
    </row>
    <row r="241" spans="1:18" x14ac:dyDescent="0.25">
      <c r="A241" s="169">
        <v>43031</v>
      </c>
      <c r="B241" s="115">
        <v>30.014814814814802</v>
      </c>
      <c r="C241" s="115">
        <v>29.235555555555599</v>
      </c>
      <c r="D241" s="115">
        <v>28.814814814814799</v>
      </c>
      <c r="E241" s="115">
        <v>29.768888888888899</v>
      </c>
      <c r="F241" s="115">
        <v>493.35</v>
      </c>
      <c r="G241">
        <v>1300</v>
      </c>
      <c r="H241" s="115"/>
      <c r="I241" s="115"/>
      <c r="L241" s="169">
        <v>43031</v>
      </c>
      <c r="M241" s="115">
        <v>29.3066666666667</v>
      </c>
      <c r="N241" s="115">
        <v>29.570370370370402</v>
      </c>
      <c r="O241" s="115">
        <v>29.202962962962999</v>
      </c>
      <c r="P241" s="115">
        <v>29.570370370370402</v>
      </c>
      <c r="Q241" s="115">
        <v>494.55</v>
      </c>
      <c r="R241">
        <v>11451</v>
      </c>
    </row>
    <row r="242" spans="1:18" x14ac:dyDescent="0.25">
      <c r="A242" s="169">
        <v>43032</v>
      </c>
      <c r="B242" s="115">
        <v>29.5555555555556</v>
      </c>
      <c r="C242" s="115">
        <v>29.188148148148102</v>
      </c>
      <c r="D242" s="115">
        <v>29.096296296296298</v>
      </c>
      <c r="E242" s="115">
        <v>29.194074074074098</v>
      </c>
      <c r="F242" s="115">
        <v>492.55</v>
      </c>
      <c r="G242">
        <v>1349</v>
      </c>
      <c r="H242" s="115"/>
      <c r="I242" s="115"/>
      <c r="L242" s="169">
        <v>43032</v>
      </c>
      <c r="M242" s="115">
        <v>29.374814814814801</v>
      </c>
      <c r="N242" s="115">
        <v>29.567407407407401</v>
      </c>
      <c r="O242" s="115">
        <v>29.2740740740741</v>
      </c>
      <c r="P242" s="115">
        <v>29.451851851851899</v>
      </c>
      <c r="Q242" s="115">
        <v>495.7</v>
      </c>
      <c r="R242">
        <v>7189</v>
      </c>
    </row>
    <row r="243" spans="1:18" x14ac:dyDescent="0.25">
      <c r="A243" s="169">
        <v>43033</v>
      </c>
      <c r="B243" s="115">
        <v>29.8074074074074</v>
      </c>
      <c r="C243" s="115">
        <v>29.226666666666699</v>
      </c>
      <c r="D243" s="115">
        <v>29.1081481481481</v>
      </c>
      <c r="E243" s="115">
        <v>29.342222222222201</v>
      </c>
      <c r="F243" s="115">
        <v>493.2</v>
      </c>
      <c r="G243">
        <v>1490</v>
      </c>
      <c r="H243" s="115"/>
      <c r="I243" s="115"/>
      <c r="L243" s="169">
        <v>43033</v>
      </c>
      <c r="M243" s="115">
        <v>29.277037037037001</v>
      </c>
      <c r="N243" s="115">
        <v>29.822222222222202</v>
      </c>
      <c r="O243" s="115">
        <v>29.155555555555601</v>
      </c>
      <c r="P243" s="115">
        <v>29.511111111111099</v>
      </c>
      <c r="Q243" s="115">
        <v>494.05</v>
      </c>
      <c r="R243">
        <v>9105</v>
      </c>
    </row>
    <row r="244" spans="1:18" x14ac:dyDescent="0.25">
      <c r="A244" s="169">
        <v>43034</v>
      </c>
      <c r="B244" s="115">
        <v>29.451851851851899</v>
      </c>
      <c r="C244" s="115">
        <v>29.167407407407399</v>
      </c>
      <c r="D244" s="115">
        <v>29.099259259259298</v>
      </c>
      <c r="E244" s="115">
        <v>29.161481481481498</v>
      </c>
      <c r="F244" s="115">
        <v>492.2</v>
      </c>
      <c r="G244">
        <v>1608</v>
      </c>
      <c r="H244" s="115"/>
      <c r="I244" s="115"/>
      <c r="L244" s="169">
        <v>43034</v>
      </c>
      <c r="M244" s="115">
        <v>29.28</v>
      </c>
      <c r="N244" s="115">
        <v>29.629629629629601</v>
      </c>
      <c r="O244" s="115">
        <v>29.1081481481481</v>
      </c>
      <c r="P244" s="115">
        <v>29.629629629629601</v>
      </c>
      <c r="Q244" s="115">
        <v>494.1</v>
      </c>
      <c r="R244">
        <v>15830</v>
      </c>
    </row>
    <row r="245" spans="1:18" x14ac:dyDescent="0.25">
      <c r="A245" s="169">
        <v>43035</v>
      </c>
      <c r="B245" s="115">
        <v>30.4</v>
      </c>
      <c r="C245" s="115">
        <v>29.952592592592602</v>
      </c>
      <c r="D245" s="115">
        <v>29.262222222222199</v>
      </c>
      <c r="E245" s="115">
        <v>29.324444444444399</v>
      </c>
      <c r="F245" s="115">
        <v>505.45</v>
      </c>
      <c r="G245">
        <v>6066</v>
      </c>
      <c r="H245" s="115"/>
      <c r="I245" s="115"/>
      <c r="L245" s="169">
        <v>43035</v>
      </c>
      <c r="M245" s="115">
        <v>29.925925925925899</v>
      </c>
      <c r="N245" s="115">
        <v>30.6962962962963</v>
      </c>
      <c r="O245" s="115">
        <v>29.096296296296298</v>
      </c>
      <c r="P245" s="115">
        <v>29.096296296296298</v>
      </c>
      <c r="Q245" s="115">
        <v>505</v>
      </c>
      <c r="R245">
        <v>20648</v>
      </c>
    </row>
    <row r="246" spans="1:18" x14ac:dyDescent="0.25">
      <c r="A246" s="169">
        <v>43038</v>
      </c>
      <c r="B246" s="115">
        <v>29.925925925925899</v>
      </c>
      <c r="C246" s="115">
        <v>29.677037037037</v>
      </c>
      <c r="D246" s="115">
        <v>29.454814814814799</v>
      </c>
      <c r="E246" s="115">
        <v>29.7481481481481</v>
      </c>
      <c r="F246" s="115">
        <v>500.8</v>
      </c>
      <c r="G246">
        <v>997</v>
      </c>
      <c r="H246" s="115"/>
      <c r="I246" s="115"/>
      <c r="L246" s="169">
        <v>43038</v>
      </c>
      <c r="M246" s="115">
        <v>29.682962962963</v>
      </c>
      <c r="N246" s="115">
        <v>30.281481481481499</v>
      </c>
      <c r="O246" s="115">
        <v>29.3392592592593</v>
      </c>
      <c r="P246" s="115">
        <v>30.281481481481499</v>
      </c>
      <c r="Q246" s="115">
        <v>500.9</v>
      </c>
      <c r="R246">
        <v>25588</v>
      </c>
    </row>
    <row r="247" spans="1:18" x14ac:dyDescent="0.25">
      <c r="A247" s="169">
        <v>43039</v>
      </c>
      <c r="B247" s="115">
        <v>29.928888888888899</v>
      </c>
      <c r="C247" s="115">
        <v>29.703703703703699</v>
      </c>
      <c r="D247" s="115">
        <v>29.505185185185201</v>
      </c>
      <c r="E247" s="115">
        <v>29.863703703703699</v>
      </c>
      <c r="F247" s="115">
        <v>501.25</v>
      </c>
      <c r="G247">
        <v>2709</v>
      </c>
      <c r="H247" s="115"/>
      <c r="I247" s="115"/>
      <c r="L247" s="169">
        <v>43039</v>
      </c>
      <c r="M247" s="115">
        <v>29.819259259259301</v>
      </c>
      <c r="N247" s="115">
        <v>29.985185185185198</v>
      </c>
      <c r="O247" s="115">
        <v>29.451851851851899</v>
      </c>
      <c r="P247" s="115">
        <v>29.451851851851899</v>
      </c>
      <c r="Q247" s="115">
        <v>503.2</v>
      </c>
      <c r="R247">
        <v>6411</v>
      </c>
    </row>
    <row r="248" spans="1:18" x14ac:dyDescent="0.25">
      <c r="A248" s="169">
        <v>43040</v>
      </c>
      <c r="B248" s="115">
        <v>30.494814814814799</v>
      </c>
      <c r="C248" s="115">
        <v>30.343703703703699</v>
      </c>
      <c r="D248" s="115">
        <v>29.656296296296301</v>
      </c>
      <c r="E248" s="115">
        <v>30.050370370370398</v>
      </c>
      <c r="F248" s="115">
        <v>512.04999999999995</v>
      </c>
      <c r="G248">
        <v>2734</v>
      </c>
      <c r="H248" s="115"/>
      <c r="I248" s="115"/>
      <c r="L248" s="169">
        <v>43040</v>
      </c>
      <c r="M248" s="115">
        <v>30.2577777777778</v>
      </c>
      <c r="N248" s="115">
        <v>30.391111111111101</v>
      </c>
      <c r="O248" s="115">
        <v>29.659259259259301</v>
      </c>
      <c r="P248" s="115">
        <v>29.9674074074074</v>
      </c>
      <c r="Q248" s="115">
        <v>510.6</v>
      </c>
      <c r="R248">
        <v>11827</v>
      </c>
    </row>
    <row r="249" spans="1:18" x14ac:dyDescent="0.25">
      <c r="A249" s="169">
        <v>43041</v>
      </c>
      <c r="B249" s="115">
        <v>30.2518518518519</v>
      </c>
      <c r="C249" s="115">
        <v>29.659259259259301</v>
      </c>
      <c r="D249" s="115">
        <v>29.629629629629601</v>
      </c>
      <c r="E249" s="115">
        <v>30.219259259259299</v>
      </c>
      <c r="F249" s="115">
        <v>500.5</v>
      </c>
      <c r="G249">
        <v>1210</v>
      </c>
      <c r="H249" s="115"/>
      <c r="I249" s="115"/>
      <c r="L249" s="169">
        <v>43041</v>
      </c>
      <c r="M249" s="115">
        <v>29.694814814814801</v>
      </c>
      <c r="N249" s="115">
        <v>30.367407407407399</v>
      </c>
      <c r="O249" s="115">
        <v>29.659259259259301</v>
      </c>
      <c r="P249" s="115">
        <v>30.281481481481499</v>
      </c>
      <c r="Q249" s="115">
        <v>501.1</v>
      </c>
      <c r="R249">
        <v>10274</v>
      </c>
    </row>
    <row r="250" spans="1:18" x14ac:dyDescent="0.25">
      <c r="A250" s="169">
        <v>43042</v>
      </c>
      <c r="B250" s="115">
        <v>30.402962962962999</v>
      </c>
      <c r="C250" s="115">
        <v>30.112592592592598</v>
      </c>
      <c r="D250" s="115">
        <v>29.629629629629601</v>
      </c>
      <c r="E250" s="115">
        <v>29.8074074074074</v>
      </c>
      <c r="F250" s="115">
        <v>508.15</v>
      </c>
      <c r="G250">
        <v>3711</v>
      </c>
      <c r="H250" s="115"/>
      <c r="I250" s="115"/>
      <c r="L250" s="169">
        <v>43042</v>
      </c>
      <c r="M250" s="115">
        <v>30.088888888888899</v>
      </c>
      <c r="N250" s="115">
        <v>30.5718518518519</v>
      </c>
      <c r="O250" s="115">
        <v>29.635555555555602</v>
      </c>
      <c r="P250" s="115">
        <v>29.635555555555602</v>
      </c>
      <c r="Q250" s="115">
        <v>507.75</v>
      </c>
      <c r="R250">
        <v>10441</v>
      </c>
    </row>
    <row r="251" spans="1:18" x14ac:dyDescent="0.25">
      <c r="A251" s="169">
        <v>43045</v>
      </c>
      <c r="B251" s="115">
        <v>32.349629629629597</v>
      </c>
      <c r="C251" s="115">
        <v>30.645925925925901</v>
      </c>
      <c r="D251" s="115">
        <v>30.103703703703701</v>
      </c>
      <c r="E251" s="115">
        <v>30.4</v>
      </c>
      <c r="F251" s="115">
        <v>517.15</v>
      </c>
      <c r="G251">
        <v>20657</v>
      </c>
      <c r="H251" s="115"/>
      <c r="I251" s="115"/>
      <c r="L251" s="169">
        <v>43045</v>
      </c>
      <c r="M251" s="115">
        <v>30.376296296296299</v>
      </c>
      <c r="N251" s="115">
        <v>32.296296296296298</v>
      </c>
      <c r="O251" s="115">
        <v>29.931851851851899</v>
      </c>
      <c r="P251" s="115">
        <v>30.266666666666701</v>
      </c>
      <c r="Q251" s="115">
        <v>512.6</v>
      </c>
      <c r="R251">
        <v>201581</v>
      </c>
    </row>
    <row r="252" spans="1:18" x14ac:dyDescent="0.25">
      <c r="A252" s="169">
        <v>43046</v>
      </c>
      <c r="B252" s="115">
        <v>32.118518518518499</v>
      </c>
      <c r="C252" s="115">
        <v>30.64</v>
      </c>
      <c r="D252" s="115">
        <v>30.2222222222222</v>
      </c>
      <c r="E252" s="115">
        <v>30.755555555555599</v>
      </c>
      <c r="F252" s="115">
        <v>517.04999999999995</v>
      </c>
      <c r="G252">
        <v>9457</v>
      </c>
      <c r="H252" s="115"/>
      <c r="I252" s="115"/>
      <c r="L252" s="169">
        <v>43046</v>
      </c>
      <c r="M252" s="115">
        <v>30.4740740740741</v>
      </c>
      <c r="N252" s="115">
        <v>32.177777777777798</v>
      </c>
      <c r="O252" s="115">
        <v>30.053333333333299</v>
      </c>
      <c r="P252" s="115">
        <v>31.342222222222201</v>
      </c>
      <c r="Q252" s="115">
        <v>514.25</v>
      </c>
      <c r="R252">
        <v>90163</v>
      </c>
    </row>
    <row r="253" spans="1:18" x14ac:dyDescent="0.25">
      <c r="A253" s="169">
        <v>43047</v>
      </c>
      <c r="B253" s="115">
        <v>31.001481481481498</v>
      </c>
      <c r="C253" s="115">
        <v>29.6503703703704</v>
      </c>
      <c r="D253" s="115">
        <v>29.3955555555556</v>
      </c>
      <c r="E253" s="115">
        <v>30.811851851851898</v>
      </c>
      <c r="F253" s="115">
        <v>500.35</v>
      </c>
      <c r="G253">
        <v>3571</v>
      </c>
      <c r="H253" s="115"/>
      <c r="I253" s="115"/>
      <c r="L253" s="169">
        <v>43047</v>
      </c>
      <c r="M253" s="115">
        <v>29.8755555555556</v>
      </c>
      <c r="N253" s="115">
        <v>31.345185185185201</v>
      </c>
      <c r="O253" s="115">
        <v>29.7481481481481</v>
      </c>
      <c r="P253" s="115">
        <v>30.625185185185199</v>
      </c>
      <c r="Q253" s="115">
        <v>504.15</v>
      </c>
      <c r="R253">
        <v>30893</v>
      </c>
    </row>
    <row r="254" spans="1:18" x14ac:dyDescent="0.25">
      <c r="A254" s="169">
        <v>43048</v>
      </c>
      <c r="B254" s="115">
        <v>30.171851851851901</v>
      </c>
      <c r="C254" s="115">
        <v>29.730370370370402</v>
      </c>
      <c r="D254" s="115">
        <v>29.3985185185185</v>
      </c>
      <c r="E254" s="115">
        <v>30.091851851851899</v>
      </c>
      <c r="F254" s="115">
        <v>501.7</v>
      </c>
      <c r="G254">
        <v>2877</v>
      </c>
      <c r="H254" s="115"/>
      <c r="I254" s="115"/>
      <c r="L254" s="169">
        <v>43048</v>
      </c>
      <c r="M254" s="115">
        <v>29.5851851851852</v>
      </c>
      <c r="N254" s="115">
        <v>30.2222222222222</v>
      </c>
      <c r="O254" s="115">
        <v>29.214814814814801</v>
      </c>
      <c r="P254" s="115">
        <v>29.985185185185198</v>
      </c>
      <c r="Q254" s="115">
        <v>499.25</v>
      </c>
      <c r="R254">
        <v>45678</v>
      </c>
    </row>
    <row r="255" spans="1:18" x14ac:dyDescent="0.25">
      <c r="A255" s="169">
        <v>43049</v>
      </c>
      <c r="B255" s="115">
        <v>30.100740740740701</v>
      </c>
      <c r="C255" s="115">
        <v>29.925925925925899</v>
      </c>
      <c r="D255" s="115">
        <v>29.3985185185185</v>
      </c>
      <c r="E255" s="115">
        <v>29.3985185185185</v>
      </c>
      <c r="F255" s="115">
        <v>505</v>
      </c>
      <c r="G255">
        <v>2429</v>
      </c>
      <c r="H255" s="115"/>
      <c r="I255" s="115"/>
      <c r="L255" s="169">
        <v>43049</v>
      </c>
      <c r="M255" s="115">
        <v>29.68</v>
      </c>
      <c r="N255" s="115">
        <v>29.908148148148101</v>
      </c>
      <c r="O255" s="115">
        <v>29.223703703703698</v>
      </c>
      <c r="P255" s="115">
        <v>29.223703703703698</v>
      </c>
      <c r="Q255" s="115">
        <v>500.85</v>
      </c>
      <c r="R255">
        <v>10372</v>
      </c>
    </row>
    <row r="256" spans="1:18" x14ac:dyDescent="0.25">
      <c r="A256" s="169">
        <v>43052</v>
      </c>
      <c r="B256" s="115">
        <v>29.828148148148099</v>
      </c>
      <c r="C256" s="115">
        <v>29.309629629629601</v>
      </c>
      <c r="D256" s="115">
        <v>29.155555555555601</v>
      </c>
      <c r="E256" s="115">
        <v>29.828148148148099</v>
      </c>
      <c r="F256" s="115">
        <v>494.6</v>
      </c>
      <c r="G256">
        <v>882</v>
      </c>
      <c r="H256" s="115"/>
      <c r="I256" s="115"/>
      <c r="L256" s="169">
        <v>43052</v>
      </c>
      <c r="M256" s="115">
        <v>29.357037037036999</v>
      </c>
      <c r="N256" s="115">
        <v>30.162962962963</v>
      </c>
      <c r="O256" s="115">
        <v>29.214814814814801</v>
      </c>
      <c r="P256" s="115">
        <v>30.162962962963</v>
      </c>
      <c r="Q256" s="115">
        <v>495.4</v>
      </c>
      <c r="R256">
        <v>6501</v>
      </c>
    </row>
    <row r="257" spans="1:18" x14ac:dyDescent="0.25">
      <c r="A257" s="169">
        <v>43053</v>
      </c>
      <c r="B257" s="115">
        <v>30.177777777777798</v>
      </c>
      <c r="C257" s="115">
        <v>29.7748148148148</v>
      </c>
      <c r="D257" s="115">
        <v>29.629629629629601</v>
      </c>
      <c r="E257" s="115">
        <v>29.7481481481481</v>
      </c>
      <c r="F257" s="115">
        <v>502.45</v>
      </c>
      <c r="G257">
        <v>2677</v>
      </c>
      <c r="H257" s="115"/>
      <c r="I257" s="115"/>
      <c r="L257" s="169">
        <v>43053</v>
      </c>
      <c r="M257" s="115">
        <v>29.997037037037</v>
      </c>
      <c r="N257" s="115">
        <v>30.106666666666701</v>
      </c>
      <c r="O257" s="115">
        <v>29.392592592592599</v>
      </c>
      <c r="P257" s="115">
        <v>29.392592592592599</v>
      </c>
      <c r="Q257" s="115">
        <v>506.2</v>
      </c>
      <c r="R257">
        <v>10008</v>
      </c>
    </row>
    <row r="258" spans="1:18" x14ac:dyDescent="0.25">
      <c r="A258" s="169">
        <v>43054</v>
      </c>
      <c r="B258" s="115">
        <v>29.635555555555602</v>
      </c>
      <c r="C258" s="115">
        <v>29.608888888888899</v>
      </c>
      <c r="D258" s="115">
        <v>29.3333333333333</v>
      </c>
      <c r="E258" s="115">
        <v>29.635555555555602</v>
      </c>
      <c r="F258" s="115">
        <v>499.65</v>
      </c>
      <c r="G258">
        <v>1574</v>
      </c>
      <c r="H258" s="115"/>
      <c r="I258" s="115"/>
      <c r="L258" s="169">
        <v>43054</v>
      </c>
      <c r="M258" s="115">
        <v>29.508148148148098</v>
      </c>
      <c r="N258" s="115">
        <v>29.997037037037</v>
      </c>
      <c r="O258" s="115">
        <v>29.069629629629599</v>
      </c>
      <c r="P258" s="115">
        <v>29.3985185185185</v>
      </c>
      <c r="Q258" s="115">
        <v>497.95</v>
      </c>
      <c r="R258">
        <v>10955</v>
      </c>
    </row>
    <row r="259" spans="1:18" x14ac:dyDescent="0.25">
      <c r="A259" s="169">
        <v>43055</v>
      </c>
      <c r="B259" s="115">
        <v>29.392592592592599</v>
      </c>
      <c r="C259" s="115">
        <v>29.2414814814815</v>
      </c>
      <c r="D259" s="115">
        <v>28.906666666666698</v>
      </c>
      <c r="E259" s="115">
        <v>29.1733333333333</v>
      </c>
      <c r="F259" s="115">
        <v>493.45</v>
      </c>
      <c r="G259">
        <v>15490</v>
      </c>
      <c r="H259" s="115"/>
      <c r="I259" s="115"/>
      <c r="L259" s="169">
        <v>43055</v>
      </c>
      <c r="M259" s="115">
        <v>29.407407407407401</v>
      </c>
      <c r="N259" s="115">
        <v>29.659259259259301</v>
      </c>
      <c r="O259" s="115">
        <v>29.161481481481498</v>
      </c>
      <c r="P259" s="115">
        <v>29.217777777777801</v>
      </c>
      <c r="Q259" s="115">
        <v>496.25</v>
      </c>
      <c r="R259">
        <v>10652</v>
      </c>
    </row>
    <row r="260" spans="1:18" x14ac:dyDescent="0.25">
      <c r="A260" s="169">
        <v>43056</v>
      </c>
      <c r="B260" s="115">
        <v>29.688888888888901</v>
      </c>
      <c r="C260" s="115">
        <v>29.537777777777801</v>
      </c>
      <c r="D260" s="115">
        <v>29.342222222222201</v>
      </c>
      <c r="E260" s="115">
        <v>29.342222222222201</v>
      </c>
      <c r="F260" s="115">
        <v>498.45</v>
      </c>
      <c r="G260">
        <v>15001</v>
      </c>
      <c r="H260" s="115"/>
      <c r="I260" s="115"/>
      <c r="L260" s="169">
        <v>43056</v>
      </c>
      <c r="M260" s="115">
        <v>29.638518518518499</v>
      </c>
      <c r="N260" s="115">
        <v>29.8074074074074</v>
      </c>
      <c r="O260" s="115">
        <v>29.3392592592593</v>
      </c>
      <c r="P260" s="115">
        <v>29.8074074074074</v>
      </c>
      <c r="Q260" s="115">
        <v>500.15</v>
      </c>
      <c r="R260">
        <v>8990</v>
      </c>
    </row>
    <row r="261" spans="1:18" x14ac:dyDescent="0.25">
      <c r="A261" s="169">
        <v>43059</v>
      </c>
      <c r="B261" s="115">
        <v>29.665185185185202</v>
      </c>
      <c r="C261" s="115">
        <v>29.413333333333298</v>
      </c>
      <c r="D261" s="115">
        <v>29.3392592592593</v>
      </c>
      <c r="E261" s="115">
        <v>29.659259259259301</v>
      </c>
      <c r="F261" s="115">
        <v>496.35</v>
      </c>
      <c r="G261">
        <v>460</v>
      </c>
      <c r="H261" s="115"/>
      <c r="I261" s="115"/>
      <c r="L261" s="169">
        <v>43059</v>
      </c>
      <c r="M261" s="115">
        <v>29.5881481481482</v>
      </c>
      <c r="N261" s="115">
        <v>29.7748148148148</v>
      </c>
      <c r="O261" s="115">
        <v>29.3333333333333</v>
      </c>
      <c r="P261" s="115">
        <v>29.511111111111099</v>
      </c>
      <c r="Q261" s="115">
        <v>499.3</v>
      </c>
      <c r="R261">
        <v>9595</v>
      </c>
    </row>
    <row r="262" spans="1:18" x14ac:dyDescent="0.25">
      <c r="A262" s="169">
        <v>43060</v>
      </c>
      <c r="B262" s="115">
        <v>30.210370370370399</v>
      </c>
      <c r="C262" s="115">
        <v>29.128888888888898</v>
      </c>
      <c r="D262" s="115">
        <v>29.0488888888889</v>
      </c>
      <c r="E262" s="115">
        <v>29.6207407407407</v>
      </c>
      <c r="F262" s="115">
        <v>491.55</v>
      </c>
      <c r="G262">
        <v>346077</v>
      </c>
      <c r="H262" s="115"/>
      <c r="I262" s="115"/>
      <c r="L262" s="169">
        <v>43060</v>
      </c>
      <c r="M262" s="115">
        <v>29.371851851851901</v>
      </c>
      <c r="N262" s="115">
        <v>30.340740740740699</v>
      </c>
      <c r="O262" s="115">
        <v>29.096296296296298</v>
      </c>
      <c r="P262" s="115">
        <v>29.3333333333333</v>
      </c>
      <c r="Q262" s="115">
        <v>495.65</v>
      </c>
      <c r="R262">
        <v>119584</v>
      </c>
    </row>
    <row r="263" spans="1:18" x14ac:dyDescent="0.25">
      <c r="A263" s="169">
        <v>43061</v>
      </c>
      <c r="B263" s="115">
        <v>29.925925925925899</v>
      </c>
      <c r="C263" s="115">
        <v>29.4607407407407</v>
      </c>
      <c r="D263" s="115">
        <v>29.096296296296298</v>
      </c>
      <c r="E263" s="115">
        <v>29.757037037037001</v>
      </c>
      <c r="F263" s="115">
        <v>497.15</v>
      </c>
      <c r="G263">
        <v>4685</v>
      </c>
      <c r="H263" s="115"/>
      <c r="I263" s="115"/>
      <c r="L263" s="169">
        <v>43061</v>
      </c>
      <c r="M263" s="115">
        <v>29.297777777777799</v>
      </c>
      <c r="N263" s="115">
        <v>29.925925925925899</v>
      </c>
      <c r="O263" s="115">
        <v>28.835555555555601</v>
      </c>
      <c r="P263" s="115">
        <v>29.451851851851899</v>
      </c>
      <c r="Q263" s="115">
        <v>494.4</v>
      </c>
      <c r="R263">
        <v>63823</v>
      </c>
    </row>
    <row r="264" spans="1:18" x14ac:dyDescent="0.25">
      <c r="A264" s="169">
        <v>43062</v>
      </c>
      <c r="B264" s="115">
        <v>29.629629629629601</v>
      </c>
      <c r="C264" s="115">
        <v>29.602962962963002</v>
      </c>
      <c r="D264" s="115">
        <v>28.8</v>
      </c>
      <c r="E264" s="115">
        <v>29.1081481481481</v>
      </c>
      <c r="F264" s="115">
        <v>499.55</v>
      </c>
      <c r="G264">
        <v>3594</v>
      </c>
      <c r="H264" s="115"/>
      <c r="I264" s="115"/>
      <c r="L264" s="169">
        <v>43062</v>
      </c>
      <c r="M264" s="115">
        <v>29.508148148148098</v>
      </c>
      <c r="N264" s="115">
        <v>29.629629629629601</v>
      </c>
      <c r="O264" s="115">
        <v>28.776296296296302</v>
      </c>
      <c r="P264" s="115">
        <v>29.093333333333302</v>
      </c>
      <c r="Q264" s="115">
        <v>497.95</v>
      </c>
      <c r="R264">
        <v>13881</v>
      </c>
    </row>
    <row r="265" spans="1:18" x14ac:dyDescent="0.25">
      <c r="A265" s="169">
        <v>43063</v>
      </c>
      <c r="B265" s="115">
        <v>29.92</v>
      </c>
      <c r="C265" s="115">
        <v>29.7718518518518</v>
      </c>
      <c r="D265" s="115">
        <v>29.448888888888899</v>
      </c>
      <c r="E265" s="115">
        <v>29.543703703703699</v>
      </c>
      <c r="F265" s="115">
        <v>502.4</v>
      </c>
      <c r="G265">
        <v>1199</v>
      </c>
      <c r="H265" s="115"/>
      <c r="I265" s="115"/>
      <c r="L265" s="169">
        <v>43063</v>
      </c>
      <c r="M265" s="115">
        <v>29.659259259259301</v>
      </c>
      <c r="N265" s="115">
        <v>29.7748148148148</v>
      </c>
      <c r="O265" s="115">
        <v>29.2740740740741</v>
      </c>
      <c r="P265" s="115">
        <v>29.2740740740741</v>
      </c>
      <c r="Q265" s="115">
        <v>500.5</v>
      </c>
      <c r="R265">
        <v>146186</v>
      </c>
    </row>
    <row r="266" spans="1:18" x14ac:dyDescent="0.25">
      <c r="A266" s="169">
        <v>43066</v>
      </c>
      <c r="B266" s="115">
        <v>32.237037037036998</v>
      </c>
      <c r="C266" s="115">
        <v>30.32</v>
      </c>
      <c r="D266" s="115">
        <v>29.6</v>
      </c>
      <c r="E266" s="115">
        <v>29.635555555555602</v>
      </c>
      <c r="F266" s="115">
        <v>511.65</v>
      </c>
      <c r="G266">
        <v>21634</v>
      </c>
      <c r="H266" s="115"/>
      <c r="I266" s="115"/>
      <c r="L266" s="169">
        <v>43066</v>
      </c>
      <c r="M266" s="115">
        <v>30.438518518518499</v>
      </c>
      <c r="N266" s="115">
        <v>32.278518518518503</v>
      </c>
      <c r="O266" s="115">
        <v>29.277037037037001</v>
      </c>
      <c r="P266" s="115">
        <v>29.277037037037001</v>
      </c>
      <c r="Q266" s="115">
        <v>513.65</v>
      </c>
      <c r="R266">
        <v>196384</v>
      </c>
    </row>
    <row r="267" spans="1:18" x14ac:dyDescent="0.25">
      <c r="A267" s="169">
        <v>43067</v>
      </c>
      <c r="B267" s="115">
        <v>30.6962962962963</v>
      </c>
      <c r="C267" s="115">
        <v>30.023703703703699</v>
      </c>
      <c r="D267" s="115">
        <v>29.4637037037037</v>
      </c>
      <c r="E267" s="115">
        <v>30.56</v>
      </c>
      <c r="F267" s="115">
        <v>506.65</v>
      </c>
      <c r="G267">
        <v>3508</v>
      </c>
      <c r="H267" s="115"/>
      <c r="I267" s="115"/>
      <c r="L267" s="169">
        <v>43067</v>
      </c>
      <c r="M267" s="115">
        <v>30.008888888888901</v>
      </c>
      <c r="N267" s="115">
        <v>30.749629629629599</v>
      </c>
      <c r="O267" s="115">
        <v>29.7481481481481</v>
      </c>
      <c r="P267" s="115">
        <v>30.637037037037</v>
      </c>
      <c r="Q267" s="115">
        <v>506.4</v>
      </c>
      <c r="R267">
        <v>42184</v>
      </c>
    </row>
    <row r="268" spans="1:18" x14ac:dyDescent="0.25">
      <c r="A268" s="169">
        <v>43068</v>
      </c>
      <c r="B268" s="115">
        <v>31.997037037037</v>
      </c>
      <c r="C268" s="115">
        <v>29.985185185185198</v>
      </c>
      <c r="D268" s="115">
        <v>29.629629629629601</v>
      </c>
      <c r="E268" s="115">
        <v>30.755555555555599</v>
      </c>
      <c r="F268" s="115">
        <v>506</v>
      </c>
      <c r="G268">
        <v>18806</v>
      </c>
      <c r="H268" s="115"/>
      <c r="I268" s="115"/>
      <c r="L268" s="169">
        <v>43068</v>
      </c>
      <c r="M268" s="115">
        <v>29.908148148148101</v>
      </c>
      <c r="N268" s="115">
        <v>31.940740740740701</v>
      </c>
      <c r="O268" s="115">
        <v>29.635555555555602</v>
      </c>
      <c r="P268" s="115">
        <v>31.1111111111111</v>
      </c>
      <c r="Q268" s="115">
        <v>504.7</v>
      </c>
      <c r="R268">
        <v>165124</v>
      </c>
    </row>
    <row r="269" spans="1:18" x14ac:dyDescent="0.25">
      <c r="A269" s="169">
        <v>43069</v>
      </c>
      <c r="B269" s="115">
        <v>30.518518518518501</v>
      </c>
      <c r="C269" s="115">
        <v>30.180740740740699</v>
      </c>
      <c r="D269" s="115">
        <v>29.688888888888901</v>
      </c>
      <c r="E269" s="115">
        <v>29.985185185185198</v>
      </c>
      <c r="F269" s="115">
        <v>509.3</v>
      </c>
      <c r="G269">
        <v>3899</v>
      </c>
      <c r="H269" s="115"/>
      <c r="I269" s="115"/>
      <c r="L269" s="169">
        <v>43069</v>
      </c>
      <c r="M269" s="115">
        <v>30.118518518518499</v>
      </c>
      <c r="N269" s="115">
        <v>30.6933333333333</v>
      </c>
      <c r="O269" s="115">
        <v>29.700740740740699</v>
      </c>
      <c r="P269" s="115">
        <v>30.056296296296299</v>
      </c>
      <c r="Q269" s="115">
        <v>508.25</v>
      </c>
      <c r="R269">
        <v>37955</v>
      </c>
    </row>
    <row r="270" spans="1:18" x14ac:dyDescent="0.25">
      <c r="A270" s="169">
        <v>43070</v>
      </c>
      <c r="B270" s="115">
        <v>30.465185185185199</v>
      </c>
      <c r="C270" s="115">
        <v>29.5555555555556</v>
      </c>
      <c r="D270" s="115">
        <v>29.125925925925898</v>
      </c>
      <c r="E270" s="115">
        <v>30.201481481481501</v>
      </c>
      <c r="F270" s="115">
        <v>498.75</v>
      </c>
      <c r="G270">
        <v>1819</v>
      </c>
      <c r="H270" s="115"/>
      <c r="I270" s="115"/>
      <c r="L270" s="169">
        <v>43070</v>
      </c>
      <c r="M270" s="115">
        <v>29.682962962963</v>
      </c>
      <c r="N270" s="115">
        <v>30.5125925925926</v>
      </c>
      <c r="O270" s="115">
        <v>29.570370370370402</v>
      </c>
      <c r="P270" s="115">
        <v>30.269629629629598</v>
      </c>
      <c r="Q270" s="115">
        <v>500.9</v>
      </c>
      <c r="R270">
        <v>9336</v>
      </c>
    </row>
    <row r="271" spans="1:18" x14ac:dyDescent="0.25">
      <c r="A271" s="169">
        <v>43073</v>
      </c>
      <c r="B271" s="115">
        <v>30.6962962962963</v>
      </c>
      <c r="C271" s="115">
        <v>30.177777777777798</v>
      </c>
      <c r="D271" s="115">
        <v>29.662222222222201</v>
      </c>
      <c r="E271" s="115">
        <v>30.100740740740701</v>
      </c>
      <c r="F271" s="115">
        <v>509.25</v>
      </c>
      <c r="G271">
        <v>3203</v>
      </c>
      <c r="H271" s="115"/>
      <c r="I271" s="115"/>
      <c r="L271" s="169">
        <v>43073</v>
      </c>
      <c r="M271" s="115">
        <v>30.325925925925901</v>
      </c>
      <c r="N271" s="115">
        <v>30.6962962962963</v>
      </c>
      <c r="O271" s="115">
        <v>29.8725925925926</v>
      </c>
      <c r="P271" s="115">
        <v>30.637037037037</v>
      </c>
      <c r="Q271" s="115">
        <v>511.75</v>
      </c>
      <c r="R271">
        <v>28963</v>
      </c>
    </row>
    <row r="272" spans="1:18" x14ac:dyDescent="0.25">
      <c r="A272" s="169">
        <v>43074</v>
      </c>
      <c r="B272" s="115">
        <v>30.518518518518501</v>
      </c>
      <c r="C272" s="115">
        <v>30.391111111111101</v>
      </c>
      <c r="D272" s="115">
        <v>29.6503703703704</v>
      </c>
      <c r="E272" s="115">
        <v>30.201481481481501</v>
      </c>
      <c r="F272" s="115">
        <v>512.85</v>
      </c>
      <c r="G272">
        <v>1877</v>
      </c>
      <c r="H272" s="115"/>
      <c r="I272" s="115"/>
      <c r="L272" s="169">
        <v>43074</v>
      </c>
      <c r="M272" s="115">
        <v>30.426666666666701</v>
      </c>
      <c r="N272" s="115">
        <v>30.518518518518501</v>
      </c>
      <c r="O272" s="115">
        <v>29.780740740740701</v>
      </c>
      <c r="P272" s="115">
        <v>30.281481481481499</v>
      </c>
      <c r="Q272" s="115">
        <v>513.45000000000005</v>
      </c>
      <c r="R272">
        <v>15901</v>
      </c>
    </row>
    <row r="273" spans="1:18" x14ac:dyDescent="0.25">
      <c r="A273" s="169">
        <v>43075</v>
      </c>
      <c r="B273" s="115">
        <v>30.8918518518519</v>
      </c>
      <c r="C273" s="115">
        <v>30.112592592592598</v>
      </c>
      <c r="D273" s="115">
        <v>29.3392592592593</v>
      </c>
      <c r="E273" s="115">
        <v>30.616296296296301</v>
      </c>
      <c r="F273" s="115">
        <v>508.15</v>
      </c>
      <c r="G273">
        <v>2485</v>
      </c>
      <c r="H273" s="115"/>
      <c r="I273" s="115"/>
      <c r="L273" s="169">
        <v>43075</v>
      </c>
      <c r="M273" s="115">
        <v>30.272592592592598</v>
      </c>
      <c r="N273" s="115">
        <v>30.7259259259259</v>
      </c>
      <c r="O273" s="115">
        <v>29.9348148148148</v>
      </c>
      <c r="P273" s="115">
        <v>30.2281481481482</v>
      </c>
      <c r="Q273" s="115">
        <v>510.85</v>
      </c>
      <c r="R273">
        <v>13765</v>
      </c>
    </row>
    <row r="274" spans="1:18" x14ac:dyDescent="0.25">
      <c r="A274" s="169">
        <v>43076</v>
      </c>
      <c r="B274" s="115">
        <v>30.397037037036998</v>
      </c>
      <c r="C274" s="115">
        <v>29.922962962962998</v>
      </c>
      <c r="D274" s="115">
        <v>29.8074074074074</v>
      </c>
      <c r="E274" s="115">
        <v>30.397037037036998</v>
      </c>
      <c r="F274" s="115">
        <v>504.95</v>
      </c>
      <c r="G274">
        <v>1216</v>
      </c>
      <c r="H274" s="115"/>
      <c r="I274" s="115"/>
      <c r="L274" s="169">
        <v>43076</v>
      </c>
      <c r="M274" s="115">
        <v>29.946666666666701</v>
      </c>
      <c r="N274" s="115">
        <v>30.548148148148101</v>
      </c>
      <c r="O274" s="115">
        <v>29.831111111111099</v>
      </c>
      <c r="P274" s="115">
        <v>30.2844444444444</v>
      </c>
      <c r="Q274" s="115">
        <v>505.35</v>
      </c>
      <c r="R274">
        <v>11124</v>
      </c>
    </row>
    <row r="275" spans="1:18" x14ac:dyDescent="0.25">
      <c r="A275" s="169">
        <v>43077</v>
      </c>
      <c r="B275" s="115">
        <v>30.933333333333302</v>
      </c>
      <c r="C275" s="115">
        <v>29.958518518518499</v>
      </c>
      <c r="D275" s="115">
        <v>29.8074074074074</v>
      </c>
      <c r="E275" s="115">
        <v>30.2222222222222</v>
      </c>
      <c r="F275" s="115">
        <v>505.55</v>
      </c>
      <c r="G275">
        <v>4650</v>
      </c>
      <c r="H275" s="115"/>
      <c r="I275" s="115"/>
      <c r="L275" s="169">
        <v>43077</v>
      </c>
      <c r="M275" s="115">
        <v>30.041481481481501</v>
      </c>
      <c r="N275" s="115">
        <v>30.456296296296301</v>
      </c>
      <c r="O275" s="115">
        <v>29.845925925925901</v>
      </c>
      <c r="P275" s="115">
        <v>30.337777777777799</v>
      </c>
      <c r="Q275" s="115">
        <v>506.95</v>
      </c>
      <c r="R275">
        <v>33961</v>
      </c>
    </row>
    <row r="276" spans="1:18" x14ac:dyDescent="0.25">
      <c r="A276" s="169">
        <v>43080</v>
      </c>
      <c r="B276" s="115">
        <v>30.871111111111102</v>
      </c>
      <c r="C276" s="115">
        <v>30.521481481481501</v>
      </c>
      <c r="D276" s="115">
        <v>30.145185185185198</v>
      </c>
      <c r="E276" s="115">
        <v>30.4</v>
      </c>
      <c r="F276" s="115">
        <v>515.04999999999995</v>
      </c>
      <c r="G276">
        <v>2538</v>
      </c>
      <c r="H276" s="115"/>
      <c r="I276" s="115"/>
      <c r="L276" s="169">
        <v>43080</v>
      </c>
      <c r="M276" s="115">
        <v>30.465185185185199</v>
      </c>
      <c r="N276" s="115">
        <v>30.992592592592601</v>
      </c>
      <c r="O276" s="115">
        <v>30.2222222222222</v>
      </c>
      <c r="P276" s="115">
        <v>30.805925925925902</v>
      </c>
      <c r="Q276" s="115">
        <v>514.1</v>
      </c>
      <c r="R276">
        <v>30711</v>
      </c>
    </row>
    <row r="277" spans="1:18" x14ac:dyDescent="0.25">
      <c r="A277" s="169">
        <v>43081</v>
      </c>
      <c r="B277" s="115">
        <v>30.737777777777801</v>
      </c>
      <c r="C277" s="115">
        <v>30.074074074074101</v>
      </c>
      <c r="D277" s="115">
        <v>30.044444444444402</v>
      </c>
      <c r="E277" s="115">
        <v>30.518518518518501</v>
      </c>
      <c r="F277" s="115">
        <v>507.5</v>
      </c>
      <c r="G277">
        <v>1583</v>
      </c>
      <c r="H277" s="115"/>
      <c r="I277" s="115"/>
      <c r="L277" s="169">
        <v>43081</v>
      </c>
      <c r="M277" s="115">
        <v>30.115555555555598</v>
      </c>
      <c r="N277" s="115">
        <v>30.752592592592599</v>
      </c>
      <c r="O277" s="115">
        <v>30.044444444444402</v>
      </c>
      <c r="P277" s="115">
        <v>30.577777777777801</v>
      </c>
      <c r="Q277" s="115">
        <v>508.2</v>
      </c>
      <c r="R277">
        <v>13827</v>
      </c>
    </row>
    <row r="278" spans="1:18" x14ac:dyDescent="0.25">
      <c r="A278" s="169">
        <v>43082</v>
      </c>
      <c r="B278" s="115">
        <v>31.407407407407401</v>
      </c>
      <c r="C278" s="115">
        <v>30.198518518518501</v>
      </c>
      <c r="D278" s="115">
        <v>30.103703703703701</v>
      </c>
      <c r="E278" s="115">
        <v>31.407407407407401</v>
      </c>
      <c r="F278" s="115">
        <v>509.6</v>
      </c>
      <c r="G278">
        <v>2182</v>
      </c>
      <c r="H278" s="115"/>
      <c r="I278" s="115"/>
      <c r="L278" s="169">
        <v>43082</v>
      </c>
      <c r="M278" s="115">
        <v>29.949629629629602</v>
      </c>
      <c r="N278" s="115">
        <v>30.515555555555601</v>
      </c>
      <c r="O278" s="115">
        <v>29.7451851851852</v>
      </c>
      <c r="P278" s="115">
        <v>30.515555555555601</v>
      </c>
      <c r="Q278" s="115">
        <v>505.4</v>
      </c>
      <c r="R278">
        <v>12514</v>
      </c>
    </row>
    <row r="279" spans="1:18" x14ac:dyDescent="0.25">
      <c r="A279" s="169">
        <v>43083</v>
      </c>
      <c r="B279" s="115">
        <v>30.518518518518501</v>
      </c>
      <c r="C279" s="115">
        <v>29.914074074074101</v>
      </c>
      <c r="D279" s="115">
        <v>29.8074074074074</v>
      </c>
      <c r="E279" s="115">
        <v>30.518518518518501</v>
      </c>
      <c r="F279" s="115">
        <v>504.8</v>
      </c>
      <c r="G279">
        <v>2043</v>
      </c>
      <c r="H279" s="115"/>
      <c r="I279" s="115"/>
      <c r="L279" s="169">
        <v>43083</v>
      </c>
      <c r="M279" s="115">
        <v>29.925925925925899</v>
      </c>
      <c r="N279" s="115">
        <v>30.397037037036998</v>
      </c>
      <c r="O279" s="115">
        <v>29.8074074074074</v>
      </c>
      <c r="P279" s="115">
        <v>30.394074074074101</v>
      </c>
      <c r="Q279" s="115">
        <v>505</v>
      </c>
      <c r="R279">
        <v>11510</v>
      </c>
    </row>
    <row r="280" spans="1:18" x14ac:dyDescent="0.25">
      <c r="A280" s="169">
        <v>43084</v>
      </c>
      <c r="B280" s="115">
        <v>30.340740740740699</v>
      </c>
      <c r="C280" s="115">
        <v>29.943703703703701</v>
      </c>
      <c r="D280" s="115">
        <v>29.813333333333301</v>
      </c>
      <c r="E280" s="115">
        <v>29.813333333333301</v>
      </c>
      <c r="F280" s="115">
        <v>505.3</v>
      </c>
      <c r="G280">
        <v>704</v>
      </c>
      <c r="H280" s="115"/>
      <c r="I280" s="115"/>
      <c r="L280" s="169">
        <v>43084</v>
      </c>
      <c r="M280" s="115">
        <v>29.985185185185198</v>
      </c>
      <c r="N280" s="115">
        <v>30.485925925925901</v>
      </c>
      <c r="O280" s="115">
        <v>29.931851851851899</v>
      </c>
      <c r="P280" s="115">
        <v>30.2222222222222</v>
      </c>
      <c r="Q280" s="115">
        <v>506</v>
      </c>
      <c r="R280">
        <v>9062</v>
      </c>
    </row>
    <row r="281" spans="1:18" x14ac:dyDescent="0.25">
      <c r="A281" s="169">
        <v>43087</v>
      </c>
      <c r="B281" s="115">
        <v>30.684444444444399</v>
      </c>
      <c r="C281" s="115">
        <v>30.462222222222199</v>
      </c>
      <c r="D281" s="115">
        <v>29.3333333333333</v>
      </c>
      <c r="E281" s="115">
        <v>30.103703703703701</v>
      </c>
      <c r="F281" s="115">
        <v>514.04999999999995</v>
      </c>
      <c r="G281">
        <v>2174</v>
      </c>
      <c r="H281" s="115"/>
      <c r="I281" s="115"/>
      <c r="L281" s="169">
        <v>43087</v>
      </c>
      <c r="M281" s="115">
        <v>30.5125925925926</v>
      </c>
      <c r="N281" s="115">
        <v>30.637037037037</v>
      </c>
      <c r="O281" s="115">
        <v>29.188148148148102</v>
      </c>
      <c r="P281" s="115">
        <v>30.281481481481499</v>
      </c>
      <c r="Q281" s="115">
        <v>514.9</v>
      </c>
      <c r="R281">
        <v>25139</v>
      </c>
    </row>
    <row r="282" spans="1:18" x14ac:dyDescent="0.25">
      <c r="A282" s="169">
        <v>43088</v>
      </c>
      <c r="B282" s="115">
        <v>30.814814814814799</v>
      </c>
      <c r="C282" s="115">
        <v>30.6044444444444</v>
      </c>
      <c r="D282" s="115">
        <v>29.925925925925899</v>
      </c>
      <c r="E282" s="115">
        <v>30.044444444444402</v>
      </c>
      <c r="F282" s="115">
        <v>516.45000000000005</v>
      </c>
      <c r="G282">
        <v>37373</v>
      </c>
      <c r="H282" s="115"/>
      <c r="I282" s="115"/>
      <c r="L282" s="169">
        <v>43088</v>
      </c>
      <c r="M282" s="115">
        <v>30.743703703703702</v>
      </c>
      <c r="N282" s="115">
        <v>30.808888888888902</v>
      </c>
      <c r="O282" s="115">
        <v>29.991111111111099</v>
      </c>
      <c r="P282" s="115">
        <v>30.746666666666702</v>
      </c>
      <c r="Q282" s="115">
        <v>518.79999999999995</v>
      </c>
      <c r="R282">
        <v>20378</v>
      </c>
    </row>
    <row r="283" spans="1:18" x14ac:dyDescent="0.25">
      <c r="A283" s="169">
        <v>43089</v>
      </c>
      <c r="B283" s="115">
        <v>31.940740740740701</v>
      </c>
      <c r="C283" s="115">
        <v>31.7125925925926</v>
      </c>
      <c r="D283" s="115">
        <v>30.64</v>
      </c>
      <c r="E283" s="115">
        <v>30.64</v>
      </c>
      <c r="F283" s="115">
        <v>535.15</v>
      </c>
      <c r="G283">
        <v>7530</v>
      </c>
      <c r="H283" s="115"/>
      <c r="I283" s="115"/>
      <c r="L283" s="169">
        <v>43089</v>
      </c>
      <c r="M283" s="115">
        <v>31.736296296296299</v>
      </c>
      <c r="N283" s="115">
        <v>31.940740740740701</v>
      </c>
      <c r="O283" s="115">
        <v>30.583703703703701</v>
      </c>
      <c r="P283" s="115">
        <v>30.9866666666667</v>
      </c>
      <c r="Q283" s="115">
        <v>535.54999999999995</v>
      </c>
      <c r="R283">
        <v>90991</v>
      </c>
    </row>
    <row r="284" spans="1:18" x14ac:dyDescent="0.25">
      <c r="A284" s="169">
        <v>43090</v>
      </c>
      <c r="B284" s="115">
        <v>36.705185185185201</v>
      </c>
      <c r="C284" s="115">
        <v>34.604444444444397</v>
      </c>
      <c r="D284" s="115">
        <v>32.592592592592602</v>
      </c>
      <c r="E284" s="115">
        <v>32.592592592592602</v>
      </c>
      <c r="F284" s="115">
        <v>583.95000000000005</v>
      </c>
      <c r="G284">
        <v>127201</v>
      </c>
      <c r="H284" s="115"/>
      <c r="I284" s="115"/>
      <c r="L284" s="169">
        <v>43090</v>
      </c>
      <c r="M284" s="115">
        <v>34.296296296296298</v>
      </c>
      <c r="N284" s="115">
        <v>36.734814814814797</v>
      </c>
      <c r="O284" s="115">
        <v>32.592592592592602</v>
      </c>
      <c r="P284" s="115">
        <v>32.8888888888889</v>
      </c>
      <c r="Q284" s="115">
        <v>578.75</v>
      </c>
      <c r="R284">
        <v>1450285</v>
      </c>
    </row>
    <row r="285" spans="1:18" x14ac:dyDescent="0.25">
      <c r="A285" s="169">
        <v>43091</v>
      </c>
      <c r="B285" s="115">
        <v>35.534814814814801</v>
      </c>
      <c r="C285" s="115">
        <v>34.257777777777797</v>
      </c>
      <c r="D285" s="115">
        <v>33.896296296296299</v>
      </c>
      <c r="E285" s="115">
        <v>34.548148148148201</v>
      </c>
      <c r="F285" s="115">
        <v>578.1</v>
      </c>
      <c r="G285">
        <v>17330</v>
      </c>
      <c r="H285" s="115"/>
      <c r="I285" s="115"/>
      <c r="L285" s="169">
        <v>43091</v>
      </c>
      <c r="M285" s="115">
        <v>33.994074074074099</v>
      </c>
      <c r="N285" s="115">
        <v>35.481481481481502</v>
      </c>
      <c r="O285" s="115">
        <v>33.487407407407403</v>
      </c>
      <c r="P285" s="115">
        <v>34.488888888888901</v>
      </c>
      <c r="Q285" s="115">
        <v>573.65</v>
      </c>
      <c r="R285">
        <v>153953</v>
      </c>
    </row>
    <row r="286" spans="1:18" x14ac:dyDescent="0.25">
      <c r="A286" s="169">
        <v>43095</v>
      </c>
      <c r="B286" s="115">
        <v>34.788148148148103</v>
      </c>
      <c r="C286" s="115">
        <v>34.204444444444398</v>
      </c>
      <c r="D286" s="115">
        <v>33.896296296296299</v>
      </c>
      <c r="E286" s="115">
        <v>34.192592592592597</v>
      </c>
      <c r="F286" s="115">
        <v>577.20000000000005</v>
      </c>
      <c r="G286">
        <v>8135</v>
      </c>
      <c r="H286" s="115"/>
      <c r="I286" s="115"/>
      <c r="L286" s="169">
        <v>43095</v>
      </c>
      <c r="M286" s="115">
        <v>34.474074074074103</v>
      </c>
      <c r="N286" s="115">
        <v>34.933333333333302</v>
      </c>
      <c r="O286" s="115">
        <v>33.7777777777778</v>
      </c>
      <c r="P286" s="115">
        <v>34.074074074074097</v>
      </c>
      <c r="Q286" s="115">
        <v>581.75</v>
      </c>
      <c r="R286">
        <v>63221</v>
      </c>
    </row>
    <row r="287" spans="1:18" x14ac:dyDescent="0.25">
      <c r="A287" s="169">
        <v>43096</v>
      </c>
      <c r="B287" s="115">
        <v>36.8562962962963</v>
      </c>
      <c r="C287" s="115">
        <v>35.164444444444399</v>
      </c>
      <c r="D287" s="115">
        <v>33.7777777777778</v>
      </c>
      <c r="E287" s="115">
        <v>34.2548148148148</v>
      </c>
      <c r="F287" s="115">
        <v>593.4</v>
      </c>
      <c r="G287">
        <v>26317</v>
      </c>
      <c r="H287" s="115"/>
      <c r="I287" s="115"/>
      <c r="L287" s="169">
        <v>43096</v>
      </c>
      <c r="M287" s="115">
        <v>35.0133333333333</v>
      </c>
      <c r="N287" s="115">
        <v>36.918518518518503</v>
      </c>
      <c r="O287" s="115">
        <v>34.165925925925897</v>
      </c>
      <c r="P287" s="115">
        <v>34.637037037036997</v>
      </c>
      <c r="Q287" s="115">
        <v>590.85</v>
      </c>
      <c r="R287">
        <v>330766</v>
      </c>
    </row>
    <row r="288" spans="1:18" x14ac:dyDescent="0.25">
      <c r="A288" s="169">
        <v>43097</v>
      </c>
      <c r="B288" s="115">
        <v>38.24</v>
      </c>
      <c r="C288" s="115">
        <v>37.069629629629603</v>
      </c>
      <c r="D288" s="115">
        <v>35.389629629629603</v>
      </c>
      <c r="E288" s="115">
        <v>35.389629629629603</v>
      </c>
      <c r="F288" s="115">
        <v>625.54999999999995</v>
      </c>
      <c r="G288">
        <v>18893</v>
      </c>
      <c r="H288" s="115"/>
      <c r="I288" s="115"/>
      <c r="L288" s="169">
        <v>43097</v>
      </c>
      <c r="M288" s="115">
        <v>37.517037037036999</v>
      </c>
      <c r="N288" s="115">
        <v>38.420740740740698</v>
      </c>
      <c r="O288" s="115">
        <v>34.968888888888898</v>
      </c>
      <c r="P288" s="115">
        <v>35.345185185185201</v>
      </c>
      <c r="Q288" s="115">
        <v>633.1</v>
      </c>
      <c r="R288">
        <v>302455</v>
      </c>
    </row>
    <row r="289" spans="1:18" x14ac:dyDescent="0.25">
      <c r="A289" s="169">
        <v>43098</v>
      </c>
      <c r="B289" s="115">
        <v>39.404444444444401</v>
      </c>
      <c r="C289" s="115">
        <v>38.598518518518503</v>
      </c>
      <c r="D289" s="115">
        <v>37.7451851851852</v>
      </c>
      <c r="E289" s="115">
        <v>38.453333333333298</v>
      </c>
      <c r="F289" s="115">
        <v>651.35</v>
      </c>
      <c r="G289">
        <v>21184</v>
      </c>
      <c r="H289" s="115"/>
      <c r="I289" s="115"/>
      <c r="L289" s="169">
        <v>43098</v>
      </c>
      <c r="M289" s="115">
        <v>38.711111111111101</v>
      </c>
      <c r="N289" s="115">
        <v>39.348148148148098</v>
      </c>
      <c r="O289" s="115">
        <v>37.629629629629598</v>
      </c>
      <c r="P289" s="115">
        <v>37.703703703703702</v>
      </c>
      <c r="Q289" s="115">
        <v>653.25</v>
      </c>
      <c r="R289">
        <v>231291</v>
      </c>
    </row>
    <row r="290" spans="1:18" x14ac:dyDescent="0.25">
      <c r="A290" s="169">
        <v>43101</v>
      </c>
      <c r="B290" s="115">
        <v>39.466666666666697</v>
      </c>
      <c r="C290" s="115">
        <v>38.515555555555601</v>
      </c>
      <c r="D290" s="115">
        <v>38.402962962963002</v>
      </c>
      <c r="E290" s="115">
        <v>38.696296296296303</v>
      </c>
      <c r="F290" s="115">
        <v>649.95000000000005</v>
      </c>
      <c r="G290">
        <v>7941</v>
      </c>
      <c r="H290" s="115"/>
      <c r="I290" s="115"/>
      <c r="L290" s="169">
        <v>43101</v>
      </c>
      <c r="M290" s="115">
        <v>38.838518518518498</v>
      </c>
      <c r="N290" s="115">
        <v>39.520000000000003</v>
      </c>
      <c r="O290" s="115">
        <v>38.4</v>
      </c>
      <c r="P290" s="115">
        <v>38.625185185185202</v>
      </c>
      <c r="Q290" s="115">
        <v>655.4</v>
      </c>
      <c r="R290">
        <v>567906</v>
      </c>
    </row>
    <row r="291" spans="1:18" x14ac:dyDescent="0.25">
      <c r="A291" s="169">
        <v>43102</v>
      </c>
      <c r="B291" s="115">
        <v>45.128888888888902</v>
      </c>
      <c r="C291" s="115">
        <v>41.801481481481503</v>
      </c>
      <c r="D291" s="115">
        <v>38.814814814814802</v>
      </c>
      <c r="E291" s="115">
        <v>39.081481481481497</v>
      </c>
      <c r="F291" s="115">
        <v>705.4</v>
      </c>
      <c r="G291">
        <v>1098387</v>
      </c>
      <c r="H291" s="115"/>
      <c r="I291" s="115"/>
      <c r="L291" s="169">
        <v>43102</v>
      </c>
      <c r="M291" s="115">
        <v>41.623703703703697</v>
      </c>
      <c r="N291" s="115">
        <v>44.965925925925902</v>
      </c>
      <c r="O291" s="115">
        <v>38.814814814814802</v>
      </c>
      <c r="P291" s="115">
        <v>39.1111111111111</v>
      </c>
      <c r="Q291" s="115">
        <v>702.4</v>
      </c>
      <c r="R291">
        <v>1697836</v>
      </c>
    </row>
    <row r="292" spans="1:18" x14ac:dyDescent="0.25">
      <c r="A292" s="169">
        <v>43103</v>
      </c>
      <c r="B292" s="115">
        <v>43.179259259259297</v>
      </c>
      <c r="C292" s="115">
        <v>41.9674074074074</v>
      </c>
      <c r="D292" s="115">
        <v>41.671111111111102</v>
      </c>
      <c r="E292" s="115">
        <v>42.011851851851901</v>
      </c>
      <c r="F292" s="115">
        <v>708.2</v>
      </c>
      <c r="G292">
        <v>44603</v>
      </c>
      <c r="H292" s="115"/>
      <c r="I292" s="115"/>
      <c r="L292" s="169">
        <v>43103</v>
      </c>
      <c r="M292" s="115">
        <v>41.985185185185202</v>
      </c>
      <c r="N292" s="115">
        <v>43.140740740740704</v>
      </c>
      <c r="O292" s="115">
        <v>41.484444444444399</v>
      </c>
      <c r="P292" s="115">
        <v>41.872592592592603</v>
      </c>
      <c r="Q292" s="115">
        <v>708.5</v>
      </c>
      <c r="R292">
        <v>583537</v>
      </c>
    </row>
    <row r="293" spans="1:18" x14ac:dyDescent="0.25">
      <c r="A293" s="169">
        <v>43104</v>
      </c>
      <c r="B293" s="115">
        <v>42.6666666666667</v>
      </c>
      <c r="C293" s="115">
        <v>40.802962962963001</v>
      </c>
      <c r="D293" s="115">
        <v>40.429629629629602</v>
      </c>
      <c r="E293" s="115">
        <v>42.6666666666667</v>
      </c>
      <c r="F293" s="115">
        <v>688.55</v>
      </c>
      <c r="G293">
        <v>18717</v>
      </c>
      <c r="H293" s="115"/>
      <c r="I293" s="115"/>
      <c r="L293" s="169">
        <v>43104</v>
      </c>
      <c r="M293" s="115">
        <v>40.7259259259259</v>
      </c>
      <c r="N293" s="115">
        <v>42.192592592592597</v>
      </c>
      <c r="O293" s="115">
        <v>40.388148148148098</v>
      </c>
      <c r="P293" s="115">
        <v>41.955555555555598</v>
      </c>
      <c r="Q293" s="115">
        <v>687.25</v>
      </c>
      <c r="R293">
        <v>140902</v>
      </c>
    </row>
    <row r="294" spans="1:18" x14ac:dyDescent="0.25">
      <c r="A294" s="169">
        <v>43105</v>
      </c>
      <c r="B294" s="115">
        <v>44.468148148148103</v>
      </c>
      <c r="C294" s="115">
        <v>41.511111111111099</v>
      </c>
      <c r="D294" s="115">
        <v>41.191111111111098</v>
      </c>
      <c r="E294" s="115">
        <v>42.962962962962997</v>
      </c>
      <c r="F294" s="115">
        <v>700.5</v>
      </c>
      <c r="G294">
        <v>2611501</v>
      </c>
      <c r="H294" s="115"/>
      <c r="I294" s="115"/>
      <c r="L294" s="169">
        <v>43105</v>
      </c>
      <c r="M294" s="115">
        <v>41.742222222222203</v>
      </c>
      <c r="N294" s="115">
        <v>44.4444444444444</v>
      </c>
      <c r="O294" s="115">
        <v>41.487407407407403</v>
      </c>
      <c r="P294" s="115">
        <v>43.037037037037003</v>
      </c>
      <c r="Q294" s="115">
        <v>704.4</v>
      </c>
      <c r="R294">
        <v>1462294</v>
      </c>
    </row>
    <row r="295" spans="1:18" x14ac:dyDescent="0.25">
      <c r="A295" s="169">
        <v>43108</v>
      </c>
      <c r="B295" s="115">
        <v>42.370370370370402</v>
      </c>
      <c r="C295" s="115">
        <v>41.437037037037001</v>
      </c>
      <c r="D295" s="115">
        <v>41.303703703703697</v>
      </c>
      <c r="E295" s="115">
        <v>41.837037037037</v>
      </c>
      <c r="F295" s="115">
        <v>699.25</v>
      </c>
      <c r="G295">
        <v>21054</v>
      </c>
      <c r="H295" s="115"/>
      <c r="I295" s="115"/>
      <c r="L295" s="169">
        <v>43108</v>
      </c>
      <c r="M295" s="115">
        <v>41.4251851851852</v>
      </c>
      <c r="N295" s="115">
        <v>42.429629629629602</v>
      </c>
      <c r="O295" s="115">
        <v>41.265185185185203</v>
      </c>
      <c r="P295" s="115">
        <v>41.742222222222203</v>
      </c>
      <c r="Q295" s="115">
        <v>699.05</v>
      </c>
      <c r="R295">
        <v>222965</v>
      </c>
    </row>
    <row r="296" spans="1:18" x14ac:dyDescent="0.25">
      <c r="A296" s="169">
        <v>43109</v>
      </c>
      <c r="B296" s="115">
        <v>42</v>
      </c>
      <c r="C296" s="115">
        <v>40.521481481481501</v>
      </c>
      <c r="D296" s="115">
        <v>40.296296296296298</v>
      </c>
      <c r="E296" s="115">
        <v>41.422222222222203</v>
      </c>
      <c r="F296" s="115">
        <v>683.8</v>
      </c>
      <c r="G296">
        <v>22133</v>
      </c>
      <c r="H296" s="115"/>
      <c r="I296" s="115"/>
      <c r="L296" s="169">
        <v>43109</v>
      </c>
      <c r="M296" s="115">
        <v>40.743703703703702</v>
      </c>
      <c r="N296" s="115">
        <v>42.011851851851901</v>
      </c>
      <c r="O296" s="115">
        <v>40.296296296296298</v>
      </c>
      <c r="P296" s="115">
        <v>41.481481481481502</v>
      </c>
      <c r="Q296" s="115">
        <v>687.55</v>
      </c>
      <c r="R296">
        <v>142428</v>
      </c>
    </row>
    <row r="297" spans="1:18" x14ac:dyDescent="0.25">
      <c r="A297" s="169">
        <v>43110</v>
      </c>
      <c r="B297" s="115">
        <v>41.134814814814803</v>
      </c>
      <c r="C297" s="115">
        <v>40.1244444444444</v>
      </c>
      <c r="D297" s="115">
        <v>39.783703703703701</v>
      </c>
      <c r="E297" s="115">
        <v>40.592592592592602</v>
      </c>
      <c r="F297" s="115">
        <v>677.1</v>
      </c>
      <c r="G297">
        <v>14305</v>
      </c>
      <c r="H297" s="115"/>
      <c r="I297" s="115"/>
      <c r="L297" s="169">
        <v>43110</v>
      </c>
      <c r="M297" s="115">
        <v>40.207407407407402</v>
      </c>
      <c r="N297" s="115">
        <v>41.185185185185198</v>
      </c>
      <c r="O297" s="115">
        <v>39.733333333333299</v>
      </c>
      <c r="P297" s="115">
        <v>40.9214814814815</v>
      </c>
      <c r="Q297" s="115">
        <v>678.5</v>
      </c>
      <c r="R297">
        <v>133010</v>
      </c>
    </row>
    <row r="298" spans="1:18" x14ac:dyDescent="0.25">
      <c r="A298" s="169">
        <v>43111</v>
      </c>
      <c r="B298" s="115">
        <v>40.645925925925901</v>
      </c>
      <c r="C298" s="115">
        <v>40.053333333333299</v>
      </c>
      <c r="D298" s="115">
        <v>39.706666666666699</v>
      </c>
      <c r="E298" s="115">
        <v>40.296296296296298</v>
      </c>
      <c r="F298" s="115">
        <v>675.9</v>
      </c>
      <c r="G298">
        <v>14422</v>
      </c>
      <c r="H298" s="115"/>
      <c r="I298" s="115"/>
      <c r="L298" s="169">
        <v>43111</v>
      </c>
      <c r="M298" s="115">
        <v>40.174814814814802</v>
      </c>
      <c r="N298" s="115">
        <v>40.711111111111101</v>
      </c>
      <c r="O298" s="115">
        <v>39.611851851851902</v>
      </c>
      <c r="P298" s="115">
        <v>40.405925925925899</v>
      </c>
      <c r="Q298" s="115">
        <v>677.95</v>
      </c>
      <c r="R298">
        <v>81959</v>
      </c>
    </row>
    <row r="299" spans="1:18" x14ac:dyDescent="0.25">
      <c r="A299" s="169">
        <v>43112</v>
      </c>
      <c r="B299" s="115">
        <v>41.466666666666697</v>
      </c>
      <c r="C299" s="115">
        <v>39.985185185185202</v>
      </c>
      <c r="D299" s="115">
        <v>39.822222222222202</v>
      </c>
      <c r="E299" s="115">
        <v>40.8888888888889</v>
      </c>
      <c r="F299" s="115">
        <v>674.75</v>
      </c>
      <c r="G299">
        <v>23966</v>
      </c>
      <c r="H299" s="115"/>
      <c r="I299" s="115"/>
      <c r="L299" s="169">
        <v>43112</v>
      </c>
      <c r="M299" s="115">
        <v>40.198518518518497</v>
      </c>
      <c r="N299" s="115">
        <v>41.419259259259299</v>
      </c>
      <c r="O299" s="115">
        <v>40</v>
      </c>
      <c r="P299" s="115">
        <v>40.891851851851797</v>
      </c>
      <c r="Q299" s="115">
        <v>678.35</v>
      </c>
      <c r="R299">
        <v>177236</v>
      </c>
    </row>
    <row r="300" spans="1:18" x14ac:dyDescent="0.25">
      <c r="A300" s="169">
        <v>43115</v>
      </c>
      <c r="B300" s="115">
        <v>40.583703703703698</v>
      </c>
      <c r="C300" s="115">
        <v>39.564444444444398</v>
      </c>
      <c r="D300" s="115">
        <v>39.134814814814803</v>
      </c>
      <c r="E300" s="115">
        <v>40.308148148148099</v>
      </c>
      <c r="F300" s="115">
        <v>667.65</v>
      </c>
      <c r="G300">
        <v>15121</v>
      </c>
      <c r="H300" s="115"/>
      <c r="I300" s="115"/>
      <c r="L300" s="169">
        <v>43115</v>
      </c>
      <c r="M300" s="115">
        <v>39.8103703703704</v>
      </c>
      <c r="N300" s="115">
        <v>40.610370370370397</v>
      </c>
      <c r="O300" s="115">
        <v>39.122962962963001</v>
      </c>
      <c r="P300" s="115">
        <v>40.325925925925901</v>
      </c>
      <c r="Q300" s="115">
        <v>671.8</v>
      </c>
      <c r="R300">
        <v>92237</v>
      </c>
    </row>
    <row r="301" spans="1:18" x14ac:dyDescent="0.25">
      <c r="A301" s="169">
        <v>43116</v>
      </c>
      <c r="B301" s="115">
        <v>40</v>
      </c>
      <c r="C301" s="115">
        <v>38.242962962962999</v>
      </c>
      <c r="D301" s="115">
        <v>37.925925925925903</v>
      </c>
      <c r="E301" s="115">
        <v>39.437037037037001</v>
      </c>
      <c r="F301" s="115">
        <v>645.35</v>
      </c>
      <c r="G301">
        <v>11337</v>
      </c>
      <c r="H301" s="115"/>
      <c r="I301" s="115"/>
      <c r="L301" s="169">
        <v>43116</v>
      </c>
      <c r="M301" s="115">
        <v>38.201481481481501</v>
      </c>
      <c r="N301" s="115">
        <v>40.109629629629602</v>
      </c>
      <c r="O301" s="115">
        <v>37.925925925925903</v>
      </c>
      <c r="P301" s="115">
        <v>39.917037037036998</v>
      </c>
      <c r="Q301" s="115">
        <v>644.65</v>
      </c>
      <c r="R301">
        <v>110573</v>
      </c>
    </row>
    <row r="302" spans="1:18" x14ac:dyDescent="0.25">
      <c r="A302" s="169">
        <v>43117</v>
      </c>
      <c r="B302" s="115">
        <v>39.822222222222202</v>
      </c>
      <c r="C302" s="115">
        <v>39.179259259259297</v>
      </c>
      <c r="D302" s="115">
        <v>36.942222222222199</v>
      </c>
      <c r="E302" s="115">
        <v>38.2548148148148</v>
      </c>
      <c r="F302" s="115">
        <v>661.15</v>
      </c>
      <c r="G302">
        <v>19717</v>
      </c>
      <c r="H302" s="115"/>
      <c r="I302" s="115"/>
      <c r="L302" s="169">
        <v>43117</v>
      </c>
      <c r="M302" s="115">
        <v>39.072592592592599</v>
      </c>
      <c r="N302" s="115">
        <v>39.925925925925903</v>
      </c>
      <c r="O302" s="115">
        <v>36.977777777777803</v>
      </c>
      <c r="P302" s="115">
        <v>38.328888888888898</v>
      </c>
      <c r="Q302" s="115">
        <v>659.35</v>
      </c>
      <c r="R302">
        <v>178675</v>
      </c>
    </row>
    <row r="303" spans="1:18" x14ac:dyDescent="0.25">
      <c r="A303" s="169">
        <v>43118</v>
      </c>
      <c r="B303" s="115">
        <v>40.705185185185201</v>
      </c>
      <c r="C303" s="115">
        <v>37.872592592592603</v>
      </c>
      <c r="D303" s="115">
        <v>37.629629629629598</v>
      </c>
      <c r="E303" s="115">
        <v>39.407407407407398</v>
      </c>
      <c r="F303" s="115">
        <v>639.1</v>
      </c>
      <c r="G303">
        <v>21009</v>
      </c>
      <c r="H303" s="115"/>
      <c r="I303" s="115"/>
      <c r="L303" s="169">
        <v>43118</v>
      </c>
      <c r="M303" s="115">
        <v>38.068148148148097</v>
      </c>
      <c r="N303" s="115">
        <v>40.770370370370401</v>
      </c>
      <c r="O303" s="115">
        <v>37.629629629629598</v>
      </c>
      <c r="P303" s="115">
        <v>39.940740740740701</v>
      </c>
      <c r="Q303" s="115">
        <v>642.4</v>
      </c>
      <c r="R303">
        <v>141122</v>
      </c>
    </row>
    <row r="304" spans="1:18" x14ac:dyDescent="0.25">
      <c r="A304" s="169">
        <v>43119</v>
      </c>
      <c r="B304" s="115">
        <v>40.589629629629599</v>
      </c>
      <c r="C304" s="115">
        <v>40.059259259259299</v>
      </c>
      <c r="D304" s="115">
        <v>37.1437037037037</v>
      </c>
      <c r="E304" s="115">
        <v>37.872592592592603</v>
      </c>
      <c r="F304" s="115">
        <v>676</v>
      </c>
      <c r="G304">
        <v>25705</v>
      </c>
      <c r="H304" s="115"/>
      <c r="I304" s="115"/>
      <c r="L304" s="169">
        <v>43119</v>
      </c>
      <c r="M304" s="115">
        <v>40.071111111111101</v>
      </c>
      <c r="N304" s="115">
        <v>40.296296296296298</v>
      </c>
      <c r="O304" s="115">
        <v>36.9807407407407</v>
      </c>
      <c r="P304" s="115">
        <v>38.263703703703698</v>
      </c>
      <c r="Q304" s="115">
        <v>676.2</v>
      </c>
      <c r="R304">
        <v>215211</v>
      </c>
    </row>
    <row r="305" spans="1:18" x14ac:dyDescent="0.25">
      <c r="A305" s="169">
        <v>43122</v>
      </c>
      <c r="B305" s="115">
        <v>41.460740740740697</v>
      </c>
      <c r="C305" s="115">
        <v>40.877037037036999</v>
      </c>
      <c r="D305" s="115">
        <v>40.056296296296303</v>
      </c>
      <c r="E305" s="115">
        <v>40.177777777777798</v>
      </c>
      <c r="F305" s="115">
        <v>689.8</v>
      </c>
      <c r="G305">
        <v>18905</v>
      </c>
      <c r="H305" s="115"/>
      <c r="I305" s="115"/>
      <c r="L305" s="169">
        <v>43122</v>
      </c>
      <c r="M305" s="115">
        <v>41.1762962962963</v>
      </c>
      <c r="N305" s="115">
        <v>41.481481481481502</v>
      </c>
      <c r="O305" s="115">
        <v>40.002962962962997</v>
      </c>
      <c r="P305" s="115">
        <v>40.414814814814797</v>
      </c>
      <c r="Q305" s="115">
        <v>694.85</v>
      </c>
      <c r="R305">
        <v>137472</v>
      </c>
    </row>
    <row r="306" spans="1:18" x14ac:dyDescent="0.25">
      <c r="A306" s="169">
        <v>43123</v>
      </c>
      <c r="B306" s="115">
        <v>43.2</v>
      </c>
      <c r="C306" s="115">
        <v>42.2281481481482</v>
      </c>
      <c r="D306" s="115">
        <v>41.007407407407399</v>
      </c>
      <c r="E306" s="115">
        <v>41.007407407407399</v>
      </c>
      <c r="F306" s="115">
        <v>712.6</v>
      </c>
      <c r="G306">
        <v>47424</v>
      </c>
      <c r="H306" s="115"/>
      <c r="I306" s="115"/>
      <c r="L306" s="169">
        <v>43123</v>
      </c>
      <c r="M306" s="115">
        <v>42.118518518518499</v>
      </c>
      <c r="N306" s="115">
        <v>43.294814814814799</v>
      </c>
      <c r="O306" s="115">
        <v>40.776296296296302</v>
      </c>
      <c r="P306" s="115">
        <v>41.576296296296299</v>
      </c>
      <c r="Q306" s="115">
        <v>710.75</v>
      </c>
      <c r="R306">
        <v>4387944</v>
      </c>
    </row>
    <row r="307" spans="1:18" x14ac:dyDescent="0.25">
      <c r="A307" s="169">
        <v>43124</v>
      </c>
      <c r="B307" s="115">
        <v>43.140740740740704</v>
      </c>
      <c r="C307" s="115">
        <v>42.494814814814802</v>
      </c>
      <c r="D307" s="115">
        <v>41.807407407407403</v>
      </c>
      <c r="E307" s="115">
        <v>42.311111111111103</v>
      </c>
      <c r="F307" s="115">
        <v>717.1</v>
      </c>
      <c r="G307">
        <v>23707</v>
      </c>
      <c r="H307" s="115"/>
      <c r="I307" s="115"/>
      <c r="L307" s="169">
        <v>43124</v>
      </c>
      <c r="M307" s="115">
        <v>42.657777777777802</v>
      </c>
      <c r="N307" s="115">
        <v>43.128888888888902</v>
      </c>
      <c r="O307" s="115">
        <v>41.780740740740697</v>
      </c>
      <c r="P307" s="115">
        <v>42.6666666666667</v>
      </c>
      <c r="Q307" s="115">
        <v>719.85</v>
      </c>
      <c r="R307">
        <v>229628</v>
      </c>
    </row>
    <row r="308" spans="1:18" x14ac:dyDescent="0.25">
      <c r="A308" s="169">
        <v>43125</v>
      </c>
      <c r="B308" s="115">
        <v>42.933333333333302</v>
      </c>
      <c r="C308" s="115">
        <v>41.863703703703699</v>
      </c>
      <c r="D308" s="115">
        <v>41.540740740740702</v>
      </c>
      <c r="E308" s="115">
        <v>42.488888888888901</v>
      </c>
      <c r="F308" s="115">
        <v>706.45</v>
      </c>
      <c r="G308">
        <v>15190</v>
      </c>
      <c r="H308" s="115"/>
      <c r="I308" s="115"/>
      <c r="L308" s="169">
        <v>43125</v>
      </c>
      <c r="M308" s="115">
        <v>42.077037037037002</v>
      </c>
      <c r="N308" s="115">
        <v>43.001481481481498</v>
      </c>
      <c r="O308" s="115">
        <v>41.7777777777778</v>
      </c>
      <c r="P308" s="115">
        <v>42.962962962962997</v>
      </c>
      <c r="Q308" s="115">
        <v>710.05</v>
      </c>
      <c r="R308">
        <v>121225</v>
      </c>
    </row>
    <row r="309" spans="1:18" x14ac:dyDescent="0.25">
      <c r="A309" s="169">
        <v>43129</v>
      </c>
      <c r="B309" s="115">
        <v>42.474074074074103</v>
      </c>
      <c r="C309" s="115">
        <v>41.063703703703702</v>
      </c>
      <c r="D309" s="115">
        <v>40.533333333333303</v>
      </c>
      <c r="E309" s="115">
        <v>41.896296296296299</v>
      </c>
      <c r="F309" s="115">
        <v>692.95</v>
      </c>
      <c r="G309">
        <v>110275</v>
      </c>
      <c r="H309" s="115"/>
      <c r="I309" s="115"/>
      <c r="L309" s="169">
        <v>43129</v>
      </c>
      <c r="M309" s="115">
        <v>41.188148148148102</v>
      </c>
      <c r="N309" s="115">
        <v>42.548148148148201</v>
      </c>
      <c r="O309" s="115">
        <v>40.891851851851797</v>
      </c>
      <c r="P309" s="115">
        <v>42.311111111111103</v>
      </c>
      <c r="Q309" s="115">
        <v>695.05</v>
      </c>
      <c r="R309">
        <v>44182</v>
      </c>
    </row>
    <row r="310" spans="1:18" x14ac:dyDescent="0.25">
      <c r="A310" s="169">
        <v>43130</v>
      </c>
      <c r="B310" s="115">
        <v>41.958518518518503</v>
      </c>
      <c r="C310" s="115">
        <v>40.477037037037</v>
      </c>
      <c r="D310" s="115">
        <v>40</v>
      </c>
      <c r="E310" s="115">
        <v>41.066666666666698</v>
      </c>
      <c r="F310" s="115">
        <v>683.05</v>
      </c>
      <c r="G310">
        <v>6125</v>
      </c>
      <c r="H310" s="115"/>
      <c r="I310" s="115"/>
      <c r="L310" s="169">
        <v>43130</v>
      </c>
      <c r="M310" s="115">
        <v>40.622222222222199</v>
      </c>
      <c r="N310" s="115">
        <v>41.979259259259301</v>
      </c>
      <c r="O310" s="115">
        <v>39.795555555555602</v>
      </c>
      <c r="P310" s="115">
        <v>40.414814814814797</v>
      </c>
      <c r="Q310" s="115">
        <v>685.5</v>
      </c>
      <c r="R310">
        <v>47886</v>
      </c>
    </row>
    <row r="311" spans="1:18" x14ac:dyDescent="0.25">
      <c r="A311" s="169">
        <v>43131</v>
      </c>
      <c r="B311" s="115">
        <v>41.36</v>
      </c>
      <c r="C311" s="115">
        <v>40.951111111111103</v>
      </c>
      <c r="D311" s="115">
        <v>39.994074074074099</v>
      </c>
      <c r="E311" s="115">
        <v>40.414814814814797</v>
      </c>
      <c r="F311" s="115">
        <v>691.05</v>
      </c>
      <c r="G311">
        <v>6007</v>
      </c>
      <c r="H311" s="115"/>
      <c r="I311" s="115"/>
      <c r="L311" s="169">
        <v>43131</v>
      </c>
      <c r="M311" s="115">
        <v>40.930370370370397</v>
      </c>
      <c r="N311" s="115">
        <v>41.362962962963003</v>
      </c>
      <c r="O311" s="115">
        <v>39.896296296296299</v>
      </c>
      <c r="P311" s="115">
        <v>40.4177777777778</v>
      </c>
      <c r="Q311" s="115">
        <v>690.7</v>
      </c>
      <c r="R311">
        <v>57137</v>
      </c>
    </row>
    <row r="312" spans="1:18" x14ac:dyDescent="0.25">
      <c r="A312" s="169">
        <v>43132</v>
      </c>
      <c r="B312" s="115">
        <v>42.933333333333302</v>
      </c>
      <c r="C312" s="115">
        <v>39.866666666666703</v>
      </c>
      <c r="D312" s="115">
        <v>39.564444444444398</v>
      </c>
      <c r="E312" s="115">
        <v>40.829629629629601</v>
      </c>
      <c r="F312" s="115">
        <v>672.75</v>
      </c>
      <c r="G312">
        <v>29336</v>
      </c>
      <c r="H312" s="115"/>
      <c r="I312" s="115"/>
      <c r="L312" s="169">
        <v>43132</v>
      </c>
      <c r="M312" s="115">
        <v>40.139259259259298</v>
      </c>
      <c r="N312" s="115">
        <v>43.022222222222197</v>
      </c>
      <c r="O312" s="115">
        <v>39.602962962962998</v>
      </c>
      <c r="P312" s="115">
        <v>40.945185185185203</v>
      </c>
      <c r="Q312" s="115">
        <v>677.35</v>
      </c>
      <c r="R312">
        <v>184248</v>
      </c>
    </row>
    <row r="313" spans="1:18" x14ac:dyDescent="0.25">
      <c r="A313" s="169">
        <v>43133</v>
      </c>
      <c r="B313" s="115">
        <v>40.589629629629599</v>
      </c>
      <c r="C313" s="115">
        <v>39.537777777777798</v>
      </c>
      <c r="D313" s="115">
        <v>37.931851851851903</v>
      </c>
      <c r="E313" s="115">
        <v>39.404444444444401</v>
      </c>
      <c r="F313" s="115">
        <v>667.2</v>
      </c>
      <c r="G313">
        <v>11487</v>
      </c>
      <c r="H313" s="115"/>
      <c r="I313" s="115"/>
      <c r="L313" s="169">
        <v>43133</v>
      </c>
      <c r="M313" s="115">
        <v>39.848888888888901</v>
      </c>
      <c r="N313" s="115">
        <v>40.882962962962999</v>
      </c>
      <c r="O313" s="115">
        <v>37.985185185185202</v>
      </c>
      <c r="P313" s="115">
        <v>39.697777777777802</v>
      </c>
      <c r="Q313" s="115">
        <v>672.45</v>
      </c>
      <c r="R313">
        <v>95616</v>
      </c>
    </row>
    <row r="314" spans="1:18" x14ac:dyDescent="0.25">
      <c r="A314" s="169">
        <v>43136</v>
      </c>
      <c r="B314" s="115">
        <v>39.520000000000003</v>
      </c>
      <c r="C314" s="115">
        <v>39.2088888888889</v>
      </c>
      <c r="D314" s="115">
        <v>37.937777777777796</v>
      </c>
      <c r="E314" s="115">
        <v>38.539259259259303</v>
      </c>
      <c r="F314" s="115">
        <v>661.65</v>
      </c>
      <c r="G314">
        <v>5468</v>
      </c>
      <c r="H314" s="115"/>
      <c r="I314" s="115"/>
      <c r="L314" s="169">
        <v>43136</v>
      </c>
      <c r="M314" s="115">
        <v>39.392592592592599</v>
      </c>
      <c r="N314" s="115">
        <v>39.703703703703702</v>
      </c>
      <c r="O314" s="115">
        <v>37.8696296296296</v>
      </c>
      <c r="P314" s="115">
        <v>38.518518518518498</v>
      </c>
      <c r="Q314" s="115">
        <v>664.75</v>
      </c>
      <c r="R314">
        <v>44784</v>
      </c>
    </row>
    <row r="315" spans="1:18" x14ac:dyDescent="0.25">
      <c r="A315" s="169">
        <v>43137</v>
      </c>
      <c r="B315" s="115">
        <v>38.645925925925901</v>
      </c>
      <c r="C315" s="115">
        <v>38.198518518518497</v>
      </c>
      <c r="D315" s="115">
        <v>37.330370370370403</v>
      </c>
      <c r="E315" s="115">
        <v>37.724444444444401</v>
      </c>
      <c r="F315" s="115">
        <v>644.6</v>
      </c>
      <c r="G315">
        <v>12931</v>
      </c>
      <c r="H315" s="115"/>
      <c r="I315" s="115"/>
      <c r="L315" s="169">
        <v>43137</v>
      </c>
      <c r="M315" s="115">
        <v>38.645925925925901</v>
      </c>
      <c r="N315" s="115">
        <v>38.965925925925902</v>
      </c>
      <c r="O315" s="115">
        <v>37.229629629629599</v>
      </c>
      <c r="P315" s="115">
        <v>37.798518518518499</v>
      </c>
      <c r="Q315" s="115">
        <v>652.15</v>
      </c>
      <c r="R315">
        <v>51510</v>
      </c>
    </row>
    <row r="316" spans="1:18" x14ac:dyDescent="0.25">
      <c r="A316" s="169">
        <v>43138</v>
      </c>
      <c r="B316" s="115">
        <v>39.703703703703702</v>
      </c>
      <c r="C316" s="115">
        <v>38.9214814814815</v>
      </c>
      <c r="D316" s="115">
        <v>38.2281481481482</v>
      </c>
      <c r="E316" s="115">
        <v>38.4</v>
      </c>
      <c r="F316" s="115">
        <v>656.8</v>
      </c>
      <c r="G316">
        <v>5531</v>
      </c>
      <c r="H316" s="115"/>
      <c r="I316" s="115"/>
      <c r="L316" s="169">
        <v>43138</v>
      </c>
      <c r="M316" s="115">
        <v>39.093333333333298</v>
      </c>
      <c r="N316" s="115">
        <v>39.881481481481501</v>
      </c>
      <c r="O316" s="115">
        <v>38.157037037037</v>
      </c>
      <c r="P316" s="115">
        <v>38.835555555555601</v>
      </c>
      <c r="Q316" s="115">
        <v>659.7</v>
      </c>
      <c r="R316">
        <v>52256</v>
      </c>
    </row>
    <row r="317" spans="1:18" x14ac:dyDescent="0.25">
      <c r="A317" s="169">
        <v>43139</v>
      </c>
      <c r="B317" s="115">
        <v>39.819259259259297</v>
      </c>
      <c r="C317" s="115">
        <v>39.688888888888897</v>
      </c>
      <c r="D317" s="115">
        <v>38.722962962963003</v>
      </c>
      <c r="E317" s="115">
        <v>38.722962962963003</v>
      </c>
      <c r="F317" s="115">
        <v>669.75</v>
      </c>
      <c r="G317">
        <v>2243</v>
      </c>
      <c r="H317" s="115"/>
      <c r="I317" s="115"/>
      <c r="L317" s="169">
        <v>43139</v>
      </c>
      <c r="M317" s="115">
        <v>39.742222222222203</v>
      </c>
      <c r="N317" s="115">
        <v>40.296296296296298</v>
      </c>
      <c r="O317" s="115">
        <v>38.894814814814801</v>
      </c>
      <c r="P317" s="115">
        <v>38.992592592592601</v>
      </c>
      <c r="Q317" s="115">
        <v>670.65</v>
      </c>
      <c r="R317">
        <v>21602</v>
      </c>
    </row>
    <row r="318" spans="1:18" x14ac:dyDescent="0.25">
      <c r="A318" s="169">
        <v>43140</v>
      </c>
      <c r="B318" s="115">
        <v>39.407407407407398</v>
      </c>
      <c r="C318" s="115">
        <v>39.200000000000003</v>
      </c>
      <c r="D318" s="115">
        <v>38.657777777777802</v>
      </c>
      <c r="E318" s="115">
        <v>39.229629629629599</v>
      </c>
      <c r="F318" s="115">
        <v>661.5</v>
      </c>
      <c r="G318">
        <v>2387</v>
      </c>
      <c r="H318" s="115"/>
      <c r="I318" s="115"/>
      <c r="L318" s="169">
        <v>43140</v>
      </c>
      <c r="M318" s="115">
        <v>38.9807407407407</v>
      </c>
      <c r="N318" s="115">
        <v>39.428148148148097</v>
      </c>
      <c r="O318" s="115">
        <v>38.580740740740701</v>
      </c>
      <c r="P318" s="115">
        <v>39.016296296296296</v>
      </c>
      <c r="Q318" s="115">
        <v>657.8</v>
      </c>
      <c r="R318">
        <v>25334</v>
      </c>
    </row>
    <row r="319" spans="1:18" x14ac:dyDescent="0.25">
      <c r="A319" s="169">
        <v>43143</v>
      </c>
      <c r="B319" s="115">
        <v>40.029629629629603</v>
      </c>
      <c r="C319" s="115">
        <v>39.481481481481502</v>
      </c>
      <c r="D319" s="115">
        <v>39.170370370370399</v>
      </c>
      <c r="E319" s="115">
        <v>39.3659259259259</v>
      </c>
      <c r="F319" s="115">
        <v>666.25</v>
      </c>
      <c r="G319">
        <v>2262</v>
      </c>
      <c r="H319" s="115"/>
      <c r="I319" s="115"/>
      <c r="L319" s="169">
        <v>43143</v>
      </c>
      <c r="M319" s="115">
        <v>39.336296296296297</v>
      </c>
      <c r="N319" s="115">
        <v>40.234074074074101</v>
      </c>
      <c r="O319" s="115">
        <v>39.117037037037001</v>
      </c>
      <c r="P319" s="115">
        <v>39.117037037037001</v>
      </c>
      <c r="Q319" s="115">
        <v>663.8</v>
      </c>
      <c r="R319">
        <v>27202</v>
      </c>
    </row>
    <row r="320" spans="1:18" x14ac:dyDescent="0.25">
      <c r="A320" s="169">
        <v>43145</v>
      </c>
      <c r="B320" s="115">
        <v>40.770370370370401</v>
      </c>
      <c r="C320" s="115">
        <v>39.786666666666697</v>
      </c>
      <c r="D320" s="115">
        <v>39.703703703703702</v>
      </c>
      <c r="E320" s="115">
        <v>40.0651851851852</v>
      </c>
      <c r="F320" s="115">
        <v>671.4</v>
      </c>
      <c r="G320">
        <v>4951</v>
      </c>
      <c r="H320" s="115"/>
      <c r="I320" s="115"/>
      <c r="L320" s="169">
        <v>43145</v>
      </c>
      <c r="M320" s="115">
        <v>39.881481481481501</v>
      </c>
      <c r="N320" s="115">
        <v>40.829629629629601</v>
      </c>
      <c r="O320" s="115">
        <v>39.644444444444403</v>
      </c>
      <c r="P320" s="115">
        <v>39.700740740740699</v>
      </c>
      <c r="Q320" s="115">
        <v>673</v>
      </c>
      <c r="R320">
        <v>81621</v>
      </c>
    </row>
    <row r="321" spans="1:18" x14ac:dyDescent="0.25">
      <c r="A321" s="169">
        <v>43146</v>
      </c>
      <c r="B321" s="115">
        <v>40.684444444444402</v>
      </c>
      <c r="C321" s="115">
        <v>39.502222222222201</v>
      </c>
      <c r="D321" s="115">
        <v>39.108148148148203</v>
      </c>
      <c r="E321" s="115">
        <v>40.684444444444402</v>
      </c>
      <c r="F321" s="115">
        <v>666.6</v>
      </c>
      <c r="G321">
        <v>6660</v>
      </c>
      <c r="H321" s="115"/>
      <c r="I321" s="115"/>
      <c r="L321" s="169">
        <v>43146</v>
      </c>
      <c r="M321" s="115">
        <v>39.371851851851901</v>
      </c>
      <c r="N321" s="115">
        <v>40.829629629629601</v>
      </c>
      <c r="O321" s="115">
        <v>39.022222222222197</v>
      </c>
      <c r="P321" s="115">
        <v>40.474074074074103</v>
      </c>
      <c r="Q321" s="115">
        <v>664.4</v>
      </c>
      <c r="R321">
        <v>53584</v>
      </c>
    </row>
    <row r="322" spans="1:18" x14ac:dyDescent="0.25">
      <c r="A322" s="169">
        <v>43147</v>
      </c>
      <c r="B322" s="115">
        <v>40.562962962962999</v>
      </c>
      <c r="C322" s="115">
        <v>38.648888888888898</v>
      </c>
      <c r="D322" s="115">
        <v>37.7777777777778</v>
      </c>
      <c r="E322" s="115">
        <v>40.177777777777798</v>
      </c>
      <c r="F322" s="115">
        <v>652.20000000000005</v>
      </c>
      <c r="G322">
        <v>29494</v>
      </c>
      <c r="H322" s="115"/>
      <c r="I322" s="115"/>
      <c r="L322" s="169">
        <v>43147</v>
      </c>
      <c r="M322" s="115">
        <v>38.637037037036997</v>
      </c>
      <c r="N322" s="115">
        <v>40.355555555555597</v>
      </c>
      <c r="O322" s="115">
        <v>37.4903703703704</v>
      </c>
      <c r="P322" s="115">
        <v>39.899259259259303</v>
      </c>
      <c r="Q322" s="115">
        <v>652</v>
      </c>
      <c r="R322">
        <v>181177</v>
      </c>
    </row>
    <row r="323" spans="1:18" x14ac:dyDescent="0.25">
      <c r="A323" s="169">
        <v>43150</v>
      </c>
      <c r="B323" s="115">
        <v>39.76</v>
      </c>
      <c r="C323" s="115">
        <v>38.515555555555601</v>
      </c>
      <c r="D323" s="115">
        <v>38.340740740740699</v>
      </c>
      <c r="E323" s="115">
        <v>39.1111111111111</v>
      </c>
      <c r="F323" s="115">
        <v>649.95000000000005</v>
      </c>
      <c r="G323">
        <v>5726</v>
      </c>
      <c r="H323" s="115"/>
      <c r="I323" s="115"/>
      <c r="L323" s="169">
        <v>43150</v>
      </c>
      <c r="M323" s="115">
        <v>38.4118518518519</v>
      </c>
      <c r="N323" s="115">
        <v>39.585185185185203</v>
      </c>
      <c r="O323" s="115">
        <v>38.103703703703701</v>
      </c>
      <c r="P323" s="115">
        <v>39.259259259259302</v>
      </c>
      <c r="Q323" s="115">
        <v>648.20000000000005</v>
      </c>
      <c r="R323">
        <v>98915</v>
      </c>
    </row>
    <row r="324" spans="1:18" x14ac:dyDescent="0.25">
      <c r="A324" s="169">
        <v>43151</v>
      </c>
      <c r="B324" s="115">
        <v>39.404444444444401</v>
      </c>
      <c r="C324" s="115">
        <v>37.351111111111102</v>
      </c>
      <c r="D324" s="115">
        <v>37.137777777777799</v>
      </c>
      <c r="E324" s="115">
        <v>38.186666666666703</v>
      </c>
      <c r="F324" s="115">
        <v>630.29999999999995</v>
      </c>
      <c r="G324">
        <v>7440</v>
      </c>
      <c r="H324" s="115"/>
      <c r="I324" s="115"/>
      <c r="L324" s="169">
        <v>43151</v>
      </c>
      <c r="M324" s="115">
        <v>37.315555555555598</v>
      </c>
      <c r="N324" s="115">
        <v>40</v>
      </c>
      <c r="O324" s="115">
        <v>37.105185185185199</v>
      </c>
      <c r="P324" s="115">
        <v>40</v>
      </c>
      <c r="Q324" s="115">
        <v>629.70000000000005</v>
      </c>
      <c r="R324">
        <v>79259</v>
      </c>
    </row>
    <row r="325" spans="1:18" x14ac:dyDescent="0.25">
      <c r="A325" s="169">
        <v>43152</v>
      </c>
      <c r="B325" s="115">
        <v>38.382222222222197</v>
      </c>
      <c r="C325" s="115">
        <v>38.186666666666703</v>
      </c>
      <c r="D325" s="115">
        <v>37.386666666666699</v>
      </c>
      <c r="E325" s="115">
        <v>38.08</v>
      </c>
      <c r="F325" s="115">
        <v>644.4</v>
      </c>
      <c r="G325">
        <v>3982</v>
      </c>
      <c r="H325" s="115"/>
      <c r="I325" s="115"/>
      <c r="L325" s="169">
        <v>43152</v>
      </c>
      <c r="M325" s="115">
        <v>38.269629629629598</v>
      </c>
      <c r="N325" s="115">
        <v>38.459259259259298</v>
      </c>
      <c r="O325" s="115">
        <v>37.371851851851901</v>
      </c>
      <c r="P325" s="115">
        <v>37.807407407407403</v>
      </c>
      <c r="Q325" s="115">
        <v>645.79999999999995</v>
      </c>
      <c r="R325">
        <v>45345</v>
      </c>
    </row>
    <row r="326" spans="1:18" x14ac:dyDescent="0.25">
      <c r="A326" s="169">
        <v>43153</v>
      </c>
      <c r="B326" s="115">
        <v>37.922962962962998</v>
      </c>
      <c r="C326" s="115">
        <v>37.641481481481499</v>
      </c>
      <c r="D326" s="115">
        <v>37.44</v>
      </c>
      <c r="E326" s="115">
        <v>37.688888888888897</v>
      </c>
      <c r="F326" s="115">
        <v>635.20000000000005</v>
      </c>
      <c r="G326">
        <v>1849</v>
      </c>
      <c r="H326" s="115"/>
      <c r="I326" s="115"/>
      <c r="L326" s="169">
        <v>43153</v>
      </c>
      <c r="M326" s="115">
        <v>37.751111111111101</v>
      </c>
      <c r="N326" s="115">
        <v>38.050370370370402</v>
      </c>
      <c r="O326" s="115">
        <v>37.451851851851799</v>
      </c>
      <c r="P326" s="115">
        <v>38.050370370370402</v>
      </c>
      <c r="Q326" s="115">
        <v>637.04999999999995</v>
      </c>
      <c r="R326">
        <v>13419</v>
      </c>
    </row>
    <row r="327" spans="1:18" x14ac:dyDescent="0.25">
      <c r="A327" s="169">
        <v>43154</v>
      </c>
      <c r="B327" s="115">
        <v>39.288888888888899</v>
      </c>
      <c r="C327" s="115">
        <v>39.1762962962963</v>
      </c>
      <c r="D327" s="115">
        <v>37.635555555555598</v>
      </c>
      <c r="E327" s="115">
        <v>37.9674074074074</v>
      </c>
      <c r="F327" s="115">
        <v>661.1</v>
      </c>
      <c r="G327">
        <v>7743</v>
      </c>
      <c r="H327" s="115"/>
      <c r="I327" s="115"/>
      <c r="L327" s="169">
        <v>43154</v>
      </c>
      <c r="M327" s="115">
        <v>39.309629629629598</v>
      </c>
      <c r="N327" s="115">
        <v>39.401481481481497</v>
      </c>
      <c r="O327" s="115">
        <v>37.7451851851852</v>
      </c>
      <c r="P327" s="115">
        <v>37.931851851851903</v>
      </c>
      <c r="Q327" s="115">
        <v>663.35</v>
      </c>
      <c r="R327">
        <v>65308</v>
      </c>
    </row>
    <row r="328" spans="1:18" x14ac:dyDescent="0.25">
      <c r="A328" s="169">
        <v>43157</v>
      </c>
      <c r="B328" s="115">
        <v>40.557037037036999</v>
      </c>
      <c r="C328" s="115">
        <v>39.179259259259297</v>
      </c>
      <c r="D328" s="115">
        <v>38.690370370370402</v>
      </c>
      <c r="E328" s="115">
        <v>39.348148148148098</v>
      </c>
      <c r="F328" s="115">
        <v>661.15</v>
      </c>
      <c r="G328">
        <v>7968</v>
      </c>
      <c r="H328" s="115"/>
      <c r="I328" s="115"/>
      <c r="L328" s="169">
        <v>43157</v>
      </c>
      <c r="M328" s="115">
        <v>39.220740740740702</v>
      </c>
      <c r="N328" s="115">
        <v>40.272592592592602</v>
      </c>
      <c r="O328" s="115">
        <v>38.728888888888903</v>
      </c>
      <c r="P328" s="115">
        <v>39.585185185185203</v>
      </c>
      <c r="Q328" s="115">
        <v>661.85</v>
      </c>
      <c r="R328">
        <v>71119</v>
      </c>
    </row>
    <row r="329" spans="1:18" x14ac:dyDescent="0.25">
      <c r="A329" s="169">
        <v>43158</v>
      </c>
      <c r="B329" s="115">
        <v>39.380740740740698</v>
      </c>
      <c r="C329" s="115">
        <v>38.405925925925899</v>
      </c>
      <c r="D329" s="115">
        <v>38.225185185185197</v>
      </c>
      <c r="E329" s="115">
        <v>39.380740740740698</v>
      </c>
      <c r="F329" s="115">
        <v>648.1</v>
      </c>
      <c r="G329">
        <v>2951</v>
      </c>
      <c r="H329" s="115"/>
      <c r="I329" s="115"/>
      <c r="L329" s="169">
        <v>43158</v>
      </c>
      <c r="M329" s="115">
        <v>38.32</v>
      </c>
      <c r="N329" s="115">
        <v>39.416296296296302</v>
      </c>
      <c r="O329" s="115">
        <v>38.186666666666703</v>
      </c>
      <c r="P329" s="115">
        <v>39.416296296296302</v>
      </c>
      <c r="Q329" s="115">
        <v>646.65</v>
      </c>
      <c r="R329">
        <v>24713</v>
      </c>
    </row>
    <row r="330" spans="1:18" x14ac:dyDescent="0.25">
      <c r="A330" s="169">
        <v>43159</v>
      </c>
      <c r="B330" s="115">
        <v>39.1111111111111</v>
      </c>
      <c r="C330" s="115">
        <v>38.462222222222202</v>
      </c>
      <c r="D330" s="115">
        <v>37.629629629629598</v>
      </c>
      <c r="E330" s="115">
        <v>37.925925925925903</v>
      </c>
      <c r="F330" s="115">
        <v>649.04999999999995</v>
      </c>
      <c r="G330">
        <v>6667</v>
      </c>
      <c r="H330" s="115"/>
      <c r="I330" s="115"/>
      <c r="L330" s="169">
        <v>43159</v>
      </c>
      <c r="M330" s="115">
        <v>38.465185185185199</v>
      </c>
      <c r="N330" s="115">
        <v>38.933333333333302</v>
      </c>
      <c r="O330" s="115">
        <v>37.407407407407398</v>
      </c>
      <c r="P330" s="115">
        <v>38.281481481481499</v>
      </c>
      <c r="Q330" s="115">
        <v>649.1</v>
      </c>
      <c r="R330">
        <v>108778</v>
      </c>
    </row>
    <row r="331" spans="1:18" x14ac:dyDescent="0.25">
      <c r="A331" s="169">
        <v>43160</v>
      </c>
      <c r="B331" s="115">
        <v>39.229629629629599</v>
      </c>
      <c r="C331" s="115">
        <v>38.201481481481501</v>
      </c>
      <c r="D331" s="115">
        <v>37.925925925925903</v>
      </c>
      <c r="E331" s="115">
        <v>38.906666666666702</v>
      </c>
      <c r="F331" s="115">
        <v>644.65</v>
      </c>
      <c r="G331">
        <v>5890</v>
      </c>
      <c r="H331" s="115"/>
      <c r="I331" s="115"/>
      <c r="L331" s="169">
        <v>43160</v>
      </c>
      <c r="M331" s="115">
        <v>38.248888888888899</v>
      </c>
      <c r="N331" s="115">
        <v>39.229629629629599</v>
      </c>
      <c r="O331" s="115">
        <v>37.7718518518518</v>
      </c>
      <c r="P331" s="115">
        <v>38.755555555555603</v>
      </c>
      <c r="Q331" s="115">
        <v>645.45000000000005</v>
      </c>
      <c r="R331">
        <v>127342</v>
      </c>
    </row>
    <row r="332" spans="1:18" x14ac:dyDescent="0.25">
      <c r="A332" s="169">
        <v>43164</v>
      </c>
      <c r="B332" s="115">
        <v>38.044444444444402</v>
      </c>
      <c r="C332" s="115">
        <v>37.520000000000003</v>
      </c>
      <c r="D332" s="115">
        <v>37.416296296296302</v>
      </c>
      <c r="E332" s="115">
        <v>38.044444444444402</v>
      </c>
      <c r="F332" s="115">
        <v>633.15</v>
      </c>
      <c r="G332">
        <v>2353</v>
      </c>
      <c r="H332" s="115"/>
      <c r="I332" s="115"/>
      <c r="L332" s="169">
        <v>43164</v>
      </c>
      <c r="M332" s="115">
        <v>37.688888888888897</v>
      </c>
      <c r="N332" s="115">
        <v>38.103703703703701</v>
      </c>
      <c r="O332" s="115">
        <v>37.514074074074102</v>
      </c>
      <c r="P332" s="115">
        <v>37.866666666666703</v>
      </c>
      <c r="Q332" s="115">
        <v>636</v>
      </c>
      <c r="R332">
        <v>31202</v>
      </c>
    </row>
    <row r="333" spans="1:18" x14ac:dyDescent="0.25">
      <c r="A333" s="169">
        <v>43165</v>
      </c>
      <c r="B333" s="115">
        <v>38.447407407407397</v>
      </c>
      <c r="C333" s="115">
        <v>37.063703703703702</v>
      </c>
      <c r="D333" s="115">
        <v>36.859259259259296</v>
      </c>
      <c r="E333" s="115">
        <v>38.281481481481499</v>
      </c>
      <c r="F333" s="115">
        <v>625.45000000000005</v>
      </c>
      <c r="G333">
        <v>8301</v>
      </c>
      <c r="H333" s="115"/>
      <c r="I333" s="115"/>
      <c r="L333" s="169">
        <v>43165</v>
      </c>
      <c r="M333" s="115">
        <v>37.235555555555599</v>
      </c>
      <c r="N333" s="115">
        <v>38.337777777777802</v>
      </c>
      <c r="O333" s="115">
        <v>37.037037037037003</v>
      </c>
      <c r="P333" s="115">
        <v>38.08</v>
      </c>
      <c r="Q333" s="115">
        <v>628.35</v>
      </c>
      <c r="R333">
        <v>23542</v>
      </c>
    </row>
    <row r="334" spans="1:18" x14ac:dyDescent="0.25">
      <c r="A334" s="169">
        <v>43166</v>
      </c>
      <c r="B334" s="115">
        <v>37.783703703703701</v>
      </c>
      <c r="C334" s="115">
        <v>36.797037037037001</v>
      </c>
      <c r="D334" s="115">
        <v>36.681481481481498</v>
      </c>
      <c r="E334" s="115">
        <v>37.066666666666698</v>
      </c>
      <c r="F334" s="115">
        <v>620.95000000000005</v>
      </c>
      <c r="G334">
        <v>10138</v>
      </c>
      <c r="H334" s="115"/>
      <c r="I334" s="115"/>
      <c r="L334" s="169">
        <v>43166</v>
      </c>
      <c r="M334" s="115">
        <v>36.6992592592593</v>
      </c>
      <c r="N334" s="115">
        <v>37.688888888888897</v>
      </c>
      <c r="O334" s="115">
        <v>36.4444444444444</v>
      </c>
      <c r="P334" s="115">
        <v>37.048888888888897</v>
      </c>
      <c r="Q334" s="115">
        <v>619.29999999999995</v>
      </c>
      <c r="R334">
        <v>32231</v>
      </c>
    </row>
    <row r="335" spans="1:18" x14ac:dyDescent="0.25">
      <c r="A335" s="169">
        <v>43167</v>
      </c>
      <c r="B335" s="115">
        <v>37.626666666666701</v>
      </c>
      <c r="C335" s="115">
        <v>37.514074074074102</v>
      </c>
      <c r="D335" s="115">
        <v>36.874074074074102</v>
      </c>
      <c r="E335" s="115">
        <v>36.894814814814801</v>
      </c>
      <c r="F335" s="115">
        <v>633.04999999999995</v>
      </c>
      <c r="G335">
        <v>3654</v>
      </c>
      <c r="H335" s="115"/>
      <c r="I335" s="115"/>
      <c r="L335" s="169">
        <v>43167</v>
      </c>
      <c r="M335" s="115">
        <v>37.671111111111102</v>
      </c>
      <c r="N335" s="115">
        <v>37.834074074074103</v>
      </c>
      <c r="O335" s="115">
        <v>37.037037037037003</v>
      </c>
      <c r="P335" s="115">
        <v>37.096296296296302</v>
      </c>
      <c r="Q335" s="115">
        <v>635.70000000000005</v>
      </c>
      <c r="R335">
        <v>32792</v>
      </c>
    </row>
    <row r="336" spans="1:18" x14ac:dyDescent="0.25">
      <c r="A336" s="169">
        <v>43168</v>
      </c>
      <c r="B336" s="115">
        <v>38.017777777777802</v>
      </c>
      <c r="C336" s="115">
        <v>37.448888888888902</v>
      </c>
      <c r="D336" s="115">
        <v>37.357037037037003</v>
      </c>
      <c r="E336" s="115">
        <v>37.786666666666697</v>
      </c>
      <c r="F336" s="115">
        <v>631.95000000000005</v>
      </c>
      <c r="G336">
        <v>2344</v>
      </c>
      <c r="H336" s="115"/>
      <c r="I336" s="115"/>
      <c r="L336" s="169">
        <v>43168</v>
      </c>
      <c r="M336" s="115">
        <v>37.4251851851852</v>
      </c>
      <c r="N336" s="115">
        <v>38.044444444444402</v>
      </c>
      <c r="O336" s="115">
        <v>37.3333333333333</v>
      </c>
      <c r="P336" s="115">
        <v>37.925925925925903</v>
      </c>
      <c r="Q336" s="115">
        <v>631.54999999999995</v>
      </c>
      <c r="R336">
        <v>14532</v>
      </c>
    </row>
    <row r="337" spans="1:18" x14ac:dyDescent="0.25">
      <c r="A337" s="169">
        <v>43171</v>
      </c>
      <c r="B337" s="115">
        <v>37.659259259259301</v>
      </c>
      <c r="C337" s="115">
        <v>36.675555555555597</v>
      </c>
      <c r="D337" s="115">
        <v>36.3851851851852</v>
      </c>
      <c r="E337" s="115">
        <v>37.629629629629598</v>
      </c>
      <c r="F337" s="115">
        <v>618.9</v>
      </c>
      <c r="G337">
        <v>3261</v>
      </c>
      <c r="H337" s="115"/>
      <c r="I337" s="115"/>
      <c r="L337" s="169">
        <v>43171</v>
      </c>
      <c r="M337" s="115">
        <v>36.740740740740698</v>
      </c>
      <c r="N337" s="115">
        <v>37.896296296296299</v>
      </c>
      <c r="O337" s="115">
        <v>36.207407407407402</v>
      </c>
      <c r="P337" s="115">
        <v>37.896296296296299</v>
      </c>
      <c r="Q337" s="115">
        <v>620</v>
      </c>
      <c r="R337">
        <v>35105</v>
      </c>
    </row>
    <row r="338" spans="1:18" x14ac:dyDescent="0.25">
      <c r="A338" s="169">
        <v>43172</v>
      </c>
      <c r="B338" s="115">
        <v>37.374814814814798</v>
      </c>
      <c r="C338" s="115">
        <v>36.237037037036998</v>
      </c>
      <c r="D338" s="115">
        <v>36.151111111111099</v>
      </c>
      <c r="E338" s="115">
        <v>36.776296296296302</v>
      </c>
      <c r="F338" s="115">
        <v>611.5</v>
      </c>
      <c r="G338">
        <v>5113</v>
      </c>
      <c r="H338" s="115"/>
      <c r="I338" s="115"/>
      <c r="L338" s="169">
        <v>43172</v>
      </c>
      <c r="M338" s="115">
        <v>36.127407407407397</v>
      </c>
      <c r="N338" s="115">
        <v>37.351111111111102</v>
      </c>
      <c r="O338" s="115">
        <v>35.970370370370397</v>
      </c>
      <c r="P338" s="115">
        <v>36.957037037036997</v>
      </c>
      <c r="Q338" s="115">
        <v>609.65</v>
      </c>
      <c r="R338">
        <v>260854</v>
      </c>
    </row>
    <row r="339" spans="1:18" x14ac:dyDescent="0.25">
      <c r="A339" s="169">
        <v>43173</v>
      </c>
      <c r="B339" s="115">
        <v>36.586666666666702</v>
      </c>
      <c r="C339" s="115">
        <v>35.949629629629598</v>
      </c>
      <c r="D339" s="115">
        <v>35.437037037037001</v>
      </c>
      <c r="E339" s="115">
        <v>36.088888888888903</v>
      </c>
      <c r="F339" s="115">
        <v>606.65</v>
      </c>
      <c r="G339">
        <v>9378</v>
      </c>
      <c r="H339" s="115"/>
      <c r="I339" s="115"/>
      <c r="L339" s="169">
        <v>43173</v>
      </c>
      <c r="M339" s="115">
        <v>36.109629629629602</v>
      </c>
      <c r="N339" s="115">
        <v>36.722962962963003</v>
      </c>
      <c r="O339" s="115">
        <v>35.383703703703702</v>
      </c>
      <c r="P339" s="115">
        <v>36.053333333333299</v>
      </c>
      <c r="Q339" s="115">
        <v>609.35</v>
      </c>
      <c r="R339">
        <v>253411</v>
      </c>
    </row>
    <row r="340" spans="1:18" x14ac:dyDescent="0.25">
      <c r="A340" s="169">
        <v>43174</v>
      </c>
      <c r="B340" s="115">
        <v>37.9022222222222</v>
      </c>
      <c r="C340" s="115">
        <v>37.5555555555556</v>
      </c>
      <c r="D340" s="115">
        <v>35.822222222222202</v>
      </c>
      <c r="E340" s="115">
        <v>35.997037037037003</v>
      </c>
      <c r="F340" s="115">
        <v>633.75</v>
      </c>
      <c r="G340">
        <v>5503</v>
      </c>
      <c r="H340" s="115"/>
      <c r="I340" s="115"/>
      <c r="L340" s="169">
        <v>43174</v>
      </c>
      <c r="M340" s="115">
        <v>37.5555555555556</v>
      </c>
      <c r="N340" s="115">
        <v>37.837037037037</v>
      </c>
      <c r="O340" s="115">
        <v>35.857777777777798</v>
      </c>
      <c r="P340" s="115">
        <v>36.2874074074074</v>
      </c>
      <c r="Q340" s="115">
        <v>633.75</v>
      </c>
      <c r="R340">
        <v>62048</v>
      </c>
    </row>
    <row r="341" spans="1:18" x14ac:dyDescent="0.25">
      <c r="A341" s="169">
        <v>43175</v>
      </c>
      <c r="B341" s="115">
        <v>37.866666666666703</v>
      </c>
      <c r="C341" s="115">
        <v>36.669629629629597</v>
      </c>
      <c r="D341" s="115">
        <v>36.474074074074103</v>
      </c>
      <c r="E341" s="115">
        <v>37.351111111111102</v>
      </c>
      <c r="F341" s="115">
        <v>618.79999999999995</v>
      </c>
      <c r="G341">
        <v>4602</v>
      </c>
      <c r="H341" s="115"/>
      <c r="I341" s="115"/>
      <c r="L341" s="169">
        <v>43175</v>
      </c>
      <c r="M341" s="115">
        <v>36.711111111111101</v>
      </c>
      <c r="N341" s="115">
        <v>37.92</v>
      </c>
      <c r="O341" s="115">
        <v>36.237037037036998</v>
      </c>
      <c r="P341" s="115">
        <v>37.860740740740702</v>
      </c>
      <c r="Q341" s="115">
        <v>619.5</v>
      </c>
      <c r="R341">
        <v>52365</v>
      </c>
    </row>
    <row r="342" spans="1:18" x14ac:dyDescent="0.25">
      <c r="A342" s="169">
        <v>43178</v>
      </c>
      <c r="B342" s="115">
        <v>37.004444444444403</v>
      </c>
      <c r="C342" s="115">
        <v>36.263703703703698</v>
      </c>
      <c r="D342" s="115">
        <v>35.958518518518503</v>
      </c>
      <c r="E342" s="115">
        <v>37.004444444444403</v>
      </c>
      <c r="F342" s="115">
        <v>611.95000000000005</v>
      </c>
      <c r="G342">
        <v>2177</v>
      </c>
      <c r="H342" s="115"/>
      <c r="I342" s="115"/>
      <c r="L342" s="169">
        <v>43178</v>
      </c>
      <c r="M342" s="115">
        <v>36.201481481481501</v>
      </c>
      <c r="N342" s="115">
        <v>37.069629629629603</v>
      </c>
      <c r="O342" s="115">
        <v>35.751111111111101</v>
      </c>
      <c r="P342" s="115">
        <v>36.882962962962999</v>
      </c>
      <c r="Q342" s="115">
        <v>610.9</v>
      </c>
      <c r="R342">
        <v>19735</v>
      </c>
    </row>
    <row r="343" spans="1:18" x14ac:dyDescent="0.25">
      <c r="A343" s="169">
        <v>43179</v>
      </c>
      <c r="B343" s="115">
        <v>36.604444444444397</v>
      </c>
      <c r="C343" s="115">
        <v>36.038518518518501</v>
      </c>
      <c r="D343" s="115">
        <v>35.943703703703697</v>
      </c>
      <c r="E343" s="115">
        <v>36.257777777777797</v>
      </c>
      <c r="F343" s="115">
        <v>608.15</v>
      </c>
      <c r="G343">
        <v>1437</v>
      </c>
      <c r="H343" s="115"/>
      <c r="I343" s="115"/>
      <c r="L343" s="169">
        <v>43179</v>
      </c>
      <c r="M343" s="115">
        <v>36.1896296296296</v>
      </c>
      <c r="N343" s="115">
        <v>36.681481481481498</v>
      </c>
      <c r="O343" s="115">
        <v>35.946666666666701</v>
      </c>
      <c r="P343" s="115">
        <v>36.382222222222197</v>
      </c>
      <c r="Q343" s="115">
        <v>610.70000000000005</v>
      </c>
      <c r="R343">
        <v>16226</v>
      </c>
    </row>
    <row r="344" spans="1:18" x14ac:dyDescent="0.25">
      <c r="A344" s="169">
        <v>43180</v>
      </c>
      <c r="B344" s="115">
        <v>37.1437037037037</v>
      </c>
      <c r="C344" s="115">
        <v>36.459259259259298</v>
      </c>
      <c r="D344" s="115">
        <v>35.982222222222198</v>
      </c>
      <c r="E344" s="115">
        <v>36.5037037037037</v>
      </c>
      <c r="F344" s="115">
        <v>615.25</v>
      </c>
      <c r="G344">
        <v>4542</v>
      </c>
      <c r="H344" s="115"/>
      <c r="I344" s="115"/>
      <c r="L344" s="169">
        <v>43180</v>
      </c>
      <c r="M344" s="115">
        <v>36.500740740740703</v>
      </c>
      <c r="N344" s="115">
        <v>37.155555555555601</v>
      </c>
      <c r="O344" s="115">
        <v>36.154074074074103</v>
      </c>
      <c r="P344" s="115">
        <v>36.527407407407402</v>
      </c>
      <c r="Q344" s="115">
        <v>615.95000000000005</v>
      </c>
      <c r="R344">
        <v>31882</v>
      </c>
    </row>
    <row r="345" spans="1:18" x14ac:dyDescent="0.25">
      <c r="A345" s="169">
        <v>43181</v>
      </c>
      <c r="B345" s="115">
        <v>37.262222222222199</v>
      </c>
      <c r="C345" s="115">
        <v>36.0977777777778</v>
      </c>
      <c r="D345" s="115">
        <v>36.011851851851901</v>
      </c>
      <c r="E345" s="115">
        <v>36.773333333333298</v>
      </c>
      <c r="F345" s="115">
        <v>609.15</v>
      </c>
      <c r="G345">
        <v>2999</v>
      </c>
      <c r="H345" s="115"/>
      <c r="I345" s="115"/>
      <c r="L345" s="169">
        <v>43181</v>
      </c>
      <c r="M345" s="115">
        <v>36.157037037037</v>
      </c>
      <c r="N345" s="115">
        <v>37.096296296296302</v>
      </c>
      <c r="O345" s="115">
        <v>35.970370370370397</v>
      </c>
      <c r="P345" s="115">
        <v>36.675555555555597</v>
      </c>
      <c r="Q345" s="115">
        <v>610.15</v>
      </c>
      <c r="R345">
        <v>15992</v>
      </c>
    </row>
    <row r="346" spans="1:18" x14ac:dyDescent="0.25">
      <c r="A346" s="169">
        <v>43182</v>
      </c>
      <c r="B346" s="115">
        <v>35.955555555555598</v>
      </c>
      <c r="C346" s="115">
        <v>35.573333333333302</v>
      </c>
      <c r="D346" s="115">
        <v>35.128888888888902</v>
      </c>
      <c r="E346" s="115">
        <v>35.718518518518501</v>
      </c>
      <c r="F346" s="115">
        <v>600.29999999999995</v>
      </c>
      <c r="G346">
        <v>4083</v>
      </c>
      <c r="H346" s="115"/>
      <c r="I346" s="115"/>
      <c r="L346" s="169">
        <v>43182</v>
      </c>
      <c r="M346" s="115">
        <v>35.662222222222198</v>
      </c>
      <c r="N346" s="115">
        <v>36.148148148148103</v>
      </c>
      <c r="O346" s="115">
        <v>34.957037037036997</v>
      </c>
      <c r="P346" s="115">
        <v>35.674074074074099</v>
      </c>
      <c r="Q346" s="115">
        <v>601.79999999999995</v>
      </c>
      <c r="R346">
        <v>35482</v>
      </c>
    </row>
    <row r="347" spans="1:18" x14ac:dyDescent="0.25">
      <c r="A347" s="169">
        <v>43185</v>
      </c>
      <c r="B347" s="115">
        <v>37.131851851851899</v>
      </c>
      <c r="C347" s="115">
        <v>36.8888888888889</v>
      </c>
      <c r="D347" s="115">
        <v>35.5555555555556</v>
      </c>
      <c r="E347" s="115">
        <v>35.819259259259297</v>
      </c>
      <c r="F347" s="115">
        <v>622.5</v>
      </c>
      <c r="G347">
        <v>13530</v>
      </c>
      <c r="H347" s="115"/>
      <c r="I347" s="115"/>
      <c r="L347" s="169">
        <v>43185</v>
      </c>
      <c r="M347" s="115">
        <v>37.259259259259302</v>
      </c>
      <c r="N347" s="115">
        <v>37.866666666666703</v>
      </c>
      <c r="O347" s="115">
        <v>35.5555555555556</v>
      </c>
      <c r="P347" s="115">
        <v>35.5555555555556</v>
      </c>
      <c r="Q347" s="115">
        <v>628.75</v>
      </c>
      <c r="R347">
        <v>60408</v>
      </c>
    </row>
    <row r="348" spans="1:18" x14ac:dyDescent="0.25">
      <c r="A348" s="169">
        <v>43186</v>
      </c>
      <c r="B348" s="115">
        <v>37.6474074074074</v>
      </c>
      <c r="C348" s="115">
        <v>36.817777777777799</v>
      </c>
      <c r="D348" s="115">
        <v>36.740740740740698</v>
      </c>
      <c r="E348" s="115">
        <v>37.3333333333333</v>
      </c>
      <c r="F348" s="115">
        <v>621.29999999999995</v>
      </c>
      <c r="G348">
        <v>3522</v>
      </c>
      <c r="H348" s="115"/>
      <c r="I348" s="115"/>
      <c r="L348" s="169">
        <v>43186</v>
      </c>
      <c r="M348" s="115">
        <v>36.645925925925901</v>
      </c>
      <c r="N348" s="115">
        <v>37.718518518518501</v>
      </c>
      <c r="O348" s="115">
        <v>36.4444444444444</v>
      </c>
      <c r="P348" s="115">
        <v>37.28</v>
      </c>
      <c r="Q348" s="115">
        <v>618.4</v>
      </c>
      <c r="R348">
        <v>29688</v>
      </c>
    </row>
    <row r="349" spans="1:18" x14ac:dyDescent="0.25">
      <c r="A349" s="169">
        <v>43187</v>
      </c>
      <c r="B349" s="115">
        <v>36.767407407407397</v>
      </c>
      <c r="C349" s="115">
        <v>36.586666666666702</v>
      </c>
      <c r="D349" s="115">
        <v>35.330370370370403</v>
      </c>
      <c r="E349" s="115">
        <v>36.453333333333298</v>
      </c>
      <c r="F349" s="115">
        <v>617.4</v>
      </c>
      <c r="G349">
        <v>48001</v>
      </c>
      <c r="H349" s="115"/>
      <c r="I349" s="115"/>
      <c r="L349" s="169">
        <v>43187</v>
      </c>
      <c r="M349" s="115">
        <v>37.297777777777803</v>
      </c>
      <c r="N349" s="115">
        <v>37.736296296296302</v>
      </c>
      <c r="O349" s="115">
        <v>35.217777777777798</v>
      </c>
      <c r="P349" s="115">
        <v>36.669629629629597</v>
      </c>
      <c r="Q349" s="115">
        <v>629.4</v>
      </c>
      <c r="R349">
        <v>77274</v>
      </c>
    </row>
    <row r="350" spans="1:18" x14ac:dyDescent="0.25">
      <c r="A350" s="169">
        <v>43192</v>
      </c>
      <c r="B350" s="115">
        <v>38.157037037037</v>
      </c>
      <c r="C350" s="115">
        <v>37.925925925925903</v>
      </c>
      <c r="D350" s="115">
        <v>37.137777777777799</v>
      </c>
      <c r="E350" s="115">
        <v>37.4251851851852</v>
      </c>
      <c r="F350" s="115">
        <v>640</v>
      </c>
      <c r="G350">
        <v>3643</v>
      </c>
      <c r="H350" s="115"/>
      <c r="I350" s="115"/>
      <c r="L350" s="169">
        <v>43192</v>
      </c>
      <c r="M350" s="115">
        <v>37.985185185185202</v>
      </c>
      <c r="N350" s="115">
        <v>38.337777777777802</v>
      </c>
      <c r="O350" s="115">
        <v>37.054814814814797</v>
      </c>
      <c r="P350" s="115">
        <v>37.718518518518501</v>
      </c>
      <c r="Q350" s="115">
        <v>641</v>
      </c>
      <c r="R350">
        <v>24687</v>
      </c>
    </row>
    <row r="351" spans="1:18" x14ac:dyDescent="0.25">
      <c r="A351" s="169">
        <v>43193</v>
      </c>
      <c r="B351" s="115">
        <v>38.518518518518498</v>
      </c>
      <c r="C351" s="115">
        <v>38.2874074074074</v>
      </c>
      <c r="D351" s="115">
        <v>37.570370370370398</v>
      </c>
      <c r="E351" s="115">
        <v>37.570370370370398</v>
      </c>
      <c r="F351" s="115">
        <v>646.1</v>
      </c>
      <c r="G351">
        <v>2224</v>
      </c>
      <c r="H351" s="115"/>
      <c r="I351" s="115"/>
      <c r="L351" s="169">
        <v>43193</v>
      </c>
      <c r="M351" s="115">
        <v>38.331851851851901</v>
      </c>
      <c r="N351" s="115">
        <v>38.429629629629602</v>
      </c>
      <c r="O351" s="115">
        <v>37.629629629629598</v>
      </c>
      <c r="P351" s="115">
        <v>37.807407407407403</v>
      </c>
      <c r="Q351" s="115">
        <v>646.85</v>
      </c>
      <c r="R351">
        <v>22611</v>
      </c>
    </row>
    <row r="352" spans="1:18" x14ac:dyDescent="0.25">
      <c r="A352" s="169">
        <v>43194</v>
      </c>
      <c r="B352" s="115">
        <v>38.619259259259302</v>
      </c>
      <c r="C352" s="115">
        <v>37.742222222222203</v>
      </c>
      <c r="D352" s="115">
        <v>37.594074074074101</v>
      </c>
      <c r="E352" s="115">
        <v>38.248888888888899</v>
      </c>
      <c r="F352" s="115">
        <v>636.9</v>
      </c>
      <c r="G352">
        <v>1836</v>
      </c>
      <c r="H352" s="115"/>
      <c r="I352" s="115"/>
      <c r="L352" s="169">
        <v>43194</v>
      </c>
      <c r="M352" s="115">
        <v>37.7718518518518</v>
      </c>
      <c r="N352" s="115">
        <v>38.648888888888898</v>
      </c>
      <c r="O352" s="115">
        <v>37.629629629629598</v>
      </c>
      <c r="P352" s="115">
        <v>38.512592592592597</v>
      </c>
      <c r="Q352" s="115">
        <v>637.4</v>
      </c>
      <c r="R352">
        <v>21200</v>
      </c>
    </row>
    <row r="353" spans="1:18" x14ac:dyDescent="0.25">
      <c r="A353" s="169">
        <v>43195</v>
      </c>
      <c r="B353" s="115">
        <v>38.515555555555601</v>
      </c>
      <c r="C353" s="115">
        <v>38.142222222222202</v>
      </c>
      <c r="D353" s="115">
        <v>38.053333333333299</v>
      </c>
      <c r="E353" s="115">
        <v>38.2222222222222</v>
      </c>
      <c r="F353" s="115">
        <v>643.65</v>
      </c>
      <c r="G353">
        <v>1362</v>
      </c>
      <c r="H353" s="115"/>
      <c r="I353" s="115"/>
      <c r="L353" s="169">
        <v>43195</v>
      </c>
      <c r="M353" s="115">
        <v>38.225185185185197</v>
      </c>
      <c r="N353" s="115">
        <v>38.5037037037037</v>
      </c>
      <c r="O353" s="115">
        <v>37.931851851851903</v>
      </c>
      <c r="P353" s="115">
        <v>37.958518518518503</v>
      </c>
      <c r="Q353" s="115">
        <v>645.04999999999995</v>
      </c>
      <c r="R353">
        <v>18163</v>
      </c>
    </row>
    <row r="354" spans="1:18" x14ac:dyDescent="0.25">
      <c r="A354" s="169">
        <v>43196</v>
      </c>
      <c r="B354" s="115">
        <v>38.613333333333301</v>
      </c>
      <c r="C354" s="115">
        <v>37.917037037036998</v>
      </c>
      <c r="D354" s="115">
        <v>37.748148148148097</v>
      </c>
      <c r="E354" s="115">
        <v>37.765925925925899</v>
      </c>
      <c r="F354" s="115">
        <v>639.85</v>
      </c>
      <c r="G354">
        <v>1064</v>
      </c>
      <c r="H354" s="115"/>
      <c r="I354" s="115"/>
      <c r="L354" s="169">
        <v>43196</v>
      </c>
      <c r="M354" s="115">
        <v>38.008888888888897</v>
      </c>
      <c r="N354" s="115">
        <v>38.515555555555601</v>
      </c>
      <c r="O354" s="115">
        <v>37.629629629629598</v>
      </c>
      <c r="P354" s="115">
        <v>38.370370370370402</v>
      </c>
      <c r="Q354" s="115">
        <v>641.4</v>
      </c>
      <c r="R354">
        <v>25416</v>
      </c>
    </row>
    <row r="355" spans="1:18" x14ac:dyDescent="0.25">
      <c r="A355" s="169">
        <v>43199</v>
      </c>
      <c r="B355" s="115">
        <v>38.4444444444444</v>
      </c>
      <c r="C355" s="115">
        <v>38.242962962962999</v>
      </c>
      <c r="D355" s="115">
        <v>37.866666666666703</v>
      </c>
      <c r="E355" s="115">
        <v>37.866666666666703</v>
      </c>
      <c r="F355" s="115">
        <v>645.35</v>
      </c>
      <c r="G355">
        <v>1722</v>
      </c>
      <c r="H355" s="115"/>
      <c r="I355" s="115"/>
      <c r="L355" s="169">
        <v>43199</v>
      </c>
      <c r="M355" s="115">
        <v>38.062222222222204</v>
      </c>
      <c r="N355" s="115">
        <v>38.4</v>
      </c>
      <c r="O355" s="115">
        <v>37.905185185185204</v>
      </c>
      <c r="P355" s="115">
        <v>38.162962962963</v>
      </c>
      <c r="Q355" s="115">
        <v>642.29999999999995</v>
      </c>
      <c r="R355">
        <v>11438</v>
      </c>
    </row>
    <row r="356" spans="1:18" x14ac:dyDescent="0.25">
      <c r="A356" s="169">
        <v>43200</v>
      </c>
      <c r="B356" s="115">
        <v>38.491851851851798</v>
      </c>
      <c r="C356" s="115">
        <v>38.275555555555599</v>
      </c>
      <c r="D356" s="115">
        <v>38.103703703703701</v>
      </c>
      <c r="E356" s="115">
        <v>38.281481481481499</v>
      </c>
      <c r="F356" s="115">
        <v>645.9</v>
      </c>
      <c r="G356">
        <v>1506</v>
      </c>
      <c r="H356" s="115"/>
      <c r="I356" s="115"/>
      <c r="L356" s="169">
        <v>43200</v>
      </c>
      <c r="M356" s="115">
        <v>38.1244444444444</v>
      </c>
      <c r="N356" s="115">
        <v>38.637037037036997</v>
      </c>
      <c r="O356" s="115">
        <v>38.002962962962997</v>
      </c>
      <c r="P356" s="115">
        <v>38.074074074074097</v>
      </c>
      <c r="Q356" s="115">
        <v>643.35</v>
      </c>
      <c r="R356">
        <v>11517</v>
      </c>
    </row>
    <row r="357" spans="1:18" x14ac:dyDescent="0.25">
      <c r="A357" s="169">
        <v>43201</v>
      </c>
      <c r="B357" s="115">
        <v>38.482962962963001</v>
      </c>
      <c r="C357" s="115">
        <v>38.103703703703701</v>
      </c>
      <c r="D357" s="115">
        <v>37.949629629629598</v>
      </c>
      <c r="E357" s="115">
        <v>38.103703703703701</v>
      </c>
      <c r="F357" s="115">
        <v>643</v>
      </c>
      <c r="G357">
        <v>1199</v>
      </c>
      <c r="H357" s="115"/>
      <c r="I357" s="115"/>
      <c r="L357" s="169">
        <v>43201</v>
      </c>
      <c r="M357" s="115">
        <v>37.863703703703699</v>
      </c>
      <c r="N357" s="115">
        <v>38.530370370370399</v>
      </c>
      <c r="O357" s="115">
        <v>37.057777777777801</v>
      </c>
      <c r="P357" s="115">
        <v>38.340740740740699</v>
      </c>
      <c r="Q357" s="115">
        <v>638.95000000000005</v>
      </c>
      <c r="R357">
        <v>49425</v>
      </c>
    </row>
    <row r="358" spans="1:18" x14ac:dyDescent="0.25">
      <c r="A358" s="169">
        <v>43202</v>
      </c>
      <c r="B358" s="115">
        <v>38.678518518518501</v>
      </c>
      <c r="C358" s="115">
        <v>38.607407407407401</v>
      </c>
      <c r="D358" s="115">
        <v>37.579259259259302</v>
      </c>
      <c r="E358" s="115">
        <v>37.828148148148202</v>
      </c>
      <c r="F358" s="115">
        <v>651.5</v>
      </c>
      <c r="G358">
        <v>1040</v>
      </c>
      <c r="H358" s="115"/>
      <c r="I358" s="115"/>
      <c r="L358" s="169">
        <v>43202</v>
      </c>
      <c r="M358" s="115">
        <v>38.554074074074101</v>
      </c>
      <c r="N358" s="115">
        <v>38.814814814814802</v>
      </c>
      <c r="O358" s="115">
        <v>37.105185185185199</v>
      </c>
      <c r="P358" s="115">
        <v>37.105185185185199</v>
      </c>
      <c r="Q358" s="115">
        <v>650.6</v>
      </c>
      <c r="R358">
        <v>41684</v>
      </c>
    </row>
    <row r="359" spans="1:18" x14ac:dyDescent="0.25">
      <c r="A359" s="169">
        <v>43203</v>
      </c>
      <c r="B359" s="115">
        <v>39.499259259259297</v>
      </c>
      <c r="C359" s="115">
        <v>38.897777777777797</v>
      </c>
      <c r="D359" s="115">
        <v>38.696296296296303</v>
      </c>
      <c r="E359" s="115">
        <v>38.696296296296303</v>
      </c>
      <c r="F359" s="115">
        <v>656.4</v>
      </c>
      <c r="G359">
        <v>3671</v>
      </c>
      <c r="H359" s="115"/>
      <c r="I359" s="115"/>
      <c r="L359" s="169">
        <v>43203</v>
      </c>
      <c r="M359" s="115">
        <v>39.010370370370403</v>
      </c>
      <c r="N359" s="115">
        <v>39.525925925925897</v>
      </c>
      <c r="O359" s="115">
        <v>38.64</v>
      </c>
      <c r="P359" s="115">
        <v>38.814814814814802</v>
      </c>
      <c r="Q359" s="115">
        <v>658.3</v>
      </c>
      <c r="R359">
        <v>72954</v>
      </c>
    </row>
    <row r="360" spans="1:18" x14ac:dyDescent="0.25">
      <c r="A360" s="169">
        <v>43206</v>
      </c>
      <c r="B360" s="115">
        <v>39.277037037036997</v>
      </c>
      <c r="C360" s="115">
        <v>38.672592592592601</v>
      </c>
      <c r="D360" s="115">
        <v>38.471111111111099</v>
      </c>
      <c r="E360" s="115">
        <v>38.518518518518498</v>
      </c>
      <c r="F360" s="115">
        <v>652.6</v>
      </c>
      <c r="G360">
        <v>1674</v>
      </c>
      <c r="H360" s="115"/>
      <c r="I360" s="115"/>
      <c r="L360" s="169">
        <v>43206</v>
      </c>
      <c r="M360" s="115">
        <v>38.811851851851898</v>
      </c>
      <c r="N360" s="115">
        <v>39.259259259259302</v>
      </c>
      <c r="O360" s="115">
        <v>38.518518518518498</v>
      </c>
      <c r="P360" s="115">
        <v>38.696296296296303</v>
      </c>
      <c r="Q360" s="115">
        <v>654.95000000000005</v>
      </c>
      <c r="R360">
        <v>15918</v>
      </c>
    </row>
    <row r="361" spans="1:18" x14ac:dyDescent="0.25">
      <c r="A361" s="169">
        <v>43207</v>
      </c>
      <c r="B361" s="115">
        <v>39.1111111111111</v>
      </c>
      <c r="C361" s="115">
        <v>37.881481481481501</v>
      </c>
      <c r="D361" s="115">
        <v>37.451851851851799</v>
      </c>
      <c r="E361" s="115">
        <v>38.696296296296303</v>
      </c>
      <c r="F361" s="115">
        <v>639.25</v>
      </c>
      <c r="G361">
        <v>2955</v>
      </c>
      <c r="H361" s="115"/>
      <c r="I361" s="115"/>
      <c r="L361" s="169">
        <v>43207</v>
      </c>
      <c r="M361" s="115">
        <v>38.204444444444398</v>
      </c>
      <c r="N361" s="115">
        <v>39.194074074074102</v>
      </c>
      <c r="O361" s="115">
        <v>37.928888888888899</v>
      </c>
      <c r="P361" s="115">
        <v>39.102222222222203</v>
      </c>
      <c r="Q361" s="115">
        <v>644.70000000000005</v>
      </c>
      <c r="R361">
        <v>20925</v>
      </c>
    </row>
    <row r="362" spans="1:18" x14ac:dyDescent="0.25">
      <c r="A362" s="169">
        <v>43208</v>
      </c>
      <c r="B362" s="115">
        <v>38.832592592592597</v>
      </c>
      <c r="C362" s="115">
        <v>38.053333333333299</v>
      </c>
      <c r="D362" s="115">
        <v>37.822222222222202</v>
      </c>
      <c r="E362" s="115">
        <v>38.044444444444402</v>
      </c>
      <c r="F362" s="115">
        <v>642.15</v>
      </c>
      <c r="G362">
        <v>1919</v>
      </c>
      <c r="H362" s="115"/>
      <c r="I362" s="115"/>
      <c r="L362" s="169">
        <v>43208</v>
      </c>
      <c r="M362" s="115">
        <v>37.931851851851903</v>
      </c>
      <c r="N362" s="115">
        <v>38.797037037037001</v>
      </c>
      <c r="O362" s="115">
        <v>37.807407407407403</v>
      </c>
      <c r="P362" s="115">
        <v>38.382222222222197</v>
      </c>
      <c r="Q362" s="115">
        <v>640.1</v>
      </c>
      <c r="R362">
        <v>14189</v>
      </c>
    </row>
    <row r="363" spans="1:18" x14ac:dyDescent="0.25">
      <c r="A363" s="169">
        <v>43209</v>
      </c>
      <c r="B363" s="115">
        <v>38.811851851851898</v>
      </c>
      <c r="C363" s="115">
        <v>38.397037037037002</v>
      </c>
      <c r="D363" s="115">
        <v>37.949629629629598</v>
      </c>
      <c r="E363" s="115">
        <v>38.281481481481499</v>
      </c>
      <c r="F363" s="115">
        <v>647.95000000000005</v>
      </c>
      <c r="G363">
        <v>766</v>
      </c>
      <c r="H363" s="115"/>
      <c r="I363" s="115"/>
      <c r="L363" s="169">
        <v>43209</v>
      </c>
      <c r="M363" s="115">
        <v>38.5748148148148</v>
      </c>
      <c r="N363" s="115">
        <v>39.1111111111111</v>
      </c>
      <c r="O363" s="115">
        <v>37.928888888888899</v>
      </c>
      <c r="P363" s="115">
        <v>38.2222222222222</v>
      </c>
      <c r="Q363" s="115">
        <v>650.95000000000005</v>
      </c>
      <c r="R363">
        <v>19642</v>
      </c>
    </row>
    <row r="364" spans="1:18" x14ac:dyDescent="0.25">
      <c r="A364" s="169">
        <v>43210</v>
      </c>
      <c r="B364" s="115">
        <v>38.838518518518498</v>
      </c>
      <c r="C364" s="115">
        <v>37.780740740740697</v>
      </c>
      <c r="D364" s="115">
        <v>37.700740740740699</v>
      </c>
      <c r="E364" s="115">
        <v>38.459259259259298</v>
      </c>
      <c r="F364" s="115">
        <v>637.54999999999995</v>
      </c>
      <c r="G364">
        <v>1326</v>
      </c>
      <c r="H364" s="115"/>
      <c r="I364" s="115"/>
      <c r="L364" s="169">
        <v>43210</v>
      </c>
      <c r="M364" s="115">
        <v>37.709629629629603</v>
      </c>
      <c r="N364" s="115">
        <v>38.696296296296303</v>
      </c>
      <c r="O364" s="115">
        <v>37.629629629629598</v>
      </c>
      <c r="P364" s="115">
        <v>38.317037037036997</v>
      </c>
      <c r="Q364" s="115">
        <v>636.35</v>
      </c>
      <c r="R364">
        <v>32875</v>
      </c>
    </row>
    <row r="365" spans="1:18" x14ac:dyDescent="0.25">
      <c r="A365" s="169">
        <v>43213</v>
      </c>
      <c r="B365" s="115">
        <v>38.281481481481499</v>
      </c>
      <c r="C365" s="115">
        <v>38.062222222222204</v>
      </c>
      <c r="D365" s="115">
        <v>37.617777777777803</v>
      </c>
      <c r="E365" s="115">
        <v>37.617777777777803</v>
      </c>
      <c r="F365" s="115">
        <v>642.29999999999995</v>
      </c>
      <c r="G365">
        <v>776</v>
      </c>
      <c r="H365" s="115"/>
      <c r="I365" s="115"/>
      <c r="L365" s="169">
        <v>43213</v>
      </c>
      <c r="M365" s="115">
        <v>37.961481481481499</v>
      </c>
      <c r="N365" s="115">
        <v>38.397037037037002</v>
      </c>
      <c r="O365" s="115">
        <v>37.392592592592599</v>
      </c>
      <c r="P365" s="115">
        <v>37.392592592592599</v>
      </c>
      <c r="Q365" s="115">
        <v>640.6</v>
      </c>
      <c r="R365">
        <v>28124</v>
      </c>
    </row>
    <row r="366" spans="1:18" x14ac:dyDescent="0.25">
      <c r="A366" s="169">
        <v>43214</v>
      </c>
      <c r="B366" s="115">
        <v>38.3466666666667</v>
      </c>
      <c r="C366" s="115">
        <v>38.216296296296299</v>
      </c>
      <c r="D366" s="115">
        <v>37.831111111111099</v>
      </c>
      <c r="E366" s="115">
        <v>37.834074074074103</v>
      </c>
      <c r="F366" s="115">
        <v>644.9</v>
      </c>
      <c r="G366">
        <v>442</v>
      </c>
      <c r="H366" s="115"/>
      <c r="I366" s="115"/>
      <c r="L366" s="169">
        <v>43214</v>
      </c>
      <c r="M366" s="115">
        <v>38.106666666666698</v>
      </c>
      <c r="N366" s="115">
        <v>38.518518518518498</v>
      </c>
      <c r="O366" s="115">
        <v>37.955555555555598</v>
      </c>
      <c r="P366" s="115">
        <v>38.210370370370399</v>
      </c>
      <c r="Q366" s="115">
        <v>643.04999999999995</v>
      </c>
      <c r="R366">
        <v>9231</v>
      </c>
    </row>
    <row r="367" spans="1:18" x14ac:dyDescent="0.25">
      <c r="A367" s="169">
        <v>43215</v>
      </c>
      <c r="B367" s="115">
        <v>40.397037037037002</v>
      </c>
      <c r="C367" s="115">
        <v>38.521481481481501</v>
      </c>
      <c r="D367" s="115">
        <v>38.162962962963</v>
      </c>
      <c r="E367" s="115">
        <v>38.162962962963</v>
      </c>
      <c r="F367" s="115">
        <v>650.04999999999995</v>
      </c>
      <c r="G367">
        <v>6866</v>
      </c>
      <c r="H367" s="115"/>
      <c r="I367" s="115"/>
      <c r="L367" s="169">
        <v>43215</v>
      </c>
      <c r="M367" s="115">
        <v>38.2874074074074</v>
      </c>
      <c r="N367" s="115">
        <v>40.296296296296298</v>
      </c>
      <c r="O367" s="115">
        <v>37.949629629629598</v>
      </c>
      <c r="P367" s="115">
        <v>38.382222222222197</v>
      </c>
      <c r="Q367" s="115">
        <v>646.1</v>
      </c>
      <c r="R367">
        <v>713447</v>
      </c>
    </row>
    <row r="368" spans="1:18" x14ac:dyDescent="0.25">
      <c r="A368" s="169">
        <v>43216</v>
      </c>
      <c r="B368" s="115">
        <v>38.814814814814802</v>
      </c>
      <c r="C368" s="115">
        <v>38.2281481481482</v>
      </c>
      <c r="D368" s="115">
        <v>38.121481481481503</v>
      </c>
      <c r="E368" s="115">
        <v>38.518518518518498</v>
      </c>
      <c r="F368" s="115">
        <v>645.1</v>
      </c>
      <c r="G368">
        <v>826</v>
      </c>
      <c r="H368" s="115"/>
      <c r="I368" s="115"/>
      <c r="L368" s="169">
        <v>43216</v>
      </c>
      <c r="M368" s="115">
        <v>38.358518518518501</v>
      </c>
      <c r="N368" s="115">
        <v>39.0518518518519</v>
      </c>
      <c r="O368" s="115">
        <v>38.2222222222222</v>
      </c>
      <c r="P368" s="115">
        <v>38.24</v>
      </c>
      <c r="Q368" s="115">
        <v>647.29999999999995</v>
      </c>
      <c r="R368">
        <v>23891</v>
      </c>
    </row>
    <row r="369" spans="1:18" x14ac:dyDescent="0.25">
      <c r="A369" s="169">
        <v>43217</v>
      </c>
      <c r="B369" s="115">
        <v>39.04</v>
      </c>
      <c r="C369" s="115">
        <v>38.165925925925897</v>
      </c>
      <c r="D369" s="115">
        <v>37.854814814814802</v>
      </c>
      <c r="E369" s="115">
        <v>38.281481481481499</v>
      </c>
      <c r="F369" s="115">
        <v>644.04999999999995</v>
      </c>
      <c r="G369">
        <v>6162</v>
      </c>
      <c r="H369" s="115"/>
      <c r="I369" s="115"/>
      <c r="L369" s="169">
        <v>43217</v>
      </c>
      <c r="M369" s="115">
        <v>38.225185185185197</v>
      </c>
      <c r="N369" s="115">
        <v>39.407407407407398</v>
      </c>
      <c r="O369" s="115">
        <v>37.994074074074099</v>
      </c>
      <c r="P369" s="115">
        <v>38.755555555555603</v>
      </c>
      <c r="Q369" s="115">
        <v>645.04999999999995</v>
      </c>
      <c r="R369">
        <v>96523</v>
      </c>
    </row>
    <row r="370" spans="1:18" x14ac:dyDescent="0.25">
      <c r="A370" s="169">
        <v>43220</v>
      </c>
      <c r="B370" s="115">
        <v>38.933333333333302</v>
      </c>
      <c r="C370" s="115">
        <v>38.648888888888898</v>
      </c>
      <c r="D370" s="115">
        <v>38.162962962963</v>
      </c>
      <c r="E370" s="115">
        <v>38.162962962963</v>
      </c>
      <c r="F370" s="115">
        <v>652.20000000000005</v>
      </c>
      <c r="G370">
        <v>1667</v>
      </c>
      <c r="H370" s="115"/>
      <c r="I370" s="115"/>
      <c r="L370" s="169">
        <v>43220</v>
      </c>
      <c r="M370" s="115">
        <v>38.7585185185185</v>
      </c>
      <c r="N370" s="115">
        <v>38.9214814814815</v>
      </c>
      <c r="O370" s="115">
        <v>38.281481481481499</v>
      </c>
      <c r="P370" s="115">
        <v>38.281481481481499</v>
      </c>
      <c r="Q370" s="115">
        <v>654.04999999999995</v>
      </c>
      <c r="R370">
        <v>21485</v>
      </c>
    </row>
    <row r="371" spans="1:18" x14ac:dyDescent="0.25">
      <c r="A371" s="169">
        <v>43222</v>
      </c>
      <c r="B371" s="115">
        <v>40.471111111111099</v>
      </c>
      <c r="C371" s="115">
        <v>39.520000000000003</v>
      </c>
      <c r="D371" s="115">
        <v>38.874074074074102</v>
      </c>
      <c r="E371" s="115">
        <v>38.874074074074102</v>
      </c>
      <c r="F371" s="115">
        <v>666.9</v>
      </c>
      <c r="G371">
        <v>4992</v>
      </c>
      <c r="H371" s="115"/>
      <c r="I371" s="115"/>
      <c r="L371" s="169">
        <v>43222</v>
      </c>
      <c r="M371" s="115">
        <v>39.567407407407401</v>
      </c>
      <c r="N371" s="115">
        <v>40.423703703703701</v>
      </c>
      <c r="O371" s="115">
        <v>38.7585185185185</v>
      </c>
      <c r="P371" s="115">
        <v>38.7585185185185</v>
      </c>
      <c r="Q371" s="115">
        <v>667.7</v>
      </c>
      <c r="R371">
        <v>116902</v>
      </c>
    </row>
    <row r="372" spans="1:18" x14ac:dyDescent="0.25">
      <c r="A372" s="169">
        <v>43223</v>
      </c>
      <c r="B372" s="115">
        <v>41.185185185185198</v>
      </c>
      <c r="C372" s="115">
        <v>40.479999999999997</v>
      </c>
      <c r="D372" s="115">
        <v>39.466666666666697</v>
      </c>
      <c r="E372" s="115">
        <v>39.466666666666697</v>
      </c>
      <c r="F372" s="115">
        <v>683.1</v>
      </c>
      <c r="G372">
        <v>29627</v>
      </c>
      <c r="H372" s="115"/>
      <c r="I372" s="115"/>
      <c r="L372" s="169">
        <v>43223</v>
      </c>
      <c r="M372" s="115">
        <v>40.3851851851852</v>
      </c>
      <c r="N372" s="115">
        <v>41.007407407407399</v>
      </c>
      <c r="O372" s="115">
        <v>39.466666666666697</v>
      </c>
      <c r="P372" s="115">
        <v>39.905185185185204</v>
      </c>
      <c r="Q372" s="115">
        <v>681.5</v>
      </c>
      <c r="R372">
        <v>298737</v>
      </c>
    </row>
    <row r="373" spans="1:18" x14ac:dyDescent="0.25">
      <c r="A373" s="169">
        <v>43224</v>
      </c>
      <c r="B373" s="115">
        <v>42.924444444444397</v>
      </c>
      <c r="C373" s="115">
        <v>42.651851851851902</v>
      </c>
      <c r="D373" s="115">
        <v>41.217777777777798</v>
      </c>
      <c r="E373" s="115">
        <v>41.362962962963003</v>
      </c>
      <c r="F373" s="115">
        <v>719.75</v>
      </c>
      <c r="G373">
        <v>26117</v>
      </c>
      <c r="H373" s="115"/>
      <c r="I373" s="115"/>
      <c r="L373" s="169">
        <v>43224</v>
      </c>
      <c r="M373" s="115">
        <v>42.826666666666704</v>
      </c>
      <c r="N373" s="115">
        <v>43.122962962963001</v>
      </c>
      <c r="O373" s="115">
        <v>41.0785185185185</v>
      </c>
      <c r="P373" s="115">
        <v>41.481481481481502</v>
      </c>
      <c r="Q373" s="115">
        <v>722.7</v>
      </c>
      <c r="R373">
        <v>495210</v>
      </c>
    </row>
    <row r="374" spans="1:18" x14ac:dyDescent="0.25">
      <c r="A374" s="169">
        <v>43227</v>
      </c>
      <c r="B374" s="115">
        <v>44.082962962963002</v>
      </c>
      <c r="C374" s="115">
        <v>41.819259259259297</v>
      </c>
      <c r="D374" s="115">
        <v>41.484444444444399</v>
      </c>
      <c r="E374" s="115">
        <v>42.607407407407401</v>
      </c>
      <c r="F374" s="115">
        <v>705.7</v>
      </c>
      <c r="G374">
        <v>10050</v>
      </c>
      <c r="H374" s="115"/>
      <c r="I374" s="115"/>
      <c r="L374" s="169">
        <v>43227</v>
      </c>
      <c r="M374" s="115">
        <v>41.914074074074101</v>
      </c>
      <c r="N374" s="115">
        <v>43.851851851851897</v>
      </c>
      <c r="O374" s="115">
        <v>41.540740740740702</v>
      </c>
      <c r="P374" s="115">
        <v>43.075555555555603</v>
      </c>
      <c r="Q374" s="115">
        <v>707.3</v>
      </c>
      <c r="R374">
        <v>122098</v>
      </c>
    </row>
    <row r="375" spans="1:18" x14ac:dyDescent="0.25">
      <c r="A375" s="169">
        <v>43228</v>
      </c>
      <c r="B375" s="115">
        <v>42.305185185185202</v>
      </c>
      <c r="C375" s="115">
        <v>41.131851851851899</v>
      </c>
      <c r="D375" s="115">
        <v>40.948148148148199</v>
      </c>
      <c r="E375" s="115">
        <v>41.896296296296299</v>
      </c>
      <c r="F375" s="115">
        <v>694.1</v>
      </c>
      <c r="G375">
        <v>2143</v>
      </c>
      <c r="H375" s="115"/>
      <c r="I375" s="115"/>
      <c r="L375" s="169">
        <v>43228</v>
      </c>
      <c r="M375" s="115">
        <v>41.232592592592603</v>
      </c>
      <c r="N375" s="115">
        <v>42.074074074074097</v>
      </c>
      <c r="O375" s="115">
        <v>41.028148148148098</v>
      </c>
      <c r="P375" s="115">
        <v>41.955555555555598</v>
      </c>
      <c r="Q375" s="115">
        <v>695.8</v>
      </c>
      <c r="R375">
        <v>47239</v>
      </c>
    </row>
    <row r="376" spans="1:18" x14ac:dyDescent="0.25">
      <c r="A376" s="169">
        <v>43229</v>
      </c>
      <c r="B376" s="115">
        <v>42.604444444444397</v>
      </c>
      <c r="C376" s="115">
        <v>41.697777777777802</v>
      </c>
      <c r="D376" s="115">
        <v>40.945185185185203</v>
      </c>
      <c r="E376" s="115">
        <v>41.244444444444397</v>
      </c>
      <c r="F376" s="115">
        <v>703.65</v>
      </c>
      <c r="G376">
        <v>3408</v>
      </c>
      <c r="H376" s="115"/>
      <c r="I376" s="115"/>
      <c r="L376" s="169">
        <v>43229</v>
      </c>
      <c r="M376" s="115">
        <v>41.748148148148097</v>
      </c>
      <c r="N376" s="115">
        <v>42.6666666666667</v>
      </c>
      <c r="O376" s="115">
        <v>41.007407407407399</v>
      </c>
      <c r="P376" s="115">
        <v>41.481481481481502</v>
      </c>
      <c r="Q376" s="115">
        <v>704.5</v>
      </c>
      <c r="R376">
        <v>52632</v>
      </c>
    </row>
    <row r="377" spans="1:18" x14ac:dyDescent="0.25">
      <c r="A377" s="169">
        <v>43230</v>
      </c>
      <c r="B377" s="115">
        <v>42.607407407407401</v>
      </c>
      <c r="C377" s="115">
        <v>42.367407407407399</v>
      </c>
      <c r="D377" s="115">
        <v>41.422222222222203</v>
      </c>
      <c r="E377" s="115">
        <v>41.502222222222201</v>
      </c>
      <c r="F377" s="115">
        <v>714.95</v>
      </c>
      <c r="G377">
        <v>4009</v>
      </c>
      <c r="H377" s="115"/>
      <c r="I377" s="115"/>
      <c r="L377" s="169">
        <v>43230</v>
      </c>
      <c r="M377" s="115">
        <v>42.465185185185199</v>
      </c>
      <c r="N377" s="115">
        <v>42.6666666666667</v>
      </c>
      <c r="O377" s="115">
        <v>41.315555555555598</v>
      </c>
      <c r="P377" s="115">
        <v>41.807407407407403</v>
      </c>
      <c r="Q377" s="115">
        <v>716.6</v>
      </c>
      <c r="R377">
        <v>96498</v>
      </c>
    </row>
    <row r="378" spans="1:18" x14ac:dyDescent="0.25">
      <c r="A378" s="169">
        <v>43231</v>
      </c>
      <c r="B378" s="115">
        <v>42.441481481481503</v>
      </c>
      <c r="C378" s="115">
        <v>41.354074074074099</v>
      </c>
      <c r="D378" s="115">
        <v>41.244444444444397</v>
      </c>
      <c r="E378" s="115">
        <v>41.911111111111097</v>
      </c>
      <c r="F378" s="115">
        <v>697.85</v>
      </c>
      <c r="G378">
        <v>1815</v>
      </c>
      <c r="H378" s="115"/>
      <c r="I378" s="115"/>
      <c r="L378" s="169">
        <v>43231</v>
      </c>
      <c r="M378" s="115">
        <v>41.537777777777798</v>
      </c>
      <c r="N378" s="115">
        <v>42.432592592592599</v>
      </c>
      <c r="O378" s="115">
        <v>41.362962962963003</v>
      </c>
      <c r="P378" s="115">
        <v>42.044444444444402</v>
      </c>
      <c r="Q378" s="115">
        <v>700.95</v>
      </c>
      <c r="R378">
        <v>49783</v>
      </c>
    </row>
    <row r="379" spans="1:18" x14ac:dyDescent="0.25">
      <c r="A379" s="169">
        <v>43234</v>
      </c>
      <c r="B379" s="115">
        <v>41.8044444444444</v>
      </c>
      <c r="C379" s="115">
        <v>39.982222222222198</v>
      </c>
      <c r="D379" s="115">
        <v>39.8696296296296</v>
      </c>
      <c r="E379" s="115">
        <v>41.422222222222203</v>
      </c>
      <c r="F379" s="115">
        <v>674.7</v>
      </c>
      <c r="G379">
        <v>2621</v>
      </c>
      <c r="H379" s="115"/>
      <c r="I379" s="115"/>
      <c r="L379" s="169">
        <v>43234</v>
      </c>
      <c r="M379" s="115">
        <v>40.133333333333297</v>
      </c>
      <c r="N379" s="115">
        <v>41.955555555555598</v>
      </c>
      <c r="O379" s="115">
        <v>39.940740740740701</v>
      </c>
      <c r="P379" s="115">
        <v>41.955555555555598</v>
      </c>
      <c r="Q379" s="115">
        <v>677.25</v>
      </c>
      <c r="R379">
        <v>23358</v>
      </c>
    </row>
    <row r="380" spans="1:18" x14ac:dyDescent="0.25">
      <c r="A380" s="169">
        <v>43235</v>
      </c>
      <c r="B380" s="115">
        <v>41.801481481481503</v>
      </c>
      <c r="C380" s="115">
        <v>41.140740740740704</v>
      </c>
      <c r="D380" s="115">
        <v>39.155555555555601</v>
      </c>
      <c r="E380" s="115">
        <v>40</v>
      </c>
      <c r="F380" s="115">
        <v>694.25</v>
      </c>
      <c r="G380">
        <v>3141</v>
      </c>
      <c r="H380" s="115"/>
      <c r="I380" s="115"/>
      <c r="L380" s="169">
        <v>43235</v>
      </c>
      <c r="M380" s="115">
        <v>41.336296296296297</v>
      </c>
      <c r="N380" s="115">
        <v>41.7777777777778</v>
      </c>
      <c r="O380" s="115">
        <v>39.774814814814803</v>
      </c>
      <c r="P380" s="115">
        <v>39.881481481481501</v>
      </c>
      <c r="Q380" s="115">
        <v>697.55</v>
      </c>
      <c r="R380">
        <v>130293</v>
      </c>
    </row>
    <row r="381" spans="1:18" x14ac:dyDescent="0.25">
      <c r="A381" s="169">
        <v>43236</v>
      </c>
      <c r="B381" s="115">
        <v>41.416296296296302</v>
      </c>
      <c r="C381" s="115">
        <v>41.025185185185201</v>
      </c>
      <c r="D381" s="115">
        <v>40.592592592592602</v>
      </c>
      <c r="E381" s="115">
        <v>40.948148148148199</v>
      </c>
      <c r="F381" s="115">
        <v>692.3</v>
      </c>
      <c r="G381">
        <v>2404</v>
      </c>
      <c r="H381" s="115"/>
      <c r="I381" s="115"/>
      <c r="L381" s="169">
        <v>43236</v>
      </c>
      <c r="M381" s="115">
        <v>40.936296296296298</v>
      </c>
      <c r="N381" s="115">
        <v>41.318518518518502</v>
      </c>
      <c r="O381" s="115">
        <v>40.705185185185201</v>
      </c>
      <c r="P381" s="115">
        <v>41.188148148148102</v>
      </c>
      <c r="Q381" s="115">
        <v>690.8</v>
      </c>
      <c r="R381">
        <v>83933</v>
      </c>
    </row>
    <row r="382" spans="1:18" x14ac:dyDescent="0.25">
      <c r="A382" s="169">
        <v>43237</v>
      </c>
      <c r="B382" s="115">
        <v>41.656296296296297</v>
      </c>
      <c r="C382" s="115">
        <v>41.404444444444401</v>
      </c>
      <c r="D382" s="115">
        <v>41.037037037037003</v>
      </c>
      <c r="E382" s="115">
        <v>41.037037037037003</v>
      </c>
      <c r="F382" s="115">
        <v>698.7</v>
      </c>
      <c r="G382">
        <v>1156</v>
      </c>
      <c r="H382" s="115"/>
      <c r="I382" s="115"/>
      <c r="L382" s="169">
        <v>43237</v>
      </c>
      <c r="M382" s="115">
        <v>41.437037037037001</v>
      </c>
      <c r="N382" s="115">
        <v>41.481481481481502</v>
      </c>
      <c r="O382" s="115">
        <v>41.010370370370403</v>
      </c>
      <c r="P382" s="115">
        <v>41.244444444444397</v>
      </c>
      <c r="Q382" s="115">
        <v>699.25</v>
      </c>
      <c r="R382">
        <v>113076</v>
      </c>
    </row>
    <row r="383" spans="1:18" x14ac:dyDescent="0.25">
      <c r="A383" s="169">
        <v>43238</v>
      </c>
      <c r="B383" s="115">
        <v>41.659259259259301</v>
      </c>
      <c r="C383" s="115">
        <v>41.1762962962963</v>
      </c>
      <c r="D383" s="115">
        <v>41.125925925925898</v>
      </c>
      <c r="E383" s="115">
        <v>41.244444444444397</v>
      </c>
      <c r="F383" s="115">
        <v>694.85</v>
      </c>
      <c r="G383">
        <v>458</v>
      </c>
      <c r="H383" s="115"/>
      <c r="I383" s="115"/>
      <c r="L383" s="169">
        <v>43238</v>
      </c>
      <c r="M383" s="115">
        <v>41.3659259259259</v>
      </c>
      <c r="N383" s="115">
        <v>41.774814814814803</v>
      </c>
      <c r="O383" s="115">
        <v>40.414814814814797</v>
      </c>
      <c r="P383" s="115">
        <v>41.774814814814803</v>
      </c>
      <c r="Q383" s="115">
        <v>698.05</v>
      </c>
      <c r="R383">
        <v>109496</v>
      </c>
    </row>
    <row r="384" spans="1:18" x14ac:dyDescent="0.25">
      <c r="A384" s="169">
        <v>43241</v>
      </c>
      <c r="B384" s="115">
        <v>41.481481481481502</v>
      </c>
      <c r="C384" s="115">
        <v>40.035555555555597</v>
      </c>
      <c r="D384" s="115">
        <v>39.084444444444401</v>
      </c>
      <c r="E384" s="115">
        <v>41.422222222222203</v>
      </c>
      <c r="F384" s="115">
        <v>675.6</v>
      </c>
      <c r="G384">
        <v>3151</v>
      </c>
      <c r="H384" s="115"/>
      <c r="I384" s="115"/>
      <c r="L384" s="169">
        <v>43241</v>
      </c>
      <c r="M384" s="115">
        <v>39.825185185185198</v>
      </c>
      <c r="N384" s="115">
        <v>41.7777777777778</v>
      </c>
      <c r="O384" s="115">
        <v>38.814814814814802</v>
      </c>
      <c r="P384" s="115">
        <v>41.7777777777778</v>
      </c>
      <c r="Q384" s="115">
        <v>672.05</v>
      </c>
      <c r="R384">
        <v>347208</v>
      </c>
    </row>
    <row r="385" spans="1:18" x14ac:dyDescent="0.25">
      <c r="A385" s="169">
        <v>43242</v>
      </c>
      <c r="B385" s="115">
        <v>41.475555555555601</v>
      </c>
      <c r="C385" s="115">
        <v>41.137777777777799</v>
      </c>
      <c r="D385" s="115">
        <v>39.682962962963003</v>
      </c>
      <c r="E385" s="115">
        <v>40.237037037036998</v>
      </c>
      <c r="F385" s="115">
        <v>694.2</v>
      </c>
      <c r="G385">
        <v>995</v>
      </c>
      <c r="H385" s="115"/>
      <c r="I385" s="115"/>
      <c r="L385" s="169">
        <v>43242</v>
      </c>
      <c r="M385" s="115">
        <v>41.170370370370399</v>
      </c>
      <c r="N385" s="115">
        <v>41.348148148148098</v>
      </c>
      <c r="O385" s="115">
        <v>39.884444444444398</v>
      </c>
      <c r="P385" s="115">
        <v>40.296296296296298</v>
      </c>
      <c r="Q385" s="115">
        <v>694.75</v>
      </c>
      <c r="R385">
        <v>235154</v>
      </c>
    </row>
    <row r="386" spans="1:18" x14ac:dyDescent="0.25">
      <c r="A386" s="169">
        <v>43243</v>
      </c>
      <c r="B386" s="115">
        <v>42.811851851851898</v>
      </c>
      <c r="C386" s="115">
        <v>41.872592592592603</v>
      </c>
      <c r="D386" s="115">
        <v>41.125925925925898</v>
      </c>
      <c r="E386" s="115">
        <v>41.125925925925898</v>
      </c>
      <c r="F386" s="115">
        <v>706.6</v>
      </c>
      <c r="G386">
        <v>5629</v>
      </c>
      <c r="H386" s="115"/>
      <c r="I386" s="115"/>
      <c r="L386" s="169">
        <v>43243</v>
      </c>
      <c r="M386" s="115">
        <v>42.074074074074097</v>
      </c>
      <c r="N386" s="115">
        <v>42.945185185185203</v>
      </c>
      <c r="O386" s="115">
        <v>41.185185185185198</v>
      </c>
      <c r="P386" s="115">
        <v>41.392592592592599</v>
      </c>
      <c r="Q386" s="115">
        <v>710</v>
      </c>
      <c r="R386">
        <v>120116</v>
      </c>
    </row>
    <row r="387" spans="1:18" x14ac:dyDescent="0.25">
      <c r="A387" s="169">
        <v>43244</v>
      </c>
      <c r="B387" s="115">
        <v>44.085925925925899</v>
      </c>
      <c r="C387" s="115">
        <v>43.072592592592599</v>
      </c>
      <c r="D387" s="115">
        <v>41.896296296296299</v>
      </c>
      <c r="E387" s="115">
        <v>41.896296296296299</v>
      </c>
      <c r="F387" s="115">
        <v>726.85</v>
      </c>
      <c r="G387">
        <v>11818</v>
      </c>
      <c r="H387" s="115"/>
      <c r="I387" s="115"/>
      <c r="L387" s="169">
        <v>43244</v>
      </c>
      <c r="M387" s="115">
        <v>43.277037037036997</v>
      </c>
      <c r="N387" s="115">
        <v>44.317037037036997</v>
      </c>
      <c r="O387" s="115">
        <v>42.077037037037002</v>
      </c>
      <c r="P387" s="115">
        <v>42.405925925925899</v>
      </c>
      <c r="Q387" s="115">
        <v>730.3</v>
      </c>
      <c r="R387">
        <v>260086</v>
      </c>
    </row>
    <row r="388" spans="1:18" x14ac:dyDescent="0.25">
      <c r="A388" s="169">
        <v>43245</v>
      </c>
      <c r="B388" s="115">
        <v>44.133333333333297</v>
      </c>
      <c r="C388" s="115">
        <v>43.3392592592593</v>
      </c>
      <c r="D388" s="115">
        <v>42.962962962962997</v>
      </c>
      <c r="E388" s="115">
        <v>43.081481481481497</v>
      </c>
      <c r="F388" s="115">
        <v>731.35</v>
      </c>
      <c r="G388">
        <v>4903</v>
      </c>
      <c r="H388" s="115"/>
      <c r="I388" s="115"/>
      <c r="L388" s="169">
        <v>43245</v>
      </c>
      <c r="M388" s="115">
        <v>43.534814814814801</v>
      </c>
      <c r="N388" s="115">
        <v>43.964444444444403</v>
      </c>
      <c r="O388" s="115">
        <v>42.859259259259296</v>
      </c>
      <c r="P388" s="115">
        <v>43.253333333333302</v>
      </c>
      <c r="Q388" s="115">
        <v>734.65</v>
      </c>
      <c r="R388">
        <v>126967</v>
      </c>
    </row>
    <row r="389" spans="1:18" x14ac:dyDescent="0.25">
      <c r="A389" s="169">
        <v>43248</v>
      </c>
      <c r="B389" s="115">
        <v>44.962962962962997</v>
      </c>
      <c r="C389" s="115">
        <v>44.545185185185197</v>
      </c>
      <c r="D389" s="115">
        <v>43.674074074074099</v>
      </c>
      <c r="E389" s="115">
        <v>43.674074074074099</v>
      </c>
      <c r="F389" s="115">
        <v>751.7</v>
      </c>
      <c r="G389">
        <v>6563</v>
      </c>
      <c r="H389" s="115"/>
      <c r="I389" s="115"/>
      <c r="L389" s="169">
        <v>43248</v>
      </c>
      <c r="M389" s="115">
        <v>44.684444444444402</v>
      </c>
      <c r="N389" s="115">
        <v>45.037037037037003</v>
      </c>
      <c r="O389" s="115">
        <v>43.5555555555556</v>
      </c>
      <c r="P389" s="115">
        <v>43.845925925925897</v>
      </c>
      <c r="Q389" s="115">
        <v>754.05</v>
      </c>
      <c r="R389">
        <v>163606</v>
      </c>
    </row>
    <row r="390" spans="1:18" x14ac:dyDescent="0.25">
      <c r="A390" s="169">
        <v>43249</v>
      </c>
      <c r="B390" s="115">
        <v>45.484444444444399</v>
      </c>
      <c r="C390" s="115">
        <v>45.093333333333298</v>
      </c>
      <c r="D390" s="115">
        <v>43.994074074074099</v>
      </c>
      <c r="E390" s="115">
        <v>44.5037037037037</v>
      </c>
      <c r="F390" s="115">
        <v>760.95</v>
      </c>
      <c r="G390">
        <v>6805</v>
      </c>
      <c r="H390" s="115"/>
      <c r="I390" s="115"/>
      <c r="L390" s="169">
        <v>43249</v>
      </c>
      <c r="M390" s="115">
        <v>45.0192592592593</v>
      </c>
      <c r="N390" s="115">
        <v>45.493333333333297</v>
      </c>
      <c r="O390" s="115">
        <v>44.331851851851901</v>
      </c>
      <c r="P390" s="115">
        <v>44.841481481481502</v>
      </c>
      <c r="Q390" s="115">
        <v>759.7</v>
      </c>
      <c r="R390">
        <v>139645</v>
      </c>
    </row>
    <row r="391" spans="1:18" x14ac:dyDescent="0.25">
      <c r="A391" s="169">
        <v>43250</v>
      </c>
      <c r="B391" s="115">
        <v>45.893333333333302</v>
      </c>
      <c r="C391" s="115">
        <v>44.642962962962997</v>
      </c>
      <c r="D391" s="115">
        <v>44.334814814814798</v>
      </c>
      <c r="E391" s="115">
        <v>44.453333333333298</v>
      </c>
      <c r="F391" s="115">
        <v>753.35</v>
      </c>
      <c r="G391">
        <v>7257</v>
      </c>
      <c r="H391" s="115"/>
      <c r="I391" s="115"/>
      <c r="L391" s="169">
        <v>43250</v>
      </c>
      <c r="M391" s="115">
        <v>44.482962962963001</v>
      </c>
      <c r="N391" s="115">
        <v>45.896296296296299</v>
      </c>
      <c r="O391" s="115">
        <v>44.168888888888901</v>
      </c>
      <c r="P391" s="115">
        <v>44.728888888888903</v>
      </c>
      <c r="Q391" s="115">
        <v>750.65</v>
      </c>
      <c r="R391">
        <v>154328</v>
      </c>
    </row>
    <row r="392" spans="1:18" x14ac:dyDescent="0.25">
      <c r="A392" s="169">
        <v>43251</v>
      </c>
      <c r="B392" s="115">
        <v>46.044444444444402</v>
      </c>
      <c r="C392" s="115">
        <v>45.413333333333298</v>
      </c>
      <c r="D392" s="115">
        <v>44.325925925925901</v>
      </c>
      <c r="E392" s="115">
        <v>44.592592592592602</v>
      </c>
      <c r="F392" s="115">
        <v>766.35</v>
      </c>
      <c r="G392">
        <v>7496</v>
      </c>
      <c r="H392" s="115"/>
      <c r="I392" s="115"/>
      <c r="L392" s="169">
        <v>43251</v>
      </c>
      <c r="M392" s="115">
        <v>45.229629629629599</v>
      </c>
      <c r="N392" s="115">
        <v>47.1111111111111</v>
      </c>
      <c r="O392" s="115">
        <v>44.216296296296299</v>
      </c>
      <c r="P392" s="115">
        <v>44.592592592592602</v>
      </c>
      <c r="Q392" s="115">
        <v>763.25</v>
      </c>
      <c r="R392">
        <v>598478</v>
      </c>
    </row>
    <row r="393" spans="1:18" x14ac:dyDescent="0.25">
      <c r="A393" s="169">
        <v>43252</v>
      </c>
      <c r="B393" s="115">
        <v>46.429629629629602</v>
      </c>
      <c r="C393" s="115">
        <v>45.650370370370403</v>
      </c>
      <c r="D393" s="115">
        <v>45.197037037036999</v>
      </c>
      <c r="E393" s="115">
        <v>45.511111111111099</v>
      </c>
      <c r="F393" s="115">
        <v>770.35</v>
      </c>
      <c r="G393">
        <v>5484</v>
      </c>
      <c r="H393" s="115"/>
      <c r="I393" s="115"/>
      <c r="L393" s="169">
        <v>43252</v>
      </c>
      <c r="M393" s="115">
        <v>45.697777777777802</v>
      </c>
      <c r="N393" s="115">
        <v>46.518518518518498</v>
      </c>
      <c r="O393" s="115">
        <v>45.04</v>
      </c>
      <c r="P393" s="115">
        <v>45.591111111111097</v>
      </c>
      <c r="Q393" s="115">
        <v>771.15</v>
      </c>
      <c r="R393">
        <v>82969</v>
      </c>
    </row>
    <row r="394" spans="1:18" x14ac:dyDescent="0.25">
      <c r="A394" s="169">
        <v>43255</v>
      </c>
      <c r="B394" s="115">
        <v>46.441481481481503</v>
      </c>
      <c r="C394" s="115">
        <v>44.376296296296303</v>
      </c>
      <c r="D394" s="115">
        <v>43.9081481481482</v>
      </c>
      <c r="E394" s="115">
        <v>45.807407407407403</v>
      </c>
      <c r="F394" s="115">
        <v>748.85</v>
      </c>
      <c r="G394">
        <v>7282</v>
      </c>
      <c r="H394" s="115"/>
      <c r="I394" s="115"/>
      <c r="L394" s="169">
        <v>43255</v>
      </c>
      <c r="M394" s="115">
        <v>44.328888888888898</v>
      </c>
      <c r="N394" s="115">
        <v>46.459259259259298</v>
      </c>
      <c r="O394" s="115">
        <v>43.851851851851897</v>
      </c>
      <c r="P394" s="115">
        <v>46.459259259259298</v>
      </c>
      <c r="Q394" s="115">
        <v>748.05</v>
      </c>
      <c r="R394">
        <v>67975</v>
      </c>
    </row>
    <row r="395" spans="1:18" x14ac:dyDescent="0.25">
      <c r="A395" s="169">
        <v>43256</v>
      </c>
      <c r="B395" s="115">
        <v>44.737777777777801</v>
      </c>
      <c r="C395" s="115">
        <v>44.497777777777799</v>
      </c>
      <c r="D395" s="115">
        <v>42.7259259259259</v>
      </c>
      <c r="E395" s="115">
        <v>44.358518518518501</v>
      </c>
      <c r="F395" s="115">
        <v>750.9</v>
      </c>
      <c r="G395">
        <v>2007</v>
      </c>
      <c r="H395" s="115"/>
      <c r="I395" s="115"/>
      <c r="L395" s="169">
        <v>43256</v>
      </c>
      <c r="M395" s="115">
        <v>44.340740740740699</v>
      </c>
      <c r="N395" s="115">
        <v>45.031111111111102</v>
      </c>
      <c r="O395" s="115">
        <v>42.678518518518501</v>
      </c>
      <c r="P395" s="115">
        <v>43.970370370370397</v>
      </c>
      <c r="Q395" s="115">
        <v>748.25</v>
      </c>
      <c r="R395">
        <v>58009</v>
      </c>
    </row>
    <row r="396" spans="1:18" x14ac:dyDescent="0.25">
      <c r="A396" s="169">
        <v>43257</v>
      </c>
      <c r="B396" s="115">
        <v>45.629629629629598</v>
      </c>
      <c r="C396" s="115">
        <v>45.1437037037037</v>
      </c>
      <c r="D396" s="115">
        <v>43.949629629629598</v>
      </c>
      <c r="E396" s="115">
        <v>44.3525925925926</v>
      </c>
      <c r="F396" s="115">
        <v>761.8</v>
      </c>
      <c r="G396">
        <v>3417</v>
      </c>
      <c r="H396" s="115"/>
      <c r="I396" s="115"/>
      <c r="L396" s="169">
        <v>43257</v>
      </c>
      <c r="M396" s="115">
        <v>45.3333333333333</v>
      </c>
      <c r="N396" s="115">
        <v>45.567407407407401</v>
      </c>
      <c r="O396" s="115">
        <v>44.044444444444402</v>
      </c>
      <c r="P396" s="115">
        <v>44.3851851851852</v>
      </c>
      <c r="Q396" s="115">
        <v>765</v>
      </c>
      <c r="R396">
        <v>30494</v>
      </c>
    </row>
    <row r="397" spans="1:18" x14ac:dyDescent="0.25">
      <c r="A397" s="169">
        <v>43258</v>
      </c>
      <c r="B397" s="115">
        <v>46.005925925925901</v>
      </c>
      <c r="C397" s="115">
        <v>45.3985185185185</v>
      </c>
      <c r="D397" s="115">
        <v>44.918518518518503</v>
      </c>
      <c r="E397" s="115">
        <v>45.570370370370398</v>
      </c>
      <c r="F397" s="115">
        <v>766.1</v>
      </c>
      <c r="G397">
        <v>6321</v>
      </c>
      <c r="H397" s="115"/>
      <c r="I397" s="115"/>
      <c r="L397" s="169">
        <v>43258</v>
      </c>
      <c r="M397" s="115">
        <v>45.514074074074102</v>
      </c>
      <c r="N397" s="115">
        <v>46.2222222222222</v>
      </c>
      <c r="O397" s="115">
        <v>44.897777777777797</v>
      </c>
      <c r="P397" s="115">
        <v>45.7777777777778</v>
      </c>
      <c r="Q397" s="115">
        <v>768.05</v>
      </c>
      <c r="R397">
        <v>82135</v>
      </c>
    </row>
    <row r="398" spans="1:18" x14ac:dyDescent="0.25">
      <c r="A398" s="169">
        <v>43259</v>
      </c>
      <c r="B398" s="115">
        <v>45.674074074074099</v>
      </c>
      <c r="C398" s="115">
        <v>44.231111111111098</v>
      </c>
      <c r="D398" s="115">
        <v>42.918518518518503</v>
      </c>
      <c r="E398" s="115">
        <v>45.037037037037003</v>
      </c>
      <c r="F398" s="115">
        <v>746.4</v>
      </c>
      <c r="G398">
        <v>5391</v>
      </c>
      <c r="H398" s="115"/>
      <c r="I398" s="115"/>
      <c r="L398" s="169">
        <v>43259</v>
      </c>
      <c r="M398" s="115">
        <v>44.1303703703704</v>
      </c>
      <c r="N398" s="115">
        <v>45.336296296296297</v>
      </c>
      <c r="O398" s="115">
        <v>43.075555555555603</v>
      </c>
      <c r="P398" s="115">
        <v>45.336296296296297</v>
      </c>
      <c r="Q398" s="115">
        <v>744.7</v>
      </c>
      <c r="R398">
        <v>50579</v>
      </c>
    </row>
    <row r="399" spans="1:18" x14ac:dyDescent="0.25">
      <c r="A399" s="169">
        <v>43262</v>
      </c>
      <c r="B399" s="115">
        <v>44.740740740740698</v>
      </c>
      <c r="C399" s="115">
        <v>44.272592592592602</v>
      </c>
      <c r="D399" s="115">
        <v>44.088888888888903</v>
      </c>
      <c r="E399" s="115">
        <v>44.740740740740698</v>
      </c>
      <c r="F399" s="115">
        <v>747.1</v>
      </c>
      <c r="G399">
        <v>1506</v>
      </c>
      <c r="H399" s="115"/>
      <c r="I399" s="115"/>
      <c r="L399" s="169">
        <v>43262</v>
      </c>
      <c r="M399" s="115">
        <v>44.376296296296303</v>
      </c>
      <c r="N399" s="115">
        <v>44.918518518518503</v>
      </c>
      <c r="O399" s="115">
        <v>43.970370370370397</v>
      </c>
      <c r="P399" s="115">
        <v>44.165925925925897</v>
      </c>
      <c r="Q399" s="115">
        <v>748.85</v>
      </c>
      <c r="R399">
        <v>30728</v>
      </c>
    </row>
    <row r="400" spans="1:18" x14ac:dyDescent="0.25">
      <c r="A400" s="169">
        <v>43263</v>
      </c>
      <c r="B400" s="115">
        <v>44.669629629629597</v>
      </c>
      <c r="C400" s="115">
        <v>43.528888888888901</v>
      </c>
      <c r="D400" s="115">
        <v>42.9540740740741</v>
      </c>
      <c r="E400" s="115">
        <v>44.343703703703703</v>
      </c>
      <c r="F400" s="115">
        <v>734.55</v>
      </c>
      <c r="G400">
        <v>6789</v>
      </c>
      <c r="H400" s="115"/>
      <c r="I400" s="115"/>
      <c r="L400" s="169">
        <v>43263</v>
      </c>
      <c r="M400" s="115">
        <v>43.940740740740701</v>
      </c>
      <c r="N400" s="115">
        <v>44.728888888888903</v>
      </c>
      <c r="O400" s="115">
        <v>43.6148148148148</v>
      </c>
      <c r="P400" s="115">
        <v>44.397037037037002</v>
      </c>
      <c r="Q400" s="115">
        <v>741.5</v>
      </c>
      <c r="R400">
        <v>25140</v>
      </c>
    </row>
    <row r="401" spans="1:18" x14ac:dyDescent="0.25">
      <c r="A401" s="169">
        <v>43264</v>
      </c>
      <c r="B401" s="115">
        <v>45.629629629629598</v>
      </c>
      <c r="C401" s="115">
        <v>45.016296296296296</v>
      </c>
      <c r="D401" s="115">
        <v>43.4962962962963</v>
      </c>
      <c r="E401" s="115">
        <v>43.4962962962963</v>
      </c>
      <c r="F401" s="115">
        <v>759.65</v>
      </c>
      <c r="G401">
        <v>2374</v>
      </c>
      <c r="H401" s="115"/>
      <c r="I401" s="115"/>
      <c r="L401" s="169">
        <v>43264</v>
      </c>
      <c r="M401" s="115">
        <v>45.093333333333298</v>
      </c>
      <c r="N401" s="115">
        <v>45.748148148148097</v>
      </c>
      <c r="O401" s="115">
        <v>44.1303703703704</v>
      </c>
      <c r="P401" s="115">
        <v>44.148148148148103</v>
      </c>
      <c r="Q401" s="115">
        <v>760.95</v>
      </c>
      <c r="R401">
        <v>101994</v>
      </c>
    </row>
    <row r="402" spans="1:18" x14ac:dyDescent="0.25">
      <c r="A402" s="169">
        <v>43265</v>
      </c>
      <c r="B402" s="115">
        <v>46.755555555555603</v>
      </c>
      <c r="C402" s="115">
        <v>45.7451851851852</v>
      </c>
      <c r="D402" s="115">
        <v>44.930370370370397</v>
      </c>
      <c r="E402" s="115">
        <v>45.037037037037003</v>
      </c>
      <c r="F402" s="115">
        <v>771.95</v>
      </c>
      <c r="G402">
        <v>6579</v>
      </c>
      <c r="H402" s="115"/>
      <c r="I402" s="115"/>
      <c r="L402" s="169">
        <v>43265</v>
      </c>
      <c r="M402" s="115">
        <v>45.724444444444401</v>
      </c>
      <c r="N402" s="115">
        <v>46.811851851851898</v>
      </c>
      <c r="O402" s="115">
        <v>44.5688888888889</v>
      </c>
      <c r="P402" s="115">
        <v>44.5688888888889</v>
      </c>
      <c r="Q402" s="115">
        <v>771.6</v>
      </c>
      <c r="R402">
        <v>119786</v>
      </c>
    </row>
    <row r="403" spans="1:18" x14ac:dyDescent="0.25">
      <c r="A403" s="169">
        <v>43266</v>
      </c>
      <c r="B403" s="115">
        <v>46.16</v>
      </c>
      <c r="C403" s="115">
        <v>45.961481481481499</v>
      </c>
      <c r="D403" s="115">
        <v>45.629629629629598</v>
      </c>
      <c r="E403" s="115">
        <v>45.748148148148097</v>
      </c>
      <c r="F403" s="115">
        <v>775.6</v>
      </c>
      <c r="G403">
        <v>2445</v>
      </c>
      <c r="H403" s="115"/>
      <c r="I403" s="115"/>
      <c r="L403" s="169">
        <v>43266</v>
      </c>
      <c r="M403" s="115">
        <v>45.733333333333299</v>
      </c>
      <c r="N403" s="115">
        <v>46.281481481481499</v>
      </c>
      <c r="O403" s="115">
        <v>45.371851851851901</v>
      </c>
      <c r="P403" s="115">
        <v>46.0325925925926</v>
      </c>
      <c r="Q403" s="115">
        <v>771.75</v>
      </c>
      <c r="R403">
        <v>40105</v>
      </c>
    </row>
    <row r="404" spans="1:18" x14ac:dyDescent="0.25">
      <c r="A404" s="169">
        <v>43269</v>
      </c>
      <c r="B404" s="115">
        <v>45.863703703703699</v>
      </c>
      <c r="C404" s="115">
        <v>45.626666666666701</v>
      </c>
      <c r="D404" s="115">
        <v>45.4577777777778</v>
      </c>
      <c r="E404" s="115">
        <v>45.4577777777778</v>
      </c>
      <c r="F404" s="115">
        <v>769.95</v>
      </c>
      <c r="G404">
        <v>845</v>
      </c>
      <c r="H404" s="115"/>
      <c r="I404" s="115"/>
      <c r="L404" s="169">
        <v>43269</v>
      </c>
      <c r="M404" s="115">
        <v>45.617777777777803</v>
      </c>
      <c r="N404" s="115">
        <v>45.985185185185202</v>
      </c>
      <c r="O404" s="115">
        <v>45.451851851851799</v>
      </c>
      <c r="P404" s="115">
        <v>45.866666666666703</v>
      </c>
      <c r="Q404" s="115">
        <v>769.8</v>
      </c>
      <c r="R404">
        <v>14423</v>
      </c>
    </row>
    <row r="405" spans="1:18" x14ac:dyDescent="0.25">
      <c r="A405" s="169">
        <v>43270</v>
      </c>
      <c r="B405" s="115">
        <v>45.508148148148202</v>
      </c>
      <c r="C405" s="115">
        <v>45.354074074074099</v>
      </c>
      <c r="D405" s="115">
        <v>44.894814814814801</v>
      </c>
      <c r="E405" s="115">
        <v>45.508148148148202</v>
      </c>
      <c r="F405" s="115">
        <v>765.35</v>
      </c>
      <c r="G405">
        <v>1128</v>
      </c>
      <c r="H405" s="115"/>
      <c r="I405" s="115"/>
      <c r="L405" s="169">
        <v>43270</v>
      </c>
      <c r="M405" s="115">
        <v>45.238518518518497</v>
      </c>
      <c r="N405" s="115">
        <v>45.605925925925902</v>
      </c>
      <c r="O405" s="115">
        <v>44.802962962963001</v>
      </c>
      <c r="P405" s="115">
        <v>45.605925925925902</v>
      </c>
      <c r="Q405" s="115">
        <v>763.4</v>
      </c>
      <c r="R405">
        <v>27880</v>
      </c>
    </row>
    <row r="406" spans="1:18" x14ac:dyDescent="0.25">
      <c r="A406" s="169">
        <v>43271</v>
      </c>
      <c r="B406" s="115">
        <v>45.437037037037001</v>
      </c>
      <c r="C406" s="115">
        <v>44.743703703703702</v>
      </c>
      <c r="D406" s="115">
        <v>44.3851851851852</v>
      </c>
      <c r="E406" s="115">
        <v>45.037037037037003</v>
      </c>
      <c r="F406" s="115">
        <v>755.05</v>
      </c>
      <c r="G406">
        <v>1457</v>
      </c>
      <c r="H406" s="115"/>
      <c r="I406" s="115"/>
      <c r="L406" s="169">
        <v>43271</v>
      </c>
      <c r="M406" s="115">
        <v>44.88</v>
      </c>
      <c r="N406" s="115">
        <v>45.514074074074102</v>
      </c>
      <c r="O406" s="115">
        <v>44.4444444444444</v>
      </c>
      <c r="P406" s="115">
        <v>45.3333333333333</v>
      </c>
      <c r="Q406" s="115">
        <v>757.35</v>
      </c>
      <c r="R406">
        <v>48912</v>
      </c>
    </row>
    <row r="407" spans="1:18" x14ac:dyDescent="0.25">
      <c r="A407" s="169">
        <v>43272</v>
      </c>
      <c r="B407" s="115">
        <v>45.623703703703697</v>
      </c>
      <c r="C407" s="115">
        <v>44.370370370370402</v>
      </c>
      <c r="D407" s="115">
        <v>43.854814814814802</v>
      </c>
      <c r="E407" s="115">
        <v>44.859259259259296</v>
      </c>
      <c r="F407" s="115">
        <v>748.75</v>
      </c>
      <c r="G407">
        <v>1521</v>
      </c>
      <c r="H407" s="115"/>
      <c r="I407" s="115"/>
      <c r="L407" s="169">
        <v>43272</v>
      </c>
      <c r="M407" s="115">
        <v>44.4444444444444</v>
      </c>
      <c r="N407" s="115">
        <v>45.688888888888897</v>
      </c>
      <c r="O407" s="115">
        <v>43.783703703703701</v>
      </c>
      <c r="P407" s="115">
        <v>45.318518518518502</v>
      </c>
      <c r="Q407" s="115">
        <v>750</v>
      </c>
      <c r="R407">
        <v>472400</v>
      </c>
    </row>
    <row r="408" spans="1:18" x14ac:dyDescent="0.25">
      <c r="A408" s="169">
        <v>43273</v>
      </c>
      <c r="B408" s="115">
        <v>45.315555555555598</v>
      </c>
      <c r="C408" s="115">
        <v>44.3525925925926</v>
      </c>
      <c r="D408" s="115">
        <v>43.5555555555556</v>
      </c>
      <c r="E408" s="115">
        <v>43.851851851851897</v>
      </c>
      <c r="F408" s="115">
        <v>748.45</v>
      </c>
      <c r="G408">
        <v>306921</v>
      </c>
      <c r="H408" s="115"/>
      <c r="I408" s="115"/>
      <c r="L408" s="169">
        <v>43273</v>
      </c>
      <c r="M408" s="115">
        <v>44.420740740740698</v>
      </c>
      <c r="N408" s="115">
        <v>45.037037037037003</v>
      </c>
      <c r="O408" s="115">
        <v>43.324444444444403</v>
      </c>
      <c r="P408" s="115">
        <v>44.3851851851852</v>
      </c>
      <c r="Q408" s="115">
        <v>749.6</v>
      </c>
      <c r="R408">
        <v>53627</v>
      </c>
    </row>
    <row r="409" spans="1:18" x14ac:dyDescent="0.25">
      <c r="A409" s="169">
        <v>43276</v>
      </c>
      <c r="B409" s="115">
        <v>44.269629629629598</v>
      </c>
      <c r="C409" s="115">
        <v>43.511111111111099</v>
      </c>
      <c r="D409" s="115">
        <v>43.2681481481482</v>
      </c>
      <c r="E409" s="115">
        <v>44.266666666666701</v>
      </c>
      <c r="F409" s="115">
        <v>734.25</v>
      </c>
      <c r="G409">
        <v>1138</v>
      </c>
      <c r="H409" s="115"/>
      <c r="I409" s="115"/>
      <c r="L409" s="169">
        <v>43276</v>
      </c>
      <c r="M409" s="115">
        <v>43.531851851851897</v>
      </c>
      <c r="N409" s="115">
        <v>44.737777777777801</v>
      </c>
      <c r="O409" s="115">
        <v>43.259259259259302</v>
      </c>
      <c r="P409" s="115">
        <v>44.562962962962999</v>
      </c>
      <c r="Q409" s="115">
        <v>734.6</v>
      </c>
      <c r="R409">
        <v>24448</v>
      </c>
    </row>
    <row r="410" spans="1:18" x14ac:dyDescent="0.25">
      <c r="A410" s="169">
        <v>43277</v>
      </c>
      <c r="B410" s="115">
        <v>43.851851851851897</v>
      </c>
      <c r="C410" s="115">
        <v>43.487407407407403</v>
      </c>
      <c r="D410" s="115">
        <v>42.293333333333301</v>
      </c>
      <c r="E410" s="115">
        <v>43.081481481481497</v>
      </c>
      <c r="F410" s="115">
        <v>733.85</v>
      </c>
      <c r="G410">
        <v>2267</v>
      </c>
      <c r="H410" s="115"/>
      <c r="I410" s="115"/>
      <c r="L410" s="169">
        <v>43277</v>
      </c>
      <c r="M410" s="115">
        <v>43.597037037036998</v>
      </c>
      <c r="N410" s="115">
        <v>44.100740740740697</v>
      </c>
      <c r="O410" s="115">
        <v>42.074074074074097</v>
      </c>
      <c r="P410" s="115">
        <v>43.271111111111097</v>
      </c>
      <c r="Q410" s="115">
        <v>735.7</v>
      </c>
      <c r="R410">
        <v>191628</v>
      </c>
    </row>
    <row r="411" spans="1:18" x14ac:dyDescent="0.25">
      <c r="A411" s="169">
        <v>43278</v>
      </c>
      <c r="B411" s="115">
        <v>44.734814814814797</v>
      </c>
      <c r="C411" s="115">
        <v>44.397037037037002</v>
      </c>
      <c r="D411" s="115">
        <v>43.022222222222197</v>
      </c>
      <c r="E411" s="115">
        <v>43.437037037037001</v>
      </c>
      <c r="F411" s="115">
        <v>749.2</v>
      </c>
      <c r="G411">
        <v>2774</v>
      </c>
      <c r="H411" s="115"/>
      <c r="I411" s="115"/>
      <c r="L411" s="169">
        <v>43278</v>
      </c>
      <c r="M411" s="115">
        <v>44.405925925925899</v>
      </c>
      <c r="N411" s="115">
        <v>44.72</v>
      </c>
      <c r="O411" s="115">
        <v>42.814814814814802</v>
      </c>
      <c r="P411" s="115">
        <v>43.318518518518502</v>
      </c>
      <c r="Q411" s="115">
        <v>749.35</v>
      </c>
      <c r="R411">
        <v>36021</v>
      </c>
    </row>
    <row r="412" spans="1:18" x14ac:dyDescent="0.25">
      <c r="A412" s="169">
        <v>43279</v>
      </c>
      <c r="B412" s="115">
        <v>45.866666666666703</v>
      </c>
      <c r="C412" s="115">
        <v>45.348148148148098</v>
      </c>
      <c r="D412" s="115">
        <v>44.088888888888903</v>
      </c>
      <c r="E412" s="115">
        <v>44.275555555555599</v>
      </c>
      <c r="F412" s="115">
        <v>765.25</v>
      </c>
      <c r="G412">
        <v>7596</v>
      </c>
      <c r="H412" s="115"/>
      <c r="I412" s="115"/>
      <c r="L412" s="169">
        <v>43279</v>
      </c>
      <c r="M412" s="115">
        <v>45.256296296296298</v>
      </c>
      <c r="N412" s="115">
        <v>46.103703703703701</v>
      </c>
      <c r="O412" s="115">
        <v>44.062222222222204</v>
      </c>
      <c r="P412" s="115">
        <v>44.491851851851798</v>
      </c>
      <c r="Q412" s="115">
        <v>763.7</v>
      </c>
      <c r="R412">
        <v>56673</v>
      </c>
    </row>
    <row r="413" spans="1:18" x14ac:dyDescent="0.25">
      <c r="A413" s="169">
        <v>43280</v>
      </c>
      <c r="B413" s="115">
        <v>46.127407407407397</v>
      </c>
      <c r="C413" s="115">
        <v>44.637037037036997</v>
      </c>
      <c r="D413" s="115">
        <v>44.308148148148099</v>
      </c>
      <c r="E413" s="115">
        <v>45.629629629629598</v>
      </c>
      <c r="F413" s="115">
        <v>753.25</v>
      </c>
      <c r="G413">
        <v>1405</v>
      </c>
      <c r="H413" s="115"/>
      <c r="I413" s="115"/>
      <c r="L413" s="169">
        <v>43280</v>
      </c>
      <c r="M413" s="115">
        <v>44.657777777777802</v>
      </c>
      <c r="N413" s="115">
        <v>46.103703703703701</v>
      </c>
      <c r="O413" s="115">
        <v>44.302222222222198</v>
      </c>
      <c r="P413" s="115">
        <v>45.6207407407407</v>
      </c>
      <c r="Q413" s="115">
        <v>753.6</v>
      </c>
      <c r="R413">
        <v>50204</v>
      </c>
    </row>
    <row r="414" spans="1:18" x14ac:dyDescent="0.25">
      <c r="A414" s="169">
        <v>43283</v>
      </c>
      <c r="B414" s="115">
        <v>44.977777777777803</v>
      </c>
      <c r="C414" s="115">
        <v>44.242962962962999</v>
      </c>
      <c r="D414" s="115">
        <v>43.792592592592598</v>
      </c>
      <c r="E414" s="115">
        <v>44.622222222222199</v>
      </c>
      <c r="F414" s="115">
        <v>746.6</v>
      </c>
      <c r="G414">
        <v>756</v>
      </c>
      <c r="H414" s="115"/>
      <c r="I414" s="115"/>
      <c r="L414" s="169">
        <v>43283</v>
      </c>
      <c r="M414" s="115">
        <v>44.168888888888901</v>
      </c>
      <c r="N414" s="115">
        <v>44.971851851851902</v>
      </c>
      <c r="O414" s="115">
        <v>43.377777777777801</v>
      </c>
      <c r="P414" s="115">
        <v>44.971851851851902</v>
      </c>
      <c r="Q414" s="115">
        <v>745.35</v>
      </c>
      <c r="R414">
        <v>172878</v>
      </c>
    </row>
    <row r="415" spans="1:18" x14ac:dyDescent="0.25">
      <c r="A415" s="169">
        <v>43284</v>
      </c>
      <c r="B415" s="115">
        <v>44.782222222222202</v>
      </c>
      <c r="C415" s="115">
        <v>44.654814814814799</v>
      </c>
      <c r="D415" s="115">
        <v>43.851851851851897</v>
      </c>
      <c r="E415" s="115">
        <v>43.851851851851897</v>
      </c>
      <c r="F415" s="115">
        <v>753.55</v>
      </c>
      <c r="G415">
        <v>642</v>
      </c>
      <c r="H415" s="115"/>
      <c r="I415" s="115"/>
      <c r="L415" s="169">
        <v>43284</v>
      </c>
      <c r="M415" s="115">
        <v>44.589629629629599</v>
      </c>
      <c r="N415" s="115">
        <v>44.912592592592603</v>
      </c>
      <c r="O415" s="115">
        <v>43.567407407407401</v>
      </c>
      <c r="P415" s="115">
        <v>44.382222222222197</v>
      </c>
      <c r="Q415" s="115">
        <v>752.45</v>
      </c>
      <c r="R415">
        <v>26306</v>
      </c>
    </row>
    <row r="416" spans="1:18" x14ac:dyDescent="0.25">
      <c r="A416" s="169">
        <v>43285</v>
      </c>
      <c r="B416" s="115">
        <v>45.629629629629598</v>
      </c>
      <c r="C416" s="115">
        <v>45.330370370370403</v>
      </c>
      <c r="D416" s="115">
        <v>44.435555555555602</v>
      </c>
      <c r="E416" s="115">
        <v>44.438518518518499</v>
      </c>
      <c r="F416" s="115">
        <v>764.95</v>
      </c>
      <c r="G416">
        <v>1782</v>
      </c>
      <c r="H416" s="115"/>
      <c r="I416" s="115"/>
      <c r="L416" s="169">
        <v>43285</v>
      </c>
      <c r="M416" s="115">
        <v>45.454814814814803</v>
      </c>
      <c r="N416" s="115">
        <v>45.611851851851902</v>
      </c>
      <c r="O416" s="115">
        <v>44.435555555555602</v>
      </c>
      <c r="P416" s="115">
        <v>44.64</v>
      </c>
      <c r="Q416" s="115">
        <v>767.05</v>
      </c>
      <c r="R416">
        <v>33171</v>
      </c>
    </row>
    <row r="417" spans="1:18" x14ac:dyDescent="0.25">
      <c r="A417" s="169">
        <v>43286</v>
      </c>
      <c r="B417" s="115">
        <v>46.4</v>
      </c>
      <c r="C417" s="115">
        <v>44.397037037037002</v>
      </c>
      <c r="D417" s="115">
        <v>43.881481481481501</v>
      </c>
      <c r="E417" s="115">
        <v>45.3333333333333</v>
      </c>
      <c r="F417" s="115">
        <v>749.2</v>
      </c>
      <c r="G417">
        <v>2991</v>
      </c>
      <c r="H417" s="115"/>
      <c r="I417" s="115"/>
      <c r="L417" s="169">
        <v>43286</v>
      </c>
      <c r="M417" s="115">
        <v>44.610370370370397</v>
      </c>
      <c r="N417" s="115">
        <v>45.807407407407403</v>
      </c>
      <c r="O417" s="115">
        <v>43.976296296296297</v>
      </c>
      <c r="P417" s="115">
        <v>45.451851851851799</v>
      </c>
      <c r="Q417" s="115">
        <v>752.8</v>
      </c>
      <c r="R417">
        <v>53549</v>
      </c>
    </row>
    <row r="418" spans="1:18" x14ac:dyDescent="0.25">
      <c r="A418" s="169">
        <v>43287</v>
      </c>
      <c r="B418" s="115">
        <v>44.740740740740698</v>
      </c>
      <c r="C418" s="115">
        <v>44.355555555555597</v>
      </c>
      <c r="D418" s="115">
        <v>43.389629629629603</v>
      </c>
      <c r="E418" s="115">
        <v>44.740740740740698</v>
      </c>
      <c r="F418" s="115">
        <v>748.5</v>
      </c>
      <c r="G418">
        <v>2191</v>
      </c>
      <c r="H418" s="115"/>
      <c r="I418" s="115"/>
      <c r="L418" s="169">
        <v>43287</v>
      </c>
      <c r="M418" s="115">
        <v>44.497777777777799</v>
      </c>
      <c r="N418" s="115">
        <v>45.093333333333298</v>
      </c>
      <c r="O418" s="115">
        <v>43.377777777777801</v>
      </c>
      <c r="P418" s="115">
        <v>45.093333333333298</v>
      </c>
      <c r="Q418" s="115">
        <v>750.9</v>
      </c>
      <c r="R418">
        <v>58974</v>
      </c>
    </row>
    <row r="419" spans="1:18" x14ac:dyDescent="0.25">
      <c r="A419" s="169">
        <v>43290</v>
      </c>
      <c r="B419" s="115">
        <v>45.037037037037003</v>
      </c>
      <c r="C419" s="115">
        <v>44.675555555555597</v>
      </c>
      <c r="D419" s="115">
        <v>43.259259259259302</v>
      </c>
      <c r="E419" s="115">
        <v>44.148148148148103</v>
      </c>
      <c r="F419" s="115">
        <v>753.9</v>
      </c>
      <c r="G419">
        <v>2168</v>
      </c>
      <c r="H419" s="115"/>
      <c r="I419" s="115"/>
      <c r="L419" s="169">
        <v>43290</v>
      </c>
      <c r="M419" s="115">
        <v>44.4444444444444</v>
      </c>
      <c r="N419" s="115">
        <v>44.64</v>
      </c>
      <c r="O419" s="115">
        <v>42.971851851851902</v>
      </c>
      <c r="P419" s="115">
        <v>44.64</v>
      </c>
      <c r="Q419" s="115">
        <v>750</v>
      </c>
      <c r="R419">
        <v>103357</v>
      </c>
    </row>
    <row r="420" spans="1:18" x14ac:dyDescent="0.25">
      <c r="A420" s="169">
        <v>43291</v>
      </c>
      <c r="B420" s="115">
        <v>44.619259259259302</v>
      </c>
      <c r="C420" s="115">
        <v>44.397037037037002</v>
      </c>
      <c r="D420" s="115">
        <v>43.976296296296297</v>
      </c>
      <c r="E420" s="115">
        <v>44.370370370370402</v>
      </c>
      <c r="F420" s="115">
        <v>749.2</v>
      </c>
      <c r="G420">
        <v>645</v>
      </c>
      <c r="H420" s="115"/>
      <c r="I420" s="115"/>
      <c r="L420" s="169">
        <v>43291</v>
      </c>
      <c r="M420" s="115">
        <v>44.3792592592593</v>
      </c>
      <c r="N420" s="115">
        <v>44.740740740740698</v>
      </c>
      <c r="O420" s="115">
        <v>43.857777777777798</v>
      </c>
      <c r="P420" s="115">
        <v>44.740740740740698</v>
      </c>
      <c r="Q420" s="115">
        <v>748.9</v>
      </c>
      <c r="R420">
        <v>64845</v>
      </c>
    </row>
    <row r="421" spans="1:18" x14ac:dyDescent="0.25">
      <c r="A421" s="169">
        <v>43292</v>
      </c>
      <c r="B421" s="115">
        <v>44.56</v>
      </c>
      <c r="C421" s="115">
        <v>44.302222222222198</v>
      </c>
      <c r="D421" s="115">
        <v>44.157037037037</v>
      </c>
      <c r="E421" s="115">
        <v>44.4444444444444</v>
      </c>
      <c r="F421" s="115">
        <v>747.6</v>
      </c>
      <c r="G421">
        <v>462</v>
      </c>
      <c r="H421" s="115"/>
      <c r="I421" s="115"/>
      <c r="L421" s="169">
        <v>43292</v>
      </c>
      <c r="M421" s="115">
        <v>44.524444444444399</v>
      </c>
      <c r="N421" s="115">
        <v>44.755555555555603</v>
      </c>
      <c r="O421" s="115">
        <v>44.091851851851899</v>
      </c>
      <c r="P421" s="115">
        <v>44.4444444444444</v>
      </c>
      <c r="Q421" s="115">
        <v>751.35</v>
      </c>
      <c r="R421">
        <v>65191</v>
      </c>
    </row>
    <row r="422" spans="1:18" x14ac:dyDescent="0.25">
      <c r="A422" s="169">
        <v>43293</v>
      </c>
      <c r="B422" s="115">
        <v>44.414814814814797</v>
      </c>
      <c r="C422" s="115">
        <v>44.1955555555556</v>
      </c>
      <c r="D422" s="115">
        <v>43.917037037036998</v>
      </c>
      <c r="E422" s="115">
        <v>44.302222222222198</v>
      </c>
      <c r="F422" s="115">
        <v>745.8</v>
      </c>
      <c r="G422">
        <v>908</v>
      </c>
      <c r="H422" s="115"/>
      <c r="I422" s="115"/>
      <c r="L422" s="169">
        <v>43293</v>
      </c>
      <c r="M422" s="115">
        <v>44.213333333333303</v>
      </c>
      <c r="N422" s="115">
        <v>44.737777777777801</v>
      </c>
      <c r="O422" s="115">
        <v>43.854814814814802</v>
      </c>
      <c r="P422" s="115">
        <v>44.562962962962999</v>
      </c>
      <c r="Q422" s="115">
        <v>746.1</v>
      </c>
      <c r="R422">
        <v>35017</v>
      </c>
    </row>
    <row r="423" spans="1:18" x14ac:dyDescent="0.25">
      <c r="A423" s="169">
        <v>43294</v>
      </c>
      <c r="B423" s="115">
        <v>44.859259259259296</v>
      </c>
      <c r="C423" s="115">
        <v>43.925925925925903</v>
      </c>
      <c r="D423" s="115">
        <v>43.336296296296297</v>
      </c>
      <c r="E423" s="115">
        <v>44.859259259259296</v>
      </c>
      <c r="F423" s="115">
        <v>741.25</v>
      </c>
      <c r="G423">
        <v>1245</v>
      </c>
      <c r="H423" s="115"/>
      <c r="I423" s="115"/>
      <c r="L423" s="169">
        <v>43294</v>
      </c>
      <c r="M423" s="115">
        <v>44.2222222222222</v>
      </c>
      <c r="N423" s="115">
        <v>44.56</v>
      </c>
      <c r="O423" s="115">
        <v>43.4311111111111</v>
      </c>
      <c r="P423" s="115">
        <v>43.914074074074101</v>
      </c>
      <c r="Q423" s="115">
        <v>746.25</v>
      </c>
      <c r="R423">
        <v>15220</v>
      </c>
    </row>
    <row r="424" spans="1:18" x14ac:dyDescent="0.25">
      <c r="A424" s="169">
        <v>43297</v>
      </c>
      <c r="B424" s="115">
        <v>43.851851851851897</v>
      </c>
      <c r="C424" s="115">
        <v>43.502222222222201</v>
      </c>
      <c r="D424" s="115">
        <v>42.785185185185199</v>
      </c>
      <c r="E424" s="115">
        <v>43.851851851851897</v>
      </c>
      <c r="F424" s="115">
        <v>734.1</v>
      </c>
      <c r="G424">
        <v>2250</v>
      </c>
      <c r="H424" s="115"/>
      <c r="I424" s="115"/>
      <c r="L424" s="169">
        <v>43297</v>
      </c>
      <c r="M424" s="115">
        <v>43.617777777777803</v>
      </c>
      <c r="N424" s="115">
        <v>44.082962962963002</v>
      </c>
      <c r="O424" s="115">
        <v>42.962962962962997</v>
      </c>
      <c r="P424" s="115">
        <v>43.851851851851897</v>
      </c>
      <c r="Q424" s="115">
        <v>736.05</v>
      </c>
      <c r="R424">
        <v>62940</v>
      </c>
    </row>
    <row r="425" spans="1:18" x14ac:dyDescent="0.25">
      <c r="A425" s="169">
        <v>43298</v>
      </c>
      <c r="B425" s="115">
        <v>43.721481481481497</v>
      </c>
      <c r="C425" s="115">
        <v>43.155555555555601</v>
      </c>
      <c r="D425" s="115">
        <v>42.6666666666667</v>
      </c>
      <c r="E425" s="115">
        <v>43.259259259259302</v>
      </c>
      <c r="F425" s="115">
        <v>728.25</v>
      </c>
      <c r="G425">
        <v>1223</v>
      </c>
      <c r="H425" s="115"/>
      <c r="I425" s="115"/>
      <c r="L425" s="169">
        <v>43298</v>
      </c>
      <c r="M425" s="115">
        <v>43.265185185185203</v>
      </c>
      <c r="N425" s="115">
        <v>43.691851851851901</v>
      </c>
      <c r="O425" s="115">
        <v>42.527407407407402</v>
      </c>
      <c r="P425" s="115">
        <v>43.022222222222197</v>
      </c>
      <c r="Q425" s="115">
        <v>730.1</v>
      </c>
      <c r="R425">
        <v>103552</v>
      </c>
    </row>
    <row r="426" spans="1:18" x14ac:dyDescent="0.25">
      <c r="A426" s="169">
        <v>43299</v>
      </c>
      <c r="B426" s="115">
        <v>43.837037037037</v>
      </c>
      <c r="C426" s="115">
        <v>42.260740740740701</v>
      </c>
      <c r="D426" s="115">
        <v>40.604444444444397</v>
      </c>
      <c r="E426" s="115">
        <v>43.4903703703704</v>
      </c>
      <c r="F426" s="115">
        <v>713.15</v>
      </c>
      <c r="G426">
        <v>8497</v>
      </c>
      <c r="H426" s="115"/>
      <c r="I426" s="115"/>
      <c r="L426" s="169">
        <v>43299</v>
      </c>
      <c r="M426" s="115">
        <v>42.453333333333298</v>
      </c>
      <c r="N426" s="115">
        <v>43.851851851851897</v>
      </c>
      <c r="O426" s="115">
        <v>40.5422222222222</v>
      </c>
      <c r="P426" s="115">
        <v>43.152592592592597</v>
      </c>
      <c r="Q426" s="115">
        <v>716.4</v>
      </c>
      <c r="R426">
        <v>345898</v>
      </c>
    </row>
    <row r="427" spans="1:18" x14ac:dyDescent="0.25">
      <c r="A427" s="169">
        <v>43300</v>
      </c>
      <c r="B427" s="115">
        <v>42.6666666666667</v>
      </c>
      <c r="C427" s="115">
        <v>42.192592592592597</v>
      </c>
      <c r="D427" s="115">
        <v>41.066666666666698</v>
      </c>
      <c r="E427" s="115">
        <v>41.718518518518501</v>
      </c>
      <c r="F427" s="115">
        <v>712</v>
      </c>
      <c r="G427">
        <v>206177</v>
      </c>
      <c r="H427" s="115"/>
      <c r="I427" s="115"/>
      <c r="L427" s="169">
        <v>43300</v>
      </c>
      <c r="M427" s="115">
        <v>42.088888888888903</v>
      </c>
      <c r="N427" s="115">
        <v>42.785185185185199</v>
      </c>
      <c r="O427" s="115">
        <v>41.2088888888889</v>
      </c>
      <c r="P427" s="115">
        <v>42.192592592592597</v>
      </c>
      <c r="Q427" s="115">
        <v>710.25</v>
      </c>
      <c r="R427">
        <v>499585</v>
      </c>
    </row>
    <row r="428" spans="1:18" x14ac:dyDescent="0.25">
      <c r="A428" s="169">
        <v>43301</v>
      </c>
      <c r="B428" s="115">
        <v>42.044444444444402</v>
      </c>
      <c r="C428" s="115">
        <v>41.493333333333297</v>
      </c>
      <c r="D428" s="115">
        <v>41.312592592592601</v>
      </c>
      <c r="E428" s="115">
        <v>41.481481481481502</v>
      </c>
      <c r="F428" s="115">
        <v>700.2</v>
      </c>
      <c r="G428">
        <v>56844</v>
      </c>
      <c r="H428" s="115"/>
      <c r="I428" s="115"/>
      <c r="L428" s="169">
        <v>43301</v>
      </c>
      <c r="M428" s="115">
        <v>41.594074074074101</v>
      </c>
      <c r="N428" s="115">
        <v>42.059259259259299</v>
      </c>
      <c r="O428" s="115">
        <v>41.303703703703697</v>
      </c>
      <c r="P428" s="115">
        <v>41.866666666666703</v>
      </c>
      <c r="Q428" s="115">
        <v>701.9</v>
      </c>
      <c r="R428">
        <v>30450</v>
      </c>
    </row>
    <row r="429" spans="1:18" x14ac:dyDescent="0.25">
      <c r="A429" s="169">
        <v>43304</v>
      </c>
      <c r="B429" s="115">
        <v>41.881481481481501</v>
      </c>
      <c r="C429" s="115">
        <v>41.3392592592593</v>
      </c>
      <c r="D429" s="115">
        <v>40.8237037037037</v>
      </c>
      <c r="E429" s="115">
        <v>41.493333333333297</v>
      </c>
      <c r="F429" s="115">
        <v>697.6</v>
      </c>
      <c r="G429">
        <v>401004</v>
      </c>
      <c r="H429" s="115"/>
      <c r="I429" s="115"/>
      <c r="L429" s="169">
        <v>43304</v>
      </c>
      <c r="M429" s="115">
        <v>41.392592592592599</v>
      </c>
      <c r="N429" s="115">
        <v>41.866666666666703</v>
      </c>
      <c r="O429" s="115">
        <v>40.8888888888889</v>
      </c>
      <c r="P429" s="115">
        <v>41.022222222222197</v>
      </c>
      <c r="Q429" s="115">
        <v>698.5</v>
      </c>
      <c r="R429">
        <v>270944</v>
      </c>
    </row>
    <row r="430" spans="1:18" x14ac:dyDescent="0.25">
      <c r="A430" s="169">
        <v>43305</v>
      </c>
      <c r="B430" s="115">
        <v>42.059259259259299</v>
      </c>
      <c r="C430" s="115">
        <v>41.404444444444401</v>
      </c>
      <c r="D430" s="115">
        <v>40.942222222222199</v>
      </c>
      <c r="E430" s="115">
        <v>42.059259259259299</v>
      </c>
      <c r="F430" s="115">
        <v>698.7</v>
      </c>
      <c r="G430">
        <v>201009</v>
      </c>
      <c r="H430" s="115"/>
      <c r="I430" s="115"/>
      <c r="L430" s="169">
        <v>43305</v>
      </c>
      <c r="M430" s="115">
        <v>41.410370370370401</v>
      </c>
      <c r="N430" s="115">
        <v>42.308148148148099</v>
      </c>
      <c r="O430" s="115">
        <v>40.900740740740702</v>
      </c>
      <c r="P430" s="115">
        <v>41.774814814814803</v>
      </c>
      <c r="Q430" s="115">
        <v>698.8</v>
      </c>
      <c r="R430">
        <v>147135</v>
      </c>
    </row>
    <row r="431" spans="1:18" x14ac:dyDescent="0.25">
      <c r="A431" s="169">
        <v>43306</v>
      </c>
      <c r="B431" s="115">
        <v>41.955555555555598</v>
      </c>
      <c r="C431" s="115">
        <v>41.437037037037001</v>
      </c>
      <c r="D431" s="115">
        <v>40.957037037036997</v>
      </c>
      <c r="E431" s="115">
        <v>41.866666666666703</v>
      </c>
      <c r="F431" s="115">
        <v>699.25</v>
      </c>
      <c r="G431">
        <v>2085</v>
      </c>
      <c r="H431" s="115"/>
      <c r="I431" s="115"/>
      <c r="L431" s="169">
        <v>43306</v>
      </c>
      <c r="M431" s="115">
        <v>41.277037037036997</v>
      </c>
      <c r="N431" s="115">
        <v>41.979259259259301</v>
      </c>
      <c r="O431" s="115">
        <v>40.951111111111103</v>
      </c>
      <c r="P431" s="115">
        <v>41.570370370370398</v>
      </c>
      <c r="Q431" s="115">
        <v>696.55</v>
      </c>
      <c r="R431">
        <v>50715</v>
      </c>
    </row>
    <row r="432" spans="1:18" x14ac:dyDescent="0.25">
      <c r="A432" s="169">
        <v>43307</v>
      </c>
      <c r="B432" s="115">
        <v>41.511111111111099</v>
      </c>
      <c r="C432" s="115">
        <v>40.785185185185199</v>
      </c>
      <c r="D432" s="115">
        <v>39.709629629629603</v>
      </c>
      <c r="E432" s="115">
        <v>40.9540740740741</v>
      </c>
      <c r="F432" s="115">
        <v>688.25</v>
      </c>
      <c r="G432">
        <v>1640</v>
      </c>
      <c r="H432" s="115"/>
      <c r="I432" s="115"/>
      <c r="L432" s="169">
        <v>43307</v>
      </c>
      <c r="M432" s="115">
        <v>40.859259259259296</v>
      </c>
      <c r="N432" s="115">
        <v>41.685925925925901</v>
      </c>
      <c r="O432" s="115">
        <v>39.514074074074102</v>
      </c>
      <c r="P432" s="115">
        <v>41.185185185185198</v>
      </c>
      <c r="Q432" s="115">
        <v>689.5</v>
      </c>
      <c r="R432">
        <v>435457</v>
      </c>
    </row>
    <row r="433" spans="1:18" x14ac:dyDescent="0.25">
      <c r="A433" s="169">
        <v>43308</v>
      </c>
      <c r="B433" s="115">
        <v>41.6474074074074</v>
      </c>
      <c r="C433" s="115">
        <v>41.416296296296302</v>
      </c>
      <c r="D433" s="115">
        <v>40.595555555555599</v>
      </c>
      <c r="E433" s="115">
        <v>41.007407407407399</v>
      </c>
      <c r="F433" s="115">
        <v>698.9</v>
      </c>
      <c r="G433">
        <v>1590</v>
      </c>
      <c r="H433" s="115"/>
      <c r="I433" s="115"/>
      <c r="L433" s="169">
        <v>43308</v>
      </c>
      <c r="M433" s="115">
        <v>41.484444444444399</v>
      </c>
      <c r="N433" s="115">
        <v>41.739259259259299</v>
      </c>
      <c r="O433" s="115">
        <v>40.592592592592602</v>
      </c>
      <c r="P433" s="115">
        <v>41.416296296296302</v>
      </c>
      <c r="Q433" s="115">
        <v>700.05</v>
      </c>
      <c r="R433">
        <v>60534</v>
      </c>
    </row>
    <row r="434" spans="1:18" x14ac:dyDescent="0.25">
      <c r="A434" s="169">
        <v>43311</v>
      </c>
      <c r="B434" s="115">
        <v>42.48</v>
      </c>
      <c r="C434" s="115">
        <v>41.348148148148098</v>
      </c>
      <c r="D434" s="115">
        <v>41.04</v>
      </c>
      <c r="E434" s="115">
        <v>41.579259259259302</v>
      </c>
      <c r="F434" s="115">
        <v>697.75</v>
      </c>
      <c r="G434">
        <v>1844</v>
      </c>
      <c r="H434" s="115"/>
      <c r="I434" s="115"/>
      <c r="L434" s="169">
        <v>43311</v>
      </c>
      <c r="M434" s="115">
        <v>41.330370370370403</v>
      </c>
      <c r="N434" s="115">
        <v>42.314074074074099</v>
      </c>
      <c r="O434" s="115">
        <v>41.031111111111102</v>
      </c>
      <c r="P434" s="115">
        <v>42.062222222222204</v>
      </c>
      <c r="Q434" s="115">
        <v>697.45</v>
      </c>
      <c r="R434">
        <v>122550</v>
      </c>
    </row>
    <row r="435" spans="1:18" x14ac:dyDescent="0.25">
      <c r="A435" s="169">
        <v>43312</v>
      </c>
      <c r="B435" s="115">
        <v>46.041481481481497</v>
      </c>
      <c r="C435" s="115">
        <v>44.580740740740701</v>
      </c>
      <c r="D435" s="115">
        <v>40.651851851851902</v>
      </c>
      <c r="E435" s="115">
        <v>41.155555555555601</v>
      </c>
      <c r="F435" s="115">
        <v>752.3</v>
      </c>
      <c r="G435">
        <v>641630</v>
      </c>
      <c r="H435" s="115"/>
      <c r="I435" s="115"/>
      <c r="L435" s="169">
        <v>43312</v>
      </c>
      <c r="M435" s="115">
        <v>44.598518518518503</v>
      </c>
      <c r="N435" s="115">
        <v>46.16</v>
      </c>
      <c r="O435" s="115">
        <v>40.651851851851902</v>
      </c>
      <c r="P435" s="115">
        <v>41.244444444444397</v>
      </c>
      <c r="Q435" s="115">
        <v>752.6</v>
      </c>
      <c r="R435">
        <v>305491</v>
      </c>
    </row>
    <row r="436" spans="1:18" x14ac:dyDescent="0.25">
      <c r="A436" s="169">
        <v>43313</v>
      </c>
      <c r="B436" s="115">
        <v>45.037037037037003</v>
      </c>
      <c r="C436" s="115">
        <v>44.16</v>
      </c>
      <c r="D436" s="115">
        <v>43.866666666666703</v>
      </c>
      <c r="E436" s="115">
        <v>45.025185185185201</v>
      </c>
      <c r="F436" s="115">
        <v>745.2</v>
      </c>
      <c r="G436">
        <v>4866</v>
      </c>
      <c r="H436" s="115"/>
      <c r="I436" s="115"/>
      <c r="L436" s="169">
        <v>43313</v>
      </c>
      <c r="M436" s="115">
        <v>44.121481481481503</v>
      </c>
      <c r="N436" s="115">
        <v>45.146666666666697</v>
      </c>
      <c r="O436" s="115">
        <v>43.795555555555602</v>
      </c>
      <c r="P436" s="115">
        <v>44.912592592592603</v>
      </c>
      <c r="Q436" s="115">
        <v>744.55</v>
      </c>
      <c r="R436">
        <v>57224</v>
      </c>
    </row>
    <row r="437" spans="1:18" x14ac:dyDescent="0.25">
      <c r="A437" s="169">
        <v>43314</v>
      </c>
      <c r="B437" s="115">
        <v>43.822222222222202</v>
      </c>
      <c r="C437" s="115">
        <v>43.223703703703698</v>
      </c>
      <c r="D437" s="115">
        <v>42.962962962962997</v>
      </c>
      <c r="E437" s="115">
        <v>43.765925925925899</v>
      </c>
      <c r="F437" s="115">
        <v>729.4</v>
      </c>
      <c r="G437">
        <v>3526</v>
      </c>
      <c r="H437" s="115"/>
      <c r="I437" s="115"/>
      <c r="L437" s="169">
        <v>43314</v>
      </c>
      <c r="M437" s="115">
        <v>43.324444444444403</v>
      </c>
      <c r="N437" s="115">
        <v>43.970370370370397</v>
      </c>
      <c r="O437" s="115">
        <v>43.025185185185201</v>
      </c>
      <c r="P437" s="115">
        <v>43.911111111111097</v>
      </c>
      <c r="Q437" s="115">
        <v>731.1</v>
      </c>
      <c r="R437">
        <v>39521</v>
      </c>
    </row>
    <row r="438" spans="1:18" x14ac:dyDescent="0.25">
      <c r="A438" s="169">
        <v>43315</v>
      </c>
      <c r="B438" s="115">
        <v>43.792592592592598</v>
      </c>
      <c r="C438" s="115">
        <v>43.034074074074098</v>
      </c>
      <c r="D438" s="115">
        <v>42.977777777777803</v>
      </c>
      <c r="E438" s="115">
        <v>43.671111111111102</v>
      </c>
      <c r="F438" s="115">
        <v>726.2</v>
      </c>
      <c r="G438">
        <v>1047</v>
      </c>
      <c r="H438" s="115"/>
      <c r="I438" s="115"/>
      <c r="L438" s="169">
        <v>43315</v>
      </c>
      <c r="M438" s="115">
        <v>43.096296296296302</v>
      </c>
      <c r="N438" s="115">
        <v>43.92</v>
      </c>
      <c r="O438" s="115">
        <v>42.847407407407403</v>
      </c>
      <c r="P438" s="115">
        <v>43.5555555555556</v>
      </c>
      <c r="Q438" s="115">
        <v>727.25</v>
      </c>
      <c r="R438">
        <v>21444</v>
      </c>
    </row>
    <row r="439" spans="1:18" x14ac:dyDescent="0.25">
      <c r="A439" s="169">
        <v>43318</v>
      </c>
      <c r="B439" s="115">
        <v>43.401481481481497</v>
      </c>
      <c r="C439" s="115">
        <v>43.087407407407397</v>
      </c>
      <c r="D439" s="115">
        <v>42.8237037037037</v>
      </c>
      <c r="E439" s="115">
        <v>43.081481481481497</v>
      </c>
      <c r="F439" s="115">
        <v>727.1</v>
      </c>
      <c r="G439">
        <v>1713</v>
      </c>
      <c r="H439" s="115"/>
      <c r="I439" s="115"/>
      <c r="L439" s="169">
        <v>43318</v>
      </c>
      <c r="M439" s="115">
        <v>43.182222222222201</v>
      </c>
      <c r="N439" s="115">
        <v>43.543703703703699</v>
      </c>
      <c r="O439" s="115">
        <v>42.7911111111111</v>
      </c>
      <c r="P439" s="115">
        <v>43.543703703703699</v>
      </c>
      <c r="Q439" s="115">
        <v>728.7</v>
      </c>
      <c r="R439">
        <v>23742</v>
      </c>
    </row>
    <row r="440" spans="1:18" x14ac:dyDescent="0.25">
      <c r="A440" s="169">
        <v>43319</v>
      </c>
      <c r="B440" s="115">
        <v>44.4444444444444</v>
      </c>
      <c r="C440" s="115">
        <v>43.736296296296302</v>
      </c>
      <c r="D440" s="115">
        <v>42.968888888888898</v>
      </c>
      <c r="E440" s="115">
        <v>43.016296296296296</v>
      </c>
      <c r="F440" s="115">
        <v>738.05</v>
      </c>
      <c r="G440">
        <v>2284</v>
      </c>
      <c r="H440" s="115"/>
      <c r="I440" s="115"/>
      <c r="L440" s="169">
        <v>43319</v>
      </c>
      <c r="M440" s="115">
        <v>43.9674074074074</v>
      </c>
      <c r="N440" s="115">
        <v>44.859259259259296</v>
      </c>
      <c r="O440" s="115">
        <v>42.844444444444399</v>
      </c>
      <c r="P440" s="115">
        <v>42.844444444444399</v>
      </c>
      <c r="Q440" s="115">
        <v>741.95</v>
      </c>
      <c r="R440">
        <v>63752</v>
      </c>
    </row>
    <row r="441" spans="1:18" x14ac:dyDescent="0.25">
      <c r="A441" s="169">
        <v>43320</v>
      </c>
      <c r="B441" s="115">
        <v>45.896296296296299</v>
      </c>
      <c r="C441" s="115">
        <v>45.128888888888902</v>
      </c>
      <c r="D441" s="115">
        <v>43.733333333333299</v>
      </c>
      <c r="E441" s="115">
        <v>43.733333333333299</v>
      </c>
      <c r="F441" s="115">
        <v>761.55</v>
      </c>
      <c r="G441">
        <v>5111</v>
      </c>
      <c r="H441" s="115"/>
      <c r="I441" s="115"/>
      <c r="L441" s="169">
        <v>43320</v>
      </c>
      <c r="M441" s="115">
        <v>45.197037037036999</v>
      </c>
      <c r="N441" s="115">
        <v>45.925925925925903</v>
      </c>
      <c r="O441" s="115">
        <v>43.854814814814802</v>
      </c>
      <c r="P441" s="115">
        <v>44.1303703703704</v>
      </c>
      <c r="Q441" s="115">
        <v>762.7</v>
      </c>
      <c r="R441">
        <v>96475</v>
      </c>
    </row>
    <row r="442" spans="1:18" x14ac:dyDescent="0.25">
      <c r="A442" s="169">
        <v>43321</v>
      </c>
      <c r="B442" s="115">
        <v>46.8</v>
      </c>
      <c r="C442" s="115">
        <v>44.337777777777802</v>
      </c>
      <c r="D442" s="115">
        <v>43.5555555555556</v>
      </c>
      <c r="E442" s="115">
        <v>45.096296296296302</v>
      </c>
      <c r="F442" s="115">
        <v>748.2</v>
      </c>
      <c r="G442">
        <v>14969</v>
      </c>
      <c r="H442" s="115"/>
      <c r="I442" s="115"/>
      <c r="L442" s="169">
        <v>43321</v>
      </c>
      <c r="M442" s="115">
        <v>44.317037037036997</v>
      </c>
      <c r="N442" s="115">
        <v>46.755555555555603</v>
      </c>
      <c r="O442" s="115">
        <v>43.691851851851901</v>
      </c>
      <c r="P442" s="115">
        <v>45.629629629629598</v>
      </c>
      <c r="Q442" s="115">
        <v>747.85</v>
      </c>
      <c r="R442">
        <v>203620</v>
      </c>
    </row>
    <row r="443" spans="1:18" x14ac:dyDescent="0.25">
      <c r="A443" s="169">
        <v>43322</v>
      </c>
      <c r="B443" s="115">
        <v>45.330370370370403</v>
      </c>
      <c r="C443" s="115">
        <v>44.788148148148103</v>
      </c>
      <c r="D443" s="115">
        <v>44.148148148148103</v>
      </c>
      <c r="E443" s="115">
        <v>44.148148148148103</v>
      </c>
      <c r="F443" s="115">
        <v>755.8</v>
      </c>
      <c r="G443">
        <v>3566</v>
      </c>
      <c r="H443" s="115"/>
      <c r="I443" s="115"/>
      <c r="L443" s="169">
        <v>43322</v>
      </c>
      <c r="M443" s="115">
        <v>44.885925925925903</v>
      </c>
      <c r="N443" s="115">
        <v>45.179259259259297</v>
      </c>
      <c r="O443" s="115">
        <v>43.851851851851897</v>
      </c>
      <c r="P443" s="115">
        <v>44.317037037036997</v>
      </c>
      <c r="Q443" s="115">
        <v>757.45</v>
      </c>
      <c r="R443">
        <v>64081</v>
      </c>
    </row>
    <row r="444" spans="1:18" x14ac:dyDescent="0.25">
      <c r="A444" s="169">
        <v>43325</v>
      </c>
      <c r="B444" s="115">
        <v>46.281481481481499</v>
      </c>
      <c r="C444" s="115">
        <v>46.151111111111099</v>
      </c>
      <c r="D444" s="115">
        <v>44.4444444444444</v>
      </c>
      <c r="E444" s="115">
        <v>44.740740740740698</v>
      </c>
      <c r="F444" s="115">
        <v>778.8</v>
      </c>
      <c r="G444">
        <v>4084</v>
      </c>
      <c r="H444" s="115"/>
      <c r="I444" s="115"/>
      <c r="L444" s="169">
        <v>43325</v>
      </c>
      <c r="M444" s="115">
        <v>46.017777777777802</v>
      </c>
      <c r="N444" s="115">
        <v>46.2222222222222</v>
      </c>
      <c r="O444" s="115">
        <v>43.991111111111103</v>
      </c>
      <c r="P444" s="115">
        <v>45.031111111111102</v>
      </c>
      <c r="Q444" s="115">
        <v>776.55</v>
      </c>
      <c r="R444">
        <v>60573</v>
      </c>
    </row>
    <row r="445" spans="1:18" x14ac:dyDescent="0.25">
      <c r="A445" s="169">
        <v>43326</v>
      </c>
      <c r="B445" s="115">
        <v>46.577777777777797</v>
      </c>
      <c r="C445" s="115">
        <v>46.426666666666698</v>
      </c>
      <c r="D445" s="115">
        <v>45.629629629629598</v>
      </c>
      <c r="E445" s="115">
        <v>45.629629629629598</v>
      </c>
      <c r="F445" s="115">
        <v>783.45</v>
      </c>
      <c r="G445">
        <v>3582</v>
      </c>
      <c r="H445" s="115"/>
      <c r="I445" s="115"/>
      <c r="L445" s="169">
        <v>43326</v>
      </c>
      <c r="M445" s="115">
        <v>46.382222222222197</v>
      </c>
      <c r="N445" s="115">
        <v>46.6340740740741</v>
      </c>
      <c r="O445" s="115">
        <v>45.386666666666699</v>
      </c>
      <c r="P445" s="115">
        <v>46.041481481481497</v>
      </c>
      <c r="Q445" s="115">
        <v>782.7</v>
      </c>
      <c r="R445">
        <v>46797</v>
      </c>
    </row>
    <row r="446" spans="1:18" x14ac:dyDescent="0.25">
      <c r="A446" s="169">
        <v>43328</v>
      </c>
      <c r="B446" s="115">
        <v>47.401481481481497</v>
      </c>
      <c r="C446" s="115">
        <v>47.0518518518519</v>
      </c>
      <c r="D446" s="115">
        <v>45.925925925925903</v>
      </c>
      <c r="E446" s="115">
        <v>45.925925925925903</v>
      </c>
      <c r="F446" s="115">
        <v>794</v>
      </c>
      <c r="G446">
        <v>12259</v>
      </c>
      <c r="H446" s="115"/>
      <c r="I446" s="115"/>
      <c r="L446" s="169">
        <v>43328</v>
      </c>
      <c r="M446" s="115">
        <v>46.838518518518498</v>
      </c>
      <c r="N446" s="115">
        <v>47.285925925925902</v>
      </c>
      <c r="O446" s="115">
        <v>46.100740740740697</v>
      </c>
      <c r="P446" s="115">
        <v>46.4</v>
      </c>
      <c r="Q446" s="115">
        <v>790.4</v>
      </c>
      <c r="R446">
        <v>71959</v>
      </c>
    </row>
    <row r="447" spans="1:18" x14ac:dyDescent="0.25">
      <c r="A447" s="169">
        <v>43329</v>
      </c>
      <c r="B447" s="115">
        <v>46.939259259259302</v>
      </c>
      <c r="C447" s="115">
        <v>45.857777777777798</v>
      </c>
      <c r="D447" s="115">
        <v>45.629629629629598</v>
      </c>
      <c r="E447" s="115">
        <v>46.814814814814802</v>
      </c>
      <c r="F447" s="115">
        <v>773.85</v>
      </c>
      <c r="G447">
        <v>2711</v>
      </c>
      <c r="H447" s="115"/>
      <c r="I447" s="115"/>
      <c r="L447" s="169">
        <v>43329</v>
      </c>
      <c r="M447" s="115">
        <v>46.053333333333299</v>
      </c>
      <c r="N447" s="115">
        <v>47.1111111111111</v>
      </c>
      <c r="O447" s="115">
        <v>45.629629629629598</v>
      </c>
      <c r="P447" s="115">
        <v>46.814814814814802</v>
      </c>
      <c r="Q447" s="115">
        <v>777.15</v>
      </c>
      <c r="R447">
        <v>28221</v>
      </c>
    </row>
    <row r="448" spans="1:18" x14ac:dyDescent="0.25">
      <c r="A448" s="169">
        <v>43332</v>
      </c>
      <c r="B448" s="115">
        <v>46.530370370370399</v>
      </c>
      <c r="C448" s="115">
        <v>46.062222222222204</v>
      </c>
      <c r="D448" s="115">
        <v>45.928888888888899</v>
      </c>
      <c r="E448" s="115">
        <v>46.2222222222222</v>
      </c>
      <c r="F448" s="115">
        <v>777.3</v>
      </c>
      <c r="G448">
        <v>961</v>
      </c>
      <c r="H448" s="115"/>
      <c r="I448" s="115"/>
      <c r="L448" s="169">
        <v>43332</v>
      </c>
      <c r="M448" s="115">
        <v>46.237037037036998</v>
      </c>
      <c r="N448" s="115">
        <v>46.681481481481498</v>
      </c>
      <c r="O448" s="115">
        <v>45.955555555555598</v>
      </c>
      <c r="P448" s="115">
        <v>46.213333333333303</v>
      </c>
      <c r="Q448" s="115">
        <v>780.25</v>
      </c>
      <c r="R448">
        <v>13553</v>
      </c>
    </row>
    <row r="449" spans="1:18" x14ac:dyDescent="0.25">
      <c r="A449" s="169">
        <v>43333</v>
      </c>
      <c r="B449" s="115">
        <v>49.718518518518501</v>
      </c>
      <c r="C449" s="115">
        <v>48.284444444444397</v>
      </c>
      <c r="D449" s="115">
        <v>46.521481481481501</v>
      </c>
      <c r="E449" s="115">
        <v>46.521481481481501</v>
      </c>
      <c r="F449" s="115">
        <v>814.8</v>
      </c>
      <c r="G449">
        <v>48616</v>
      </c>
      <c r="H449" s="115"/>
      <c r="I449" s="115"/>
      <c r="L449" s="169">
        <v>43333</v>
      </c>
      <c r="M449" s="115">
        <v>48.4118518518519</v>
      </c>
      <c r="N449" s="115">
        <v>49.765925925925899</v>
      </c>
      <c r="O449" s="115">
        <v>46.577777777777797</v>
      </c>
      <c r="P449" s="115">
        <v>46.696296296296303</v>
      </c>
      <c r="Q449" s="115">
        <v>816.95</v>
      </c>
      <c r="R449">
        <v>563654</v>
      </c>
    </row>
    <row r="450" spans="1:18" x14ac:dyDescent="0.25">
      <c r="A450" s="169">
        <v>43335</v>
      </c>
      <c r="B450" s="115">
        <v>48.998518518518502</v>
      </c>
      <c r="C450" s="115">
        <v>48.391111111111101</v>
      </c>
      <c r="D450" s="115">
        <v>48.237037037036998</v>
      </c>
      <c r="E450" s="115">
        <v>48.524444444444399</v>
      </c>
      <c r="F450" s="115">
        <v>816.6</v>
      </c>
      <c r="G450">
        <v>4873</v>
      </c>
      <c r="H450" s="115"/>
      <c r="I450" s="115"/>
      <c r="L450" s="169">
        <v>43335</v>
      </c>
      <c r="M450" s="115">
        <v>48.56</v>
      </c>
      <c r="N450" s="115">
        <v>48.930370370370397</v>
      </c>
      <c r="O450" s="115">
        <v>48.177777777777798</v>
      </c>
      <c r="P450" s="115">
        <v>48.592592592592602</v>
      </c>
      <c r="Q450" s="115">
        <v>819.45</v>
      </c>
      <c r="R450">
        <v>216031</v>
      </c>
    </row>
    <row r="451" spans="1:18" x14ac:dyDescent="0.25">
      <c r="A451" s="169">
        <v>43336</v>
      </c>
      <c r="B451" s="115">
        <v>48.678518518518501</v>
      </c>
      <c r="C451" s="115">
        <v>47.291851851851902</v>
      </c>
      <c r="D451" s="115">
        <v>46.814814814814802</v>
      </c>
      <c r="E451" s="115">
        <v>48.296296296296298</v>
      </c>
      <c r="F451" s="115">
        <v>798.05</v>
      </c>
      <c r="G451">
        <v>3114</v>
      </c>
      <c r="H451" s="115"/>
      <c r="I451" s="115"/>
      <c r="L451" s="169">
        <v>43336</v>
      </c>
      <c r="M451" s="115">
        <v>47.090370370370401</v>
      </c>
      <c r="N451" s="115">
        <v>48.592592592592602</v>
      </c>
      <c r="O451" s="115">
        <v>46.642962962962997</v>
      </c>
      <c r="P451" s="115">
        <v>48.592592592592602</v>
      </c>
      <c r="Q451" s="115">
        <v>794.65</v>
      </c>
      <c r="R451">
        <v>54781</v>
      </c>
    </row>
    <row r="452" spans="1:18" x14ac:dyDescent="0.25">
      <c r="A452" s="169">
        <v>43339</v>
      </c>
      <c r="B452" s="115">
        <v>48.651851851851902</v>
      </c>
      <c r="C452" s="115">
        <v>48.299259259259301</v>
      </c>
      <c r="D452" s="115">
        <v>46.814814814814802</v>
      </c>
      <c r="E452" s="115">
        <v>46.882962962962999</v>
      </c>
      <c r="F452" s="115">
        <v>815.05</v>
      </c>
      <c r="G452">
        <v>3002</v>
      </c>
      <c r="H452" s="115"/>
      <c r="I452" s="115"/>
      <c r="L452" s="169">
        <v>43339</v>
      </c>
      <c r="M452" s="115">
        <v>48.391111111111101</v>
      </c>
      <c r="N452" s="115">
        <v>48.592592592592602</v>
      </c>
      <c r="O452" s="115">
        <v>47.140740740740704</v>
      </c>
      <c r="P452" s="115">
        <v>47.407407407407398</v>
      </c>
      <c r="Q452" s="115">
        <v>816.6</v>
      </c>
      <c r="R452">
        <v>174368</v>
      </c>
    </row>
    <row r="453" spans="1:18" x14ac:dyDescent="0.25">
      <c r="A453" s="169">
        <v>43340</v>
      </c>
      <c r="B453" s="115">
        <v>48.687407407407399</v>
      </c>
      <c r="C453" s="115">
        <v>48.071111111111101</v>
      </c>
      <c r="D453" s="115">
        <v>47.887407407407402</v>
      </c>
      <c r="E453" s="115">
        <v>48.471111111111099</v>
      </c>
      <c r="F453" s="115">
        <v>811.2</v>
      </c>
      <c r="G453">
        <v>1478</v>
      </c>
      <c r="H453" s="115"/>
      <c r="I453" s="115"/>
      <c r="L453" s="169">
        <v>43340</v>
      </c>
      <c r="M453" s="115">
        <v>48.1955555555556</v>
      </c>
      <c r="N453" s="115">
        <v>48.865185185185197</v>
      </c>
      <c r="O453" s="115">
        <v>47.795555555555602</v>
      </c>
      <c r="P453" s="115">
        <v>48.414814814814797</v>
      </c>
      <c r="Q453" s="115">
        <v>813.3</v>
      </c>
      <c r="R453">
        <v>80864</v>
      </c>
    </row>
    <row r="454" spans="1:18" x14ac:dyDescent="0.25">
      <c r="A454" s="169">
        <v>43341</v>
      </c>
      <c r="B454" s="115">
        <v>48.826666666666704</v>
      </c>
      <c r="C454" s="115">
        <v>48.331851851851901</v>
      </c>
      <c r="D454" s="115">
        <v>47.407407407407398</v>
      </c>
      <c r="E454" s="115">
        <v>48.127407407407397</v>
      </c>
      <c r="F454" s="115">
        <v>815.6</v>
      </c>
      <c r="G454">
        <v>2706</v>
      </c>
      <c r="H454" s="115"/>
      <c r="I454" s="115"/>
      <c r="L454" s="169">
        <v>43341</v>
      </c>
      <c r="M454" s="115">
        <v>48.388148148148098</v>
      </c>
      <c r="N454" s="115">
        <v>48.906666666666702</v>
      </c>
      <c r="O454" s="115">
        <v>47.502222222222201</v>
      </c>
      <c r="P454" s="115">
        <v>48.562962962962999</v>
      </c>
      <c r="Q454" s="115">
        <v>816.55</v>
      </c>
      <c r="R454">
        <v>177969</v>
      </c>
    </row>
    <row r="455" spans="1:18" x14ac:dyDescent="0.25">
      <c r="A455" s="169">
        <v>43342</v>
      </c>
      <c r="B455" s="115">
        <v>48.497777777777799</v>
      </c>
      <c r="C455" s="115">
        <v>47.964444444444403</v>
      </c>
      <c r="D455" s="115">
        <v>47.522962962963</v>
      </c>
      <c r="E455" s="115">
        <v>48</v>
      </c>
      <c r="F455" s="115">
        <v>809.4</v>
      </c>
      <c r="G455">
        <v>536</v>
      </c>
      <c r="H455" s="115"/>
      <c r="I455" s="115"/>
      <c r="L455" s="169">
        <v>43342</v>
      </c>
      <c r="M455" s="115">
        <v>48.118518518518499</v>
      </c>
      <c r="N455" s="115">
        <v>48.474074074074103</v>
      </c>
      <c r="O455" s="115">
        <v>47.561481481481501</v>
      </c>
      <c r="P455" s="115">
        <v>48.296296296296298</v>
      </c>
      <c r="Q455" s="115">
        <v>812</v>
      </c>
      <c r="R455">
        <v>11285</v>
      </c>
    </row>
    <row r="456" spans="1:18" x14ac:dyDescent="0.25">
      <c r="A456" s="169">
        <v>43343</v>
      </c>
      <c r="B456" s="115">
        <v>48.826666666666704</v>
      </c>
      <c r="C456" s="115">
        <v>48.397037037037002</v>
      </c>
      <c r="D456" s="115">
        <v>48</v>
      </c>
      <c r="E456" s="115">
        <v>48</v>
      </c>
      <c r="F456" s="115">
        <v>816.7</v>
      </c>
      <c r="G456">
        <v>2811</v>
      </c>
      <c r="H456" s="115"/>
      <c r="I456" s="115"/>
      <c r="L456" s="169">
        <v>43343</v>
      </c>
      <c r="M456" s="115">
        <v>48.551111111111098</v>
      </c>
      <c r="N456" s="115">
        <v>48.8888888888889</v>
      </c>
      <c r="O456" s="115">
        <v>48.020740740740699</v>
      </c>
      <c r="P456" s="115">
        <v>48.118518518518499</v>
      </c>
      <c r="Q456" s="115">
        <v>819.3</v>
      </c>
      <c r="R456">
        <v>59515</v>
      </c>
    </row>
    <row r="457" spans="1:18" x14ac:dyDescent="0.25">
      <c r="A457" s="169">
        <v>43346</v>
      </c>
      <c r="B457" s="115">
        <v>49.392592592592599</v>
      </c>
      <c r="C457" s="115">
        <v>48.708148148148098</v>
      </c>
      <c r="D457" s="115">
        <v>48.053333333333299</v>
      </c>
      <c r="E457" s="115">
        <v>48.474074074074103</v>
      </c>
      <c r="F457" s="115">
        <v>821.95</v>
      </c>
      <c r="G457">
        <v>1806</v>
      </c>
      <c r="H457" s="115"/>
      <c r="I457" s="115"/>
      <c r="L457" s="169">
        <v>43346</v>
      </c>
      <c r="M457" s="115">
        <v>48.844444444444399</v>
      </c>
      <c r="N457" s="115">
        <v>49.481481481481502</v>
      </c>
      <c r="O457" s="115">
        <v>48.1896296296296</v>
      </c>
      <c r="P457" s="115">
        <v>48.592592592592602</v>
      </c>
      <c r="Q457" s="115">
        <v>824.25</v>
      </c>
      <c r="R457">
        <v>32851</v>
      </c>
    </row>
    <row r="458" spans="1:18" x14ac:dyDescent="0.25">
      <c r="A458" s="169">
        <v>43347</v>
      </c>
      <c r="B458" s="115">
        <v>48.983703703703704</v>
      </c>
      <c r="C458" s="115">
        <v>47.691851851851901</v>
      </c>
      <c r="D458" s="115">
        <v>46.814814814814802</v>
      </c>
      <c r="E458" s="115">
        <v>48.711111111111101</v>
      </c>
      <c r="F458" s="115">
        <v>804.8</v>
      </c>
      <c r="G458">
        <v>393702</v>
      </c>
      <c r="H458" s="115"/>
      <c r="I458" s="115"/>
      <c r="L458" s="169">
        <v>43347</v>
      </c>
      <c r="M458" s="115">
        <v>47.789629629629601</v>
      </c>
      <c r="N458" s="115">
        <v>49.066666666666698</v>
      </c>
      <c r="O458" s="115">
        <v>46.714074074074098</v>
      </c>
      <c r="P458" s="115">
        <v>49.066666666666698</v>
      </c>
      <c r="Q458" s="115">
        <v>806.45</v>
      </c>
      <c r="R458">
        <v>21596</v>
      </c>
    </row>
    <row r="459" spans="1:18" x14ac:dyDescent="0.25">
      <c r="A459" s="169">
        <v>43348</v>
      </c>
      <c r="B459" s="115">
        <v>48.8562962962963</v>
      </c>
      <c r="C459" s="115">
        <v>47.108148148148203</v>
      </c>
      <c r="D459" s="115">
        <v>46.814814814814802</v>
      </c>
      <c r="E459" s="115">
        <v>47.170370370370399</v>
      </c>
      <c r="F459" s="115">
        <v>794.95</v>
      </c>
      <c r="G459">
        <v>2347</v>
      </c>
      <c r="H459" s="115"/>
      <c r="I459" s="115"/>
      <c r="L459" s="169">
        <v>43348</v>
      </c>
      <c r="M459" s="115">
        <v>47.202962962962999</v>
      </c>
      <c r="N459" s="115">
        <v>48.885925925925903</v>
      </c>
      <c r="O459" s="115">
        <v>46.814814814814802</v>
      </c>
      <c r="P459" s="115">
        <v>46.874074074074102</v>
      </c>
      <c r="Q459" s="115">
        <v>796.55</v>
      </c>
      <c r="R459">
        <v>35698</v>
      </c>
    </row>
    <row r="460" spans="1:18" x14ac:dyDescent="0.25">
      <c r="A460" s="169">
        <v>43349</v>
      </c>
      <c r="B460" s="115">
        <v>47.348148148148098</v>
      </c>
      <c r="C460" s="115">
        <v>46.091851851851899</v>
      </c>
      <c r="D460" s="115">
        <v>45.807407407407403</v>
      </c>
      <c r="E460" s="115">
        <v>47.022222222222197</v>
      </c>
      <c r="F460" s="115">
        <v>777.8</v>
      </c>
      <c r="G460">
        <v>806</v>
      </c>
      <c r="H460" s="115"/>
      <c r="I460" s="115"/>
      <c r="L460" s="169">
        <v>43349</v>
      </c>
      <c r="M460" s="115">
        <v>46.337777777777802</v>
      </c>
      <c r="N460" s="115">
        <v>47.407407407407398</v>
      </c>
      <c r="O460" s="115">
        <v>45.762962962963002</v>
      </c>
      <c r="P460" s="115">
        <v>47.407407407407398</v>
      </c>
      <c r="Q460" s="115">
        <v>781.95</v>
      </c>
      <c r="R460">
        <v>22193</v>
      </c>
    </row>
    <row r="461" spans="1:18" x14ac:dyDescent="0.25">
      <c r="A461" s="169">
        <v>43350</v>
      </c>
      <c r="B461" s="115">
        <v>46.669629629629597</v>
      </c>
      <c r="C461" s="115">
        <v>46.3525925925926</v>
      </c>
      <c r="D461" s="115">
        <v>45.629629629629598</v>
      </c>
      <c r="E461" s="115">
        <v>46.518518518518498</v>
      </c>
      <c r="F461" s="115">
        <v>782.2</v>
      </c>
      <c r="G461">
        <v>2326</v>
      </c>
      <c r="H461" s="115"/>
      <c r="I461" s="115"/>
      <c r="L461" s="169">
        <v>43350</v>
      </c>
      <c r="M461" s="115">
        <v>46.477037037037</v>
      </c>
      <c r="N461" s="115">
        <v>46.687407407407399</v>
      </c>
      <c r="O461" s="115">
        <v>45.484444444444399</v>
      </c>
      <c r="P461" s="115">
        <v>46.2281481481482</v>
      </c>
      <c r="Q461" s="115">
        <v>784.3</v>
      </c>
      <c r="R461">
        <v>18206</v>
      </c>
    </row>
    <row r="462" spans="1:18" x14ac:dyDescent="0.25">
      <c r="A462" s="169">
        <v>43353</v>
      </c>
      <c r="B462" s="115">
        <v>46.4</v>
      </c>
      <c r="C462" s="115">
        <v>45.76</v>
      </c>
      <c r="D462" s="115">
        <v>45.3333333333333</v>
      </c>
      <c r="E462" s="115">
        <v>46.340740740740699</v>
      </c>
      <c r="F462" s="115">
        <v>772.2</v>
      </c>
      <c r="G462">
        <v>2836</v>
      </c>
      <c r="H462" s="115"/>
      <c r="I462" s="115"/>
      <c r="L462" s="169">
        <v>43353</v>
      </c>
      <c r="M462" s="115">
        <v>45.970370370370397</v>
      </c>
      <c r="N462" s="115">
        <v>46.690370370370402</v>
      </c>
      <c r="O462" s="115">
        <v>45.336296296296297</v>
      </c>
      <c r="P462" s="115">
        <v>46.4</v>
      </c>
      <c r="Q462" s="115">
        <v>775.75</v>
      </c>
      <c r="R462">
        <v>15271</v>
      </c>
    </row>
    <row r="463" spans="1:18" x14ac:dyDescent="0.25">
      <c r="A463" s="169">
        <v>43354</v>
      </c>
      <c r="B463" s="115">
        <v>48.171851851851798</v>
      </c>
      <c r="C463" s="115">
        <v>47.656296296296297</v>
      </c>
      <c r="D463" s="115">
        <v>45.514074074074102</v>
      </c>
      <c r="E463" s="115">
        <v>46.044444444444402</v>
      </c>
      <c r="F463" s="115">
        <v>804.2</v>
      </c>
      <c r="G463">
        <v>5547</v>
      </c>
      <c r="H463" s="115"/>
      <c r="I463" s="115"/>
      <c r="L463" s="169">
        <v>43354</v>
      </c>
      <c r="M463" s="115">
        <v>47.733333333333299</v>
      </c>
      <c r="N463" s="115">
        <v>48.355555555555597</v>
      </c>
      <c r="O463" s="115">
        <v>45.4637037037037</v>
      </c>
      <c r="P463" s="115">
        <v>46.219259259259303</v>
      </c>
      <c r="Q463" s="115">
        <v>805.5</v>
      </c>
      <c r="R463">
        <v>66218</v>
      </c>
    </row>
    <row r="464" spans="1:18" x14ac:dyDescent="0.25">
      <c r="A464" s="169">
        <v>43355</v>
      </c>
      <c r="B464" s="115">
        <v>48.482962962963001</v>
      </c>
      <c r="C464" s="115">
        <v>48.136296296296301</v>
      </c>
      <c r="D464" s="115">
        <v>46.936296296296298</v>
      </c>
      <c r="E464" s="115">
        <v>47.641481481481499</v>
      </c>
      <c r="F464" s="115">
        <v>812.3</v>
      </c>
      <c r="G464">
        <v>5676</v>
      </c>
      <c r="H464" s="115"/>
      <c r="I464" s="115"/>
      <c r="L464" s="169">
        <v>43355</v>
      </c>
      <c r="M464" s="115">
        <v>48.281481481481499</v>
      </c>
      <c r="N464" s="115">
        <v>48.592592592592602</v>
      </c>
      <c r="O464" s="115">
        <v>46.965925925925902</v>
      </c>
      <c r="P464" s="115">
        <v>47.703703703703702</v>
      </c>
      <c r="Q464" s="115">
        <v>814.75</v>
      </c>
      <c r="R464">
        <v>51075</v>
      </c>
    </row>
    <row r="465" spans="1:18" x14ac:dyDescent="0.25">
      <c r="A465" s="169">
        <v>43357</v>
      </c>
      <c r="B465" s="115">
        <v>48.8888888888889</v>
      </c>
      <c r="C465" s="115">
        <v>48.334814814814798</v>
      </c>
      <c r="D465" s="115">
        <v>48</v>
      </c>
      <c r="E465" s="115">
        <v>48.2874074074074</v>
      </c>
      <c r="F465" s="115">
        <v>815.65</v>
      </c>
      <c r="G465">
        <v>2388</v>
      </c>
      <c r="H465" s="115"/>
      <c r="I465" s="115"/>
      <c r="L465" s="169">
        <v>43357</v>
      </c>
      <c r="M465" s="115">
        <v>48.112592592592598</v>
      </c>
      <c r="N465" s="115">
        <v>49.125925925925898</v>
      </c>
      <c r="O465" s="115">
        <v>47.736296296296302</v>
      </c>
      <c r="P465" s="115">
        <v>48.281481481481499</v>
      </c>
      <c r="Q465" s="115">
        <v>811.9</v>
      </c>
      <c r="R465">
        <v>30116</v>
      </c>
    </row>
    <row r="466" spans="1:18" x14ac:dyDescent="0.25">
      <c r="A466" s="169">
        <v>43360</v>
      </c>
      <c r="B466" s="115">
        <v>48.545185185185197</v>
      </c>
      <c r="C466" s="115">
        <v>47.949629629629598</v>
      </c>
      <c r="D466" s="115">
        <v>47.7718518518518</v>
      </c>
      <c r="E466" s="115">
        <v>48</v>
      </c>
      <c r="F466" s="115">
        <v>809.15</v>
      </c>
      <c r="G466">
        <v>938</v>
      </c>
      <c r="H466" s="115"/>
      <c r="I466" s="115"/>
      <c r="L466" s="169">
        <v>43360</v>
      </c>
      <c r="M466" s="115">
        <v>47.928888888888899</v>
      </c>
      <c r="N466" s="115">
        <v>48.619259259259302</v>
      </c>
      <c r="O466" s="115">
        <v>47.662222222222198</v>
      </c>
      <c r="P466" s="115">
        <v>48.471111111111099</v>
      </c>
      <c r="Q466" s="115">
        <v>808.8</v>
      </c>
      <c r="R466">
        <v>35974</v>
      </c>
    </row>
    <row r="467" spans="1:18" x14ac:dyDescent="0.25">
      <c r="A467" s="169">
        <v>43361</v>
      </c>
      <c r="B467" s="115">
        <v>48.296296296296298</v>
      </c>
      <c r="C467" s="115">
        <v>46.844444444444399</v>
      </c>
      <c r="D467" s="115">
        <v>46.518518518518498</v>
      </c>
      <c r="E467" s="115">
        <v>47.940740740740701</v>
      </c>
      <c r="F467" s="115">
        <v>790.5</v>
      </c>
      <c r="G467">
        <v>4902</v>
      </c>
      <c r="H467" s="115"/>
      <c r="I467" s="115"/>
      <c r="L467" s="169">
        <v>43361</v>
      </c>
      <c r="M467" s="115">
        <v>46.96</v>
      </c>
      <c r="N467" s="115">
        <v>48.337777777777802</v>
      </c>
      <c r="O467" s="115">
        <v>46.637037037036997</v>
      </c>
      <c r="P467" s="115">
        <v>47.937777777777796</v>
      </c>
      <c r="Q467" s="115">
        <v>792.45</v>
      </c>
      <c r="R467">
        <v>10829</v>
      </c>
    </row>
    <row r="468" spans="1:18" x14ac:dyDescent="0.25">
      <c r="A468" s="169">
        <v>43362</v>
      </c>
      <c r="B468" s="115">
        <v>47.348148148148098</v>
      </c>
      <c r="C468" s="115">
        <v>46.562962962962999</v>
      </c>
      <c r="D468" s="115">
        <v>46.518518518518498</v>
      </c>
      <c r="E468" s="115">
        <v>47.244444444444397</v>
      </c>
      <c r="F468" s="115">
        <v>785.75</v>
      </c>
      <c r="G468">
        <v>462</v>
      </c>
      <c r="H468" s="115"/>
      <c r="I468" s="115"/>
      <c r="L468" s="169">
        <v>43362</v>
      </c>
      <c r="M468" s="115">
        <v>46.72</v>
      </c>
      <c r="N468" s="115">
        <v>47.401481481481497</v>
      </c>
      <c r="O468" s="115">
        <v>46.459259259259298</v>
      </c>
      <c r="P468" s="115">
        <v>46.518518518518498</v>
      </c>
      <c r="Q468" s="115">
        <v>788.4</v>
      </c>
      <c r="R468">
        <v>14511</v>
      </c>
    </row>
    <row r="469" spans="1:18" x14ac:dyDescent="0.25">
      <c r="A469" s="169">
        <v>43364</v>
      </c>
      <c r="B469" s="115">
        <v>50.311111111111103</v>
      </c>
      <c r="C469" s="115">
        <v>46.005925925925901</v>
      </c>
      <c r="D469" s="115">
        <v>41.125925925925898</v>
      </c>
      <c r="E469" s="115">
        <v>46.992592592592601</v>
      </c>
      <c r="F469" s="115">
        <v>776.35</v>
      </c>
      <c r="G469">
        <v>4336</v>
      </c>
      <c r="H469" s="115"/>
      <c r="I469" s="115"/>
      <c r="L469" s="169">
        <v>43364</v>
      </c>
      <c r="M469" s="115">
        <v>46.091851851851899</v>
      </c>
      <c r="N469" s="115">
        <v>47.395555555555603</v>
      </c>
      <c r="O469" s="115">
        <v>40.625185185185202</v>
      </c>
      <c r="P469" s="115">
        <v>47.395555555555603</v>
      </c>
      <c r="Q469" s="115">
        <v>777.8</v>
      </c>
      <c r="R469">
        <v>57993</v>
      </c>
    </row>
    <row r="470" spans="1:18" x14ac:dyDescent="0.25">
      <c r="A470" s="169">
        <v>43367</v>
      </c>
      <c r="B470" s="115">
        <v>46.814814814814802</v>
      </c>
      <c r="C470" s="115">
        <v>45.505185185185198</v>
      </c>
      <c r="D470" s="115">
        <v>44.776296296296302</v>
      </c>
      <c r="E470" s="115">
        <v>46.814814814814802</v>
      </c>
      <c r="F470" s="115">
        <v>767.9</v>
      </c>
      <c r="G470">
        <v>2227</v>
      </c>
      <c r="H470" s="115"/>
      <c r="I470" s="115"/>
      <c r="L470" s="169">
        <v>43367</v>
      </c>
      <c r="M470" s="115">
        <v>45.52</v>
      </c>
      <c r="N470" s="115">
        <v>46.930370370370397</v>
      </c>
      <c r="O470" s="115">
        <v>44.862222222222201</v>
      </c>
      <c r="P470" s="115">
        <v>46.103703703703701</v>
      </c>
      <c r="Q470" s="115">
        <v>768.15</v>
      </c>
      <c r="R470">
        <v>54867</v>
      </c>
    </row>
    <row r="471" spans="1:18" x14ac:dyDescent="0.25">
      <c r="A471" s="169">
        <v>43368</v>
      </c>
      <c r="B471" s="115">
        <v>45.531851851851897</v>
      </c>
      <c r="C471" s="115">
        <v>45.374814814814798</v>
      </c>
      <c r="D471" s="115">
        <v>44.391111111111101</v>
      </c>
      <c r="E471" s="115">
        <v>44.657777777777802</v>
      </c>
      <c r="F471" s="115">
        <v>765.7</v>
      </c>
      <c r="G471">
        <v>7690</v>
      </c>
      <c r="H471" s="115"/>
      <c r="I471" s="115"/>
      <c r="L471" s="169">
        <v>43368</v>
      </c>
      <c r="M471" s="115">
        <v>45.342222222222198</v>
      </c>
      <c r="N471" s="115">
        <v>45.605925925925902</v>
      </c>
      <c r="O471" s="115">
        <v>44.4444444444444</v>
      </c>
      <c r="P471" s="115">
        <v>45.096296296296302</v>
      </c>
      <c r="Q471" s="115">
        <v>765.15</v>
      </c>
      <c r="R471">
        <v>26124</v>
      </c>
    </row>
    <row r="472" spans="1:18" x14ac:dyDescent="0.25">
      <c r="A472" s="169">
        <v>43369</v>
      </c>
      <c r="B472" s="115">
        <v>47.407407407407398</v>
      </c>
      <c r="C472" s="115">
        <v>46.494814814814802</v>
      </c>
      <c r="D472" s="115">
        <v>44.64</v>
      </c>
      <c r="E472" s="115">
        <v>45.534814814814801</v>
      </c>
      <c r="F472" s="115">
        <v>784.6</v>
      </c>
      <c r="G472">
        <v>2819</v>
      </c>
      <c r="H472" s="115"/>
      <c r="I472" s="115"/>
      <c r="L472" s="169">
        <v>43369</v>
      </c>
      <c r="M472" s="115">
        <v>46.616296296296298</v>
      </c>
      <c r="N472" s="115">
        <v>47.881481481481501</v>
      </c>
      <c r="O472" s="115">
        <v>44.5688888888889</v>
      </c>
      <c r="P472" s="115">
        <v>45.629629629629598</v>
      </c>
      <c r="Q472" s="115">
        <v>786.65</v>
      </c>
      <c r="R472">
        <v>32731</v>
      </c>
    </row>
    <row r="473" spans="1:18" x14ac:dyDescent="0.25">
      <c r="A473" s="169">
        <v>43370</v>
      </c>
      <c r="B473" s="115">
        <v>46.814814814814802</v>
      </c>
      <c r="C473" s="115">
        <v>45.0518518518519</v>
      </c>
      <c r="D473" s="115">
        <v>44.805925925925898</v>
      </c>
      <c r="E473" s="115">
        <v>46.429629629629602</v>
      </c>
      <c r="F473" s="115">
        <v>760.25</v>
      </c>
      <c r="G473">
        <v>1465</v>
      </c>
      <c r="H473" s="115"/>
      <c r="I473" s="115"/>
      <c r="L473" s="169">
        <v>43370</v>
      </c>
      <c r="M473" s="115">
        <v>45.060740740740698</v>
      </c>
      <c r="N473" s="115">
        <v>47.211851851851897</v>
      </c>
      <c r="O473" s="115">
        <v>44.6992592592593</v>
      </c>
      <c r="P473" s="115">
        <v>46.225185185185197</v>
      </c>
      <c r="Q473" s="115">
        <v>760.4</v>
      </c>
      <c r="R473">
        <v>141409</v>
      </c>
    </row>
    <row r="474" spans="1:18" x14ac:dyDescent="0.25">
      <c r="A474" s="169">
        <v>43371</v>
      </c>
      <c r="B474" s="115">
        <v>45.3333333333333</v>
      </c>
      <c r="C474" s="115">
        <v>43.84</v>
      </c>
      <c r="D474" s="115">
        <v>43.4637037037037</v>
      </c>
      <c r="E474" s="115">
        <v>44.96</v>
      </c>
      <c r="F474" s="115">
        <v>739.8</v>
      </c>
      <c r="G474">
        <v>3523</v>
      </c>
      <c r="H474" s="115"/>
      <c r="I474" s="115"/>
      <c r="L474" s="169">
        <v>43371</v>
      </c>
      <c r="M474" s="115">
        <v>43.783703703703701</v>
      </c>
      <c r="N474" s="115">
        <v>45.416296296296302</v>
      </c>
      <c r="O474" s="115">
        <v>43.259259259259302</v>
      </c>
      <c r="P474" s="115">
        <v>45.096296296296302</v>
      </c>
      <c r="Q474" s="115">
        <v>738.85</v>
      </c>
      <c r="R474">
        <v>46343</v>
      </c>
    </row>
    <row r="475" spans="1:18" x14ac:dyDescent="0.25">
      <c r="A475" s="169">
        <v>43374</v>
      </c>
      <c r="B475" s="115">
        <v>43.84</v>
      </c>
      <c r="C475" s="115">
        <v>43.256296296296298</v>
      </c>
      <c r="D475" s="115">
        <v>41.976296296296297</v>
      </c>
      <c r="E475" s="115">
        <v>43.259259259259302</v>
      </c>
      <c r="F475" s="115">
        <v>729.95</v>
      </c>
      <c r="G475">
        <v>2510</v>
      </c>
      <c r="H475" s="115"/>
      <c r="I475" s="115"/>
      <c r="L475" s="169">
        <v>43374</v>
      </c>
      <c r="M475" s="115">
        <v>43.271111111111097</v>
      </c>
      <c r="N475" s="115">
        <v>43.837037037037</v>
      </c>
      <c r="O475" s="115">
        <v>42.370370370370402</v>
      </c>
      <c r="P475" s="115">
        <v>42.915555555555599</v>
      </c>
      <c r="Q475" s="115">
        <v>730.2</v>
      </c>
      <c r="R475">
        <v>41077</v>
      </c>
    </row>
    <row r="476" spans="1:18" x14ac:dyDescent="0.25">
      <c r="A476" s="169">
        <v>43376</v>
      </c>
      <c r="B476" s="115">
        <v>44.394074074074098</v>
      </c>
      <c r="C476" s="115">
        <v>44.207407407407402</v>
      </c>
      <c r="D476" s="115">
        <v>42.6014814814815</v>
      </c>
      <c r="E476" s="115">
        <v>42.844444444444399</v>
      </c>
      <c r="F476" s="115">
        <v>746</v>
      </c>
      <c r="G476">
        <v>1422</v>
      </c>
      <c r="H476" s="115"/>
      <c r="I476" s="115"/>
      <c r="L476" s="169">
        <v>43376</v>
      </c>
      <c r="M476" s="115">
        <v>44.334814814814798</v>
      </c>
      <c r="N476" s="115">
        <v>44.500740740740703</v>
      </c>
      <c r="O476" s="115">
        <v>42.429629629629602</v>
      </c>
      <c r="P476" s="115">
        <v>43.253333333333302</v>
      </c>
      <c r="Q476" s="115">
        <v>748.15</v>
      </c>
      <c r="R476">
        <v>26676</v>
      </c>
    </row>
    <row r="477" spans="1:18" x14ac:dyDescent="0.25">
      <c r="A477" s="169">
        <v>43377</v>
      </c>
      <c r="B477" s="115">
        <v>44.115555555555602</v>
      </c>
      <c r="C477" s="115">
        <v>43.445925925925899</v>
      </c>
      <c r="D477" s="115">
        <v>42.808888888888902</v>
      </c>
      <c r="E477" s="115">
        <v>42.9866666666667</v>
      </c>
      <c r="F477" s="115">
        <v>733.15</v>
      </c>
      <c r="G477">
        <v>1185</v>
      </c>
      <c r="H477" s="115"/>
      <c r="I477" s="115"/>
      <c r="L477" s="169">
        <v>43377</v>
      </c>
      <c r="M477" s="115">
        <v>43.327407407407399</v>
      </c>
      <c r="N477" s="115">
        <v>44.207407407407402</v>
      </c>
      <c r="O477" s="115">
        <v>42.717037037037002</v>
      </c>
      <c r="P477" s="115">
        <v>43.451851851851799</v>
      </c>
      <c r="Q477" s="115">
        <v>731.15</v>
      </c>
      <c r="R477">
        <v>15055</v>
      </c>
    </row>
    <row r="478" spans="1:18" x14ac:dyDescent="0.25">
      <c r="A478" s="169">
        <v>43378</v>
      </c>
      <c r="B478" s="115">
        <v>44.497777777777799</v>
      </c>
      <c r="C478" s="115">
        <v>44.198518518518497</v>
      </c>
      <c r="D478" s="115">
        <v>43.377777777777801</v>
      </c>
      <c r="E478" s="115">
        <v>43.733333333333299</v>
      </c>
      <c r="F478" s="115">
        <v>745.85</v>
      </c>
      <c r="G478">
        <v>708</v>
      </c>
      <c r="H478" s="115"/>
      <c r="I478" s="115"/>
      <c r="L478" s="169">
        <v>43378</v>
      </c>
      <c r="M478" s="115">
        <v>44.257777777777797</v>
      </c>
      <c r="N478" s="115">
        <v>44.737777777777801</v>
      </c>
      <c r="O478" s="115">
        <v>43.259259259259302</v>
      </c>
      <c r="P478" s="115">
        <v>43.327407407407399</v>
      </c>
      <c r="Q478" s="115">
        <v>746.85</v>
      </c>
      <c r="R478">
        <v>19490</v>
      </c>
    </row>
    <row r="479" spans="1:18" x14ac:dyDescent="0.25">
      <c r="A479" s="169">
        <v>43381</v>
      </c>
      <c r="B479" s="115">
        <v>45.345185185185201</v>
      </c>
      <c r="C479" s="115">
        <v>43.454814814814803</v>
      </c>
      <c r="D479" s="115">
        <v>43.137777777777799</v>
      </c>
      <c r="E479" s="115">
        <v>43.691851851851901</v>
      </c>
      <c r="F479" s="115">
        <v>733.3</v>
      </c>
      <c r="G479">
        <v>5296</v>
      </c>
      <c r="H479" s="115"/>
      <c r="I479" s="115"/>
      <c r="L479" s="169">
        <v>43381</v>
      </c>
      <c r="M479" s="115">
        <v>43.807407407407403</v>
      </c>
      <c r="N479" s="115">
        <v>45.537777777777798</v>
      </c>
      <c r="O479" s="115">
        <v>43.271111111111097</v>
      </c>
      <c r="P479" s="115">
        <v>43.851851851851897</v>
      </c>
      <c r="Q479" s="115">
        <v>739.25</v>
      </c>
      <c r="R479">
        <v>175170</v>
      </c>
    </row>
    <row r="480" spans="1:18" x14ac:dyDescent="0.25">
      <c r="A480" s="169">
        <v>43382</v>
      </c>
      <c r="B480" s="115">
        <v>44.355555555555597</v>
      </c>
      <c r="C480" s="115">
        <v>43.842962962963</v>
      </c>
      <c r="D480" s="115">
        <v>43.472592592592598</v>
      </c>
      <c r="E480" s="115">
        <v>43.617777777777803</v>
      </c>
      <c r="F480" s="115">
        <v>739.85</v>
      </c>
      <c r="G480">
        <v>922</v>
      </c>
      <c r="H480" s="115"/>
      <c r="I480" s="115"/>
      <c r="L480" s="169">
        <v>43382</v>
      </c>
      <c r="M480" s="115">
        <v>43.887407407407402</v>
      </c>
      <c r="N480" s="115">
        <v>44.4444444444444</v>
      </c>
      <c r="O480" s="115">
        <v>43.309629629629598</v>
      </c>
      <c r="P480" s="115">
        <v>43.4903703703704</v>
      </c>
      <c r="Q480" s="115">
        <v>740.6</v>
      </c>
      <c r="R480">
        <v>12704</v>
      </c>
    </row>
    <row r="481" spans="1:18" x14ac:dyDescent="0.25">
      <c r="A481" s="169">
        <v>43383</v>
      </c>
      <c r="B481" s="115">
        <v>44.678518518518501</v>
      </c>
      <c r="C481" s="115">
        <v>44.154074074074103</v>
      </c>
      <c r="D481" s="115">
        <v>43.851851851851897</v>
      </c>
      <c r="E481" s="115">
        <v>44.293333333333301</v>
      </c>
      <c r="F481" s="115">
        <v>745.1</v>
      </c>
      <c r="G481">
        <v>904</v>
      </c>
      <c r="H481" s="115"/>
      <c r="I481" s="115"/>
      <c r="L481" s="169">
        <v>43383</v>
      </c>
      <c r="M481" s="115">
        <v>44.554074074074101</v>
      </c>
      <c r="N481" s="115">
        <v>44.8</v>
      </c>
      <c r="O481" s="115">
        <v>43.914074074074101</v>
      </c>
      <c r="P481" s="115">
        <v>43.914074074074101</v>
      </c>
      <c r="Q481" s="115">
        <v>751.85</v>
      </c>
      <c r="R481">
        <v>8843</v>
      </c>
    </row>
    <row r="482" spans="1:18" x14ac:dyDescent="0.25">
      <c r="A482" s="169">
        <v>43384</v>
      </c>
      <c r="B482" s="115">
        <v>44.740740740740698</v>
      </c>
      <c r="C482" s="115">
        <v>44.207407407407402</v>
      </c>
      <c r="D482" s="115">
        <v>43.001481481481498</v>
      </c>
      <c r="E482" s="115">
        <v>43.259259259259302</v>
      </c>
      <c r="F482" s="115">
        <v>746</v>
      </c>
      <c r="G482">
        <v>687</v>
      </c>
      <c r="H482" s="115"/>
      <c r="I482" s="115"/>
      <c r="L482" s="169">
        <v>43384</v>
      </c>
      <c r="M482" s="115">
        <v>44.485925925925898</v>
      </c>
      <c r="N482" s="115">
        <v>45.3333333333333</v>
      </c>
      <c r="O482" s="115">
        <v>42.903703703703698</v>
      </c>
      <c r="P482" s="115">
        <v>43.665185185185202</v>
      </c>
      <c r="Q482" s="115">
        <v>750.7</v>
      </c>
      <c r="R482">
        <v>8483</v>
      </c>
    </row>
    <row r="483" spans="1:18" x14ac:dyDescent="0.25">
      <c r="A483" s="169">
        <v>43385</v>
      </c>
      <c r="B483" s="115">
        <v>45.330370370370403</v>
      </c>
      <c r="C483" s="115">
        <v>44.322962962962997</v>
      </c>
      <c r="D483" s="115">
        <v>43.259259259259302</v>
      </c>
      <c r="E483" s="115">
        <v>45.048888888888897</v>
      </c>
      <c r="F483" s="115">
        <v>747.95</v>
      </c>
      <c r="G483">
        <v>1507</v>
      </c>
      <c r="H483" s="115"/>
      <c r="I483" s="115"/>
      <c r="L483" s="169">
        <v>43385</v>
      </c>
      <c r="M483" s="115">
        <v>44.788148148148103</v>
      </c>
      <c r="N483" s="115">
        <v>45.505185185185198</v>
      </c>
      <c r="O483" s="115">
        <v>43.205925925925897</v>
      </c>
      <c r="P483" s="115">
        <v>44.663703703703703</v>
      </c>
      <c r="Q483" s="115">
        <v>755.8</v>
      </c>
      <c r="R483">
        <v>21473</v>
      </c>
    </row>
    <row r="484" spans="1:18" x14ac:dyDescent="0.25">
      <c r="A484" s="169">
        <v>43388</v>
      </c>
      <c r="B484" s="115">
        <v>45.511111111111099</v>
      </c>
      <c r="C484" s="115">
        <v>45.084444444444401</v>
      </c>
      <c r="D484" s="115">
        <v>44.965925925925902</v>
      </c>
      <c r="E484" s="115">
        <v>45.256296296296298</v>
      </c>
      <c r="F484" s="115">
        <v>760.8</v>
      </c>
      <c r="G484">
        <v>479</v>
      </c>
      <c r="H484" s="115"/>
      <c r="I484" s="115"/>
      <c r="L484" s="169">
        <v>43388</v>
      </c>
      <c r="M484" s="115">
        <v>45.247407407407401</v>
      </c>
      <c r="N484" s="115">
        <v>45.68</v>
      </c>
      <c r="O484" s="115">
        <v>44.862222222222201</v>
      </c>
      <c r="P484" s="115">
        <v>45.68</v>
      </c>
      <c r="Q484" s="115">
        <v>763.55</v>
      </c>
      <c r="R484">
        <v>6603</v>
      </c>
    </row>
    <row r="485" spans="1:18" x14ac:dyDescent="0.25">
      <c r="A485" s="169">
        <v>43389</v>
      </c>
      <c r="B485" s="115">
        <v>45.842962962963</v>
      </c>
      <c r="C485" s="115">
        <v>45.250370370370398</v>
      </c>
      <c r="D485" s="115">
        <v>45.1111111111111</v>
      </c>
      <c r="E485" s="115">
        <v>45.546666666666702</v>
      </c>
      <c r="F485" s="115">
        <v>763.6</v>
      </c>
      <c r="G485">
        <v>1487</v>
      </c>
      <c r="H485" s="115"/>
      <c r="I485" s="115"/>
      <c r="L485" s="169">
        <v>43389</v>
      </c>
      <c r="M485" s="115">
        <v>45.567407407407401</v>
      </c>
      <c r="N485" s="115">
        <v>45.866666666666703</v>
      </c>
      <c r="O485" s="115">
        <v>45.042962962963003</v>
      </c>
      <c r="P485" s="115">
        <v>45.395555555555603</v>
      </c>
      <c r="Q485" s="115">
        <v>768.95</v>
      </c>
      <c r="R485">
        <v>8158</v>
      </c>
    </row>
    <row r="486" spans="1:18" x14ac:dyDescent="0.25">
      <c r="A486" s="169">
        <v>43390</v>
      </c>
      <c r="B486" s="115">
        <v>46.2222222222222</v>
      </c>
      <c r="C486" s="115">
        <v>45.576296296296299</v>
      </c>
      <c r="D486" s="115">
        <v>45.2740740740741</v>
      </c>
      <c r="E486" s="115">
        <v>45.662222222222198</v>
      </c>
      <c r="F486" s="115">
        <v>769.1</v>
      </c>
      <c r="G486">
        <v>1465</v>
      </c>
      <c r="H486" s="115"/>
      <c r="I486" s="115"/>
      <c r="L486" s="169">
        <v>43390</v>
      </c>
      <c r="M486" s="115">
        <v>45.828148148148202</v>
      </c>
      <c r="N486" s="115">
        <v>46.382222222222197</v>
      </c>
      <c r="O486" s="115">
        <v>45.629629629629598</v>
      </c>
      <c r="P486" s="115">
        <v>45.629629629629598</v>
      </c>
      <c r="Q486" s="115">
        <v>773.35</v>
      </c>
      <c r="R486">
        <v>11022</v>
      </c>
    </row>
    <row r="487" spans="1:18" x14ac:dyDescent="0.25">
      <c r="A487" s="169">
        <v>43392</v>
      </c>
      <c r="B487" s="115">
        <v>46.225185185185197</v>
      </c>
      <c r="C487" s="115">
        <v>45.917037037036998</v>
      </c>
      <c r="D487" s="115">
        <v>44.148148148148103</v>
      </c>
      <c r="E487" s="115">
        <v>45.336296296296297</v>
      </c>
      <c r="F487" s="115">
        <v>774.85</v>
      </c>
      <c r="G487">
        <v>1554</v>
      </c>
      <c r="H487" s="115"/>
      <c r="I487" s="115"/>
      <c r="L487" s="169">
        <v>43392</v>
      </c>
      <c r="M487" s="115">
        <v>45.991111111111103</v>
      </c>
      <c r="N487" s="115">
        <v>46.2222222222222</v>
      </c>
      <c r="O487" s="115">
        <v>44.029629629629603</v>
      </c>
      <c r="P487" s="115">
        <v>45.985185185185202</v>
      </c>
      <c r="Q487" s="115">
        <v>776.1</v>
      </c>
      <c r="R487">
        <v>11213</v>
      </c>
    </row>
    <row r="488" spans="1:18" x14ac:dyDescent="0.25">
      <c r="A488" s="169">
        <v>43395</v>
      </c>
      <c r="B488" s="115">
        <v>45.837037037037</v>
      </c>
      <c r="C488" s="115">
        <v>44.595555555555599</v>
      </c>
      <c r="D488" s="115">
        <v>44.266666666666701</v>
      </c>
      <c r="E488" s="115">
        <v>45.837037037037</v>
      </c>
      <c r="F488" s="115">
        <v>752.55</v>
      </c>
      <c r="G488">
        <v>5099</v>
      </c>
      <c r="H488" s="115"/>
      <c r="I488" s="115"/>
      <c r="L488" s="169">
        <v>43395</v>
      </c>
      <c r="M488" s="115">
        <v>44.752592592592599</v>
      </c>
      <c r="N488" s="115">
        <v>46.133333333333297</v>
      </c>
      <c r="O488" s="115">
        <v>44.4444444444444</v>
      </c>
      <c r="P488" s="115">
        <v>46.133333333333297</v>
      </c>
      <c r="Q488" s="115">
        <v>755.2</v>
      </c>
      <c r="R488">
        <v>7494</v>
      </c>
    </row>
    <row r="489" spans="1:18" x14ac:dyDescent="0.25">
      <c r="A489" s="169">
        <v>43396</v>
      </c>
      <c r="B489" s="115">
        <v>44.4444444444444</v>
      </c>
      <c r="C489" s="115">
        <v>44.311111111111103</v>
      </c>
      <c r="D489" s="115">
        <v>43.259259259259302</v>
      </c>
      <c r="E489" s="115">
        <v>43.259259259259302</v>
      </c>
      <c r="F489" s="115">
        <v>747.75</v>
      </c>
      <c r="G489">
        <v>434</v>
      </c>
      <c r="H489" s="115"/>
      <c r="I489" s="115"/>
      <c r="L489" s="169">
        <v>43396</v>
      </c>
      <c r="M489" s="115">
        <v>44.705185185185201</v>
      </c>
      <c r="N489" s="115">
        <v>44.740740740740698</v>
      </c>
      <c r="O489" s="115">
        <v>43.632592592592601</v>
      </c>
      <c r="P489" s="115">
        <v>44.447407407407397</v>
      </c>
      <c r="Q489" s="115">
        <v>754.4</v>
      </c>
      <c r="R489">
        <v>244480</v>
      </c>
    </row>
    <row r="490" spans="1:18" x14ac:dyDescent="0.25">
      <c r="A490" s="169">
        <v>43397</v>
      </c>
      <c r="B490" s="115">
        <v>44.8</v>
      </c>
      <c r="C490" s="115">
        <v>44.388148148148098</v>
      </c>
      <c r="D490" s="115">
        <v>43.881481481481501</v>
      </c>
      <c r="E490" s="115">
        <v>44.622222222222199</v>
      </c>
      <c r="F490" s="115">
        <v>749.05</v>
      </c>
      <c r="G490">
        <v>1590</v>
      </c>
      <c r="H490" s="115"/>
      <c r="I490" s="115"/>
      <c r="L490" s="169">
        <v>43397</v>
      </c>
      <c r="M490" s="115">
        <v>44.482962962963001</v>
      </c>
      <c r="N490" s="115">
        <v>45.007407407407399</v>
      </c>
      <c r="O490" s="115">
        <v>43.845925925925897</v>
      </c>
      <c r="P490" s="115">
        <v>44.518518518518498</v>
      </c>
      <c r="Q490" s="115">
        <v>750.65</v>
      </c>
      <c r="R490">
        <v>13031</v>
      </c>
    </row>
    <row r="491" spans="1:18" x14ac:dyDescent="0.25">
      <c r="A491" s="169">
        <v>43398</v>
      </c>
      <c r="B491" s="115">
        <v>45.925925925925903</v>
      </c>
      <c r="C491" s="115">
        <v>45.122962962963001</v>
      </c>
      <c r="D491" s="115">
        <v>43.697777777777802</v>
      </c>
      <c r="E491" s="115">
        <v>43.863703703703699</v>
      </c>
      <c r="F491" s="115">
        <v>761.45</v>
      </c>
      <c r="G491">
        <v>13356</v>
      </c>
      <c r="H491" s="115"/>
      <c r="I491" s="115"/>
      <c r="L491" s="169">
        <v>43398</v>
      </c>
      <c r="M491" s="115">
        <v>45.419259259259299</v>
      </c>
      <c r="N491" s="115">
        <v>45.866666666666703</v>
      </c>
      <c r="O491" s="115">
        <v>43.591111111111097</v>
      </c>
      <c r="P491" s="115">
        <v>44.432592592592599</v>
      </c>
      <c r="Q491" s="115">
        <v>766.45</v>
      </c>
      <c r="R491">
        <v>82318</v>
      </c>
    </row>
    <row r="492" spans="1:18" x14ac:dyDescent="0.25">
      <c r="A492" s="169">
        <v>43399</v>
      </c>
      <c r="B492" s="115">
        <v>45.152592592592597</v>
      </c>
      <c r="C492" s="115">
        <v>44.681481481481498</v>
      </c>
      <c r="D492" s="115">
        <v>44.225185185185197</v>
      </c>
      <c r="E492" s="115">
        <v>45.152592592592597</v>
      </c>
      <c r="F492" s="115">
        <v>754</v>
      </c>
      <c r="G492">
        <v>742</v>
      </c>
      <c r="H492" s="115"/>
      <c r="I492" s="115"/>
      <c r="L492" s="169">
        <v>43399</v>
      </c>
      <c r="M492" s="115">
        <v>44.989629629629597</v>
      </c>
      <c r="N492" s="115">
        <v>45.567407407407401</v>
      </c>
      <c r="O492" s="115">
        <v>44.151111111111099</v>
      </c>
      <c r="P492" s="115">
        <v>45.567407407407401</v>
      </c>
      <c r="Q492" s="115">
        <v>759.2</v>
      </c>
      <c r="R492">
        <v>13502</v>
      </c>
    </row>
    <row r="493" spans="1:18" x14ac:dyDescent="0.25">
      <c r="A493" s="169">
        <v>43402</v>
      </c>
      <c r="B493" s="115">
        <v>45.327407407407399</v>
      </c>
      <c r="C493" s="115">
        <v>44.761481481481503</v>
      </c>
      <c r="D493" s="115">
        <v>44.740740740740698</v>
      </c>
      <c r="E493" s="115">
        <v>44.8</v>
      </c>
      <c r="F493" s="115">
        <v>755.35</v>
      </c>
      <c r="G493">
        <v>4483</v>
      </c>
      <c r="H493" s="115"/>
      <c r="I493" s="115"/>
      <c r="L493" s="169">
        <v>43402</v>
      </c>
      <c r="M493" s="115">
        <v>44.8562962962963</v>
      </c>
      <c r="N493" s="115">
        <v>45.3333333333333</v>
      </c>
      <c r="O493" s="115">
        <v>44.459259259259298</v>
      </c>
      <c r="P493" s="115">
        <v>44.459259259259298</v>
      </c>
      <c r="Q493" s="115">
        <v>756.95</v>
      </c>
      <c r="R493">
        <v>6559</v>
      </c>
    </row>
    <row r="494" spans="1:18" x14ac:dyDescent="0.25">
      <c r="A494" s="169">
        <v>43403</v>
      </c>
      <c r="B494" s="115">
        <v>49.860740740740702</v>
      </c>
      <c r="C494" s="115">
        <v>47.754074074074097</v>
      </c>
      <c r="D494" s="115">
        <v>44.942222222222199</v>
      </c>
      <c r="E494" s="115">
        <v>44.945185185185203</v>
      </c>
      <c r="F494" s="115">
        <v>805.85</v>
      </c>
      <c r="G494">
        <v>9470</v>
      </c>
      <c r="H494" s="115"/>
      <c r="I494" s="115"/>
      <c r="L494" s="169">
        <v>43403</v>
      </c>
      <c r="M494" s="115">
        <v>48.041481481481497</v>
      </c>
      <c r="N494" s="115">
        <v>50.077037037037002</v>
      </c>
      <c r="O494" s="115">
        <v>44.740740740740698</v>
      </c>
      <c r="P494" s="115">
        <v>44.740740740740698</v>
      </c>
      <c r="Q494" s="115">
        <v>810.7</v>
      </c>
      <c r="R494">
        <v>90711</v>
      </c>
    </row>
    <row r="495" spans="1:18" x14ac:dyDescent="0.25">
      <c r="A495" s="169">
        <v>43404</v>
      </c>
      <c r="B495" s="115">
        <v>49.623703703703697</v>
      </c>
      <c r="C495" s="115">
        <v>47.905185185185204</v>
      </c>
      <c r="D495" s="115">
        <v>47.1111111111111</v>
      </c>
      <c r="E495" s="115">
        <v>49.392592592592599</v>
      </c>
      <c r="F495" s="115">
        <v>808.4</v>
      </c>
      <c r="G495">
        <v>14388</v>
      </c>
      <c r="H495" s="115"/>
      <c r="I495" s="115"/>
      <c r="L495" s="169">
        <v>43404</v>
      </c>
      <c r="M495" s="115">
        <v>48.334814814814798</v>
      </c>
      <c r="N495" s="115">
        <v>50.074074074074097</v>
      </c>
      <c r="O495" s="115">
        <v>47.410370370370401</v>
      </c>
      <c r="P495" s="115">
        <v>48.237037037036998</v>
      </c>
      <c r="Q495" s="115">
        <v>815.65</v>
      </c>
      <c r="R495">
        <v>66341</v>
      </c>
    </row>
    <row r="496" spans="1:18" x14ac:dyDescent="0.25">
      <c r="A496" s="169">
        <v>43405</v>
      </c>
      <c r="B496" s="115">
        <v>48.595555555555599</v>
      </c>
      <c r="C496" s="115">
        <v>45.7451851851852</v>
      </c>
      <c r="D496" s="115">
        <v>45.1111111111111</v>
      </c>
      <c r="E496" s="115">
        <v>48.533333333333303</v>
      </c>
      <c r="F496" s="115">
        <v>771.95</v>
      </c>
      <c r="G496">
        <v>92508</v>
      </c>
      <c r="H496" s="115"/>
      <c r="I496" s="115"/>
      <c r="L496" s="169">
        <v>43405</v>
      </c>
      <c r="M496" s="115">
        <v>46.112592592592598</v>
      </c>
      <c r="N496" s="115">
        <v>48.8</v>
      </c>
      <c r="O496" s="115">
        <v>45.525925925925897</v>
      </c>
      <c r="P496" s="115">
        <v>48.8</v>
      </c>
      <c r="Q496" s="115">
        <v>778.15</v>
      </c>
      <c r="R496">
        <v>77193</v>
      </c>
    </row>
    <row r="497" spans="1:18" x14ac:dyDescent="0.25">
      <c r="A497" s="169">
        <v>43406</v>
      </c>
      <c r="B497" s="115">
        <v>46.755555555555603</v>
      </c>
      <c r="C497" s="115">
        <v>44.9540740740741</v>
      </c>
      <c r="D497" s="115">
        <v>44.740740740740698</v>
      </c>
      <c r="E497" s="115">
        <v>46.5037037037037</v>
      </c>
      <c r="F497" s="115">
        <v>758.6</v>
      </c>
      <c r="G497">
        <v>52018</v>
      </c>
      <c r="H497" s="115"/>
      <c r="I497" s="115"/>
      <c r="L497" s="169">
        <v>43406</v>
      </c>
      <c r="M497" s="115">
        <v>44.797037037037001</v>
      </c>
      <c r="N497" s="115">
        <v>47.277037037036997</v>
      </c>
      <c r="O497" s="115">
        <v>44.740740740740698</v>
      </c>
      <c r="P497" s="115">
        <v>47.277037037036997</v>
      </c>
      <c r="Q497" s="115">
        <v>755.95</v>
      </c>
      <c r="R497">
        <v>71658</v>
      </c>
    </row>
    <row r="498" spans="1:18" x14ac:dyDescent="0.25">
      <c r="A498" s="169">
        <v>43409</v>
      </c>
      <c r="B498" s="115">
        <v>45.955555555555598</v>
      </c>
      <c r="C498" s="115">
        <v>45.466666666666697</v>
      </c>
      <c r="D498" s="115">
        <v>43.564444444444398</v>
      </c>
      <c r="E498" s="115">
        <v>44.740740740740698</v>
      </c>
      <c r="F498" s="115">
        <v>767.25</v>
      </c>
      <c r="G498">
        <v>15058</v>
      </c>
      <c r="H498" s="115"/>
      <c r="I498" s="115"/>
      <c r="L498" s="169">
        <v>43409</v>
      </c>
      <c r="M498" s="115">
        <v>45.531851851851897</v>
      </c>
      <c r="N498" s="115">
        <v>46.219259259259303</v>
      </c>
      <c r="O498" s="115">
        <v>43.579259259259302</v>
      </c>
      <c r="P498" s="115">
        <v>44.859259259259296</v>
      </c>
      <c r="Q498" s="115">
        <v>768.35</v>
      </c>
      <c r="R498">
        <v>32545</v>
      </c>
    </row>
    <row r="499" spans="1:18" x14ac:dyDescent="0.25">
      <c r="A499" s="169">
        <v>43410</v>
      </c>
      <c r="B499" s="115">
        <v>46.0651851851852</v>
      </c>
      <c r="C499" s="115">
        <v>45.380740740740698</v>
      </c>
      <c r="D499" s="115">
        <v>45.075555555555603</v>
      </c>
      <c r="E499" s="115">
        <v>45.134814814814803</v>
      </c>
      <c r="F499" s="115">
        <v>765.8</v>
      </c>
      <c r="G499">
        <v>19479</v>
      </c>
      <c r="H499" s="115"/>
      <c r="I499" s="115"/>
      <c r="L499" s="169">
        <v>43410</v>
      </c>
      <c r="M499" s="115">
        <v>45.52</v>
      </c>
      <c r="N499" s="115">
        <v>46.281481481481499</v>
      </c>
      <c r="O499" s="115">
        <v>45.096296296296302</v>
      </c>
      <c r="P499" s="115">
        <v>45.629629629629598</v>
      </c>
      <c r="Q499" s="115">
        <v>768.15</v>
      </c>
      <c r="R499">
        <v>32628</v>
      </c>
    </row>
    <row r="500" spans="1:18" x14ac:dyDescent="0.25">
      <c r="A500" s="169">
        <v>43411</v>
      </c>
      <c r="B500" s="115">
        <v>45.629629629629598</v>
      </c>
      <c r="C500" s="115">
        <v>45.558518518518497</v>
      </c>
      <c r="D500" s="115">
        <v>45.271111111111097</v>
      </c>
      <c r="E500" s="115">
        <v>45.2740740740741</v>
      </c>
      <c r="F500" s="115">
        <v>768.8</v>
      </c>
      <c r="G500">
        <v>186</v>
      </c>
      <c r="H500" s="115"/>
      <c r="I500" s="115"/>
      <c r="L500" s="169">
        <v>43411</v>
      </c>
      <c r="M500" s="115">
        <v>45.573333333333302</v>
      </c>
      <c r="N500" s="115">
        <v>45.748148148148097</v>
      </c>
      <c r="O500" s="115">
        <v>45.125925925925898</v>
      </c>
      <c r="P500" s="115">
        <v>45.748148148148097</v>
      </c>
      <c r="Q500" s="115">
        <v>769.05</v>
      </c>
      <c r="R500">
        <v>2486</v>
      </c>
    </row>
    <row r="501" spans="1:18" x14ac:dyDescent="0.25">
      <c r="A501" s="169">
        <v>43413</v>
      </c>
      <c r="B501" s="115">
        <v>45.629629629629598</v>
      </c>
      <c r="C501" s="115">
        <v>45.0192592592593</v>
      </c>
      <c r="D501" s="115">
        <v>44.755555555555603</v>
      </c>
      <c r="E501" s="115">
        <v>45.570370370370398</v>
      </c>
      <c r="F501" s="115">
        <v>759.7</v>
      </c>
      <c r="G501">
        <v>621</v>
      </c>
      <c r="H501" s="115"/>
      <c r="I501" s="115"/>
      <c r="L501" s="169">
        <v>43413</v>
      </c>
      <c r="M501" s="115">
        <v>45.0785185185185</v>
      </c>
      <c r="N501" s="115">
        <v>45.822222222222202</v>
      </c>
      <c r="O501" s="115">
        <v>44.740740740740698</v>
      </c>
      <c r="P501" s="115">
        <v>45.0518518518519</v>
      </c>
      <c r="Q501" s="115">
        <v>760.7</v>
      </c>
      <c r="R501">
        <v>8122</v>
      </c>
    </row>
    <row r="502" spans="1:18" x14ac:dyDescent="0.25">
      <c r="A502" s="169">
        <v>43416</v>
      </c>
      <c r="B502" s="115">
        <v>47.863703703703699</v>
      </c>
      <c r="C502" s="115">
        <v>46.995555555555597</v>
      </c>
      <c r="D502" s="115">
        <v>45.44</v>
      </c>
      <c r="E502" s="115">
        <v>45.44</v>
      </c>
      <c r="F502" s="115">
        <v>793.05</v>
      </c>
      <c r="G502">
        <v>3732</v>
      </c>
      <c r="H502" s="115"/>
      <c r="I502" s="115"/>
      <c r="L502" s="169">
        <v>43416</v>
      </c>
      <c r="M502" s="115">
        <v>47.1111111111111</v>
      </c>
      <c r="N502" s="115">
        <v>47.994074074074099</v>
      </c>
      <c r="O502" s="115">
        <v>45.161481481481502</v>
      </c>
      <c r="P502" s="115">
        <v>45.585185185185203</v>
      </c>
      <c r="Q502" s="115">
        <v>795</v>
      </c>
      <c r="R502">
        <v>82785</v>
      </c>
    </row>
    <row r="503" spans="1:18" x14ac:dyDescent="0.25">
      <c r="A503" s="169">
        <v>43417</v>
      </c>
      <c r="B503" s="115">
        <v>47.170370370370399</v>
      </c>
      <c r="C503" s="115">
        <v>46.939259259259302</v>
      </c>
      <c r="D503" s="115">
        <v>46.518518518518498</v>
      </c>
      <c r="E503" s="115">
        <v>46.521481481481501</v>
      </c>
      <c r="F503" s="115">
        <v>792.1</v>
      </c>
      <c r="G503">
        <v>4923</v>
      </c>
      <c r="H503" s="115"/>
      <c r="I503" s="115"/>
      <c r="L503" s="169">
        <v>43417</v>
      </c>
      <c r="M503" s="115">
        <v>47.309629629629598</v>
      </c>
      <c r="N503" s="115">
        <v>47.410370370370401</v>
      </c>
      <c r="O503" s="115">
        <v>46.518518518518498</v>
      </c>
      <c r="P503" s="115">
        <v>46.518518518518498</v>
      </c>
      <c r="Q503" s="115">
        <v>798.35</v>
      </c>
      <c r="R503">
        <v>20231</v>
      </c>
    </row>
    <row r="504" spans="1:18" x14ac:dyDescent="0.25">
      <c r="A504" s="169">
        <v>43418</v>
      </c>
      <c r="B504" s="115">
        <v>47.407407407407398</v>
      </c>
      <c r="C504" s="115">
        <v>46.968888888888898</v>
      </c>
      <c r="D504" s="115">
        <v>46.752592592592599</v>
      </c>
      <c r="E504" s="115">
        <v>46.971851851851902</v>
      </c>
      <c r="F504" s="115">
        <v>792.6</v>
      </c>
      <c r="G504">
        <v>4290</v>
      </c>
      <c r="H504" s="115"/>
      <c r="I504" s="115"/>
      <c r="L504" s="169">
        <v>43418</v>
      </c>
      <c r="M504" s="115">
        <v>47.36</v>
      </c>
      <c r="N504" s="115">
        <v>47.525925925925897</v>
      </c>
      <c r="O504" s="115">
        <v>46.761481481481503</v>
      </c>
      <c r="P504" s="115">
        <v>47.404444444444401</v>
      </c>
      <c r="Q504" s="115">
        <v>799.2</v>
      </c>
      <c r="R504">
        <v>32360</v>
      </c>
    </row>
    <row r="505" spans="1:18" x14ac:dyDescent="0.25">
      <c r="A505" s="169">
        <v>43419</v>
      </c>
      <c r="B505" s="115">
        <v>47.6207407407407</v>
      </c>
      <c r="C505" s="115">
        <v>47.3392592592593</v>
      </c>
      <c r="D505" s="115">
        <v>46.930370370370397</v>
      </c>
      <c r="E505" s="115">
        <v>47.318518518518502</v>
      </c>
      <c r="F505" s="115">
        <v>798.85</v>
      </c>
      <c r="G505">
        <v>5442</v>
      </c>
      <c r="H505" s="115"/>
      <c r="I505" s="115"/>
      <c r="L505" s="169">
        <v>43419</v>
      </c>
      <c r="M505" s="115">
        <v>47.4577777777778</v>
      </c>
      <c r="N505" s="115">
        <v>47.733333333333299</v>
      </c>
      <c r="O505" s="115">
        <v>46.850370370370399</v>
      </c>
      <c r="P505" s="115">
        <v>47.345185185185201</v>
      </c>
      <c r="Q505" s="115">
        <v>800.85</v>
      </c>
      <c r="R505">
        <v>129211</v>
      </c>
    </row>
    <row r="506" spans="1:18" x14ac:dyDescent="0.25">
      <c r="A506" s="169">
        <v>43420</v>
      </c>
      <c r="B506" s="115">
        <v>47.917037037036998</v>
      </c>
      <c r="C506" s="115">
        <v>47.807407407407403</v>
      </c>
      <c r="D506" s="115">
        <v>46.874074074074102</v>
      </c>
      <c r="E506" s="115">
        <v>46.874074074074102</v>
      </c>
      <c r="F506" s="115">
        <v>806.75</v>
      </c>
      <c r="G506">
        <v>5057</v>
      </c>
      <c r="H506" s="115"/>
      <c r="I506" s="115"/>
      <c r="L506" s="169">
        <v>43420</v>
      </c>
      <c r="M506" s="115">
        <v>47.940740740740701</v>
      </c>
      <c r="N506" s="115">
        <v>48</v>
      </c>
      <c r="O506" s="115">
        <v>46.9807407407407</v>
      </c>
      <c r="P506" s="115">
        <v>47.4577777777778</v>
      </c>
      <c r="Q506" s="115">
        <v>809</v>
      </c>
      <c r="R506">
        <v>18805</v>
      </c>
    </row>
    <row r="507" spans="1:18" x14ac:dyDescent="0.25">
      <c r="A507" s="169">
        <v>43423</v>
      </c>
      <c r="B507" s="115">
        <v>47.822222222222202</v>
      </c>
      <c r="C507" s="115">
        <v>46.349629629629597</v>
      </c>
      <c r="D507" s="115">
        <v>46.068148148148097</v>
      </c>
      <c r="E507" s="115">
        <v>47.792592592592598</v>
      </c>
      <c r="F507" s="115">
        <v>782.15</v>
      </c>
      <c r="G507">
        <v>4836</v>
      </c>
      <c r="H507" s="115"/>
      <c r="I507" s="115"/>
      <c r="L507" s="169">
        <v>43423</v>
      </c>
      <c r="M507" s="115">
        <v>46.364444444444402</v>
      </c>
      <c r="N507" s="115">
        <v>47.985185185185202</v>
      </c>
      <c r="O507" s="115">
        <v>46.103703703703701</v>
      </c>
      <c r="P507" s="115">
        <v>47.985185185185202</v>
      </c>
      <c r="Q507" s="115">
        <v>782.4</v>
      </c>
      <c r="R507">
        <v>45991</v>
      </c>
    </row>
    <row r="508" spans="1:18" x14ac:dyDescent="0.25">
      <c r="A508" s="169">
        <v>43424</v>
      </c>
      <c r="B508" s="115">
        <v>47.9022222222222</v>
      </c>
      <c r="C508" s="115">
        <v>46.334814814814798</v>
      </c>
      <c r="D508" s="115">
        <v>46.133333333333297</v>
      </c>
      <c r="E508" s="115">
        <v>47.2681481481482</v>
      </c>
      <c r="F508" s="115">
        <v>781.9</v>
      </c>
      <c r="G508">
        <v>974236</v>
      </c>
      <c r="H508" s="115"/>
      <c r="I508" s="115"/>
      <c r="L508" s="169">
        <v>43424</v>
      </c>
      <c r="M508" s="115">
        <v>46.5748148148148</v>
      </c>
      <c r="N508" s="115">
        <v>48</v>
      </c>
      <c r="O508" s="115">
        <v>46.334814814814798</v>
      </c>
      <c r="P508" s="115">
        <v>46.468148148148103</v>
      </c>
      <c r="Q508" s="115">
        <v>785.95</v>
      </c>
      <c r="R508">
        <v>286209</v>
      </c>
    </row>
    <row r="509" spans="1:18" x14ac:dyDescent="0.25">
      <c r="A509" s="169">
        <v>43425</v>
      </c>
      <c r="B509" s="115">
        <v>46.962962962962997</v>
      </c>
      <c r="C509" s="115">
        <v>46.251851851851903</v>
      </c>
      <c r="D509" s="115">
        <v>45.834074074074103</v>
      </c>
      <c r="E509" s="115">
        <v>46.180740740740703</v>
      </c>
      <c r="F509" s="115">
        <v>780.5</v>
      </c>
      <c r="G509">
        <v>2530</v>
      </c>
      <c r="H509" s="115"/>
      <c r="I509" s="115"/>
      <c r="L509" s="169">
        <v>43425</v>
      </c>
      <c r="M509" s="115">
        <v>46.420740740740698</v>
      </c>
      <c r="N509" s="115">
        <v>47.108148148148203</v>
      </c>
      <c r="O509" s="115">
        <v>46.293333333333301</v>
      </c>
      <c r="P509" s="115">
        <v>46.755555555555603</v>
      </c>
      <c r="Q509" s="115">
        <v>783.35</v>
      </c>
      <c r="R509">
        <v>12145</v>
      </c>
    </row>
    <row r="510" spans="1:18" x14ac:dyDescent="0.25">
      <c r="A510" s="169">
        <v>43426</v>
      </c>
      <c r="B510" s="115">
        <v>46.957037037036997</v>
      </c>
      <c r="C510" s="115">
        <v>45.380740740740698</v>
      </c>
      <c r="D510" s="115">
        <v>45.066666666666698</v>
      </c>
      <c r="E510" s="115">
        <v>46.011851851851901</v>
      </c>
      <c r="F510" s="115">
        <v>765.8</v>
      </c>
      <c r="G510">
        <v>5386</v>
      </c>
      <c r="H510" s="115"/>
      <c r="I510" s="115"/>
      <c r="L510" s="169">
        <v>43426</v>
      </c>
      <c r="M510" s="115">
        <v>45.514074074074102</v>
      </c>
      <c r="N510" s="115">
        <v>47.087407407407397</v>
      </c>
      <c r="O510" s="115">
        <v>45.392592592592599</v>
      </c>
      <c r="P510" s="115">
        <v>46.2222222222222</v>
      </c>
      <c r="Q510" s="115">
        <v>768.05</v>
      </c>
      <c r="R510">
        <v>56415</v>
      </c>
    </row>
    <row r="511" spans="1:18" x14ac:dyDescent="0.25">
      <c r="A511" s="169">
        <v>43430</v>
      </c>
      <c r="B511" s="115">
        <v>46.044444444444402</v>
      </c>
      <c r="C511" s="115">
        <v>45.448888888888902</v>
      </c>
      <c r="D511" s="115">
        <v>45.345185185185201</v>
      </c>
      <c r="E511" s="115">
        <v>46.044444444444402</v>
      </c>
      <c r="F511" s="115">
        <v>766.95</v>
      </c>
      <c r="G511">
        <v>2023</v>
      </c>
      <c r="H511" s="115"/>
      <c r="I511" s="115"/>
      <c r="L511" s="169">
        <v>43430</v>
      </c>
      <c r="M511" s="115">
        <v>45.641481481481499</v>
      </c>
      <c r="N511" s="115">
        <v>46.112592592592598</v>
      </c>
      <c r="O511" s="115">
        <v>45.179259259259297</v>
      </c>
      <c r="P511" s="115">
        <v>46.112592592592598</v>
      </c>
      <c r="Q511" s="115">
        <v>770.2</v>
      </c>
      <c r="R511">
        <v>110345</v>
      </c>
    </row>
    <row r="512" spans="1:18" x14ac:dyDescent="0.25">
      <c r="A512" s="169">
        <v>43431</v>
      </c>
      <c r="B512" s="115">
        <v>46.7318518518519</v>
      </c>
      <c r="C512" s="115">
        <v>45.783703703703701</v>
      </c>
      <c r="D512" s="115">
        <v>45.3392592592593</v>
      </c>
      <c r="E512" s="115">
        <v>45.451851851851799</v>
      </c>
      <c r="F512" s="115">
        <v>772.6</v>
      </c>
      <c r="G512">
        <v>2636</v>
      </c>
      <c r="H512" s="115"/>
      <c r="I512" s="115"/>
      <c r="L512" s="169">
        <v>43431</v>
      </c>
      <c r="M512" s="115">
        <v>45.786666666666697</v>
      </c>
      <c r="N512" s="115">
        <v>46.785185185185199</v>
      </c>
      <c r="O512" s="115">
        <v>45.3333333333333</v>
      </c>
      <c r="P512" s="115">
        <v>45.748148148148097</v>
      </c>
      <c r="Q512" s="115">
        <v>772.65</v>
      </c>
      <c r="R512">
        <v>24824</v>
      </c>
    </row>
    <row r="513" spans="1:18" x14ac:dyDescent="0.25">
      <c r="A513" s="169">
        <v>43432</v>
      </c>
      <c r="B513" s="115">
        <v>45.739259259259299</v>
      </c>
      <c r="C513" s="115">
        <v>45.28</v>
      </c>
      <c r="D513" s="115">
        <v>45.037037037037003</v>
      </c>
      <c r="E513" s="115">
        <v>45.629629629629598</v>
      </c>
      <c r="F513" s="115">
        <v>764.1</v>
      </c>
      <c r="G513">
        <v>3029</v>
      </c>
      <c r="H513" s="115"/>
      <c r="I513" s="115"/>
      <c r="L513" s="169">
        <v>43432</v>
      </c>
      <c r="M513" s="115">
        <v>45.354074074074099</v>
      </c>
      <c r="N513" s="115">
        <v>45.9081481481482</v>
      </c>
      <c r="O513" s="115">
        <v>44.977777777777803</v>
      </c>
      <c r="P513" s="115">
        <v>45.662222222222198</v>
      </c>
      <c r="Q513" s="115">
        <v>765.35</v>
      </c>
      <c r="R513">
        <v>16807</v>
      </c>
    </row>
    <row r="514" spans="1:18" x14ac:dyDescent="0.25">
      <c r="A514" s="169">
        <v>43433</v>
      </c>
      <c r="B514" s="115">
        <v>46.302222222222198</v>
      </c>
      <c r="C514" s="115">
        <v>45.229629629629599</v>
      </c>
      <c r="D514" s="115">
        <v>45.081481481481497</v>
      </c>
      <c r="E514" s="115">
        <v>45.481481481481502</v>
      </c>
      <c r="F514" s="115">
        <v>763.25</v>
      </c>
      <c r="G514">
        <v>5711</v>
      </c>
      <c r="H514" s="115"/>
      <c r="I514" s="115"/>
      <c r="L514" s="169">
        <v>43433</v>
      </c>
      <c r="M514" s="115">
        <v>45.253333333333302</v>
      </c>
      <c r="N514" s="115">
        <v>46.3851851851852</v>
      </c>
      <c r="O514" s="115">
        <v>45.155555555555601</v>
      </c>
      <c r="P514" s="115">
        <v>45.362962962963003</v>
      </c>
      <c r="Q514" s="115">
        <v>763.65</v>
      </c>
      <c r="R514">
        <v>255337</v>
      </c>
    </row>
    <row r="515" spans="1:18" x14ac:dyDescent="0.25">
      <c r="A515" s="169">
        <v>43434</v>
      </c>
      <c r="B515" s="115">
        <v>46.746666666666698</v>
      </c>
      <c r="C515" s="115">
        <v>46.3525925925926</v>
      </c>
      <c r="D515" s="115">
        <v>45.114074074074097</v>
      </c>
      <c r="E515" s="115">
        <v>45.3333333333333</v>
      </c>
      <c r="F515" s="115">
        <v>782.2</v>
      </c>
      <c r="G515">
        <v>3739</v>
      </c>
      <c r="H515" s="115"/>
      <c r="I515" s="115"/>
      <c r="L515" s="169">
        <v>43434</v>
      </c>
      <c r="M515" s="115">
        <v>45.958518518518503</v>
      </c>
      <c r="N515" s="115">
        <v>46.811851851851898</v>
      </c>
      <c r="O515" s="115">
        <v>45.102222222222203</v>
      </c>
      <c r="P515" s="115">
        <v>45.155555555555601</v>
      </c>
      <c r="Q515" s="115">
        <v>775.55</v>
      </c>
      <c r="R515">
        <v>29502</v>
      </c>
    </row>
    <row r="516" spans="1:18" x14ac:dyDescent="0.25">
      <c r="A516" s="169">
        <v>43437</v>
      </c>
      <c r="B516" s="115">
        <v>46.625185185185202</v>
      </c>
      <c r="C516" s="115">
        <v>46.157037037037</v>
      </c>
      <c r="D516" s="115">
        <v>45.131851851851899</v>
      </c>
      <c r="E516" s="115">
        <v>46.314074074074099</v>
      </c>
      <c r="F516" s="115">
        <v>778.9</v>
      </c>
      <c r="G516">
        <v>10110</v>
      </c>
      <c r="H516" s="115"/>
      <c r="I516" s="115"/>
      <c r="L516" s="169">
        <v>43437</v>
      </c>
      <c r="M516" s="115">
        <v>46.340740740740699</v>
      </c>
      <c r="N516" s="115">
        <v>46.802962962963001</v>
      </c>
      <c r="O516" s="115">
        <v>45.762962962963002</v>
      </c>
      <c r="P516" s="115">
        <v>46.802962962963001</v>
      </c>
      <c r="Q516" s="115">
        <v>782</v>
      </c>
      <c r="R516">
        <v>12571</v>
      </c>
    </row>
    <row r="517" spans="1:18" x14ac:dyDescent="0.25">
      <c r="A517" s="169">
        <v>43438</v>
      </c>
      <c r="B517" s="115">
        <v>47.288888888888899</v>
      </c>
      <c r="C517" s="115">
        <v>46.174814814814802</v>
      </c>
      <c r="D517" s="115">
        <v>45.780740740740697</v>
      </c>
      <c r="E517" s="115">
        <v>47.288888888888899</v>
      </c>
      <c r="F517" s="115">
        <v>779.2</v>
      </c>
      <c r="G517">
        <v>4040</v>
      </c>
      <c r="H517" s="115"/>
      <c r="I517" s="115"/>
      <c r="L517" s="169">
        <v>43438</v>
      </c>
      <c r="M517" s="115">
        <v>45.991111111111103</v>
      </c>
      <c r="N517" s="115">
        <v>47.244444444444397</v>
      </c>
      <c r="O517" s="115">
        <v>45.688888888888897</v>
      </c>
      <c r="P517" s="115">
        <v>46.506666666666703</v>
      </c>
      <c r="Q517" s="115">
        <v>776.1</v>
      </c>
      <c r="R517">
        <v>51830</v>
      </c>
    </row>
    <row r="518" spans="1:18" x14ac:dyDescent="0.25">
      <c r="A518" s="169">
        <v>43439</v>
      </c>
      <c r="B518" s="115">
        <v>46.708148148148098</v>
      </c>
      <c r="C518" s="115">
        <v>46.029629629629603</v>
      </c>
      <c r="D518" s="115">
        <v>45.866666666666703</v>
      </c>
      <c r="E518" s="115">
        <v>46.367407407407399</v>
      </c>
      <c r="F518" s="115">
        <v>776.75</v>
      </c>
      <c r="G518">
        <v>4329</v>
      </c>
      <c r="H518" s="115"/>
      <c r="I518" s="115"/>
      <c r="L518" s="169">
        <v>43439</v>
      </c>
      <c r="M518" s="115">
        <v>46.168888888888901</v>
      </c>
      <c r="N518" s="115">
        <v>46.808888888888902</v>
      </c>
      <c r="O518" s="115">
        <v>45.635555555555598</v>
      </c>
      <c r="P518" s="115">
        <v>45.688888888888897</v>
      </c>
      <c r="Q518" s="115">
        <v>779.1</v>
      </c>
      <c r="R518">
        <v>99634</v>
      </c>
    </row>
    <row r="519" spans="1:18" x14ac:dyDescent="0.25">
      <c r="A519" s="169">
        <v>43440</v>
      </c>
      <c r="B519" s="115">
        <v>45.816296296296301</v>
      </c>
      <c r="C519" s="115">
        <v>45.407407407407398</v>
      </c>
      <c r="D519" s="115">
        <v>44.423703703703701</v>
      </c>
      <c r="E519" s="115">
        <v>45.594074074074101</v>
      </c>
      <c r="F519" s="115">
        <v>766.25</v>
      </c>
      <c r="G519">
        <v>1080</v>
      </c>
      <c r="H519" s="115"/>
      <c r="I519" s="115"/>
      <c r="L519" s="169">
        <v>43440</v>
      </c>
      <c r="M519" s="115">
        <v>45.155555555555601</v>
      </c>
      <c r="N519" s="115">
        <v>46.162962962963</v>
      </c>
      <c r="O519" s="115">
        <v>44.266666666666701</v>
      </c>
      <c r="P519" s="115">
        <v>45.76</v>
      </c>
      <c r="Q519" s="115">
        <v>762</v>
      </c>
      <c r="R519">
        <v>18618</v>
      </c>
    </row>
    <row r="520" spans="1:18" x14ac:dyDescent="0.25">
      <c r="A520" s="169">
        <v>43441</v>
      </c>
      <c r="B520" s="115">
        <v>45.8044444444444</v>
      </c>
      <c r="C520" s="115">
        <v>44.696296296296303</v>
      </c>
      <c r="D520" s="115">
        <v>43.970370370370397</v>
      </c>
      <c r="E520" s="115">
        <v>45.407407407407398</v>
      </c>
      <c r="F520" s="115">
        <v>754.25</v>
      </c>
      <c r="G520">
        <v>2670</v>
      </c>
      <c r="H520" s="115"/>
      <c r="I520" s="115"/>
      <c r="L520" s="169">
        <v>43441</v>
      </c>
      <c r="M520" s="115">
        <v>44.471111111111099</v>
      </c>
      <c r="N520" s="115">
        <v>45.92</v>
      </c>
      <c r="O520" s="115">
        <v>43.854814814814802</v>
      </c>
      <c r="P520" s="115">
        <v>45.92</v>
      </c>
      <c r="Q520" s="115">
        <v>750.45</v>
      </c>
      <c r="R520">
        <v>84448</v>
      </c>
    </row>
    <row r="521" spans="1:18" x14ac:dyDescent="0.25">
      <c r="A521" s="169">
        <v>43444</v>
      </c>
      <c r="B521" s="115">
        <v>44.622222222222199</v>
      </c>
      <c r="C521" s="115">
        <v>43.757037037037001</v>
      </c>
      <c r="D521" s="115">
        <v>42.933333333333302</v>
      </c>
      <c r="E521" s="115">
        <v>43.807407407407403</v>
      </c>
      <c r="F521" s="115">
        <v>738.4</v>
      </c>
      <c r="G521">
        <v>1230</v>
      </c>
      <c r="H521" s="115"/>
      <c r="I521" s="115"/>
      <c r="L521" s="169">
        <v>43444</v>
      </c>
      <c r="M521" s="115">
        <v>43.389629629629603</v>
      </c>
      <c r="N521" s="115">
        <v>44.302222222222198</v>
      </c>
      <c r="O521" s="115">
        <v>42.7911111111111</v>
      </c>
      <c r="P521" s="115">
        <v>43.851851851851897</v>
      </c>
      <c r="Q521" s="115">
        <v>732.2</v>
      </c>
      <c r="R521">
        <v>38096</v>
      </c>
    </row>
    <row r="522" spans="1:18" x14ac:dyDescent="0.25">
      <c r="A522" s="169">
        <v>43445</v>
      </c>
      <c r="B522" s="115">
        <v>45.007407407407399</v>
      </c>
      <c r="C522" s="115">
        <v>43.937777777777796</v>
      </c>
      <c r="D522" s="115">
        <v>42.8888888888889</v>
      </c>
      <c r="E522" s="115">
        <v>43.0518518518519</v>
      </c>
      <c r="F522" s="115">
        <v>741.45</v>
      </c>
      <c r="G522">
        <v>2361</v>
      </c>
      <c r="H522" s="115"/>
      <c r="I522" s="115"/>
      <c r="L522" s="169">
        <v>43445</v>
      </c>
      <c r="M522" s="115">
        <v>43.964444444444403</v>
      </c>
      <c r="N522" s="115">
        <v>45.004444444444403</v>
      </c>
      <c r="O522" s="115">
        <v>42.6666666666667</v>
      </c>
      <c r="P522" s="115">
        <v>43.845925925925897</v>
      </c>
      <c r="Q522" s="115">
        <v>741.9</v>
      </c>
      <c r="R522">
        <v>35921</v>
      </c>
    </row>
    <row r="523" spans="1:18" x14ac:dyDescent="0.25">
      <c r="A523" s="169">
        <v>43446</v>
      </c>
      <c r="B523" s="115">
        <v>44.100740740740697</v>
      </c>
      <c r="C523" s="115">
        <v>43.487407407407403</v>
      </c>
      <c r="D523" s="115">
        <v>43.259259259259302</v>
      </c>
      <c r="E523" s="115">
        <v>43.970370370370397</v>
      </c>
      <c r="F523" s="115">
        <v>733.85</v>
      </c>
      <c r="G523">
        <v>1777</v>
      </c>
      <c r="H523" s="115"/>
      <c r="I523" s="115"/>
      <c r="L523" s="169">
        <v>43446</v>
      </c>
      <c r="M523" s="115">
        <v>43.481481481481502</v>
      </c>
      <c r="N523" s="115">
        <v>44.038518518518501</v>
      </c>
      <c r="O523" s="115">
        <v>43.247407407407401</v>
      </c>
      <c r="P523" s="115">
        <v>43.851851851851897</v>
      </c>
      <c r="Q523" s="115">
        <v>733.75</v>
      </c>
      <c r="R523">
        <v>123328</v>
      </c>
    </row>
    <row r="524" spans="1:18" x14ac:dyDescent="0.25">
      <c r="A524" s="169">
        <v>43447</v>
      </c>
      <c r="B524" s="115">
        <v>43.911111111111097</v>
      </c>
      <c r="C524" s="115">
        <v>43.493333333333297</v>
      </c>
      <c r="D524" s="115">
        <v>42.625185185185202</v>
      </c>
      <c r="E524" s="115">
        <v>43.718518518518501</v>
      </c>
      <c r="F524" s="115">
        <v>733.95</v>
      </c>
      <c r="G524">
        <v>2175</v>
      </c>
      <c r="H524" s="115"/>
      <c r="I524" s="115"/>
      <c r="L524" s="169">
        <v>43447</v>
      </c>
      <c r="M524" s="115">
        <v>43.472592592592598</v>
      </c>
      <c r="N524" s="115">
        <v>43.739259259259299</v>
      </c>
      <c r="O524" s="115">
        <v>42.488888888888901</v>
      </c>
      <c r="P524" s="115">
        <v>43.330370370370403</v>
      </c>
      <c r="Q524" s="115">
        <v>733.6</v>
      </c>
      <c r="R524">
        <v>49897</v>
      </c>
    </row>
    <row r="525" spans="1:18" x14ac:dyDescent="0.25">
      <c r="A525" s="169">
        <v>43448</v>
      </c>
      <c r="B525" s="115">
        <v>43.4903703703704</v>
      </c>
      <c r="C525" s="115">
        <v>42.737777777777801</v>
      </c>
      <c r="D525" s="115">
        <v>40.450370370370401</v>
      </c>
      <c r="E525" s="115">
        <v>43.4903703703704</v>
      </c>
      <c r="F525" s="115">
        <v>721.2</v>
      </c>
      <c r="G525">
        <v>4455</v>
      </c>
      <c r="H525" s="115"/>
      <c r="I525" s="115"/>
      <c r="L525" s="169">
        <v>43448</v>
      </c>
      <c r="M525" s="115">
        <v>42.219259259259303</v>
      </c>
      <c r="N525" s="115">
        <v>43.472592592592598</v>
      </c>
      <c r="O525" s="115">
        <v>40.462222222222202</v>
      </c>
      <c r="P525" s="115">
        <v>43.472592592592598</v>
      </c>
      <c r="Q525" s="115">
        <v>712.45</v>
      </c>
      <c r="R525">
        <v>91441</v>
      </c>
    </row>
    <row r="526" spans="1:18" x14ac:dyDescent="0.25">
      <c r="A526" s="169">
        <v>43451</v>
      </c>
      <c r="B526" s="115">
        <v>42.746666666666698</v>
      </c>
      <c r="C526" s="115">
        <v>41.715555555555603</v>
      </c>
      <c r="D526" s="115">
        <v>40.554074074074101</v>
      </c>
      <c r="E526" s="115">
        <v>42.077037037037002</v>
      </c>
      <c r="F526" s="115">
        <v>703.95</v>
      </c>
      <c r="G526">
        <v>7778</v>
      </c>
      <c r="H526" s="115"/>
      <c r="I526" s="115"/>
      <c r="L526" s="169">
        <v>43451</v>
      </c>
      <c r="M526" s="115">
        <v>41.665185185185202</v>
      </c>
      <c r="N526" s="115">
        <v>42.515555555555601</v>
      </c>
      <c r="O526" s="115">
        <v>41.007407407407399</v>
      </c>
      <c r="P526" s="115">
        <v>42.219259259259303</v>
      </c>
      <c r="Q526" s="115">
        <v>703.1</v>
      </c>
      <c r="R526">
        <v>88633</v>
      </c>
    </row>
    <row r="527" spans="1:18" x14ac:dyDescent="0.25">
      <c r="A527" s="169">
        <v>43452</v>
      </c>
      <c r="B527" s="115">
        <v>42.6666666666667</v>
      </c>
      <c r="C527" s="115">
        <v>41.703703703703702</v>
      </c>
      <c r="D527" s="115">
        <v>41.368888888888897</v>
      </c>
      <c r="E527" s="115">
        <v>41.6</v>
      </c>
      <c r="F527" s="115">
        <v>703.75</v>
      </c>
      <c r="G527">
        <v>3064</v>
      </c>
      <c r="H527" s="115"/>
      <c r="I527" s="115"/>
      <c r="L527" s="169">
        <v>43452</v>
      </c>
      <c r="M527" s="115">
        <v>41.508148148148202</v>
      </c>
      <c r="N527" s="115">
        <v>42.7259259259259</v>
      </c>
      <c r="O527" s="115">
        <v>41.244444444444397</v>
      </c>
      <c r="P527" s="115">
        <v>41.247407407407401</v>
      </c>
      <c r="Q527" s="115">
        <v>700.45</v>
      </c>
      <c r="R527">
        <v>106157</v>
      </c>
    </row>
    <row r="528" spans="1:18" x14ac:dyDescent="0.25">
      <c r="A528" s="169">
        <v>43453</v>
      </c>
      <c r="B528" s="115">
        <v>42.314074074074099</v>
      </c>
      <c r="C528" s="115">
        <v>41.514074074074102</v>
      </c>
      <c r="D528" s="115">
        <v>41.185185185185198</v>
      </c>
      <c r="E528" s="115">
        <v>42.314074074074099</v>
      </c>
      <c r="F528" s="115">
        <v>700.55</v>
      </c>
      <c r="G528">
        <v>3160</v>
      </c>
      <c r="H528" s="115"/>
      <c r="I528" s="115"/>
      <c r="L528" s="169">
        <v>43453</v>
      </c>
      <c r="M528" s="115">
        <v>41.502222222222201</v>
      </c>
      <c r="N528" s="115">
        <v>42.023703703703703</v>
      </c>
      <c r="O528" s="115">
        <v>41.125925925925898</v>
      </c>
      <c r="P528" s="115">
        <v>41.540740740740702</v>
      </c>
      <c r="Q528" s="115">
        <v>700.35</v>
      </c>
      <c r="R528">
        <v>134986</v>
      </c>
    </row>
    <row r="529" spans="1:18" x14ac:dyDescent="0.25">
      <c r="A529" s="169">
        <v>43454</v>
      </c>
      <c r="B529" s="115">
        <v>43.265185185185203</v>
      </c>
      <c r="C529" s="115">
        <v>42.814814814814802</v>
      </c>
      <c r="D529" s="115">
        <v>41.422222222222203</v>
      </c>
      <c r="E529" s="115">
        <v>41.481481481481502</v>
      </c>
      <c r="F529" s="115">
        <v>722.5</v>
      </c>
      <c r="G529">
        <v>2955</v>
      </c>
      <c r="H529" s="115"/>
      <c r="I529" s="115"/>
      <c r="L529" s="169">
        <v>43454</v>
      </c>
      <c r="M529" s="115">
        <v>42.909629629629599</v>
      </c>
      <c r="N529" s="115">
        <v>43.437037037037001</v>
      </c>
      <c r="O529" s="115">
        <v>41.324444444444403</v>
      </c>
      <c r="P529" s="115">
        <v>41.481481481481502</v>
      </c>
      <c r="Q529" s="115">
        <v>724.1</v>
      </c>
      <c r="R529">
        <v>60004</v>
      </c>
    </row>
    <row r="530" spans="1:18" x14ac:dyDescent="0.25">
      <c r="A530" s="169">
        <v>43455</v>
      </c>
      <c r="B530" s="115">
        <v>43.851851851851897</v>
      </c>
      <c r="C530" s="115">
        <v>43.644444444444403</v>
      </c>
      <c r="D530" s="115">
        <v>42.5096296296296</v>
      </c>
      <c r="E530" s="115">
        <v>43.140740740740704</v>
      </c>
      <c r="F530" s="115">
        <v>736.5</v>
      </c>
      <c r="G530">
        <v>2711</v>
      </c>
      <c r="H530" s="115"/>
      <c r="I530" s="115"/>
      <c r="L530" s="169">
        <v>43455</v>
      </c>
      <c r="M530" s="115">
        <v>43.6474074074074</v>
      </c>
      <c r="N530" s="115">
        <v>43.851851851851897</v>
      </c>
      <c r="O530" s="115">
        <v>42.311111111111103</v>
      </c>
      <c r="P530" s="115">
        <v>42.909629629629599</v>
      </c>
      <c r="Q530" s="115">
        <v>736.55</v>
      </c>
      <c r="R530">
        <v>77970</v>
      </c>
    </row>
    <row r="531" spans="1:18" x14ac:dyDescent="0.25">
      <c r="A531" s="169">
        <v>43458</v>
      </c>
      <c r="B531" s="115">
        <v>43.552592592592603</v>
      </c>
      <c r="C531" s="115">
        <v>42.794074074074103</v>
      </c>
      <c r="D531" s="115">
        <v>42.610370370370397</v>
      </c>
      <c r="E531" s="115">
        <v>43.256296296296298</v>
      </c>
      <c r="F531" s="115">
        <v>722.15</v>
      </c>
      <c r="G531">
        <v>1246</v>
      </c>
      <c r="H531" s="115"/>
      <c r="I531" s="115"/>
      <c r="L531" s="169">
        <v>43458</v>
      </c>
      <c r="M531" s="115">
        <v>42.657777777777802</v>
      </c>
      <c r="N531" s="115">
        <v>43.742222222222203</v>
      </c>
      <c r="O531" s="115">
        <v>42.491851851851798</v>
      </c>
      <c r="P531" s="115">
        <v>43.499259259259297</v>
      </c>
      <c r="Q531" s="115">
        <v>719.85</v>
      </c>
      <c r="R531">
        <v>45722</v>
      </c>
    </row>
    <row r="532" spans="1:18" x14ac:dyDescent="0.25">
      <c r="A532" s="169">
        <v>43460</v>
      </c>
      <c r="B532" s="115">
        <v>43.6148148148148</v>
      </c>
      <c r="C532" s="115">
        <v>43.3659259259259</v>
      </c>
      <c r="D532" s="115">
        <v>41.955555555555598</v>
      </c>
      <c r="E532" s="115">
        <v>42.074074074074097</v>
      </c>
      <c r="F532" s="115">
        <v>731.8</v>
      </c>
      <c r="G532">
        <v>2319</v>
      </c>
      <c r="H532" s="115"/>
      <c r="I532" s="115"/>
      <c r="L532" s="169">
        <v>43460</v>
      </c>
      <c r="M532" s="115">
        <v>43.475555555555601</v>
      </c>
      <c r="N532" s="115">
        <v>43.733333333333299</v>
      </c>
      <c r="O532" s="115">
        <v>41.837037037037</v>
      </c>
      <c r="P532" s="115">
        <v>42.654814814814799</v>
      </c>
      <c r="Q532" s="115">
        <v>733.65</v>
      </c>
      <c r="R532">
        <v>31091</v>
      </c>
    </row>
    <row r="533" spans="1:18" x14ac:dyDescent="0.25">
      <c r="A533" s="169">
        <v>43461</v>
      </c>
      <c r="B533" s="115">
        <v>44.3851851851852</v>
      </c>
      <c r="C533" s="115">
        <v>43.697777777777802</v>
      </c>
      <c r="D533" s="115">
        <v>43.472592592592598</v>
      </c>
      <c r="E533" s="115">
        <v>44.109629629629602</v>
      </c>
      <c r="F533" s="115">
        <v>737.4</v>
      </c>
      <c r="G533">
        <v>653</v>
      </c>
      <c r="H533" s="115"/>
      <c r="I533" s="115"/>
      <c r="L533" s="169">
        <v>43461</v>
      </c>
      <c r="M533" s="115">
        <v>43.706666666666699</v>
      </c>
      <c r="N533" s="115">
        <v>44.562962962962999</v>
      </c>
      <c r="O533" s="115">
        <v>43.579259259259302</v>
      </c>
      <c r="P533" s="115">
        <v>43.851851851851897</v>
      </c>
      <c r="Q533" s="115">
        <v>737.55</v>
      </c>
      <c r="R533">
        <v>20469</v>
      </c>
    </row>
    <row r="534" spans="1:18" x14ac:dyDescent="0.25">
      <c r="A534" s="169">
        <v>43462</v>
      </c>
      <c r="B534" s="115">
        <v>45.037037037037003</v>
      </c>
      <c r="C534" s="115">
        <v>44.850370370370399</v>
      </c>
      <c r="D534" s="115">
        <v>44.0977777777778</v>
      </c>
      <c r="E534" s="115">
        <v>44.0977777777778</v>
      </c>
      <c r="F534" s="115">
        <v>756.85</v>
      </c>
      <c r="G534">
        <v>2163</v>
      </c>
      <c r="H534" s="115"/>
      <c r="I534" s="115"/>
      <c r="L534" s="169">
        <v>43462</v>
      </c>
      <c r="M534" s="115">
        <v>44.88</v>
      </c>
      <c r="N534" s="115">
        <v>45.037037037037003</v>
      </c>
      <c r="O534" s="115">
        <v>43.863703703703699</v>
      </c>
      <c r="P534" s="115">
        <v>43.863703703703699</v>
      </c>
      <c r="Q534" s="115">
        <v>757.35</v>
      </c>
      <c r="R534">
        <v>45898</v>
      </c>
    </row>
    <row r="535" spans="1:18" x14ac:dyDescent="0.25">
      <c r="A535" s="169">
        <v>43465</v>
      </c>
      <c r="B535" s="115">
        <v>47.140740740740704</v>
      </c>
      <c r="C535" s="115">
        <v>46.645925925925901</v>
      </c>
      <c r="D535" s="115">
        <v>45.173333333333296</v>
      </c>
      <c r="E535" s="115">
        <v>45.265185185185203</v>
      </c>
      <c r="F535" s="115">
        <v>787.15</v>
      </c>
      <c r="G535">
        <v>4623</v>
      </c>
      <c r="H535" s="115"/>
      <c r="I535" s="115"/>
      <c r="L535" s="169">
        <v>43465</v>
      </c>
      <c r="M535" s="115">
        <v>46.482962962963001</v>
      </c>
      <c r="N535" s="115">
        <v>47.105185185185199</v>
      </c>
      <c r="O535" s="115">
        <v>44.562962962962999</v>
      </c>
      <c r="P535" s="115">
        <v>44.562962962962999</v>
      </c>
      <c r="Q535" s="115">
        <v>784.4</v>
      </c>
      <c r="R535">
        <v>85432</v>
      </c>
    </row>
    <row r="536" spans="1:18" x14ac:dyDescent="0.25">
      <c r="A536" s="169">
        <v>43466</v>
      </c>
      <c r="B536" s="115">
        <v>49.087407407407397</v>
      </c>
      <c r="C536" s="115">
        <v>48.242962962962999</v>
      </c>
      <c r="D536" s="115">
        <v>45.6</v>
      </c>
      <c r="E536" s="115">
        <v>47.057777777777801</v>
      </c>
      <c r="F536" s="115">
        <v>814.1</v>
      </c>
      <c r="G536">
        <v>8207</v>
      </c>
      <c r="H536" s="115"/>
      <c r="I536" s="115"/>
      <c r="L536" s="169">
        <v>43466</v>
      </c>
      <c r="M536" s="115">
        <v>48.311111111111103</v>
      </c>
      <c r="N536" s="115">
        <v>49.125925925925898</v>
      </c>
      <c r="O536" s="115">
        <v>45.5555555555556</v>
      </c>
      <c r="P536" s="115">
        <v>46.814814814814802</v>
      </c>
      <c r="Q536" s="115">
        <v>815.25</v>
      </c>
      <c r="R536">
        <v>70789</v>
      </c>
    </row>
    <row r="537" spans="1:18" x14ac:dyDescent="0.25">
      <c r="A537" s="169">
        <v>43467</v>
      </c>
      <c r="B537" s="115">
        <v>48.474074074074103</v>
      </c>
      <c r="C537" s="115">
        <v>47.016296296296296</v>
      </c>
      <c r="D537" s="115">
        <v>46.7318518518519</v>
      </c>
      <c r="E537" s="115">
        <v>48.474074074074103</v>
      </c>
      <c r="F537" s="115">
        <v>793.4</v>
      </c>
      <c r="G537">
        <v>2948</v>
      </c>
      <c r="H537" s="115"/>
      <c r="I537" s="115"/>
      <c r="L537" s="169">
        <v>43467</v>
      </c>
      <c r="M537" s="115">
        <v>47.1437037037037</v>
      </c>
      <c r="N537" s="115">
        <v>48.471111111111099</v>
      </c>
      <c r="O537" s="115">
        <v>46.829629629629601</v>
      </c>
      <c r="P537" s="115">
        <v>47.706666666666699</v>
      </c>
      <c r="Q537" s="115">
        <v>795.55</v>
      </c>
      <c r="R537">
        <v>33586</v>
      </c>
    </row>
    <row r="538" spans="1:18" x14ac:dyDescent="0.25">
      <c r="A538" s="169">
        <v>43468</v>
      </c>
      <c r="B538" s="115">
        <v>47.928888888888899</v>
      </c>
      <c r="C538" s="115">
        <v>47.629629629629598</v>
      </c>
      <c r="D538" s="115">
        <v>47.197037037036999</v>
      </c>
      <c r="E538" s="115">
        <v>47.715555555555603</v>
      </c>
      <c r="F538" s="115">
        <v>803.75</v>
      </c>
      <c r="G538">
        <v>8014</v>
      </c>
      <c r="H538" s="115"/>
      <c r="I538" s="115"/>
      <c r="L538" s="169">
        <v>43468</v>
      </c>
      <c r="M538" s="115">
        <v>47.44</v>
      </c>
      <c r="N538" s="115">
        <v>47.943703703703697</v>
      </c>
      <c r="O538" s="115">
        <v>47.134814814814803</v>
      </c>
      <c r="P538" s="115">
        <v>47.170370370370399</v>
      </c>
      <c r="Q538" s="115">
        <v>800.55</v>
      </c>
      <c r="R538">
        <v>17777</v>
      </c>
    </row>
    <row r="539" spans="1:18" x14ac:dyDescent="0.25">
      <c r="A539" s="169">
        <v>43469</v>
      </c>
      <c r="B539" s="115">
        <v>48.296296296296298</v>
      </c>
      <c r="C539" s="115">
        <v>47.626666666666701</v>
      </c>
      <c r="D539" s="115">
        <v>46.971851851851902</v>
      </c>
      <c r="E539" s="115">
        <v>46.971851851851902</v>
      </c>
      <c r="F539" s="115">
        <v>803.7</v>
      </c>
      <c r="G539">
        <v>2158</v>
      </c>
      <c r="H539" s="115"/>
      <c r="I539" s="115"/>
      <c r="L539" s="169">
        <v>43469</v>
      </c>
      <c r="M539" s="115">
        <v>47.842962962963</v>
      </c>
      <c r="N539" s="115">
        <v>48.275555555555599</v>
      </c>
      <c r="O539" s="115">
        <v>47.315555555555598</v>
      </c>
      <c r="P539" s="115">
        <v>47.407407407407398</v>
      </c>
      <c r="Q539" s="115">
        <v>807.35</v>
      </c>
      <c r="R539">
        <v>62342</v>
      </c>
    </row>
    <row r="540" spans="1:18" x14ac:dyDescent="0.25">
      <c r="A540" s="169">
        <v>43472</v>
      </c>
      <c r="B540" s="115">
        <v>48.853333333333303</v>
      </c>
      <c r="C540" s="115">
        <v>47.911111111111097</v>
      </c>
      <c r="D540" s="115">
        <v>47.733333333333299</v>
      </c>
      <c r="E540" s="115">
        <v>48</v>
      </c>
      <c r="F540" s="115">
        <v>808.5</v>
      </c>
      <c r="G540">
        <v>2088</v>
      </c>
      <c r="H540" s="115"/>
      <c r="I540" s="115"/>
      <c r="L540" s="169">
        <v>43472</v>
      </c>
      <c r="M540" s="115">
        <v>48.100740740740697</v>
      </c>
      <c r="N540" s="115">
        <v>48.8888888888889</v>
      </c>
      <c r="O540" s="115">
        <v>47.792592592592598</v>
      </c>
      <c r="P540" s="115">
        <v>48.08</v>
      </c>
      <c r="Q540" s="115">
        <v>811.7</v>
      </c>
      <c r="R540">
        <v>309003</v>
      </c>
    </row>
    <row r="541" spans="1:18" x14ac:dyDescent="0.25">
      <c r="A541" s="169">
        <v>43473</v>
      </c>
      <c r="B541" s="115">
        <v>48.592592592592602</v>
      </c>
      <c r="C541" s="115">
        <v>48.177777777777798</v>
      </c>
      <c r="D541" s="115">
        <v>47.522962962963</v>
      </c>
      <c r="E541" s="115">
        <v>47.522962962963</v>
      </c>
      <c r="F541" s="115">
        <v>813</v>
      </c>
      <c r="G541">
        <v>2024</v>
      </c>
      <c r="H541" s="115"/>
      <c r="I541" s="115"/>
      <c r="L541" s="169">
        <v>43473</v>
      </c>
      <c r="M541" s="115">
        <v>48.142222222222202</v>
      </c>
      <c r="N541" s="115">
        <v>48.429629629629602</v>
      </c>
      <c r="O541" s="115">
        <v>47.703703703703702</v>
      </c>
      <c r="P541" s="115">
        <v>48.429629629629602</v>
      </c>
      <c r="Q541" s="115">
        <v>812.4</v>
      </c>
      <c r="R541">
        <v>33101</v>
      </c>
    </row>
    <row r="542" spans="1:18" x14ac:dyDescent="0.25">
      <c r="A542" s="169">
        <v>43474</v>
      </c>
      <c r="B542" s="115">
        <v>48.711111111111101</v>
      </c>
      <c r="C542" s="115">
        <v>48.198518518518497</v>
      </c>
      <c r="D542" s="115">
        <v>47.508148148148202</v>
      </c>
      <c r="E542" s="115">
        <v>48.592592592592602</v>
      </c>
      <c r="F542" s="115">
        <v>813.35</v>
      </c>
      <c r="G542">
        <v>2963</v>
      </c>
      <c r="H542" s="115"/>
      <c r="I542" s="115"/>
      <c r="L542" s="169">
        <v>43474</v>
      </c>
      <c r="M542" s="115">
        <v>48.355555555555597</v>
      </c>
      <c r="N542" s="115">
        <v>48.894814814814801</v>
      </c>
      <c r="O542" s="115">
        <v>48.023703703703703</v>
      </c>
      <c r="P542" s="115">
        <v>48.826666666666704</v>
      </c>
      <c r="Q542" s="115">
        <v>816</v>
      </c>
      <c r="R542">
        <v>94956</v>
      </c>
    </row>
    <row r="543" spans="1:18" x14ac:dyDescent="0.25">
      <c r="A543" s="169">
        <v>43475</v>
      </c>
      <c r="B543" s="115">
        <v>48.8888888888889</v>
      </c>
      <c r="C543" s="115">
        <v>48.482962962963001</v>
      </c>
      <c r="D543" s="115">
        <v>48.157037037037</v>
      </c>
      <c r="E543" s="115">
        <v>48.533333333333303</v>
      </c>
      <c r="F543" s="115">
        <v>818.15</v>
      </c>
      <c r="G543">
        <v>2521</v>
      </c>
      <c r="H543" s="115"/>
      <c r="I543" s="115"/>
      <c r="L543" s="169">
        <v>43475</v>
      </c>
      <c r="M543" s="115">
        <v>48.616296296296298</v>
      </c>
      <c r="N543" s="115">
        <v>49.0192592592593</v>
      </c>
      <c r="O543" s="115">
        <v>48.059259259259299</v>
      </c>
      <c r="P543" s="115">
        <v>48.882962962962999</v>
      </c>
      <c r="Q543" s="115">
        <v>820.4</v>
      </c>
      <c r="R543">
        <v>26598</v>
      </c>
    </row>
    <row r="544" spans="1:18" x14ac:dyDescent="0.25">
      <c r="A544" s="169">
        <v>43476</v>
      </c>
      <c r="B544" s="115">
        <v>48.711111111111101</v>
      </c>
      <c r="C544" s="115">
        <v>48.059259259259299</v>
      </c>
      <c r="D544" s="115">
        <v>47.594074074074101</v>
      </c>
      <c r="E544" s="115">
        <v>48.651851851851902</v>
      </c>
      <c r="F544" s="115">
        <v>811</v>
      </c>
      <c r="G544">
        <v>2466</v>
      </c>
      <c r="H544" s="115"/>
      <c r="I544" s="115"/>
      <c r="L544" s="169">
        <v>43476</v>
      </c>
      <c r="M544" s="115">
        <v>47.899259259259303</v>
      </c>
      <c r="N544" s="115">
        <v>48.752592592592599</v>
      </c>
      <c r="O544" s="115">
        <v>47.703703703703702</v>
      </c>
      <c r="P544" s="115">
        <v>48.548148148148201</v>
      </c>
      <c r="Q544" s="115">
        <v>808.3</v>
      </c>
      <c r="R544">
        <v>14686</v>
      </c>
    </row>
    <row r="545" spans="1:18" x14ac:dyDescent="0.25">
      <c r="A545" s="169">
        <v>43479</v>
      </c>
      <c r="B545" s="115">
        <v>48.779259259259298</v>
      </c>
      <c r="C545" s="115">
        <v>48.408888888888903</v>
      </c>
      <c r="D545" s="115">
        <v>48.115555555555602</v>
      </c>
      <c r="E545" s="115">
        <v>48.115555555555602</v>
      </c>
      <c r="F545" s="115">
        <v>816.9</v>
      </c>
      <c r="G545">
        <v>3539</v>
      </c>
      <c r="H545" s="115"/>
      <c r="I545" s="115"/>
      <c r="L545" s="169">
        <v>43479</v>
      </c>
      <c r="M545" s="115">
        <v>48.562962962962999</v>
      </c>
      <c r="N545" s="115">
        <v>48.761481481481503</v>
      </c>
      <c r="O545" s="115">
        <v>48.118518518518499</v>
      </c>
      <c r="P545" s="115">
        <v>48.577777777777797</v>
      </c>
      <c r="Q545" s="115">
        <v>819.5</v>
      </c>
      <c r="R545">
        <v>128297</v>
      </c>
    </row>
    <row r="546" spans="1:18" x14ac:dyDescent="0.25">
      <c r="A546" s="169">
        <v>43480</v>
      </c>
      <c r="B546" s="115">
        <v>48.8888888888889</v>
      </c>
      <c r="C546" s="115">
        <v>48.589629629629599</v>
      </c>
      <c r="D546" s="115">
        <v>48.183703703703699</v>
      </c>
      <c r="E546" s="115">
        <v>48.388148148148098</v>
      </c>
      <c r="F546" s="115">
        <v>819.95</v>
      </c>
      <c r="G546">
        <v>10186</v>
      </c>
      <c r="H546" s="115"/>
      <c r="I546" s="115"/>
      <c r="L546" s="169">
        <v>43480</v>
      </c>
      <c r="M546" s="115">
        <v>48.882962962962999</v>
      </c>
      <c r="N546" s="115">
        <v>49.125925925925898</v>
      </c>
      <c r="O546" s="115">
        <v>48.118518518518499</v>
      </c>
      <c r="P546" s="115">
        <v>48.118518518518499</v>
      </c>
      <c r="Q546" s="115">
        <v>824.9</v>
      </c>
      <c r="R546">
        <v>43915</v>
      </c>
    </row>
    <row r="547" spans="1:18" x14ac:dyDescent="0.25">
      <c r="A547" s="169">
        <v>43481</v>
      </c>
      <c r="B547" s="115">
        <v>49.007407407407399</v>
      </c>
      <c r="C547" s="115">
        <v>48.868148148148101</v>
      </c>
      <c r="D547" s="115">
        <v>48.447407407407397</v>
      </c>
      <c r="E547" s="115">
        <v>48.592592592592602</v>
      </c>
      <c r="F547" s="115">
        <v>824.65</v>
      </c>
      <c r="G547">
        <v>3021</v>
      </c>
      <c r="H547" s="115"/>
      <c r="I547" s="115"/>
      <c r="L547" s="169">
        <v>43481</v>
      </c>
      <c r="M547" s="115">
        <v>48.802962962963001</v>
      </c>
      <c r="N547" s="115">
        <v>49.137777777777799</v>
      </c>
      <c r="O547" s="115">
        <v>48.64</v>
      </c>
      <c r="P547" s="115">
        <v>48.829629629629601</v>
      </c>
      <c r="Q547" s="115">
        <v>823.55</v>
      </c>
      <c r="R547">
        <v>31311</v>
      </c>
    </row>
    <row r="548" spans="1:18" x14ac:dyDescent="0.25">
      <c r="A548" s="169">
        <v>43482</v>
      </c>
      <c r="B548" s="115">
        <v>49.063703703703702</v>
      </c>
      <c r="C548" s="115">
        <v>48.835555555555601</v>
      </c>
      <c r="D548" s="115">
        <v>48.6014814814815</v>
      </c>
      <c r="E548" s="115">
        <v>48.8888888888889</v>
      </c>
      <c r="F548" s="115">
        <v>824.1</v>
      </c>
      <c r="G548">
        <v>775</v>
      </c>
      <c r="H548" s="115"/>
      <c r="I548" s="115"/>
      <c r="L548" s="169">
        <v>43482</v>
      </c>
      <c r="M548" s="115">
        <v>48.859259259259296</v>
      </c>
      <c r="N548" s="115">
        <v>49.114074074074097</v>
      </c>
      <c r="O548" s="115">
        <v>48.64</v>
      </c>
      <c r="P548" s="115">
        <v>48.64</v>
      </c>
      <c r="Q548" s="115">
        <v>824.5</v>
      </c>
      <c r="R548">
        <v>79653</v>
      </c>
    </row>
    <row r="549" spans="1:18" x14ac:dyDescent="0.25">
      <c r="A549" s="169">
        <v>43483</v>
      </c>
      <c r="B549" s="115">
        <v>49.2088888888889</v>
      </c>
      <c r="C549" s="115">
        <v>48.32</v>
      </c>
      <c r="D549" s="115">
        <v>47.754074074074097</v>
      </c>
      <c r="E549" s="115">
        <v>48.604444444444397</v>
      </c>
      <c r="F549" s="115">
        <v>815.4</v>
      </c>
      <c r="G549">
        <v>1784</v>
      </c>
      <c r="H549" s="115"/>
      <c r="I549" s="115"/>
      <c r="L549" s="169">
        <v>43483</v>
      </c>
      <c r="M549" s="115">
        <v>48.4</v>
      </c>
      <c r="N549" s="115">
        <v>48.977777777777803</v>
      </c>
      <c r="O549" s="115">
        <v>47.76</v>
      </c>
      <c r="P549" s="115">
        <v>48.755555555555603</v>
      </c>
      <c r="Q549" s="115">
        <v>816.75</v>
      </c>
      <c r="R549">
        <v>34244</v>
      </c>
    </row>
    <row r="550" spans="1:18" x14ac:dyDescent="0.25">
      <c r="A550" s="169">
        <v>43486</v>
      </c>
      <c r="B550" s="115">
        <v>48.474074074074103</v>
      </c>
      <c r="C550" s="115">
        <v>47.570370370370398</v>
      </c>
      <c r="D550" s="115">
        <v>47.117037037037001</v>
      </c>
      <c r="E550" s="115">
        <v>48.474074074074103</v>
      </c>
      <c r="F550" s="115">
        <v>802.75</v>
      </c>
      <c r="G550">
        <v>986</v>
      </c>
      <c r="H550" s="115"/>
      <c r="I550" s="115"/>
      <c r="L550" s="169">
        <v>43486</v>
      </c>
      <c r="M550" s="115">
        <v>47.342222222222198</v>
      </c>
      <c r="N550" s="115">
        <v>48.438518518518499</v>
      </c>
      <c r="O550" s="115">
        <v>47.1111111111111</v>
      </c>
      <c r="P550" s="115">
        <v>48.029629629629603</v>
      </c>
      <c r="Q550" s="115">
        <v>798.9</v>
      </c>
      <c r="R550">
        <v>23931</v>
      </c>
    </row>
    <row r="551" spans="1:18" x14ac:dyDescent="0.25">
      <c r="A551" s="169">
        <v>43487</v>
      </c>
      <c r="B551" s="115">
        <v>47.4251851851852</v>
      </c>
      <c r="C551" s="115">
        <v>47.2</v>
      </c>
      <c r="D551" s="115">
        <v>46.874074074074102</v>
      </c>
      <c r="E551" s="115">
        <v>47.4251851851852</v>
      </c>
      <c r="F551" s="115">
        <v>796.5</v>
      </c>
      <c r="G551">
        <v>733</v>
      </c>
      <c r="H551" s="115"/>
      <c r="I551" s="115"/>
      <c r="L551" s="169">
        <v>43487</v>
      </c>
      <c r="M551" s="115">
        <v>47.060740740740698</v>
      </c>
      <c r="N551" s="115">
        <v>47.282962962962998</v>
      </c>
      <c r="O551" s="115">
        <v>46.814814814814802</v>
      </c>
      <c r="P551" s="115">
        <v>47.025185185185201</v>
      </c>
      <c r="Q551" s="115">
        <v>794.15</v>
      </c>
      <c r="R551">
        <v>10666</v>
      </c>
    </row>
    <row r="552" spans="1:18" x14ac:dyDescent="0.25">
      <c r="A552" s="169">
        <v>43488</v>
      </c>
      <c r="B552" s="115">
        <v>47.093333333333298</v>
      </c>
      <c r="C552" s="115">
        <v>46.343703703703703</v>
      </c>
      <c r="D552" s="115">
        <v>45.697777777777802</v>
      </c>
      <c r="E552" s="115">
        <v>46.788148148148103</v>
      </c>
      <c r="F552" s="115">
        <v>782.05</v>
      </c>
      <c r="G552">
        <v>2575</v>
      </c>
      <c r="H552" s="115"/>
      <c r="I552" s="115"/>
      <c r="L552" s="169">
        <v>43488</v>
      </c>
      <c r="M552" s="115">
        <v>46.234074074074101</v>
      </c>
      <c r="N552" s="115">
        <v>46.968888888888898</v>
      </c>
      <c r="O552" s="115">
        <v>45.76</v>
      </c>
      <c r="P552" s="115">
        <v>46.577777777777797</v>
      </c>
      <c r="Q552" s="115">
        <v>780.2</v>
      </c>
      <c r="R552">
        <v>27854</v>
      </c>
    </row>
    <row r="553" spans="1:18" x14ac:dyDescent="0.25">
      <c r="A553" s="169">
        <v>43489</v>
      </c>
      <c r="B553" s="115">
        <v>45.659259259259301</v>
      </c>
      <c r="C553" s="115">
        <v>45.416296296296302</v>
      </c>
      <c r="D553" s="115">
        <v>44.859259259259296</v>
      </c>
      <c r="E553" s="115">
        <v>45.511111111111099</v>
      </c>
      <c r="F553" s="115">
        <v>766.4</v>
      </c>
      <c r="G553">
        <v>1874</v>
      </c>
      <c r="H553" s="115"/>
      <c r="I553" s="115"/>
      <c r="L553" s="169">
        <v>43489</v>
      </c>
      <c r="M553" s="115">
        <v>45.336296296296297</v>
      </c>
      <c r="N553" s="115">
        <v>46.497777777777799</v>
      </c>
      <c r="O553" s="115">
        <v>44.805925925925898</v>
      </c>
      <c r="P553" s="115">
        <v>46.2222222222222</v>
      </c>
      <c r="Q553" s="115">
        <v>765.05</v>
      </c>
      <c r="R553">
        <v>56797</v>
      </c>
    </row>
    <row r="554" spans="1:18" x14ac:dyDescent="0.25">
      <c r="A554" s="169">
        <v>43490</v>
      </c>
      <c r="B554" s="115">
        <v>46.814814814814802</v>
      </c>
      <c r="C554" s="115">
        <v>45.884444444444398</v>
      </c>
      <c r="D554" s="115">
        <v>45.454814814814803</v>
      </c>
      <c r="E554" s="115">
        <v>45.629629629629598</v>
      </c>
      <c r="F554" s="115">
        <v>774.3</v>
      </c>
      <c r="G554">
        <v>1852</v>
      </c>
      <c r="H554" s="115"/>
      <c r="I554" s="115"/>
      <c r="L554" s="169">
        <v>43490</v>
      </c>
      <c r="M554" s="115">
        <v>45.688888888888897</v>
      </c>
      <c r="N554" s="115">
        <v>46.930370370370397</v>
      </c>
      <c r="O554" s="115">
        <v>45.451851851851799</v>
      </c>
      <c r="P554" s="115">
        <v>45.629629629629598</v>
      </c>
      <c r="Q554" s="115">
        <v>771</v>
      </c>
      <c r="R554">
        <v>69268</v>
      </c>
    </row>
    <row r="555" spans="1:18" x14ac:dyDescent="0.25">
      <c r="A555" s="169">
        <v>43493</v>
      </c>
      <c r="B555" s="115">
        <v>46.651851851851902</v>
      </c>
      <c r="C555" s="115">
        <v>45.949629629629598</v>
      </c>
      <c r="D555" s="115">
        <v>45.543703703703699</v>
      </c>
      <c r="E555" s="115">
        <v>45.988148148148099</v>
      </c>
      <c r="F555" s="115">
        <v>775.4</v>
      </c>
      <c r="G555">
        <v>1789</v>
      </c>
      <c r="H555" s="115"/>
      <c r="I555" s="115"/>
      <c r="L555" s="169">
        <v>43493</v>
      </c>
      <c r="M555" s="115">
        <v>46.198518518518497</v>
      </c>
      <c r="N555" s="115">
        <v>46.7911111111111</v>
      </c>
      <c r="O555" s="115">
        <v>45.511111111111099</v>
      </c>
      <c r="P555" s="115">
        <v>45.511111111111099</v>
      </c>
      <c r="Q555" s="115">
        <v>779.6</v>
      </c>
      <c r="R555">
        <v>53006</v>
      </c>
    </row>
    <row r="556" spans="1:18" x14ac:dyDescent="0.25">
      <c r="A556" s="169">
        <v>43494</v>
      </c>
      <c r="B556" s="115">
        <v>47.662222222222198</v>
      </c>
      <c r="C556" s="115">
        <v>46.838518518518498</v>
      </c>
      <c r="D556" s="115">
        <v>46.210370370370399</v>
      </c>
      <c r="E556" s="115">
        <v>46.814814814814802</v>
      </c>
      <c r="F556" s="115">
        <v>790.4</v>
      </c>
      <c r="G556">
        <v>4166</v>
      </c>
      <c r="H556" s="115"/>
      <c r="I556" s="115"/>
      <c r="L556" s="169">
        <v>43494</v>
      </c>
      <c r="M556" s="115">
        <v>46.684444444444402</v>
      </c>
      <c r="N556" s="115">
        <v>47.585185185185203</v>
      </c>
      <c r="O556" s="115">
        <v>45.925925925925903</v>
      </c>
      <c r="P556" s="115">
        <v>45.925925925925903</v>
      </c>
      <c r="Q556" s="115">
        <v>787.8</v>
      </c>
      <c r="R556">
        <v>179415</v>
      </c>
    </row>
    <row r="557" spans="1:18" x14ac:dyDescent="0.25">
      <c r="A557" s="169">
        <v>43495</v>
      </c>
      <c r="B557" s="115">
        <v>48.533333333333303</v>
      </c>
      <c r="C557" s="115">
        <v>48.085925925925899</v>
      </c>
      <c r="D557" s="115">
        <v>46.468148148148103</v>
      </c>
      <c r="E557" s="115">
        <v>46.814814814814802</v>
      </c>
      <c r="F557" s="115">
        <v>811.45</v>
      </c>
      <c r="G557">
        <v>3814</v>
      </c>
      <c r="H557" s="115"/>
      <c r="I557" s="115"/>
      <c r="L557" s="169">
        <v>43495</v>
      </c>
      <c r="M557" s="115">
        <v>47.994074074074099</v>
      </c>
      <c r="N557" s="115">
        <v>48.281481481481499</v>
      </c>
      <c r="O557" s="115">
        <v>46.340740740740699</v>
      </c>
      <c r="P557" s="115">
        <v>46.340740740740699</v>
      </c>
      <c r="Q557" s="115">
        <v>809.9</v>
      </c>
      <c r="R557">
        <v>257475</v>
      </c>
    </row>
    <row r="558" spans="1:18" x14ac:dyDescent="0.25">
      <c r="A558" s="169">
        <v>43496</v>
      </c>
      <c r="B558" s="115">
        <v>49.478518518518499</v>
      </c>
      <c r="C558" s="115">
        <v>48.545185185185197</v>
      </c>
      <c r="D558" s="115">
        <v>48.186666666666703</v>
      </c>
      <c r="E558" s="115">
        <v>48.474074074074103</v>
      </c>
      <c r="F558" s="115">
        <v>819.2</v>
      </c>
      <c r="G558">
        <v>1200</v>
      </c>
      <c r="H558" s="115"/>
      <c r="I558" s="115"/>
      <c r="L558" s="169">
        <v>43496</v>
      </c>
      <c r="M558" s="115">
        <v>48.6340740740741</v>
      </c>
      <c r="N558" s="115">
        <v>49.7777777777778</v>
      </c>
      <c r="O558" s="115">
        <v>48.059259259259299</v>
      </c>
      <c r="P558" s="115">
        <v>48.059259259259299</v>
      </c>
      <c r="Q558" s="115">
        <v>820.7</v>
      </c>
      <c r="R558">
        <v>68461</v>
      </c>
    </row>
    <row r="559" spans="1:18" x14ac:dyDescent="0.25">
      <c r="A559" s="169">
        <v>43497</v>
      </c>
      <c r="B559" s="115">
        <v>50.2548148148148</v>
      </c>
      <c r="C559" s="115">
        <v>49.291851851851902</v>
      </c>
      <c r="D559" s="115">
        <v>47.851851851851897</v>
      </c>
      <c r="E559" s="115">
        <v>49.066666666666698</v>
      </c>
      <c r="F559" s="115">
        <v>831.8</v>
      </c>
      <c r="G559">
        <v>5758</v>
      </c>
      <c r="H559" s="115"/>
      <c r="I559" s="115"/>
      <c r="L559" s="169">
        <v>43497</v>
      </c>
      <c r="M559" s="115">
        <v>49.386666666666699</v>
      </c>
      <c r="N559" s="115">
        <v>50.251851851851903</v>
      </c>
      <c r="O559" s="115">
        <v>48.678518518518501</v>
      </c>
      <c r="P559" s="115">
        <v>48.841481481481502</v>
      </c>
      <c r="Q559" s="115">
        <v>833.4</v>
      </c>
      <c r="R559">
        <v>97615</v>
      </c>
    </row>
    <row r="560" spans="1:18" x14ac:dyDescent="0.25">
      <c r="A560" s="169">
        <v>43500</v>
      </c>
      <c r="B560" s="115">
        <v>49.694814814814798</v>
      </c>
      <c r="C560" s="115">
        <v>47.905185185185204</v>
      </c>
      <c r="D560" s="115">
        <v>47.357037037037003</v>
      </c>
      <c r="E560" s="115">
        <v>49.362962962963003</v>
      </c>
      <c r="F560" s="115">
        <v>808.4</v>
      </c>
      <c r="G560">
        <v>7568</v>
      </c>
      <c r="H560" s="115"/>
      <c r="I560" s="115"/>
      <c r="L560" s="169">
        <v>43500</v>
      </c>
      <c r="M560" s="115">
        <v>47.401481481481497</v>
      </c>
      <c r="N560" s="115">
        <v>49.7777777777778</v>
      </c>
      <c r="O560" s="115">
        <v>47.096296296296302</v>
      </c>
      <c r="P560" s="115">
        <v>49.597037037036998</v>
      </c>
      <c r="Q560" s="115">
        <v>799.9</v>
      </c>
      <c r="R560">
        <v>246571</v>
      </c>
    </row>
    <row r="561" spans="1:18" x14ac:dyDescent="0.25">
      <c r="A561" s="169">
        <v>43501</v>
      </c>
      <c r="B561" s="115">
        <v>48</v>
      </c>
      <c r="C561" s="115">
        <v>47.330370370370403</v>
      </c>
      <c r="D561" s="115">
        <v>46.909629629629599</v>
      </c>
      <c r="E561" s="115">
        <v>47.407407407407398</v>
      </c>
      <c r="F561" s="115">
        <v>798.7</v>
      </c>
      <c r="G561">
        <v>358</v>
      </c>
      <c r="H561" s="115"/>
      <c r="I561" s="115"/>
      <c r="L561" s="169">
        <v>43501</v>
      </c>
      <c r="M561" s="115">
        <v>47.1111111111111</v>
      </c>
      <c r="N561" s="115">
        <v>48</v>
      </c>
      <c r="O561" s="115">
        <v>46.88</v>
      </c>
      <c r="P561" s="115">
        <v>47.641481481481499</v>
      </c>
      <c r="Q561" s="115">
        <v>795</v>
      </c>
      <c r="R561">
        <v>9286</v>
      </c>
    </row>
    <row r="562" spans="1:18" x14ac:dyDescent="0.25">
      <c r="A562" s="169">
        <v>43502</v>
      </c>
      <c r="B562" s="115">
        <v>49.955555555555598</v>
      </c>
      <c r="C562" s="115">
        <v>49.558518518518497</v>
      </c>
      <c r="D562" s="115">
        <v>47.407407407407398</v>
      </c>
      <c r="E562" s="115">
        <v>47.407407407407398</v>
      </c>
      <c r="F562" s="115">
        <v>836.3</v>
      </c>
      <c r="G562">
        <v>3743</v>
      </c>
      <c r="H562" s="115"/>
      <c r="I562" s="115"/>
      <c r="L562" s="169">
        <v>43502</v>
      </c>
      <c r="M562" s="115">
        <v>49.466666666666697</v>
      </c>
      <c r="N562" s="115">
        <v>50.035555555555597</v>
      </c>
      <c r="O562" s="115">
        <v>47.466666666666697</v>
      </c>
      <c r="P562" s="115">
        <v>47.573333333333302</v>
      </c>
      <c r="Q562" s="115">
        <v>834.75</v>
      </c>
      <c r="R562">
        <v>173522</v>
      </c>
    </row>
    <row r="563" spans="1:18" x14ac:dyDescent="0.25">
      <c r="A563" s="169">
        <v>43503</v>
      </c>
      <c r="B563" s="115">
        <v>49.4903703703704</v>
      </c>
      <c r="C563" s="115">
        <v>48.965925925925902</v>
      </c>
      <c r="D563" s="115">
        <v>47.848888888888901</v>
      </c>
      <c r="E563" s="115">
        <v>49.253333333333302</v>
      </c>
      <c r="F563" s="115">
        <v>826.3</v>
      </c>
      <c r="G563">
        <v>6356</v>
      </c>
      <c r="H563" s="115"/>
      <c r="I563" s="115"/>
      <c r="L563" s="169">
        <v>43503</v>
      </c>
      <c r="M563" s="115">
        <v>48.462222222222202</v>
      </c>
      <c r="N563" s="115">
        <v>49.774814814814803</v>
      </c>
      <c r="O563" s="115">
        <v>47.629629629629598</v>
      </c>
      <c r="P563" s="115">
        <v>49.774814814814803</v>
      </c>
      <c r="Q563" s="115">
        <v>817.8</v>
      </c>
      <c r="R563">
        <v>132335</v>
      </c>
    </row>
    <row r="564" spans="1:18" x14ac:dyDescent="0.25">
      <c r="A564" s="169">
        <v>43504</v>
      </c>
      <c r="B564" s="115">
        <v>49.825185185185198</v>
      </c>
      <c r="C564" s="115">
        <v>48.047407407407398</v>
      </c>
      <c r="D564" s="115">
        <v>47.573333333333302</v>
      </c>
      <c r="E564" s="115">
        <v>49.567407407407401</v>
      </c>
      <c r="F564" s="115">
        <v>810.8</v>
      </c>
      <c r="G564">
        <v>4532</v>
      </c>
      <c r="H564" s="115"/>
      <c r="I564" s="115"/>
      <c r="L564" s="169">
        <v>43504</v>
      </c>
      <c r="M564" s="115">
        <v>48.275555555555599</v>
      </c>
      <c r="N564" s="115">
        <v>49.718518518518501</v>
      </c>
      <c r="O564" s="115">
        <v>47.976296296296297</v>
      </c>
      <c r="P564" s="115">
        <v>48.586666666666702</v>
      </c>
      <c r="Q564" s="115">
        <v>814.65</v>
      </c>
      <c r="R564">
        <v>183290</v>
      </c>
    </row>
    <row r="565" spans="1:18" x14ac:dyDescent="0.25">
      <c r="A565" s="169">
        <v>43507</v>
      </c>
      <c r="B565" s="115">
        <v>48</v>
      </c>
      <c r="C565" s="115">
        <v>47.324444444444403</v>
      </c>
      <c r="D565" s="115">
        <v>46.874074074074102</v>
      </c>
      <c r="E565" s="115">
        <v>48</v>
      </c>
      <c r="F565" s="115">
        <v>798.6</v>
      </c>
      <c r="G565">
        <v>3351</v>
      </c>
      <c r="H565" s="115"/>
      <c r="I565" s="115"/>
      <c r="L565" s="169">
        <v>43507</v>
      </c>
      <c r="M565" s="115">
        <v>47.090370370370401</v>
      </c>
      <c r="N565" s="115">
        <v>48.4444444444444</v>
      </c>
      <c r="O565" s="115">
        <v>46.939259259259302</v>
      </c>
      <c r="P565" s="115">
        <v>48.388148148148098</v>
      </c>
      <c r="Q565" s="115">
        <v>794.65</v>
      </c>
      <c r="R565">
        <v>45821</v>
      </c>
    </row>
    <row r="566" spans="1:18" x14ac:dyDescent="0.25">
      <c r="A566" s="169">
        <v>43508</v>
      </c>
      <c r="B566" s="115">
        <v>46.936296296296298</v>
      </c>
      <c r="C566" s="115">
        <v>45.792592592592598</v>
      </c>
      <c r="D566" s="115">
        <v>44.7259259259259</v>
      </c>
      <c r="E566" s="115">
        <v>46.936296296296298</v>
      </c>
      <c r="F566" s="115">
        <v>772.75</v>
      </c>
      <c r="G566">
        <v>3139</v>
      </c>
      <c r="H566" s="115"/>
      <c r="I566" s="115"/>
      <c r="L566" s="169">
        <v>43508</v>
      </c>
      <c r="M566" s="115">
        <v>45.623703703703697</v>
      </c>
      <c r="N566" s="115">
        <v>47.155555555555601</v>
      </c>
      <c r="O566" s="115">
        <v>44.533333333333303</v>
      </c>
      <c r="P566" s="115">
        <v>47.114074074074097</v>
      </c>
      <c r="Q566" s="115">
        <v>769.9</v>
      </c>
      <c r="R566">
        <v>123992</v>
      </c>
    </row>
    <row r="567" spans="1:18" x14ac:dyDescent="0.25">
      <c r="A567" s="169">
        <v>43509</v>
      </c>
      <c r="B567" s="115">
        <v>46.106666666666698</v>
      </c>
      <c r="C567" s="115">
        <v>45.0459259259259</v>
      </c>
      <c r="D567" s="115">
        <v>44.397037037037002</v>
      </c>
      <c r="E567" s="115">
        <v>46.0325925925926</v>
      </c>
      <c r="F567" s="115">
        <v>760.15</v>
      </c>
      <c r="G567">
        <v>2734</v>
      </c>
      <c r="H567" s="115"/>
      <c r="I567" s="115"/>
      <c r="L567" s="169">
        <v>43509</v>
      </c>
      <c r="M567" s="115">
        <v>45.2</v>
      </c>
      <c r="N567" s="115">
        <v>46.331851851851901</v>
      </c>
      <c r="O567" s="115">
        <v>44.625185185185202</v>
      </c>
      <c r="P567" s="115">
        <v>46.0325925925926</v>
      </c>
      <c r="Q567" s="115">
        <v>762.75</v>
      </c>
      <c r="R567">
        <v>58290</v>
      </c>
    </row>
    <row r="568" spans="1:18" x14ac:dyDescent="0.25">
      <c r="A568" s="169">
        <v>43510</v>
      </c>
      <c r="B568" s="115">
        <v>46.165925925925897</v>
      </c>
      <c r="C568" s="115">
        <v>45.733333333333299</v>
      </c>
      <c r="D568" s="115">
        <v>45.155555555555601</v>
      </c>
      <c r="E568" s="115">
        <v>45.155555555555601</v>
      </c>
      <c r="F568" s="115">
        <v>771.75</v>
      </c>
      <c r="G568">
        <v>1300</v>
      </c>
      <c r="H568" s="115"/>
      <c r="I568" s="115"/>
      <c r="L568" s="169">
        <v>43510</v>
      </c>
      <c r="M568" s="115">
        <v>45.754074074074097</v>
      </c>
      <c r="N568" s="115">
        <v>46.2222222222222</v>
      </c>
      <c r="O568" s="115">
        <v>44.817777777777799</v>
      </c>
      <c r="P568" s="115">
        <v>45.3333333333333</v>
      </c>
      <c r="Q568" s="115">
        <v>772.1</v>
      </c>
      <c r="R568">
        <v>53691</v>
      </c>
    </row>
    <row r="569" spans="1:18" x14ac:dyDescent="0.25">
      <c r="A569" s="169">
        <v>43511</v>
      </c>
      <c r="B569" s="115">
        <v>45.570370370370398</v>
      </c>
      <c r="C569" s="115">
        <v>45.303703703703697</v>
      </c>
      <c r="D569" s="115">
        <v>44.145185185185198</v>
      </c>
      <c r="E569" s="115">
        <v>45.570370370370398</v>
      </c>
      <c r="F569" s="115">
        <v>764.5</v>
      </c>
      <c r="G569">
        <v>5737</v>
      </c>
      <c r="H569" s="115"/>
      <c r="I569" s="115"/>
      <c r="L569" s="169">
        <v>43511</v>
      </c>
      <c r="M569" s="115">
        <v>44.906666666666702</v>
      </c>
      <c r="N569" s="115">
        <v>45.801481481481503</v>
      </c>
      <c r="O569" s="115">
        <v>43.558518518518497</v>
      </c>
      <c r="P569" s="115">
        <v>45.801481481481503</v>
      </c>
      <c r="Q569" s="115">
        <v>757.8</v>
      </c>
      <c r="R569">
        <v>95691</v>
      </c>
    </row>
    <row r="570" spans="1:18" x14ac:dyDescent="0.25">
      <c r="A570" s="169">
        <v>43514</v>
      </c>
      <c r="B570" s="115">
        <v>47.395555555555603</v>
      </c>
      <c r="C570" s="115">
        <v>45.819259259259297</v>
      </c>
      <c r="D570" s="115">
        <v>45.3333333333333</v>
      </c>
      <c r="E570" s="115">
        <v>45.3333333333333</v>
      </c>
      <c r="F570" s="115">
        <v>773.2</v>
      </c>
      <c r="G570">
        <v>5231</v>
      </c>
      <c r="H570" s="115"/>
      <c r="I570" s="115"/>
      <c r="L570" s="169">
        <v>43514</v>
      </c>
      <c r="M570" s="115">
        <v>45.665185185185202</v>
      </c>
      <c r="N570" s="115">
        <v>47.585185185185203</v>
      </c>
      <c r="O570" s="115">
        <v>44.696296296296303</v>
      </c>
      <c r="P570" s="115">
        <v>44.696296296296303</v>
      </c>
      <c r="Q570" s="115">
        <v>770.6</v>
      </c>
      <c r="R570">
        <v>152731</v>
      </c>
    </row>
    <row r="571" spans="1:18" x14ac:dyDescent="0.25">
      <c r="A571" s="169">
        <v>43515</v>
      </c>
      <c r="B571" s="115">
        <v>47.528888888888901</v>
      </c>
      <c r="C571" s="115">
        <v>46.622222222222199</v>
      </c>
      <c r="D571" s="115">
        <v>46.459259259259298</v>
      </c>
      <c r="E571" s="115">
        <v>47.0518518518519</v>
      </c>
      <c r="F571" s="115">
        <v>786.75</v>
      </c>
      <c r="G571">
        <v>7595</v>
      </c>
      <c r="H571" s="115"/>
      <c r="I571" s="115"/>
      <c r="L571" s="169">
        <v>43515</v>
      </c>
      <c r="M571" s="115">
        <v>46.497777777777799</v>
      </c>
      <c r="N571" s="115">
        <v>47.703703703703702</v>
      </c>
      <c r="O571" s="115">
        <v>46.2222222222222</v>
      </c>
      <c r="P571" s="115">
        <v>46.2222222222222</v>
      </c>
      <c r="Q571" s="115">
        <v>784.65</v>
      </c>
      <c r="R571">
        <v>84693</v>
      </c>
    </row>
    <row r="572" spans="1:18" x14ac:dyDescent="0.25">
      <c r="A572" s="169">
        <v>43516</v>
      </c>
      <c r="B572" s="115">
        <v>47.205925925925897</v>
      </c>
      <c r="C572" s="115">
        <v>46.438518518518499</v>
      </c>
      <c r="D572" s="115">
        <v>45.757037037037001</v>
      </c>
      <c r="E572" s="115">
        <v>46.637037037036997</v>
      </c>
      <c r="F572" s="115">
        <v>783.65</v>
      </c>
      <c r="G572">
        <v>15214</v>
      </c>
      <c r="H572" s="115"/>
      <c r="I572" s="115"/>
      <c r="L572" s="169">
        <v>43516</v>
      </c>
      <c r="M572" s="115">
        <v>46.604444444444397</v>
      </c>
      <c r="N572" s="115">
        <v>47.152592592592597</v>
      </c>
      <c r="O572" s="115">
        <v>45.629629629629598</v>
      </c>
      <c r="P572" s="115">
        <v>46.814814814814802</v>
      </c>
      <c r="Q572" s="115">
        <v>786.45</v>
      </c>
      <c r="R572">
        <v>185649</v>
      </c>
    </row>
    <row r="573" spans="1:18" x14ac:dyDescent="0.25">
      <c r="A573" s="169">
        <v>43517</v>
      </c>
      <c r="B573" s="115">
        <v>48.118518518518499</v>
      </c>
      <c r="C573" s="115">
        <v>47.780740740740697</v>
      </c>
      <c r="D573" s="115">
        <v>46.340740740740699</v>
      </c>
      <c r="E573" s="115">
        <v>46.696296296296303</v>
      </c>
      <c r="F573" s="115">
        <v>806.3</v>
      </c>
      <c r="G573">
        <v>6294</v>
      </c>
      <c r="H573" s="115"/>
      <c r="I573" s="115"/>
      <c r="L573" s="169">
        <v>43517</v>
      </c>
      <c r="M573" s="115">
        <v>47.842962962963</v>
      </c>
      <c r="N573" s="115">
        <v>48.118518518518499</v>
      </c>
      <c r="O573" s="115">
        <v>46.251851851851903</v>
      </c>
      <c r="P573" s="115">
        <v>46.548148148148201</v>
      </c>
      <c r="Q573" s="115">
        <v>807.35</v>
      </c>
      <c r="R573">
        <v>173768</v>
      </c>
    </row>
    <row r="574" spans="1:18" x14ac:dyDescent="0.25">
      <c r="A574" s="169">
        <v>43518</v>
      </c>
      <c r="B574" s="115">
        <v>48.533333333333303</v>
      </c>
      <c r="C574" s="115">
        <v>47.505185185185198</v>
      </c>
      <c r="D574" s="115">
        <v>47.282962962962998</v>
      </c>
      <c r="E574" s="115">
        <v>47.783703703703701</v>
      </c>
      <c r="F574" s="115">
        <v>801.65</v>
      </c>
      <c r="G574">
        <v>4742</v>
      </c>
      <c r="H574" s="115"/>
      <c r="I574" s="115"/>
      <c r="L574" s="169">
        <v>43518</v>
      </c>
      <c r="M574" s="115">
        <v>47.164444444444399</v>
      </c>
      <c r="N574" s="115">
        <v>48.237037037036998</v>
      </c>
      <c r="O574" s="115">
        <v>46.998518518518502</v>
      </c>
      <c r="P574" s="115">
        <v>48.237037037036998</v>
      </c>
      <c r="Q574" s="115">
        <v>795.9</v>
      </c>
      <c r="R574">
        <v>26671</v>
      </c>
    </row>
    <row r="575" spans="1:18" x14ac:dyDescent="0.25">
      <c r="A575" s="169">
        <v>43521</v>
      </c>
      <c r="B575" s="115">
        <v>47.108148148148203</v>
      </c>
      <c r="C575" s="115">
        <v>46.945185185185203</v>
      </c>
      <c r="D575" s="115">
        <v>45.9348148148148</v>
      </c>
      <c r="E575" s="115">
        <v>46.835555555555601</v>
      </c>
      <c r="F575" s="115">
        <v>792.2</v>
      </c>
      <c r="G575">
        <v>1086</v>
      </c>
      <c r="H575" s="115"/>
      <c r="I575" s="115"/>
      <c r="L575" s="169">
        <v>43521</v>
      </c>
      <c r="M575" s="115">
        <v>46.808888888888902</v>
      </c>
      <c r="N575" s="115">
        <v>47.3985185185185</v>
      </c>
      <c r="O575" s="115">
        <v>45.866666666666703</v>
      </c>
      <c r="P575" s="115">
        <v>47.3985185185185</v>
      </c>
      <c r="Q575" s="115">
        <v>789.9</v>
      </c>
      <c r="R575">
        <v>46181</v>
      </c>
    </row>
    <row r="576" spans="1:18" x14ac:dyDescent="0.25">
      <c r="A576" s="169">
        <v>43522</v>
      </c>
      <c r="B576" s="115">
        <v>47.608888888888899</v>
      </c>
      <c r="C576" s="115">
        <v>47.321481481481499</v>
      </c>
      <c r="D576" s="115">
        <v>46.311111111111103</v>
      </c>
      <c r="E576" s="115">
        <v>46.405925925925899</v>
      </c>
      <c r="F576" s="115">
        <v>798.55</v>
      </c>
      <c r="G576">
        <v>4426</v>
      </c>
      <c r="H576" s="115"/>
      <c r="I576" s="115"/>
      <c r="L576" s="169">
        <v>43522</v>
      </c>
      <c r="M576" s="115">
        <v>47.416296296296302</v>
      </c>
      <c r="N576" s="115">
        <v>47.5881481481481</v>
      </c>
      <c r="O576" s="115">
        <v>46.085925925925899</v>
      </c>
      <c r="P576" s="115">
        <v>46.696296296296303</v>
      </c>
      <c r="Q576" s="115">
        <v>800.15</v>
      </c>
      <c r="R576">
        <v>62178</v>
      </c>
    </row>
    <row r="577" spans="1:18" x14ac:dyDescent="0.25">
      <c r="A577" s="169">
        <v>43523</v>
      </c>
      <c r="B577" s="115">
        <v>47.6</v>
      </c>
      <c r="C577" s="115">
        <v>46.992592592592601</v>
      </c>
      <c r="D577" s="115">
        <v>45.514074074074102</v>
      </c>
      <c r="E577" s="115">
        <v>47.312592592592601</v>
      </c>
      <c r="F577" s="115">
        <v>793</v>
      </c>
      <c r="G577">
        <v>3871</v>
      </c>
      <c r="H577" s="115"/>
      <c r="I577" s="115"/>
      <c r="L577" s="169">
        <v>43523</v>
      </c>
      <c r="M577" s="115">
        <v>47.205925925925897</v>
      </c>
      <c r="N577" s="115">
        <v>47.905185185185204</v>
      </c>
      <c r="O577" s="115">
        <v>45.351111111111102</v>
      </c>
      <c r="P577" s="115">
        <v>47.905185185185204</v>
      </c>
      <c r="Q577" s="115">
        <v>796.6</v>
      </c>
      <c r="R577">
        <v>88393</v>
      </c>
    </row>
    <row r="578" spans="1:18" x14ac:dyDescent="0.25">
      <c r="A578" s="169">
        <v>43524</v>
      </c>
      <c r="B578" s="115">
        <v>47.914074074074101</v>
      </c>
      <c r="C578" s="115">
        <v>47.656296296296297</v>
      </c>
      <c r="D578" s="115">
        <v>46.933333333333302</v>
      </c>
      <c r="E578" s="115">
        <v>46.957037037036997</v>
      </c>
      <c r="F578" s="115">
        <v>804.2</v>
      </c>
      <c r="G578">
        <v>3655</v>
      </c>
      <c r="H578" s="115"/>
      <c r="I578" s="115"/>
      <c r="L578" s="169">
        <v>43524</v>
      </c>
      <c r="M578" s="115">
        <v>47.946666666666701</v>
      </c>
      <c r="N578" s="115">
        <v>48.059259259259299</v>
      </c>
      <c r="O578" s="115">
        <v>46.3466666666667</v>
      </c>
      <c r="P578" s="115">
        <v>47.277037037036997</v>
      </c>
      <c r="Q578" s="115">
        <v>809.1</v>
      </c>
      <c r="R578">
        <v>78843</v>
      </c>
    </row>
    <row r="579" spans="1:18" x14ac:dyDescent="0.25">
      <c r="A579" s="169">
        <v>43525</v>
      </c>
      <c r="B579" s="115">
        <v>48.192592592592597</v>
      </c>
      <c r="C579" s="115">
        <v>48.029629629629603</v>
      </c>
      <c r="D579" s="115">
        <v>47.487407407407403</v>
      </c>
      <c r="E579" s="115">
        <v>47.487407407407403</v>
      </c>
      <c r="F579" s="115">
        <v>810.5</v>
      </c>
      <c r="G579">
        <v>707</v>
      </c>
      <c r="H579" s="115"/>
      <c r="I579" s="115"/>
      <c r="L579" s="169">
        <v>43525</v>
      </c>
      <c r="M579" s="115">
        <v>48.008888888888897</v>
      </c>
      <c r="N579" s="115">
        <v>48.074074074074097</v>
      </c>
      <c r="O579" s="115">
        <v>47.552592592592603</v>
      </c>
      <c r="P579" s="115">
        <v>48</v>
      </c>
      <c r="Q579" s="115">
        <v>810.15</v>
      </c>
      <c r="R579">
        <v>41745</v>
      </c>
    </row>
    <row r="580" spans="1:18" x14ac:dyDescent="0.25">
      <c r="A580" s="169">
        <v>43529</v>
      </c>
      <c r="B580" s="115">
        <v>48.817777777777799</v>
      </c>
      <c r="C580" s="115">
        <v>48.628148148148099</v>
      </c>
      <c r="D580" s="115">
        <v>47.395555555555603</v>
      </c>
      <c r="E580" s="115">
        <v>47.410370370370401</v>
      </c>
      <c r="F580" s="115">
        <v>820.6</v>
      </c>
      <c r="G580">
        <v>2230</v>
      </c>
      <c r="H580" s="115"/>
      <c r="I580" s="115"/>
      <c r="L580" s="169">
        <v>43529</v>
      </c>
      <c r="M580" s="115">
        <v>48.580740740740701</v>
      </c>
      <c r="N580" s="115">
        <v>48.829629629629601</v>
      </c>
      <c r="O580" s="115">
        <v>47.656296296296297</v>
      </c>
      <c r="P580" s="115">
        <v>47.656296296296297</v>
      </c>
      <c r="Q580" s="115">
        <v>819.8</v>
      </c>
      <c r="R580">
        <v>240850</v>
      </c>
    </row>
    <row r="581" spans="1:18" x14ac:dyDescent="0.25">
      <c r="A581" s="169">
        <v>43530</v>
      </c>
      <c r="B581" s="115">
        <v>49.066666666666698</v>
      </c>
      <c r="C581" s="115">
        <v>48.687407407407399</v>
      </c>
      <c r="D581" s="115">
        <v>48.100740740740697</v>
      </c>
      <c r="E581" s="115">
        <v>48.8888888888889</v>
      </c>
      <c r="F581" s="115">
        <v>821.6</v>
      </c>
      <c r="G581">
        <v>843</v>
      </c>
      <c r="H581" s="115"/>
      <c r="I581" s="115"/>
      <c r="L581" s="169">
        <v>43530</v>
      </c>
      <c r="M581" s="115">
        <v>48.592592592592602</v>
      </c>
      <c r="N581" s="115">
        <v>48.826666666666704</v>
      </c>
      <c r="O581" s="115">
        <v>48.059259259259299</v>
      </c>
      <c r="P581" s="115">
        <v>48.826666666666704</v>
      </c>
      <c r="Q581" s="115">
        <v>820</v>
      </c>
      <c r="R581">
        <v>588558</v>
      </c>
    </row>
    <row r="582" spans="1:18" x14ac:dyDescent="0.25">
      <c r="A582" s="169">
        <v>43531</v>
      </c>
      <c r="B582" s="115">
        <v>48.616296296296298</v>
      </c>
      <c r="C582" s="115">
        <v>48.139259259259298</v>
      </c>
      <c r="D582" s="115">
        <v>48</v>
      </c>
      <c r="E582" s="115">
        <v>48.269629629629598</v>
      </c>
      <c r="F582" s="115">
        <v>812.35</v>
      </c>
      <c r="G582">
        <v>2768</v>
      </c>
      <c r="H582" s="115"/>
      <c r="I582" s="115"/>
      <c r="L582" s="169">
        <v>43531</v>
      </c>
      <c r="M582" s="115">
        <v>48.284444444444397</v>
      </c>
      <c r="N582" s="115">
        <v>48.642962962962997</v>
      </c>
      <c r="O582" s="115">
        <v>47.887407407407402</v>
      </c>
      <c r="P582" s="115">
        <v>48.474074074074103</v>
      </c>
      <c r="Q582" s="115">
        <v>814.8</v>
      </c>
      <c r="R582">
        <v>385710</v>
      </c>
    </row>
    <row r="583" spans="1:18" x14ac:dyDescent="0.25">
      <c r="A583" s="169">
        <v>43532</v>
      </c>
      <c r="B583" s="115">
        <v>48.491851851851798</v>
      </c>
      <c r="C583" s="115">
        <v>47.537777777777798</v>
      </c>
      <c r="D583" s="115">
        <v>47.422222222222203</v>
      </c>
      <c r="E583" s="115">
        <v>47.8103703703704</v>
      </c>
      <c r="F583" s="115">
        <v>802.2</v>
      </c>
      <c r="G583">
        <v>1235</v>
      </c>
      <c r="H583" s="115"/>
      <c r="I583" s="115"/>
      <c r="L583" s="169">
        <v>43532</v>
      </c>
      <c r="M583" s="115">
        <v>47.795555555555602</v>
      </c>
      <c r="N583" s="115">
        <v>48.530370370370399</v>
      </c>
      <c r="O583" s="115">
        <v>47.644444444444403</v>
      </c>
      <c r="P583" s="115">
        <v>48</v>
      </c>
      <c r="Q583" s="115">
        <v>806.55</v>
      </c>
      <c r="R583">
        <v>21635</v>
      </c>
    </row>
    <row r="584" spans="1:18" x14ac:dyDescent="0.25">
      <c r="A584" s="169">
        <v>43535</v>
      </c>
      <c r="B584" s="115">
        <v>48.2222222222222</v>
      </c>
      <c r="C584" s="115">
        <v>48.0325925925926</v>
      </c>
      <c r="D584" s="115">
        <v>47.762962962963002</v>
      </c>
      <c r="E584" s="115">
        <v>47.762962962963002</v>
      </c>
      <c r="F584" s="115">
        <v>810.55</v>
      </c>
      <c r="G584">
        <v>1163</v>
      </c>
      <c r="H584" s="115"/>
      <c r="I584" s="115"/>
      <c r="L584" s="169">
        <v>43535</v>
      </c>
      <c r="M584" s="115">
        <v>48.2222222222222</v>
      </c>
      <c r="N584" s="115">
        <v>48.4</v>
      </c>
      <c r="O584" s="115">
        <v>47.8755555555556</v>
      </c>
      <c r="P584" s="115">
        <v>48.231111111111098</v>
      </c>
      <c r="Q584" s="115">
        <v>813.75</v>
      </c>
      <c r="R584">
        <v>27159</v>
      </c>
    </row>
    <row r="585" spans="1:18" x14ac:dyDescent="0.25">
      <c r="A585" s="169">
        <v>43536</v>
      </c>
      <c r="B585" s="115">
        <v>48.906666666666702</v>
      </c>
      <c r="C585" s="115">
        <v>48.328888888888898</v>
      </c>
      <c r="D585" s="115">
        <v>48.059259259259299</v>
      </c>
      <c r="E585" s="115">
        <v>48.456296296296301</v>
      </c>
      <c r="F585" s="115">
        <v>815.55</v>
      </c>
      <c r="G585">
        <v>4883</v>
      </c>
      <c r="H585" s="115"/>
      <c r="I585" s="115"/>
      <c r="L585" s="169">
        <v>43536</v>
      </c>
      <c r="M585" s="115">
        <v>48.518518518518498</v>
      </c>
      <c r="N585" s="115">
        <v>48.906666666666702</v>
      </c>
      <c r="O585" s="115">
        <v>48.168888888888901</v>
      </c>
      <c r="P585" s="115">
        <v>48.177777777777798</v>
      </c>
      <c r="Q585" s="115">
        <v>818.75</v>
      </c>
      <c r="R585">
        <v>109168</v>
      </c>
    </row>
    <row r="586" spans="1:18" x14ac:dyDescent="0.25">
      <c r="A586" s="169">
        <v>43537</v>
      </c>
      <c r="B586" s="115">
        <v>48.328888888888898</v>
      </c>
      <c r="C586" s="115">
        <v>48.198518518518497</v>
      </c>
      <c r="D586" s="115">
        <v>47.848888888888901</v>
      </c>
      <c r="E586" s="115">
        <v>48.328888888888898</v>
      </c>
      <c r="F586" s="115">
        <v>813.35</v>
      </c>
      <c r="G586">
        <v>336</v>
      </c>
      <c r="H586" s="115"/>
      <c r="I586" s="115"/>
      <c r="L586" s="169">
        <v>43537</v>
      </c>
      <c r="M586" s="115">
        <v>48.109629629629602</v>
      </c>
      <c r="N586" s="115">
        <v>48.518518518518498</v>
      </c>
      <c r="O586" s="115">
        <v>47.822222222222202</v>
      </c>
      <c r="P586" s="115">
        <v>48.518518518518498</v>
      </c>
      <c r="Q586" s="115">
        <v>811.85</v>
      </c>
      <c r="R586">
        <v>168387</v>
      </c>
    </row>
    <row r="587" spans="1:18" x14ac:dyDescent="0.25">
      <c r="A587" s="169">
        <v>43538</v>
      </c>
      <c r="B587" s="115">
        <v>48.755555555555603</v>
      </c>
      <c r="C587" s="115">
        <v>48.340740740740699</v>
      </c>
      <c r="D587" s="115">
        <v>47.709629629629603</v>
      </c>
      <c r="E587" s="115">
        <v>48.755555555555603</v>
      </c>
      <c r="F587" s="115">
        <v>815.75</v>
      </c>
      <c r="G587">
        <v>3163</v>
      </c>
      <c r="H587" s="115"/>
      <c r="I587" s="115"/>
      <c r="L587" s="169">
        <v>43538</v>
      </c>
      <c r="M587" s="115">
        <v>48.0651851851852</v>
      </c>
      <c r="N587" s="115">
        <v>48.874074074074102</v>
      </c>
      <c r="O587" s="115">
        <v>47.685925925925901</v>
      </c>
      <c r="P587" s="115">
        <v>48.533333333333303</v>
      </c>
      <c r="Q587" s="115">
        <v>811.1</v>
      </c>
      <c r="R587">
        <v>166420</v>
      </c>
    </row>
    <row r="588" spans="1:18" x14ac:dyDescent="0.25">
      <c r="A588" s="169">
        <v>43539</v>
      </c>
      <c r="B588" s="115">
        <v>49.155555555555601</v>
      </c>
      <c r="C588" s="115">
        <v>48.672592592592601</v>
      </c>
      <c r="D588" s="115">
        <v>48.242962962962999</v>
      </c>
      <c r="E588" s="115">
        <v>48.939259259259302</v>
      </c>
      <c r="F588" s="115">
        <v>821.35</v>
      </c>
      <c r="G588">
        <v>4341</v>
      </c>
      <c r="H588" s="115"/>
      <c r="I588" s="115"/>
      <c r="L588" s="169">
        <v>43539</v>
      </c>
      <c r="M588" s="115">
        <v>48.8</v>
      </c>
      <c r="N588" s="115">
        <v>49.188148148148102</v>
      </c>
      <c r="O588" s="115">
        <v>48.177777777777798</v>
      </c>
      <c r="P588" s="115">
        <v>48.651851851851902</v>
      </c>
      <c r="Q588" s="115">
        <v>823.5</v>
      </c>
      <c r="R588">
        <v>313002</v>
      </c>
    </row>
    <row r="589" spans="1:18" x14ac:dyDescent="0.25">
      <c r="A589" s="169">
        <v>43542</v>
      </c>
      <c r="B589" s="115">
        <v>49.007407407407399</v>
      </c>
      <c r="C589" s="115">
        <v>48.3851851851852</v>
      </c>
      <c r="D589" s="115">
        <v>48.1896296296296</v>
      </c>
      <c r="E589" s="115">
        <v>48.974814814814799</v>
      </c>
      <c r="F589" s="115">
        <v>816.5</v>
      </c>
      <c r="G589">
        <v>836</v>
      </c>
      <c r="H589" s="115"/>
      <c r="I589" s="115"/>
      <c r="L589" s="169">
        <v>43542</v>
      </c>
      <c r="M589" s="115">
        <v>48.145185185185198</v>
      </c>
      <c r="N589" s="115">
        <v>49.179259259259297</v>
      </c>
      <c r="O589" s="115">
        <v>48.035555555555597</v>
      </c>
      <c r="P589" s="115">
        <v>49.179259259259297</v>
      </c>
      <c r="Q589" s="115">
        <v>812.45</v>
      </c>
      <c r="R589">
        <v>30441</v>
      </c>
    </row>
    <row r="590" spans="1:18" x14ac:dyDescent="0.25">
      <c r="A590" s="169">
        <v>43543</v>
      </c>
      <c r="B590" s="115">
        <v>48.844444444444399</v>
      </c>
      <c r="C590" s="115">
        <v>48.491851851851798</v>
      </c>
      <c r="D590" s="115">
        <v>48.272592592592602</v>
      </c>
      <c r="E590" s="115">
        <v>48.5748148148148</v>
      </c>
      <c r="F590" s="115">
        <v>818.3</v>
      </c>
      <c r="G590">
        <v>3212</v>
      </c>
      <c r="H590" s="115"/>
      <c r="I590" s="115"/>
      <c r="L590" s="169">
        <v>43543</v>
      </c>
      <c r="M590" s="115">
        <v>48.477037037037</v>
      </c>
      <c r="N590" s="115">
        <v>48.871111111111098</v>
      </c>
      <c r="O590" s="115">
        <v>48.100740740740697</v>
      </c>
      <c r="P590" s="115">
        <v>48.533333333333303</v>
      </c>
      <c r="Q590" s="115">
        <v>818.05</v>
      </c>
      <c r="R590">
        <v>141147</v>
      </c>
    </row>
    <row r="591" spans="1:18" x14ac:dyDescent="0.25">
      <c r="A591" s="169">
        <v>43544</v>
      </c>
      <c r="B591" s="115">
        <v>48.711111111111101</v>
      </c>
      <c r="C591" s="115">
        <v>48.580740740740701</v>
      </c>
      <c r="D591" s="115">
        <v>48.162962962963</v>
      </c>
      <c r="E591" s="115">
        <v>48.545185185185197</v>
      </c>
      <c r="F591" s="115">
        <v>819.8</v>
      </c>
      <c r="G591">
        <v>1610</v>
      </c>
      <c r="H591" s="115"/>
      <c r="I591" s="115"/>
      <c r="L591" s="169">
        <v>43544</v>
      </c>
      <c r="M591" s="115">
        <v>48.562962962962999</v>
      </c>
      <c r="N591" s="115">
        <v>48.711111111111101</v>
      </c>
      <c r="O591" s="115">
        <v>48.059259259259299</v>
      </c>
      <c r="P591" s="115">
        <v>48.296296296296298</v>
      </c>
      <c r="Q591" s="115">
        <v>819.5</v>
      </c>
      <c r="R591">
        <v>24880</v>
      </c>
    </row>
    <row r="592" spans="1:18" x14ac:dyDescent="0.25">
      <c r="A592" s="169">
        <v>43546</v>
      </c>
      <c r="B592" s="115">
        <v>48.711111111111101</v>
      </c>
      <c r="C592" s="115">
        <v>47.9674074074074</v>
      </c>
      <c r="D592" s="115">
        <v>47.703703703703702</v>
      </c>
      <c r="E592" s="115">
        <v>48.592592592592602</v>
      </c>
      <c r="F592" s="115">
        <v>809.45</v>
      </c>
      <c r="G592">
        <v>2216</v>
      </c>
      <c r="H592" s="115"/>
      <c r="I592" s="115"/>
      <c r="L592" s="169">
        <v>43546</v>
      </c>
      <c r="M592" s="115">
        <v>48.041481481481497</v>
      </c>
      <c r="N592" s="115">
        <v>48.8888888888889</v>
      </c>
      <c r="O592" s="115">
        <v>47.564444444444398</v>
      </c>
      <c r="P592" s="115">
        <v>48.859259259259296</v>
      </c>
      <c r="Q592" s="115">
        <v>810.7</v>
      </c>
      <c r="R592">
        <v>39229</v>
      </c>
    </row>
    <row r="593" spans="1:18" x14ac:dyDescent="0.25">
      <c r="A593" s="169">
        <v>43549</v>
      </c>
      <c r="B593" s="115">
        <v>48.577777777777797</v>
      </c>
      <c r="C593" s="115">
        <v>47.650370370370403</v>
      </c>
      <c r="D593" s="115">
        <v>46.820740740740703</v>
      </c>
      <c r="E593" s="115">
        <v>47.733333333333299</v>
      </c>
      <c r="F593" s="115">
        <v>804.1</v>
      </c>
      <c r="G593">
        <v>797161</v>
      </c>
      <c r="H593" s="115"/>
      <c r="I593" s="115"/>
      <c r="L593" s="169">
        <v>43549</v>
      </c>
      <c r="M593" s="115">
        <v>47.6533333333333</v>
      </c>
      <c r="N593" s="115">
        <v>48.651851851851902</v>
      </c>
      <c r="O593" s="115">
        <v>47.081481481481497</v>
      </c>
      <c r="P593" s="115">
        <v>47.881481481481501</v>
      </c>
      <c r="Q593" s="115">
        <v>804.15</v>
      </c>
      <c r="R593">
        <v>420798</v>
      </c>
    </row>
    <row r="594" spans="1:18" x14ac:dyDescent="0.25">
      <c r="A594" s="169">
        <v>43550</v>
      </c>
      <c r="B594" s="115">
        <v>48.72</v>
      </c>
      <c r="C594" s="115">
        <v>48.207407407407402</v>
      </c>
      <c r="D594" s="115">
        <v>47.985185185185202</v>
      </c>
      <c r="E594" s="115">
        <v>47.985185185185202</v>
      </c>
      <c r="F594" s="115">
        <v>813.5</v>
      </c>
      <c r="G594">
        <v>2969</v>
      </c>
      <c r="H594" s="115"/>
      <c r="I594" s="115"/>
      <c r="L594" s="169">
        <v>43550</v>
      </c>
      <c r="M594" s="115">
        <v>48.402962962963002</v>
      </c>
      <c r="N594" s="115">
        <v>48.6992592592593</v>
      </c>
      <c r="O594" s="115">
        <v>48.139259259259298</v>
      </c>
      <c r="P594" s="115">
        <v>48.207407407407402</v>
      </c>
      <c r="Q594" s="115">
        <v>816.8</v>
      </c>
      <c r="R594">
        <v>39740</v>
      </c>
    </row>
    <row r="595" spans="1:18" x14ac:dyDescent="0.25">
      <c r="A595" s="169">
        <v>43551</v>
      </c>
      <c r="B595" s="115">
        <v>48.408888888888903</v>
      </c>
      <c r="C595" s="115">
        <v>47.982222222222198</v>
      </c>
      <c r="D595" s="115">
        <v>47.709629629629603</v>
      </c>
      <c r="E595" s="115">
        <v>48.0977777777778</v>
      </c>
      <c r="F595" s="115">
        <v>809.7</v>
      </c>
      <c r="G595">
        <v>2533</v>
      </c>
      <c r="H595" s="115"/>
      <c r="I595" s="115"/>
      <c r="L595" s="169">
        <v>43551</v>
      </c>
      <c r="M595" s="115">
        <v>48.165925925925897</v>
      </c>
      <c r="N595" s="115">
        <v>48.592592592592602</v>
      </c>
      <c r="O595" s="115">
        <v>47.739259259259299</v>
      </c>
      <c r="P595" s="115">
        <v>48.592592592592602</v>
      </c>
      <c r="Q595" s="115">
        <v>812.8</v>
      </c>
      <c r="R595">
        <v>22497</v>
      </c>
    </row>
    <row r="596" spans="1:18" x14ac:dyDescent="0.25">
      <c r="A596" s="169">
        <v>43552</v>
      </c>
      <c r="B596" s="115">
        <v>48.468148148148103</v>
      </c>
      <c r="C596" s="115">
        <v>48.014814814814798</v>
      </c>
      <c r="D596" s="115">
        <v>47.825185185185198</v>
      </c>
      <c r="E596" s="115">
        <v>48.340740740740699</v>
      </c>
      <c r="F596" s="115">
        <v>810.25</v>
      </c>
      <c r="G596">
        <v>1179</v>
      </c>
      <c r="H596" s="115"/>
      <c r="I596" s="115"/>
      <c r="L596" s="169">
        <v>43552</v>
      </c>
      <c r="M596" s="115">
        <v>48.174814814814802</v>
      </c>
      <c r="N596" s="115">
        <v>48.592592592592602</v>
      </c>
      <c r="O596" s="115">
        <v>48</v>
      </c>
      <c r="P596" s="115">
        <v>48.592592592592602</v>
      </c>
      <c r="Q596" s="115">
        <v>812.95</v>
      </c>
      <c r="R596">
        <v>134058</v>
      </c>
    </row>
    <row r="597" spans="1:18" x14ac:dyDescent="0.25">
      <c r="A597" s="169">
        <v>43553</v>
      </c>
      <c r="B597" s="115">
        <v>52.059259259259299</v>
      </c>
      <c r="C597" s="115">
        <v>51.2681481481482</v>
      </c>
      <c r="D597" s="115">
        <v>48.518518518518498</v>
      </c>
      <c r="E597" s="115">
        <v>48.518518518518498</v>
      </c>
      <c r="F597" s="115">
        <v>865.15</v>
      </c>
      <c r="G597">
        <v>12583</v>
      </c>
      <c r="H597" s="115"/>
      <c r="I597" s="115"/>
      <c r="L597" s="169">
        <v>43553</v>
      </c>
      <c r="M597" s="115">
        <v>51.357037037037003</v>
      </c>
      <c r="N597" s="115">
        <v>51.970370370370397</v>
      </c>
      <c r="O597" s="115">
        <v>49.362962962963003</v>
      </c>
      <c r="P597" s="115">
        <v>49.362962962963003</v>
      </c>
      <c r="Q597" s="115">
        <v>866.65</v>
      </c>
      <c r="R597">
        <v>207424</v>
      </c>
    </row>
    <row r="598" spans="1:18" x14ac:dyDescent="0.25">
      <c r="A598" s="169">
        <v>43556</v>
      </c>
      <c r="B598" s="115">
        <v>54.1244444444444</v>
      </c>
      <c r="C598" s="115">
        <v>53.28</v>
      </c>
      <c r="D598" s="115">
        <v>51.911111111111097</v>
      </c>
      <c r="E598" s="115">
        <v>51.958518518518503</v>
      </c>
      <c r="F598" s="115">
        <v>899.1</v>
      </c>
      <c r="G598">
        <v>10148</v>
      </c>
      <c r="H598" s="115"/>
      <c r="I598" s="115"/>
      <c r="L598" s="169">
        <v>43556</v>
      </c>
      <c r="M598" s="115">
        <v>53.131851851851899</v>
      </c>
      <c r="N598" s="115">
        <v>54.1955555555556</v>
      </c>
      <c r="O598" s="115">
        <v>51.724444444444401</v>
      </c>
      <c r="P598" s="115">
        <v>51.724444444444401</v>
      </c>
      <c r="Q598" s="115">
        <v>896.6</v>
      </c>
      <c r="R598">
        <v>178723</v>
      </c>
    </row>
    <row r="599" spans="1:18" x14ac:dyDescent="0.25">
      <c r="A599" s="169">
        <v>43557</v>
      </c>
      <c r="B599" s="115">
        <v>54.340740740740699</v>
      </c>
      <c r="C599" s="115">
        <v>53.792592592592598</v>
      </c>
      <c r="D599" s="115">
        <v>53.2740740740741</v>
      </c>
      <c r="E599" s="115">
        <v>53.2740740740741</v>
      </c>
      <c r="F599" s="115">
        <v>907.75</v>
      </c>
      <c r="G599">
        <v>6037</v>
      </c>
      <c r="H599" s="115"/>
      <c r="I599" s="115"/>
      <c r="L599" s="169">
        <v>43557</v>
      </c>
      <c r="M599" s="115">
        <v>53.789629629629601</v>
      </c>
      <c r="N599" s="115">
        <v>54.485925925925898</v>
      </c>
      <c r="O599" s="115">
        <v>53.3333333333333</v>
      </c>
      <c r="P599" s="115">
        <v>53.3333333333333</v>
      </c>
      <c r="Q599" s="115">
        <v>907.7</v>
      </c>
      <c r="R599">
        <v>140253</v>
      </c>
    </row>
    <row r="600" spans="1:18" x14ac:dyDescent="0.25">
      <c r="A600" s="169">
        <v>43558</v>
      </c>
      <c r="B600" s="115">
        <v>56.177777777777798</v>
      </c>
      <c r="C600" s="115">
        <v>54.515555555555601</v>
      </c>
      <c r="D600" s="115">
        <v>53.831111111111099</v>
      </c>
      <c r="E600" s="115">
        <v>53.866666666666703</v>
      </c>
      <c r="F600" s="115">
        <v>919.95</v>
      </c>
      <c r="G600">
        <v>27326</v>
      </c>
      <c r="H600" s="115"/>
      <c r="I600" s="115"/>
      <c r="L600" s="169">
        <v>43558</v>
      </c>
      <c r="M600" s="115">
        <v>54.355555555555597</v>
      </c>
      <c r="N600" s="115">
        <v>56.56</v>
      </c>
      <c r="O600" s="115">
        <v>54.103703703703701</v>
      </c>
      <c r="P600" s="115">
        <v>54.340740740740699</v>
      </c>
      <c r="Q600" s="115">
        <v>917.25</v>
      </c>
      <c r="R600">
        <v>330029</v>
      </c>
    </row>
    <row r="601" spans="1:18" x14ac:dyDescent="0.25">
      <c r="A601" s="169">
        <v>43559</v>
      </c>
      <c r="B601" s="115">
        <v>54.696296296296303</v>
      </c>
      <c r="C601" s="115">
        <v>53.075555555555603</v>
      </c>
      <c r="D601" s="115">
        <v>52.441481481481503</v>
      </c>
      <c r="E601" s="115">
        <v>54.275555555555599</v>
      </c>
      <c r="F601" s="115">
        <v>895.65</v>
      </c>
      <c r="G601">
        <v>8353</v>
      </c>
      <c r="H601" s="115"/>
      <c r="I601" s="115"/>
      <c r="L601" s="169">
        <v>43559</v>
      </c>
      <c r="M601" s="115">
        <v>52.983703703703704</v>
      </c>
      <c r="N601" s="115">
        <v>54.9866666666667</v>
      </c>
      <c r="O601" s="115">
        <v>52.4444444444444</v>
      </c>
      <c r="P601" s="115">
        <v>54.7911111111111</v>
      </c>
      <c r="Q601" s="115">
        <v>894.1</v>
      </c>
      <c r="R601">
        <v>79439</v>
      </c>
    </row>
    <row r="602" spans="1:18" x14ac:dyDescent="0.25">
      <c r="A602" s="169">
        <v>43560</v>
      </c>
      <c r="B602" s="115">
        <v>53.309629629629598</v>
      </c>
      <c r="C602" s="115">
        <v>51.92</v>
      </c>
      <c r="D602" s="115">
        <v>51.665185185185202</v>
      </c>
      <c r="E602" s="115">
        <v>53.075555555555603</v>
      </c>
      <c r="F602" s="115">
        <v>876.15</v>
      </c>
      <c r="G602">
        <v>2923</v>
      </c>
      <c r="H602" s="115"/>
      <c r="I602" s="115"/>
      <c r="L602" s="169">
        <v>43560</v>
      </c>
      <c r="M602" s="115">
        <v>51.866666666666703</v>
      </c>
      <c r="N602" s="115">
        <v>53.410370370370401</v>
      </c>
      <c r="O602" s="115">
        <v>51.5881481481481</v>
      </c>
      <c r="P602" s="115">
        <v>53.037037037037003</v>
      </c>
      <c r="Q602" s="115">
        <v>875.25</v>
      </c>
      <c r="R602">
        <v>79244</v>
      </c>
    </row>
    <row r="603" spans="1:18" x14ac:dyDescent="0.25">
      <c r="A603" s="169">
        <v>43563</v>
      </c>
      <c r="B603" s="115">
        <v>52.3851851851852</v>
      </c>
      <c r="C603" s="115">
        <v>51.6533333333333</v>
      </c>
      <c r="D603" s="115">
        <v>50.9866666666667</v>
      </c>
      <c r="E603" s="115">
        <v>50.9866666666667</v>
      </c>
      <c r="F603" s="115">
        <v>871.65</v>
      </c>
      <c r="G603">
        <v>980</v>
      </c>
      <c r="H603" s="115"/>
      <c r="I603" s="115"/>
      <c r="L603" s="169">
        <v>43563</v>
      </c>
      <c r="M603" s="115">
        <v>51.5822222222222</v>
      </c>
      <c r="N603" s="115">
        <v>52.325925925925901</v>
      </c>
      <c r="O603" s="115">
        <v>51.3333333333333</v>
      </c>
      <c r="P603" s="115">
        <v>52.142222222222202</v>
      </c>
      <c r="Q603" s="115">
        <v>870.45</v>
      </c>
      <c r="R603">
        <v>96526</v>
      </c>
    </row>
    <row r="604" spans="1:18" x14ac:dyDescent="0.25">
      <c r="A604" s="169">
        <v>43564</v>
      </c>
      <c r="B604" s="115">
        <v>52.266666666666701</v>
      </c>
      <c r="C604" s="115">
        <v>52.103703703703701</v>
      </c>
      <c r="D604" s="115">
        <v>51.644444444444403</v>
      </c>
      <c r="E604" s="115">
        <v>51.644444444444403</v>
      </c>
      <c r="F604" s="115">
        <v>879.25</v>
      </c>
      <c r="G604">
        <v>1126</v>
      </c>
      <c r="H604" s="115"/>
      <c r="I604" s="115"/>
      <c r="L604" s="169">
        <v>43564</v>
      </c>
      <c r="M604" s="115">
        <v>51.9674074074074</v>
      </c>
      <c r="N604" s="115">
        <v>52.136296296296301</v>
      </c>
      <c r="O604" s="115">
        <v>51.5555555555556</v>
      </c>
      <c r="P604" s="115">
        <v>51.5555555555556</v>
      </c>
      <c r="Q604" s="115">
        <v>876.95</v>
      </c>
      <c r="R604">
        <v>112958</v>
      </c>
    </row>
    <row r="605" spans="1:18" x14ac:dyDescent="0.25">
      <c r="A605" s="169">
        <v>43565</v>
      </c>
      <c r="B605" s="115">
        <v>52.242962962962999</v>
      </c>
      <c r="C605" s="115">
        <v>51.031111111111102</v>
      </c>
      <c r="D605" s="115">
        <v>50.877037037036999</v>
      </c>
      <c r="E605" s="115">
        <v>52.242962962962999</v>
      </c>
      <c r="F605" s="115">
        <v>861.15</v>
      </c>
      <c r="G605">
        <v>2146</v>
      </c>
      <c r="H605" s="115"/>
      <c r="I605" s="115"/>
      <c r="L605" s="169">
        <v>43565</v>
      </c>
      <c r="M605" s="115">
        <v>50.951111111111103</v>
      </c>
      <c r="N605" s="115">
        <v>52.4118518518519</v>
      </c>
      <c r="O605" s="115">
        <v>50.6992592592593</v>
      </c>
      <c r="P605" s="115">
        <v>52.088888888888903</v>
      </c>
      <c r="Q605" s="115">
        <v>859.8</v>
      </c>
      <c r="R605">
        <v>64718</v>
      </c>
    </row>
    <row r="606" spans="1:18" x14ac:dyDescent="0.25">
      <c r="A606" s="169">
        <v>43566</v>
      </c>
      <c r="B606" s="115">
        <v>51.250370370370398</v>
      </c>
      <c r="C606" s="115">
        <v>50.32</v>
      </c>
      <c r="D606" s="115">
        <v>50.139259259259298</v>
      </c>
      <c r="E606" s="115">
        <v>50.835555555555601</v>
      </c>
      <c r="F606" s="115">
        <v>849.15</v>
      </c>
      <c r="G606">
        <v>968</v>
      </c>
      <c r="H606" s="115"/>
      <c r="I606" s="115"/>
      <c r="L606" s="169">
        <v>43566</v>
      </c>
      <c r="M606" s="115">
        <v>50.325925925925901</v>
      </c>
      <c r="N606" s="115">
        <v>51.351111111111102</v>
      </c>
      <c r="O606" s="115">
        <v>50.192592592592597</v>
      </c>
      <c r="P606" s="115">
        <v>50.951111111111103</v>
      </c>
      <c r="Q606" s="115">
        <v>849.25</v>
      </c>
      <c r="R606">
        <v>35183</v>
      </c>
    </row>
    <row r="607" spans="1:18" x14ac:dyDescent="0.25">
      <c r="A607" s="169">
        <v>43567</v>
      </c>
      <c r="B607" s="115">
        <v>51.022222222222197</v>
      </c>
      <c r="C607" s="115">
        <v>50.554074074074101</v>
      </c>
      <c r="D607" s="115">
        <v>50.017777777777802</v>
      </c>
      <c r="E607" s="115">
        <v>50.370370370370402</v>
      </c>
      <c r="F607" s="115">
        <v>853.1</v>
      </c>
      <c r="G607">
        <v>1879</v>
      </c>
      <c r="H607" s="115"/>
      <c r="I607" s="115"/>
      <c r="L607" s="169">
        <v>43567</v>
      </c>
      <c r="M607" s="115">
        <v>50.361481481481498</v>
      </c>
      <c r="N607" s="115">
        <v>51.075555555555603</v>
      </c>
      <c r="O607" s="115">
        <v>50.088888888888903</v>
      </c>
      <c r="P607" s="115">
        <v>50.311111111111103</v>
      </c>
      <c r="Q607" s="115">
        <v>849.85</v>
      </c>
      <c r="R607">
        <v>97159</v>
      </c>
    </row>
    <row r="608" spans="1:18" x14ac:dyDescent="0.25">
      <c r="A608" s="169">
        <v>43570</v>
      </c>
      <c r="B608" s="115">
        <v>51.549629629629599</v>
      </c>
      <c r="C608" s="115">
        <v>50.231111111111098</v>
      </c>
      <c r="D608" s="115">
        <v>50.056296296296303</v>
      </c>
      <c r="E608" s="115">
        <v>51.549629629629599</v>
      </c>
      <c r="F608" s="115">
        <v>847.65</v>
      </c>
      <c r="G608">
        <v>1164</v>
      </c>
      <c r="H608" s="115"/>
      <c r="I608" s="115"/>
      <c r="L608" s="169">
        <v>43570</v>
      </c>
      <c r="M608" s="115">
        <v>50.059259259259299</v>
      </c>
      <c r="N608" s="115">
        <v>50.7259259259259</v>
      </c>
      <c r="O608" s="115">
        <v>49.774814814814803</v>
      </c>
      <c r="P608" s="115">
        <v>50.6666666666667</v>
      </c>
      <c r="Q608" s="115">
        <v>844.75</v>
      </c>
      <c r="R608">
        <v>647578</v>
      </c>
    </row>
    <row r="609" spans="1:18" x14ac:dyDescent="0.25">
      <c r="A609" s="169">
        <v>43571</v>
      </c>
      <c r="B609" s="115">
        <v>50.6666666666667</v>
      </c>
      <c r="C609" s="115">
        <v>50.011851851851901</v>
      </c>
      <c r="D609" s="115">
        <v>49.357037037037003</v>
      </c>
      <c r="E609" s="115">
        <v>50.6666666666667</v>
      </c>
      <c r="F609" s="115">
        <v>843.95</v>
      </c>
      <c r="G609">
        <v>4084</v>
      </c>
      <c r="H609" s="115"/>
      <c r="I609" s="115"/>
      <c r="L609" s="169">
        <v>43571</v>
      </c>
      <c r="M609" s="115">
        <v>49.92</v>
      </c>
      <c r="N609" s="115">
        <v>50.370370370370402</v>
      </c>
      <c r="O609" s="115">
        <v>49.114074074074097</v>
      </c>
      <c r="P609" s="115">
        <v>50.133333333333297</v>
      </c>
      <c r="Q609" s="115">
        <v>842.4</v>
      </c>
      <c r="R609">
        <v>75897</v>
      </c>
    </row>
    <row r="610" spans="1:18" x14ac:dyDescent="0.25">
      <c r="A610" s="169">
        <v>43573</v>
      </c>
      <c r="B610" s="115">
        <v>50.085925925925899</v>
      </c>
      <c r="C610" s="115">
        <v>49.291851851851902</v>
      </c>
      <c r="D610" s="115">
        <v>48.957037037036997</v>
      </c>
      <c r="E610" s="115">
        <v>49.7777777777778</v>
      </c>
      <c r="F610" s="115">
        <v>831.8</v>
      </c>
      <c r="G610">
        <v>2066</v>
      </c>
      <c r="H610" s="115"/>
      <c r="I610" s="115"/>
      <c r="L610" s="169">
        <v>43573</v>
      </c>
      <c r="M610" s="115">
        <v>49.158518518518498</v>
      </c>
      <c r="N610" s="115">
        <v>50.192592592592597</v>
      </c>
      <c r="O610" s="115">
        <v>48.918518518518503</v>
      </c>
      <c r="P610" s="115">
        <v>50.1896296296296</v>
      </c>
      <c r="Q610" s="115">
        <v>829.55</v>
      </c>
      <c r="R610">
        <v>117697</v>
      </c>
    </row>
    <row r="611" spans="1:18" x14ac:dyDescent="0.25">
      <c r="A611" s="169">
        <v>43577</v>
      </c>
      <c r="B611" s="115">
        <v>49.6533333333333</v>
      </c>
      <c r="C611" s="115">
        <v>49.321481481481499</v>
      </c>
      <c r="D611" s="115">
        <v>49.090370370370401</v>
      </c>
      <c r="E611" s="115">
        <v>49.244444444444397</v>
      </c>
      <c r="F611" s="115">
        <v>832.3</v>
      </c>
      <c r="G611">
        <v>1796</v>
      </c>
      <c r="H611" s="115"/>
      <c r="I611" s="115"/>
      <c r="L611" s="169">
        <v>43577</v>
      </c>
      <c r="M611" s="115">
        <v>49.2</v>
      </c>
      <c r="N611" s="115">
        <v>50.023703703703703</v>
      </c>
      <c r="O611" s="115">
        <v>48.968888888888898</v>
      </c>
      <c r="P611" s="115">
        <v>49.3007407407407</v>
      </c>
      <c r="Q611" s="115">
        <v>830.25</v>
      </c>
      <c r="R611">
        <v>71431</v>
      </c>
    </row>
    <row r="612" spans="1:18" x14ac:dyDescent="0.25">
      <c r="A612" s="169">
        <v>43578</v>
      </c>
      <c r="B612" s="115">
        <v>49.585185185185203</v>
      </c>
      <c r="C612" s="115">
        <v>49.152592592592597</v>
      </c>
      <c r="D612" s="115">
        <v>48.951111111111103</v>
      </c>
      <c r="E612" s="115">
        <v>49.493333333333297</v>
      </c>
      <c r="F612" s="115">
        <v>829.45</v>
      </c>
      <c r="G612">
        <v>928</v>
      </c>
      <c r="H612" s="115"/>
      <c r="I612" s="115"/>
      <c r="L612" s="169">
        <v>43578</v>
      </c>
      <c r="M612" s="115">
        <v>49.158518518518498</v>
      </c>
      <c r="N612" s="115">
        <v>49.718518518518501</v>
      </c>
      <c r="O612" s="115">
        <v>48.8888888888889</v>
      </c>
      <c r="P612" s="115">
        <v>49.718518518518501</v>
      </c>
      <c r="Q612" s="115">
        <v>829.55</v>
      </c>
      <c r="R612">
        <v>27198</v>
      </c>
    </row>
    <row r="613" spans="1:18" x14ac:dyDescent="0.25">
      <c r="A613" s="169">
        <v>43579</v>
      </c>
      <c r="B613" s="115">
        <v>50.171851851851798</v>
      </c>
      <c r="C613" s="115">
        <v>49.700740740740699</v>
      </c>
      <c r="D613" s="115">
        <v>49.022222222222197</v>
      </c>
      <c r="E613" s="115">
        <v>49.022222222222197</v>
      </c>
      <c r="F613" s="115">
        <v>838.7</v>
      </c>
      <c r="G613">
        <v>3242</v>
      </c>
      <c r="H613" s="115"/>
      <c r="I613" s="115"/>
      <c r="L613" s="169">
        <v>43579</v>
      </c>
      <c r="M613" s="115">
        <v>49.573333333333302</v>
      </c>
      <c r="N613" s="115">
        <v>50.192592592592597</v>
      </c>
      <c r="O613" s="115">
        <v>49.158518518518498</v>
      </c>
      <c r="P613" s="115">
        <v>49.185185185185198</v>
      </c>
      <c r="Q613" s="115">
        <v>836.55</v>
      </c>
      <c r="R613">
        <v>192976</v>
      </c>
    </row>
    <row r="614" spans="1:18" x14ac:dyDescent="0.25">
      <c r="A614" s="169">
        <v>43580</v>
      </c>
      <c r="B614" s="115">
        <v>49.807407407407403</v>
      </c>
      <c r="C614" s="115">
        <v>49.561481481481501</v>
      </c>
      <c r="D614" s="115">
        <v>49.1111111111111</v>
      </c>
      <c r="E614" s="115">
        <v>49.395555555555603</v>
      </c>
      <c r="F614" s="115">
        <v>836.35</v>
      </c>
      <c r="G614">
        <v>1293</v>
      </c>
      <c r="H614" s="115"/>
      <c r="I614" s="115"/>
      <c r="L614" s="169">
        <v>43580</v>
      </c>
      <c r="M614" s="115">
        <v>49.481481481481502</v>
      </c>
      <c r="N614" s="115">
        <v>49.884444444444398</v>
      </c>
      <c r="O614" s="115">
        <v>48.983703703703704</v>
      </c>
      <c r="P614" s="115">
        <v>49.688888888888897</v>
      </c>
      <c r="Q614" s="115">
        <v>835</v>
      </c>
      <c r="R614">
        <v>126524</v>
      </c>
    </row>
    <row r="615" spans="1:18" x14ac:dyDescent="0.25">
      <c r="A615" s="169">
        <v>43581</v>
      </c>
      <c r="B615" s="115">
        <v>49.837037037037</v>
      </c>
      <c r="C615" s="115">
        <v>49.383703703703702</v>
      </c>
      <c r="D615" s="115">
        <v>48.311111111111103</v>
      </c>
      <c r="E615" s="115">
        <v>49.259259259259302</v>
      </c>
      <c r="F615" s="115">
        <v>833.35</v>
      </c>
      <c r="G615">
        <v>1525</v>
      </c>
      <c r="H615" s="115"/>
      <c r="I615" s="115"/>
      <c r="L615" s="169">
        <v>43581</v>
      </c>
      <c r="M615" s="115">
        <v>49.472592592592598</v>
      </c>
      <c r="N615" s="115">
        <v>49.7777777777778</v>
      </c>
      <c r="O615" s="115">
        <v>48.151111111111099</v>
      </c>
      <c r="P615" s="115">
        <v>49.748148148148097</v>
      </c>
      <c r="Q615" s="115">
        <v>834.85</v>
      </c>
      <c r="R615">
        <v>103335</v>
      </c>
    </row>
    <row r="616" spans="1:18" x14ac:dyDescent="0.25">
      <c r="A616" s="169">
        <v>43585</v>
      </c>
      <c r="B616" s="115">
        <v>52.148148148148103</v>
      </c>
      <c r="C616" s="115">
        <v>51.893333333333302</v>
      </c>
      <c r="D616" s="115">
        <v>49.4637037037037</v>
      </c>
      <c r="E616" s="115">
        <v>49.517037037036999</v>
      </c>
      <c r="F616" s="115">
        <v>875.7</v>
      </c>
      <c r="G616">
        <v>3340</v>
      </c>
      <c r="H616" s="115"/>
      <c r="I616" s="115"/>
      <c r="L616" s="169">
        <v>43585</v>
      </c>
      <c r="M616" s="115">
        <v>51.896296296296299</v>
      </c>
      <c r="N616" s="115">
        <v>52.266666666666701</v>
      </c>
      <c r="O616" s="115">
        <v>49.191111111111098</v>
      </c>
      <c r="P616" s="115">
        <v>49.191111111111098</v>
      </c>
      <c r="Q616" s="115">
        <v>875.75</v>
      </c>
      <c r="R616">
        <v>118176</v>
      </c>
    </row>
    <row r="617" spans="1:18" x14ac:dyDescent="0.25">
      <c r="A617" s="169">
        <v>43587</v>
      </c>
      <c r="B617" s="115">
        <v>53.191111111111098</v>
      </c>
      <c r="C617" s="115">
        <v>52.2222222222222</v>
      </c>
      <c r="D617" s="115">
        <v>52.094814814814796</v>
      </c>
      <c r="E617" s="115">
        <v>52.497777777777799</v>
      </c>
      <c r="F617" s="115">
        <v>881.25</v>
      </c>
      <c r="G617">
        <v>2949</v>
      </c>
      <c r="H617" s="115"/>
      <c r="I617" s="115"/>
      <c r="L617" s="169">
        <v>43587</v>
      </c>
      <c r="M617" s="115">
        <v>52.337777777777802</v>
      </c>
      <c r="N617" s="115">
        <v>53.12</v>
      </c>
      <c r="O617" s="115">
        <v>51.905185185185204</v>
      </c>
      <c r="P617" s="115">
        <v>52.148148148148103</v>
      </c>
      <c r="Q617" s="115">
        <v>883.2</v>
      </c>
      <c r="R617">
        <v>89791</v>
      </c>
    </row>
    <row r="618" spans="1:18" x14ac:dyDescent="0.25">
      <c r="A618" s="169">
        <v>43588</v>
      </c>
      <c r="B618" s="115">
        <v>53.925925925925903</v>
      </c>
      <c r="C618" s="115">
        <v>53.419259259259299</v>
      </c>
      <c r="D618" s="115">
        <v>52.681481481481498</v>
      </c>
      <c r="E618" s="115">
        <v>52.681481481481498</v>
      </c>
      <c r="F618" s="115">
        <v>901.45</v>
      </c>
      <c r="G618">
        <v>2974</v>
      </c>
      <c r="H618" s="115"/>
      <c r="I618" s="115"/>
      <c r="L618" s="169">
        <v>43588</v>
      </c>
      <c r="M618" s="115">
        <v>53.6148148148148</v>
      </c>
      <c r="N618" s="115">
        <v>54.183703703703699</v>
      </c>
      <c r="O618" s="115">
        <v>52.441481481481503</v>
      </c>
      <c r="P618" s="115">
        <v>52.4444444444444</v>
      </c>
      <c r="Q618" s="115">
        <v>904.75</v>
      </c>
      <c r="R618">
        <v>141359</v>
      </c>
    </row>
    <row r="619" spans="1:18" x14ac:dyDescent="0.25">
      <c r="A619" s="169">
        <v>43591</v>
      </c>
      <c r="B619" s="115">
        <v>53.617777777777803</v>
      </c>
      <c r="C619" s="115">
        <v>53.3985185185185</v>
      </c>
      <c r="D619" s="115">
        <v>53.075555555555603</v>
      </c>
      <c r="E619" s="115">
        <v>53.285925925925902</v>
      </c>
      <c r="F619" s="115">
        <v>901.1</v>
      </c>
      <c r="G619">
        <v>1000</v>
      </c>
      <c r="H619" s="115"/>
      <c r="I619" s="115"/>
      <c r="L619" s="169">
        <v>43591</v>
      </c>
      <c r="M619" s="115">
        <v>53.345185185185201</v>
      </c>
      <c r="N619" s="115">
        <v>53.68</v>
      </c>
      <c r="O619" s="115">
        <v>52.977777777777803</v>
      </c>
      <c r="P619" s="115">
        <v>53.2740740740741</v>
      </c>
      <c r="Q619" s="115">
        <v>900.2</v>
      </c>
      <c r="R619">
        <v>52896</v>
      </c>
    </row>
    <row r="620" spans="1:18" x14ac:dyDescent="0.25">
      <c r="A620" s="169">
        <v>43592</v>
      </c>
      <c r="B620" s="115">
        <v>53.736296296296302</v>
      </c>
      <c r="C620" s="115">
        <v>53.410370370370401</v>
      </c>
      <c r="D620" s="115">
        <v>52.743703703703702</v>
      </c>
      <c r="E620" s="115">
        <v>53.037037037037003</v>
      </c>
      <c r="F620" s="115">
        <v>901.3</v>
      </c>
      <c r="G620">
        <v>1934</v>
      </c>
      <c r="H620" s="115"/>
      <c r="I620" s="115"/>
      <c r="L620" s="169">
        <v>43592</v>
      </c>
      <c r="M620" s="115">
        <v>53.386666666666699</v>
      </c>
      <c r="N620" s="115">
        <v>53.866666666666703</v>
      </c>
      <c r="O620" s="115">
        <v>52.681481481481498</v>
      </c>
      <c r="P620" s="115">
        <v>53.422222222222203</v>
      </c>
      <c r="Q620" s="115">
        <v>900.9</v>
      </c>
      <c r="R620">
        <v>94655</v>
      </c>
    </row>
    <row r="621" spans="1:18" x14ac:dyDescent="0.25">
      <c r="A621" s="169">
        <v>43593</v>
      </c>
      <c r="B621" s="115">
        <v>54.2548148148148</v>
      </c>
      <c r="C621" s="115">
        <v>53.92</v>
      </c>
      <c r="D621" s="115">
        <v>53.1437037037037</v>
      </c>
      <c r="E621" s="115">
        <v>53.451851851851799</v>
      </c>
      <c r="F621" s="115">
        <v>909.9</v>
      </c>
      <c r="G621">
        <v>3499</v>
      </c>
      <c r="H621" s="115"/>
      <c r="I621" s="115"/>
      <c r="L621" s="169">
        <v>43593</v>
      </c>
      <c r="M621" s="115">
        <v>53.872592592592603</v>
      </c>
      <c r="N621" s="115">
        <v>54.2222222222222</v>
      </c>
      <c r="O621" s="115">
        <v>53.392592592592599</v>
      </c>
      <c r="P621" s="115">
        <v>53.484444444444399</v>
      </c>
      <c r="Q621" s="115">
        <v>909.1</v>
      </c>
      <c r="R621">
        <v>117482</v>
      </c>
    </row>
    <row r="622" spans="1:18" x14ac:dyDescent="0.25">
      <c r="A622" s="169">
        <v>43594</v>
      </c>
      <c r="B622" s="115">
        <v>55.478518518518499</v>
      </c>
      <c r="C622" s="115">
        <v>54.0325925925926</v>
      </c>
      <c r="D622" s="115">
        <v>53.629629629629598</v>
      </c>
      <c r="E622" s="115">
        <v>53.925925925925903</v>
      </c>
      <c r="F622" s="115">
        <v>911.8</v>
      </c>
      <c r="G622">
        <v>10328</v>
      </c>
      <c r="H622" s="115"/>
      <c r="I622" s="115"/>
      <c r="L622" s="169">
        <v>43594</v>
      </c>
      <c r="M622" s="115">
        <v>54.08</v>
      </c>
      <c r="N622" s="115">
        <v>55.585185185185203</v>
      </c>
      <c r="O622" s="115">
        <v>53.688888888888897</v>
      </c>
      <c r="P622" s="115">
        <v>54.044444444444402</v>
      </c>
      <c r="Q622" s="115">
        <v>912.6</v>
      </c>
      <c r="R622">
        <v>568066</v>
      </c>
    </row>
    <row r="623" spans="1:18" x14ac:dyDescent="0.25">
      <c r="A623" s="169">
        <v>43595</v>
      </c>
      <c r="B623" s="115">
        <v>54.577777777777797</v>
      </c>
      <c r="C623" s="115">
        <v>54.005925925925901</v>
      </c>
      <c r="D623" s="115">
        <v>53.579259259259302</v>
      </c>
      <c r="E623" s="115">
        <v>54.577777777777797</v>
      </c>
      <c r="F623" s="115">
        <v>911.35</v>
      </c>
      <c r="G623">
        <v>1184</v>
      </c>
      <c r="H623" s="115"/>
      <c r="I623" s="115"/>
      <c r="L623" s="169">
        <v>43595</v>
      </c>
      <c r="M623" s="115">
        <v>54.068148148148097</v>
      </c>
      <c r="N623" s="115">
        <v>54.340740740740699</v>
      </c>
      <c r="O623" s="115">
        <v>53.629629629629598</v>
      </c>
      <c r="P623" s="115">
        <v>54.340740740740699</v>
      </c>
      <c r="Q623" s="115">
        <v>912.4</v>
      </c>
      <c r="R623">
        <v>77368</v>
      </c>
    </row>
    <row r="624" spans="1:18" x14ac:dyDescent="0.25">
      <c r="A624" s="169">
        <v>43598</v>
      </c>
      <c r="B624" s="115">
        <v>54.1955555555556</v>
      </c>
      <c r="C624" s="115">
        <v>53.265185185185203</v>
      </c>
      <c r="D624" s="115">
        <v>52.977777777777803</v>
      </c>
      <c r="E624" s="115">
        <v>54.1955555555556</v>
      </c>
      <c r="F624" s="115">
        <v>898.85</v>
      </c>
      <c r="G624">
        <v>1286</v>
      </c>
      <c r="H624" s="115"/>
      <c r="I624" s="115"/>
      <c r="L624" s="169">
        <v>43598</v>
      </c>
      <c r="M624" s="115">
        <v>53.336296296296297</v>
      </c>
      <c r="N624" s="115">
        <v>54.068148148148097</v>
      </c>
      <c r="O624" s="115">
        <v>52.9866666666667</v>
      </c>
      <c r="P624" s="115">
        <v>54.068148148148097</v>
      </c>
      <c r="Q624" s="115">
        <v>900.05</v>
      </c>
      <c r="R624">
        <v>30227</v>
      </c>
    </row>
    <row r="625" spans="1:18" x14ac:dyDescent="0.25">
      <c r="A625" s="169">
        <v>43599</v>
      </c>
      <c r="B625" s="115">
        <v>54.7318518518519</v>
      </c>
      <c r="C625" s="115">
        <v>52.397037037037002</v>
      </c>
      <c r="D625" s="115">
        <v>52.085925925925899</v>
      </c>
      <c r="E625" s="115">
        <v>53.214814814814801</v>
      </c>
      <c r="F625" s="115">
        <v>884.2</v>
      </c>
      <c r="G625">
        <v>3665</v>
      </c>
      <c r="H625" s="115"/>
      <c r="I625" s="115"/>
      <c r="L625" s="169">
        <v>43599</v>
      </c>
      <c r="M625" s="115">
        <v>52.388148148148098</v>
      </c>
      <c r="N625" s="115">
        <v>54.811851851851898</v>
      </c>
      <c r="O625" s="115">
        <v>52.148148148148103</v>
      </c>
      <c r="P625" s="115">
        <v>53.629629629629598</v>
      </c>
      <c r="Q625" s="115">
        <v>884.05</v>
      </c>
      <c r="R625">
        <v>130838</v>
      </c>
    </row>
    <row r="626" spans="1:18" x14ac:dyDescent="0.25">
      <c r="A626" s="169">
        <v>43600</v>
      </c>
      <c r="B626" s="115">
        <v>54.044444444444402</v>
      </c>
      <c r="C626" s="115">
        <v>53.528888888888901</v>
      </c>
      <c r="D626" s="115">
        <v>52.642962962962997</v>
      </c>
      <c r="E626" s="115">
        <v>52.740740740740698</v>
      </c>
      <c r="F626" s="115">
        <v>903.3</v>
      </c>
      <c r="G626">
        <v>4064</v>
      </c>
      <c r="H626" s="115"/>
      <c r="I626" s="115"/>
      <c r="L626" s="169">
        <v>43600</v>
      </c>
      <c r="M626" s="115">
        <v>53.481481481481502</v>
      </c>
      <c r="N626" s="115">
        <v>54.16</v>
      </c>
      <c r="O626" s="115">
        <v>52.358518518518501</v>
      </c>
      <c r="P626" s="115">
        <v>52.358518518518501</v>
      </c>
      <c r="Q626" s="115">
        <v>902.5</v>
      </c>
      <c r="R626">
        <v>234908</v>
      </c>
    </row>
    <row r="627" spans="1:18" x14ac:dyDescent="0.25">
      <c r="A627" s="169">
        <v>43601</v>
      </c>
      <c r="B627" s="115">
        <v>57.007407407407399</v>
      </c>
      <c r="C627" s="115">
        <v>55.357037037037003</v>
      </c>
      <c r="D627" s="115">
        <v>53.925925925925903</v>
      </c>
      <c r="E627" s="115">
        <v>53.925925925925903</v>
      </c>
      <c r="F627" s="115">
        <v>934.15</v>
      </c>
      <c r="G627">
        <v>9798</v>
      </c>
      <c r="H627" s="115"/>
      <c r="I627" s="115"/>
      <c r="L627" s="169">
        <v>43601</v>
      </c>
      <c r="M627" s="115">
        <v>55.025185185185201</v>
      </c>
      <c r="N627" s="115">
        <v>57.004444444444403</v>
      </c>
      <c r="O627" s="115">
        <v>53.060740740740698</v>
      </c>
      <c r="P627" s="115">
        <v>53.244444444444397</v>
      </c>
      <c r="Q627" s="115">
        <v>928.55</v>
      </c>
      <c r="R627">
        <v>452144</v>
      </c>
    </row>
    <row r="628" spans="1:18" x14ac:dyDescent="0.25">
      <c r="A628" s="169">
        <v>43602</v>
      </c>
      <c r="B628" s="115">
        <v>55.697777777777802</v>
      </c>
      <c r="C628" s="115">
        <v>54.349629629629597</v>
      </c>
      <c r="D628" s="115">
        <v>53.748148148148097</v>
      </c>
      <c r="E628" s="115">
        <v>55.697777777777802</v>
      </c>
      <c r="F628" s="115">
        <v>917.15</v>
      </c>
      <c r="G628">
        <v>1937</v>
      </c>
      <c r="H628" s="115"/>
      <c r="I628" s="115"/>
      <c r="L628" s="169">
        <v>43602</v>
      </c>
      <c r="M628" s="115">
        <v>54.231111111111098</v>
      </c>
      <c r="N628" s="115">
        <v>55.611851851851902</v>
      </c>
      <c r="O628" s="115">
        <v>53.925925925925903</v>
      </c>
      <c r="P628" s="115">
        <v>55.401481481481497</v>
      </c>
      <c r="Q628" s="115">
        <v>915.15</v>
      </c>
      <c r="R628">
        <v>107548</v>
      </c>
    </row>
    <row r="629" spans="1:18" x14ac:dyDescent="0.25">
      <c r="A629" s="169">
        <v>43605</v>
      </c>
      <c r="B629" s="115">
        <v>55.629629629629598</v>
      </c>
      <c r="C629" s="115">
        <v>53.594074074074101</v>
      </c>
      <c r="D629" s="115">
        <v>53.3333333333333</v>
      </c>
      <c r="E629" s="115">
        <v>54.992592592592601</v>
      </c>
      <c r="F629" s="115">
        <v>904.4</v>
      </c>
      <c r="G629">
        <v>1834</v>
      </c>
      <c r="H629" s="115"/>
      <c r="I629" s="115"/>
      <c r="L629" s="169">
        <v>43605</v>
      </c>
      <c r="M629" s="115">
        <v>53.851851851851897</v>
      </c>
      <c r="N629" s="115">
        <v>55.3392592592593</v>
      </c>
      <c r="O629" s="115">
        <v>53.401481481481497</v>
      </c>
      <c r="P629" s="115">
        <v>55.140740740740704</v>
      </c>
      <c r="Q629" s="115">
        <v>908.75</v>
      </c>
      <c r="R629">
        <v>142190</v>
      </c>
    </row>
    <row r="630" spans="1:18" x14ac:dyDescent="0.25">
      <c r="A630" s="169">
        <v>43606</v>
      </c>
      <c r="B630" s="115">
        <v>54.518518518518498</v>
      </c>
      <c r="C630" s="115">
        <v>54.085925925925899</v>
      </c>
      <c r="D630" s="115">
        <v>53.718518518518501</v>
      </c>
      <c r="E630" s="115">
        <v>54.041481481481497</v>
      </c>
      <c r="F630" s="115">
        <v>912.7</v>
      </c>
      <c r="G630">
        <v>685</v>
      </c>
      <c r="H630" s="115"/>
      <c r="I630" s="115"/>
      <c r="L630" s="169">
        <v>43606</v>
      </c>
      <c r="M630" s="115">
        <v>53.940740740740701</v>
      </c>
      <c r="N630" s="115">
        <v>54.450370370370401</v>
      </c>
      <c r="O630" s="115">
        <v>53.531851851851897</v>
      </c>
      <c r="P630" s="115">
        <v>53.866666666666703</v>
      </c>
      <c r="Q630" s="115">
        <v>910.25</v>
      </c>
      <c r="R630">
        <v>114087</v>
      </c>
    </row>
    <row r="631" spans="1:18" x14ac:dyDescent="0.25">
      <c r="A631" s="169">
        <v>43607</v>
      </c>
      <c r="B631" s="115">
        <v>55.801481481481503</v>
      </c>
      <c r="C631" s="115">
        <v>55.0785185185185</v>
      </c>
      <c r="D631" s="115">
        <v>53.922962962962998</v>
      </c>
      <c r="E631" s="115">
        <v>53.949629629629598</v>
      </c>
      <c r="F631" s="115">
        <v>929.45</v>
      </c>
      <c r="G631">
        <v>5470</v>
      </c>
      <c r="H631" s="115"/>
      <c r="I631" s="115"/>
      <c r="L631" s="169">
        <v>43607</v>
      </c>
      <c r="M631" s="115">
        <v>55.247407407407401</v>
      </c>
      <c r="N631" s="115">
        <v>55.994074074074099</v>
      </c>
      <c r="O631" s="115">
        <v>53.573333333333302</v>
      </c>
      <c r="P631" s="115">
        <v>54.251851851851903</v>
      </c>
      <c r="Q631" s="115">
        <v>932.3</v>
      </c>
      <c r="R631">
        <v>84903</v>
      </c>
    </row>
    <row r="632" spans="1:18" x14ac:dyDescent="0.25">
      <c r="A632" s="169">
        <v>43608</v>
      </c>
      <c r="B632" s="115">
        <v>55.342222222222198</v>
      </c>
      <c r="C632" s="115">
        <v>54.829629629629601</v>
      </c>
      <c r="D632" s="115">
        <v>54.471111111111099</v>
      </c>
      <c r="E632" s="115">
        <v>55.342222222222198</v>
      </c>
      <c r="F632" s="115">
        <v>925.25</v>
      </c>
      <c r="G632">
        <v>1211</v>
      </c>
      <c r="H632" s="115"/>
      <c r="I632" s="115"/>
      <c r="L632" s="169">
        <v>43608</v>
      </c>
      <c r="M632" s="115">
        <v>54.951111111111103</v>
      </c>
      <c r="N632" s="115">
        <v>56.237037037036998</v>
      </c>
      <c r="O632" s="115">
        <v>54.2874074074074</v>
      </c>
      <c r="P632" s="115">
        <v>56.237037037036998</v>
      </c>
      <c r="Q632" s="115">
        <v>927.3</v>
      </c>
      <c r="R632">
        <v>213575</v>
      </c>
    </row>
    <row r="633" spans="1:18" x14ac:dyDescent="0.25">
      <c r="A633" s="169">
        <v>43609</v>
      </c>
      <c r="B633" s="115">
        <v>55.534814814814801</v>
      </c>
      <c r="C633" s="115">
        <v>55.28</v>
      </c>
      <c r="D633" s="115">
        <v>54.565925925925903</v>
      </c>
      <c r="E633" s="115">
        <v>54.637037037036997</v>
      </c>
      <c r="F633" s="115">
        <v>932.85</v>
      </c>
      <c r="G633">
        <v>2342</v>
      </c>
      <c r="H633" s="115"/>
      <c r="I633" s="115"/>
      <c r="L633" s="169">
        <v>43609</v>
      </c>
      <c r="M633" s="115">
        <v>55.114074074074097</v>
      </c>
      <c r="N633" s="115">
        <v>55.537777777777798</v>
      </c>
      <c r="O633" s="115">
        <v>54.3466666666667</v>
      </c>
      <c r="P633" s="115">
        <v>55.348148148148098</v>
      </c>
      <c r="Q633" s="115">
        <v>930.05</v>
      </c>
      <c r="R633">
        <v>138018</v>
      </c>
    </row>
    <row r="634" spans="1:18" x14ac:dyDescent="0.25">
      <c r="A634" s="169">
        <v>43612</v>
      </c>
      <c r="B634" s="115">
        <v>55.940740740740701</v>
      </c>
      <c r="C634" s="115">
        <v>55.549629629629599</v>
      </c>
      <c r="D634" s="115">
        <v>54.814814814814802</v>
      </c>
      <c r="E634" s="115">
        <v>54.814814814814802</v>
      </c>
      <c r="F634" s="115">
        <v>937.4</v>
      </c>
      <c r="G634">
        <v>3154</v>
      </c>
      <c r="H634" s="115"/>
      <c r="I634" s="115"/>
      <c r="L634" s="169">
        <v>43612</v>
      </c>
      <c r="M634" s="115">
        <v>55.374814814814798</v>
      </c>
      <c r="N634" s="115">
        <v>56</v>
      </c>
      <c r="O634" s="115">
        <v>54.853333333333303</v>
      </c>
      <c r="P634" s="115">
        <v>55.229629629629599</v>
      </c>
      <c r="Q634" s="115">
        <v>934.45</v>
      </c>
      <c r="R634">
        <v>73408</v>
      </c>
    </row>
    <row r="635" spans="1:18" x14ac:dyDescent="0.25">
      <c r="A635" s="169">
        <v>43613</v>
      </c>
      <c r="B635" s="115">
        <v>57.066666666666698</v>
      </c>
      <c r="C635" s="115">
        <v>56.103703703703701</v>
      </c>
      <c r="D635" s="115">
        <v>55.419259259259299</v>
      </c>
      <c r="E635" s="115">
        <v>55.419259259259299</v>
      </c>
      <c r="F635" s="115">
        <v>946.75</v>
      </c>
      <c r="G635">
        <v>599</v>
      </c>
      <c r="H635" s="115"/>
      <c r="I635" s="115"/>
      <c r="L635" s="169">
        <v>43613</v>
      </c>
      <c r="M635" s="115">
        <v>56.1303703703704</v>
      </c>
      <c r="N635" s="115">
        <v>56.874074074074102</v>
      </c>
      <c r="O635" s="115">
        <v>55.407407407407398</v>
      </c>
      <c r="P635" s="115">
        <v>55.703703703703702</v>
      </c>
      <c r="Q635" s="115">
        <v>947.2</v>
      </c>
      <c r="R635">
        <v>98723</v>
      </c>
    </row>
    <row r="636" spans="1:18" x14ac:dyDescent="0.25">
      <c r="A636" s="169">
        <v>43614</v>
      </c>
      <c r="B636" s="115">
        <v>56.355555555555597</v>
      </c>
      <c r="C636" s="115">
        <v>55.964444444444403</v>
      </c>
      <c r="D636" s="115">
        <v>55.644444444444403</v>
      </c>
      <c r="E636" s="115">
        <v>56.355555555555597</v>
      </c>
      <c r="F636" s="115">
        <v>944.4</v>
      </c>
      <c r="G636">
        <v>2003</v>
      </c>
      <c r="H636" s="115"/>
      <c r="I636" s="115"/>
      <c r="L636" s="169">
        <v>43614</v>
      </c>
      <c r="M636" s="115">
        <v>55.946666666666701</v>
      </c>
      <c r="N636" s="115">
        <v>56.314074074074099</v>
      </c>
      <c r="O636" s="115">
        <v>55.623703703703697</v>
      </c>
      <c r="P636" s="115">
        <v>56.314074074074099</v>
      </c>
      <c r="Q636" s="115">
        <v>944.1</v>
      </c>
      <c r="R636">
        <v>106868</v>
      </c>
    </row>
    <row r="637" spans="1:18" x14ac:dyDescent="0.25">
      <c r="A637" s="169">
        <v>43615</v>
      </c>
      <c r="B637" s="115">
        <v>56.165925925925897</v>
      </c>
      <c r="C637" s="115">
        <v>54.631111111111103</v>
      </c>
      <c r="D637" s="115">
        <v>54.414814814814797</v>
      </c>
      <c r="E637" s="115">
        <v>56.165925925925897</v>
      </c>
      <c r="F637" s="115">
        <v>921.9</v>
      </c>
      <c r="G637">
        <v>1195</v>
      </c>
      <c r="H637" s="115"/>
      <c r="I637" s="115"/>
      <c r="L637" s="169">
        <v>43615</v>
      </c>
      <c r="M637" s="115">
        <v>54.5688888888889</v>
      </c>
      <c r="N637" s="115">
        <v>55.952592592592602</v>
      </c>
      <c r="O637" s="115">
        <v>54.518518518518498</v>
      </c>
      <c r="P637" s="115">
        <v>55.682962962963003</v>
      </c>
      <c r="Q637" s="115">
        <v>920.85</v>
      </c>
      <c r="R637">
        <v>133375</v>
      </c>
    </row>
    <row r="638" spans="1:18" x14ac:dyDescent="0.25">
      <c r="A638" s="169">
        <v>43616</v>
      </c>
      <c r="B638" s="115">
        <v>55.8044444444444</v>
      </c>
      <c r="C638" s="115">
        <v>55.348148148148098</v>
      </c>
      <c r="D638" s="115">
        <v>54.429629629629602</v>
      </c>
      <c r="E638" s="115">
        <v>54.429629629629602</v>
      </c>
      <c r="F638" s="115">
        <v>934</v>
      </c>
      <c r="G638">
        <v>1502</v>
      </c>
      <c r="H638" s="115"/>
      <c r="I638" s="115"/>
      <c r="L638" s="169">
        <v>43616</v>
      </c>
      <c r="M638" s="115">
        <v>55.288888888888899</v>
      </c>
      <c r="N638" s="115">
        <v>55.822222222222202</v>
      </c>
      <c r="O638" s="115">
        <v>54.408888888888903</v>
      </c>
      <c r="P638" s="115">
        <v>55.016296296296296</v>
      </c>
      <c r="Q638" s="115">
        <v>933</v>
      </c>
      <c r="R638">
        <v>44738</v>
      </c>
    </row>
    <row r="639" spans="1:18" x14ac:dyDescent="0.25">
      <c r="A639" s="169">
        <v>43619</v>
      </c>
      <c r="B639" s="115">
        <v>56.358518518518501</v>
      </c>
      <c r="C639" s="115">
        <v>56.035555555555597</v>
      </c>
      <c r="D639" s="115">
        <v>55.348148148148098</v>
      </c>
      <c r="E639" s="115">
        <v>55.348148148148098</v>
      </c>
      <c r="F639" s="115">
        <v>945.6</v>
      </c>
      <c r="G639">
        <v>1503</v>
      </c>
      <c r="H639" s="115"/>
      <c r="I639" s="115"/>
      <c r="L639" s="169">
        <v>43619</v>
      </c>
      <c r="M639" s="115">
        <v>56.011851851851901</v>
      </c>
      <c r="N639" s="115">
        <v>56.370370370370402</v>
      </c>
      <c r="O639" s="115">
        <v>55.117037037037001</v>
      </c>
      <c r="P639" s="115">
        <v>55.644444444444403</v>
      </c>
      <c r="Q639" s="115">
        <v>945.2</v>
      </c>
      <c r="R639">
        <v>68160</v>
      </c>
    </row>
    <row r="640" spans="1:18" x14ac:dyDescent="0.25">
      <c r="A640" s="169">
        <v>43620</v>
      </c>
      <c r="B640" s="115">
        <v>56.177777777777798</v>
      </c>
      <c r="C640" s="115">
        <v>55.694814814814798</v>
      </c>
      <c r="D640" s="115">
        <v>55.256296296296298</v>
      </c>
      <c r="E640" s="115">
        <v>55.585185185185203</v>
      </c>
      <c r="F640" s="115">
        <v>939.85</v>
      </c>
      <c r="G640">
        <v>1217</v>
      </c>
      <c r="H640" s="115"/>
      <c r="I640" s="115"/>
      <c r="L640" s="169">
        <v>43620</v>
      </c>
      <c r="M640" s="115">
        <v>55.848888888888901</v>
      </c>
      <c r="N640" s="115">
        <v>56.296296296296298</v>
      </c>
      <c r="O640" s="115">
        <v>55.2414814814815</v>
      </c>
      <c r="P640" s="115">
        <v>55.8044444444444</v>
      </c>
      <c r="Q640" s="115">
        <v>942.45</v>
      </c>
      <c r="R640">
        <v>153249</v>
      </c>
    </row>
    <row r="641" spans="1:18" x14ac:dyDescent="0.25">
      <c r="A641" s="169">
        <v>43622</v>
      </c>
      <c r="B641" s="115">
        <v>55.881481481481501</v>
      </c>
      <c r="C641" s="115">
        <v>55.4637037037037</v>
      </c>
      <c r="D641" s="115">
        <v>54.9540740740741</v>
      </c>
      <c r="E641" s="115">
        <v>54.9540740740741</v>
      </c>
      <c r="F641" s="115">
        <v>935.95</v>
      </c>
      <c r="G641">
        <v>483</v>
      </c>
      <c r="H641" s="115"/>
      <c r="I641" s="115"/>
      <c r="L641" s="169">
        <v>43622</v>
      </c>
      <c r="M641" s="115">
        <v>55.5881481481481</v>
      </c>
      <c r="N641" s="115">
        <v>56.059259259259299</v>
      </c>
      <c r="O641" s="115">
        <v>54.817777777777799</v>
      </c>
      <c r="P641" s="115">
        <v>56.059259259259299</v>
      </c>
      <c r="Q641" s="115">
        <v>938.05</v>
      </c>
      <c r="R641">
        <v>74026</v>
      </c>
    </row>
    <row r="642" spans="1:18" x14ac:dyDescent="0.25">
      <c r="A642" s="169">
        <v>43623</v>
      </c>
      <c r="B642" s="115">
        <v>56.008888888888897</v>
      </c>
      <c r="C642" s="115">
        <v>55.534814814814801</v>
      </c>
      <c r="D642" s="115">
        <v>55.318518518518502</v>
      </c>
      <c r="E642" s="115">
        <v>56.008888888888897</v>
      </c>
      <c r="F642" s="115">
        <v>937.15</v>
      </c>
      <c r="G642">
        <v>665</v>
      </c>
      <c r="H642" s="115"/>
      <c r="I642" s="115"/>
      <c r="L642" s="169">
        <v>43623</v>
      </c>
      <c r="M642" s="115">
        <v>55.576296296296299</v>
      </c>
      <c r="N642" s="115">
        <v>56.088888888888903</v>
      </c>
      <c r="O642" s="115">
        <v>55.117037037037001</v>
      </c>
      <c r="P642" s="115">
        <v>55.3007407407407</v>
      </c>
      <c r="Q642" s="115">
        <v>937.85</v>
      </c>
      <c r="R642">
        <v>93098</v>
      </c>
    </row>
    <row r="643" spans="1:18" x14ac:dyDescent="0.25">
      <c r="A643" s="169">
        <v>43626</v>
      </c>
      <c r="B643" s="115">
        <v>55.940740740740701</v>
      </c>
      <c r="C643" s="115">
        <v>55.715555555555603</v>
      </c>
      <c r="D643" s="115">
        <v>55.288888888888899</v>
      </c>
      <c r="E643" s="115">
        <v>55.703703703703702</v>
      </c>
      <c r="F643" s="115">
        <v>940.2</v>
      </c>
      <c r="G643">
        <v>2437</v>
      </c>
      <c r="H643" s="115"/>
      <c r="I643" s="115"/>
      <c r="L643" s="169">
        <v>43626</v>
      </c>
      <c r="M643" s="115">
        <v>55.819259259259297</v>
      </c>
      <c r="N643" s="115">
        <v>56</v>
      </c>
      <c r="O643" s="115">
        <v>55.262222222222199</v>
      </c>
      <c r="P643" s="115">
        <v>55.703703703703702</v>
      </c>
      <c r="Q643" s="115">
        <v>941.95</v>
      </c>
      <c r="R643">
        <v>88159</v>
      </c>
    </row>
    <row r="644" spans="1:18" x14ac:dyDescent="0.25">
      <c r="A644" s="169">
        <v>43627</v>
      </c>
      <c r="B644" s="115">
        <v>56.296296296296298</v>
      </c>
      <c r="C644" s="115">
        <v>55.508148148148202</v>
      </c>
      <c r="D644" s="115">
        <v>54.936296296296298</v>
      </c>
      <c r="E644" s="115">
        <v>55.940740740740701</v>
      </c>
      <c r="F644" s="115">
        <v>936.7</v>
      </c>
      <c r="G644">
        <v>2623</v>
      </c>
      <c r="H644" s="115"/>
      <c r="I644" s="115"/>
      <c r="L644" s="169">
        <v>43627</v>
      </c>
      <c r="M644" s="115">
        <v>55.371851851851901</v>
      </c>
      <c r="N644" s="115">
        <v>56.343703703703703</v>
      </c>
      <c r="O644" s="115">
        <v>55.170370370370399</v>
      </c>
      <c r="P644" s="115">
        <v>55.881481481481501</v>
      </c>
      <c r="Q644" s="115">
        <v>934.4</v>
      </c>
      <c r="R644">
        <v>134608</v>
      </c>
    </row>
    <row r="645" spans="1:18" x14ac:dyDescent="0.25">
      <c r="A645" s="169">
        <v>43628</v>
      </c>
      <c r="B645" s="115">
        <v>56.139259259259298</v>
      </c>
      <c r="C645" s="115">
        <v>55.9348148148148</v>
      </c>
      <c r="D645" s="115">
        <v>55.531851851851897</v>
      </c>
      <c r="E645" s="115">
        <v>55.872592592592603</v>
      </c>
      <c r="F645" s="115">
        <v>943.9</v>
      </c>
      <c r="G645">
        <v>5305</v>
      </c>
      <c r="H645" s="115"/>
      <c r="I645" s="115"/>
      <c r="L645" s="169">
        <v>43628</v>
      </c>
      <c r="M645" s="115">
        <v>55.834074074074103</v>
      </c>
      <c r="N645" s="115">
        <v>56.171851851851798</v>
      </c>
      <c r="O645" s="115">
        <v>55.271111111111097</v>
      </c>
      <c r="P645" s="115">
        <v>55.688888888888897</v>
      </c>
      <c r="Q645" s="115">
        <v>942.2</v>
      </c>
      <c r="R645">
        <v>129488</v>
      </c>
    </row>
    <row r="646" spans="1:18" x14ac:dyDescent="0.25">
      <c r="A646" s="169">
        <v>43629</v>
      </c>
      <c r="B646" s="115">
        <v>56.082962962963002</v>
      </c>
      <c r="C646" s="115">
        <v>55.845925925925897</v>
      </c>
      <c r="D646" s="115">
        <v>55.466666666666697</v>
      </c>
      <c r="E646" s="115">
        <v>55.964444444444403</v>
      </c>
      <c r="F646" s="115">
        <v>942.4</v>
      </c>
      <c r="G646">
        <v>2189</v>
      </c>
      <c r="H646" s="115"/>
      <c r="I646" s="115"/>
      <c r="L646" s="169">
        <v>43629</v>
      </c>
      <c r="M646" s="115">
        <v>55.632592592592601</v>
      </c>
      <c r="N646" s="115">
        <v>56.136296296296301</v>
      </c>
      <c r="O646" s="115">
        <v>55.422222222222203</v>
      </c>
      <c r="P646" s="115">
        <v>56.1244444444444</v>
      </c>
      <c r="Q646" s="115">
        <v>938.8</v>
      </c>
      <c r="R646">
        <v>29057</v>
      </c>
    </row>
    <row r="647" spans="1:18" x14ac:dyDescent="0.25">
      <c r="A647" s="169">
        <v>43630</v>
      </c>
      <c r="B647" s="115">
        <v>56.423703703703701</v>
      </c>
      <c r="C647" s="115">
        <v>55.368888888888897</v>
      </c>
      <c r="D647" s="115">
        <v>54.930370370370397</v>
      </c>
      <c r="E647" s="115">
        <v>56.423703703703701</v>
      </c>
      <c r="F647" s="115">
        <v>934.35</v>
      </c>
      <c r="G647">
        <v>1414</v>
      </c>
      <c r="H647" s="115"/>
      <c r="I647" s="115"/>
      <c r="L647" s="169">
        <v>43630</v>
      </c>
      <c r="M647" s="115">
        <v>55.102222222222203</v>
      </c>
      <c r="N647" s="115">
        <v>55.997037037037003</v>
      </c>
      <c r="O647" s="115">
        <v>54.637037037036997</v>
      </c>
      <c r="P647" s="115">
        <v>55.997037037037003</v>
      </c>
      <c r="Q647" s="115">
        <v>929.85</v>
      </c>
      <c r="R647">
        <v>34413</v>
      </c>
    </row>
    <row r="648" spans="1:18" x14ac:dyDescent="0.25">
      <c r="A648" s="169">
        <v>43633</v>
      </c>
      <c r="B648" s="115">
        <v>55.368888888888897</v>
      </c>
      <c r="C648" s="115">
        <v>51.063703703703702</v>
      </c>
      <c r="D648" s="115">
        <v>47.170370370370399</v>
      </c>
      <c r="E648" s="115">
        <v>55.285925925925902</v>
      </c>
      <c r="F648" s="115">
        <v>861.7</v>
      </c>
      <c r="G648">
        <v>13388</v>
      </c>
      <c r="H648" s="115"/>
      <c r="I648" s="115"/>
      <c r="L648" s="169">
        <v>43633</v>
      </c>
      <c r="M648" s="115">
        <v>50.877037037036999</v>
      </c>
      <c r="N648" s="115">
        <v>55.493333333333297</v>
      </c>
      <c r="O648" s="115">
        <v>46.942222222222199</v>
      </c>
      <c r="P648" s="115">
        <v>55.282962962962998</v>
      </c>
      <c r="Q648" s="115">
        <v>858.55</v>
      </c>
      <c r="R648">
        <v>258556</v>
      </c>
    </row>
    <row r="649" spans="1:18" x14ac:dyDescent="0.25">
      <c r="A649" s="169">
        <v>43634</v>
      </c>
      <c r="B649" s="115">
        <v>55.703703703703702</v>
      </c>
      <c r="C649" s="115">
        <v>53.5555555555556</v>
      </c>
      <c r="D649" s="115">
        <v>51.911111111111097</v>
      </c>
      <c r="E649" s="115">
        <v>52.459259259259298</v>
      </c>
      <c r="F649" s="115">
        <v>903.75</v>
      </c>
      <c r="G649">
        <v>20631</v>
      </c>
      <c r="H649" s="115"/>
      <c r="I649" s="115"/>
      <c r="L649" s="169">
        <v>43634</v>
      </c>
      <c r="M649" s="115">
        <v>53.52</v>
      </c>
      <c r="N649" s="115">
        <v>55.703703703703702</v>
      </c>
      <c r="O649" s="115">
        <v>51.851851851851897</v>
      </c>
      <c r="P649" s="115">
        <v>52.622222222222199</v>
      </c>
      <c r="Q649" s="115">
        <v>903.15</v>
      </c>
      <c r="R649">
        <v>539687</v>
      </c>
    </row>
    <row r="650" spans="1:18" x14ac:dyDescent="0.25">
      <c r="A650" s="169">
        <v>43635</v>
      </c>
      <c r="B650" s="115">
        <v>54.776296296296302</v>
      </c>
      <c r="C650" s="115">
        <v>52.802962962963001</v>
      </c>
      <c r="D650" s="115">
        <v>52.48</v>
      </c>
      <c r="E650" s="115">
        <v>53.626666666666701</v>
      </c>
      <c r="F650" s="115">
        <v>891.05</v>
      </c>
      <c r="G650">
        <v>3911</v>
      </c>
      <c r="H650" s="115"/>
      <c r="I650" s="115"/>
      <c r="L650" s="169">
        <v>43635</v>
      </c>
      <c r="M650" s="115">
        <v>52.746666666666698</v>
      </c>
      <c r="N650" s="115">
        <v>54.814814814814802</v>
      </c>
      <c r="O650" s="115">
        <v>52.5037037037037</v>
      </c>
      <c r="P650" s="115">
        <v>53.528888888888901</v>
      </c>
      <c r="Q650" s="115">
        <v>890.1</v>
      </c>
      <c r="R650">
        <v>66986</v>
      </c>
    </row>
    <row r="651" spans="1:18" x14ac:dyDescent="0.25">
      <c r="A651" s="169">
        <v>43636</v>
      </c>
      <c r="B651" s="115">
        <v>54.044444444444402</v>
      </c>
      <c r="C651" s="115">
        <v>53.709629629629603</v>
      </c>
      <c r="D651" s="115">
        <v>52.423703703703701</v>
      </c>
      <c r="E651" s="115">
        <v>53.037037037037003</v>
      </c>
      <c r="F651" s="115">
        <v>906.35</v>
      </c>
      <c r="G651">
        <v>3007</v>
      </c>
      <c r="H651" s="115"/>
      <c r="I651" s="115"/>
      <c r="L651" s="169">
        <v>43636</v>
      </c>
      <c r="M651" s="115">
        <v>53.819259259259297</v>
      </c>
      <c r="N651" s="115">
        <v>54.068148148148097</v>
      </c>
      <c r="O651" s="115">
        <v>52.148148148148103</v>
      </c>
      <c r="P651" s="115">
        <v>53.007407407407399</v>
      </c>
      <c r="Q651" s="115">
        <v>908.2</v>
      </c>
      <c r="R651">
        <v>33945</v>
      </c>
    </row>
    <row r="652" spans="1:18" x14ac:dyDescent="0.25">
      <c r="A652" s="169">
        <v>43637</v>
      </c>
      <c r="B652" s="115">
        <v>55.899259259259303</v>
      </c>
      <c r="C652" s="115">
        <v>55.428148148148097</v>
      </c>
      <c r="D652" s="115">
        <v>53.748148148148097</v>
      </c>
      <c r="E652" s="115">
        <v>53.925925925925903</v>
      </c>
      <c r="F652" s="115">
        <v>935.35</v>
      </c>
      <c r="G652">
        <v>4435</v>
      </c>
      <c r="H652" s="115"/>
      <c r="I652" s="115"/>
      <c r="L652" s="169">
        <v>43637</v>
      </c>
      <c r="M652" s="115">
        <v>55.442962962963001</v>
      </c>
      <c r="N652" s="115">
        <v>55.845925925925897</v>
      </c>
      <c r="O652" s="115">
        <v>53.6207407407407</v>
      </c>
      <c r="P652" s="115">
        <v>53.925925925925903</v>
      </c>
      <c r="Q652" s="115">
        <v>935.6</v>
      </c>
      <c r="R652">
        <v>57950</v>
      </c>
    </row>
    <row r="653" spans="1:18" x14ac:dyDescent="0.25">
      <c r="A653" s="169">
        <v>43640</v>
      </c>
      <c r="B653" s="115">
        <v>56.112592592592598</v>
      </c>
      <c r="C653" s="115">
        <v>55.3066666666667</v>
      </c>
      <c r="D653" s="115">
        <v>55.048888888888897</v>
      </c>
      <c r="E653" s="115">
        <v>55.822222222222202</v>
      </c>
      <c r="F653" s="115">
        <v>933.3</v>
      </c>
      <c r="G653">
        <v>2010</v>
      </c>
      <c r="H653" s="115"/>
      <c r="I653" s="115"/>
      <c r="L653" s="169">
        <v>43640</v>
      </c>
      <c r="M653" s="115">
        <v>55.454814814814803</v>
      </c>
      <c r="N653" s="115">
        <v>56.118518518518499</v>
      </c>
      <c r="O653" s="115">
        <v>54.936296296296298</v>
      </c>
      <c r="P653" s="115">
        <v>55.703703703703702</v>
      </c>
      <c r="Q653" s="115">
        <v>935.8</v>
      </c>
      <c r="R653">
        <v>25571</v>
      </c>
    </row>
    <row r="654" spans="1:18" x14ac:dyDescent="0.25">
      <c r="A654" s="169">
        <v>43641</v>
      </c>
      <c r="B654" s="115">
        <v>55.688888888888897</v>
      </c>
      <c r="C654" s="115">
        <v>55.063703703703702</v>
      </c>
      <c r="D654" s="115">
        <v>54.832592592592597</v>
      </c>
      <c r="E654" s="115">
        <v>55.087407407407397</v>
      </c>
      <c r="F654" s="115">
        <v>929.2</v>
      </c>
      <c r="G654">
        <v>1264</v>
      </c>
      <c r="H654" s="115"/>
      <c r="I654" s="115"/>
      <c r="L654" s="169">
        <v>43641</v>
      </c>
      <c r="M654" s="115">
        <v>54.9866666666667</v>
      </c>
      <c r="N654" s="115">
        <v>55.5881481481481</v>
      </c>
      <c r="O654" s="115">
        <v>54.814814814814802</v>
      </c>
      <c r="P654" s="115">
        <v>55.454814814814803</v>
      </c>
      <c r="Q654" s="115">
        <v>927.9</v>
      </c>
      <c r="R654">
        <v>60084</v>
      </c>
    </row>
    <row r="655" spans="1:18" x14ac:dyDescent="0.25">
      <c r="A655" s="169">
        <v>43642</v>
      </c>
      <c r="B655" s="115">
        <v>56.171851851851798</v>
      </c>
      <c r="C655" s="115">
        <v>55.244444444444397</v>
      </c>
      <c r="D655" s="115">
        <v>54.459259259259298</v>
      </c>
      <c r="E655" s="115">
        <v>55.371851851851901</v>
      </c>
      <c r="F655" s="115">
        <v>932.25</v>
      </c>
      <c r="G655">
        <v>2025</v>
      </c>
      <c r="H655" s="115"/>
      <c r="I655" s="115"/>
      <c r="L655" s="169">
        <v>43642</v>
      </c>
      <c r="M655" s="115">
        <v>55.170370370370399</v>
      </c>
      <c r="N655" s="115">
        <v>56.231111111111098</v>
      </c>
      <c r="O655" s="115">
        <v>54.2222222222222</v>
      </c>
      <c r="P655" s="115">
        <v>54.933333333333302</v>
      </c>
      <c r="Q655" s="115">
        <v>931</v>
      </c>
      <c r="R655">
        <v>120528</v>
      </c>
    </row>
    <row r="656" spans="1:18" x14ac:dyDescent="0.25">
      <c r="A656" s="169">
        <v>43643</v>
      </c>
      <c r="B656" s="115">
        <v>56.118518518518499</v>
      </c>
      <c r="C656" s="115">
        <v>55.691851851851901</v>
      </c>
      <c r="D656" s="115">
        <v>54.9866666666667</v>
      </c>
      <c r="E656" s="115">
        <v>55.277037037036997</v>
      </c>
      <c r="F656" s="115">
        <v>939.8</v>
      </c>
      <c r="G656">
        <v>3550</v>
      </c>
      <c r="H656" s="115"/>
      <c r="I656" s="115"/>
      <c r="L656" s="169">
        <v>43643</v>
      </c>
      <c r="M656" s="115">
        <v>55.682962962963003</v>
      </c>
      <c r="N656" s="115">
        <v>56.296296296296298</v>
      </c>
      <c r="O656" s="115">
        <v>54.903703703703698</v>
      </c>
      <c r="P656" s="115">
        <v>55.522962962963</v>
      </c>
      <c r="Q656" s="115">
        <v>939.65</v>
      </c>
      <c r="R656">
        <v>69312</v>
      </c>
    </row>
    <row r="657" spans="1:18" x14ac:dyDescent="0.25">
      <c r="A657" s="169">
        <v>43644</v>
      </c>
      <c r="B657" s="115">
        <v>56.533333333333303</v>
      </c>
      <c r="C657" s="115">
        <v>56.014814814814798</v>
      </c>
      <c r="D657" s="115">
        <v>55.703703703703702</v>
      </c>
      <c r="E657" s="115">
        <v>55.762962962963002</v>
      </c>
      <c r="F657" s="115">
        <v>945.25</v>
      </c>
      <c r="G657">
        <v>3250</v>
      </c>
      <c r="H657" s="115"/>
      <c r="I657" s="115"/>
      <c r="L657" s="169">
        <v>43644</v>
      </c>
      <c r="M657" s="115">
        <v>56.106666666666698</v>
      </c>
      <c r="N657" s="115">
        <v>56.589629629629599</v>
      </c>
      <c r="O657" s="115">
        <v>55.703703703703702</v>
      </c>
      <c r="P657" s="115">
        <v>55.828148148148202</v>
      </c>
      <c r="Q657" s="115">
        <v>946.8</v>
      </c>
      <c r="R657">
        <v>53018</v>
      </c>
    </row>
    <row r="658" spans="1:18" x14ac:dyDescent="0.25">
      <c r="A658" s="169">
        <v>43647</v>
      </c>
      <c r="B658" s="115">
        <v>56.071111111111101</v>
      </c>
      <c r="C658" s="115">
        <v>55.2681481481482</v>
      </c>
      <c r="D658" s="115">
        <v>55.1111111111111</v>
      </c>
      <c r="E658" s="115">
        <v>56.071111111111101</v>
      </c>
      <c r="F658" s="115">
        <v>932.65</v>
      </c>
      <c r="G658">
        <v>937</v>
      </c>
      <c r="H658" s="115"/>
      <c r="I658" s="115"/>
      <c r="L658" s="169">
        <v>43647</v>
      </c>
      <c r="M658" s="115">
        <v>55.3392592592593</v>
      </c>
      <c r="N658" s="115">
        <v>56.414814814814797</v>
      </c>
      <c r="O658" s="115">
        <v>55.1111111111111</v>
      </c>
      <c r="P658" s="115">
        <v>56.414814814814797</v>
      </c>
      <c r="Q658" s="115">
        <v>933.85</v>
      </c>
      <c r="R658">
        <v>21497</v>
      </c>
    </row>
    <row r="659" spans="1:18" x14ac:dyDescent="0.25">
      <c r="A659" s="169">
        <v>43648</v>
      </c>
      <c r="B659" s="115">
        <v>57.173333333333296</v>
      </c>
      <c r="C659" s="115">
        <v>56.785185185185199</v>
      </c>
      <c r="D659" s="115">
        <v>55.122962962963001</v>
      </c>
      <c r="E659" s="115">
        <v>55.2681481481482</v>
      </c>
      <c r="F659" s="115">
        <v>958.25</v>
      </c>
      <c r="G659">
        <v>1071</v>
      </c>
      <c r="H659" s="115"/>
      <c r="I659" s="115"/>
      <c r="L659" s="169">
        <v>43648</v>
      </c>
      <c r="M659" s="115">
        <v>56.88</v>
      </c>
      <c r="N659" s="115">
        <v>57.182222222222201</v>
      </c>
      <c r="O659" s="115">
        <v>54.8888888888889</v>
      </c>
      <c r="P659" s="115">
        <v>55.1111111111111</v>
      </c>
      <c r="Q659" s="115">
        <v>959.85</v>
      </c>
      <c r="R659">
        <v>47371</v>
      </c>
    </row>
    <row r="660" spans="1:18" x14ac:dyDescent="0.25">
      <c r="A660" s="169">
        <v>43649</v>
      </c>
      <c r="B660" s="115">
        <v>57.638518518518502</v>
      </c>
      <c r="C660" s="115">
        <v>56.942222222222199</v>
      </c>
      <c r="D660" s="115">
        <v>56.592592592592602</v>
      </c>
      <c r="E660" s="115">
        <v>57.125925925925898</v>
      </c>
      <c r="F660" s="115">
        <v>960.9</v>
      </c>
      <c r="G660">
        <v>1978</v>
      </c>
      <c r="H660" s="115"/>
      <c r="I660" s="115"/>
      <c r="L660" s="169">
        <v>43649</v>
      </c>
      <c r="M660" s="115">
        <v>56.770370370370401</v>
      </c>
      <c r="N660" s="115">
        <v>57.475555555555601</v>
      </c>
      <c r="O660" s="115">
        <v>55.881481481481501</v>
      </c>
      <c r="P660" s="115">
        <v>57.357037037037003</v>
      </c>
      <c r="Q660" s="115">
        <v>958</v>
      </c>
      <c r="R660">
        <v>257290</v>
      </c>
    </row>
    <row r="661" spans="1:18" x14ac:dyDescent="0.25">
      <c r="A661" s="169">
        <v>43650</v>
      </c>
      <c r="B661" s="115">
        <v>57.368888888888897</v>
      </c>
      <c r="C661" s="115">
        <v>56.637037037036997</v>
      </c>
      <c r="D661" s="115">
        <v>56.447407407407397</v>
      </c>
      <c r="E661" s="115">
        <v>57.36</v>
      </c>
      <c r="F661" s="115">
        <v>955.75</v>
      </c>
      <c r="G661">
        <v>1321</v>
      </c>
      <c r="H661" s="115"/>
      <c r="I661" s="115"/>
      <c r="L661" s="169">
        <v>43650</v>
      </c>
      <c r="M661" s="115">
        <v>56.779259259259298</v>
      </c>
      <c r="N661" s="115">
        <v>57.448888888888902</v>
      </c>
      <c r="O661" s="115">
        <v>56.474074074074103</v>
      </c>
      <c r="P661" s="115">
        <v>56.829629629629601</v>
      </c>
      <c r="Q661" s="115">
        <v>958.15</v>
      </c>
      <c r="R661">
        <v>57466</v>
      </c>
    </row>
    <row r="662" spans="1:18" x14ac:dyDescent="0.25">
      <c r="A662" s="169">
        <v>43651</v>
      </c>
      <c r="B662" s="115">
        <v>56.746666666666698</v>
      </c>
      <c r="C662" s="115">
        <v>56.201481481481501</v>
      </c>
      <c r="D662" s="115">
        <v>55.899259259259303</v>
      </c>
      <c r="E662" s="115">
        <v>56.6666666666667</v>
      </c>
      <c r="F662" s="115">
        <v>948.4</v>
      </c>
      <c r="G662">
        <v>1094</v>
      </c>
      <c r="H662" s="115"/>
      <c r="I662" s="115"/>
      <c r="L662" s="169">
        <v>43651</v>
      </c>
      <c r="M662" s="115">
        <v>56.201481481481501</v>
      </c>
      <c r="N662" s="115">
        <v>57.137777777777799</v>
      </c>
      <c r="O662" s="115">
        <v>56</v>
      </c>
      <c r="P662" s="115">
        <v>56.948148148148199</v>
      </c>
      <c r="Q662" s="115">
        <v>948.4</v>
      </c>
      <c r="R662">
        <v>28975</v>
      </c>
    </row>
    <row r="663" spans="1:18" x14ac:dyDescent="0.25">
      <c r="A663" s="169">
        <v>43654</v>
      </c>
      <c r="B663" s="115">
        <v>57.6</v>
      </c>
      <c r="C663" s="115">
        <v>56.8237037037037</v>
      </c>
      <c r="D663" s="115">
        <v>55.250370370370398</v>
      </c>
      <c r="E663" s="115">
        <v>55.277037037036997</v>
      </c>
      <c r="F663" s="115">
        <v>958.9</v>
      </c>
      <c r="G663">
        <v>3220</v>
      </c>
      <c r="H663" s="115"/>
      <c r="I663" s="115"/>
      <c r="L663" s="169">
        <v>43654</v>
      </c>
      <c r="M663" s="115">
        <v>56.891851851851797</v>
      </c>
      <c r="N663" s="115">
        <v>57.466666666666697</v>
      </c>
      <c r="O663" s="115">
        <v>55.407407407407398</v>
      </c>
      <c r="P663" s="115">
        <v>56</v>
      </c>
      <c r="Q663" s="115">
        <v>960.05</v>
      </c>
      <c r="R663">
        <v>182080</v>
      </c>
    </row>
    <row r="664" spans="1:18" x14ac:dyDescent="0.25">
      <c r="A664" s="169">
        <v>43655</v>
      </c>
      <c r="B664" s="115">
        <v>57.7777777777778</v>
      </c>
      <c r="C664" s="115">
        <v>57.380740740740698</v>
      </c>
      <c r="D664" s="115">
        <v>56.903703703703698</v>
      </c>
      <c r="E664" s="115">
        <v>57.2414814814815</v>
      </c>
      <c r="F664" s="115">
        <v>968.3</v>
      </c>
      <c r="G664">
        <v>1819</v>
      </c>
      <c r="H664" s="115"/>
      <c r="I664" s="115"/>
      <c r="L664" s="169">
        <v>43655</v>
      </c>
      <c r="M664" s="115">
        <v>57.194074074074102</v>
      </c>
      <c r="N664" s="115">
        <v>57.7718518518518</v>
      </c>
      <c r="O664" s="115">
        <v>56.903703703703698</v>
      </c>
      <c r="P664" s="115">
        <v>56.903703703703698</v>
      </c>
      <c r="Q664" s="115">
        <v>965.15</v>
      </c>
      <c r="R664">
        <v>146730</v>
      </c>
    </row>
    <row r="665" spans="1:18" x14ac:dyDescent="0.25">
      <c r="A665" s="169">
        <v>43656</v>
      </c>
      <c r="B665" s="115">
        <v>57.493333333333297</v>
      </c>
      <c r="C665" s="115">
        <v>56.657777777777802</v>
      </c>
      <c r="D665" s="115">
        <v>56</v>
      </c>
      <c r="E665" s="115">
        <v>57.493333333333297</v>
      </c>
      <c r="F665" s="115">
        <v>956.1</v>
      </c>
      <c r="G665">
        <v>599</v>
      </c>
      <c r="H665" s="115"/>
      <c r="I665" s="115"/>
      <c r="L665" s="169">
        <v>43656</v>
      </c>
      <c r="M665" s="115">
        <v>56.506666666666703</v>
      </c>
      <c r="N665" s="115">
        <v>57.540740740740702</v>
      </c>
      <c r="O665" s="115">
        <v>56.005925925925901</v>
      </c>
      <c r="P665" s="115">
        <v>57.422222222222203</v>
      </c>
      <c r="Q665" s="115">
        <v>953.55</v>
      </c>
      <c r="R665">
        <v>34166</v>
      </c>
    </row>
    <row r="666" spans="1:18" x14ac:dyDescent="0.25">
      <c r="A666" s="169">
        <v>43657</v>
      </c>
      <c r="B666" s="115">
        <v>57.7777777777778</v>
      </c>
      <c r="C666" s="115">
        <v>57.285925925925902</v>
      </c>
      <c r="D666" s="115">
        <v>56.314074074074099</v>
      </c>
      <c r="E666" s="115">
        <v>56.314074074074099</v>
      </c>
      <c r="F666" s="115">
        <v>966.7</v>
      </c>
      <c r="G666">
        <v>1592</v>
      </c>
      <c r="H666" s="115"/>
      <c r="I666" s="115"/>
      <c r="L666" s="169">
        <v>43657</v>
      </c>
      <c r="M666" s="115">
        <v>57.099259259259298</v>
      </c>
      <c r="N666" s="115">
        <v>57.303703703703697</v>
      </c>
      <c r="O666" s="115">
        <v>56.533333333333303</v>
      </c>
      <c r="P666" s="115">
        <v>56.711111111111101</v>
      </c>
      <c r="Q666" s="115">
        <v>963.55</v>
      </c>
      <c r="R666">
        <v>177205</v>
      </c>
    </row>
    <row r="667" spans="1:18" x14ac:dyDescent="0.25">
      <c r="A667" s="169">
        <v>43658</v>
      </c>
      <c r="B667" s="115">
        <v>57.362962962963003</v>
      </c>
      <c r="C667" s="115">
        <v>57.134814814814803</v>
      </c>
      <c r="D667" s="115">
        <v>57.016296296296296</v>
      </c>
      <c r="E667" s="115">
        <v>57.173333333333296</v>
      </c>
      <c r="F667" s="115">
        <v>964.15</v>
      </c>
      <c r="G667">
        <v>802</v>
      </c>
      <c r="H667" s="115"/>
      <c r="I667" s="115"/>
      <c r="L667" s="169">
        <v>43658</v>
      </c>
      <c r="M667" s="115">
        <v>57.164444444444399</v>
      </c>
      <c r="N667" s="115">
        <v>57.380740740740698</v>
      </c>
      <c r="O667" s="115">
        <v>56.779259259259298</v>
      </c>
      <c r="P667" s="115">
        <v>57.380740740740698</v>
      </c>
      <c r="Q667" s="115">
        <v>964.65</v>
      </c>
      <c r="R667">
        <v>10923</v>
      </c>
    </row>
    <row r="668" spans="1:18" x14ac:dyDescent="0.25">
      <c r="A668" s="169">
        <v>43661</v>
      </c>
      <c r="B668" s="115">
        <v>57.481481481481502</v>
      </c>
      <c r="C668" s="115">
        <v>56.562962962962999</v>
      </c>
      <c r="D668" s="115">
        <v>56.432592592592599</v>
      </c>
      <c r="E668" s="115">
        <v>57.481481481481502</v>
      </c>
      <c r="F668" s="115">
        <v>954.5</v>
      </c>
      <c r="G668">
        <v>611</v>
      </c>
      <c r="H668" s="115"/>
      <c r="I668" s="115"/>
      <c r="L668" s="169">
        <v>43661</v>
      </c>
      <c r="M668" s="115">
        <v>56.557037037036999</v>
      </c>
      <c r="N668" s="115">
        <v>57.404444444444401</v>
      </c>
      <c r="O668" s="115">
        <v>56.3851851851852</v>
      </c>
      <c r="P668" s="115">
        <v>57.3007407407407</v>
      </c>
      <c r="Q668" s="115">
        <v>954.4</v>
      </c>
      <c r="R668">
        <v>11034</v>
      </c>
    </row>
    <row r="669" spans="1:18" x14ac:dyDescent="0.25">
      <c r="A669" s="169">
        <v>43662</v>
      </c>
      <c r="B669" s="115">
        <v>57.28</v>
      </c>
      <c r="C669" s="115">
        <v>56.1955555555556</v>
      </c>
      <c r="D669" s="115">
        <v>55.84</v>
      </c>
      <c r="E669" s="115">
        <v>56.817777777777799</v>
      </c>
      <c r="F669" s="115">
        <v>948.3</v>
      </c>
      <c r="G669">
        <v>612</v>
      </c>
      <c r="H669" s="115"/>
      <c r="I669" s="115"/>
      <c r="L669" s="169">
        <v>43662</v>
      </c>
      <c r="M669" s="115">
        <v>56.023703703703703</v>
      </c>
      <c r="N669" s="115">
        <v>57.357037037037003</v>
      </c>
      <c r="O669" s="115">
        <v>55.822222222222202</v>
      </c>
      <c r="P669" s="115">
        <v>56.562962962962999</v>
      </c>
      <c r="Q669" s="115">
        <v>945.4</v>
      </c>
      <c r="R669">
        <v>23296</v>
      </c>
    </row>
    <row r="670" spans="1:18" x14ac:dyDescent="0.25">
      <c r="A670" s="169">
        <v>43663</v>
      </c>
      <c r="B670" s="115">
        <v>56.607407407407401</v>
      </c>
      <c r="C670" s="115">
        <v>55.478518518518499</v>
      </c>
      <c r="D670" s="115">
        <v>55.146666666666697</v>
      </c>
      <c r="E670" s="115">
        <v>56.358518518518501</v>
      </c>
      <c r="F670" s="115">
        <v>936.2</v>
      </c>
      <c r="G670">
        <v>1970</v>
      </c>
      <c r="H670" s="115"/>
      <c r="I670" s="115"/>
      <c r="L670" s="169">
        <v>43663</v>
      </c>
      <c r="M670" s="115">
        <v>55.434074074074097</v>
      </c>
      <c r="N670" s="115">
        <v>56.648888888888898</v>
      </c>
      <c r="O670" s="115">
        <v>55.1111111111111</v>
      </c>
      <c r="P670" s="115">
        <v>56.592592592592602</v>
      </c>
      <c r="Q670" s="115">
        <v>935.45</v>
      </c>
      <c r="R670">
        <v>99275</v>
      </c>
    </row>
    <row r="671" spans="1:18" x14ac:dyDescent="0.25">
      <c r="A671" s="169">
        <v>43664</v>
      </c>
      <c r="B671" s="115">
        <v>57.259259259259302</v>
      </c>
      <c r="C671" s="115">
        <v>55.857777777777798</v>
      </c>
      <c r="D671" s="115">
        <v>52.740740740740698</v>
      </c>
      <c r="E671" s="115">
        <v>52.740740740740698</v>
      </c>
      <c r="F671" s="115">
        <v>942.6</v>
      </c>
      <c r="G671">
        <v>2575</v>
      </c>
      <c r="H671" s="115"/>
      <c r="I671" s="115"/>
      <c r="L671" s="169">
        <v>43664</v>
      </c>
      <c r="M671" s="115">
        <v>55.899259259259303</v>
      </c>
      <c r="N671" s="115">
        <v>57.185185185185198</v>
      </c>
      <c r="O671" s="115">
        <v>55.528888888888901</v>
      </c>
      <c r="P671" s="115">
        <v>55.703703703703702</v>
      </c>
      <c r="Q671" s="115">
        <v>943.3</v>
      </c>
      <c r="R671">
        <v>51067</v>
      </c>
    </row>
    <row r="672" spans="1:18" x14ac:dyDescent="0.25">
      <c r="A672" s="169">
        <v>43665</v>
      </c>
      <c r="B672" s="115">
        <v>56.465185185185199</v>
      </c>
      <c r="C672" s="115">
        <v>54.521481481481501</v>
      </c>
      <c r="D672" s="115">
        <v>54.210370370370399</v>
      </c>
      <c r="E672" s="115">
        <v>56.1303703703704</v>
      </c>
      <c r="F672" s="115">
        <v>920.05</v>
      </c>
      <c r="G672">
        <v>957</v>
      </c>
      <c r="H672" s="115"/>
      <c r="I672" s="115"/>
      <c r="L672" s="169">
        <v>43665</v>
      </c>
      <c r="M672" s="115">
        <v>54.506666666666703</v>
      </c>
      <c r="N672" s="115">
        <v>56.530370370370399</v>
      </c>
      <c r="O672" s="115">
        <v>54.186666666666703</v>
      </c>
      <c r="P672" s="115">
        <v>56.275555555555599</v>
      </c>
      <c r="Q672" s="115">
        <v>919.8</v>
      </c>
      <c r="R672">
        <v>44262</v>
      </c>
    </row>
    <row r="673" spans="1:18" x14ac:dyDescent="0.25">
      <c r="A673" s="169">
        <v>43668</v>
      </c>
      <c r="B673" s="115">
        <v>54.219259259259303</v>
      </c>
      <c r="C673" s="115">
        <v>53.442962962963001</v>
      </c>
      <c r="D673" s="115">
        <v>51.854814814814802</v>
      </c>
      <c r="E673" s="115">
        <v>53.570370370370398</v>
      </c>
      <c r="F673" s="115">
        <v>901.85</v>
      </c>
      <c r="G673">
        <v>2324</v>
      </c>
      <c r="H673" s="115"/>
      <c r="I673" s="115"/>
      <c r="L673" s="169">
        <v>43668</v>
      </c>
      <c r="M673" s="115">
        <v>53.377777777777801</v>
      </c>
      <c r="N673" s="115">
        <v>54.2222222222222</v>
      </c>
      <c r="O673" s="115">
        <v>52.755555555555603</v>
      </c>
      <c r="P673" s="115">
        <v>53.410370370370401</v>
      </c>
      <c r="Q673" s="115">
        <v>900.75</v>
      </c>
      <c r="R673">
        <v>223874</v>
      </c>
    </row>
    <row r="674" spans="1:18" x14ac:dyDescent="0.25">
      <c r="A674" s="169">
        <v>43669</v>
      </c>
      <c r="B674" s="115">
        <v>56.802962962963001</v>
      </c>
      <c r="C674" s="115">
        <v>55.602962962962998</v>
      </c>
      <c r="D674" s="115">
        <v>53.472592592592598</v>
      </c>
      <c r="E674" s="115">
        <v>53.84</v>
      </c>
      <c r="F674" s="115">
        <v>938.3</v>
      </c>
      <c r="G674">
        <v>2502</v>
      </c>
      <c r="H674" s="115"/>
      <c r="I674" s="115"/>
      <c r="L674" s="169">
        <v>43669</v>
      </c>
      <c r="M674" s="115">
        <v>55.9674074074074</v>
      </c>
      <c r="N674" s="115">
        <v>56.8888888888889</v>
      </c>
      <c r="O674" s="115">
        <v>53.336296296296297</v>
      </c>
      <c r="P674" s="115">
        <v>53.911111111111097</v>
      </c>
      <c r="Q674" s="115">
        <v>944.45</v>
      </c>
      <c r="R674">
        <v>61331</v>
      </c>
    </row>
    <row r="675" spans="1:18" x14ac:dyDescent="0.25">
      <c r="A675" s="169">
        <v>43670</v>
      </c>
      <c r="B675" s="115">
        <v>57.7777777777778</v>
      </c>
      <c r="C675" s="115">
        <v>53.315555555555598</v>
      </c>
      <c r="D675" s="115">
        <v>51.899259259259303</v>
      </c>
      <c r="E675" s="115">
        <v>57.7777777777778</v>
      </c>
      <c r="F675" s="115">
        <v>899.7</v>
      </c>
      <c r="G675">
        <v>8901</v>
      </c>
      <c r="H675" s="115"/>
      <c r="I675" s="115"/>
      <c r="L675" s="169">
        <v>43670</v>
      </c>
      <c r="M675" s="115">
        <v>52.595555555555599</v>
      </c>
      <c r="N675" s="115">
        <v>56.8888888888889</v>
      </c>
      <c r="O675" s="115">
        <v>45.890370370370398</v>
      </c>
      <c r="P675" s="115">
        <v>56.711111111111101</v>
      </c>
      <c r="Q675" s="115">
        <v>887.55</v>
      </c>
      <c r="R675">
        <v>104740</v>
      </c>
    </row>
    <row r="676" spans="1:18" x14ac:dyDescent="0.25">
      <c r="A676" s="169">
        <v>43671</v>
      </c>
      <c r="B676" s="115">
        <v>56.4177777777778</v>
      </c>
      <c r="C676" s="115">
        <v>55.062222222222204</v>
      </c>
      <c r="D676" s="115">
        <v>53.422222222222203</v>
      </c>
      <c r="E676" s="115">
        <v>53.422222222222203</v>
      </c>
      <c r="F676" s="115">
        <v>619.45000000000005</v>
      </c>
      <c r="G676">
        <v>3781</v>
      </c>
      <c r="H676" s="115"/>
      <c r="I676" s="115"/>
      <c r="L676" s="169">
        <v>43671</v>
      </c>
      <c r="M676" s="115">
        <v>55.226666666666702</v>
      </c>
      <c r="N676" s="115">
        <v>56.8888888888889</v>
      </c>
      <c r="O676" s="115">
        <v>52.622222222222199</v>
      </c>
      <c r="P676" s="115">
        <v>52.622222222222199</v>
      </c>
      <c r="Q676" s="115">
        <v>621.29999999999995</v>
      </c>
      <c r="R676">
        <v>67174</v>
      </c>
    </row>
    <row r="677" spans="1:18" x14ac:dyDescent="0.25">
      <c r="A677" s="169">
        <v>43672</v>
      </c>
      <c r="B677" s="115">
        <v>59.271111111111097</v>
      </c>
      <c r="C677" s="115">
        <v>58.253333333333302</v>
      </c>
      <c r="D677" s="115">
        <v>55.382222222222197</v>
      </c>
      <c r="E677" s="115">
        <v>55.382222222222197</v>
      </c>
      <c r="F677" s="115">
        <v>655.35</v>
      </c>
      <c r="G677">
        <v>3706</v>
      </c>
      <c r="H677" s="115"/>
      <c r="I677" s="115"/>
      <c r="L677" s="169">
        <v>43672</v>
      </c>
      <c r="M677" s="115">
        <v>58.266666666666701</v>
      </c>
      <c r="N677" s="115">
        <v>59.226666666666702</v>
      </c>
      <c r="O677" s="115">
        <v>54.4</v>
      </c>
      <c r="P677" s="115">
        <v>55.724444444444401</v>
      </c>
      <c r="Q677" s="115">
        <v>655.5</v>
      </c>
      <c r="R677">
        <v>82336</v>
      </c>
    </row>
    <row r="678" spans="1:18" x14ac:dyDescent="0.25">
      <c r="A678" s="169">
        <v>43675</v>
      </c>
      <c r="B678" s="115">
        <v>60.724444444444401</v>
      </c>
      <c r="C678" s="115">
        <v>56.8888888888889</v>
      </c>
      <c r="D678" s="115">
        <v>55.822222222222202</v>
      </c>
      <c r="E678" s="115">
        <v>58.844444444444399</v>
      </c>
      <c r="F678" s="115">
        <v>640</v>
      </c>
      <c r="G678">
        <v>8058</v>
      </c>
      <c r="H678" s="115"/>
      <c r="I678" s="115"/>
      <c r="L678" s="169">
        <v>43675</v>
      </c>
      <c r="M678" s="115">
        <v>56.822222222222202</v>
      </c>
      <c r="N678" s="115">
        <v>59.911111111111097</v>
      </c>
      <c r="O678" s="115">
        <v>55.773333333333298</v>
      </c>
      <c r="P678" s="115">
        <v>58.733333333333299</v>
      </c>
      <c r="Q678" s="115">
        <v>639.25</v>
      </c>
      <c r="R678">
        <v>86773</v>
      </c>
    </row>
    <row r="679" spans="1:18" x14ac:dyDescent="0.25">
      <c r="A679" s="169">
        <v>43676</v>
      </c>
      <c r="B679" s="115">
        <v>59.035555555555597</v>
      </c>
      <c r="C679" s="115">
        <v>56.635555555555598</v>
      </c>
      <c r="D679" s="115">
        <v>56.342222222222198</v>
      </c>
      <c r="E679" s="115">
        <v>56.835555555555601</v>
      </c>
      <c r="F679" s="115">
        <v>637.15</v>
      </c>
      <c r="G679">
        <v>6045</v>
      </c>
      <c r="H679" s="115"/>
      <c r="I679" s="115"/>
      <c r="L679" s="169">
        <v>43676</v>
      </c>
      <c r="M679" s="115">
        <v>56.52</v>
      </c>
      <c r="N679" s="115">
        <v>59.1111111111111</v>
      </c>
      <c r="O679" s="115">
        <v>56.004444444444403</v>
      </c>
      <c r="P679" s="115">
        <v>56.88</v>
      </c>
      <c r="Q679" s="115">
        <v>635.85</v>
      </c>
      <c r="R679">
        <v>150180</v>
      </c>
    </row>
    <row r="680" spans="1:18" x14ac:dyDescent="0.25">
      <c r="A680" s="169">
        <v>43677</v>
      </c>
      <c r="B680" s="115">
        <v>58.133333333333297</v>
      </c>
      <c r="C680" s="115">
        <v>56.946666666666701</v>
      </c>
      <c r="D680" s="115">
        <v>56.413333333333298</v>
      </c>
      <c r="E680" s="115">
        <v>57.475555555555601</v>
      </c>
      <c r="F680" s="115">
        <v>640.65</v>
      </c>
      <c r="G680">
        <v>6843</v>
      </c>
      <c r="H680" s="115"/>
      <c r="I680" s="115"/>
      <c r="L680" s="169">
        <v>43677</v>
      </c>
      <c r="M680" s="115">
        <v>56.7911111111111</v>
      </c>
      <c r="N680" s="115">
        <v>58.217777777777798</v>
      </c>
      <c r="O680" s="115">
        <v>56.253333333333302</v>
      </c>
      <c r="P680" s="115">
        <v>56.5422222222222</v>
      </c>
      <c r="Q680" s="115">
        <v>638.9</v>
      </c>
      <c r="R680">
        <v>166609</v>
      </c>
    </row>
    <row r="681" spans="1:18" x14ac:dyDescent="0.25">
      <c r="A681" s="169">
        <v>43678</v>
      </c>
      <c r="B681" s="115">
        <v>57.76</v>
      </c>
      <c r="C681" s="115">
        <v>55.4444444444444</v>
      </c>
      <c r="D681" s="115">
        <v>54.6666666666667</v>
      </c>
      <c r="E681" s="115">
        <v>57.733333333333299</v>
      </c>
      <c r="F681" s="115">
        <v>623.75</v>
      </c>
      <c r="G681">
        <v>10430</v>
      </c>
      <c r="H681" s="115"/>
      <c r="I681" s="115"/>
      <c r="L681" s="169">
        <v>43678</v>
      </c>
      <c r="M681" s="115">
        <v>55.413333333333298</v>
      </c>
      <c r="N681" s="115">
        <v>57.773333333333298</v>
      </c>
      <c r="O681" s="115">
        <v>54.586666666666702</v>
      </c>
      <c r="P681" s="115">
        <v>57.142222222222202</v>
      </c>
      <c r="Q681" s="115">
        <v>623.4</v>
      </c>
      <c r="R681">
        <v>287868</v>
      </c>
    </row>
    <row r="682" spans="1:18" x14ac:dyDescent="0.25">
      <c r="A682" s="169">
        <v>43679</v>
      </c>
      <c r="B682" s="115">
        <v>55.591111111111097</v>
      </c>
      <c r="C682" s="115">
        <v>55.0844444444445</v>
      </c>
      <c r="D682" s="115">
        <v>53.573333333333302</v>
      </c>
      <c r="E682" s="115">
        <v>55.422222222222203</v>
      </c>
      <c r="F682" s="115">
        <v>619.70000000000005</v>
      </c>
      <c r="G682">
        <v>8382</v>
      </c>
      <c r="H682" s="115"/>
      <c r="I682" s="115"/>
      <c r="L682" s="169">
        <v>43679</v>
      </c>
      <c r="M682" s="115">
        <v>55.155555555555601</v>
      </c>
      <c r="N682" s="115">
        <v>55.724444444444401</v>
      </c>
      <c r="O682" s="115">
        <v>53.56</v>
      </c>
      <c r="P682" s="115">
        <v>55.2</v>
      </c>
      <c r="Q682" s="115">
        <v>620.5</v>
      </c>
      <c r="R682">
        <v>117763</v>
      </c>
    </row>
    <row r="683" spans="1:18" x14ac:dyDescent="0.25">
      <c r="A683" s="169">
        <v>43682</v>
      </c>
      <c r="B683" s="115">
        <v>55.075555555555603</v>
      </c>
      <c r="C683" s="115">
        <v>52.844444444444399</v>
      </c>
      <c r="D683" s="115">
        <v>52.177777777777798</v>
      </c>
      <c r="E683" s="115">
        <v>55.075555555555603</v>
      </c>
      <c r="F683" s="115">
        <v>594.5</v>
      </c>
      <c r="G683">
        <v>2843</v>
      </c>
      <c r="H683" s="115"/>
      <c r="I683" s="115"/>
      <c r="L683" s="169">
        <v>43682</v>
      </c>
      <c r="M683" s="115">
        <v>52.844444444444399</v>
      </c>
      <c r="N683" s="115">
        <v>55.08</v>
      </c>
      <c r="O683" s="115">
        <v>52.488888888888901</v>
      </c>
      <c r="P683" s="115">
        <v>54.311111111111103</v>
      </c>
      <c r="Q683" s="115">
        <v>594.5</v>
      </c>
      <c r="R683">
        <v>121672</v>
      </c>
    </row>
    <row r="684" spans="1:18" x14ac:dyDescent="0.25">
      <c r="A684" s="169">
        <v>43683</v>
      </c>
      <c r="B684" s="115">
        <v>54.946666666666701</v>
      </c>
      <c r="C684" s="115">
        <v>53.7911111111111</v>
      </c>
      <c r="D684" s="115">
        <v>52.088888888888903</v>
      </c>
      <c r="E684" s="115">
        <v>52.4444444444444</v>
      </c>
      <c r="F684" s="115">
        <v>605.15</v>
      </c>
      <c r="G684">
        <v>2054</v>
      </c>
      <c r="H684" s="115"/>
      <c r="I684" s="115"/>
      <c r="L684" s="169">
        <v>43683</v>
      </c>
      <c r="M684" s="115">
        <v>53.8044444444444</v>
      </c>
      <c r="N684" s="115">
        <v>55.004444444444403</v>
      </c>
      <c r="O684" s="115">
        <v>52</v>
      </c>
      <c r="P684" s="115">
        <v>52.395555555555603</v>
      </c>
      <c r="Q684" s="115">
        <v>605.29999999999995</v>
      </c>
      <c r="R684">
        <v>252670</v>
      </c>
    </row>
    <row r="685" spans="1:18" x14ac:dyDescent="0.25">
      <c r="A685" s="169">
        <v>43684</v>
      </c>
      <c r="B685" s="115">
        <v>55.1111111111111</v>
      </c>
      <c r="C685" s="115">
        <v>54.92</v>
      </c>
      <c r="D685" s="115">
        <v>53.688888888888897</v>
      </c>
      <c r="E685" s="115">
        <v>54.004444444444403</v>
      </c>
      <c r="F685" s="115">
        <v>617.85</v>
      </c>
      <c r="G685">
        <v>1679</v>
      </c>
      <c r="H685" s="115"/>
      <c r="I685" s="115"/>
      <c r="L685" s="169">
        <v>43684</v>
      </c>
      <c r="M685" s="115">
        <v>54.893333333333302</v>
      </c>
      <c r="N685" s="115">
        <v>55.191111111111098</v>
      </c>
      <c r="O685" s="115">
        <v>53.866666666666703</v>
      </c>
      <c r="P685" s="115">
        <v>54.657777777777802</v>
      </c>
      <c r="Q685" s="115">
        <v>617.54999999999995</v>
      </c>
      <c r="R685">
        <v>378430</v>
      </c>
    </row>
    <row r="686" spans="1:18" x14ac:dyDescent="0.25">
      <c r="A686" s="169">
        <v>43685</v>
      </c>
      <c r="B686" s="115">
        <v>55.466666666666697</v>
      </c>
      <c r="C686" s="115">
        <v>55.191111111111098</v>
      </c>
      <c r="D686" s="115">
        <v>54.391111111111101</v>
      </c>
      <c r="E686" s="115">
        <v>54.977777777777803</v>
      </c>
      <c r="F686" s="115">
        <v>620.9</v>
      </c>
      <c r="G686">
        <v>1767</v>
      </c>
      <c r="H686" s="115"/>
      <c r="I686" s="115"/>
      <c r="L686" s="169">
        <v>43685</v>
      </c>
      <c r="M686" s="115">
        <v>55.0844444444445</v>
      </c>
      <c r="N686" s="115">
        <v>55.5555555555556</v>
      </c>
      <c r="O686" s="115">
        <v>54.395555555555603</v>
      </c>
      <c r="P686" s="115">
        <v>55.115555555555602</v>
      </c>
      <c r="Q686" s="115">
        <v>619.70000000000005</v>
      </c>
      <c r="R686">
        <v>35087</v>
      </c>
    </row>
    <row r="687" spans="1:18" x14ac:dyDescent="0.25">
      <c r="A687" s="169">
        <v>43686</v>
      </c>
      <c r="B687" s="115">
        <v>56.497777777777799</v>
      </c>
      <c r="C687" s="115">
        <v>54.844444444444399</v>
      </c>
      <c r="D687" s="115">
        <v>53.591111111111097</v>
      </c>
      <c r="E687" s="115">
        <v>56.266666666666701</v>
      </c>
      <c r="F687" s="115">
        <v>617</v>
      </c>
      <c r="G687">
        <v>4061</v>
      </c>
      <c r="H687" s="115"/>
      <c r="I687" s="115"/>
      <c r="L687" s="169">
        <v>43686</v>
      </c>
      <c r="M687" s="115">
        <v>54.288888888888899</v>
      </c>
      <c r="N687" s="115">
        <v>56.88</v>
      </c>
      <c r="O687" s="115">
        <v>53.342222222222198</v>
      </c>
      <c r="P687" s="115">
        <v>55.04</v>
      </c>
      <c r="Q687" s="115">
        <v>610.75</v>
      </c>
      <c r="R687">
        <v>255335</v>
      </c>
    </row>
    <row r="688" spans="1:18" x14ac:dyDescent="0.25">
      <c r="A688" s="169">
        <v>43690</v>
      </c>
      <c r="B688" s="115">
        <v>56.577777777777797</v>
      </c>
      <c r="C688" s="115">
        <v>56.044444444444402</v>
      </c>
      <c r="D688" s="115">
        <v>53.733333333333299</v>
      </c>
      <c r="E688" s="115">
        <v>55.911111111111097</v>
      </c>
      <c r="F688" s="115">
        <v>630.5</v>
      </c>
      <c r="G688">
        <v>8964</v>
      </c>
      <c r="H688" s="115"/>
      <c r="I688" s="115"/>
      <c r="L688" s="169">
        <v>43690</v>
      </c>
      <c r="M688" s="115">
        <v>56.133333333333297</v>
      </c>
      <c r="N688" s="115">
        <v>56.435555555555602</v>
      </c>
      <c r="O688" s="115">
        <v>53.711111111111101</v>
      </c>
      <c r="P688" s="115">
        <v>54.711111111111101</v>
      </c>
      <c r="Q688" s="115">
        <v>631.5</v>
      </c>
      <c r="R688">
        <v>76411</v>
      </c>
    </row>
    <row r="689" spans="1:18" x14ac:dyDescent="0.25">
      <c r="A689" s="169">
        <v>43691</v>
      </c>
      <c r="B689" s="115">
        <v>57.066666666666698</v>
      </c>
      <c r="C689" s="115">
        <v>56.102222222222203</v>
      </c>
      <c r="D689" s="115">
        <v>55.466666666666697</v>
      </c>
      <c r="E689" s="115">
        <v>55.751111111111101</v>
      </c>
      <c r="F689" s="115">
        <v>631.15</v>
      </c>
      <c r="G689">
        <v>4622</v>
      </c>
      <c r="H689" s="115"/>
      <c r="I689" s="115"/>
      <c r="L689" s="169">
        <v>43691</v>
      </c>
      <c r="M689" s="115">
        <v>56.52</v>
      </c>
      <c r="N689" s="115">
        <v>57.115555555555602</v>
      </c>
      <c r="O689" s="115">
        <v>55.1111111111111</v>
      </c>
      <c r="P689" s="115">
        <v>56.604444444444397</v>
      </c>
      <c r="Q689" s="115">
        <v>635.85</v>
      </c>
      <c r="R689">
        <v>69954</v>
      </c>
    </row>
    <row r="690" spans="1:18" x14ac:dyDescent="0.25">
      <c r="A690" s="169">
        <v>43693</v>
      </c>
      <c r="B690" s="115">
        <v>58.395555555555603</v>
      </c>
      <c r="C690" s="115">
        <v>58.137777777777799</v>
      </c>
      <c r="D690" s="115">
        <v>54.6666666666667</v>
      </c>
      <c r="E690" s="115">
        <v>57.7777777777778</v>
      </c>
      <c r="F690" s="115">
        <v>654.04999999999995</v>
      </c>
      <c r="G690">
        <v>3074</v>
      </c>
      <c r="H690" s="115"/>
      <c r="I690" s="115"/>
      <c r="L690" s="169">
        <v>43693</v>
      </c>
      <c r="M690" s="115">
        <v>58.1111111111111</v>
      </c>
      <c r="N690" s="115">
        <v>58.213333333333303</v>
      </c>
      <c r="O690" s="115">
        <v>55.764444444444401</v>
      </c>
      <c r="P690" s="115">
        <v>55.764444444444401</v>
      </c>
      <c r="Q690" s="115">
        <v>653.75</v>
      </c>
      <c r="R690">
        <v>80450</v>
      </c>
    </row>
    <row r="691" spans="1:18" x14ac:dyDescent="0.25">
      <c r="A691" s="169">
        <v>43696</v>
      </c>
      <c r="B691" s="115">
        <v>58.755555555555603</v>
      </c>
      <c r="C691" s="115">
        <v>58.204444444444398</v>
      </c>
      <c r="D691" s="115">
        <v>57.351111111111102</v>
      </c>
      <c r="E691" s="115">
        <v>58.755555555555603</v>
      </c>
      <c r="F691" s="115">
        <v>654.79999999999995</v>
      </c>
      <c r="G691">
        <v>1556</v>
      </c>
      <c r="H691" s="115"/>
      <c r="I691" s="115"/>
      <c r="L691" s="169">
        <v>43696</v>
      </c>
      <c r="M691" s="115">
        <v>58.168888888888901</v>
      </c>
      <c r="N691" s="115">
        <v>58.662222222222198</v>
      </c>
      <c r="O691" s="115">
        <v>57.2088888888889</v>
      </c>
      <c r="P691" s="115">
        <v>58.133333333333297</v>
      </c>
      <c r="Q691" s="115">
        <v>654.4</v>
      </c>
      <c r="R691">
        <v>156995</v>
      </c>
    </row>
    <row r="692" spans="1:18" x14ac:dyDescent="0.25">
      <c r="A692" s="169">
        <v>43697</v>
      </c>
      <c r="B692" s="115">
        <v>58.173333333333296</v>
      </c>
      <c r="C692" s="115">
        <v>57.422222222222203</v>
      </c>
      <c r="D692" s="115">
        <v>57.12</v>
      </c>
      <c r="E692" s="115">
        <v>58.017777777777802</v>
      </c>
      <c r="F692" s="115">
        <v>646</v>
      </c>
      <c r="G692">
        <v>2771</v>
      </c>
      <c r="H692" s="115"/>
      <c r="I692" s="115"/>
      <c r="L692" s="169">
        <v>43697</v>
      </c>
      <c r="M692" s="115">
        <v>57.351111111111102</v>
      </c>
      <c r="N692" s="115">
        <v>58.5688888888889</v>
      </c>
      <c r="O692" s="115">
        <v>57.031111111111102</v>
      </c>
      <c r="P692" s="115">
        <v>58.5688888888889</v>
      </c>
      <c r="Q692" s="115">
        <v>645.20000000000005</v>
      </c>
      <c r="R692">
        <v>30260</v>
      </c>
    </row>
    <row r="693" spans="1:18" x14ac:dyDescent="0.25">
      <c r="A693" s="169">
        <v>43698</v>
      </c>
      <c r="B693" s="115">
        <v>57.72</v>
      </c>
      <c r="C693" s="115">
        <v>57.008888888888897</v>
      </c>
      <c r="D693" s="115">
        <v>56.462222222222202</v>
      </c>
      <c r="E693" s="115">
        <v>57.373333333333299</v>
      </c>
      <c r="F693" s="115">
        <v>641.35</v>
      </c>
      <c r="G693">
        <v>802</v>
      </c>
      <c r="H693" s="115"/>
      <c r="I693" s="115"/>
      <c r="L693" s="169">
        <v>43698</v>
      </c>
      <c r="M693" s="115">
        <v>57.004444444444403</v>
      </c>
      <c r="N693" s="115">
        <v>57.7777777777778</v>
      </c>
      <c r="O693" s="115">
        <v>56.4444444444444</v>
      </c>
      <c r="P693" s="115">
        <v>57.3333333333333</v>
      </c>
      <c r="Q693" s="115">
        <v>641.29999999999995</v>
      </c>
      <c r="R693">
        <v>21216</v>
      </c>
    </row>
    <row r="694" spans="1:18" x14ac:dyDescent="0.25">
      <c r="A694" s="169">
        <v>43699</v>
      </c>
      <c r="B694" s="115">
        <v>57.72</v>
      </c>
      <c r="C694" s="115">
        <v>56.933333333333302</v>
      </c>
      <c r="D694" s="115">
        <v>55.5555555555556</v>
      </c>
      <c r="E694" s="115">
        <v>57.408888888888903</v>
      </c>
      <c r="F694" s="115">
        <v>640.5</v>
      </c>
      <c r="G694">
        <v>5628</v>
      </c>
      <c r="H694" s="115"/>
      <c r="I694" s="115"/>
      <c r="L694" s="169">
        <v>43699</v>
      </c>
      <c r="M694" s="115">
        <v>56.9866666666667</v>
      </c>
      <c r="N694" s="115">
        <v>57.773333333333298</v>
      </c>
      <c r="O694" s="115">
        <v>55.577777777777797</v>
      </c>
      <c r="P694" s="115">
        <v>57.155555555555601</v>
      </c>
      <c r="Q694" s="115">
        <v>641.1</v>
      </c>
      <c r="R694">
        <v>55417</v>
      </c>
    </row>
    <row r="695" spans="1:18" x14ac:dyDescent="0.25">
      <c r="A695" s="169">
        <v>43700</v>
      </c>
      <c r="B695" s="115">
        <v>57.946666666666701</v>
      </c>
      <c r="C695" s="115">
        <v>56.968888888888898</v>
      </c>
      <c r="D695" s="115">
        <v>56.622222222222199</v>
      </c>
      <c r="E695" s="115">
        <v>56.826666666666704</v>
      </c>
      <c r="F695" s="115">
        <v>640.9</v>
      </c>
      <c r="G695">
        <v>1936</v>
      </c>
      <c r="H695" s="115"/>
      <c r="I695" s="115"/>
      <c r="L695" s="169">
        <v>43700</v>
      </c>
      <c r="M695" s="115">
        <v>56.928888888888899</v>
      </c>
      <c r="N695" s="115">
        <v>57.866666666666703</v>
      </c>
      <c r="O695" s="115">
        <v>55.808888888888902</v>
      </c>
      <c r="P695" s="115">
        <v>56.96</v>
      </c>
      <c r="Q695" s="115">
        <v>640.45000000000005</v>
      </c>
      <c r="R695">
        <v>63476</v>
      </c>
    </row>
    <row r="696" spans="1:18" x14ac:dyDescent="0.25">
      <c r="A696" s="169">
        <v>43703</v>
      </c>
      <c r="B696" s="115">
        <v>57.7777777777778</v>
      </c>
      <c r="C696" s="115">
        <v>57.528888888888901</v>
      </c>
      <c r="D696" s="115">
        <v>56.8888888888889</v>
      </c>
      <c r="E696" s="115">
        <v>57.7777777777778</v>
      </c>
      <c r="F696" s="115">
        <v>647.20000000000005</v>
      </c>
      <c r="G696">
        <v>2281</v>
      </c>
      <c r="H696" s="115"/>
      <c r="I696" s="115"/>
      <c r="L696" s="169">
        <v>43703</v>
      </c>
      <c r="M696" s="115">
        <v>57.408888888888903</v>
      </c>
      <c r="N696" s="115">
        <v>57.7777777777778</v>
      </c>
      <c r="O696" s="115">
        <v>56.168888888888901</v>
      </c>
      <c r="P696" s="115">
        <v>57.328888888888898</v>
      </c>
      <c r="Q696" s="115">
        <v>645.85</v>
      </c>
      <c r="R696">
        <v>43984</v>
      </c>
    </row>
    <row r="697" spans="1:18" x14ac:dyDescent="0.25">
      <c r="A697" s="169">
        <v>43704</v>
      </c>
      <c r="B697" s="115">
        <v>57.706666666666699</v>
      </c>
      <c r="C697" s="115">
        <v>56.786666666666697</v>
      </c>
      <c r="D697" s="115">
        <v>56.533333333333303</v>
      </c>
      <c r="E697" s="115">
        <v>57.031111111111102</v>
      </c>
      <c r="F697" s="115">
        <v>638.85</v>
      </c>
      <c r="G697">
        <v>1963</v>
      </c>
      <c r="H697" s="115"/>
      <c r="I697" s="115"/>
      <c r="L697" s="169">
        <v>43704</v>
      </c>
      <c r="M697" s="115">
        <v>56.88</v>
      </c>
      <c r="N697" s="115">
        <v>57.688888888888897</v>
      </c>
      <c r="O697" s="115">
        <v>56.4444444444444</v>
      </c>
      <c r="P697" s="115">
        <v>57.248888888888899</v>
      </c>
      <c r="Q697" s="115">
        <v>639.9</v>
      </c>
      <c r="R697">
        <v>183220</v>
      </c>
    </row>
    <row r="698" spans="1:18" x14ac:dyDescent="0.25">
      <c r="A698" s="169">
        <v>43705</v>
      </c>
      <c r="B698" s="115">
        <v>57.151111111111099</v>
      </c>
      <c r="C698" s="115">
        <v>57.017777777777802</v>
      </c>
      <c r="D698" s="115">
        <v>56.462222222222202</v>
      </c>
      <c r="E698" s="115">
        <v>56.924444444444397</v>
      </c>
      <c r="F698" s="115">
        <v>641.45000000000005</v>
      </c>
      <c r="G698">
        <v>7616</v>
      </c>
      <c r="H698" s="115"/>
      <c r="I698" s="115"/>
      <c r="L698" s="169">
        <v>43705</v>
      </c>
      <c r="M698" s="115">
        <v>56.942222222222199</v>
      </c>
      <c r="N698" s="115">
        <v>57.093333333333298</v>
      </c>
      <c r="O698" s="115">
        <v>56.4444444444444</v>
      </c>
      <c r="P698" s="115">
        <v>56.977777777777803</v>
      </c>
      <c r="Q698" s="115">
        <v>640.6</v>
      </c>
      <c r="R698">
        <v>46591</v>
      </c>
    </row>
    <row r="699" spans="1:18" x14ac:dyDescent="0.25">
      <c r="A699" s="169">
        <v>43706</v>
      </c>
      <c r="B699" s="115">
        <v>58.128888888888902</v>
      </c>
      <c r="C699" s="115">
        <v>57.795555555555602</v>
      </c>
      <c r="D699" s="115">
        <v>57.12</v>
      </c>
      <c r="E699" s="115">
        <v>57.5422222222222</v>
      </c>
      <c r="F699" s="115">
        <v>650.20000000000005</v>
      </c>
      <c r="G699">
        <v>3556</v>
      </c>
      <c r="H699" s="115"/>
      <c r="I699" s="115"/>
      <c r="L699" s="169">
        <v>43706</v>
      </c>
      <c r="M699" s="115">
        <v>57.786666666666697</v>
      </c>
      <c r="N699" s="115">
        <v>57.955555555555598</v>
      </c>
      <c r="O699" s="115">
        <v>56.942222222222199</v>
      </c>
      <c r="P699" s="115">
        <v>57.062222222222204</v>
      </c>
      <c r="Q699" s="115">
        <v>650.1</v>
      </c>
      <c r="R699">
        <v>352731</v>
      </c>
    </row>
    <row r="700" spans="1:18" x14ac:dyDescent="0.25">
      <c r="A700" s="169">
        <v>43707</v>
      </c>
      <c r="B700" s="115">
        <v>58.062222222222204</v>
      </c>
      <c r="C700" s="115">
        <v>56.991111111111103</v>
      </c>
      <c r="D700" s="115">
        <v>56.177777777777798</v>
      </c>
      <c r="E700" s="115">
        <v>57.955555555555598</v>
      </c>
      <c r="F700" s="115">
        <v>641.15</v>
      </c>
      <c r="G700">
        <v>3826</v>
      </c>
      <c r="H700" s="115"/>
      <c r="I700" s="115"/>
      <c r="L700" s="169">
        <v>43707</v>
      </c>
      <c r="M700" s="115">
        <v>57.4444444444444</v>
      </c>
      <c r="N700" s="115">
        <v>57.955555555555598</v>
      </c>
      <c r="O700" s="115">
        <v>56.177777777777798</v>
      </c>
      <c r="P700" s="115">
        <v>57.955555555555598</v>
      </c>
      <c r="Q700" s="115">
        <v>646.25</v>
      </c>
      <c r="R700">
        <v>515961</v>
      </c>
    </row>
    <row r="701" spans="1:18" x14ac:dyDescent="0.25">
      <c r="A701" s="169">
        <v>43711</v>
      </c>
      <c r="B701" s="115">
        <v>56.8888888888889</v>
      </c>
      <c r="C701" s="115">
        <v>55.835555555555601</v>
      </c>
      <c r="D701" s="115">
        <v>54.577777777777797</v>
      </c>
      <c r="E701" s="115">
        <v>56.488888888888901</v>
      </c>
      <c r="F701" s="115">
        <v>628.15</v>
      </c>
      <c r="G701">
        <v>2956</v>
      </c>
      <c r="H701" s="115"/>
      <c r="I701" s="115"/>
      <c r="L701" s="169">
        <v>43711</v>
      </c>
      <c r="M701" s="115">
        <v>55.982222222222198</v>
      </c>
      <c r="N701" s="115">
        <v>57.066666666666698</v>
      </c>
      <c r="O701" s="115">
        <v>54.471111111111099</v>
      </c>
      <c r="P701" s="115">
        <v>57.066666666666698</v>
      </c>
      <c r="Q701" s="115">
        <v>629.79999999999995</v>
      </c>
      <c r="R701">
        <v>71750</v>
      </c>
    </row>
    <row r="702" spans="1:18" x14ac:dyDescent="0.25">
      <c r="A702" s="169">
        <v>43712</v>
      </c>
      <c r="B702" s="115">
        <v>57.857777777777798</v>
      </c>
      <c r="C702" s="115">
        <v>56.0844444444445</v>
      </c>
      <c r="D702" s="115">
        <v>55.608888888888899</v>
      </c>
      <c r="E702" s="115">
        <v>57.857777777777798</v>
      </c>
      <c r="F702" s="115">
        <v>630.95000000000005</v>
      </c>
      <c r="G702">
        <v>2469</v>
      </c>
      <c r="H702" s="115"/>
      <c r="I702" s="115"/>
      <c r="L702" s="169">
        <v>43712</v>
      </c>
      <c r="M702" s="115">
        <v>56.32</v>
      </c>
      <c r="N702" s="115">
        <v>57.6666666666667</v>
      </c>
      <c r="O702" s="115">
        <v>55.5555555555556</v>
      </c>
      <c r="P702" s="115">
        <v>57.6666666666667</v>
      </c>
      <c r="Q702" s="115">
        <v>633.6</v>
      </c>
      <c r="R702">
        <v>66322</v>
      </c>
    </row>
    <row r="703" spans="1:18" x14ac:dyDescent="0.25">
      <c r="A703" s="169">
        <v>43713</v>
      </c>
      <c r="B703" s="115">
        <v>56.746666666666698</v>
      </c>
      <c r="C703" s="115">
        <v>55.942222222222199</v>
      </c>
      <c r="D703" s="115">
        <v>55.6533333333333</v>
      </c>
      <c r="E703" s="115">
        <v>56.4</v>
      </c>
      <c r="F703" s="115">
        <v>629.35</v>
      </c>
      <c r="G703">
        <v>619</v>
      </c>
      <c r="H703" s="115"/>
      <c r="I703" s="115"/>
      <c r="L703" s="169">
        <v>43713</v>
      </c>
      <c r="M703" s="115">
        <v>55.764444444444401</v>
      </c>
      <c r="N703" s="115">
        <v>56.697777777777802</v>
      </c>
      <c r="O703" s="115">
        <v>55.564444444444398</v>
      </c>
      <c r="P703" s="115">
        <v>56.613333333333301</v>
      </c>
      <c r="Q703" s="115">
        <v>627.35</v>
      </c>
      <c r="R703">
        <v>13834</v>
      </c>
    </row>
    <row r="704" spans="1:18" x14ac:dyDescent="0.25">
      <c r="A704" s="169">
        <v>43714</v>
      </c>
      <c r="B704" s="115">
        <v>56.404444444444401</v>
      </c>
      <c r="C704" s="115">
        <v>56.137777777777799</v>
      </c>
      <c r="D704" s="115">
        <v>55.235555555555599</v>
      </c>
      <c r="E704" s="115">
        <v>55.822222222222202</v>
      </c>
      <c r="F704" s="115">
        <v>631.54999999999995</v>
      </c>
      <c r="G704">
        <v>597</v>
      </c>
      <c r="H704" s="115"/>
      <c r="I704" s="115"/>
      <c r="L704" s="169">
        <v>43714</v>
      </c>
      <c r="M704" s="115">
        <v>55.671111111111102</v>
      </c>
      <c r="N704" s="115">
        <v>56.266666666666701</v>
      </c>
      <c r="O704" s="115">
        <v>55.2088888888889</v>
      </c>
      <c r="P704" s="115">
        <v>56.244444444444397</v>
      </c>
      <c r="Q704" s="115">
        <v>626.29999999999995</v>
      </c>
      <c r="R704">
        <v>20109</v>
      </c>
    </row>
    <row r="705" spans="1:18" x14ac:dyDescent="0.25">
      <c r="A705" s="169">
        <v>43717</v>
      </c>
      <c r="B705" s="115">
        <v>56</v>
      </c>
      <c r="C705" s="115">
        <v>55.631111111111103</v>
      </c>
      <c r="D705" s="115">
        <v>54.044444444444402</v>
      </c>
      <c r="E705" s="115">
        <v>55.5555555555556</v>
      </c>
      <c r="F705" s="115">
        <v>625.85</v>
      </c>
      <c r="G705">
        <v>4066</v>
      </c>
      <c r="H705" s="115"/>
      <c r="I705" s="115"/>
      <c r="L705" s="169">
        <v>43717</v>
      </c>
      <c r="M705" s="115">
        <v>55.795555555555602</v>
      </c>
      <c r="N705" s="115">
        <v>55.991111111111103</v>
      </c>
      <c r="O705" s="115">
        <v>53.96</v>
      </c>
      <c r="P705" s="115">
        <v>55.1111111111111</v>
      </c>
      <c r="Q705" s="115">
        <v>627.70000000000005</v>
      </c>
      <c r="R705">
        <v>102461</v>
      </c>
    </row>
    <row r="706" spans="1:18" x14ac:dyDescent="0.25">
      <c r="A706" s="169">
        <v>43719</v>
      </c>
      <c r="B706" s="115">
        <v>56.8</v>
      </c>
      <c r="C706" s="115">
        <v>52.893333333333302</v>
      </c>
      <c r="D706" s="115">
        <v>51.2222222222222</v>
      </c>
      <c r="E706" s="115">
        <v>56.8</v>
      </c>
      <c r="F706" s="115">
        <v>595.04999999999995</v>
      </c>
      <c r="G706">
        <v>10272</v>
      </c>
      <c r="H706" s="115"/>
      <c r="I706" s="115"/>
      <c r="L706" s="169">
        <v>43719</v>
      </c>
      <c r="M706" s="115">
        <v>52.871111111111098</v>
      </c>
      <c r="N706" s="115">
        <v>56.177777777777798</v>
      </c>
      <c r="O706" s="115">
        <v>51.12</v>
      </c>
      <c r="P706" s="115">
        <v>55.991111111111103</v>
      </c>
      <c r="Q706" s="115">
        <v>594.79999999999995</v>
      </c>
      <c r="R706">
        <v>208489</v>
      </c>
    </row>
    <row r="707" spans="1:18" x14ac:dyDescent="0.25">
      <c r="A707" s="169">
        <v>43720</v>
      </c>
      <c r="B707" s="115">
        <v>54.68</v>
      </c>
      <c r="C707" s="115">
        <v>52.44</v>
      </c>
      <c r="D707" s="115">
        <v>52.088888888888903</v>
      </c>
      <c r="E707" s="115">
        <v>52.884444444444398</v>
      </c>
      <c r="F707" s="115">
        <v>589.95000000000005</v>
      </c>
      <c r="G707">
        <v>10773</v>
      </c>
      <c r="H707" s="115"/>
      <c r="I707" s="115"/>
      <c r="L707" s="169">
        <v>43720</v>
      </c>
      <c r="M707" s="115">
        <v>52.44</v>
      </c>
      <c r="N707" s="115">
        <v>54.764444444444401</v>
      </c>
      <c r="O707" s="115">
        <v>52.088888888888903</v>
      </c>
      <c r="P707" s="115">
        <v>52.8</v>
      </c>
      <c r="Q707" s="115">
        <v>589.95000000000005</v>
      </c>
      <c r="R707">
        <v>159839</v>
      </c>
    </row>
    <row r="708" spans="1:18" x14ac:dyDescent="0.25">
      <c r="A708" s="169">
        <v>43721</v>
      </c>
      <c r="B708" s="115">
        <v>55.911111111111097</v>
      </c>
      <c r="C708" s="115">
        <v>55.728888888888903</v>
      </c>
      <c r="D708" s="115">
        <v>52.4444444444444</v>
      </c>
      <c r="E708" s="115">
        <v>53.244444444444397</v>
      </c>
      <c r="F708" s="115">
        <v>626.95000000000005</v>
      </c>
      <c r="G708">
        <v>9437</v>
      </c>
      <c r="H708" s="115"/>
      <c r="I708" s="115"/>
      <c r="L708" s="169">
        <v>43721</v>
      </c>
      <c r="M708" s="115">
        <v>55.795555555555602</v>
      </c>
      <c r="N708" s="115">
        <v>55.955555555555598</v>
      </c>
      <c r="O708" s="115">
        <v>52.711111111111101</v>
      </c>
      <c r="P708" s="115">
        <v>52.711111111111101</v>
      </c>
      <c r="Q708" s="115">
        <v>627.70000000000005</v>
      </c>
      <c r="R708">
        <v>130480</v>
      </c>
    </row>
    <row r="709" spans="1:18" x14ac:dyDescent="0.25">
      <c r="A709" s="169">
        <v>43724</v>
      </c>
      <c r="B709" s="115">
        <v>55.973333333333301</v>
      </c>
      <c r="C709" s="115">
        <v>55.724444444444401</v>
      </c>
      <c r="D709" s="115">
        <v>54.96</v>
      </c>
      <c r="E709" s="115">
        <v>55.226666666666702</v>
      </c>
      <c r="F709" s="115">
        <v>626.9</v>
      </c>
      <c r="G709">
        <v>1624</v>
      </c>
      <c r="H709" s="115"/>
      <c r="I709" s="115"/>
      <c r="L709" s="169">
        <v>43724</v>
      </c>
      <c r="M709" s="115">
        <v>55.768888888888902</v>
      </c>
      <c r="N709" s="115">
        <v>55.991111111111103</v>
      </c>
      <c r="O709" s="115">
        <v>54.853333333333303</v>
      </c>
      <c r="P709" s="115">
        <v>55.724444444444401</v>
      </c>
      <c r="Q709" s="115">
        <v>627.4</v>
      </c>
      <c r="R709">
        <v>85819</v>
      </c>
    </row>
    <row r="710" spans="1:18" x14ac:dyDescent="0.25">
      <c r="A710" s="169">
        <v>43725</v>
      </c>
      <c r="B710" s="115">
        <v>56.622222222222199</v>
      </c>
      <c r="C710" s="115">
        <v>55.355555555555597</v>
      </c>
      <c r="D710" s="115">
        <v>54.933333333333302</v>
      </c>
      <c r="E710" s="115">
        <v>55.5555555555556</v>
      </c>
      <c r="F710" s="115">
        <v>622.75</v>
      </c>
      <c r="G710">
        <v>1813</v>
      </c>
      <c r="H710" s="115"/>
      <c r="I710" s="115"/>
      <c r="L710" s="169">
        <v>43725</v>
      </c>
      <c r="M710" s="115">
        <v>55.253333333333302</v>
      </c>
      <c r="N710" s="115">
        <v>56.706666666666699</v>
      </c>
      <c r="O710" s="115">
        <v>54.946666666666701</v>
      </c>
      <c r="P710" s="115">
        <v>55.728888888888903</v>
      </c>
      <c r="Q710" s="115">
        <v>621.6</v>
      </c>
      <c r="R710">
        <v>145678</v>
      </c>
    </row>
    <row r="711" spans="1:18" x14ac:dyDescent="0.25">
      <c r="A711" s="169">
        <v>43726</v>
      </c>
      <c r="B711" s="115">
        <v>56.088888888888903</v>
      </c>
      <c r="C711" s="115">
        <v>55.546666666666702</v>
      </c>
      <c r="D711" s="115">
        <v>54.906666666666702</v>
      </c>
      <c r="E711" s="115">
        <v>55.5555555555556</v>
      </c>
      <c r="F711" s="115">
        <v>624.9</v>
      </c>
      <c r="G711">
        <v>2128</v>
      </c>
      <c r="H711" s="115"/>
      <c r="I711" s="115"/>
      <c r="L711" s="169">
        <v>43726</v>
      </c>
      <c r="M711" s="115">
        <v>55.6533333333333</v>
      </c>
      <c r="N711" s="115">
        <v>56.2222222222222</v>
      </c>
      <c r="O711" s="115">
        <v>54.662222222222198</v>
      </c>
      <c r="P711" s="115">
        <v>55.551111111111098</v>
      </c>
      <c r="Q711" s="115">
        <v>626.1</v>
      </c>
      <c r="R711">
        <v>70647</v>
      </c>
    </row>
    <row r="712" spans="1:18" x14ac:dyDescent="0.25">
      <c r="A712" s="169">
        <v>43727</v>
      </c>
      <c r="B712" s="115">
        <v>55.946666666666701</v>
      </c>
      <c r="C712" s="115">
        <v>54.182222222222201</v>
      </c>
      <c r="D712" s="115">
        <v>53.68</v>
      </c>
      <c r="E712" s="115">
        <v>55.946666666666701</v>
      </c>
      <c r="F712" s="115">
        <v>609.54999999999995</v>
      </c>
      <c r="G712">
        <v>2818</v>
      </c>
      <c r="H712" s="115"/>
      <c r="I712" s="115"/>
      <c r="L712" s="169">
        <v>43727</v>
      </c>
      <c r="M712" s="115">
        <v>54.217777777777798</v>
      </c>
      <c r="N712" s="115">
        <v>55.911111111111097</v>
      </c>
      <c r="O712" s="115">
        <v>53.6933333333333</v>
      </c>
      <c r="P712" s="115">
        <v>55.786666666666697</v>
      </c>
      <c r="Q712" s="115">
        <v>609.95000000000005</v>
      </c>
      <c r="R712">
        <v>82103</v>
      </c>
    </row>
    <row r="713" spans="1:18" x14ac:dyDescent="0.25">
      <c r="A713" s="169">
        <v>43728</v>
      </c>
      <c r="B713" s="115">
        <v>55.413333333333298</v>
      </c>
      <c r="C713" s="115">
        <v>55.048888888888897</v>
      </c>
      <c r="D713" s="115">
        <v>53.8755555555556</v>
      </c>
      <c r="E713" s="115">
        <v>54.92</v>
      </c>
      <c r="F713" s="115">
        <v>619.29999999999995</v>
      </c>
      <c r="G713">
        <v>1845</v>
      </c>
      <c r="H713" s="115"/>
      <c r="I713" s="115"/>
      <c r="L713" s="169">
        <v>43728</v>
      </c>
      <c r="M713" s="115">
        <v>55.044444444444402</v>
      </c>
      <c r="N713" s="115">
        <v>55.551111111111098</v>
      </c>
      <c r="O713" s="115">
        <v>53.697777777777802</v>
      </c>
      <c r="P713" s="115">
        <v>53.951111111111103</v>
      </c>
      <c r="Q713" s="115">
        <v>619.25</v>
      </c>
      <c r="R713">
        <v>137882</v>
      </c>
    </row>
    <row r="714" spans="1:18" x14ac:dyDescent="0.25">
      <c r="A714" s="169">
        <v>43731</v>
      </c>
      <c r="B714" s="115">
        <v>57.155555555555601</v>
      </c>
      <c r="C714" s="115">
        <v>57.155555555555601</v>
      </c>
      <c r="D714" s="115">
        <v>54.164444444444399</v>
      </c>
      <c r="E714" s="115">
        <v>55.911111111111097</v>
      </c>
      <c r="F714" s="115">
        <v>643</v>
      </c>
      <c r="G714">
        <v>581218</v>
      </c>
      <c r="H714" s="115"/>
      <c r="I714" s="115"/>
      <c r="L714" s="169">
        <v>43731</v>
      </c>
      <c r="M714" s="115">
        <v>56.36</v>
      </c>
      <c r="N714" s="115">
        <v>56.884444444444398</v>
      </c>
      <c r="O714" s="115">
        <v>53.977777777777803</v>
      </c>
      <c r="P714" s="115">
        <v>54.32</v>
      </c>
      <c r="Q714" s="115">
        <v>634.04999999999995</v>
      </c>
      <c r="R714">
        <v>228741</v>
      </c>
    </row>
    <row r="715" spans="1:18" x14ac:dyDescent="0.25">
      <c r="A715" s="169">
        <v>43732</v>
      </c>
      <c r="B715" s="115">
        <v>57.155555555555601</v>
      </c>
      <c r="C715" s="115">
        <v>56.871111111111098</v>
      </c>
      <c r="D715" s="115">
        <v>55.591111111111097</v>
      </c>
      <c r="E715" s="115">
        <v>56.355555555555597</v>
      </c>
      <c r="F715" s="115">
        <v>639.79999999999995</v>
      </c>
      <c r="G715">
        <v>48296</v>
      </c>
      <c r="H715" s="115"/>
      <c r="I715" s="115"/>
      <c r="L715" s="169">
        <v>43732</v>
      </c>
      <c r="M715" s="115">
        <v>56.848888888888901</v>
      </c>
      <c r="N715" s="115">
        <v>57.311111111111103</v>
      </c>
      <c r="O715" s="115">
        <v>55.413333333333298</v>
      </c>
      <c r="P715" s="115">
        <v>56.355555555555597</v>
      </c>
      <c r="Q715" s="115">
        <v>639.54999999999995</v>
      </c>
      <c r="R715">
        <v>80332</v>
      </c>
    </row>
    <row r="716" spans="1:18" x14ac:dyDescent="0.25">
      <c r="A716" s="169">
        <v>43733</v>
      </c>
      <c r="B716" s="115">
        <v>58.6666666666667</v>
      </c>
      <c r="C716" s="115">
        <v>55.506666666666703</v>
      </c>
      <c r="D716" s="115">
        <v>54.6666666666667</v>
      </c>
      <c r="E716" s="115">
        <v>58.2222222222222</v>
      </c>
      <c r="F716" s="115">
        <v>624.45000000000005</v>
      </c>
      <c r="G716">
        <v>4281878</v>
      </c>
      <c r="H716" s="115"/>
      <c r="I716" s="115"/>
      <c r="L716" s="169">
        <v>43733</v>
      </c>
      <c r="M716" s="115">
        <v>55.52</v>
      </c>
      <c r="N716" s="115">
        <v>58.937777777777796</v>
      </c>
      <c r="O716" s="115">
        <v>54.742222222222203</v>
      </c>
      <c r="P716" s="115">
        <v>57.866666666666703</v>
      </c>
      <c r="Q716" s="115">
        <v>624.6</v>
      </c>
      <c r="R716">
        <v>729115</v>
      </c>
    </row>
    <row r="717" spans="1:18" x14ac:dyDescent="0.25">
      <c r="A717" s="169">
        <v>43734</v>
      </c>
      <c r="B717" s="115">
        <v>56.755555555555603</v>
      </c>
      <c r="C717" s="115">
        <v>56.471111111111099</v>
      </c>
      <c r="D717" s="115">
        <v>55.275555555555599</v>
      </c>
      <c r="E717" s="115">
        <v>55.648888888888898</v>
      </c>
      <c r="F717" s="115">
        <v>635.29999999999995</v>
      </c>
      <c r="G717">
        <v>4686</v>
      </c>
      <c r="H717" s="115"/>
      <c r="I717" s="115"/>
      <c r="L717" s="169">
        <v>43734</v>
      </c>
      <c r="M717" s="115">
        <v>56.5555555555556</v>
      </c>
      <c r="N717" s="115">
        <v>56.724444444444401</v>
      </c>
      <c r="O717" s="115">
        <v>55.1111111111111</v>
      </c>
      <c r="P717" s="115">
        <v>55.551111111111098</v>
      </c>
      <c r="Q717" s="115">
        <v>636.25</v>
      </c>
      <c r="R717">
        <v>172033</v>
      </c>
    </row>
    <row r="718" spans="1:18" x14ac:dyDescent="0.25">
      <c r="A718" s="169">
        <v>43735</v>
      </c>
      <c r="B718" s="115">
        <v>57.511111111111099</v>
      </c>
      <c r="C718" s="115">
        <v>57.204444444444398</v>
      </c>
      <c r="D718" s="115">
        <v>56.715555555555603</v>
      </c>
      <c r="E718" s="115">
        <v>56.773333333333298</v>
      </c>
      <c r="F718" s="115">
        <v>643.54999999999995</v>
      </c>
      <c r="G718">
        <v>2658</v>
      </c>
      <c r="H718" s="115"/>
      <c r="I718" s="115"/>
      <c r="L718" s="169">
        <v>43735</v>
      </c>
      <c r="M718" s="115">
        <v>57.248888888888899</v>
      </c>
      <c r="N718" s="115">
        <v>57.6</v>
      </c>
      <c r="O718" s="115">
        <v>56.177777777777798</v>
      </c>
      <c r="P718" s="115">
        <v>56.72</v>
      </c>
      <c r="Q718" s="115">
        <v>644.04999999999995</v>
      </c>
      <c r="R718">
        <v>181994</v>
      </c>
    </row>
    <row r="719" spans="1:18" x14ac:dyDescent="0.25">
      <c r="A719" s="169">
        <v>43738</v>
      </c>
      <c r="B719" s="115">
        <v>57.684444444444502</v>
      </c>
      <c r="C719" s="115">
        <v>55.577777777777797</v>
      </c>
      <c r="D719" s="115">
        <v>55.4</v>
      </c>
      <c r="E719" s="115">
        <v>57.684444444444502</v>
      </c>
      <c r="F719" s="115">
        <v>625.25</v>
      </c>
      <c r="G719">
        <v>2275</v>
      </c>
      <c r="H719" s="115"/>
      <c r="I719" s="115"/>
      <c r="L719" s="169">
        <v>43738</v>
      </c>
      <c r="M719" s="115">
        <v>55.475555555555601</v>
      </c>
      <c r="N719" s="115">
        <v>57.342222222222198</v>
      </c>
      <c r="O719" s="115">
        <v>55.377777777777801</v>
      </c>
      <c r="P719" s="115">
        <v>57.342222222222198</v>
      </c>
      <c r="Q719" s="115">
        <v>624.1</v>
      </c>
      <c r="R719">
        <v>72472</v>
      </c>
    </row>
    <row r="720" spans="1:18" x14ac:dyDescent="0.25">
      <c r="A720" s="169">
        <v>43739</v>
      </c>
      <c r="B720" s="115">
        <v>55.337777777777802</v>
      </c>
      <c r="C720" s="115">
        <v>53.648888888888898</v>
      </c>
      <c r="D720" s="115">
        <v>52.5822222222222</v>
      </c>
      <c r="E720" s="115">
        <v>55.1111111111111</v>
      </c>
      <c r="F720" s="115">
        <v>603.54999999999995</v>
      </c>
      <c r="G720">
        <v>15211</v>
      </c>
      <c r="H720" s="115"/>
      <c r="I720" s="115"/>
      <c r="L720" s="169">
        <v>43739</v>
      </c>
      <c r="M720" s="115">
        <v>53.613333333333301</v>
      </c>
      <c r="N720" s="115">
        <v>55.906666666666702</v>
      </c>
      <c r="O720" s="115">
        <v>52.373333333333299</v>
      </c>
      <c r="P720" s="115">
        <v>55.906666666666702</v>
      </c>
      <c r="Q720" s="115">
        <v>603.15</v>
      </c>
      <c r="R720">
        <v>202812</v>
      </c>
    </row>
    <row r="721" spans="1:18" x14ac:dyDescent="0.25">
      <c r="A721" s="169">
        <v>43741</v>
      </c>
      <c r="B721" s="115">
        <v>55.635555555555598</v>
      </c>
      <c r="C721" s="115">
        <v>54.933333333333302</v>
      </c>
      <c r="D721" s="115">
        <v>53.182222222222201</v>
      </c>
      <c r="E721" s="115">
        <v>55.022222222222197</v>
      </c>
      <c r="F721" s="115">
        <v>618</v>
      </c>
      <c r="G721">
        <v>6906</v>
      </c>
      <c r="H721" s="115"/>
      <c r="I721" s="115"/>
      <c r="L721" s="169">
        <v>43741</v>
      </c>
      <c r="M721" s="115">
        <v>54.96</v>
      </c>
      <c r="N721" s="115">
        <v>55.5822222222222</v>
      </c>
      <c r="O721" s="115">
        <v>52.955555555555598</v>
      </c>
      <c r="P721" s="115">
        <v>54.04</v>
      </c>
      <c r="Q721" s="115">
        <v>618.29999999999995</v>
      </c>
      <c r="R721">
        <v>102357</v>
      </c>
    </row>
    <row r="722" spans="1:18" x14ac:dyDescent="0.25">
      <c r="A722" s="169">
        <v>43742</v>
      </c>
      <c r="B722" s="115">
        <v>55.528888888888901</v>
      </c>
      <c r="C722" s="115">
        <v>54.964444444444403</v>
      </c>
      <c r="D722" s="115">
        <v>54.453333333333298</v>
      </c>
      <c r="E722" s="115">
        <v>55.466666666666697</v>
      </c>
      <c r="F722" s="115">
        <v>618.35</v>
      </c>
      <c r="G722">
        <v>2405</v>
      </c>
      <c r="H722" s="115"/>
      <c r="I722" s="115"/>
      <c r="L722" s="169">
        <v>43742</v>
      </c>
      <c r="M722" s="115">
        <v>54.928888888888899</v>
      </c>
      <c r="N722" s="115">
        <v>55.684444444444502</v>
      </c>
      <c r="O722" s="115">
        <v>54.373333333333299</v>
      </c>
      <c r="P722" s="115">
        <v>55.271111111111097</v>
      </c>
      <c r="Q722" s="115">
        <v>617.95000000000005</v>
      </c>
      <c r="R722">
        <v>64338</v>
      </c>
    </row>
    <row r="723" spans="1:18" x14ac:dyDescent="0.25">
      <c r="A723" s="169">
        <v>43745</v>
      </c>
      <c r="B723" s="115">
        <v>55.52</v>
      </c>
      <c r="C723" s="115">
        <v>54.386666666666699</v>
      </c>
      <c r="D723" s="115">
        <v>54.133333333333297</v>
      </c>
      <c r="E723" s="115">
        <v>54.755555555555603</v>
      </c>
      <c r="F723" s="115">
        <v>611.85</v>
      </c>
      <c r="G723">
        <v>789</v>
      </c>
      <c r="H723" s="115"/>
      <c r="I723" s="115"/>
      <c r="L723" s="169">
        <v>43745</v>
      </c>
      <c r="M723" s="115">
        <v>54.3466666666667</v>
      </c>
      <c r="N723" s="115">
        <v>55.537777777777798</v>
      </c>
      <c r="O723" s="115">
        <v>53.866666666666703</v>
      </c>
      <c r="P723" s="115">
        <v>54.844444444444399</v>
      </c>
      <c r="Q723" s="115">
        <v>611.4</v>
      </c>
      <c r="R723">
        <v>44875</v>
      </c>
    </row>
    <row r="724" spans="1:18" x14ac:dyDescent="0.25">
      <c r="A724" s="169">
        <v>43747</v>
      </c>
      <c r="B724" s="115">
        <v>55.271111111111097</v>
      </c>
      <c r="C724" s="115">
        <v>55</v>
      </c>
      <c r="D724" s="115">
        <v>54.435555555555602</v>
      </c>
      <c r="E724" s="115">
        <v>54.435555555555602</v>
      </c>
      <c r="F724" s="115">
        <v>618.75</v>
      </c>
      <c r="G724">
        <v>1425</v>
      </c>
      <c r="H724" s="115"/>
      <c r="I724" s="115"/>
      <c r="L724" s="169">
        <v>43747</v>
      </c>
      <c r="M724" s="115">
        <v>54.964444444444403</v>
      </c>
      <c r="N724" s="115">
        <v>55.288888888888899</v>
      </c>
      <c r="O724" s="115">
        <v>53.697777777777802</v>
      </c>
      <c r="P724" s="115">
        <v>54.2222222222222</v>
      </c>
      <c r="Q724" s="115">
        <v>618.35</v>
      </c>
      <c r="R724">
        <v>70263</v>
      </c>
    </row>
    <row r="725" spans="1:18" x14ac:dyDescent="0.25">
      <c r="A725" s="169">
        <v>43748</v>
      </c>
      <c r="B725" s="115">
        <v>55.3066666666667</v>
      </c>
      <c r="C725" s="115">
        <v>54.155555555555601</v>
      </c>
      <c r="D725" s="115">
        <v>53.937777777777796</v>
      </c>
      <c r="E725" s="115">
        <v>54.608888888888899</v>
      </c>
      <c r="F725" s="115">
        <v>609.25</v>
      </c>
      <c r="G725">
        <v>606</v>
      </c>
      <c r="H725" s="115"/>
      <c r="I725" s="115"/>
      <c r="L725" s="169">
        <v>43748</v>
      </c>
      <c r="M725" s="115">
        <v>54.0977777777778</v>
      </c>
      <c r="N725" s="115">
        <v>55.351111111111102</v>
      </c>
      <c r="O725" s="115">
        <v>53.866666666666703</v>
      </c>
      <c r="P725" s="115">
        <v>54.577777777777797</v>
      </c>
      <c r="Q725" s="115">
        <v>608.6</v>
      </c>
      <c r="R725">
        <v>105821</v>
      </c>
    </row>
    <row r="726" spans="1:18" x14ac:dyDescent="0.25">
      <c r="A726" s="169">
        <v>43749</v>
      </c>
      <c r="B726" s="115">
        <v>55.506666666666703</v>
      </c>
      <c r="C726" s="115">
        <v>55.271111111111097</v>
      </c>
      <c r="D726" s="115">
        <v>54.044444444444402</v>
      </c>
      <c r="E726" s="115">
        <v>54.808888888888902</v>
      </c>
      <c r="F726" s="115">
        <v>621.79999999999995</v>
      </c>
      <c r="G726">
        <v>1410</v>
      </c>
      <c r="H726" s="115"/>
      <c r="I726" s="115"/>
      <c r="L726" s="169">
        <v>43749</v>
      </c>
      <c r="M726" s="115">
        <v>55.186666666666703</v>
      </c>
      <c r="N726" s="115">
        <v>55.511111111111099</v>
      </c>
      <c r="O726" s="115">
        <v>53.911111111111097</v>
      </c>
      <c r="P726" s="115">
        <v>54.56</v>
      </c>
      <c r="Q726" s="115">
        <v>620.85</v>
      </c>
      <c r="R726">
        <v>81356</v>
      </c>
    </row>
    <row r="727" spans="1:18" x14ac:dyDescent="0.25">
      <c r="A727" s="169">
        <v>43752</v>
      </c>
      <c r="B727" s="115">
        <v>55.546666666666702</v>
      </c>
      <c r="C727" s="115">
        <v>55.128888888888902</v>
      </c>
      <c r="D727" s="115">
        <v>54.48</v>
      </c>
      <c r="E727" s="115">
        <v>55.297777777777803</v>
      </c>
      <c r="F727" s="115">
        <v>620.20000000000005</v>
      </c>
      <c r="G727">
        <v>2764</v>
      </c>
      <c r="H727" s="115"/>
      <c r="I727" s="115"/>
      <c r="L727" s="169">
        <v>43752</v>
      </c>
      <c r="M727" s="115">
        <v>55.1955555555556</v>
      </c>
      <c r="N727" s="115">
        <v>55.64</v>
      </c>
      <c r="O727" s="115">
        <v>54.32</v>
      </c>
      <c r="P727" s="115">
        <v>55.635555555555598</v>
      </c>
      <c r="Q727" s="115">
        <v>620.95000000000005</v>
      </c>
      <c r="R727">
        <v>659965</v>
      </c>
    </row>
    <row r="728" spans="1:18" x14ac:dyDescent="0.25">
      <c r="A728" s="169">
        <v>43753</v>
      </c>
      <c r="B728" s="115">
        <v>57.6</v>
      </c>
      <c r="C728" s="115">
        <v>55.942222222222199</v>
      </c>
      <c r="D728" s="115">
        <v>55.177777777777798</v>
      </c>
      <c r="E728" s="115">
        <v>55.231111111111098</v>
      </c>
      <c r="F728" s="115">
        <v>629.35</v>
      </c>
      <c r="G728">
        <v>8393</v>
      </c>
      <c r="H728" s="115"/>
      <c r="I728" s="115"/>
      <c r="L728" s="169">
        <v>43753</v>
      </c>
      <c r="M728" s="115">
        <v>56.057777777777801</v>
      </c>
      <c r="N728" s="115">
        <v>57.586666666666702</v>
      </c>
      <c r="O728" s="115">
        <v>55.053333333333299</v>
      </c>
      <c r="P728" s="115">
        <v>55.3333333333333</v>
      </c>
      <c r="Q728" s="115">
        <v>630.65</v>
      </c>
      <c r="R728">
        <v>224750</v>
      </c>
    </row>
    <row r="729" spans="1:18" x14ac:dyDescent="0.25">
      <c r="A729" s="169">
        <v>43754</v>
      </c>
      <c r="B729" s="115">
        <v>56.884444444444398</v>
      </c>
      <c r="C729" s="115">
        <v>56.577777777777797</v>
      </c>
      <c r="D729" s="115">
        <v>56.244444444444397</v>
      </c>
      <c r="E729" s="115">
        <v>56.768888888888902</v>
      </c>
      <c r="F729" s="115">
        <v>636.5</v>
      </c>
      <c r="G729">
        <v>2463</v>
      </c>
      <c r="H729" s="115"/>
      <c r="I729" s="115"/>
      <c r="L729" s="169">
        <v>43754</v>
      </c>
      <c r="M729" s="115">
        <v>56.5822222222222</v>
      </c>
      <c r="N729" s="115">
        <v>56.893333333333302</v>
      </c>
      <c r="O729" s="115">
        <v>56.248888888888899</v>
      </c>
      <c r="P729" s="115">
        <v>56.355555555555597</v>
      </c>
      <c r="Q729" s="115">
        <v>636.54999999999995</v>
      </c>
      <c r="R729">
        <v>117048</v>
      </c>
    </row>
    <row r="730" spans="1:18" x14ac:dyDescent="0.25">
      <c r="A730" s="169">
        <v>43755</v>
      </c>
      <c r="B730" s="115">
        <v>56.608888888888899</v>
      </c>
      <c r="C730" s="115">
        <v>55.684444444444502</v>
      </c>
      <c r="D730" s="115">
        <v>55.137777777777799</v>
      </c>
      <c r="E730" s="115">
        <v>56.475555555555601</v>
      </c>
      <c r="F730" s="115">
        <v>626.45000000000005</v>
      </c>
      <c r="G730">
        <v>4842</v>
      </c>
      <c r="H730" s="115"/>
      <c r="I730" s="115"/>
      <c r="L730" s="169">
        <v>43755</v>
      </c>
      <c r="M730" s="115">
        <v>55.8755555555556</v>
      </c>
      <c r="N730" s="115">
        <v>56.884444444444398</v>
      </c>
      <c r="O730" s="115">
        <v>55.173333333333296</v>
      </c>
      <c r="P730" s="115">
        <v>56.884444444444398</v>
      </c>
      <c r="Q730" s="115">
        <v>628.6</v>
      </c>
      <c r="R730">
        <v>50274</v>
      </c>
    </row>
    <row r="731" spans="1:18" x14ac:dyDescent="0.25">
      <c r="A731" s="169">
        <v>43756</v>
      </c>
      <c r="B731" s="115">
        <v>57.368888888888897</v>
      </c>
      <c r="C731" s="115">
        <v>57.022222222222197</v>
      </c>
      <c r="D731" s="115">
        <v>55.7777777777778</v>
      </c>
      <c r="E731" s="115">
        <v>55.7777777777778</v>
      </c>
      <c r="F731" s="115">
        <v>641.5</v>
      </c>
      <c r="G731">
        <v>3412</v>
      </c>
      <c r="H731" s="115"/>
      <c r="I731" s="115"/>
      <c r="L731" s="169">
        <v>43756</v>
      </c>
      <c r="M731" s="115">
        <v>56.853333333333303</v>
      </c>
      <c r="N731" s="115">
        <v>57.453333333333298</v>
      </c>
      <c r="O731" s="115">
        <v>55.604444444444397</v>
      </c>
      <c r="P731" s="115">
        <v>55.737777777777801</v>
      </c>
      <c r="Q731" s="115">
        <v>639.6</v>
      </c>
      <c r="R731">
        <v>143013</v>
      </c>
    </row>
    <row r="732" spans="1:18" x14ac:dyDescent="0.25">
      <c r="A732" s="169">
        <v>43760</v>
      </c>
      <c r="B732" s="115">
        <v>57.16</v>
      </c>
      <c r="C732" s="115">
        <v>56.364444444444402</v>
      </c>
      <c r="D732" s="115">
        <v>54.977777777777803</v>
      </c>
      <c r="E732" s="115">
        <v>55.724444444444401</v>
      </c>
      <c r="F732" s="115">
        <v>634.1</v>
      </c>
      <c r="G732">
        <v>2201</v>
      </c>
      <c r="H732" s="115"/>
      <c r="I732" s="115"/>
      <c r="L732" s="169">
        <v>43760</v>
      </c>
      <c r="M732" s="115">
        <v>56.275555555555599</v>
      </c>
      <c r="N732" s="115">
        <v>57.342222222222198</v>
      </c>
      <c r="O732" s="115">
        <v>54.946666666666701</v>
      </c>
      <c r="P732" s="115">
        <v>56.048888888888897</v>
      </c>
      <c r="Q732" s="115">
        <v>633.1</v>
      </c>
      <c r="R732">
        <v>173204</v>
      </c>
    </row>
    <row r="733" spans="1:18" x14ac:dyDescent="0.25">
      <c r="A733" s="169">
        <v>43761</v>
      </c>
      <c r="B733" s="115">
        <v>56.502222222222201</v>
      </c>
      <c r="C733" s="115">
        <v>55.622222222222199</v>
      </c>
      <c r="D733" s="115">
        <v>55.288888888888899</v>
      </c>
      <c r="E733" s="115">
        <v>56.502222222222201</v>
      </c>
      <c r="F733" s="115">
        <v>625.75</v>
      </c>
      <c r="G733">
        <v>1537</v>
      </c>
      <c r="H733" s="115"/>
      <c r="I733" s="115"/>
      <c r="L733" s="169">
        <v>43761</v>
      </c>
      <c r="M733" s="115">
        <v>55.528888888888901</v>
      </c>
      <c r="N733" s="115">
        <v>56.702222222222197</v>
      </c>
      <c r="O733" s="115">
        <v>55.288888888888899</v>
      </c>
      <c r="P733" s="115">
        <v>56.617777777777803</v>
      </c>
      <c r="Q733" s="115">
        <v>624.70000000000005</v>
      </c>
      <c r="R733">
        <v>52440</v>
      </c>
    </row>
    <row r="734" spans="1:18" x14ac:dyDescent="0.25">
      <c r="A734" s="169">
        <v>43762</v>
      </c>
      <c r="B734" s="115">
        <v>57.155555555555601</v>
      </c>
      <c r="C734" s="115">
        <v>55.8755555555556</v>
      </c>
      <c r="D734" s="115">
        <v>55.44</v>
      </c>
      <c r="E734" s="115">
        <v>55.706666666666699</v>
      </c>
      <c r="F734" s="115">
        <v>628.6</v>
      </c>
      <c r="G734">
        <v>2869</v>
      </c>
      <c r="H734" s="115"/>
      <c r="I734" s="115"/>
      <c r="L734" s="169">
        <v>43762</v>
      </c>
      <c r="M734" s="115">
        <v>55.897777777777797</v>
      </c>
      <c r="N734" s="115">
        <v>57.244444444444397</v>
      </c>
      <c r="O734" s="115">
        <v>55.413333333333298</v>
      </c>
      <c r="P734" s="115">
        <v>55.822222222222202</v>
      </c>
      <c r="Q734" s="115">
        <v>628.85</v>
      </c>
      <c r="R734">
        <v>1761091</v>
      </c>
    </row>
    <row r="735" spans="1:18" x14ac:dyDescent="0.25">
      <c r="A735" s="169">
        <v>43763</v>
      </c>
      <c r="B735" s="115">
        <v>55.688888888888897</v>
      </c>
      <c r="C735" s="115">
        <v>54.253333333333302</v>
      </c>
      <c r="D735" s="115">
        <v>53.84</v>
      </c>
      <c r="E735" s="115">
        <v>55.688888888888897</v>
      </c>
      <c r="F735" s="115">
        <v>610.35</v>
      </c>
      <c r="G735">
        <v>1195</v>
      </c>
      <c r="H735" s="115"/>
      <c r="I735" s="115"/>
      <c r="L735" s="169">
        <v>43763</v>
      </c>
      <c r="M735" s="115">
        <v>54.293333333333301</v>
      </c>
      <c r="N735" s="115">
        <v>55.982222222222198</v>
      </c>
      <c r="O735" s="115">
        <v>53.7777777777778</v>
      </c>
      <c r="P735" s="115">
        <v>55.951111111111103</v>
      </c>
      <c r="Q735" s="115">
        <v>610.79999999999995</v>
      </c>
      <c r="R735">
        <v>116586</v>
      </c>
    </row>
    <row r="736" spans="1:18" x14ac:dyDescent="0.25">
      <c r="A736" s="169">
        <v>43765</v>
      </c>
      <c r="B736" s="115">
        <v>55.977777777777803</v>
      </c>
      <c r="C736" s="115">
        <v>55.671111111111102</v>
      </c>
      <c r="D736" s="115">
        <v>54.288888888888899</v>
      </c>
      <c r="E736" s="115">
        <v>55.977777777777803</v>
      </c>
      <c r="F736" s="115">
        <v>626.29999999999995</v>
      </c>
      <c r="G736">
        <v>1183</v>
      </c>
      <c r="H736" s="115"/>
      <c r="I736" s="115"/>
      <c r="L736" s="169">
        <v>43765</v>
      </c>
      <c r="M736" s="115">
        <v>55.502222222222201</v>
      </c>
      <c r="N736" s="115">
        <v>55.8044444444444</v>
      </c>
      <c r="O736" s="115">
        <v>54.262222222222199</v>
      </c>
      <c r="P736" s="115">
        <v>54.342222222222198</v>
      </c>
      <c r="Q736" s="115">
        <v>624.4</v>
      </c>
      <c r="R736">
        <v>16016</v>
      </c>
    </row>
    <row r="737" spans="1:18" x14ac:dyDescent="0.25">
      <c r="A737" s="169">
        <v>43767</v>
      </c>
      <c r="B737" s="115">
        <v>55.755555555555603</v>
      </c>
      <c r="C737" s="115">
        <v>55.4</v>
      </c>
      <c r="D737" s="115">
        <v>54.8755555555556</v>
      </c>
      <c r="E737" s="115">
        <v>55.2</v>
      </c>
      <c r="F737" s="115">
        <v>623.25</v>
      </c>
      <c r="G737">
        <v>1116</v>
      </c>
      <c r="H737" s="115"/>
      <c r="I737" s="115"/>
      <c r="L737" s="169">
        <v>43767</v>
      </c>
      <c r="M737" s="115">
        <v>55.32</v>
      </c>
      <c r="N737" s="115">
        <v>55.733333333333299</v>
      </c>
      <c r="O737" s="115">
        <v>54.8044444444444</v>
      </c>
      <c r="P737" s="115">
        <v>55.733333333333299</v>
      </c>
      <c r="Q737" s="115">
        <v>622.35</v>
      </c>
      <c r="R737">
        <v>322950</v>
      </c>
    </row>
    <row r="738" spans="1:18" x14ac:dyDescent="0.25">
      <c r="A738" s="169">
        <v>43768</v>
      </c>
      <c r="B738" s="115">
        <v>56.4</v>
      </c>
      <c r="C738" s="115">
        <v>54.977777777777803</v>
      </c>
      <c r="D738" s="115">
        <v>54.671111111111102</v>
      </c>
      <c r="E738" s="115">
        <v>55.004444444444403</v>
      </c>
      <c r="F738" s="115">
        <v>618.5</v>
      </c>
      <c r="G738">
        <v>2280</v>
      </c>
      <c r="H738" s="115"/>
      <c r="I738" s="115"/>
      <c r="L738" s="169">
        <v>43768</v>
      </c>
      <c r="M738" s="115">
        <v>55.008888888888897</v>
      </c>
      <c r="N738" s="115">
        <v>56.4444444444444</v>
      </c>
      <c r="O738" s="115">
        <v>54.497777777777799</v>
      </c>
      <c r="P738" s="115">
        <v>54.497777777777799</v>
      </c>
      <c r="Q738" s="115">
        <v>618.85</v>
      </c>
      <c r="R738">
        <v>115384</v>
      </c>
    </row>
    <row r="739" spans="1:18" x14ac:dyDescent="0.25">
      <c r="A739" s="169">
        <v>43769</v>
      </c>
      <c r="B739" s="115">
        <v>55.5555555555556</v>
      </c>
      <c r="C739" s="115">
        <v>55.088888888888903</v>
      </c>
      <c r="D739" s="115">
        <v>54.2222222222222</v>
      </c>
      <c r="E739" s="115">
        <v>54.977777777777803</v>
      </c>
      <c r="F739" s="115">
        <v>619.75</v>
      </c>
      <c r="G739">
        <v>1942</v>
      </c>
      <c r="H739" s="115"/>
      <c r="I739" s="115"/>
      <c r="L739" s="169">
        <v>43769</v>
      </c>
      <c r="M739" s="115">
        <v>55.1244444444444</v>
      </c>
      <c r="N739" s="115">
        <v>55.733333333333299</v>
      </c>
      <c r="O739" s="115">
        <v>54.231111111111098</v>
      </c>
      <c r="P739" s="115">
        <v>54.977777777777803</v>
      </c>
      <c r="Q739" s="115">
        <v>620.15</v>
      </c>
      <c r="R739">
        <v>149668</v>
      </c>
    </row>
    <row r="740" spans="1:18" x14ac:dyDescent="0.25">
      <c r="A740" s="169">
        <v>43770</v>
      </c>
      <c r="B740" s="115">
        <v>55.44</v>
      </c>
      <c r="C740" s="115">
        <v>55.16</v>
      </c>
      <c r="D740" s="115">
        <v>54.6666666666667</v>
      </c>
      <c r="E740" s="115">
        <v>55.128888888888902</v>
      </c>
      <c r="F740" s="115">
        <v>620.54999999999995</v>
      </c>
      <c r="G740">
        <v>1739</v>
      </c>
      <c r="H740" s="115"/>
      <c r="I740" s="115"/>
      <c r="L740" s="169">
        <v>43770</v>
      </c>
      <c r="M740" s="115">
        <v>55.048888888888897</v>
      </c>
      <c r="N740" s="115">
        <v>55.466666666666697</v>
      </c>
      <c r="O740" s="115">
        <v>54.6666666666667</v>
      </c>
      <c r="P740" s="115">
        <v>55.466666666666697</v>
      </c>
      <c r="Q740" s="115">
        <v>619.29999999999995</v>
      </c>
      <c r="R740">
        <v>228791</v>
      </c>
    </row>
    <row r="741" spans="1:18" x14ac:dyDescent="0.25">
      <c r="A741" s="169">
        <v>43773</v>
      </c>
      <c r="B741" s="115">
        <v>56.622222222222199</v>
      </c>
      <c r="C741" s="115">
        <v>55.977777777777803</v>
      </c>
      <c r="D741" s="115">
        <v>55.226666666666702</v>
      </c>
      <c r="E741" s="115">
        <v>56.622222222222199</v>
      </c>
      <c r="F741" s="115">
        <v>629.75</v>
      </c>
      <c r="G741">
        <v>39320</v>
      </c>
      <c r="H741" s="115"/>
      <c r="I741" s="115"/>
      <c r="L741" s="169">
        <v>43773</v>
      </c>
      <c r="M741" s="115">
        <v>56.177777777777798</v>
      </c>
      <c r="N741" s="115">
        <v>56.7911111111111</v>
      </c>
      <c r="O741" s="115">
        <v>55.213333333333303</v>
      </c>
      <c r="P741" s="115">
        <v>55.297777777777803</v>
      </c>
      <c r="Q741" s="115">
        <v>632</v>
      </c>
      <c r="R741">
        <v>799985</v>
      </c>
    </row>
    <row r="742" spans="1:18" x14ac:dyDescent="0.25">
      <c r="A742" s="169">
        <v>43774</v>
      </c>
      <c r="B742" s="115">
        <v>64.622222222222206</v>
      </c>
      <c r="C742" s="115">
        <v>62.382222222222197</v>
      </c>
      <c r="D742" s="115">
        <v>56.711111111111101</v>
      </c>
      <c r="E742" s="115">
        <v>56.711111111111101</v>
      </c>
      <c r="F742" s="115">
        <v>701.8</v>
      </c>
      <c r="G742">
        <v>157620</v>
      </c>
      <c r="H742" s="115"/>
      <c r="I742" s="115"/>
      <c r="L742" s="169">
        <v>43774</v>
      </c>
      <c r="M742" s="115">
        <v>62.391111111111101</v>
      </c>
      <c r="N742" s="115">
        <v>64.648888888888905</v>
      </c>
      <c r="O742" s="115">
        <v>57.155555555555601</v>
      </c>
      <c r="P742" s="115">
        <v>57.155555555555601</v>
      </c>
      <c r="Q742" s="115">
        <v>701.9</v>
      </c>
      <c r="R742">
        <v>2099994</v>
      </c>
    </row>
    <row r="743" spans="1:18" x14ac:dyDescent="0.25">
      <c r="A743" s="169">
        <v>43775</v>
      </c>
      <c r="B743" s="115">
        <v>69.595555555555606</v>
      </c>
      <c r="C743" s="115">
        <v>67.16</v>
      </c>
      <c r="D743" s="115">
        <v>62.488888888888901</v>
      </c>
      <c r="E743" s="115">
        <v>62.488888888888901</v>
      </c>
      <c r="F743" s="115">
        <v>755.55</v>
      </c>
      <c r="G743">
        <v>135491</v>
      </c>
      <c r="H743" s="115"/>
      <c r="I743" s="115"/>
      <c r="L743" s="169">
        <v>43775</v>
      </c>
      <c r="M743" s="115">
        <v>67.12</v>
      </c>
      <c r="N743" s="115">
        <v>69.671111111111102</v>
      </c>
      <c r="O743" s="115">
        <v>62.408888888888903</v>
      </c>
      <c r="P743" s="115">
        <v>62.8</v>
      </c>
      <c r="Q743" s="115">
        <v>755.1</v>
      </c>
      <c r="R743">
        <v>2731934</v>
      </c>
    </row>
    <row r="744" spans="1:18" x14ac:dyDescent="0.25">
      <c r="A744" s="169">
        <v>43776</v>
      </c>
      <c r="B744" s="115">
        <v>70.1111111111111</v>
      </c>
      <c r="C744" s="115">
        <v>67.168888888888901</v>
      </c>
      <c r="D744" s="115">
        <v>66.6666666666667</v>
      </c>
      <c r="E744" s="115">
        <v>67.902222222222207</v>
      </c>
      <c r="F744" s="115">
        <v>755.65</v>
      </c>
      <c r="G744">
        <v>67573</v>
      </c>
      <c r="H744" s="115"/>
      <c r="I744" s="115"/>
      <c r="L744" s="169">
        <v>43776</v>
      </c>
      <c r="M744" s="115">
        <v>67.2222222222222</v>
      </c>
      <c r="N744" s="115">
        <v>70.133333333333297</v>
      </c>
      <c r="O744" s="115">
        <v>66.6666666666667</v>
      </c>
      <c r="P744" s="115">
        <v>67.337777777777802</v>
      </c>
      <c r="Q744" s="115">
        <v>756.25</v>
      </c>
      <c r="R744">
        <v>1014528</v>
      </c>
    </row>
    <row r="745" spans="1:18" x14ac:dyDescent="0.25">
      <c r="A745" s="169">
        <v>43777</v>
      </c>
      <c r="B745" s="115">
        <v>68.431111111111093</v>
      </c>
      <c r="C745" s="115">
        <v>65.871111111111105</v>
      </c>
      <c r="D745" s="115">
        <v>64.568888888888907</v>
      </c>
      <c r="E745" s="115">
        <v>67.288888888888906</v>
      </c>
      <c r="F745" s="115">
        <v>741.05</v>
      </c>
      <c r="G745">
        <v>33331</v>
      </c>
      <c r="H745" s="115"/>
      <c r="I745" s="115"/>
      <c r="L745" s="169">
        <v>43777</v>
      </c>
      <c r="M745" s="115">
        <v>65.915555555555599</v>
      </c>
      <c r="N745" s="115">
        <v>68.177777777777806</v>
      </c>
      <c r="O745" s="115">
        <v>65.355555555555597</v>
      </c>
      <c r="P745" s="115">
        <v>67.653333333333293</v>
      </c>
      <c r="Q745" s="115">
        <v>741.55</v>
      </c>
      <c r="R745">
        <v>509271</v>
      </c>
    </row>
    <row r="746" spans="1:18" x14ac:dyDescent="0.25">
      <c r="A746" s="169">
        <v>43780</v>
      </c>
      <c r="B746" s="115">
        <v>68.448888888888902</v>
      </c>
      <c r="C746" s="115">
        <v>67.831111111111099</v>
      </c>
      <c r="D746" s="115">
        <v>65.413333333333298</v>
      </c>
      <c r="E746" s="115">
        <v>66.400000000000006</v>
      </c>
      <c r="F746" s="115">
        <v>763.1</v>
      </c>
      <c r="G746">
        <v>33801</v>
      </c>
      <c r="H746" s="115"/>
      <c r="I746" s="115"/>
      <c r="L746" s="169">
        <v>43780</v>
      </c>
      <c r="M746" s="115">
        <v>67.675555555555604</v>
      </c>
      <c r="N746" s="115">
        <v>68.4444444444444</v>
      </c>
      <c r="O746" s="115">
        <v>65.951111111111103</v>
      </c>
      <c r="P746" s="115">
        <v>66.311111111111103</v>
      </c>
      <c r="Q746" s="115">
        <v>761.35</v>
      </c>
      <c r="R746">
        <v>576295</v>
      </c>
    </row>
    <row r="747" spans="1:18" x14ac:dyDescent="0.25">
      <c r="A747" s="169">
        <v>43782</v>
      </c>
      <c r="B747" s="115">
        <v>68.4444444444444</v>
      </c>
      <c r="C747" s="115">
        <v>63.173333333333296</v>
      </c>
      <c r="D747" s="115">
        <v>62.337777777777802</v>
      </c>
      <c r="E747" s="115">
        <v>67.653333333333293</v>
      </c>
      <c r="F747" s="115">
        <v>710.7</v>
      </c>
      <c r="G747">
        <v>37841</v>
      </c>
      <c r="H747" s="115"/>
      <c r="I747" s="115"/>
      <c r="L747" s="169">
        <v>43782</v>
      </c>
      <c r="M747" s="115">
        <v>63.2088888888889</v>
      </c>
      <c r="N747" s="115">
        <v>68.524444444444399</v>
      </c>
      <c r="O747" s="115">
        <v>62.226666666666702</v>
      </c>
      <c r="P747" s="115">
        <v>67.911111111111097</v>
      </c>
      <c r="Q747" s="115">
        <v>711.1</v>
      </c>
      <c r="R747">
        <v>753971</v>
      </c>
    </row>
    <row r="748" spans="1:18" x14ac:dyDescent="0.25">
      <c r="A748" s="169">
        <v>43783</v>
      </c>
      <c r="B748" s="115">
        <v>66.048888888888897</v>
      </c>
      <c r="C748" s="115">
        <v>64.48</v>
      </c>
      <c r="D748" s="115">
        <v>61.511111111111099</v>
      </c>
      <c r="E748" s="115">
        <v>64.4444444444444</v>
      </c>
      <c r="F748" s="115">
        <v>725.4</v>
      </c>
      <c r="G748">
        <v>33603</v>
      </c>
      <c r="H748" s="115"/>
      <c r="I748" s="115"/>
      <c r="L748" s="169">
        <v>43783</v>
      </c>
      <c r="M748" s="115">
        <v>64.506666666666703</v>
      </c>
      <c r="N748" s="115">
        <v>65.951111111111103</v>
      </c>
      <c r="O748" s="115">
        <v>61.48</v>
      </c>
      <c r="P748" s="115">
        <v>63.5555555555556</v>
      </c>
      <c r="Q748" s="115">
        <v>725.7</v>
      </c>
      <c r="R748">
        <v>448672</v>
      </c>
    </row>
    <row r="749" spans="1:18" x14ac:dyDescent="0.25">
      <c r="A749" s="169">
        <v>43784</v>
      </c>
      <c r="B749" s="115">
        <v>65.12</v>
      </c>
      <c r="C749" s="115">
        <v>62.813333333333297</v>
      </c>
      <c r="D749" s="115">
        <v>62.4</v>
      </c>
      <c r="E749" s="115">
        <v>64.84</v>
      </c>
      <c r="F749" s="115">
        <v>706.65</v>
      </c>
      <c r="G749">
        <v>14776</v>
      </c>
      <c r="H749" s="115"/>
      <c r="I749" s="115"/>
      <c r="L749" s="169">
        <v>43784</v>
      </c>
      <c r="M749" s="115">
        <v>62.853333333333303</v>
      </c>
      <c r="N749" s="115">
        <v>65.3333333333333</v>
      </c>
      <c r="O749" s="115">
        <v>62.404444444444401</v>
      </c>
      <c r="P749" s="115">
        <v>64.8</v>
      </c>
      <c r="Q749" s="115">
        <v>707.1</v>
      </c>
      <c r="R749">
        <v>235678</v>
      </c>
    </row>
    <row r="750" spans="1:18" x14ac:dyDescent="0.25">
      <c r="A750" s="169">
        <v>43787</v>
      </c>
      <c r="B750" s="115">
        <v>63.315555555555498</v>
      </c>
      <c r="C750" s="115">
        <v>62.191111111111098</v>
      </c>
      <c r="D750" s="115">
        <v>61.3333333333333</v>
      </c>
      <c r="E750" s="115">
        <v>63.1111111111111</v>
      </c>
      <c r="F750" s="115">
        <v>699.65</v>
      </c>
      <c r="G750">
        <v>15873</v>
      </c>
      <c r="H750" s="115"/>
      <c r="I750" s="115"/>
      <c r="L750" s="169">
        <v>43787</v>
      </c>
      <c r="M750" s="115">
        <v>62.137777777777799</v>
      </c>
      <c r="N750" s="115">
        <v>63.426666666666698</v>
      </c>
      <c r="O750" s="115">
        <v>61.244444444444397</v>
      </c>
      <c r="P750" s="115">
        <v>63.271111111111097</v>
      </c>
      <c r="Q750" s="115">
        <v>699.05</v>
      </c>
      <c r="R750">
        <v>216550</v>
      </c>
    </row>
    <row r="751" spans="1:18" x14ac:dyDescent="0.25">
      <c r="A751" s="169">
        <v>43788</v>
      </c>
      <c r="B751" s="115">
        <v>63.364444444444402</v>
      </c>
      <c r="C751" s="115">
        <v>61.813333333333297</v>
      </c>
      <c r="D751" s="115">
        <v>61.155555555555601</v>
      </c>
      <c r="E751" s="115">
        <v>61.7777777777778</v>
      </c>
      <c r="F751" s="115">
        <v>695.4</v>
      </c>
      <c r="G751">
        <v>8312</v>
      </c>
      <c r="H751" s="115"/>
      <c r="I751" s="115"/>
      <c r="L751" s="169">
        <v>43788</v>
      </c>
      <c r="M751" s="115">
        <v>61.813333333333297</v>
      </c>
      <c r="N751" s="115">
        <v>63.426666666666698</v>
      </c>
      <c r="O751" s="115">
        <v>61.155555555555601</v>
      </c>
      <c r="P751" s="115">
        <v>62.435555555555602</v>
      </c>
      <c r="Q751" s="115">
        <v>695.4</v>
      </c>
      <c r="R751">
        <v>132063</v>
      </c>
    </row>
    <row r="752" spans="1:18" x14ac:dyDescent="0.25">
      <c r="A752" s="169">
        <v>43789</v>
      </c>
      <c r="B752" s="115">
        <v>65.315555555555505</v>
      </c>
      <c r="C752" s="115">
        <v>64.782222222222202</v>
      </c>
      <c r="D752" s="115">
        <v>61.7911111111111</v>
      </c>
      <c r="E752" s="115">
        <v>61.7911111111111</v>
      </c>
      <c r="F752" s="115">
        <v>728.8</v>
      </c>
      <c r="G752">
        <v>13222</v>
      </c>
      <c r="H752" s="115"/>
      <c r="I752" s="115"/>
      <c r="L752" s="169">
        <v>43789</v>
      </c>
      <c r="M752" s="115">
        <v>64.848888888888894</v>
      </c>
      <c r="N752" s="115">
        <v>65.328888888888898</v>
      </c>
      <c r="O752" s="115">
        <v>61.537777777777798</v>
      </c>
      <c r="P752" s="115">
        <v>61.537777777777798</v>
      </c>
      <c r="Q752" s="115">
        <v>729.55</v>
      </c>
      <c r="R752">
        <v>282701</v>
      </c>
    </row>
    <row r="753" spans="1:18" x14ac:dyDescent="0.25">
      <c r="A753" s="169">
        <v>43790</v>
      </c>
      <c r="B753" s="115">
        <v>66.6666666666667</v>
      </c>
      <c r="C753" s="115">
        <v>65.075555555555596</v>
      </c>
      <c r="D753" s="115">
        <v>64.568888888888907</v>
      </c>
      <c r="E753" s="115">
        <v>66.6666666666667</v>
      </c>
      <c r="F753" s="115">
        <v>732.1</v>
      </c>
      <c r="G753">
        <v>13453</v>
      </c>
      <c r="H753" s="115"/>
      <c r="I753" s="115"/>
      <c r="L753" s="169">
        <v>43790</v>
      </c>
      <c r="M753" s="115">
        <v>65.124444444444407</v>
      </c>
      <c r="N753" s="115">
        <v>65.7777777777778</v>
      </c>
      <c r="O753" s="115">
        <v>64.506666666666703</v>
      </c>
      <c r="P753" s="115">
        <v>65.146666666666704</v>
      </c>
      <c r="Q753" s="115">
        <v>732.65</v>
      </c>
      <c r="R753">
        <v>162726</v>
      </c>
    </row>
    <row r="754" spans="1:18" x14ac:dyDescent="0.25">
      <c r="A754" s="169">
        <v>43791</v>
      </c>
      <c r="B754" s="115">
        <v>65.599999999999994</v>
      </c>
      <c r="C754" s="115">
        <v>64.857777777777798</v>
      </c>
      <c r="D754" s="115">
        <v>64.066666666666706</v>
      </c>
      <c r="E754" s="115">
        <v>64.915555555555599</v>
      </c>
      <c r="F754" s="115">
        <v>729.65</v>
      </c>
      <c r="G754">
        <v>11534</v>
      </c>
      <c r="H754" s="115"/>
      <c r="I754" s="115"/>
      <c r="L754" s="169">
        <v>43791</v>
      </c>
      <c r="M754" s="115">
        <v>64.871111111111105</v>
      </c>
      <c r="N754" s="115">
        <v>65.3333333333333</v>
      </c>
      <c r="O754" s="115">
        <v>64</v>
      </c>
      <c r="P754" s="115">
        <v>65.3066666666667</v>
      </c>
      <c r="Q754" s="115">
        <v>729.8</v>
      </c>
      <c r="R754">
        <v>172604</v>
      </c>
    </row>
    <row r="755" spans="1:18" x14ac:dyDescent="0.25">
      <c r="A755" s="169">
        <v>43794</v>
      </c>
      <c r="B755" s="115">
        <v>66.671111111111102</v>
      </c>
      <c r="C755" s="115">
        <v>65.391111111111101</v>
      </c>
      <c r="D755" s="115">
        <v>65.066666666666706</v>
      </c>
      <c r="E755" s="115">
        <v>65.235555555555607</v>
      </c>
      <c r="F755" s="115">
        <v>735.65</v>
      </c>
      <c r="G755">
        <v>4333</v>
      </c>
      <c r="H755" s="115"/>
      <c r="I755" s="115"/>
      <c r="L755" s="169">
        <v>43794</v>
      </c>
      <c r="M755" s="115">
        <v>65.413333333333298</v>
      </c>
      <c r="N755" s="115">
        <v>66.64</v>
      </c>
      <c r="O755" s="115">
        <v>64.893333333333302</v>
      </c>
      <c r="P755" s="115">
        <v>64.893333333333302</v>
      </c>
      <c r="Q755" s="115">
        <v>735.9</v>
      </c>
      <c r="R755">
        <v>305893</v>
      </c>
    </row>
    <row r="756" spans="1:18" x14ac:dyDescent="0.25">
      <c r="A756" s="169">
        <v>43795</v>
      </c>
      <c r="B756" s="115">
        <v>68</v>
      </c>
      <c r="C756" s="115">
        <v>65.315555555555505</v>
      </c>
      <c r="D756" s="115">
        <v>63.377777777777801</v>
      </c>
      <c r="E756" s="115">
        <v>65.728888888888903</v>
      </c>
      <c r="F756" s="115">
        <v>734.8</v>
      </c>
      <c r="G756">
        <v>10177</v>
      </c>
      <c r="H756" s="115"/>
      <c r="I756" s="115"/>
      <c r="L756" s="169">
        <v>43795</v>
      </c>
      <c r="M756" s="115">
        <v>64.7777777777778</v>
      </c>
      <c r="N756" s="115">
        <v>65.7777777777778</v>
      </c>
      <c r="O756" s="115">
        <v>63.297777777777803</v>
      </c>
      <c r="P756" s="115">
        <v>65.528888888888901</v>
      </c>
      <c r="Q756" s="115">
        <v>728.75</v>
      </c>
      <c r="R756">
        <v>322315</v>
      </c>
    </row>
    <row r="757" spans="1:18" x14ac:dyDescent="0.25">
      <c r="A757" s="169">
        <v>43796</v>
      </c>
      <c r="B757" s="115">
        <v>65.1111111111111</v>
      </c>
      <c r="C757" s="115">
        <v>64.408888888888896</v>
      </c>
      <c r="D757" s="115">
        <v>63.671111111111102</v>
      </c>
      <c r="E757" s="115">
        <v>64.8888888888889</v>
      </c>
      <c r="F757" s="115">
        <v>724.6</v>
      </c>
      <c r="G757">
        <v>4531</v>
      </c>
      <c r="H757" s="115"/>
      <c r="I757" s="115"/>
      <c r="L757" s="169">
        <v>43796</v>
      </c>
      <c r="M757" s="115">
        <v>64.44</v>
      </c>
      <c r="N757" s="115">
        <v>65.502222222222201</v>
      </c>
      <c r="O757" s="115">
        <v>63.671111111111102</v>
      </c>
      <c r="P757" s="115">
        <v>65.502222222222201</v>
      </c>
      <c r="Q757" s="115">
        <v>724.95</v>
      </c>
      <c r="R757">
        <v>59878</v>
      </c>
    </row>
    <row r="758" spans="1:18" x14ac:dyDescent="0.25">
      <c r="A758" s="169">
        <v>43797</v>
      </c>
      <c r="B758" s="115">
        <v>64.684444444444495</v>
      </c>
      <c r="C758" s="115">
        <v>64.040000000000006</v>
      </c>
      <c r="D758" s="115">
        <v>63.6933333333333</v>
      </c>
      <c r="E758" s="115">
        <v>64.448888888888902</v>
      </c>
      <c r="F758" s="115">
        <v>720.45</v>
      </c>
      <c r="G758">
        <v>4315</v>
      </c>
      <c r="H758" s="115"/>
      <c r="I758" s="115"/>
      <c r="L758" s="169">
        <v>43797</v>
      </c>
      <c r="M758" s="115">
        <v>64.097777777777793</v>
      </c>
      <c r="N758" s="115">
        <v>64.8</v>
      </c>
      <c r="O758" s="115">
        <v>63.564444444444398</v>
      </c>
      <c r="P758" s="115">
        <v>64.8</v>
      </c>
      <c r="Q758" s="115">
        <v>721.1</v>
      </c>
      <c r="R758">
        <v>97598</v>
      </c>
    </row>
    <row r="759" spans="1:18" x14ac:dyDescent="0.25">
      <c r="A759" s="169">
        <v>43798</v>
      </c>
      <c r="B759" s="115">
        <v>67.1111111111111</v>
      </c>
      <c r="C759" s="115">
        <v>64.822222222222194</v>
      </c>
      <c r="D759" s="115">
        <v>63.591111111111097</v>
      </c>
      <c r="E759" s="115">
        <v>67.1111111111111</v>
      </c>
      <c r="F759" s="115">
        <v>729.25</v>
      </c>
      <c r="G759">
        <v>4001</v>
      </c>
      <c r="H759" s="115"/>
      <c r="I759" s="115"/>
      <c r="L759" s="169">
        <v>43798</v>
      </c>
      <c r="M759" s="115">
        <v>64.284444444444404</v>
      </c>
      <c r="N759" s="115">
        <v>65.3333333333333</v>
      </c>
      <c r="O759" s="115">
        <v>63.5555555555556</v>
      </c>
      <c r="P759" s="115">
        <v>64.102222222222196</v>
      </c>
      <c r="Q759" s="115">
        <v>723.2</v>
      </c>
      <c r="R759">
        <v>208187</v>
      </c>
    </row>
    <row r="760" spans="1:18" x14ac:dyDescent="0.25">
      <c r="A760" s="169">
        <v>43801</v>
      </c>
      <c r="B760" s="115">
        <v>67.022222222222197</v>
      </c>
      <c r="C760" s="115">
        <v>65.151111111111106</v>
      </c>
      <c r="D760" s="115">
        <v>64.311111111111103</v>
      </c>
      <c r="E760" s="115">
        <v>64.471111111111099</v>
      </c>
      <c r="F760" s="115">
        <v>732.95</v>
      </c>
      <c r="G760">
        <v>10334</v>
      </c>
      <c r="H760" s="115"/>
      <c r="I760" s="115"/>
      <c r="L760" s="169">
        <v>43801</v>
      </c>
      <c r="M760" s="115">
        <v>65.084444444444401</v>
      </c>
      <c r="N760" s="115">
        <v>67.102222222222196</v>
      </c>
      <c r="O760" s="115">
        <v>64</v>
      </c>
      <c r="P760" s="115">
        <v>65.155555555555594</v>
      </c>
      <c r="Q760" s="115">
        <v>732.2</v>
      </c>
      <c r="R760">
        <v>302842</v>
      </c>
    </row>
    <row r="761" spans="1:18" x14ac:dyDescent="0.25">
      <c r="A761" s="169">
        <v>43802</v>
      </c>
      <c r="B761" s="115">
        <v>64.866666666666703</v>
      </c>
      <c r="C761" s="115">
        <v>63.8888888888889</v>
      </c>
      <c r="D761" s="115">
        <v>63.5822222222222</v>
      </c>
      <c r="E761" s="115">
        <v>64.826666666666696</v>
      </c>
      <c r="F761" s="115">
        <v>718.75</v>
      </c>
      <c r="G761">
        <v>7121</v>
      </c>
      <c r="H761" s="115"/>
      <c r="I761" s="115"/>
      <c r="L761" s="169">
        <v>43802</v>
      </c>
      <c r="M761" s="115">
        <v>63.897777777777797</v>
      </c>
      <c r="N761" s="115">
        <v>65.066666666666706</v>
      </c>
      <c r="O761" s="115">
        <v>63.5555555555556</v>
      </c>
      <c r="P761" s="115">
        <v>64.911111111111097</v>
      </c>
      <c r="Q761" s="115">
        <v>718.85</v>
      </c>
      <c r="R761">
        <v>117786</v>
      </c>
    </row>
    <row r="762" spans="1:18" x14ac:dyDescent="0.25">
      <c r="A762" s="169">
        <v>43803</v>
      </c>
      <c r="B762" s="115">
        <v>65.137777777777799</v>
      </c>
      <c r="C762" s="115">
        <v>64.675555555555604</v>
      </c>
      <c r="D762" s="115">
        <v>63.577777777777797</v>
      </c>
      <c r="E762" s="115">
        <v>63.72</v>
      </c>
      <c r="F762" s="115">
        <v>727.6</v>
      </c>
      <c r="G762">
        <v>3017</v>
      </c>
      <c r="H762" s="115"/>
      <c r="I762" s="115"/>
      <c r="L762" s="169">
        <v>43803</v>
      </c>
      <c r="M762" s="115">
        <v>64.6933333333333</v>
      </c>
      <c r="N762" s="115">
        <v>65.155555555555594</v>
      </c>
      <c r="O762" s="115">
        <v>63.377777777777801</v>
      </c>
      <c r="P762" s="115">
        <v>63.7777777777778</v>
      </c>
      <c r="Q762" s="115">
        <v>727.8</v>
      </c>
      <c r="R762">
        <v>139407</v>
      </c>
    </row>
    <row r="763" spans="1:18" x14ac:dyDescent="0.25">
      <c r="A763" s="169">
        <v>43804</v>
      </c>
      <c r="B763" s="115">
        <v>65.551111111111098</v>
      </c>
      <c r="C763" s="115">
        <v>63.337777777777802</v>
      </c>
      <c r="D763" s="115">
        <v>63.022222222222197</v>
      </c>
      <c r="E763" s="115">
        <v>65.155555555555594</v>
      </c>
      <c r="F763" s="115">
        <v>712.55</v>
      </c>
      <c r="G763">
        <v>5102</v>
      </c>
      <c r="H763" s="115"/>
      <c r="I763" s="115"/>
      <c r="L763" s="169">
        <v>43804</v>
      </c>
      <c r="M763" s="115">
        <v>63.351111111111102</v>
      </c>
      <c r="N763" s="115">
        <v>65.599999999999994</v>
      </c>
      <c r="O763" s="115">
        <v>63.1111111111111</v>
      </c>
      <c r="P763" s="115">
        <v>64.871111111111105</v>
      </c>
      <c r="Q763" s="115">
        <v>712.7</v>
      </c>
      <c r="R763">
        <v>142797</v>
      </c>
    </row>
    <row r="764" spans="1:18" x14ac:dyDescent="0.25">
      <c r="A764" s="169">
        <v>43805</v>
      </c>
      <c r="B764" s="115">
        <v>64.284444444444404</v>
      </c>
      <c r="C764" s="115">
        <v>62.822222222222202</v>
      </c>
      <c r="D764" s="115">
        <v>62.3333333333333</v>
      </c>
      <c r="E764" s="115">
        <v>63.897777777777797</v>
      </c>
      <c r="F764" s="115">
        <v>706.75</v>
      </c>
      <c r="G764">
        <v>4713</v>
      </c>
      <c r="H764" s="115"/>
      <c r="I764" s="115"/>
      <c r="L764" s="169">
        <v>43805</v>
      </c>
      <c r="M764" s="115">
        <v>62.937777777777796</v>
      </c>
      <c r="N764" s="115">
        <v>64.319999999999993</v>
      </c>
      <c r="O764" s="115">
        <v>62.44</v>
      </c>
      <c r="P764" s="115">
        <v>63.5555555555556</v>
      </c>
      <c r="Q764" s="115">
        <v>708.05</v>
      </c>
      <c r="R764">
        <v>161819</v>
      </c>
    </row>
    <row r="765" spans="1:18" x14ac:dyDescent="0.25">
      <c r="A765" s="169">
        <v>43808</v>
      </c>
      <c r="B765" s="115">
        <v>63.373333333333299</v>
      </c>
      <c r="C765" s="115">
        <v>62.6</v>
      </c>
      <c r="D765" s="115">
        <v>62.324444444444403</v>
      </c>
      <c r="E765" s="115">
        <v>63.253333333333302</v>
      </c>
      <c r="F765" s="115">
        <v>704.25</v>
      </c>
      <c r="G765">
        <v>1588</v>
      </c>
      <c r="H765" s="115"/>
      <c r="I765" s="115"/>
      <c r="L765" s="169">
        <v>43808</v>
      </c>
      <c r="M765" s="115">
        <v>62.626666666666701</v>
      </c>
      <c r="N765" s="115">
        <v>63.524444444444399</v>
      </c>
      <c r="O765" s="115">
        <v>62.32</v>
      </c>
      <c r="P765" s="115">
        <v>63.004444444444403</v>
      </c>
      <c r="Q765" s="115">
        <v>704.55</v>
      </c>
      <c r="R765">
        <v>181133</v>
      </c>
    </row>
    <row r="766" spans="1:18" x14ac:dyDescent="0.25">
      <c r="A766" s="169">
        <v>43809</v>
      </c>
      <c r="B766" s="115">
        <v>63.511111111111099</v>
      </c>
      <c r="C766" s="115">
        <v>61.413333333333298</v>
      </c>
      <c r="D766" s="115">
        <v>61.2</v>
      </c>
      <c r="E766" s="115">
        <v>63.511111111111099</v>
      </c>
      <c r="F766" s="115">
        <v>690.9</v>
      </c>
      <c r="G766">
        <v>4691</v>
      </c>
      <c r="H766" s="115"/>
      <c r="I766" s="115"/>
      <c r="L766" s="169">
        <v>43809</v>
      </c>
      <c r="M766" s="115">
        <v>61.422222222222203</v>
      </c>
      <c r="N766" s="115">
        <v>63.026666666666699</v>
      </c>
      <c r="O766" s="115">
        <v>61.155555555555601</v>
      </c>
      <c r="P766" s="115">
        <v>62.751111111111101</v>
      </c>
      <c r="Q766" s="115">
        <v>691</v>
      </c>
      <c r="R766">
        <v>66238</v>
      </c>
    </row>
    <row r="767" spans="1:18" x14ac:dyDescent="0.25">
      <c r="A767" s="169">
        <v>43810</v>
      </c>
      <c r="B767" s="115">
        <v>62.377777777777801</v>
      </c>
      <c r="C767" s="115">
        <v>61.515555555555601</v>
      </c>
      <c r="D767" s="115">
        <v>60.626666666666701</v>
      </c>
      <c r="E767" s="115">
        <v>61.426666666666698</v>
      </c>
      <c r="F767" s="115">
        <v>692.05</v>
      </c>
      <c r="G767">
        <v>2616</v>
      </c>
      <c r="H767" s="115"/>
      <c r="I767" s="115"/>
      <c r="L767" s="169">
        <v>43810</v>
      </c>
      <c r="M767" s="115">
        <v>61.28</v>
      </c>
      <c r="N767" s="115">
        <v>62.373333333333299</v>
      </c>
      <c r="O767" s="115">
        <v>60.5422222222222</v>
      </c>
      <c r="P767" s="115">
        <v>61.684444444444502</v>
      </c>
      <c r="Q767" s="115">
        <v>689.4</v>
      </c>
      <c r="R767">
        <v>140558</v>
      </c>
    </row>
    <row r="768" spans="1:18" x14ac:dyDescent="0.25">
      <c r="A768" s="169">
        <v>43811</v>
      </c>
      <c r="B768" s="115">
        <v>62.395555555555603</v>
      </c>
      <c r="C768" s="115">
        <v>61.991111111111103</v>
      </c>
      <c r="D768" s="115">
        <v>61.688888888888897</v>
      </c>
      <c r="E768" s="115">
        <v>61.955555555555598</v>
      </c>
      <c r="F768" s="115">
        <v>697.4</v>
      </c>
      <c r="G768">
        <v>1592</v>
      </c>
      <c r="H768" s="115"/>
      <c r="I768" s="115"/>
      <c r="L768" s="169">
        <v>43811</v>
      </c>
      <c r="M768" s="115">
        <v>61.968888888888898</v>
      </c>
      <c r="N768" s="115">
        <v>62.435555555555602</v>
      </c>
      <c r="O768" s="115">
        <v>61.28</v>
      </c>
      <c r="P768" s="115">
        <v>61.328888888888898</v>
      </c>
      <c r="Q768" s="115">
        <v>697.15</v>
      </c>
      <c r="R768">
        <v>77076</v>
      </c>
    </row>
    <row r="769" spans="1:18" x14ac:dyDescent="0.25">
      <c r="A769" s="169">
        <v>43812</v>
      </c>
      <c r="B769" s="115">
        <v>62.937777777777796</v>
      </c>
      <c r="C769" s="115">
        <v>62.2222222222222</v>
      </c>
      <c r="D769" s="115">
        <v>62.133333333333297</v>
      </c>
      <c r="E769" s="115">
        <v>62.6666666666667</v>
      </c>
      <c r="F769" s="115">
        <v>700</v>
      </c>
      <c r="G769">
        <v>1832</v>
      </c>
      <c r="H769" s="115"/>
      <c r="I769" s="115"/>
      <c r="L769" s="169">
        <v>43812</v>
      </c>
      <c r="M769" s="115">
        <v>62.284444444444397</v>
      </c>
      <c r="N769" s="115">
        <v>63</v>
      </c>
      <c r="O769" s="115">
        <v>62.044444444444402</v>
      </c>
      <c r="P769" s="115">
        <v>62.4</v>
      </c>
      <c r="Q769" s="115">
        <v>700.7</v>
      </c>
      <c r="R769">
        <v>80229</v>
      </c>
    </row>
    <row r="770" spans="1:18" x14ac:dyDescent="0.25">
      <c r="A770" s="169">
        <v>43815</v>
      </c>
      <c r="B770" s="115">
        <v>63.04</v>
      </c>
      <c r="C770" s="115">
        <v>62.453333333333298</v>
      </c>
      <c r="D770" s="115">
        <v>61.8755555555556</v>
      </c>
      <c r="E770" s="115">
        <v>62.044444444444402</v>
      </c>
      <c r="F770" s="115">
        <v>702.6</v>
      </c>
      <c r="G770">
        <v>3410</v>
      </c>
      <c r="H770" s="115"/>
      <c r="I770" s="115"/>
      <c r="L770" s="169">
        <v>43815</v>
      </c>
      <c r="M770" s="115">
        <v>62.471111111111099</v>
      </c>
      <c r="N770" s="115">
        <v>63.1111111111111</v>
      </c>
      <c r="O770" s="115">
        <v>61.817777777777799</v>
      </c>
      <c r="P770" s="115">
        <v>61.866666666666703</v>
      </c>
      <c r="Q770" s="115">
        <v>702.8</v>
      </c>
      <c r="R770">
        <v>151754</v>
      </c>
    </row>
    <row r="771" spans="1:18" x14ac:dyDescent="0.25">
      <c r="A771" s="169">
        <v>43816</v>
      </c>
      <c r="B771" s="115">
        <v>63.6</v>
      </c>
      <c r="C771" s="115">
        <v>63.386666666666699</v>
      </c>
      <c r="D771" s="115">
        <v>62.755555555555603</v>
      </c>
      <c r="E771" s="115">
        <v>62.755555555555603</v>
      </c>
      <c r="F771" s="115">
        <v>713.1</v>
      </c>
      <c r="G771">
        <v>1172</v>
      </c>
      <c r="H771" s="115"/>
      <c r="I771" s="115"/>
      <c r="L771" s="169">
        <v>43816</v>
      </c>
      <c r="M771" s="115">
        <v>63.382222222222197</v>
      </c>
      <c r="N771" s="115">
        <v>63.644444444444403</v>
      </c>
      <c r="O771" s="115">
        <v>62.6666666666667</v>
      </c>
      <c r="P771" s="115">
        <v>62.755555555555603</v>
      </c>
      <c r="Q771" s="115">
        <v>713.05</v>
      </c>
      <c r="R771">
        <v>306633</v>
      </c>
    </row>
    <row r="772" spans="1:18" x14ac:dyDescent="0.25">
      <c r="A772" s="169">
        <v>43817</v>
      </c>
      <c r="B772" s="115">
        <v>63.608888888888899</v>
      </c>
      <c r="C772" s="115">
        <v>62.035555555555597</v>
      </c>
      <c r="D772" s="115">
        <v>61.786666666666697</v>
      </c>
      <c r="E772" s="115">
        <v>63.608888888888899</v>
      </c>
      <c r="F772" s="115">
        <v>697.9</v>
      </c>
      <c r="G772">
        <v>2541</v>
      </c>
      <c r="H772" s="115"/>
      <c r="I772" s="115"/>
      <c r="L772" s="169">
        <v>43817</v>
      </c>
      <c r="M772" s="115">
        <v>62.035555555555597</v>
      </c>
      <c r="N772" s="115">
        <v>63.857777777777798</v>
      </c>
      <c r="O772" s="115">
        <v>61.7777777777778</v>
      </c>
      <c r="P772" s="115">
        <v>63.857777777777798</v>
      </c>
      <c r="Q772" s="115">
        <v>697.9</v>
      </c>
      <c r="R772">
        <v>135877</v>
      </c>
    </row>
    <row r="773" spans="1:18" x14ac:dyDescent="0.25">
      <c r="A773" s="169">
        <v>43818</v>
      </c>
      <c r="B773" s="115">
        <v>62.6666666666667</v>
      </c>
      <c r="C773" s="115">
        <v>62.355555555555597</v>
      </c>
      <c r="D773" s="115">
        <v>61.844444444444399</v>
      </c>
      <c r="E773" s="115">
        <v>62.044444444444402</v>
      </c>
      <c r="F773" s="115">
        <v>701.5</v>
      </c>
      <c r="G773">
        <v>1392</v>
      </c>
      <c r="H773" s="115"/>
      <c r="I773" s="115"/>
      <c r="L773" s="169">
        <v>43818</v>
      </c>
      <c r="M773" s="115">
        <v>62.386666666666699</v>
      </c>
      <c r="N773" s="115">
        <v>62.711111111111101</v>
      </c>
      <c r="O773" s="115">
        <v>61.733333333333299</v>
      </c>
      <c r="P773" s="115">
        <v>62.2</v>
      </c>
      <c r="Q773" s="115">
        <v>701.85</v>
      </c>
      <c r="R773">
        <v>70326</v>
      </c>
    </row>
    <row r="774" spans="1:18" x14ac:dyDescent="0.25">
      <c r="A774" s="169">
        <v>43819</v>
      </c>
      <c r="B774" s="115">
        <v>63.8888888888889</v>
      </c>
      <c r="C774" s="115">
        <v>61.808888888888902</v>
      </c>
      <c r="D774" s="115">
        <v>61.475555555555601</v>
      </c>
      <c r="E774" s="115">
        <v>62.817777777777799</v>
      </c>
      <c r="F774" s="115">
        <v>695.35</v>
      </c>
      <c r="G774">
        <v>5137</v>
      </c>
      <c r="H774" s="115"/>
      <c r="I774" s="115"/>
      <c r="L774" s="169">
        <v>43819</v>
      </c>
      <c r="M774" s="115">
        <v>62.244444444444397</v>
      </c>
      <c r="N774" s="115">
        <v>63.822222222222202</v>
      </c>
      <c r="O774" s="115">
        <v>61.4311111111111</v>
      </c>
      <c r="P774" s="115">
        <v>62.755555555555603</v>
      </c>
      <c r="Q774" s="115">
        <v>700.25</v>
      </c>
      <c r="R774">
        <v>210746</v>
      </c>
    </row>
    <row r="775" spans="1:18" x14ac:dyDescent="0.25">
      <c r="A775" s="169">
        <v>43822</v>
      </c>
      <c r="B775" s="115">
        <v>62.782222222222202</v>
      </c>
      <c r="C775" s="115">
        <v>62.284444444444397</v>
      </c>
      <c r="D775" s="115">
        <v>61.511111111111099</v>
      </c>
      <c r="E775" s="115">
        <v>61.671111111111102</v>
      </c>
      <c r="F775" s="115">
        <v>700.7</v>
      </c>
      <c r="G775">
        <v>1297</v>
      </c>
      <c r="H775" s="115"/>
      <c r="I775" s="115"/>
      <c r="L775" s="169">
        <v>43822</v>
      </c>
      <c r="M775" s="115">
        <v>62.1955555555556</v>
      </c>
      <c r="N775" s="115">
        <v>62.835555555555601</v>
      </c>
      <c r="O775" s="115">
        <v>61.426666666666698</v>
      </c>
      <c r="P775" s="115">
        <v>61.5555555555556</v>
      </c>
      <c r="Q775" s="115">
        <v>699.7</v>
      </c>
      <c r="R775">
        <v>196928</v>
      </c>
    </row>
    <row r="776" spans="1:18" x14ac:dyDescent="0.25">
      <c r="A776" s="169">
        <v>43823</v>
      </c>
      <c r="B776" s="115">
        <v>63.071111111111101</v>
      </c>
      <c r="C776" s="115">
        <v>62.217777777777798</v>
      </c>
      <c r="D776" s="115">
        <v>61.7777777777778</v>
      </c>
      <c r="E776" s="115">
        <v>63.062222222222204</v>
      </c>
      <c r="F776" s="115">
        <v>699.95</v>
      </c>
      <c r="G776">
        <v>2495</v>
      </c>
      <c r="H776" s="115"/>
      <c r="I776" s="115"/>
      <c r="L776" s="169">
        <v>43823</v>
      </c>
      <c r="M776" s="115">
        <v>62.217777777777798</v>
      </c>
      <c r="N776" s="115">
        <v>62.6</v>
      </c>
      <c r="O776" s="115">
        <v>61.84</v>
      </c>
      <c r="P776" s="115">
        <v>62.231111111111098</v>
      </c>
      <c r="Q776" s="115">
        <v>699.95</v>
      </c>
      <c r="R776">
        <v>54853</v>
      </c>
    </row>
    <row r="777" spans="1:18" x14ac:dyDescent="0.25">
      <c r="A777" s="169">
        <v>43825</v>
      </c>
      <c r="B777" s="115">
        <v>62.266666666666701</v>
      </c>
      <c r="C777" s="115">
        <v>61.7777777777778</v>
      </c>
      <c r="D777" s="115">
        <v>61.6</v>
      </c>
      <c r="E777" s="115">
        <v>62.191111111111098</v>
      </c>
      <c r="F777" s="115">
        <v>695</v>
      </c>
      <c r="G777">
        <v>1214</v>
      </c>
      <c r="H777" s="115"/>
      <c r="I777" s="115"/>
      <c r="L777" s="169">
        <v>43825</v>
      </c>
      <c r="M777" s="115">
        <v>61.697777777777802</v>
      </c>
      <c r="N777" s="115">
        <v>62.577777777777797</v>
      </c>
      <c r="O777" s="115">
        <v>61.6</v>
      </c>
      <c r="P777" s="115">
        <v>62.577777777777797</v>
      </c>
      <c r="Q777" s="115">
        <v>694.1</v>
      </c>
      <c r="R777">
        <v>219593</v>
      </c>
    </row>
    <row r="778" spans="1:18" x14ac:dyDescent="0.25">
      <c r="A778" s="169">
        <v>43826</v>
      </c>
      <c r="B778" s="115">
        <v>62.524444444444399</v>
      </c>
      <c r="C778" s="115">
        <v>62.022222222222197</v>
      </c>
      <c r="D778" s="115">
        <v>61.573333333333302</v>
      </c>
      <c r="E778" s="115">
        <v>61.684444444444502</v>
      </c>
      <c r="F778" s="115">
        <v>697.75</v>
      </c>
      <c r="G778">
        <v>2215</v>
      </c>
      <c r="H778" s="115"/>
      <c r="I778" s="115"/>
      <c r="L778" s="169">
        <v>43826</v>
      </c>
      <c r="M778" s="115">
        <v>62.115555555555602</v>
      </c>
      <c r="N778" s="115">
        <v>62.577777777777797</v>
      </c>
      <c r="O778" s="115">
        <v>61.52</v>
      </c>
      <c r="P778" s="115">
        <v>61.786666666666697</v>
      </c>
      <c r="Q778" s="115">
        <v>698.8</v>
      </c>
      <c r="R778">
        <v>138942</v>
      </c>
    </row>
    <row r="779" spans="1:18" x14ac:dyDescent="0.25">
      <c r="A779" s="169">
        <v>43829</v>
      </c>
      <c r="B779" s="115">
        <v>63.764444444444401</v>
      </c>
      <c r="C779" s="115">
        <v>63.586666666666702</v>
      </c>
      <c r="D779" s="115">
        <v>62.191111111111098</v>
      </c>
      <c r="E779" s="115">
        <v>62.2222222222222</v>
      </c>
      <c r="F779" s="115">
        <v>715.35</v>
      </c>
      <c r="G779">
        <v>3211</v>
      </c>
      <c r="H779" s="115"/>
      <c r="I779" s="115"/>
      <c r="L779" s="169">
        <v>43829</v>
      </c>
      <c r="M779" s="115">
        <v>63.5822222222222</v>
      </c>
      <c r="N779" s="115">
        <v>63.911111111111097</v>
      </c>
      <c r="O779" s="115">
        <v>61.933333333333302</v>
      </c>
      <c r="P779" s="115">
        <v>61.933333333333302</v>
      </c>
      <c r="Q779" s="115">
        <v>715.3</v>
      </c>
      <c r="R779">
        <v>152299</v>
      </c>
    </row>
    <row r="780" spans="1:18" x14ac:dyDescent="0.25">
      <c r="A780" s="169">
        <v>43830</v>
      </c>
      <c r="B780" s="115">
        <v>64.608888888888899</v>
      </c>
      <c r="C780" s="115">
        <v>62.928888888888899</v>
      </c>
      <c r="D780" s="115">
        <v>62.248888888888899</v>
      </c>
      <c r="E780" s="115">
        <v>64.484444444444406</v>
      </c>
      <c r="F780" s="115">
        <v>707.95</v>
      </c>
      <c r="G780">
        <v>5703</v>
      </c>
      <c r="H780" s="115"/>
      <c r="I780" s="115"/>
      <c r="L780" s="169">
        <v>43830</v>
      </c>
      <c r="M780" s="115">
        <v>62.9866666666667</v>
      </c>
      <c r="N780" s="115">
        <v>64.684444444444495</v>
      </c>
      <c r="O780" s="115">
        <v>62.137777777777799</v>
      </c>
      <c r="P780" s="115">
        <v>64</v>
      </c>
      <c r="Q780" s="115">
        <v>708.6</v>
      </c>
      <c r="R780">
        <v>178031</v>
      </c>
    </row>
    <row r="781" spans="1:18" x14ac:dyDescent="0.25">
      <c r="A781" s="169">
        <v>43831</v>
      </c>
      <c r="B781" s="115">
        <v>63.28</v>
      </c>
      <c r="C781" s="115">
        <v>62.231111111111098</v>
      </c>
      <c r="D781" s="115">
        <v>62.0844444444445</v>
      </c>
      <c r="E781" s="115">
        <v>63.2</v>
      </c>
      <c r="F781" s="115">
        <v>700.1</v>
      </c>
      <c r="G781">
        <v>1952</v>
      </c>
      <c r="H781" s="115"/>
      <c r="I781" s="115"/>
      <c r="L781" s="169">
        <v>43831</v>
      </c>
      <c r="M781" s="115">
        <v>62.151111111111099</v>
      </c>
      <c r="N781" s="115">
        <v>63.426666666666698</v>
      </c>
      <c r="O781" s="115">
        <v>62.044444444444402</v>
      </c>
      <c r="P781" s="115">
        <v>62.755555555555603</v>
      </c>
      <c r="Q781" s="115">
        <v>699.2</v>
      </c>
      <c r="R781">
        <v>75101</v>
      </c>
    </row>
    <row r="782" spans="1:18" x14ac:dyDescent="0.25">
      <c r="A782" s="169">
        <v>43832</v>
      </c>
      <c r="B782" s="115">
        <v>63.2</v>
      </c>
      <c r="C782" s="115">
        <v>62.866666666666703</v>
      </c>
      <c r="D782" s="115">
        <v>62.1111111111111</v>
      </c>
      <c r="E782" s="115">
        <v>62.231111111111098</v>
      </c>
      <c r="F782" s="115">
        <v>707.25</v>
      </c>
      <c r="G782">
        <v>2836</v>
      </c>
      <c r="H782" s="115"/>
      <c r="I782" s="115"/>
      <c r="L782" s="169">
        <v>43832</v>
      </c>
      <c r="M782" s="115">
        <v>62.764444444444401</v>
      </c>
      <c r="N782" s="115">
        <v>63.235555555555599</v>
      </c>
      <c r="O782" s="115">
        <v>62.12</v>
      </c>
      <c r="P782" s="115">
        <v>62.4577777777778</v>
      </c>
      <c r="Q782" s="115">
        <v>706.1</v>
      </c>
      <c r="R782">
        <v>102604</v>
      </c>
    </row>
    <row r="783" spans="1:18" x14ac:dyDescent="0.25">
      <c r="A783" s="169">
        <v>43833</v>
      </c>
      <c r="B783" s="115">
        <v>63.04</v>
      </c>
      <c r="C783" s="115">
        <v>62.506666666666703</v>
      </c>
      <c r="D783" s="115">
        <v>62.133333333333297</v>
      </c>
      <c r="E783" s="115">
        <v>62.6666666666667</v>
      </c>
      <c r="F783" s="115">
        <v>703.2</v>
      </c>
      <c r="G783">
        <v>2764</v>
      </c>
      <c r="H783" s="115"/>
      <c r="I783" s="115"/>
      <c r="L783" s="169">
        <v>43833</v>
      </c>
      <c r="M783" s="115">
        <v>62.435555555555602</v>
      </c>
      <c r="N783" s="115">
        <v>63.066666666666698</v>
      </c>
      <c r="O783" s="115">
        <v>62.142222222222202</v>
      </c>
      <c r="P783" s="115">
        <v>62.586666666666702</v>
      </c>
      <c r="Q783" s="115">
        <v>702.4</v>
      </c>
      <c r="R783">
        <v>90903</v>
      </c>
    </row>
    <row r="784" spans="1:18" x14ac:dyDescent="0.25">
      <c r="A784" s="169">
        <v>43836</v>
      </c>
      <c r="B784" s="115">
        <v>62.56</v>
      </c>
      <c r="C784" s="115">
        <v>62.1111111111111</v>
      </c>
      <c r="D784" s="115">
        <v>60.933333333333302</v>
      </c>
      <c r="E784" s="115">
        <v>62.56</v>
      </c>
      <c r="F784" s="115">
        <v>698.75</v>
      </c>
      <c r="G784">
        <v>1782</v>
      </c>
      <c r="H784" s="115"/>
      <c r="I784" s="115"/>
      <c r="L784" s="169">
        <v>43836</v>
      </c>
      <c r="M784" s="115">
        <v>62.2088888888889</v>
      </c>
      <c r="N784" s="115">
        <v>62.4</v>
      </c>
      <c r="O784" s="115">
        <v>60.866666666666703</v>
      </c>
      <c r="P784" s="115">
        <v>62.4</v>
      </c>
      <c r="Q784" s="115">
        <v>699.85</v>
      </c>
      <c r="R784">
        <v>67054</v>
      </c>
    </row>
    <row r="785" spans="1:18" x14ac:dyDescent="0.25">
      <c r="A785" s="169">
        <v>43837</v>
      </c>
      <c r="B785" s="115">
        <v>62.64</v>
      </c>
      <c r="C785" s="115">
        <v>61.6933333333333</v>
      </c>
      <c r="D785" s="115">
        <v>61.3066666666667</v>
      </c>
      <c r="E785" s="115">
        <v>62.577777777777797</v>
      </c>
      <c r="F785" s="115">
        <v>694.05</v>
      </c>
      <c r="G785">
        <v>3347</v>
      </c>
      <c r="H785" s="115"/>
      <c r="I785" s="115"/>
      <c r="L785" s="169">
        <v>43837</v>
      </c>
      <c r="M785" s="115">
        <v>61.635555555555598</v>
      </c>
      <c r="N785" s="115">
        <v>62.6</v>
      </c>
      <c r="O785" s="115">
        <v>61.311111111111103</v>
      </c>
      <c r="P785" s="115">
        <v>61.871111111111098</v>
      </c>
      <c r="Q785" s="115">
        <v>693.4</v>
      </c>
      <c r="R785">
        <v>114262</v>
      </c>
    </row>
    <row r="786" spans="1:18" x14ac:dyDescent="0.25">
      <c r="A786" s="169">
        <v>43838</v>
      </c>
      <c r="B786" s="115">
        <v>63.022222222222197</v>
      </c>
      <c r="C786" s="115">
        <v>62.288888888888899</v>
      </c>
      <c r="D786" s="115">
        <v>61.062222222222204</v>
      </c>
      <c r="E786" s="115">
        <v>61.062222222222204</v>
      </c>
      <c r="F786" s="115">
        <v>700.75</v>
      </c>
      <c r="G786">
        <v>2366</v>
      </c>
      <c r="H786" s="115"/>
      <c r="I786" s="115"/>
      <c r="L786" s="169">
        <v>43838</v>
      </c>
      <c r="M786" s="115">
        <v>62.453333333333298</v>
      </c>
      <c r="N786" s="115">
        <v>63.1111111111111</v>
      </c>
      <c r="O786" s="115">
        <v>61.044444444444402</v>
      </c>
      <c r="P786" s="115">
        <v>61.3333333333333</v>
      </c>
      <c r="Q786" s="115">
        <v>702.6</v>
      </c>
      <c r="R786">
        <v>153723</v>
      </c>
    </row>
    <row r="787" spans="1:18" x14ac:dyDescent="0.25">
      <c r="A787" s="169">
        <v>43839</v>
      </c>
      <c r="B787" s="115">
        <v>64.004444444444403</v>
      </c>
      <c r="C787" s="115">
        <v>63.608888888888899</v>
      </c>
      <c r="D787" s="115">
        <v>62.586666666666702</v>
      </c>
      <c r="E787" s="115">
        <v>63.551111111111098</v>
      </c>
      <c r="F787" s="115">
        <v>715.6</v>
      </c>
      <c r="G787">
        <v>6503</v>
      </c>
      <c r="H787" s="115"/>
      <c r="I787" s="115"/>
      <c r="L787" s="169">
        <v>43839</v>
      </c>
      <c r="M787" s="115">
        <v>63.622222222222199</v>
      </c>
      <c r="N787" s="115">
        <v>64.177777777777806</v>
      </c>
      <c r="O787" s="115">
        <v>62.6533333333333</v>
      </c>
      <c r="P787" s="115">
        <v>62.933333333333302</v>
      </c>
      <c r="Q787" s="115">
        <v>715.75</v>
      </c>
      <c r="R787">
        <v>148382</v>
      </c>
    </row>
    <row r="788" spans="1:18" x14ac:dyDescent="0.25">
      <c r="A788" s="169">
        <v>43840</v>
      </c>
      <c r="B788" s="115">
        <v>66.177777777777806</v>
      </c>
      <c r="C788" s="115">
        <v>65.351111111111095</v>
      </c>
      <c r="D788" s="115">
        <v>63.9022222222222</v>
      </c>
      <c r="E788" s="115">
        <v>63.9022222222222</v>
      </c>
      <c r="F788" s="115">
        <v>735.2</v>
      </c>
      <c r="G788">
        <v>192981</v>
      </c>
      <c r="H788" s="115"/>
      <c r="I788" s="115"/>
      <c r="L788" s="169">
        <v>43840</v>
      </c>
      <c r="M788" s="115">
        <v>65.319999999999993</v>
      </c>
      <c r="N788" s="115">
        <v>66.2222222222222</v>
      </c>
      <c r="O788" s="115">
        <v>63.644444444444403</v>
      </c>
      <c r="P788" s="115">
        <v>63.644444444444403</v>
      </c>
      <c r="Q788" s="115">
        <v>734.85</v>
      </c>
      <c r="R788">
        <v>315782</v>
      </c>
    </row>
    <row r="789" spans="1:18" x14ac:dyDescent="0.25">
      <c r="A789" s="169">
        <v>43843</v>
      </c>
      <c r="B789" s="115">
        <v>66.533333333333303</v>
      </c>
      <c r="C789" s="115">
        <v>65.386666666666699</v>
      </c>
      <c r="D789" s="115">
        <v>65.151111111111106</v>
      </c>
      <c r="E789" s="115">
        <v>66.533333333333303</v>
      </c>
      <c r="F789" s="115">
        <v>735.6</v>
      </c>
      <c r="G789">
        <v>43879</v>
      </c>
      <c r="H789" s="115"/>
      <c r="I789" s="115"/>
      <c r="L789" s="169">
        <v>43843</v>
      </c>
      <c r="M789" s="115">
        <v>65.368888888888904</v>
      </c>
      <c r="N789" s="115">
        <v>66.635555555555598</v>
      </c>
      <c r="O789" s="115">
        <v>65.035555555555504</v>
      </c>
      <c r="P789" s="115">
        <v>65.902222222222207</v>
      </c>
      <c r="Q789" s="115">
        <v>735.4</v>
      </c>
      <c r="R789">
        <v>141473</v>
      </c>
    </row>
    <row r="790" spans="1:18" x14ac:dyDescent="0.25">
      <c r="A790" s="169">
        <v>43844</v>
      </c>
      <c r="B790" s="115">
        <v>65.866666666666703</v>
      </c>
      <c r="C790" s="115">
        <v>65.382222222222197</v>
      </c>
      <c r="D790" s="115">
        <v>64</v>
      </c>
      <c r="E790" s="115">
        <v>65.857777777777798</v>
      </c>
      <c r="F790" s="115">
        <v>735.55</v>
      </c>
      <c r="G790">
        <v>4164</v>
      </c>
      <c r="H790" s="115"/>
      <c r="I790" s="115"/>
      <c r="L790" s="169">
        <v>43844</v>
      </c>
      <c r="M790" s="115">
        <v>65.431111111111093</v>
      </c>
      <c r="N790" s="115">
        <v>65.955555555555506</v>
      </c>
      <c r="O790" s="115">
        <v>64</v>
      </c>
      <c r="P790" s="115">
        <v>65.7777777777778</v>
      </c>
      <c r="Q790" s="115">
        <v>736.1</v>
      </c>
      <c r="R790">
        <v>90440</v>
      </c>
    </row>
    <row r="791" spans="1:18" x14ac:dyDescent="0.25">
      <c r="A791" s="169">
        <v>43845</v>
      </c>
      <c r="B791" s="115">
        <v>67.022222222222197</v>
      </c>
      <c r="C791" s="115">
        <v>65.577777777777797</v>
      </c>
      <c r="D791" s="115">
        <v>64.995555555555597</v>
      </c>
      <c r="E791" s="115">
        <v>65.3333333333333</v>
      </c>
      <c r="F791" s="115">
        <v>737.75</v>
      </c>
      <c r="G791">
        <v>5652</v>
      </c>
      <c r="H791" s="115"/>
      <c r="I791" s="115"/>
      <c r="L791" s="169">
        <v>43845</v>
      </c>
      <c r="M791" s="115">
        <v>65.715555555555596</v>
      </c>
      <c r="N791" s="115">
        <v>67.093333333333305</v>
      </c>
      <c r="O791" s="115">
        <v>65</v>
      </c>
      <c r="P791" s="115">
        <v>65.564444444444405</v>
      </c>
      <c r="Q791" s="115">
        <v>739.3</v>
      </c>
      <c r="R791">
        <v>198412</v>
      </c>
    </row>
    <row r="792" spans="1:18" x14ac:dyDescent="0.25">
      <c r="A792" s="169">
        <v>43846</v>
      </c>
      <c r="B792" s="115">
        <v>66.6666666666667</v>
      </c>
      <c r="C792" s="115">
        <v>66.2222222222222</v>
      </c>
      <c r="D792" s="115">
        <v>64.893333333333302</v>
      </c>
      <c r="E792" s="115">
        <v>66.097777777777793</v>
      </c>
      <c r="F792" s="115">
        <v>745</v>
      </c>
      <c r="G792">
        <v>3635</v>
      </c>
      <c r="H792" s="115"/>
      <c r="I792" s="115"/>
      <c r="L792" s="169">
        <v>43846</v>
      </c>
      <c r="M792" s="115">
        <v>66.231111111111105</v>
      </c>
      <c r="N792" s="115">
        <v>66.844444444444406</v>
      </c>
      <c r="O792" s="115">
        <v>64.848888888888894</v>
      </c>
      <c r="P792" s="115">
        <v>65.866666666666703</v>
      </c>
      <c r="Q792" s="115">
        <v>745.1</v>
      </c>
      <c r="R792">
        <v>71207</v>
      </c>
    </row>
    <row r="793" spans="1:18" x14ac:dyDescent="0.25">
      <c r="A793" s="169">
        <v>43847</v>
      </c>
      <c r="B793" s="115">
        <v>67.8888888888889</v>
      </c>
      <c r="C793" s="115">
        <v>66.737777777777794</v>
      </c>
      <c r="D793" s="115">
        <v>66.488888888888894</v>
      </c>
      <c r="E793" s="115">
        <v>66.6666666666667</v>
      </c>
      <c r="F793" s="115">
        <v>750.8</v>
      </c>
      <c r="G793">
        <v>7216</v>
      </c>
      <c r="H793" s="115"/>
      <c r="I793" s="115"/>
      <c r="L793" s="169">
        <v>43847</v>
      </c>
      <c r="M793" s="115">
        <v>66.817777777777806</v>
      </c>
      <c r="N793" s="115">
        <v>67.911111111111097</v>
      </c>
      <c r="O793" s="115">
        <v>66.346666666666707</v>
      </c>
      <c r="P793" s="115">
        <v>66.346666666666707</v>
      </c>
      <c r="Q793" s="115">
        <v>751.7</v>
      </c>
      <c r="R793">
        <v>190164</v>
      </c>
    </row>
    <row r="794" spans="1:18" x14ac:dyDescent="0.25">
      <c r="A794" s="169">
        <v>43850</v>
      </c>
      <c r="B794" s="115">
        <v>68.515555555555594</v>
      </c>
      <c r="C794" s="115">
        <v>67.711111111111094</v>
      </c>
      <c r="D794" s="115">
        <v>66.355555555555597</v>
      </c>
      <c r="E794" s="115">
        <v>66.844444444444406</v>
      </c>
      <c r="F794" s="115">
        <v>761.75</v>
      </c>
      <c r="G794">
        <v>5982</v>
      </c>
      <c r="H794" s="115"/>
      <c r="I794" s="115"/>
      <c r="L794" s="169">
        <v>43850</v>
      </c>
      <c r="M794" s="115">
        <v>67.684444444444495</v>
      </c>
      <c r="N794" s="115">
        <v>68.533333333333303</v>
      </c>
      <c r="O794" s="115">
        <v>66.266666666666694</v>
      </c>
      <c r="P794" s="115">
        <v>66.755555555555603</v>
      </c>
      <c r="Q794" s="115">
        <v>761.45</v>
      </c>
      <c r="R794">
        <v>184445</v>
      </c>
    </row>
    <row r="795" spans="1:18" x14ac:dyDescent="0.25">
      <c r="A795" s="169">
        <v>43851</v>
      </c>
      <c r="B795" s="115">
        <v>70.368888888888904</v>
      </c>
      <c r="C795" s="115">
        <v>70.044444444444494</v>
      </c>
      <c r="D795" s="115">
        <v>67.751111111111101</v>
      </c>
      <c r="E795" s="115">
        <v>67.751111111111101</v>
      </c>
      <c r="F795" s="115">
        <v>788</v>
      </c>
      <c r="G795">
        <v>22106</v>
      </c>
      <c r="H795" s="115"/>
      <c r="I795" s="115"/>
      <c r="L795" s="169">
        <v>43851</v>
      </c>
      <c r="M795" s="115">
        <v>70.053333333333299</v>
      </c>
      <c r="N795" s="115">
        <v>70.400000000000006</v>
      </c>
      <c r="O795" s="115">
        <v>67.715555555555596</v>
      </c>
      <c r="P795" s="115">
        <v>67.822222222222194</v>
      </c>
      <c r="Q795" s="115">
        <v>788.1</v>
      </c>
      <c r="R795">
        <v>421368</v>
      </c>
    </row>
    <row r="796" spans="1:18" x14ac:dyDescent="0.25">
      <c r="A796" s="169">
        <v>43852</v>
      </c>
      <c r="B796" s="115">
        <v>71.542222222222193</v>
      </c>
      <c r="C796" s="115">
        <v>70.533333333333303</v>
      </c>
      <c r="D796" s="115">
        <v>69.066666666666706</v>
      </c>
      <c r="E796" s="115">
        <v>70.924444444444404</v>
      </c>
      <c r="F796" s="115">
        <v>793.5</v>
      </c>
      <c r="G796">
        <v>7333</v>
      </c>
      <c r="H796" s="115"/>
      <c r="I796" s="115"/>
      <c r="L796" s="169">
        <v>43852</v>
      </c>
      <c r="M796" s="115">
        <v>70.626666666666694</v>
      </c>
      <c r="N796" s="115">
        <v>71.466666666666697</v>
      </c>
      <c r="O796" s="115">
        <v>69.071111111111094</v>
      </c>
      <c r="P796" s="115">
        <v>70.648888888888905</v>
      </c>
      <c r="Q796" s="115">
        <v>794.55</v>
      </c>
      <c r="R796">
        <v>345344</v>
      </c>
    </row>
    <row r="797" spans="1:18" x14ac:dyDescent="0.25">
      <c r="A797" s="169">
        <v>43853</v>
      </c>
      <c r="B797" s="115">
        <v>75.733333333333306</v>
      </c>
      <c r="C797" s="115">
        <v>74.595555555555606</v>
      </c>
      <c r="D797" s="115">
        <v>70.355555555555597</v>
      </c>
      <c r="E797" s="115">
        <v>70.853333333333296</v>
      </c>
      <c r="F797" s="115">
        <v>839.2</v>
      </c>
      <c r="G797">
        <v>18151</v>
      </c>
      <c r="H797" s="115"/>
      <c r="I797" s="115"/>
      <c r="L797" s="169">
        <v>43853</v>
      </c>
      <c r="M797" s="115">
        <v>74.368888888888904</v>
      </c>
      <c r="N797" s="115">
        <v>75.822222222222194</v>
      </c>
      <c r="O797" s="115">
        <v>70.324444444444396</v>
      </c>
      <c r="P797" s="115">
        <v>70.8</v>
      </c>
      <c r="Q797" s="115">
        <v>836.65</v>
      </c>
      <c r="R797">
        <v>639734</v>
      </c>
    </row>
    <row r="798" spans="1:18" x14ac:dyDescent="0.25">
      <c r="A798" s="169">
        <v>43854</v>
      </c>
      <c r="B798" s="115">
        <v>75.902222222222207</v>
      </c>
      <c r="C798" s="115">
        <v>75.528888888888901</v>
      </c>
      <c r="D798" s="115">
        <v>74.662222222222198</v>
      </c>
      <c r="E798" s="115">
        <v>74.662222222222198</v>
      </c>
      <c r="F798" s="115">
        <v>849.7</v>
      </c>
      <c r="G798">
        <v>10774</v>
      </c>
      <c r="H798" s="115"/>
      <c r="I798" s="115"/>
      <c r="L798" s="169">
        <v>43854</v>
      </c>
      <c r="M798" s="115">
        <v>75.528888888888901</v>
      </c>
      <c r="N798" s="115">
        <v>75.902222222222207</v>
      </c>
      <c r="O798" s="115">
        <v>74.400000000000006</v>
      </c>
      <c r="P798" s="115">
        <v>74.400000000000006</v>
      </c>
      <c r="Q798" s="115">
        <v>849.7</v>
      </c>
      <c r="R798">
        <v>233960</v>
      </c>
    </row>
    <row r="799" spans="1:18" x14ac:dyDescent="0.25">
      <c r="A799" s="169">
        <v>43857</v>
      </c>
      <c r="B799" s="115">
        <v>77.328888888888898</v>
      </c>
      <c r="C799" s="115">
        <v>75.5822222222222</v>
      </c>
      <c r="D799" s="115">
        <v>75.155555555555594</v>
      </c>
      <c r="E799" s="115">
        <v>75.773333333333298</v>
      </c>
      <c r="F799" s="115">
        <v>850.3</v>
      </c>
      <c r="G799">
        <v>6666</v>
      </c>
      <c r="H799" s="115"/>
      <c r="I799" s="115"/>
      <c r="L799" s="169">
        <v>43857</v>
      </c>
      <c r="M799" s="115">
        <v>75.408888888888896</v>
      </c>
      <c r="N799" s="115">
        <v>77.3333333333333</v>
      </c>
      <c r="O799" s="115">
        <v>75.1111111111111</v>
      </c>
      <c r="P799" s="115">
        <v>75.368888888888904</v>
      </c>
      <c r="Q799" s="115">
        <v>848.35</v>
      </c>
      <c r="R799">
        <v>220113</v>
      </c>
    </row>
    <row r="800" spans="1:18" x14ac:dyDescent="0.25">
      <c r="A800" s="169">
        <v>43858</v>
      </c>
      <c r="B800" s="115">
        <v>75.373333333333306</v>
      </c>
      <c r="C800" s="115">
        <v>74.062222222222204</v>
      </c>
      <c r="D800" s="115">
        <v>72.088888888888903</v>
      </c>
      <c r="E800" s="115">
        <v>75.133333333333297</v>
      </c>
      <c r="F800" s="115">
        <v>833.2</v>
      </c>
      <c r="G800">
        <v>7659</v>
      </c>
      <c r="H800" s="115"/>
      <c r="I800" s="115"/>
      <c r="L800" s="169">
        <v>43858</v>
      </c>
      <c r="M800" s="115">
        <v>73.937777777777796</v>
      </c>
      <c r="N800" s="115">
        <v>75.373333333333306</v>
      </c>
      <c r="O800" s="115">
        <v>72</v>
      </c>
      <c r="P800" s="115">
        <v>74.7777777777778</v>
      </c>
      <c r="Q800" s="115">
        <v>831.8</v>
      </c>
      <c r="R800">
        <v>129689</v>
      </c>
    </row>
    <row r="801" spans="1:18" x14ac:dyDescent="0.25">
      <c r="A801" s="169">
        <v>43859</v>
      </c>
      <c r="B801" s="115">
        <v>74.56</v>
      </c>
      <c r="C801" s="115">
        <v>71.648888888888905</v>
      </c>
      <c r="D801" s="115">
        <v>69.604444444444397</v>
      </c>
      <c r="E801" s="115">
        <v>74.044444444444494</v>
      </c>
      <c r="F801" s="115">
        <v>806.05</v>
      </c>
      <c r="G801">
        <v>56742</v>
      </c>
      <c r="H801" s="115"/>
      <c r="I801" s="115"/>
      <c r="L801" s="169">
        <v>43859</v>
      </c>
      <c r="M801" s="115">
        <v>71.831111111111099</v>
      </c>
      <c r="N801" s="115">
        <v>74.653333333333293</v>
      </c>
      <c r="O801" s="115">
        <v>69.662222222222198</v>
      </c>
      <c r="P801" s="115">
        <v>74.075555555555596</v>
      </c>
      <c r="Q801" s="115">
        <v>808.1</v>
      </c>
      <c r="R801">
        <v>167598</v>
      </c>
    </row>
    <row r="802" spans="1:18" x14ac:dyDescent="0.25">
      <c r="A802" s="169">
        <v>43860</v>
      </c>
      <c r="B802" s="115">
        <v>71.075555555555596</v>
      </c>
      <c r="C802" s="115">
        <v>67.093333333333305</v>
      </c>
      <c r="D802" s="115">
        <v>66.6666666666667</v>
      </c>
      <c r="E802" s="115">
        <v>71.075555555555596</v>
      </c>
      <c r="F802" s="115">
        <v>754.8</v>
      </c>
      <c r="G802">
        <v>13785</v>
      </c>
      <c r="H802" s="115"/>
      <c r="I802" s="115"/>
      <c r="L802" s="169">
        <v>43860</v>
      </c>
      <c r="M802" s="115">
        <v>67.075555555555596</v>
      </c>
      <c r="N802" s="115">
        <v>72.8</v>
      </c>
      <c r="O802" s="115">
        <v>66.6666666666667</v>
      </c>
      <c r="P802" s="115">
        <v>72</v>
      </c>
      <c r="Q802" s="115">
        <v>754.6</v>
      </c>
      <c r="R802">
        <v>309312</v>
      </c>
    </row>
    <row r="803" spans="1:18" x14ac:dyDescent="0.25">
      <c r="A803" s="169">
        <v>43861</v>
      </c>
      <c r="B803" s="115">
        <v>71.066666666666706</v>
      </c>
      <c r="C803" s="115">
        <v>68.648888888888905</v>
      </c>
      <c r="D803" s="115">
        <v>66.266666666666694</v>
      </c>
      <c r="E803" s="115">
        <v>68.515555555555594</v>
      </c>
      <c r="F803" s="115">
        <v>772.3</v>
      </c>
      <c r="G803">
        <v>10985</v>
      </c>
      <c r="H803" s="115"/>
      <c r="I803" s="115"/>
      <c r="L803" s="169">
        <v>43861</v>
      </c>
      <c r="M803" s="115">
        <v>68.186666666666696</v>
      </c>
      <c r="N803" s="115">
        <v>69.293333333333294</v>
      </c>
      <c r="O803" s="115">
        <v>66.337777777777802</v>
      </c>
      <c r="P803" s="115">
        <v>67.288888888888906</v>
      </c>
      <c r="Q803" s="115">
        <v>767.1</v>
      </c>
      <c r="R803">
        <v>257968</v>
      </c>
    </row>
    <row r="804" spans="1:18" x14ac:dyDescent="0.25">
      <c r="A804" s="169">
        <v>43862</v>
      </c>
      <c r="B804" s="115">
        <v>69.422222222222203</v>
      </c>
      <c r="C804" s="115">
        <v>68.151111111111106</v>
      </c>
      <c r="D804" s="115">
        <v>66.6666666666667</v>
      </c>
      <c r="E804" s="115">
        <v>68.648888888888905</v>
      </c>
      <c r="F804" s="115">
        <v>766.7</v>
      </c>
      <c r="G804">
        <v>5608</v>
      </c>
      <c r="H804" s="115"/>
      <c r="I804" s="115"/>
      <c r="L804" s="169">
        <v>43862</v>
      </c>
      <c r="M804" s="115">
        <v>68.040000000000006</v>
      </c>
      <c r="N804" s="115">
        <v>69.244444444444397</v>
      </c>
      <c r="O804" s="115">
        <v>66.688888888888897</v>
      </c>
      <c r="P804" s="115">
        <v>68.875555555555593</v>
      </c>
      <c r="Q804" s="115">
        <v>765.45</v>
      </c>
      <c r="R804">
        <v>64207</v>
      </c>
    </row>
    <row r="805" spans="1:18" x14ac:dyDescent="0.25">
      <c r="A805" s="169">
        <v>43864</v>
      </c>
      <c r="B805" s="115">
        <v>73.3066666666667</v>
      </c>
      <c r="C805" s="115">
        <v>71.2</v>
      </c>
      <c r="D805" s="115">
        <v>67.977777777777803</v>
      </c>
      <c r="E805" s="115">
        <v>68.4444444444444</v>
      </c>
      <c r="F805" s="115">
        <v>801</v>
      </c>
      <c r="G805">
        <v>11354</v>
      </c>
      <c r="H805" s="115"/>
      <c r="I805" s="115"/>
      <c r="L805" s="169">
        <v>43864</v>
      </c>
      <c r="M805" s="115">
        <v>70.795555555555595</v>
      </c>
      <c r="N805" s="115">
        <v>71.288888888888906</v>
      </c>
      <c r="O805" s="115">
        <v>67.551111111111098</v>
      </c>
      <c r="P805" s="115">
        <v>67.5555555555556</v>
      </c>
      <c r="Q805" s="115">
        <v>796.45</v>
      </c>
      <c r="R805">
        <v>156796</v>
      </c>
    </row>
    <row r="806" spans="1:18" x14ac:dyDescent="0.25">
      <c r="A806" s="169">
        <v>43865</v>
      </c>
      <c r="B806" s="115">
        <v>73.568888888888907</v>
      </c>
      <c r="C806" s="115">
        <v>72.991111111111096</v>
      </c>
      <c r="D806" s="115">
        <v>71.5555555555556</v>
      </c>
      <c r="E806" s="115">
        <v>71.577777777777797</v>
      </c>
      <c r="F806" s="115">
        <v>821.15</v>
      </c>
      <c r="G806">
        <v>6085</v>
      </c>
      <c r="H806" s="115"/>
      <c r="I806" s="115"/>
      <c r="L806" s="169">
        <v>43865</v>
      </c>
      <c r="M806" s="115">
        <v>73.266666666666694</v>
      </c>
      <c r="N806" s="115">
        <v>73.7777777777778</v>
      </c>
      <c r="O806" s="115">
        <v>71.404444444444394</v>
      </c>
      <c r="P806" s="115">
        <v>71.906666666666695</v>
      </c>
      <c r="Q806" s="115">
        <v>824.25</v>
      </c>
      <c r="R806">
        <v>396280</v>
      </c>
    </row>
    <row r="807" spans="1:18" x14ac:dyDescent="0.25">
      <c r="A807" s="169">
        <v>43866</v>
      </c>
      <c r="B807" s="115">
        <v>73.297777777777796</v>
      </c>
      <c r="C807" s="115">
        <v>71.599999999999994</v>
      </c>
      <c r="D807" s="115">
        <v>70.72</v>
      </c>
      <c r="E807" s="115">
        <v>72.968888888888898</v>
      </c>
      <c r="F807" s="115">
        <v>805.5</v>
      </c>
      <c r="G807">
        <v>5065</v>
      </c>
      <c r="H807" s="115"/>
      <c r="I807" s="115"/>
      <c r="L807" s="169">
        <v>43866</v>
      </c>
      <c r="M807" s="115">
        <v>71.533333333333303</v>
      </c>
      <c r="N807" s="115">
        <v>73.422222222222203</v>
      </c>
      <c r="O807" s="115">
        <v>70.671111111111102</v>
      </c>
      <c r="P807" s="115">
        <v>72.622222222222206</v>
      </c>
      <c r="Q807" s="115">
        <v>804.75</v>
      </c>
      <c r="R807">
        <v>178776</v>
      </c>
    </row>
    <row r="808" spans="1:18" x14ac:dyDescent="0.25">
      <c r="A808" s="169">
        <v>43867</v>
      </c>
      <c r="B808" s="115">
        <v>71.644444444444403</v>
      </c>
      <c r="C808" s="115">
        <v>69.040000000000006</v>
      </c>
      <c r="D808" s="115">
        <v>68.622222222222206</v>
      </c>
      <c r="E808" s="115">
        <v>71.52</v>
      </c>
      <c r="F808" s="115">
        <v>776.7</v>
      </c>
      <c r="G808">
        <v>4225</v>
      </c>
      <c r="H808" s="115"/>
      <c r="I808" s="115"/>
      <c r="L808" s="169">
        <v>43867</v>
      </c>
      <c r="M808" s="115">
        <v>69</v>
      </c>
      <c r="N808" s="115">
        <v>71.924444444444404</v>
      </c>
      <c r="O808" s="115">
        <v>68.551111111111098</v>
      </c>
      <c r="P808" s="115">
        <v>71.128888888888895</v>
      </c>
      <c r="Q808" s="115">
        <v>776.25</v>
      </c>
      <c r="R808">
        <v>299567</v>
      </c>
    </row>
    <row r="809" spans="1:18" x14ac:dyDescent="0.25">
      <c r="A809" s="169">
        <v>43868</v>
      </c>
      <c r="B809" s="115">
        <v>75.604444444444397</v>
      </c>
      <c r="C809" s="115">
        <v>74.902222222222207</v>
      </c>
      <c r="D809" s="115">
        <v>69.964444444444496</v>
      </c>
      <c r="E809" s="115">
        <v>70.12</v>
      </c>
      <c r="F809" s="115">
        <v>842.65</v>
      </c>
      <c r="G809">
        <v>77322</v>
      </c>
      <c r="H809" s="115"/>
      <c r="I809" s="115"/>
      <c r="L809" s="169">
        <v>43868</v>
      </c>
      <c r="M809" s="115">
        <v>74.955555555555506</v>
      </c>
      <c r="N809" s="115">
        <v>75.5555555555556</v>
      </c>
      <c r="O809" s="115">
        <v>69.3333333333333</v>
      </c>
      <c r="P809" s="115">
        <v>69.3333333333333</v>
      </c>
      <c r="Q809" s="115">
        <v>843.25</v>
      </c>
      <c r="R809">
        <v>1483154</v>
      </c>
    </row>
    <row r="810" spans="1:18" x14ac:dyDescent="0.25">
      <c r="A810" s="169">
        <v>43871</v>
      </c>
      <c r="B810" s="115">
        <v>76.715555555555596</v>
      </c>
      <c r="C810" s="115">
        <v>73.697777777777802</v>
      </c>
      <c r="D810" s="115">
        <v>72.3066666666667</v>
      </c>
      <c r="E810" s="115">
        <v>75.102222222222196</v>
      </c>
      <c r="F810" s="115">
        <v>829.1</v>
      </c>
      <c r="G810">
        <v>19420</v>
      </c>
      <c r="H810" s="115"/>
      <c r="I810" s="115"/>
      <c r="L810" s="169">
        <v>43871</v>
      </c>
      <c r="M810" s="115">
        <v>73.786666666666704</v>
      </c>
      <c r="N810" s="115">
        <v>76.706666666666706</v>
      </c>
      <c r="O810" s="115">
        <v>72.266666666666694</v>
      </c>
      <c r="P810" s="115">
        <v>74.955555555555506</v>
      </c>
      <c r="Q810" s="115">
        <v>830.1</v>
      </c>
      <c r="R810">
        <v>317055</v>
      </c>
    </row>
    <row r="811" spans="1:18" x14ac:dyDescent="0.25">
      <c r="A811" s="169">
        <v>43872</v>
      </c>
      <c r="B811" s="115">
        <v>75.537777777777805</v>
      </c>
      <c r="C811" s="115">
        <v>71.964444444444496</v>
      </c>
      <c r="D811" s="115">
        <v>71.733333333333306</v>
      </c>
      <c r="E811" s="115">
        <v>74.311111111111103</v>
      </c>
      <c r="F811" s="115">
        <v>809.6</v>
      </c>
      <c r="G811">
        <v>12831</v>
      </c>
      <c r="H811" s="115"/>
      <c r="I811" s="115"/>
      <c r="L811" s="169">
        <v>43872</v>
      </c>
      <c r="M811" s="115">
        <v>71.977777777777803</v>
      </c>
      <c r="N811" s="115">
        <v>75.462222222222195</v>
      </c>
      <c r="O811" s="115">
        <v>71.5555555555556</v>
      </c>
      <c r="P811" s="115">
        <v>74.288888888888906</v>
      </c>
      <c r="Q811" s="115">
        <v>809.75</v>
      </c>
      <c r="R811">
        <v>213421</v>
      </c>
    </row>
    <row r="812" spans="1:18" x14ac:dyDescent="0.25">
      <c r="A812" s="169">
        <v>43873</v>
      </c>
      <c r="B812" s="115">
        <v>72.8888888888889</v>
      </c>
      <c r="C812" s="115">
        <v>72.364444444444402</v>
      </c>
      <c r="D812" s="115">
        <v>71.431111111111093</v>
      </c>
      <c r="E812" s="115">
        <v>71.733333333333306</v>
      </c>
      <c r="F812" s="115">
        <v>814.1</v>
      </c>
      <c r="G812">
        <v>6738</v>
      </c>
      <c r="H812" s="115"/>
      <c r="I812" s="115"/>
      <c r="L812" s="169">
        <v>43873</v>
      </c>
      <c r="M812" s="115">
        <v>72.4177777777778</v>
      </c>
      <c r="N812" s="115">
        <v>72.8888888888889</v>
      </c>
      <c r="O812" s="115">
        <v>71.377777777777794</v>
      </c>
      <c r="P812" s="115">
        <v>71.644444444444403</v>
      </c>
      <c r="Q812" s="115">
        <v>814.7</v>
      </c>
      <c r="R812">
        <v>135832</v>
      </c>
    </row>
    <row r="813" spans="1:18" x14ac:dyDescent="0.25">
      <c r="A813" s="169">
        <v>43874</v>
      </c>
      <c r="B813" s="115">
        <v>74.453333333333305</v>
      </c>
      <c r="C813" s="115">
        <v>73.426666666666705</v>
      </c>
      <c r="D813" s="115">
        <v>71.644444444444403</v>
      </c>
      <c r="E813" s="115">
        <v>72.533333333333303</v>
      </c>
      <c r="F813" s="115">
        <v>826.05</v>
      </c>
      <c r="G813">
        <v>4568</v>
      </c>
      <c r="H813" s="115"/>
      <c r="I813" s="115"/>
      <c r="L813" s="169">
        <v>43874</v>
      </c>
      <c r="M813" s="115">
        <v>73.4177777777778</v>
      </c>
      <c r="N813" s="115">
        <v>74.48</v>
      </c>
      <c r="O813" s="115">
        <v>71.515555555555594</v>
      </c>
      <c r="P813" s="115">
        <v>72.6666666666667</v>
      </c>
      <c r="Q813" s="115">
        <v>825.95</v>
      </c>
      <c r="R813">
        <v>161376</v>
      </c>
    </row>
    <row r="814" spans="1:18" x14ac:dyDescent="0.25">
      <c r="A814" s="169">
        <v>43875</v>
      </c>
      <c r="B814" s="115">
        <v>74.133333333333297</v>
      </c>
      <c r="C814" s="115">
        <v>72.866666666666703</v>
      </c>
      <c r="D814" s="115">
        <v>72.524444444444399</v>
      </c>
      <c r="E814" s="115">
        <v>73.680000000000007</v>
      </c>
      <c r="F814" s="115">
        <v>819.75</v>
      </c>
      <c r="G814">
        <v>4239</v>
      </c>
      <c r="H814" s="115"/>
      <c r="I814" s="115"/>
      <c r="L814" s="169">
        <v>43875</v>
      </c>
      <c r="M814" s="115">
        <v>72.84</v>
      </c>
      <c r="N814" s="115">
        <v>74.204444444444405</v>
      </c>
      <c r="O814" s="115">
        <v>72.453333333333305</v>
      </c>
      <c r="P814" s="115">
        <v>73.688888888888897</v>
      </c>
      <c r="Q814" s="115">
        <v>819.45</v>
      </c>
      <c r="R814">
        <v>72467</v>
      </c>
    </row>
    <row r="815" spans="1:18" x14ac:dyDescent="0.25">
      <c r="A815" s="169">
        <v>43878</v>
      </c>
      <c r="B815" s="115">
        <v>72.875555555555593</v>
      </c>
      <c r="C815" s="115">
        <v>71.551111111111098</v>
      </c>
      <c r="D815" s="115">
        <v>71.12</v>
      </c>
      <c r="E815" s="115">
        <v>72.875555555555593</v>
      </c>
      <c r="F815" s="115">
        <v>804.95</v>
      </c>
      <c r="G815">
        <v>4062</v>
      </c>
      <c r="H815" s="115"/>
      <c r="I815" s="115"/>
      <c r="L815" s="169">
        <v>43878</v>
      </c>
      <c r="M815" s="115">
        <v>71.586666666666702</v>
      </c>
      <c r="N815" s="115">
        <v>73.324444444444396</v>
      </c>
      <c r="O815" s="115">
        <v>71.1111111111111</v>
      </c>
      <c r="P815" s="115">
        <v>73.324444444444396</v>
      </c>
      <c r="Q815" s="115">
        <v>805.35</v>
      </c>
      <c r="R815">
        <v>80096</v>
      </c>
    </row>
    <row r="816" spans="1:18" x14ac:dyDescent="0.25">
      <c r="A816" s="169">
        <v>43879</v>
      </c>
      <c r="B816" s="115">
        <v>72.8888888888889</v>
      </c>
      <c r="C816" s="115">
        <v>71.671111111111102</v>
      </c>
      <c r="D816" s="115">
        <v>69.391111111111101</v>
      </c>
      <c r="E816" s="115">
        <v>70.635555555555598</v>
      </c>
      <c r="F816" s="115">
        <v>806.3</v>
      </c>
      <c r="G816">
        <v>5886</v>
      </c>
      <c r="H816" s="115"/>
      <c r="I816" s="115"/>
      <c r="L816" s="169">
        <v>43879</v>
      </c>
      <c r="M816" s="115">
        <v>71.835555555555601</v>
      </c>
      <c r="N816" s="115">
        <v>73.044444444444494</v>
      </c>
      <c r="O816" s="115">
        <v>69.426666666666705</v>
      </c>
      <c r="P816" s="115">
        <v>71.644444444444403</v>
      </c>
      <c r="Q816" s="115">
        <v>808.15</v>
      </c>
      <c r="R816">
        <v>100944</v>
      </c>
    </row>
    <row r="817" spans="1:18" x14ac:dyDescent="0.25">
      <c r="A817" s="169">
        <v>43880</v>
      </c>
      <c r="B817" s="115">
        <v>72.813333333333304</v>
      </c>
      <c r="C817" s="115">
        <v>71.017777777777795</v>
      </c>
      <c r="D817" s="115">
        <v>70.506666666666703</v>
      </c>
      <c r="E817" s="115">
        <v>72.182222222222194</v>
      </c>
      <c r="F817" s="115">
        <v>798.95</v>
      </c>
      <c r="G817">
        <v>6620</v>
      </c>
      <c r="H817" s="115"/>
      <c r="I817" s="115"/>
      <c r="L817" s="169">
        <v>43880</v>
      </c>
      <c r="M817" s="115">
        <v>70.946666666666701</v>
      </c>
      <c r="N817" s="115">
        <v>72.871111111111105</v>
      </c>
      <c r="O817" s="115">
        <v>70.511111111111106</v>
      </c>
      <c r="P817" s="115">
        <v>72.52</v>
      </c>
      <c r="Q817" s="115">
        <v>798.15</v>
      </c>
      <c r="R817">
        <v>295137</v>
      </c>
    </row>
    <row r="818" spans="1:18" x14ac:dyDescent="0.25">
      <c r="A818" s="169">
        <v>43881</v>
      </c>
      <c r="B818" s="115">
        <v>74.44</v>
      </c>
      <c r="C818" s="115">
        <v>72.822222222222194</v>
      </c>
      <c r="D818" s="115">
        <v>71.182222222222194</v>
      </c>
      <c r="E818" s="115">
        <v>71.377777777777794</v>
      </c>
      <c r="F818" s="115">
        <v>819.25</v>
      </c>
      <c r="G818">
        <v>6865</v>
      </c>
      <c r="H818" s="115"/>
      <c r="I818" s="115"/>
      <c r="L818" s="169">
        <v>43881</v>
      </c>
      <c r="M818" s="115">
        <v>72.8044444444444</v>
      </c>
      <c r="N818" s="115">
        <v>74.368888888888904</v>
      </c>
      <c r="O818" s="115">
        <v>71.115555555555503</v>
      </c>
      <c r="P818" s="115">
        <v>71.284444444444404</v>
      </c>
      <c r="Q818" s="115">
        <v>819.05</v>
      </c>
      <c r="R818">
        <v>247308</v>
      </c>
    </row>
    <row r="819" spans="1:18" x14ac:dyDescent="0.25">
      <c r="A819" s="169">
        <v>43885</v>
      </c>
      <c r="B819" s="115">
        <v>72.8888888888889</v>
      </c>
      <c r="C819" s="115">
        <v>71.871111111111105</v>
      </c>
      <c r="D819" s="115">
        <v>71.564444444444405</v>
      </c>
      <c r="E819" s="115">
        <v>71.977777777777803</v>
      </c>
      <c r="F819" s="115">
        <v>808.55</v>
      </c>
      <c r="G819">
        <v>1109595</v>
      </c>
      <c r="H819" s="115"/>
      <c r="I819" s="115"/>
      <c r="L819" s="169">
        <v>43885</v>
      </c>
      <c r="M819" s="115">
        <v>71.897777777777804</v>
      </c>
      <c r="N819" s="115">
        <v>72.8888888888889</v>
      </c>
      <c r="O819" s="115">
        <v>71.5555555555556</v>
      </c>
      <c r="P819" s="115">
        <v>72.426666666666705</v>
      </c>
      <c r="Q819" s="115">
        <v>808.85</v>
      </c>
      <c r="R819">
        <v>226796</v>
      </c>
    </row>
    <row r="820" spans="1:18" x14ac:dyDescent="0.25">
      <c r="A820" s="169">
        <v>43886</v>
      </c>
      <c r="B820" s="115">
        <v>73.955555555555506</v>
      </c>
      <c r="C820" s="115">
        <v>72.08</v>
      </c>
      <c r="D820" s="115">
        <v>71.528888888888901</v>
      </c>
      <c r="E820" s="115">
        <v>73.955555555555506</v>
      </c>
      <c r="F820" s="115">
        <v>810.9</v>
      </c>
      <c r="G820">
        <v>6404</v>
      </c>
      <c r="H820" s="115"/>
      <c r="I820" s="115"/>
      <c r="L820" s="169">
        <v>43886</v>
      </c>
      <c r="M820" s="115">
        <v>72.040000000000006</v>
      </c>
      <c r="N820" s="115">
        <v>73.1955555555556</v>
      </c>
      <c r="O820" s="115">
        <v>71.564444444444405</v>
      </c>
      <c r="P820" s="115">
        <v>72.4444444444444</v>
      </c>
      <c r="Q820" s="115">
        <v>810.45</v>
      </c>
      <c r="R820">
        <v>186645</v>
      </c>
    </row>
    <row r="821" spans="1:18" x14ac:dyDescent="0.25">
      <c r="A821" s="169">
        <v>43887</v>
      </c>
      <c r="B821" s="115">
        <v>75.471111111111099</v>
      </c>
      <c r="C821" s="115">
        <v>74.791111111111107</v>
      </c>
      <c r="D821" s="115">
        <v>71.835555555555601</v>
      </c>
      <c r="E821" s="115">
        <v>72.4444444444444</v>
      </c>
      <c r="F821" s="115">
        <v>841.4</v>
      </c>
      <c r="G821">
        <v>12726</v>
      </c>
      <c r="H821" s="115"/>
      <c r="I821" s="115"/>
      <c r="L821" s="169">
        <v>43887</v>
      </c>
      <c r="M821" s="115">
        <v>74.502222222222201</v>
      </c>
      <c r="N821" s="115">
        <v>75.542222222222193</v>
      </c>
      <c r="O821" s="115">
        <v>71.711111111111094</v>
      </c>
      <c r="P821" s="115">
        <v>71.715555555555596</v>
      </c>
      <c r="Q821" s="115">
        <v>838.15</v>
      </c>
      <c r="R821">
        <v>644725</v>
      </c>
    </row>
    <row r="822" spans="1:18" x14ac:dyDescent="0.25">
      <c r="A822" s="169">
        <v>43888</v>
      </c>
      <c r="B822" s="115">
        <v>76.275555555555599</v>
      </c>
      <c r="C822" s="115">
        <v>72.671111111111102</v>
      </c>
      <c r="D822" s="115">
        <v>72.533333333333303</v>
      </c>
      <c r="E822" s="115">
        <v>74.608888888888899</v>
      </c>
      <c r="F822" s="115">
        <v>817.55</v>
      </c>
      <c r="G822">
        <v>10569</v>
      </c>
      <c r="H822" s="115"/>
      <c r="I822" s="115"/>
      <c r="L822" s="169">
        <v>43888</v>
      </c>
      <c r="M822" s="115">
        <v>72.6666666666667</v>
      </c>
      <c r="N822" s="115">
        <v>76.355555555555597</v>
      </c>
      <c r="O822" s="115">
        <v>72.462222222222195</v>
      </c>
      <c r="P822" s="115">
        <v>74.6666666666667</v>
      </c>
      <c r="Q822" s="115">
        <v>817.5</v>
      </c>
      <c r="R822">
        <v>312016</v>
      </c>
    </row>
    <row r="823" spans="1:18" x14ac:dyDescent="0.25">
      <c r="A823" s="169">
        <v>43889</v>
      </c>
      <c r="B823" s="115">
        <v>73.186666666666696</v>
      </c>
      <c r="C823" s="115">
        <v>71.706666666666706</v>
      </c>
      <c r="D823" s="115">
        <v>70.2222222222222</v>
      </c>
      <c r="E823" s="115">
        <v>71.56</v>
      </c>
      <c r="F823" s="115">
        <v>806.7</v>
      </c>
      <c r="G823">
        <v>24847</v>
      </c>
      <c r="H823" s="115"/>
      <c r="I823" s="115"/>
      <c r="L823" s="169">
        <v>43889</v>
      </c>
      <c r="M823" s="115">
        <v>72.275555555555599</v>
      </c>
      <c r="N823" s="115">
        <v>73.239999999999995</v>
      </c>
      <c r="O823" s="115">
        <v>70.231111111111105</v>
      </c>
      <c r="P823" s="115">
        <v>71.653333333333293</v>
      </c>
      <c r="Q823" s="115">
        <v>813.1</v>
      </c>
      <c r="R823">
        <v>383613</v>
      </c>
    </row>
    <row r="824" spans="1:18" x14ac:dyDescent="0.25">
      <c r="A824" s="169">
        <v>43892</v>
      </c>
      <c r="B824" s="115">
        <v>74.022222222222197</v>
      </c>
      <c r="C824" s="115">
        <v>71.542222222222193</v>
      </c>
      <c r="D824" s="115">
        <v>71.128888888888895</v>
      </c>
      <c r="E824" s="115">
        <v>73.564444444444405</v>
      </c>
      <c r="F824" s="115">
        <v>804.85</v>
      </c>
      <c r="G824">
        <v>7615</v>
      </c>
      <c r="H824" s="115"/>
      <c r="I824" s="115"/>
      <c r="L824" s="169">
        <v>43892</v>
      </c>
      <c r="M824" s="115">
        <v>71.915555555555599</v>
      </c>
      <c r="N824" s="115">
        <v>74.040000000000006</v>
      </c>
      <c r="O824" s="115">
        <v>71.564444444444405</v>
      </c>
      <c r="P824" s="115">
        <v>72.8888888888889</v>
      </c>
      <c r="Q824" s="115">
        <v>809.05</v>
      </c>
      <c r="R824">
        <v>381870</v>
      </c>
    </row>
    <row r="825" spans="1:18" x14ac:dyDescent="0.25">
      <c r="A825" s="169">
        <v>43893</v>
      </c>
      <c r="B825" s="115">
        <v>73.7777777777778</v>
      </c>
      <c r="C825" s="115">
        <v>73.133333333333297</v>
      </c>
      <c r="D825" s="115">
        <v>71.871111111111105</v>
      </c>
      <c r="E825" s="115">
        <v>72</v>
      </c>
      <c r="F825" s="115">
        <v>822.75</v>
      </c>
      <c r="G825">
        <v>6778</v>
      </c>
      <c r="H825" s="115"/>
      <c r="I825" s="115"/>
      <c r="L825" s="169">
        <v>43893</v>
      </c>
      <c r="M825" s="115">
        <v>73.057777777777801</v>
      </c>
      <c r="N825" s="115">
        <v>73.7777777777778</v>
      </c>
      <c r="O825" s="115">
        <v>71.737777777777794</v>
      </c>
      <c r="P825" s="115">
        <v>71.911111111111097</v>
      </c>
      <c r="Q825" s="115">
        <v>821.9</v>
      </c>
      <c r="R825">
        <v>239739</v>
      </c>
    </row>
    <row r="826" spans="1:18" x14ac:dyDescent="0.25">
      <c r="A826" s="169">
        <v>43894</v>
      </c>
      <c r="B826" s="115">
        <v>73.102222222222196</v>
      </c>
      <c r="C826" s="115">
        <v>69.56</v>
      </c>
      <c r="D826" s="115">
        <v>68.488888888888894</v>
      </c>
      <c r="E826" s="115">
        <v>73.102222222222196</v>
      </c>
      <c r="F826" s="115">
        <v>782.55</v>
      </c>
      <c r="G826">
        <v>8001</v>
      </c>
      <c r="H826" s="115"/>
      <c r="I826" s="115"/>
      <c r="L826" s="169">
        <v>43894</v>
      </c>
      <c r="M826" s="115">
        <v>69.671111111111102</v>
      </c>
      <c r="N826" s="115">
        <v>73.275555555555599</v>
      </c>
      <c r="O826" s="115">
        <v>68.4444444444444</v>
      </c>
      <c r="P826" s="115">
        <v>72.911111111111097</v>
      </c>
      <c r="Q826" s="115">
        <v>783.8</v>
      </c>
      <c r="R826">
        <v>727857</v>
      </c>
    </row>
    <row r="827" spans="1:18" x14ac:dyDescent="0.25">
      <c r="A827" s="169">
        <v>43895</v>
      </c>
      <c r="B827" s="115">
        <v>70.133333333333297</v>
      </c>
      <c r="C827" s="115">
        <v>67.977777777777803</v>
      </c>
      <c r="D827" s="115">
        <v>67.564444444444405</v>
      </c>
      <c r="E827" s="115">
        <v>69.822222222222194</v>
      </c>
      <c r="F827" s="115">
        <v>764.75</v>
      </c>
      <c r="G827">
        <v>11233</v>
      </c>
      <c r="H827" s="115"/>
      <c r="I827" s="115"/>
      <c r="L827" s="169">
        <v>43895</v>
      </c>
      <c r="M827" s="115">
        <v>67.884444444444497</v>
      </c>
      <c r="N827" s="115">
        <v>70.400000000000006</v>
      </c>
      <c r="O827" s="115">
        <v>67.5822222222222</v>
      </c>
      <c r="P827" s="115">
        <v>70.400000000000006</v>
      </c>
      <c r="Q827" s="115">
        <v>763.7</v>
      </c>
      <c r="R827">
        <v>227678</v>
      </c>
    </row>
    <row r="828" spans="1:18" x14ac:dyDescent="0.25">
      <c r="A828" s="169">
        <v>43896</v>
      </c>
      <c r="B828" s="115">
        <v>70.462222222222195</v>
      </c>
      <c r="C828" s="115">
        <v>69.657777777777795</v>
      </c>
      <c r="D828" s="115">
        <v>66.386666666666699</v>
      </c>
      <c r="E828" s="115">
        <v>66.6666666666667</v>
      </c>
      <c r="F828" s="115">
        <v>783.65</v>
      </c>
      <c r="G828">
        <v>5315</v>
      </c>
      <c r="H828" s="115"/>
      <c r="I828" s="115"/>
      <c r="L828" s="169">
        <v>43896</v>
      </c>
      <c r="M828" s="115">
        <v>69.773333333333298</v>
      </c>
      <c r="N828" s="115">
        <v>70.577777777777797</v>
      </c>
      <c r="O828" s="115">
        <v>65.955555555555506</v>
      </c>
      <c r="P828" s="115">
        <v>65.955555555555506</v>
      </c>
      <c r="Q828" s="115">
        <v>784.95</v>
      </c>
      <c r="R828">
        <v>142258</v>
      </c>
    </row>
    <row r="829" spans="1:18" x14ac:dyDescent="0.25">
      <c r="A829" s="169">
        <v>43899</v>
      </c>
      <c r="B829" s="115">
        <v>68.137777777777799</v>
      </c>
      <c r="C829" s="115">
        <v>66.102222222222196</v>
      </c>
      <c r="D829" s="115">
        <v>64.622222222222206</v>
      </c>
      <c r="E829" s="115">
        <v>67.466666666666697</v>
      </c>
      <c r="F829" s="115">
        <v>743.65</v>
      </c>
      <c r="G829">
        <v>7633</v>
      </c>
      <c r="H829" s="115"/>
      <c r="I829" s="115"/>
      <c r="L829" s="169">
        <v>43899</v>
      </c>
      <c r="M829" s="115">
        <v>66.088888888888903</v>
      </c>
      <c r="N829" s="115">
        <v>69.155555555555594</v>
      </c>
      <c r="O829" s="115">
        <v>64.533333333333303</v>
      </c>
      <c r="P829" s="115">
        <v>66.7777777777778</v>
      </c>
      <c r="Q829" s="115">
        <v>743.5</v>
      </c>
      <c r="R829">
        <v>578814</v>
      </c>
    </row>
    <row r="830" spans="1:18" x14ac:dyDescent="0.25">
      <c r="A830" s="169">
        <v>43901</v>
      </c>
      <c r="B830" s="115">
        <v>70.8</v>
      </c>
      <c r="C830" s="115">
        <v>70</v>
      </c>
      <c r="D830" s="115">
        <v>64.586666666666702</v>
      </c>
      <c r="E830" s="115">
        <v>65.702222222222204</v>
      </c>
      <c r="F830" s="115">
        <v>787.5</v>
      </c>
      <c r="G830">
        <v>8216</v>
      </c>
      <c r="H830" s="115"/>
      <c r="I830" s="115"/>
      <c r="L830" s="169">
        <v>43901</v>
      </c>
      <c r="M830" s="115">
        <v>69.573333333333295</v>
      </c>
      <c r="N830" s="115">
        <v>70.813333333333304</v>
      </c>
      <c r="O830" s="115">
        <v>64.542222222222193</v>
      </c>
      <c r="P830" s="115">
        <v>66.1111111111111</v>
      </c>
      <c r="Q830" s="115">
        <v>782.7</v>
      </c>
      <c r="R830">
        <v>417187</v>
      </c>
    </row>
    <row r="831" spans="1:18" x14ac:dyDescent="0.25">
      <c r="A831" s="169">
        <v>43902</v>
      </c>
      <c r="B831" s="115">
        <v>68.528888888888901</v>
      </c>
      <c r="C831" s="115">
        <v>66.844444444444406</v>
      </c>
      <c r="D831" s="115">
        <v>62.751111111111101</v>
      </c>
      <c r="E831" s="115">
        <v>68.528888888888901</v>
      </c>
      <c r="F831" s="115">
        <v>752</v>
      </c>
      <c r="G831">
        <v>8879</v>
      </c>
      <c r="H831" s="115"/>
      <c r="I831" s="115"/>
      <c r="L831" s="169">
        <v>43902</v>
      </c>
      <c r="M831" s="115">
        <v>67.173333333333304</v>
      </c>
      <c r="N831" s="115">
        <v>68.515555555555594</v>
      </c>
      <c r="O831" s="115">
        <v>62.76</v>
      </c>
      <c r="P831" s="115">
        <v>68.515555555555594</v>
      </c>
      <c r="Q831" s="115">
        <v>755.7</v>
      </c>
      <c r="R831">
        <v>305404</v>
      </c>
    </row>
    <row r="832" spans="1:18" x14ac:dyDescent="0.25">
      <c r="A832" s="169">
        <v>43903</v>
      </c>
      <c r="B832" s="115">
        <v>69.413333333333298</v>
      </c>
      <c r="C832" s="115">
        <v>68.942222222222199</v>
      </c>
      <c r="D832" s="115">
        <v>60</v>
      </c>
      <c r="E832" s="115">
        <v>64.177777777777806</v>
      </c>
      <c r="F832" s="115">
        <v>775.6</v>
      </c>
      <c r="G832">
        <v>10405</v>
      </c>
      <c r="H832" s="115"/>
      <c r="I832" s="115"/>
      <c r="L832" s="169">
        <v>43903</v>
      </c>
      <c r="M832" s="115">
        <v>68.92</v>
      </c>
      <c r="N832" s="115">
        <v>69.3333333333333</v>
      </c>
      <c r="O832" s="115">
        <v>53.786666666666697</v>
      </c>
      <c r="P832" s="115">
        <v>62.32</v>
      </c>
      <c r="Q832" s="115">
        <v>775.35</v>
      </c>
      <c r="R832">
        <v>129143</v>
      </c>
    </row>
    <row r="833" spans="1:18" x14ac:dyDescent="0.25">
      <c r="A833" s="169">
        <v>43906</v>
      </c>
      <c r="B833" s="115">
        <v>67.351111111111095</v>
      </c>
      <c r="C833" s="115">
        <v>62.8</v>
      </c>
      <c r="D833" s="115">
        <v>61.866666666666703</v>
      </c>
      <c r="E833" s="115">
        <v>67.351111111111095</v>
      </c>
      <c r="F833" s="115">
        <v>706.5</v>
      </c>
      <c r="G833">
        <v>9691</v>
      </c>
      <c r="H833" s="115"/>
      <c r="I833" s="115"/>
      <c r="L833" s="169">
        <v>43906</v>
      </c>
      <c r="M833" s="115">
        <v>62.613333333333301</v>
      </c>
      <c r="N833" s="115">
        <v>66.484444444444406</v>
      </c>
      <c r="O833" s="115">
        <v>61.826666666666704</v>
      </c>
      <c r="P833" s="115">
        <v>66.2222222222222</v>
      </c>
      <c r="Q833" s="115">
        <v>704.4</v>
      </c>
      <c r="R833">
        <v>148210</v>
      </c>
    </row>
    <row r="834" spans="1:18" x14ac:dyDescent="0.25">
      <c r="A834" s="169">
        <v>43907</v>
      </c>
      <c r="B834" s="115">
        <v>66.022222222222197</v>
      </c>
      <c r="C834" s="115">
        <v>62.92</v>
      </c>
      <c r="D834" s="115">
        <v>61.026666666666699</v>
      </c>
      <c r="E834" s="115">
        <v>63.311111111111103</v>
      </c>
      <c r="F834" s="115">
        <v>707.85</v>
      </c>
      <c r="G834">
        <v>7861</v>
      </c>
      <c r="H834" s="115"/>
      <c r="I834" s="115"/>
      <c r="L834" s="169">
        <v>43907</v>
      </c>
      <c r="M834" s="115">
        <v>63.026666666666699</v>
      </c>
      <c r="N834" s="115">
        <v>66.128888888888895</v>
      </c>
      <c r="O834" s="115">
        <v>61.026666666666699</v>
      </c>
      <c r="P834" s="115">
        <v>62.488888888888901</v>
      </c>
      <c r="Q834" s="115">
        <v>709.05</v>
      </c>
      <c r="R834">
        <v>231000</v>
      </c>
    </row>
    <row r="835" spans="1:18" x14ac:dyDescent="0.25">
      <c r="A835" s="169">
        <v>43908</v>
      </c>
      <c r="B835" s="115">
        <v>64.235555555555607</v>
      </c>
      <c r="C835" s="115">
        <v>59.1244444444444</v>
      </c>
      <c r="D835" s="115">
        <v>55.151111111111099</v>
      </c>
      <c r="E835" s="115">
        <v>64.235555555555607</v>
      </c>
      <c r="F835" s="115">
        <v>665.15</v>
      </c>
      <c r="G835">
        <v>6199</v>
      </c>
      <c r="H835" s="115"/>
      <c r="I835" s="115"/>
      <c r="L835" s="169">
        <v>43908</v>
      </c>
      <c r="M835" s="115">
        <v>58.737777777777801</v>
      </c>
      <c r="N835" s="115">
        <v>64.493333333333297</v>
      </c>
      <c r="O835" s="115">
        <v>55.062222222222204</v>
      </c>
      <c r="P835" s="115">
        <v>63.733333333333299</v>
      </c>
      <c r="Q835" s="115">
        <v>660.8</v>
      </c>
      <c r="R835">
        <v>299300</v>
      </c>
    </row>
    <row r="836" spans="1:18" x14ac:dyDescent="0.25">
      <c r="A836" s="169">
        <v>43909</v>
      </c>
      <c r="B836" s="115">
        <v>59.4177777777778</v>
      </c>
      <c r="C836" s="115">
        <v>58.142222222222202</v>
      </c>
      <c r="D836" s="115">
        <v>48.551111111111098</v>
      </c>
      <c r="E836" s="115">
        <v>56.031111111111102</v>
      </c>
      <c r="F836" s="115">
        <v>654.1</v>
      </c>
      <c r="G836">
        <v>68201</v>
      </c>
      <c r="H836" s="115"/>
      <c r="I836" s="115"/>
      <c r="L836" s="169">
        <v>43909</v>
      </c>
      <c r="M836" s="115">
        <v>58.088888888888903</v>
      </c>
      <c r="N836" s="115">
        <v>59.5422222222222</v>
      </c>
      <c r="O836" s="115">
        <v>48.471111111111099</v>
      </c>
      <c r="P836" s="115">
        <v>54.4</v>
      </c>
      <c r="Q836" s="115">
        <v>653.5</v>
      </c>
      <c r="R836">
        <v>379756</v>
      </c>
    </row>
    <row r="837" spans="1:18" x14ac:dyDescent="0.25">
      <c r="A837" s="169">
        <v>43910</v>
      </c>
      <c r="B837" s="115">
        <v>58.933333333333302</v>
      </c>
      <c r="C837" s="115">
        <v>53.755555555555603</v>
      </c>
      <c r="D837" s="115">
        <v>50.44</v>
      </c>
      <c r="E837" s="115">
        <v>58.933333333333302</v>
      </c>
      <c r="F837" s="115">
        <v>604.75</v>
      </c>
      <c r="G837">
        <v>8051</v>
      </c>
      <c r="H837" s="115"/>
      <c r="I837" s="115"/>
      <c r="L837" s="169">
        <v>43910</v>
      </c>
      <c r="M837" s="115">
        <v>53.577777777777797</v>
      </c>
      <c r="N837" s="115">
        <v>58.995555555555597</v>
      </c>
      <c r="O837" s="115">
        <v>50.4</v>
      </c>
      <c r="P837" s="115">
        <v>57.071111111111101</v>
      </c>
      <c r="Q837" s="115">
        <v>602.75</v>
      </c>
      <c r="R837">
        <v>226706</v>
      </c>
    </row>
    <row r="838" spans="1:18" x14ac:dyDescent="0.25">
      <c r="A838" s="169">
        <v>43913</v>
      </c>
      <c r="B838" s="115">
        <v>54.844444444444399</v>
      </c>
      <c r="C838" s="115">
        <v>51.795555555555602</v>
      </c>
      <c r="D838" s="115">
        <v>43.115555555555602</v>
      </c>
      <c r="E838" s="115">
        <v>48.8888888888889</v>
      </c>
      <c r="F838" s="115">
        <v>582.70000000000005</v>
      </c>
      <c r="G838">
        <v>6953</v>
      </c>
      <c r="H838" s="115"/>
      <c r="I838" s="115"/>
      <c r="L838" s="169">
        <v>43913</v>
      </c>
      <c r="M838" s="115">
        <v>52.115555555555602</v>
      </c>
      <c r="N838" s="115">
        <v>54.133333333333297</v>
      </c>
      <c r="O838" s="115">
        <v>42.862222222222201</v>
      </c>
      <c r="P838" s="115">
        <v>42.862222222222201</v>
      </c>
      <c r="Q838" s="115">
        <v>586.29999999999995</v>
      </c>
      <c r="R838">
        <v>248464</v>
      </c>
    </row>
    <row r="839" spans="1:18" x14ac:dyDescent="0.25">
      <c r="A839" s="169">
        <v>43914</v>
      </c>
      <c r="B839" s="115">
        <v>55.057777777777801</v>
      </c>
      <c r="C839" s="115">
        <v>49.991111111111103</v>
      </c>
      <c r="D839" s="115">
        <v>47.377777777777801</v>
      </c>
      <c r="E839" s="115">
        <v>51.368888888888897</v>
      </c>
      <c r="F839" s="115">
        <v>562.4</v>
      </c>
      <c r="G839">
        <v>5113</v>
      </c>
      <c r="H839" s="115"/>
      <c r="I839" s="115"/>
      <c r="L839" s="169">
        <v>43914</v>
      </c>
      <c r="M839" s="115">
        <v>49.991111111111103</v>
      </c>
      <c r="N839" s="115">
        <v>55.1111111111111</v>
      </c>
      <c r="O839" s="115">
        <v>47.324444444444403</v>
      </c>
      <c r="P839" s="115">
        <v>51.5555555555556</v>
      </c>
      <c r="Q839" s="115">
        <v>562.4</v>
      </c>
      <c r="R839">
        <v>305620</v>
      </c>
    </row>
    <row r="840" spans="1:18" x14ac:dyDescent="0.25">
      <c r="A840" s="169">
        <v>43915</v>
      </c>
      <c r="B840" s="115">
        <v>52.217777777777798</v>
      </c>
      <c r="C840" s="115">
        <v>49.5688888888889</v>
      </c>
      <c r="D840" s="115">
        <v>47.075555555555603</v>
      </c>
      <c r="E840" s="115">
        <v>52.217777777777798</v>
      </c>
      <c r="F840" s="115">
        <v>557.65</v>
      </c>
      <c r="G840">
        <v>34528</v>
      </c>
      <c r="H840" s="115"/>
      <c r="I840" s="115"/>
      <c r="L840" s="169">
        <v>43915</v>
      </c>
      <c r="M840" s="115">
        <v>49.68</v>
      </c>
      <c r="N840" s="115">
        <v>51.822222222222202</v>
      </c>
      <c r="O840" s="115">
        <v>46.733333333333299</v>
      </c>
      <c r="P840" s="115">
        <v>51.1111111111111</v>
      </c>
      <c r="Q840" s="115">
        <v>558.9</v>
      </c>
      <c r="R840">
        <v>192212</v>
      </c>
    </row>
    <row r="841" spans="1:18" x14ac:dyDescent="0.25">
      <c r="A841" s="169">
        <v>43916</v>
      </c>
      <c r="B841" s="115">
        <v>54.6933333333333</v>
      </c>
      <c r="C841" s="115">
        <v>53.164444444444399</v>
      </c>
      <c r="D841" s="115">
        <v>49.8755555555556</v>
      </c>
      <c r="E841" s="115">
        <v>49.8755555555556</v>
      </c>
      <c r="F841" s="115">
        <v>598.1</v>
      </c>
      <c r="G841">
        <v>197369</v>
      </c>
      <c r="H841" s="115"/>
      <c r="I841" s="115"/>
      <c r="L841" s="169">
        <v>43916</v>
      </c>
      <c r="M841" s="115">
        <v>53.062222222222204</v>
      </c>
      <c r="N841" s="115">
        <v>54.937777777777796</v>
      </c>
      <c r="O841" s="115">
        <v>49.7777777777778</v>
      </c>
      <c r="P841" s="115">
        <v>50.662222222222198</v>
      </c>
      <c r="Q841" s="115">
        <v>596.95000000000005</v>
      </c>
      <c r="R841">
        <v>193502</v>
      </c>
    </row>
    <row r="842" spans="1:18" x14ac:dyDescent="0.25">
      <c r="A842" s="169">
        <v>43917</v>
      </c>
      <c r="B842" s="115">
        <v>55.906666666666702</v>
      </c>
      <c r="C842" s="115">
        <v>50.191111111111098</v>
      </c>
      <c r="D842" s="115">
        <v>49.546666666666702</v>
      </c>
      <c r="E842" s="115">
        <v>53.928888888888899</v>
      </c>
      <c r="F842" s="115">
        <v>564.65</v>
      </c>
      <c r="G842">
        <v>4032</v>
      </c>
      <c r="H842" s="115"/>
      <c r="I842" s="115"/>
      <c r="L842" s="169">
        <v>43917</v>
      </c>
      <c r="M842" s="115">
        <v>50.404444444444401</v>
      </c>
      <c r="N842" s="115">
        <v>55.631111111111103</v>
      </c>
      <c r="O842" s="115">
        <v>49.386666666666699</v>
      </c>
      <c r="P842" s="115">
        <v>54.577777777777797</v>
      </c>
      <c r="Q842" s="115">
        <v>567.04999999999995</v>
      </c>
      <c r="R842">
        <v>132349</v>
      </c>
    </row>
    <row r="843" spans="1:18" x14ac:dyDescent="0.25">
      <c r="A843" s="169">
        <v>43920</v>
      </c>
      <c r="B843" s="115">
        <v>50.373333333333299</v>
      </c>
      <c r="C843" s="115">
        <v>47.271111111111097</v>
      </c>
      <c r="D843" s="115">
        <v>46.72</v>
      </c>
      <c r="E843" s="115">
        <v>49.862222222222201</v>
      </c>
      <c r="F843" s="115">
        <v>531.79999999999995</v>
      </c>
      <c r="G843">
        <v>3754</v>
      </c>
      <c r="H843" s="115"/>
      <c r="I843" s="115"/>
      <c r="L843" s="169">
        <v>43920</v>
      </c>
      <c r="M843" s="115">
        <v>47.128888888888902</v>
      </c>
      <c r="N843" s="115">
        <v>51.5555555555556</v>
      </c>
      <c r="O843" s="115">
        <v>46.675555555555597</v>
      </c>
      <c r="P843" s="115">
        <v>47.884444444444398</v>
      </c>
      <c r="Q843" s="115">
        <v>530.20000000000005</v>
      </c>
      <c r="R843">
        <v>171852</v>
      </c>
    </row>
    <row r="844" spans="1:18" x14ac:dyDescent="0.25">
      <c r="A844" s="169">
        <v>43921</v>
      </c>
      <c r="B844" s="115">
        <v>48.817777777777799</v>
      </c>
      <c r="C844" s="115">
        <v>47.16</v>
      </c>
      <c r="D844" s="115">
        <v>45.92</v>
      </c>
      <c r="E844" s="115">
        <v>47.288888888888899</v>
      </c>
      <c r="F844" s="115">
        <v>530.54999999999995</v>
      </c>
      <c r="G844">
        <v>3940</v>
      </c>
      <c r="H844" s="115"/>
      <c r="I844" s="115"/>
      <c r="L844" s="169">
        <v>43921</v>
      </c>
      <c r="M844" s="115">
        <v>47.062222222222204</v>
      </c>
      <c r="N844" s="115">
        <v>48.8888888888889</v>
      </c>
      <c r="O844" s="115">
        <v>45.3333333333333</v>
      </c>
      <c r="P844" s="115">
        <v>48.2</v>
      </c>
      <c r="Q844" s="115">
        <v>529.45000000000005</v>
      </c>
      <c r="R844">
        <v>242523</v>
      </c>
    </row>
    <row r="845" spans="1:18" x14ac:dyDescent="0.25">
      <c r="A845" s="169">
        <v>43922</v>
      </c>
      <c r="B845" s="115">
        <v>48.075555555555603</v>
      </c>
      <c r="C845" s="115">
        <v>47.511111111111099</v>
      </c>
      <c r="D845" s="115">
        <v>45.7777777777778</v>
      </c>
      <c r="E845" s="115">
        <v>47.991111111111103</v>
      </c>
      <c r="F845" s="115">
        <v>534.5</v>
      </c>
      <c r="G845">
        <v>5500</v>
      </c>
      <c r="H845" s="115"/>
      <c r="I845" s="115"/>
      <c r="L845" s="169">
        <v>43922</v>
      </c>
      <c r="M845" s="115">
        <v>47.773333333333298</v>
      </c>
      <c r="N845" s="115">
        <v>48.8</v>
      </c>
      <c r="O845" s="115">
        <v>45.622222222222199</v>
      </c>
      <c r="P845" s="115">
        <v>47.546666666666702</v>
      </c>
      <c r="Q845" s="115">
        <v>537.45000000000005</v>
      </c>
      <c r="R845">
        <v>163409</v>
      </c>
    </row>
    <row r="846" spans="1:18" x14ac:dyDescent="0.25">
      <c r="A846" s="169">
        <v>43924</v>
      </c>
      <c r="B846" s="115">
        <v>49.76</v>
      </c>
      <c r="C846" s="115">
        <v>47.711111111111101</v>
      </c>
      <c r="D846" s="115">
        <v>44.626666666666701</v>
      </c>
      <c r="E846" s="115">
        <v>48.8888888888889</v>
      </c>
      <c r="F846" s="115">
        <v>536.75</v>
      </c>
      <c r="G846">
        <v>3852</v>
      </c>
      <c r="H846" s="115"/>
      <c r="I846" s="115"/>
      <c r="L846" s="169">
        <v>43924</v>
      </c>
      <c r="M846" s="115">
        <v>47.7777777777778</v>
      </c>
      <c r="N846" s="115">
        <v>49.7777777777778</v>
      </c>
      <c r="O846" s="115">
        <v>44.4444444444444</v>
      </c>
      <c r="P846" s="115">
        <v>48.435555555555602</v>
      </c>
      <c r="Q846" s="115">
        <v>537.5</v>
      </c>
      <c r="R846">
        <v>257369</v>
      </c>
    </row>
    <row r="847" spans="1:18" x14ac:dyDescent="0.25">
      <c r="A847" s="169">
        <v>43928</v>
      </c>
      <c r="B847" s="115">
        <v>48.924444444444397</v>
      </c>
      <c r="C847" s="115">
        <v>47.377777777777801</v>
      </c>
      <c r="D847" s="115">
        <v>46.7911111111111</v>
      </c>
      <c r="E847" s="115">
        <v>48.4177777777778</v>
      </c>
      <c r="F847" s="115">
        <v>533</v>
      </c>
      <c r="G847">
        <v>5573</v>
      </c>
      <c r="H847" s="115"/>
      <c r="I847" s="115"/>
      <c r="L847" s="169">
        <v>43928</v>
      </c>
      <c r="M847" s="115">
        <v>47.28</v>
      </c>
      <c r="N847" s="115">
        <v>49.76</v>
      </c>
      <c r="O847" s="115">
        <v>46.724444444444401</v>
      </c>
      <c r="P847" s="115">
        <v>49.76</v>
      </c>
      <c r="Q847" s="115">
        <v>531.9</v>
      </c>
      <c r="R847">
        <v>316166</v>
      </c>
    </row>
    <row r="848" spans="1:18" x14ac:dyDescent="0.25">
      <c r="A848" s="169">
        <v>43929</v>
      </c>
      <c r="B848" s="115">
        <v>48.64</v>
      </c>
      <c r="C848" s="115">
        <v>48.191111111111098</v>
      </c>
      <c r="D848" s="115">
        <v>46.817777777777799</v>
      </c>
      <c r="E848" s="115">
        <v>47.1111111111111</v>
      </c>
      <c r="F848" s="115">
        <v>542.15</v>
      </c>
      <c r="G848">
        <v>79117</v>
      </c>
      <c r="H848" s="115"/>
      <c r="I848" s="115"/>
      <c r="L848" s="169">
        <v>43929</v>
      </c>
      <c r="M848" s="115">
        <v>48.262222222222199</v>
      </c>
      <c r="N848" s="115">
        <v>48.64</v>
      </c>
      <c r="O848" s="115">
        <v>46.6666666666667</v>
      </c>
      <c r="P848" s="115">
        <v>48.4177777777778</v>
      </c>
      <c r="Q848" s="115">
        <v>542.95000000000005</v>
      </c>
      <c r="R848">
        <v>222743</v>
      </c>
    </row>
    <row r="849" spans="1:18" x14ac:dyDescent="0.25">
      <c r="A849" s="169">
        <v>43930</v>
      </c>
      <c r="B849" s="115">
        <v>52.4177777777778</v>
      </c>
      <c r="C849" s="115">
        <v>50.8755555555556</v>
      </c>
      <c r="D849" s="115">
        <v>48.577777777777797</v>
      </c>
      <c r="E849" s="115">
        <v>48.577777777777797</v>
      </c>
      <c r="F849" s="115">
        <v>572.35</v>
      </c>
      <c r="G849">
        <v>8589</v>
      </c>
      <c r="H849" s="115"/>
      <c r="I849" s="115"/>
      <c r="L849" s="169">
        <v>43930</v>
      </c>
      <c r="M849" s="115">
        <v>51.377777777777801</v>
      </c>
      <c r="N849" s="115">
        <v>52.435555555555602</v>
      </c>
      <c r="O849" s="115">
        <v>48.453333333333298</v>
      </c>
      <c r="P849" s="115">
        <v>49.3333333333333</v>
      </c>
      <c r="Q849" s="115">
        <v>578</v>
      </c>
      <c r="R849">
        <v>230851</v>
      </c>
    </row>
    <row r="850" spans="1:18" x14ac:dyDescent="0.25">
      <c r="A850" s="169">
        <v>43934</v>
      </c>
      <c r="B850" s="115">
        <v>54.217777777777798</v>
      </c>
      <c r="C850" s="115">
        <v>49.386666666666699</v>
      </c>
      <c r="D850" s="115">
        <v>48.848888888888901</v>
      </c>
      <c r="E850" s="115">
        <v>54.217777777777798</v>
      </c>
      <c r="F850" s="115">
        <v>555.6</v>
      </c>
      <c r="G850">
        <v>5531</v>
      </c>
      <c r="H850" s="115"/>
      <c r="I850" s="115"/>
      <c r="L850" s="169">
        <v>43934</v>
      </c>
      <c r="M850" s="115">
        <v>49.36</v>
      </c>
      <c r="N850" s="115">
        <v>52.8888888888889</v>
      </c>
      <c r="O850" s="115">
        <v>48.635555555555598</v>
      </c>
      <c r="P850" s="115">
        <v>51.5555555555556</v>
      </c>
      <c r="Q850" s="115">
        <v>555.29999999999995</v>
      </c>
      <c r="R850">
        <v>197647</v>
      </c>
    </row>
    <row r="851" spans="1:18" x14ac:dyDescent="0.25">
      <c r="A851" s="169">
        <v>43936</v>
      </c>
      <c r="B851" s="115">
        <v>52.32</v>
      </c>
      <c r="C851" s="115">
        <v>50.382222222222197</v>
      </c>
      <c r="D851" s="115">
        <v>48.613333333333301</v>
      </c>
      <c r="E851" s="115">
        <v>50.173333333333296</v>
      </c>
      <c r="F851" s="115">
        <v>566.79999999999995</v>
      </c>
      <c r="G851">
        <v>4304</v>
      </c>
      <c r="H851" s="115"/>
      <c r="I851" s="115"/>
      <c r="L851" s="169">
        <v>43936</v>
      </c>
      <c r="M851" s="115">
        <v>50.4311111111111</v>
      </c>
      <c r="N851" s="115">
        <v>52.355555555555597</v>
      </c>
      <c r="O851" s="115">
        <v>48.448888888888902</v>
      </c>
      <c r="P851" s="115">
        <v>49.7777777777778</v>
      </c>
      <c r="Q851" s="115">
        <v>567.35</v>
      </c>
      <c r="R851">
        <v>330863</v>
      </c>
    </row>
    <row r="852" spans="1:18" x14ac:dyDescent="0.25">
      <c r="A852" s="169">
        <v>43937</v>
      </c>
      <c r="B852" s="115">
        <v>52.128888888888902</v>
      </c>
      <c r="C852" s="115">
        <v>51.395555555555603</v>
      </c>
      <c r="D852" s="115">
        <v>49.671111111111102</v>
      </c>
      <c r="E852" s="115">
        <v>50.964444444444403</v>
      </c>
      <c r="F852" s="115">
        <v>578.20000000000005</v>
      </c>
      <c r="G852">
        <v>4533</v>
      </c>
      <c r="H852" s="115"/>
      <c r="I852" s="115"/>
      <c r="L852" s="169">
        <v>43937</v>
      </c>
      <c r="M852" s="115">
        <v>51.32</v>
      </c>
      <c r="N852" s="115">
        <v>52</v>
      </c>
      <c r="O852" s="115">
        <v>49.422222222222203</v>
      </c>
      <c r="P852" s="115">
        <v>50.595555555555599</v>
      </c>
      <c r="Q852" s="115">
        <v>577.35</v>
      </c>
      <c r="R852">
        <v>158632</v>
      </c>
    </row>
    <row r="853" spans="1:18" x14ac:dyDescent="0.25">
      <c r="A853" s="169">
        <v>43938</v>
      </c>
      <c r="B853" s="115">
        <v>54.853333333333303</v>
      </c>
      <c r="C853" s="115">
        <v>53.822222222222202</v>
      </c>
      <c r="D853" s="115">
        <v>52.524444444444399</v>
      </c>
      <c r="E853" s="115">
        <v>52.977777777777803</v>
      </c>
      <c r="F853" s="115">
        <v>605.5</v>
      </c>
      <c r="G853">
        <v>6492</v>
      </c>
      <c r="H853" s="115"/>
      <c r="I853" s="115"/>
      <c r="L853" s="169">
        <v>43938</v>
      </c>
      <c r="M853" s="115">
        <v>53.786666666666697</v>
      </c>
      <c r="N853" s="115">
        <v>54.835555555555601</v>
      </c>
      <c r="O853" s="115">
        <v>51.5555555555556</v>
      </c>
      <c r="P853" s="115">
        <v>52.848888888888901</v>
      </c>
      <c r="Q853" s="115">
        <v>605.1</v>
      </c>
      <c r="R853">
        <v>264953</v>
      </c>
    </row>
    <row r="854" spans="1:18" x14ac:dyDescent="0.25">
      <c r="A854" s="169">
        <v>43941</v>
      </c>
      <c r="B854" s="115">
        <v>58.328888888888898</v>
      </c>
      <c r="C854" s="115">
        <v>57.728888888888903</v>
      </c>
      <c r="D854" s="115">
        <v>52.586666666666702</v>
      </c>
      <c r="E854" s="115">
        <v>53.368888888888897</v>
      </c>
      <c r="F854" s="115">
        <v>649.45000000000005</v>
      </c>
      <c r="G854">
        <v>13474</v>
      </c>
      <c r="H854" s="115"/>
      <c r="I854" s="115"/>
      <c r="L854" s="169">
        <v>43941</v>
      </c>
      <c r="M854" s="115">
        <v>57.826666666666704</v>
      </c>
      <c r="N854" s="115">
        <v>58.6666666666667</v>
      </c>
      <c r="O854" s="115">
        <v>52.4577777777778</v>
      </c>
      <c r="P854" s="115">
        <v>54.133333333333297</v>
      </c>
      <c r="Q854" s="115">
        <v>650.54999999999995</v>
      </c>
      <c r="R854">
        <v>346322</v>
      </c>
    </row>
    <row r="855" spans="1:18" x14ac:dyDescent="0.25">
      <c r="A855" s="169">
        <v>43942</v>
      </c>
      <c r="B855" s="115">
        <v>57.595555555555599</v>
      </c>
      <c r="C855" s="115">
        <v>54.022222222222197</v>
      </c>
      <c r="D855" s="115">
        <v>53.404444444444401</v>
      </c>
      <c r="E855" s="115">
        <v>57.595555555555599</v>
      </c>
      <c r="F855" s="115">
        <v>607.75</v>
      </c>
      <c r="G855">
        <v>4727</v>
      </c>
      <c r="H855" s="115"/>
      <c r="I855" s="115"/>
      <c r="L855" s="169">
        <v>43942</v>
      </c>
      <c r="M855" s="115">
        <v>53.968888888888898</v>
      </c>
      <c r="N855" s="115">
        <v>57.7777777777778</v>
      </c>
      <c r="O855" s="115">
        <v>53.337777777777802</v>
      </c>
      <c r="P855" s="115">
        <v>57.3333333333333</v>
      </c>
      <c r="Q855" s="115">
        <v>607.15</v>
      </c>
      <c r="R855">
        <v>178639</v>
      </c>
    </row>
    <row r="856" spans="1:18" x14ac:dyDescent="0.25">
      <c r="A856" s="169">
        <v>43943</v>
      </c>
      <c r="B856" s="115">
        <v>58.404444444444401</v>
      </c>
      <c r="C856" s="115">
        <v>57.84</v>
      </c>
      <c r="D856" s="115">
        <v>54.275555555555599</v>
      </c>
      <c r="E856" s="115">
        <v>54.275555555555599</v>
      </c>
      <c r="F856" s="115">
        <v>650.70000000000005</v>
      </c>
      <c r="G856">
        <v>6389</v>
      </c>
      <c r="H856" s="115"/>
      <c r="I856" s="115"/>
      <c r="L856" s="169">
        <v>43943</v>
      </c>
      <c r="M856" s="115">
        <v>57.897777777777797</v>
      </c>
      <c r="N856" s="115">
        <v>58.488888888888901</v>
      </c>
      <c r="O856" s="115">
        <v>53.9155555555555</v>
      </c>
      <c r="P856" s="115">
        <v>54.2222222222222</v>
      </c>
      <c r="Q856" s="115">
        <v>651.35</v>
      </c>
      <c r="R856">
        <v>258031</v>
      </c>
    </row>
    <row r="857" spans="1:18" x14ac:dyDescent="0.25">
      <c r="A857" s="169">
        <v>43944</v>
      </c>
      <c r="B857" s="115">
        <v>59.826666666666704</v>
      </c>
      <c r="C857" s="115">
        <v>55.311111111111103</v>
      </c>
      <c r="D857" s="115">
        <v>54.857777777777798</v>
      </c>
      <c r="E857" s="115">
        <v>57.84</v>
      </c>
      <c r="F857" s="115">
        <v>622.25</v>
      </c>
      <c r="G857">
        <v>8883</v>
      </c>
      <c r="H857" s="115"/>
      <c r="I857" s="115"/>
      <c r="L857" s="169">
        <v>43944</v>
      </c>
      <c r="M857" s="115">
        <v>55.368888888888897</v>
      </c>
      <c r="N857" s="115">
        <v>59.675555555555597</v>
      </c>
      <c r="O857" s="115">
        <v>54.6666666666667</v>
      </c>
      <c r="P857" s="115">
        <v>58.044444444444402</v>
      </c>
      <c r="Q857" s="115">
        <v>622.9</v>
      </c>
      <c r="R857">
        <v>179460</v>
      </c>
    </row>
    <row r="858" spans="1:18" x14ac:dyDescent="0.25">
      <c r="A858" s="169">
        <v>43945</v>
      </c>
      <c r="B858" s="115">
        <v>58.951111111111103</v>
      </c>
      <c r="C858" s="115">
        <v>57.92</v>
      </c>
      <c r="D858" s="115">
        <v>54.617777777777803</v>
      </c>
      <c r="E858" s="115">
        <v>54.617777777777803</v>
      </c>
      <c r="F858" s="115">
        <v>651.6</v>
      </c>
      <c r="G858">
        <v>12440</v>
      </c>
      <c r="H858" s="115"/>
      <c r="I858" s="115"/>
      <c r="L858" s="169">
        <v>43945</v>
      </c>
      <c r="M858" s="115">
        <v>57.871111111111098</v>
      </c>
      <c r="N858" s="115">
        <v>59.066666666666698</v>
      </c>
      <c r="O858" s="115">
        <v>54.4177777777778</v>
      </c>
      <c r="P858" s="115">
        <v>54.497777777777799</v>
      </c>
      <c r="Q858" s="115">
        <v>651.04999999999995</v>
      </c>
      <c r="R858">
        <v>418368</v>
      </c>
    </row>
    <row r="859" spans="1:18" x14ac:dyDescent="0.25">
      <c r="A859" s="169">
        <v>43948</v>
      </c>
      <c r="B859" s="115">
        <v>59.364444444444402</v>
      </c>
      <c r="C859" s="115">
        <v>57.4444444444444</v>
      </c>
      <c r="D859" s="115">
        <v>56.72</v>
      </c>
      <c r="E859" s="115">
        <v>59.2</v>
      </c>
      <c r="F859" s="115">
        <v>646.25</v>
      </c>
      <c r="G859">
        <v>5827</v>
      </c>
      <c r="H859" s="115"/>
      <c r="I859" s="115"/>
      <c r="L859" s="169">
        <v>43948</v>
      </c>
      <c r="M859" s="115">
        <v>57.4</v>
      </c>
      <c r="N859" s="115">
        <v>59.275555555555599</v>
      </c>
      <c r="O859" s="115">
        <v>56.702222222222197</v>
      </c>
      <c r="P859" s="115">
        <v>59.0133333333333</v>
      </c>
      <c r="Q859" s="115">
        <v>645.75</v>
      </c>
      <c r="R859">
        <v>134298</v>
      </c>
    </row>
    <row r="860" spans="1:18" x14ac:dyDescent="0.25">
      <c r="A860" s="169">
        <v>43949</v>
      </c>
      <c r="B860" s="115">
        <v>59.1111111111111</v>
      </c>
      <c r="C860" s="115">
        <v>58.7911111111111</v>
      </c>
      <c r="D860" s="115">
        <v>57.302222222222198</v>
      </c>
      <c r="E860" s="115">
        <v>58.6666666666667</v>
      </c>
      <c r="F860" s="115">
        <v>661.4</v>
      </c>
      <c r="G860">
        <v>3670</v>
      </c>
      <c r="H860" s="115"/>
      <c r="I860" s="115"/>
      <c r="L860" s="169">
        <v>43949</v>
      </c>
      <c r="M860" s="115">
        <v>58.862222222222201</v>
      </c>
      <c r="N860" s="115">
        <v>59.466666666666697</v>
      </c>
      <c r="O860" s="115">
        <v>57.2</v>
      </c>
      <c r="P860" s="115">
        <v>57.92</v>
      </c>
      <c r="Q860" s="115">
        <v>662.2</v>
      </c>
      <c r="R860">
        <v>200416</v>
      </c>
    </row>
    <row r="861" spans="1:18" x14ac:dyDescent="0.25">
      <c r="A861" s="169">
        <v>43950</v>
      </c>
      <c r="B861" s="115">
        <v>60.844444444444399</v>
      </c>
      <c r="C861" s="115">
        <v>58.475555555555601</v>
      </c>
      <c r="D861" s="115">
        <v>58.2222222222222</v>
      </c>
      <c r="E861" s="115">
        <v>59.288888888888899</v>
      </c>
      <c r="F861" s="115">
        <v>657.85</v>
      </c>
      <c r="G861">
        <v>6813</v>
      </c>
      <c r="H861" s="115"/>
      <c r="I861" s="115"/>
      <c r="L861" s="169">
        <v>43950</v>
      </c>
      <c r="M861" s="115">
        <v>58.5422222222222</v>
      </c>
      <c r="N861" s="115">
        <v>60.8888888888889</v>
      </c>
      <c r="O861" s="115">
        <v>58.2222222222222</v>
      </c>
      <c r="P861" s="115">
        <v>59.5555555555556</v>
      </c>
      <c r="Q861" s="115">
        <v>658.6</v>
      </c>
      <c r="R861">
        <v>177837</v>
      </c>
    </row>
    <row r="862" spans="1:18" x14ac:dyDescent="0.25">
      <c r="A862" s="169">
        <v>43951</v>
      </c>
      <c r="B862" s="115">
        <v>61.102222222222203</v>
      </c>
      <c r="C862" s="115">
        <v>59.657777777777802</v>
      </c>
      <c r="D862" s="115">
        <v>58.817777777777799</v>
      </c>
      <c r="E862" s="115">
        <v>59.3333333333333</v>
      </c>
      <c r="F862" s="115">
        <v>671.15</v>
      </c>
      <c r="G862">
        <v>5420</v>
      </c>
      <c r="H862" s="115"/>
      <c r="I862" s="115"/>
      <c r="L862" s="169">
        <v>43951</v>
      </c>
      <c r="M862" s="115">
        <v>59.515555555555601</v>
      </c>
      <c r="N862" s="115">
        <v>61.155555555555601</v>
      </c>
      <c r="O862" s="115">
        <v>58.6666666666667</v>
      </c>
      <c r="P862" s="115">
        <v>58.871111111111098</v>
      </c>
      <c r="Q862" s="115">
        <v>669.55</v>
      </c>
      <c r="R862">
        <v>288102</v>
      </c>
    </row>
    <row r="863" spans="1:18" x14ac:dyDescent="0.25">
      <c r="A863" s="169">
        <v>43955</v>
      </c>
      <c r="B863" s="115">
        <v>61.408888888888903</v>
      </c>
      <c r="C863" s="115">
        <v>54.844444444444399</v>
      </c>
      <c r="D863" s="115">
        <v>54.613333333333301</v>
      </c>
      <c r="E863" s="115">
        <v>58.893333333333302</v>
      </c>
      <c r="F863" s="115">
        <v>617</v>
      </c>
      <c r="G863">
        <v>9356</v>
      </c>
      <c r="H863" s="115"/>
      <c r="I863" s="115"/>
      <c r="L863" s="169">
        <v>43955</v>
      </c>
      <c r="M863" s="115">
        <v>54.817777777777799</v>
      </c>
      <c r="N863" s="115">
        <v>61.511111111111099</v>
      </c>
      <c r="O863" s="115">
        <v>54.484444444444399</v>
      </c>
      <c r="P863" s="115">
        <v>58.977777777777803</v>
      </c>
      <c r="Q863" s="115">
        <v>616.70000000000005</v>
      </c>
      <c r="R863">
        <v>340108</v>
      </c>
    </row>
    <row r="864" spans="1:18" x14ac:dyDescent="0.25">
      <c r="A864" s="169">
        <v>43956</v>
      </c>
      <c r="B864" s="115">
        <v>57.56</v>
      </c>
      <c r="C864" s="115">
        <v>55.102222222222203</v>
      </c>
      <c r="D864" s="115">
        <v>54.4444444444444</v>
      </c>
      <c r="E864" s="115">
        <v>56.711111111111101</v>
      </c>
      <c r="F864" s="115">
        <v>619.9</v>
      </c>
      <c r="G864">
        <v>134108</v>
      </c>
      <c r="H864" s="115"/>
      <c r="I864" s="115"/>
      <c r="L864" s="169">
        <v>43956</v>
      </c>
      <c r="M864" s="115">
        <v>55.142222222222202</v>
      </c>
      <c r="N864" s="115">
        <v>57.688888888888897</v>
      </c>
      <c r="O864" s="115">
        <v>54.4</v>
      </c>
      <c r="P864" s="115">
        <v>56.4177777777778</v>
      </c>
      <c r="Q864" s="115">
        <v>620.35</v>
      </c>
      <c r="R864">
        <v>880185</v>
      </c>
    </row>
    <row r="865" spans="1:18" x14ac:dyDescent="0.25">
      <c r="A865" s="169">
        <v>43957</v>
      </c>
      <c r="B865" s="115">
        <v>56.835555555555601</v>
      </c>
      <c r="C865" s="115">
        <v>54.773333333333298</v>
      </c>
      <c r="D865" s="115">
        <v>54.502222222222201</v>
      </c>
      <c r="E865" s="115">
        <v>56.835555555555601</v>
      </c>
      <c r="F865" s="115">
        <v>616.20000000000005</v>
      </c>
      <c r="G865">
        <v>47064</v>
      </c>
      <c r="H865" s="115"/>
      <c r="I865" s="115"/>
      <c r="L865" s="169">
        <v>43957</v>
      </c>
      <c r="M865" s="115">
        <v>54.755555555555603</v>
      </c>
      <c r="N865" s="115">
        <v>56.528888888888901</v>
      </c>
      <c r="O865" s="115">
        <v>54.4</v>
      </c>
      <c r="P865" s="115">
        <v>56.528888888888901</v>
      </c>
      <c r="Q865" s="115">
        <v>616</v>
      </c>
      <c r="R865">
        <v>300910</v>
      </c>
    </row>
    <row r="866" spans="1:18" x14ac:dyDescent="0.25">
      <c r="A866" s="169">
        <v>43958</v>
      </c>
      <c r="B866" s="115">
        <v>54.577777777777797</v>
      </c>
      <c r="C866" s="115">
        <v>53.337777777777802</v>
      </c>
      <c r="D866" s="115">
        <v>50.897777777777797</v>
      </c>
      <c r="E866" s="115">
        <v>54.4577777777778</v>
      </c>
      <c r="F866" s="115">
        <v>600.04999999999995</v>
      </c>
      <c r="G866">
        <v>13623</v>
      </c>
      <c r="H866" s="115"/>
      <c r="I866" s="115"/>
      <c r="L866" s="169">
        <v>43958</v>
      </c>
      <c r="M866" s="115">
        <v>53.3333333333333</v>
      </c>
      <c r="N866" s="115">
        <v>55.102222222222203</v>
      </c>
      <c r="O866" s="115">
        <v>50.844444444444399</v>
      </c>
      <c r="P866" s="115">
        <v>55.102222222222203</v>
      </c>
      <c r="Q866" s="115">
        <v>600</v>
      </c>
      <c r="R866">
        <v>621090</v>
      </c>
    </row>
    <row r="867" spans="1:18" x14ac:dyDescent="0.25">
      <c r="A867" s="169">
        <v>43959</v>
      </c>
      <c r="B867" s="115">
        <v>55.466666666666697</v>
      </c>
      <c r="C867" s="115">
        <v>55.075555555555603</v>
      </c>
      <c r="D867" s="115">
        <v>53.3466666666667</v>
      </c>
      <c r="E867" s="115">
        <v>53.3466666666667</v>
      </c>
      <c r="F867" s="115">
        <v>619.6</v>
      </c>
      <c r="G867">
        <v>5792</v>
      </c>
      <c r="H867" s="115"/>
      <c r="I867" s="115"/>
      <c r="L867" s="169">
        <v>43959</v>
      </c>
      <c r="M867" s="115">
        <v>55.146666666666697</v>
      </c>
      <c r="N867" s="115">
        <v>55.533333333333303</v>
      </c>
      <c r="O867" s="115">
        <v>53.688888888888897</v>
      </c>
      <c r="P867" s="115">
        <v>53.688888888888897</v>
      </c>
      <c r="Q867" s="115">
        <v>620.4</v>
      </c>
      <c r="R867">
        <v>223698</v>
      </c>
    </row>
    <row r="868" spans="1:18" x14ac:dyDescent="0.25">
      <c r="A868" s="169">
        <v>43962</v>
      </c>
      <c r="B868" s="115">
        <v>55.92</v>
      </c>
      <c r="C868" s="115">
        <v>54.9022222222222</v>
      </c>
      <c r="D868" s="115">
        <v>53.573333333333302</v>
      </c>
      <c r="E868" s="115">
        <v>55.1111111111111</v>
      </c>
      <c r="F868" s="115">
        <v>617.65</v>
      </c>
      <c r="G868">
        <v>6086</v>
      </c>
      <c r="H868" s="115"/>
      <c r="I868" s="115"/>
      <c r="L868" s="169">
        <v>43962</v>
      </c>
      <c r="M868" s="115">
        <v>54.862222222222201</v>
      </c>
      <c r="N868" s="115">
        <v>56</v>
      </c>
      <c r="O868" s="115">
        <v>53.351111111111102</v>
      </c>
      <c r="P868" s="115">
        <v>55.5555555555556</v>
      </c>
      <c r="Q868" s="115">
        <v>617.20000000000005</v>
      </c>
      <c r="R868">
        <v>321984</v>
      </c>
    </row>
    <row r="869" spans="1:18" x14ac:dyDescent="0.25">
      <c r="A869" s="169">
        <v>43963</v>
      </c>
      <c r="B869" s="115">
        <v>56.4</v>
      </c>
      <c r="C869" s="115">
        <v>55.511111111111099</v>
      </c>
      <c r="D869" s="115">
        <v>53.866666666666703</v>
      </c>
      <c r="E869" s="115">
        <v>55.053333333333299</v>
      </c>
      <c r="F869" s="115">
        <v>624.5</v>
      </c>
      <c r="G869">
        <v>4461</v>
      </c>
      <c r="H869" s="115"/>
      <c r="I869" s="115"/>
      <c r="L869" s="169">
        <v>43963</v>
      </c>
      <c r="M869" s="115">
        <v>55.44</v>
      </c>
      <c r="N869" s="115">
        <v>55.991111111111103</v>
      </c>
      <c r="O869" s="115">
        <v>53.795555555555602</v>
      </c>
      <c r="P869" s="115">
        <v>55.022222222222197</v>
      </c>
      <c r="Q869" s="115">
        <v>623.70000000000005</v>
      </c>
      <c r="R869">
        <v>212941</v>
      </c>
    </row>
    <row r="870" spans="1:18" x14ac:dyDescent="0.25">
      <c r="A870" s="169">
        <v>43964</v>
      </c>
      <c r="B870" s="115">
        <v>59.28</v>
      </c>
      <c r="C870" s="115">
        <v>58.835555555555601</v>
      </c>
      <c r="D870" s="115">
        <v>55.204444444444398</v>
      </c>
      <c r="E870" s="115">
        <v>58.128888888888902</v>
      </c>
      <c r="F870" s="115">
        <v>661.9</v>
      </c>
      <c r="G870">
        <v>9149</v>
      </c>
      <c r="H870" s="115"/>
      <c r="I870" s="115"/>
      <c r="L870" s="169">
        <v>43964</v>
      </c>
      <c r="M870" s="115">
        <v>58.6666666666667</v>
      </c>
      <c r="N870" s="115">
        <v>59.4577777777778</v>
      </c>
      <c r="O870" s="115">
        <v>55.288888888888899</v>
      </c>
      <c r="P870" s="115">
        <v>56.977777777777803</v>
      </c>
      <c r="Q870" s="115">
        <v>660</v>
      </c>
      <c r="R870">
        <v>306605</v>
      </c>
    </row>
    <row r="871" spans="1:18" x14ac:dyDescent="0.25">
      <c r="A871" s="169">
        <v>43965</v>
      </c>
      <c r="B871" s="115">
        <v>58.595555555555599</v>
      </c>
      <c r="C871" s="115">
        <v>57.066666666666698</v>
      </c>
      <c r="D871" s="115">
        <v>56.711111111111101</v>
      </c>
      <c r="E871" s="115">
        <v>57.715555555555603</v>
      </c>
      <c r="F871" s="115">
        <v>642</v>
      </c>
      <c r="G871">
        <v>4490</v>
      </c>
      <c r="H871" s="115"/>
      <c r="I871" s="115"/>
      <c r="L871" s="169">
        <v>43965</v>
      </c>
      <c r="M871" s="115">
        <v>57.1955555555556</v>
      </c>
      <c r="N871" s="115">
        <v>58.635555555555598</v>
      </c>
      <c r="O871" s="115">
        <v>56.711111111111101</v>
      </c>
      <c r="P871" s="115">
        <v>57.5555555555556</v>
      </c>
      <c r="Q871" s="115">
        <v>643.45000000000005</v>
      </c>
      <c r="R871">
        <v>189588</v>
      </c>
    </row>
    <row r="872" spans="1:18" x14ac:dyDescent="0.25">
      <c r="A872" s="169">
        <v>43966</v>
      </c>
      <c r="B872" s="115">
        <v>58.271111111111097</v>
      </c>
      <c r="C872" s="115">
        <v>56.253333333333302</v>
      </c>
      <c r="D872" s="115">
        <v>55.982222222222198</v>
      </c>
      <c r="E872" s="115">
        <v>56.266666666666701</v>
      </c>
      <c r="F872" s="115">
        <v>632.85</v>
      </c>
      <c r="G872">
        <v>56604</v>
      </c>
      <c r="H872" s="115"/>
      <c r="I872" s="115"/>
      <c r="L872" s="169">
        <v>43966</v>
      </c>
      <c r="M872" s="115">
        <v>56.257777777777797</v>
      </c>
      <c r="N872" s="115">
        <v>58.395555555555603</v>
      </c>
      <c r="O872" s="115">
        <v>55.822222222222202</v>
      </c>
      <c r="P872" s="115">
        <v>57.155555555555601</v>
      </c>
      <c r="Q872" s="115">
        <v>632.9</v>
      </c>
      <c r="R872">
        <v>187989</v>
      </c>
    </row>
    <row r="873" spans="1:18" x14ac:dyDescent="0.25">
      <c r="A873" s="169">
        <v>43969</v>
      </c>
      <c r="B873" s="115">
        <v>56.604444444444397</v>
      </c>
      <c r="C873" s="115">
        <v>55.813333333333297</v>
      </c>
      <c r="D873" s="115">
        <v>54.351111111111102</v>
      </c>
      <c r="E873" s="115">
        <v>56.604444444444397</v>
      </c>
      <c r="F873" s="115">
        <v>627.9</v>
      </c>
      <c r="G873">
        <v>4547</v>
      </c>
      <c r="H873" s="115"/>
      <c r="I873" s="115"/>
      <c r="L873" s="169">
        <v>43969</v>
      </c>
      <c r="M873" s="115">
        <v>55.706666666666699</v>
      </c>
      <c r="N873" s="115">
        <v>56.613333333333301</v>
      </c>
      <c r="O873" s="115">
        <v>54.311111111111103</v>
      </c>
      <c r="P873" s="115">
        <v>56.191111111111098</v>
      </c>
      <c r="Q873" s="115">
        <v>626.70000000000005</v>
      </c>
      <c r="R873">
        <v>140280</v>
      </c>
    </row>
    <row r="874" spans="1:18" x14ac:dyDescent="0.25">
      <c r="A874" s="169">
        <v>43970</v>
      </c>
      <c r="B874" s="115">
        <v>56.284444444444397</v>
      </c>
      <c r="C874" s="115">
        <v>54.684444444444502</v>
      </c>
      <c r="D874" s="115">
        <v>54.4</v>
      </c>
      <c r="E874" s="115">
        <v>56.284444444444397</v>
      </c>
      <c r="F874" s="115">
        <v>615.20000000000005</v>
      </c>
      <c r="G874">
        <v>2631</v>
      </c>
      <c r="H874" s="115"/>
      <c r="I874" s="115"/>
      <c r="L874" s="169">
        <v>43970</v>
      </c>
      <c r="M874" s="115">
        <v>54.755555555555603</v>
      </c>
      <c r="N874" s="115">
        <v>56.862222222222201</v>
      </c>
      <c r="O874" s="115">
        <v>54.4</v>
      </c>
      <c r="P874" s="115">
        <v>56.862222222222201</v>
      </c>
      <c r="Q874" s="115">
        <v>616</v>
      </c>
      <c r="R874">
        <v>199378</v>
      </c>
    </row>
    <row r="875" spans="1:18" x14ac:dyDescent="0.25">
      <c r="A875" s="169">
        <v>43971</v>
      </c>
      <c r="B875" s="115">
        <v>55.164444444444399</v>
      </c>
      <c r="C875" s="115">
        <v>53.657777777777802</v>
      </c>
      <c r="D875" s="115">
        <v>53.3333333333333</v>
      </c>
      <c r="E875" s="115">
        <v>53.8044444444444</v>
      </c>
      <c r="F875" s="115">
        <v>603.65</v>
      </c>
      <c r="G875">
        <v>5524</v>
      </c>
      <c r="H875" s="115"/>
      <c r="I875" s="115"/>
      <c r="L875" s="169">
        <v>43971</v>
      </c>
      <c r="M875" s="115">
        <v>53.586666666666702</v>
      </c>
      <c r="N875" s="115">
        <v>55.337777777777802</v>
      </c>
      <c r="O875" s="115">
        <v>53.3333333333333</v>
      </c>
      <c r="P875" s="115">
        <v>54.231111111111098</v>
      </c>
      <c r="Q875" s="115">
        <v>602.85</v>
      </c>
      <c r="R875">
        <v>212698</v>
      </c>
    </row>
    <row r="876" spans="1:18" x14ac:dyDescent="0.25">
      <c r="A876" s="169">
        <v>43972</v>
      </c>
      <c r="B876" s="115">
        <v>54.64</v>
      </c>
      <c r="C876" s="115">
        <v>51.5822222222222</v>
      </c>
      <c r="D876" s="115">
        <v>51.288888888888899</v>
      </c>
      <c r="E876" s="115">
        <v>53.657777777777802</v>
      </c>
      <c r="F876" s="115">
        <v>580.29999999999995</v>
      </c>
      <c r="G876">
        <v>10461</v>
      </c>
      <c r="H876" s="115"/>
      <c r="I876" s="115"/>
      <c r="L876" s="169">
        <v>43972</v>
      </c>
      <c r="M876" s="115">
        <v>51.56</v>
      </c>
      <c r="N876" s="115">
        <v>54.662222222222198</v>
      </c>
      <c r="O876" s="115">
        <v>51.3066666666667</v>
      </c>
      <c r="P876" s="115">
        <v>53.991111111111103</v>
      </c>
      <c r="Q876" s="115">
        <v>580.04999999999995</v>
      </c>
      <c r="R876">
        <v>340852</v>
      </c>
    </row>
    <row r="877" spans="1:18" x14ac:dyDescent="0.25">
      <c r="A877" s="169">
        <v>43973</v>
      </c>
      <c r="B877" s="115">
        <v>52.213333333333303</v>
      </c>
      <c r="C877" s="115">
        <v>51.808888888888902</v>
      </c>
      <c r="D877" s="115">
        <v>50.808888888888902</v>
      </c>
      <c r="E877" s="115">
        <v>51.604444444444397</v>
      </c>
      <c r="F877" s="115">
        <v>582.85</v>
      </c>
      <c r="G877">
        <v>4422</v>
      </c>
      <c r="H877" s="115"/>
      <c r="I877" s="115"/>
      <c r="L877" s="169">
        <v>43973</v>
      </c>
      <c r="M877" s="115">
        <v>51.795555555555602</v>
      </c>
      <c r="N877" s="115">
        <v>52.288888888888899</v>
      </c>
      <c r="O877" s="115">
        <v>50.7777777777778</v>
      </c>
      <c r="P877" s="115">
        <v>51.5555555555556</v>
      </c>
      <c r="Q877" s="115">
        <v>582.70000000000005</v>
      </c>
      <c r="R877">
        <v>204231</v>
      </c>
    </row>
    <row r="878" spans="1:18" x14ac:dyDescent="0.25">
      <c r="A878" s="169">
        <v>43977</v>
      </c>
      <c r="B878" s="115">
        <v>53.706666666666699</v>
      </c>
      <c r="C878" s="115">
        <v>52.844444444444399</v>
      </c>
      <c r="D878" s="115">
        <v>52</v>
      </c>
      <c r="E878" s="115">
        <v>52.1111111111111</v>
      </c>
      <c r="F878" s="115">
        <v>594.5</v>
      </c>
      <c r="G878">
        <v>3552</v>
      </c>
      <c r="H878" s="115"/>
      <c r="I878" s="115"/>
      <c r="L878" s="169">
        <v>43977</v>
      </c>
      <c r="M878" s="115">
        <v>52.773333333333298</v>
      </c>
      <c r="N878" s="115">
        <v>53.688888888888897</v>
      </c>
      <c r="O878" s="115">
        <v>51.911111111111097</v>
      </c>
      <c r="P878" s="115">
        <v>52.0844444444445</v>
      </c>
      <c r="Q878" s="115">
        <v>593.70000000000005</v>
      </c>
      <c r="R878">
        <v>302180</v>
      </c>
    </row>
    <row r="879" spans="1:18" x14ac:dyDescent="0.25">
      <c r="A879" s="169">
        <v>43978</v>
      </c>
      <c r="B879" s="115">
        <v>53.3333333333333</v>
      </c>
      <c r="C879" s="115">
        <v>52.88</v>
      </c>
      <c r="D879" s="115">
        <v>52.613333333333301</v>
      </c>
      <c r="E879" s="115">
        <v>53.231111111111098</v>
      </c>
      <c r="F879" s="115">
        <v>594.9</v>
      </c>
      <c r="G879">
        <v>2125</v>
      </c>
      <c r="H879" s="115"/>
      <c r="I879" s="115"/>
      <c r="L879" s="169">
        <v>43978</v>
      </c>
      <c r="M879" s="115">
        <v>52.857777777777798</v>
      </c>
      <c r="N879" s="115">
        <v>53.284444444444397</v>
      </c>
      <c r="O879" s="115">
        <v>52.5688888888889</v>
      </c>
      <c r="P879" s="115">
        <v>52.893333333333302</v>
      </c>
      <c r="Q879" s="115">
        <v>594.65</v>
      </c>
      <c r="R879">
        <v>142797</v>
      </c>
    </row>
    <row r="880" spans="1:18" x14ac:dyDescent="0.25">
      <c r="A880" s="169">
        <v>43979</v>
      </c>
      <c r="B880" s="115">
        <v>55.102222222222203</v>
      </c>
      <c r="C880" s="115">
        <v>54.426666666666698</v>
      </c>
      <c r="D880" s="115">
        <v>53.164444444444399</v>
      </c>
      <c r="E880" s="115">
        <v>53.32</v>
      </c>
      <c r="F880" s="115">
        <v>612.29999999999995</v>
      </c>
      <c r="G880">
        <v>4270</v>
      </c>
      <c r="H880" s="115"/>
      <c r="I880" s="115"/>
      <c r="L880" s="169">
        <v>43979</v>
      </c>
      <c r="M880" s="115">
        <v>54.408888888888903</v>
      </c>
      <c r="N880" s="115">
        <v>55.088888888888903</v>
      </c>
      <c r="O880" s="115">
        <v>53.026666666666699</v>
      </c>
      <c r="P880" s="115">
        <v>53.066666666666698</v>
      </c>
      <c r="Q880" s="115">
        <v>612.1</v>
      </c>
      <c r="R880">
        <v>332957</v>
      </c>
    </row>
    <row r="881" spans="1:18" x14ac:dyDescent="0.25">
      <c r="A881" s="169">
        <v>43980</v>
      </c>
      <c r="B881" s="115">
        <v>56.4</v>
      </c>
      <c r="C881" s="115">
        <v>56.204444444444398</v>
      </c>
      <c r="D881" s="115">
        <v>53.657777777777802</v>
      </c>
      <c r="E881" s="115">
        <v>53.817777777777799</v>
      </c>
      <c r="F881" s="115">
        <v>632.29999999999995</v>
      </c>
      <c r="G881">
        <v>3727</v>
      </c>
      <c r="H881" s="115"/>
      <c r="I881" s="115"/>
      <c r="L881" s="169">
        <v>43980</v>
      </c>
      <c r="M881" s="115">
        <v>56.146666666666697</v>
      </c>
      <c r="N881" s="115">
        <v>56.4444444444444</v>
      </c>
      <c r="O881" s="115">
        <v>53.5822222222222</v>
      </c>
      <c r="P881" s="115">
        <v>54.382222222222197</v>
      </c>
      <c r="Q881" s="115">
        <v>631.65</v>
      </c>
      <c r="R881">
        <v>150925</v>
      </c>
    </row>
    <row r="882" spans="1:18" x14ac:dyDescent="0.25">
      <c r="A882" s="169">
        <v>43983</v>
      </c>
      <c r="B882" s="115">
        <v>57.368888888888897</v>
      </c>
      <c r="C882" s="115">
        <v>55.448888888888902</v>
      </c>
      <c r="D882" s="115">
        <v>55.2222222222222</v>
      </c>
      <c r="E882" s="115">
        <v>56.622222222222199</v>
      </c>
      <c r="F882" s="115">
        <v>623.79999999999995</v>
      </c>
      <c r="G882">
        <v>4142</v>
      </c>
      <c r="H882" s="115"/>
      <c r="I882" s="115"/>
      <c r="L882" s="169">
        <v>43983</v>
      </c>
      <c r="M882" s="115">
        <v>55.395555555555603</v>
      </c>
      <c r="N882" s="115">
        <v>57.324444444444403</v>
      </c>
      <c r="O882" s="115">
        <v>55.115555555555602</v>
      </c>
      <c r="P882" s="115">
        <v>56.8888888888889</v>
      </c>
      <c r="Q882" s="115">
        <v>623.20000000000005</v>
      </c>
      <c r="R882">
        <v>188260</v>
      </c>
    </row>
    <row r="883" spans="1:18" x14ac:dyDescent="0.25">
      <c r="A883" s="169">
        <v>43984</v>
      </c>
      <c r="B883" s="115">
        <v>56.711111111111101</v>
      </c>
      <c r="C883" s="115">
        <v>53.906666666666702</v>
      </c>
      <c r="D883" s="115">
        <v>53.426666666666698</v>
      </c>
      <c r="E883" s="115">
        <v>56.711111111111101</v>
      </c>
      <c r="F883" s="115">
        <v>606.45000000000005</v>
      </c>
      <c r="G883">
        <v>5625</v>
      </c>
      <c r="H883" s="115"/>
      <c r="I883" s="115"/>
      <c r="L883" s="169">
        <v>43984</v>
      </c>
      <c r="M883" s="115">
        <v>53.817777777777799</v>
      </c>
      <c r="N883" s="115">
        <v>55.884444444444398</v>
      </c>
      <c r="O883" s="115">
        <v>53.364444444444402</v>
      </c>
      <c r="P883" s="115">
        <v>55.377777777777801</v>
      </c>
      <c r="Q883" s="115">
        <v>605.45000000000005</v>
      </c>
      <c r="R883">
        <v>200229</v>
      </c>
    </row>
    <row r="884" spans="1:18" x14ac:dyDescent="0.25">
      <c r="A884" s="169">
        <v>43985</v>
      </c>
      <c r="B884" s="115">
        <v>55.92</v>
      </c>
      <c r="C884" s="115">
        <v>54.844444444444399</v>
      </c>
      <c r="D884" s="115">
        <v>54.311111111111103</v>
      </c>
      <c r="E884" s="115">
        <v>54.497777777777799</v>
      </c>
      <c r="F884" s="115">
        <v>617</v>
      </c>
      <c r="G884">
        <v>6974</v>
      </c>
      <c r="H884" s="115"/>
      <c r="I884" s="115"/>
      <c r="L884" s="169">
        <v>43985</v>
      </c>
      <c r="M884" s="115">
        <v>54.8</v>
      </c>
      <c r="N884" s="115">
        <v>55.911111111111097</v>
      </c>
      <c r="O884" s="115">
        <v>54.253333333333302</v>
      </c>
      <c r="P884" s="115">
        <v>54.324444444444403</v>
      </c>
      <c r="Q884" s="115">
        <v>616.5</v>
      </c>
      <c r="R884">
        <v>407588</v>
      </c>
    </row>
    <row r="885" spans="1:18" x14ac:dyDescent="0.25">
      <c r="A885" s="169">
        <v>43986</v>
      </c>
      <c r="B885" s="115">
        <v>55.813333333333297</v>
      </c>
      <c r="C885" s="115">
        <v>54.28</v>
      </c>
      <c r="D885" s="115">
        <v>54.044444444444402</v>
      </c>
      <c r="E885" s="115">
        <v>55.813333333333297</v>
      </c>
      <c r="F885" s="115">
        <v>610.65</v>
      </c>
      <c r="G885">
        <v>4493</v>
      </c>
      <c r="H885" s="115"/>
      <c r="I885" s="115"/>
      <c r="L885" s="169">
        <v>43986</v>
      </c>
      <c r="M885" s="115">
        <v>54.2</v>
      </c>
      <c r="N885" s="115">
        <v>55.404444444444401</v>
      </c>
      <c r="O885" s="115">
        <v>53.955555555555598</v>
      </c>
      <c r="P885" s="115">
        <v>55.102222222222203</v>
      </c>
      <c r="Q885" s="115">
        <v>609.75</v>
      </c>
      <c r="R885">
        <v>165288</v>
      </c>
    </row>
    <row r="886" spans="1:18" x14ac:dyDescent="0.25">
      <c r="A886" s="169">
        <v>43987</v>
      </c>
      <c r="B886" s="115">
        <v>56.462222222222202</v>
      </c>
      <c r="C886" s="115">
        <v>56.248888888888899</v>
      </c>
      <c r="D886" s="115">
        <v>54.844444444444399</v>
      </c>
      <c r="E886" s="115">
        <v>55.546666666666702</v>
      </c>
      <c r="F886" s="115">
        <v>632.79999999999995</v>
      </c>
      <c r="G886">
        <v>5973</v>
      </c>
      <c r="H886" s="115"/>
      <c r="I886" s="115"/>
      <c r="L886" s="169">
        <v>43987</v>
      </c>
      <c r="M886" s="115">
        <v>56.204444444444398</v>
      </c>
      <c r="N886" s="115">
        <v>56.488888888888901</v>
      </c>
      <c r="O886" s="115">
        <v>54.751111111111101</v>
      </c>
      <c r="P886" s="115">
        <v>55.022222222222197</v>
      </c>
      <c r="Q886" s="115">
        <v>632.29999999999995</v>
      </c>
      <c r="R886">
        <v>162660</v>
      </c>
    </row>
    <row r="887" spans="1:18" x14ac:dyDescent="0.25">
      <c r="A887" s="169">
        <v>43990</v>
      </c>
      <c r="B887" s="115">
        <v>57.755555555555603</v>
      </c>
      <c r="C887" s="115">
        <v>55.217777777777798</v>
      </c>
      <c r="D887" s="115">
        <v>54.755555555555603</v>
      </c>
      <c r="E887" s="115">
        <v>57.755555555555603</v>
      </c>
      <c r="F887" s="115">
        <v>621.20000000000005</v>
      </c>
      <c r="G887">
        <v>6404</v>
      </c>
      <c r="H887" s="115"/>
      <c r="I887" s="115"/>
      <c r="L887" s="169">
        <v>43990</v>
      </c>
      <c r="M887" s="115">
        <v>55.168888888888901</v>
      </c>
      <c r="N887" s="115">
        <v>57.3333333333333</v>
      </c>
      <c r="O887" s="115">
        <v>54.755555555555603</v>
      </c>
      <c r="P887" s="115">
        <v>57.057777777777801</v>
      </c>
      <c r="Q887" s="115">
        <v>620.65</v>
      </c>
      <c r="R887">
        <v>228220</v>
      </c>
    </row>
    <row r="888" spans="1:18" x14ac:dyDescent="0.25">
      <c r="A888" s="169">
        <v>43991</v>
      </c>
      <c r="B888" s="115">
        <v>56.213333333333303</v>
      </c>
      <c r="C888" s="115">
        <v>55.675555555555597</v>
      </c>
      <c r="D888" s="115">
        <v>54.6666666666667</v>
      </c>
      <c r="E888" s="115">
        <v>54.924444444444397</v>
      </c>
      <c r="F888" s="115">
        <v>626.35</v>
      </c>
      <c r="G888">
        <v>2223919</v>
      </c>
      <c r="H888" s="115"/>
      <c r="I888" s="115"/>
      <c r="L888" s="169">
        <v>43991</v>
      </c>
      <c r="M888" s="115">
        <v>55.72</v>
      </c>
      <c r="N888" s="115">
        <v>56.257777777777797</v>
      </c>
      <c r="O888" s="115">
        <v>54.675555555555597</v>
      </c>
      <c r="P888" s="115">
        <v>55.1111111111111</v>
      </c>
      <c r="Q888" s="115">
        <v>626.85</v>
      </c>
      <c r="R888">
        <v>302289</v>
      </c>
    </row>
    <row r="889" spans="1:18" x14ac:dyDescent="0.25">
      <c r="A889" s="169">
        <v>43992</v>
      </c>
      <c r="B889" s="115">
        <v>55.675555555555597</v>
      </c>
      <c r="C889" s="115">
        <v>55.231111111111098</v>
      </c>
      <c r="D889" s="115">
        <v>54.711111111111101</v>
      </c>
      <c r="E889" s="115">
        <v>55.435555555555602</v>
      </c>
      <c r="F889" s="115">
        <v>621.35</v>
      </c>
      <c r="G889">
        <v>4506</v>
      </c>
      <c r="H889" s="115"/>
      <c r="I889" s="115"/>
      <c r="L889" s="169">
        <v>43992</v>
      </c>
      <c r="M889" s="115">
        <v>55.186666666666703</v>
      </c>
      <c r="N889" s="115">
        <v>55.822222222222202</v>
      </c>
      <c r="O889" s="115">
        <v>54.6666666666667</v>
      </c>
      <c r="P889" s="115">
        <v>55.5555555555556</v>
      </c>
      <c r="Q889" s="115">
        <v>620.85</v>
      </c>
      <c r="R889">
        <v>166850</v>
      </c>
    </row>
    <row r="890" spans="1:18" x14ac:dyDescent="0.25">
      <c r="A890" s="169">
        <v>43993</v>
      </c>
      <c r="B890" s="115">
        <v>55.911111111111097</v>
      </c>
      <c r="C890" s="115">
        <v>54.973333333333301</v>
      </c>
      <c r="D890" s="115">
        <v>54.844444444444399</v>
      </c>
      <c r="E890" s="115">
        <v>55.475555555555601</v>
      </c>
      <c r="F890" s="115">
        <v>618.45000000000005</v>
      </c>
      <c r="G890">
        <v>2186</v>
      </c>
      <c r="H890" s="115"/>
      <c r="I890" s="115"/>
      <c r="L890" s="169">
        <v>43993</v>
      </c>
      <c r="M890" s="115">
        <v>55.1244444444444</v>
      </c>
      <c r="N890" s="115">
        <v>55.982222222222198</v>
      </c>
      <c r="O890" s="115">
        <v>54.8044444444444</v>
      </c>
      <c r="P890" s="115">
        <v>55.453333333333298</v>
      </c>
      <c r="Q890" s="115">
        <v>620.15</v>
      </c>
      <c r="R890">
        <v>90334</v>
      </c>
    </row>
    <row r="891" spans="1:18" x14ac:dyDescent="0.25">
      <c r="A891" s="169">
        <v>43994</v>
      </c>
      <c r="B891" s="115">
        <v>56.995555555555597</v>
      </c>
      <c r="C891" s="115">
        <v>56.177777777777798</v>
      </c>
      <c r="D891" s="115">
        <v>52.364444444444402</v>
      </c>
      <c r="E891" s="115">
        <v>52.422222222222203</v>
      </c>
      <c r="F891" s="115">
        <v>632</v>
      </c>
      <c r="G891">
        <v>5318</v>
      </c>
      <c r="H891" s="115"/>
      <c r="I891" s="115"/>
      <c r="L891" s="169">
        <v>43994</v>
      </c>
      <c r="M891" s="115">
        <v>56.164444444444399</v>
      </c>
      <c r="N891" s="115">
        <v>57.057777777777801</v>
      </c>
      <c r="O891" s="115">
        <v>52.088888888888903</v>
      </c>
      <c r="P891" s="115">
        <v>52.088888888888903</v>
      </c>
      <c r="Q891" s="115">
        <v>631.85</v>
      </c>
      <c r="R891">
        <v>268771</v>
      </c>
    </row>
    <row r="892" spans="1:18" x14ac:dyDescent="0.25">
      <c r="A892" s="169">
        <v>43997</v>
      </c>
      <c r="B892" s="115">
        <v>61.262222222222199</v>
      </c>
      <c r="C892" s="115">
        <v>58.28</v>
      </c>
      <c r="D892" s="115">
        <v>55.755555555555603</v>
      </c>
      <c r="E892" s="115">
        <v>56.235555555555599</v>
      </c>
      <c r="F892" s="115">
        <v>655.65</v>
      </c>
      <c r="G892">
        <v>30577</v>
      </c>
      <c r="H892" s="115"/>
      <c r="I892" s="115"/>
      <c r="L892" s="169">
        <v>43997</v>
      </c>
      <c r="M892" s="115">
        <v>58.16</v>
      </c>
      <c r="N892" s="115">
        <v>61.3333333333333</v>
      </c>
      <c r="O892" s="115">
        <v>55.577777777777797</v>
      </c>
      <c r="P892" s="115">
        <v>56.355555555555597</v>
      </c>
      <c r="Q892" s="115">
        <v>654.29999999999995</v>
      </c>
      <c r="R892">
        <v>588953</v>
      </c>
    </row>
    <row r="893" spans="1:18" x14ac:dyDescent="0.25">
      <c r="A893" s="169">
        <v>43998</v>
      </c>
      <c r="B893" s="115">
        <v>59.924444444444397</v>
      </c>
      <c r="C893" s="115">
        <v>57.573333333333302</v>
      </c>
      <c r="D893" s="115">
        <v>56.4577777777778</v>
      </c>
      <c r="E893" s="115">
        <v>58.28</v>
      </c>
      <c r="F893" s="115">
        <v>647.70000000000005</v>
      </c>
      <c r="G893">
        <v>13547</v>
      </c>
      <c r="H893" s="115"/>
      <c r="I893" s="115"/>
      <c r="L893" s="169">
        <v>43998</v>
      </c>
      <c r="M893" s="115">
        <v>57.586666666666702</v>
      </c>
      <c r="N893" s="115">
        <v>59.982222222222198</v>
      </c>
      <c r="O893" s="115">
        <v>56.488888888888901</v>
      </c>
      <c r="P893" s="115">
        <v>59.182222222222201</v>
      </c>
      <c r="Q893" s="115">
        <v>647.85</v>
      </c>
      <c r="R893">
        <v>215630</v>
      </c>
    </row>
    <row r="894" spans="1:18" x14ac:dyDescent="0.25">
      <c r="A894" s="169">
        <v>43999</v>
      </c>
      <c r="B894" s="115">
        <v>59.466666666666697</v>
      </c>
      <c r="C894" s="115">
        <v>58.795555555555602</v>
      </c>
      <c r="D894" s="115">
        <v>56.933333333333302</v>
      </c>
      <c r="E894" s="115">
        <v>56.933333333333302</v>
      </c>
      <c r="F894" s="115">
        <v>661.45</v>
      </c>
      <c r="G894">
        <v>4168</v>
      </c>
      <c r="H894" s="115"/>
      <c r="I894" s="115"/>
      <c r="L894" s="169">
        <v>43999</v>
      </c>
      <c r="M894" s="115">
        <v>58.822222222222202</v>
      </c>
      <c r="N894" s="115">
        <v>59.5422222222222</v>
      </c>
      <c r="O894" s="115">
        <v>56.8</v>
      </c>
      <c r="P894" s="115">
        <v>56.8888888888889</v>
      </c>
      <c r="Q894" s="115">
        <v>661.75</v>
      </c>
      <c r="R894">
        <v>181068</v>
      </c>
    </row>
    <row r="895" spans="1:18" x14ac:dyDescent="0.25">
      <c r="A895" s="169">
        <v>44000</v>
      </c>
      <c r="B895" s="115">
        <v>63.5688888888889</v>
      </c>
      <c r="C895" s="115">
        <v>62.84</v>
      </c>
      <c r="D895" s="115">
        <v>59.115555555555602</v>
      </c>
      <c r="E895" s="115">
        <v>59.115555555555602</v>
      </c>
      <c r="F895" s="115">
        <v>706.95</v>
      </c>
      <c r="G895">
        <v>12827</v>
      </c>
      <c r="H895" s="115"/>
      <c r="I895" s="115"/>
      <c r="L895" s="169">
        <v>44000</v>
      </c>
      <c r="M895" s="115">
        <v>62.857777777777798</v>
      </c>
      <c r="N895" s="115">
        <v>63.5555555555556</v>
      </c>
      <c r="O895" s="115">
        <v>58.493333333333297</v>
      </c>
      <c r="P895" s="115">
        <v>58.822222222222202</v>
      </c>
      <c r="Q895" s="115">
        <v>707.15</v>
      </c>
      <c r="R895">
        <v>571851</v>
      </c>
    </row>
    <row r="896" spans="1:18" x14ac:dyDescent="0.25">
      <c r="A896" s="169">
        <v>44001</v>
      </c>
      <c r="B896" s="115">
        <v>65.635555555555598</v>
      </c>
      <c r="C896" s="115">
        <v>65.106666666666698</v>
      </c>
      <c r="D896" s="115">
        <v>63.2088888888889</v>
      </c>
      <c r="E896" s="115">
        <v>63.2088888888889</v>
      </c>
      <c r="F896" s="115">
        <v>732.45</v>
      </c>
      <c r="G896">
        <v>6410</v>
      </c>
      <c r="H896" s="115"/>
      <c r="I896" s="115"/>
      <c r="L896" s="169">
        <v>44001</v>
      </c>
      <c r="M896" s="115">
        <v>65.062222222222204</v>
      </c>
      <c r="N896" s="115">
        <v>65.595555555555606</v>
      </c>
      <c r="O896" s="115">
        <v>63.644444444444403</v>
      </c>
      <c r="P896" s="115">
        <v>63.644444444444403</v>
      </c>
      <c r="Q896" s="115">
        <v>731.95</v>
      </c>
      <c r="R896">
        <v>315689</v>
      </c>
    </row>
    <row r="897" spans="1:18" x14ac:dyDescent="0.25">
      <c r="A897" s="169">
        <v>44004</v>
      </c>
      <c r="B897" s="115">
        <v>65.511111111111106</v>
      </c>
      <c r="C897" s="115">
        <v>62.826666666666704</v>
      </c>
      <c r="D897" s="115">
        <v>62.688888888888897</v>
      </c>
      <c r="E897" s="115">
        <v>65.106666666666698</v>
      </c>
      <c r="F897" s="115">
        <v>706.8</v>
      </c>
      <c r="G897">
        <v>16619</v>
      </c>
      <c r="H897" s="115"/>
      <c r="I897" s="115"/>
      <c r="L897" s="169">
        <v>44004</v>
      </c>
      <c r="M897" s="115">
        <v>62.96</v>
      </c>
      <c r="N897" s="115">
        <v>65.6933333333333</v>
      </c>
      <c r="O897" s="115">
        <v>62.577777777777797</v>
      </c>
      <c r="P897" s="115">
        <v>65.422222222222203</v>
      </c>
      <c r="Q897" s="115">
        <v>708.3</v>
      </c>
      <c r="R897">
        <v>212228</v>
      </c>
    </row>
    <row r="898" spans="1:18" x14ac:dyDescent="0.25">
      <c r="A898" s="169">
        <v>44005</v>
      </c>
      <c r="B898" s="115">
        <v>63.746666666666698</v>
      </c>
      <c r="C898" s="115">
        <v>62.897777777777797</v>
      </c>
      <c r="D898" s="115">
        <v>62.488888888888901</v>
      </c>
      <c r="E898" s="115">
        <v>62.933333333333302</v>
      </c>
      <c r="F898" s="115">
        <v>707.6</v>
      </c>
      <c r="G898">
        <v>2712</v>
      </c>
      <c r="H898" s="115"/>
      <c r="I898" s="115"/>
      <c r="L898" s="169">
        <v>44005</v>
      </c>
      <c r="M898" s="115">
        <v>62.911111111111097</v>
      </c>
      <c r="N898" s="115">
        <v>64</v>
      </c>
      <c r="O898" s="115">
        <v>62.311111111111103</v>
      </c>
      <c r="P898" s="115">
        <v>62.96</v>
      </c>
      <c r="Q898" s="115">
        <v>707.75</v>
      </c>
      <c r="R898">
        <v>325890</v>
      </c>
    </row>
    <row r="899" spans="1:18" x14ac:dyDescent="0.25">
      <c r="A899" s="169">
        <v>44006</v>
      </c>
      <c r="B899" s="115">
        <v>64.088888888888903</v>
      </c>
      <c r="C899" s="115">
        <v>61.026666666666699</v>
      </c>
      <c r="D899" s="115">
        <v>60.395555555555603</v>
      </c>
      <c r="E899" s="115">
        <v>64.088888888888903</v>
      </c>
      <c r="F899" s="115">
        <v>686.55</v>
      </c>
      <c r="G899">
        <v>5822</v>
      </c>
      <c r="H899" s="115"/>
      <c r="I899" s="115"/>
      <c r="L899" s="169">
        <v>44006</v>
      </c>
      <c r="M899" s="115">
        <v>61.1955555555556</v>
      </c>
      <c r="N899" s="115">
        <v>63.466666666666697</v>
      </c>
      <c r="O899" s="115">
        <v>60.364444444444402</v>
      </c>
      <c r="P899" s="115">
        <v>63.1955555555556</v>
      </c>
      <c r="Q899" s="115">
        <v>688.45</v>
      </c>
      <c r="R899">
        <v>153610</v>
      </c>
    </row>
    <row r="900" spans="1:18" x14ac:dyDescent="0.25">
      <c r="A900" s="169">
        <v>44007</v>
      </c>
      <c r="B900" s="115">
        <v>62.688888888888897</v>
      </c>
      <c r="C900" s="115">
        <v>61.871111111111098</v>
      </c>
      <c r="D900" s="115">
        <v>60.391111111111101</v>
      </c>
      <c r="E900" s="115">
        <v>60.395555555555603</v>
      </c>
      <c r="F900" s="115">
        <v>696.05</v>
      </c>
      <c r="G900">
        <v>3224</v>
      </c>
      <c r="H900" s="115"/>
      <c r="I900" s="115"/>
      <c r="L900" s="169">
        <v>44007</v>
      </c>
      <c r="M900" s="115">
        <v>61.786666666666697</v>
      </c>
      <c r="N900" s="115">
        <v>62.844444444444399</v>
      </c>
      <c r="O900" s="115">
        <v>60.364444444444402</v>
      </c>
      <c r="P900" s="115">
        <v>60.364444444444402</v>
      </c>
      <c r="Q900" s="115">
        <v>695.1</v>
      </c>
      <c r="R900">
        <v>131382</v>
      </c>
    </row>
    <row r="901" spans="1:18" x14ac:dyDescent="0.25">
      <c r="A901" s="169">
        <v>44008</v>
      </c>
      <c r="B901" s="115">
        <v>62.991111111111103</v>
      </c>
      <c r="C901" s="115">
        <v>60.5688888888889</v>
      </c>
      <c r="D901" s="115">
        <v>59.786666666666697</v>
      </c>
      <c r="E901" s="115">
        <v>61.7777777777778</v>
      </c>
      <c r="F901" s="115">
        <v>681.4</v>
      </c>
      <c r="G901">
        <v>11562</v>
      </c>
      <c r="H901" s="115"/>
      <c r="I901" s="115"/>
      <c r="L901" s="169">
        <v>44008</v>
      </c>
      <c r="M901" s="115">
        <v>60.604444444444397</v>
      </c>
      <c r="N901" s="115">
        <v>63.1111111111111</v>
      </c>
      <c r="O901" s="115">
        <v>59.675555555555597</v>
      </c>
      <c r="P901" s="115">
        <v>61.422222222222203</v>
      </c>
      <c r="Q901" s="115">
        <v>681.8</v>
      </c>
      <c r="R901">
        <v>3119316</v>
      </c>
    </row>
    <row r="902" spans="1:18" x14ac:dyDescent="0.25">
      <c r="A902" s="169">
        <v>44011</v>
      </c>
      <c r="B902" s="115">
        <v>62.626666666666701</v>
      </c>
      <c r="C902" s="115">
        <v>60.68</v>
      </c>
      <c r="D902" s="115">
        <v>60.102222222222203</v>
      </c>
      <c r="E902" s="115">
        <v>60.622222222222199</v>
      </c>
      <c r="F902" s="115">
        <v>682.65</v>
      </c>
      <c r="G902">
        <v>3657</v>
      </c>
      <c r="H902" s="115"/>
      <c r="I902" s="115"/>
      <c r="L902" s="169">
        <v>44011</v>
      </c>
      <c r="M902" s="115">
        <v>60.635555555555598</v>
      </c>
      <c r="N902" s="115">
        <v>62.577777777777797</v>
      </c>
      <c r="O902" s="115">
        <v>59.733333333333299</v>
      </c>
      <c r="P902" s="115">
        <v>60.4444444444444</v>
      </c>
      <c r="Q902" s="115">
        <v>682.15</v>
      </c>
      <c r="R902">
        <v>202325</v>
      </c>
    </row>
    <row r="903" spans="1:18" x14ac:dyDescent="0.25">
      <c r="A903" s="169">
        <v>44012</v>
      </c>
      <c r="B903" s="115">
        <v>61.177777777777798</v>
      </c>
      <c r="C903" s="115">
        <v>60.684444444444502</v>
      </c>
      <c r="D903" s="115">
        <v>60.08</v>
      </c>
      <c r="E903" s="115">
        <v>60.9155555555555</v>
      </c>
      <c r="F903" s="115">
        <v>682.7</v>
      </c>
      <c r="G903">
        <v>7989</v>
      </c>
      <c r="H903" s="115"/>
      <c r="I903" s="115"/>
      <c r="L903" s="169">
        <v>44012</v>
      </c>
      <c r="M903" s="115">
        <v>60.528888888888901</v>
      </c>
      <c r="N903" s="115">
        <v>61.302222222222198</v>
      </c>
      <c r="O903" s="115">
        <v>60.137777777777799</v>
      </c>
      <c r="P903" s="115">
        <v>60.8</v>
      </c>
      <c r="Q903" s="115">
        <v>680.95</v>
      </c>
      <c r="R903">
        <v>374965</v>
      </c>
    </row>
    <row r="904" spans="1:18" x14ac:dyDescent="0.25">
      <c r="A904" s="169">
        <v>44013</v>
      </c>
      <c r="B904" s="115">
        <v>61.866666666666703</v>
      </c>
      <c r="C904" s="115">
        <v>61.36</v>
      </c>
      <c r="D904" s="115">
        <v>60.102222222222203</v>
      </c>
      <c r="E904" s="115">
        <v>61.28</v>
      </c>
      <c r="F904" s="115">
        <v>690.3</v>
      </c>
      <c r="G904">
        <v>7952</v>
      </c>
      <c r="H904" s="115"/>
      <c r="I904" s="115"/>
      <c r="L904" s="169">
        <v>44013</v>
      </c>
      <c r="M904" s="115">
        <v>61.4</v>
      </c>
      <c r="N904" s="115">
        <v>61.866666666666703</v>
      </c>
      <c r="O904" s="115">
        <v>60.106666666666698</v>
      </c>
      <c r="P904" s="115">
        <v>60.964444444444403</v>
      </c>
      <c r="Q904" s="115">
        <v>690.75</v>
      </c>
      <c r="R904">
        <v>126634</v>
      </c>
    </row>
    <row r="905" spans="1:18" x14ac:dyDescent="0.25">
      <c r="A905" s="169">
        <v>44014</v>
      </c>
      <c r="B905" s="115">
        <v>62.4</v>
      </c>
      <c r="C905" s="115">
        <v>60.586666666666702</v>
      </c>
      <c r="D905" s="115">
        <v>60.355555555555597</v>
      </c>
      <c r="E905" s="115">
        <v>61.866666666666703</v>
      </c>
      <c r="F905" s="115">
        <v>681.6</v>
      </c>
      <c r="G905">
        <v>2981</v>
      </c>
      <c r="H905" s="115"/>
      <c r="I905" s="115"/>
      <c r="L905" s="169">
        <v>44014</v>
      </c>
      <c r="M905" s="115">
        <v>60.577777777777797</v>
      </c>
      <c r="N905" s="115">
        <v>62.577777777777797</v>
      </c>
      <c r="O905" s="115">
        <v>60.328888888888898</v>
      </c>
      <c r="P905" s="115">
        <v>61.733333333333299</v>
      </c>
      <c r="Q905" s="115">
        <v>681.5</v>
      </c>
      <c r="R905">
        <v>133418</v>
      </c>
    </row>
    <row r="906" spans="1:18" x14ac:dyDescent="0.25">
      <c r="A906" s="169">
        <v>44015</v>
      </c>
      <c r="B906" s="115">
        <v>62.488888888888901</v>
      </c>
      <c r="C906" s="115">
        <v>62.026666666666699</v>
      </c>
      <c r="D906" s="115">
        <v>60.764444444444401</v>
      </c>
      <c r="E906" s="115">
        <v>60.764444444444401</v>
      </c>
      <c r="F906" s="115">
        <v>697.8</v>
      </c>
      <c r="G906">
        <v>11435</v>
      </c>
      <c r="H906" s="115"/>
      <c r="I906" s="115"/>
      <c r="L906" s="169">
        <v>44015</v>
      </c>
      <c r="M906" s="115">
        <v>62.053333333333299</v>
      </c>
      <c r="N906" s="115">
        <v>62.311111111111103</v>
      </c>
      <c r="O906" s="115">
        <v>60.813333333333297</v>
      </c>
      <c r="P906" s="115">
        <v>60.813333333333297</v>
      </c>
      <c r="Q906" s="115">
        <v>698.1</v>
      </c>
      <c r="R906">
        <v>112464</v>
      </c>
    </row>
    <row r="907" spans="1:18" x14ac:dyDescent="0.25">
      <c r="A907" s="169">
        <v>44018</v>
      </c>
      <c r="B907" s="115">
        <v>63.928888888888899</v>
      </c>
      <c r="C907" s="115">
        <v>62.204444444444398</v>
      </c>
      <c r="D907" s="115">
        <v>62.044444444444402</v>
      </c>
      <c r="E907" s="115">
        <v>62.311111111111103</v>
      </c>
      <c r="F907" s="115">
        <v>699.8</v>
      </c>
      <c r="G907">
        <v>4163</v>
      </c>
      <c r="H907" s="115"/>
      <c r="I907" s="115"/>
      <c r="L907" s="169">
        <v>44018</v>
      </c>
      <c r="M907" s="115">
        <v>62.191111111111098</v>
      </c>
      <c r="N907" s="115">
        <v>64</v>
      </c>
      <c r="O907" s="115">
        <v>61.782222222222202</v>
      </c>
      <c r="P907" s="115">
        <v>62.226666666666702</v>
      </c>
      <c r="Q907" s="115">
        <v>699.65</v>
      </c>
      <c r="R907">
        <v>281718</v>
      </c>
    </row>
    <row r="908" spans="1:18" x14ac:dyDescent="0.25">
      <c r="A908" s="169">
        <v>44019</v>
      </c>
      <c r="B908" s="115">
        <v>63.466666666666697</v>
      </c>
      <c r="C908" s="115">
        <v>61.675555555555597</v>
      </c>
      <c r="D908" s="115">
        <v>61.453333333333298</v>
      </c>
      <c r="E908" s="115">
        <v>63.1111111111111</v>
      </c>
      <c r="F908" s="115">
        <v>693.85</v>
      </c>
      <c r="G908">
        <v>6383</v>
      </c>
      <c r="H908" s="115"/>
      <c r="I908" s="115"/>
      <c r="L908" s="169">
        <v>44019</v>
      </c>
      <c r="M908" s="115">
        <v>61.702222222222197</v>
      </c>
      <c r="N908" s="115">
        <v>63.64</v>
      </c>
      <c r="O908" s="115">
        <v>61.3333333333333</v>
      </c>
      <c r="P908" s="115">
        <v>63.4311111111111</v>
      </c>
      <c r="Q908" s="115">
        <v>694.15</v>
      </c>
      <c r="R908">
        <v>406049</v>
      </c>
    </row>
    <row r="909" spans="1:18" x14ac:dyDescent="0.25">
      <c r="A909" s="169">
        <v>44020</v>
      </c>
      <c r="B909" s="115">
        <v>62.848888888888901</v>
      </c>
      <c r="C909" s="115">
        <v>60.377777777777801</v>
      </c>
      <c r="D909" s="115">
        <v>60.248888888888899</v>
      </c>
      <c r="E909" s="115">
        <v>61.715555555555603</v>
      </c>
      <c r="F909" s="115">
        <v>679.25</v>
      </c>
      <c r="G909">
        <v>21866</v>
      </c>
      <c r="H909" s="115"/>
      <c r="I909" s="115"/>
      <c r="L909" s="169">
        <v>44020</v>
      </c>
      <c r="M909" s="115">
        <v>60.44</v>
      </c>
      <c r="N909" s="115">
        <v>63.0844444444445</v>
      </c>
      <c r="O909" s="115">
        <v>60.2222222222222</v>
      </c>
      <c r="P909" s="115">
        <v>62.395555555555603</v>
      </c>
      <c r="Q909" s="115">
        <v>679.95</v>
      </c>
      <c r="R909">
        <v>1113762</v>
      </c>
    </row>
    <row r="910" spans="1:18" x14ac:dyDescent="0.25">
      <c r="A910" s="169">
        <v>44021</v>
      </c>
      <c r="B910" s="115">
        <v>62.017777777777802</v>
      </c>
      <c r="C910" s="115">
        <v>61.253333333333302</v>
      </c>
      <c r="D910" s="115">
        <v>60.475555555555601</v>
      </c>
      <c r="E910" s="115">
        <v>61.031111111111102</v>
      </c>
      <c r="F910" s="115">
        <v>689.1</v>
      </c>
      <c r="G910">
        <v>1548</v>
      </c>
      <c r="H910" s="115"/>
      <c r="I910" s="115"/>
      <c r="L910" s="169">
        <v>44021</v>
      </c>
      <c r="M910" s="115">
        <v>61.213333333333303</v>
      </c>
      <c r="N910" s="115">
        <v>62.1111111111111</v>
      </c>
      <c r="O910" s="115">
        <v>60.453333333333298</v>
      </c>
      <c r="P910" s="115">
        <v>60.711111111111101</v>
      </c>
      <c r="Q910" s="115">
        <v>688.65</v>
      </c>
      <c r="R910">
        <v>144015</v>
      </c>
    </row>
    <row r="911" spans="1:18" x14ac:dyDescent="0.25">
      <c r="A911" s="169">
        <v>44022</v>
      </c>
      <c r="B911" s="115">
        <v>62.133333333333297</v>
      </c>
      <c r="C911" s="115">
        <v>60.466666666666697</v>
      </c>
      <c r="D911" s="115">
        <v>60.088888888888903</v>
      </c>
      <c r="E911" s="115">
        <v>60.088888888888903</v>
      </c>
      <c r="F911" s="115">
        <v>680.25</v>
      </c>
      <c r="G911">
        <v>6673</v>
      </c>
      <c r="H911" s="115"/>
      <c r="I911" s="115"/>
      <c r="L911" s="169">
        <v>44022</v>
      </c>
      <c r="M911" s="115">
        <v>60.466666666666697</v>
      </c>
      <c r="N911" s="115">
        <v>62.044444444444402</v>
      </c>
      <c r="O911" s="115">
        <v>60.355555555555597</v>
      </c>
      <c r="P911" s="115">
        <v>61.244444444444397</v>
      </c>
      <c r="Q911" s="115">
        <v>680.25</v>
      </c>
      <c r="R911">
        <v>248044</v>
      </c>
    </row>
    <row r="912" spans="1:18" x14ac:dyDescent="0.25">
      <c r="A912" s="169">
        <v>44025</v>
      </c>
      <c r="B912" s="115">
        <v>61.275555555555599</v>
      </c>
      <c r="C912" s="115">
        <v>60.52</v>
      </c>
      <c r="D912" s="115">
        <v>59.506666666666703</v>
      </c>
      <c r="E912" s="115">
        <v>60.786666666666697</v>
      </c>
      <c r="F912" s="115">
        <v>680.85</v>
      </c>
      <c r="G912">
        <v>4118</v>
      </c>
      <c r="H912" s="115"/>
      <c r="I912" s="115"/>
      <c r="L912" s="169">
        <v>44025</v>
      </c>
      <c r="M912" s="115">
        <v>60.497777777777799</v>
      </c>
      <c r="N912" s="115">
        <v>61.337777777777802</v>
      </c>
      <c r="O912" s="115">
        <v>59.053333333333299</v>
      </c>
      <c r="P912" s="115">
        <v>61.137777777777799</v>
      </c>
      <c r="Q912" s="115">
        <v>680.6</v>
      </c>
      <c r="R912">
        <v>214394</v>
      </c>
    </row>
    <row r="913" spans="1:18" x14ac:dyDescent="0.25">
      <c r="A913" s="169">
        <v>44026</v>
      </c>
      <c r="B913" s="115">
        <v>61.128888888888902</v>
      </c>
      <c r="C913" s="115">
        <v>60.524444444444399</v>
      </c>
      <c r="D913" s="115">
        <v>59.911111111111097</v>
      </c>
      <c r="E913" s="115">
        <v>60.8888888888889</v>
      </c>
      <c r="F913" s="115">
        <v>680.9</v>
      </c>
      <c r="G913">
        <v>15587</v>
      </c>
      <c r="H913" s="115"/>
      <c r="I913" s="115"/>
      <c r="L913" s="169">
        <v>44026</v>
      </c>
      <c r="M913" s="115">
        <v>60.524444444444399</v>
      </c>
      <c r="N913" s="115">
        <v>61.155555555555601</v>
      </c>
      <c r="O913" s="115">
        <v>59.8044444444444</v>
      </c>
      <c r="P913" s="115">
        <v>60.36</v>
      </c>
      <c r="Q913" s="115">
        <v>680.9</v>
      </c>
      <c r="R913">
        <v>310651</v>
      </c>
    </row>
    <row r="914" spans="1:18" x14ac:dyDescent="0.25">
      <c r="A914" s="169">
        <v>44027</v>
      </c>
      <c r="B914" s="115">
        <v>61.008888888888897</v>
      </c>
      <c r="C914" s="115">
        <v>60.751111111111101</v>
      </c>
      <c r="D914" s="115">
        <v>60.231111111111098</v>
      </c>
      <c r="E914" s="115">
        <v>60.76</v>
      </c>
      <c r="F914" s="115">
        <v>683.45</v>
      </c>
      <c r="G914">
        <v>1163</v>
      </c>
      <c r="H914" s="115"/>
      <c r="I914" s="115"/>
      <c r="L914" s="169">
        <v>44027</v>
      </c>
      <c r="M914" s="115">
        <v>60.626666666666701</v>
      </c>
      <c r="N914" s="115">
        <v>61.1111111111111</v>
      </c>
      <c r="O914" s="115">
        <v>60</v>
      </c>
      <c r="P914" s="115">
        <v>60.8888888888889</v>
      </c>
      <c r="Q914" s="115">
        <v>682.05</v>
      </c>
      <c r="R914">
        <v>68717</v>
      </c>
    </row>
    <row r="915" spans="1:18" x14ac:dyDescent="0.25">
      <c r="A915" s="169">
        <v>44028</v>
      </c>
      <c r="B915" s="115">
        <v>61.3333333333333</v>
      </c>
      <c r="C915" s="115">
        <v>61.0133333333333</v>
      </c>
      <c r="D915" s="115">
        <v>58.844444444444399</v>
      </c>
      <c r="E915" s="115">
        <v>60.4444444444444</v>
      </c>
      <c r="F915" s="115">
        <v>686.4</v>
      </c>
      <c r="G915">
        <v>11322</v>
      </c>
      <c r="H915" s="115"/>
      <c r="I915" s="115"/>
      <c r="L915" s="169">
        <v>44028</v>
      </c>
      <c r="M915" s="115">
        <v>61.128888888888902</v>
      </c>
      <c r="N915" s="115">
        <v>61.3333333333333</v>
      </c>
      <c r="O915" s="115">
        <v>58.786666666666697</v>
      </c>
      <c r="P915" s="115">
        <v>60.622222222222199</v>
      </c>
      <c r="Q915" s="115">
        <v>687.7</v>
      </c>
      <c r="R915">
        <v>259795</v>
      </c>
    </row>
    <row r="916" spans="1:18" x14ac:dyDescent="0.25">
      <c r="A916" s="169">
        <v>44029</v>
      </c>
      <c r="B916" s="115">
        <v>61.862222222222201</v>
      </c>
      <c r="C916" s="115">
        <v>61.4311111111111</v>
      </c>
      <c r="D916" s="115">
        <v>60.4444444444444</v>
      </c>
      <c r="E916" s="115">
        <v>60.897777777777797</v>
      </c>
      <c r="F916" s="115">
        <v>691.1</v>
      </c>
      <c r="G916">
        <v>3163</v>
      </c>
      <c r="H916" s="115"/>
      <c r="I916" s="115"/>
      <c r="L916" s="169">
        <v>44029</v>
      </c>
      <c r="M916" s="115">
        <v>61.377777777777801</v>
      </c>
      <c r="N916" s="115">
        <v>61.937777777777796</v>
      </c>
      <c r="O916" s="115">
        <v>60.373333333333299</v>
      </c>
      <c r="P916" s="115">
        <v>61.155555555555601</v>
      </c>
      <c r="Q916" s="115">
        <v>690.5</v>
      </c>
      <c r="R916">
        <v>140756</v>
      </c>
    </row>
    <row r="917" spans="1:18" x14ac:dyDescent="0.25">
      <c r="A917" s="169">
        <v>44032</v>
      </c>
      <c r="B917" s="115">
        <v>63.1111111111111</v>
      </c>
      <c r="C917" s="115">
        <v>62.826666666666704</v>
      </c>
      <c r="D917" s="115">
        <v>61.422222222222203</v>
      </c>
      <c r="E917" s="115">
        <v>61.422222222222203</v>
      </c>
      <c r="F917" s="115">
        <v>706.8</v>
      </c>
      <c r="G917">
        <v>15579</v>
      </c>
      <c r="H917" s="115"/>
      <c r="I917" s="115"/>
      <c r="L917" s="169">
        <v>44032</v>
      </c>
      <c r="M917" s="115">
        <v>62.88</v>
      </c>
      <c r="N917" s="115">
        <v>63.1111111111111</v>
      </c>
      <c r="O917" s="115">
        <v>61.435555555555602</v>
      </c>
      <c r="P917" s="115">
        <v>61.435555555555602</v>
      </c>
      <c r="Q917" s="115">
        <v>707.4</v>
      </c>
      <c r="R917">
        <v>188836</v>
      </c>
    </row>
    <row r="918" spans="1:18" x14ac:dyDescent="0.25">
      <c r="A918" s="169">
        <v>44033</v>
      </c>
      <c r="B918" s="115">
        <v>64.782222222222202</v>
      </c>
      <c r="C918" s="115">
        <v>63.493333333333297</v>
      </c>
      <c r="D918" s="115">
        <v>62.266666666666701</v>
      </c>
      <c r="E918" s="115">
        <v>62.266666666666701</v>
      </c>
      <c r="F918" s="115">
        <v>714.3</v>
      </c>
      <c r="G918">
        <v>5189</v>
      </c>
      <c r="H918" s="115"/>
      <c r="I918" s="115"/>
      <c r="L918" s="169">
        <v>44033</v>
      </c>
      <c r="M918" s="115">
        <v>63.591111111111097</v>
      </c>
      <c r="N918" s="115">
        <v>64.813333333333304</v>
      </c>
      <c r="O918" s="115">
        <v>62.817777777777799</v>
      </c>
      <c r="P918" s="115">
        <v>63.466666666666697</v>
      </c>
      <c r="Q918" s="115">
        <v>715.4</v>
      </c>
      <c r="R918">
        <v>217700</v>
      </c>
    </row>
    <row r="919" spans="1:18" x14ac:dyDescent="0.25">
      <c r="A919" s="169">
        <v>44034</v>
      </c>
      <c r="B919" s="115">
        <v>65.155555555555594</v>
      </c>
      <c r="C919" s="115">
        <v>63.44</v>
      </c>
      <c r="D919" s="115">
        <v>62.982222222222198</v>
      </c>
      <c r="E919" s="115">
        <v>65.155555555555594</v>
      </c>
      <c r="F919" s="115">
        <v>713.7</v>
      </c>
      <c r="G919">
        <v>3305</v>
      </c>
      <c r="H919" s="115"/>
      <c r="I919" s="115"/>
      <c r="L919" s="169">
        <v>44034</v>
      </c>
      <c r="M919" s="115">
        <v>63.4577777777778</v>
      </c>
      <c r="N919" s="115">
        <v>65.066666666666706</v>
      </c>
      <c r="O919" s="115">
        <v>62.942222222222199</v>
      </c>
      <c r="P919" s="115">
        <v>64</v>
      </c>
      <c r="Q919" s="115">
        <v>713.9</v>
      </c>
      <c r="R919">
        <v>509063</v>
      </c>
    </row>
    <row r="920" spans="1:18" x14ac:dyDescent="0.25">
      <c r="A920" s="169">
        <v>44035</v>
      </c>
      <c r="B920" s="115">
        <v>63.822222222222202</v>
      </c>
      <c r="C920" s="115">
        <v>62.3333333333333</v>
      </c>
      <c r="D920" s="115">
        <v>61.942222222222199</v>
      </c>
      <c r="E920" s="115">
        <v>63.5555555555556</v>
      </c>
      <c r="F920" s="115">
        <v>701.25</v>
      </c>
      <c r="G920">
        <v>2042</v>
      </c>
      <c r="H920" s="115"/>
      <c r="I920" s="115"/>
      <c r="L920" s="169">
        <v>44035</v>
      </c>
      <c r="M920" s="115">
        <v>62.288888888888899</v>
      </c>
      <c r="N920" s="115">
        <v>64.266666666666694</v>
      </c>
      <c r="O920" s="115">
        <v>61.7777777777778</v>
      </c>
      <c r="P920" s="115">
        <v>63.288888888888899</v>
      </c>
      <c r="Q920" s="115">
        <v>700.75</v>
      </c>
      <c r="R920">
        <v>167014</v>
      </c>
    </row>
    <row r="921" spans="1:18" x14ac:dyDescent="0.25">
      <c r="A921" s="169">
        <v>44036</v>
      </c>
      <c r="B921" s="115">
        <v>63.062222222222204</v>
      </c>
      <c r="C921" s="115">
        <v>61.817777777777799</v>
      </c>
      <c r="D921" s="115">
        <v>61.177777777777798</v>
      </c>
      <c r="E921" s="115">
        <v>61.564444444444398</v>
      </c>
      <c r="F921" s="115">
        <v>695.45</v>
      </c>
      <c r="G921">
        <v>5754</v>
      </c>
      <c r="H921" s="115"/>
      <c r="I921" s="115"/>
      <c r="L921" s="169">
        <v>44036</v>
      </c>
      <c r="M921" s="115">
        <v>61.813333333333297</v>
      </c>
      <c r="N921" s="115">
        <v>63.022222222222197</v>
      </c>
      <c r="O921" s="115">
        <v>61.2088888888889</v>
      </c>
      <c r="P921" s="115">
        <v>62.2222222222222</v>
      </c>
      <c r="Q921" s="115">
        <v>695.4</v>
      </c>
      <c r="R921">
        <v>375332</v>
      </c>
    </row>
    <row r="922" spans="1:18" x14ac:dyDescent="0.25">
      <c r="A922" s="169">
        <v>44039</v>
      </c>
      <c r="B922" s="115">
        <v>61.968888888888898</v>
      </c>
      <c r="C922" s="115">
        <v>61.044444444444402</v>
      </c>
      <c r="D922" s="115">
        <v>60.7777777777778</v>
      </c>
      <c r="E922" s="115">
        <v>61.7777777777778</v>
      </c>
      <c r="F922" s="115">
        <v>686.75</v>
      </c>
      <c r="G922">
        <v>3921</v>
      </c>
      <c r="H922" s="115"/>
      <c r="I922" s="115"/>
      <c r="L922" s="169">
        <v>44039</v>
      </c>
      <c r="M922" s="115">
        <v>61.0133333333333</v>
      </c>
      <c r="N922" s="115">
        <v>62.115555555555602</v>
      </c>
      <c r="O922" s="115">
        <v>60.8888888888889</v>
      </c>
      <c r="P922" s="115">
        <v>61.955555555555598</v>
      </c>
      <c r="Q922" s="115">
        <v>686.4</v>
      </c>
      <c r="R922">
        <v>93586</v>
      </c>
    </row>
    <row r="923" spans="1:18" x14ac:dyDescent="0.25">
      <c r="A923" s="169">
        <v>44040</v>
      </c>
      <c r="B923" s="115">
        <v>62.844444444444399</v>
      </c>
      <c r="C923" s="115">
        <v>62.4177777777778</v>
      </c>
      <c r="D923" s="115">
        <v>60.96</v>
      </c>
      <c r="E923" s="115">
        <v>61.328888888888898</v>
      </c>
      <c r="F923" s="115">
        <v>702.2</v>
      </c>
      <c r="G923">
        <v>5193</v>
      </c>
      <c r="H923" s="115"/>
      <c r="I923" s="115"/>
      <c r="L923" s="169">
        <v>44040</v>
      </c>
      <c r="M923" s="115">
        <v>62.373333333333299</v>
      </c>
      <c r="N923" s="115">
        <v>63.004444444444403</v>
      </c>
      <c r="O923" s="115">
        <v>60.977777777777803</v>
      </c>
      <c r="P923" s="115">
        <v>61.155555555555601</v>
      </c>
      <c r="Q923" s="115">
        <v>701.7</v>
      </c>
      <c r="R923">
        <v>368473</v>
      </c>
    </row>
    <row r="924" spans="1:18" x14ac:dyDescent="0.25">
      <c r="A924" s="169">
        <v>44041</v>
      </c>
      <c r="B924" s="115">
        <v>63.271111111111097</v>
      </c>
      <c r="C924" s="115">
        <v>61.937777777777796</v>
      </c>
      <c r="D924" s="115">
        <v>61.422222222222203</v>
      </c>
      <c r="E924" s="115">
        <v>63.1111111111111</v>
      </c>
      <c r="F924" s="115">
        <v>696.8</v>
      </c>
      <c r="G924">
        <v>7437</v>
      </c>
      <c r="H924" s="115"/>
      <c r="I924" s="115"/>
      <c r="L924" s="169">
        <v>44041</v>
      </c>
      <c r="M924" s="115">
        <v>61.933333333333302</v>
      </c>
      <c r="N924" s="115">
        <v>63.382222222222197</v>
      </c>
      <c r="O924" s="115">
        <v>61.351111111111102</v>
      </c>
      <c r="P924" s="115">
        <v>62.968888888888898</v>
      </c>
      <c r="Q924" s="115">
        <v>696.75</v>
      </c>
      <c r="R924">
        <v>264256</v>
      </c>
    </row>
    <row r="925" spans="1:18" x14ac:dyDescent="0.25">
      <c r="A925" s="169">
        <v>44042</v>
      </c>
      <c r="B925" s="115">
        <v>62.933333333333302</v>
      </c>
      <c r="C925" s="115">
        <v>60.808888888888902</v>
      </c>
      <c r="D925" s="115">
        <v>60.4444444444444</v>
      </c>
      <c r="E925" s="115">
        <v>62.933333333333302</v>
      </c>
      <c r="F925" s="115">
        <v>684.1</v>
      </c>
      <c r="G925">
        <v>6217</v>
      </c>
      <c r="H925" s="115"/>
      <c r="I925" s="115"/>
      <c r="L925" s="169">
        <v>44042</v>
      </c>
      <c r="M925" s="115">
        <v>60.688888888888897</v>
      </c>
      <c r="N925" s="115">
        <v>62.9022222222222</v>
      </c>
      <c r="O925" s="115">
        <v>60.351111111111102</v>
      </c>
      <c r="P925" s="115">
        <v>62.391111111111101</v>
      </c>
      <c r="Q925" s="115">
        <v>682.75</v>
      </c>
      <c r="R925">
        <v>149644</v>
      </c>
    </row>
    <row r="926" spans="1:18" x14ac:dyDescent="0.25">
      <c r="A926" s="169">
        <v>44043</v>
      </c>
      <c r="B926" s="115">
        <v>63.426666666666698</v>
      </c>
      <c r="C926" s="115">
        <v>62.893333333333302</v>
      </c>
      <c r="D926" s="115">
        <v>60.4444444444444</v>
      </c>
      <c r="E926" s="115">
        <v>60.4444444444444</v>
      </c>
      <c r="F926" s="115">
        <v>707.55</v>
      </c>
      <c r="G926">
        <v>108158</v>
      </c>
      <c r="H926" s="115"/>
      <c r="I926" s="115"/>
      <c r="L926" s="169">
        <v>44043</v>
      </c>
      <c r="M926" s="115">
        <v>62.942222222222199</v>
      </c>
      <c r="N926" s="115">
        <v>63.502222222222201</v>
      </c>
      <c r="O926" s="115">
        <v>61.253333333333302</v>
      </c>
      <c r="P926" s="115">
        <v>61.253333333333302</v>
      </c>
      <c r="Q926" s="115">
        <v>708.1</v>
      </c>
      <c r="R926">
        <v>187253</v>
      </c>
    </row>
    <row r="927" spans="1:18" x14ac:dyDescent="0.25">
      <c r="A927" s="169">
        <v>44046</v>
      </c>
      <c r="B927" s="115">
        <v>63.031111111111102</v>
      </c>
      <c r="C927" s="115">
        <v>60.831111111111099</v>
      </c>
      <c r="D927" s="115">
        <v>60.493333333333297</v>
      </c>
      <c r="E927" s="115">
        <v>63.031111111111102</v>
      </c>
      <c r="F927" s="115">
        <v>684.35</v>
      </c>
      <c r="G927">
        <v>2800</v>
      </c>
      <c r="H927" s="115"/>
      <c r="I927" s="115"/>
      <c r="L927" s="169">
        <v>44046</v>
      </c>
      <c r="M927" s="115">
        <v>60.782222222222202</v>
      </c>
      <c r="N927" s="115">
        <v>63.253333333333302</v>
      </c>
      <c r="O927" s="115">
        <v>60.4444444444444</v>
      </c>
      <c r="P927" s="115">
        <v>63.253333333333302</v>
      </c>
      <c r="Q927" s="115">
        <v>683.8</v>
      </c>
      <c r="R927">
        <v>228329</v>
      </c>
    </row>
    <row r="928" spans="1:18" x14ac:dyDescent="0.25">
      <c r="A928" s="169">
        <v>44047</v>
      </c>
      <c r="B928" s="115">
        <v>64.266666666666694</v>
      </c>
      <c r="C928" s="115">
        <v>63.608888888888899</v>
      </c>
      <c r="D928" s="115">
        <v>60.844444444444399</v>
      </c>
      <c r="E928" s="115">
        <v>61.3333333333333</v>
      </c>
      <c r="F928" s="115">
        <v>715.6</v>
      </c>
      <c r="G928">
        <v>30263</v>
      </c>
      <c r="H928" s="115"/>
      <c r="I928" s="115"/>
      <c r="L928" s="169">
        <v>44047</v>
      </c>
      <c r="M928" s="115">
        <v>63.6533333333333</v>
      </c>
      <c r="N928" s="115">
        <v>64.351111111111095</v>
      </c>
      <c r="O928" s="115">
        <v>60.711111111111101</v>
      </c>
      <c r="P928" s="115">
        <v>61.684444444444502</v>
      </c>
      <c r="Q928" s="115">
        <v>716.1</v>
      </c>
      <c r="R928">
        <v>777394</v>
      </c>
    </row>
    <row r="929" spans="1:18" x14ac:dyDescent="0.25">
      <c r="A929" s="169">
        <v>44048</v>
      </c>
      <c r="B929" s="115">
        <v>66.844444444444406</v>
      </c>
      <c r="C929" s="115">
        <v>66.497777777777799</v>
      </c>
      <c r="D929" s="115">
        <v>64.4444444444444</v>
      </c>
      <c r="E929" s="115">
        <v>65.244444444444397</v>
      </c>
      <c r="F929" s="115">
        <v>748.1</v>
      </c>
      <c r="G929">
        <v>17039</v>
      </c>
      <c r="H929" s="115"/>
      <c r="I929" s="115"/>
      <c r="L929" s="169">
        <v>44048</v>
      </c>
      <c r="M929" s="115">
        <v>66.431111111111093</v>
      </c>
      <c r="N929" s="115">
        <v>66.844444444444406</v>
      </c>
      <c r="O929" s="115">
        <v>64.088888888888903</v>
      </c>
      <c r="P929" s="115">
        <v>64.622222222222206</v>
      </c>
      <c r="Q929" s="115">
        <v>747.35</v>
      </c>
      <c r="R929">
        <v>581919</v>
      </c>
    </row>
    <row r="930" spans="1:18" x14ac:dyDescent="0.25">
      <c r="A930" s="169">
        <v>44049</v>
      </c>
      <c r="B930" s="115">
        <v>70.844444444444406</v>
      </c>
      <c r="C930" s="115">
        <v>70.1955555555556</v>
      </c>
      <c r="D930" s="115">
        <v>66.528888888888901</v>
      </c>
      <c r="E930" s="115">
        <v>67.377777777777794</v>
      </c>
      <c r="F930" s="115">
        <v>789.7</v>
      </c>
      <c r="G930">
        <v>29136</v>
      </c>
      <c r="H930" s="115"/>
      <c r="I930" s="115"/>
      <c r="L930" s="169">
        <v>44049</v>
      </c>
      <c r="M930" s="115">
        <v>70.066666666666706</v>
      </c>
      <c r="N930" s="115">
        <v>70.826666666666696</v>
      </c>
      <c r="O930" s="115">
        <v>66.6666666666667</v>
      </c>
      <c r="P930" s="115">
        <v>67.368888888888904</v>
      </c>
      <c r="Q930" s="115">
        <v>788.25</v>
      </c>
      <c r="R930">
        <v>463776</v>
      </c>
    </row>
    <row r="931" spans="1:18" x14ac:dyDescent="0.25">
      <c r="A931" s="169">
        <v>44050</v>
      </c>
      <c r="B931" s="115">
        <v>69.959999999999994</v>
      </c>
      <c r="C931" s="115">
        <v>66.133333333333297</v>
      </c>
      <c r="D931" s="115">
        <v>65.599999999999994</v>
      </c>
      <c r="E931" s="115">
        <v>67.1111111111111</v>
      </c>
      <c r="F931" s="115">
        <v>744</v>
      </c>
      <c r="G931">
        <v>24373</v>
      </c>
      <c r="H931" s="115"/>
      <c r="I931" s="115"/>
      <c r="L931" s="169">
        <v>44050</v>
      </c>
      <c r="M931" s="115">
        <v>66.231111111111105</v>
      </c>
      <c r="N931" s="115">
        <v>69.955555555555506</v>
      </c>
      <c r="O931" s="115">
        <v>65.617777777777803</v>
      </c>
      <c r="P931" s="115">
        <v>69.955555555555506</v>
      </c>
      <c r="Q931" s="115">
        <v>745.1</v>
      </c>
      <c r="R931">
        <v>254655</v>
      </c>
    </row>
    <row r="932" spans="1:18" x14ac:dyDescent="0.25">
      <c r="A932" s="169">
        <v>44053</v>
      </c>
      <c r="B932" s="115">
        <v>66.844444444444406</v>
      </c>
      <c r="C932" s="115">
        <v>65.875555555555593</v>
      </c>
      <c r="D932" s="115">
        <v>65.72</v>
      </c>
      <c r="E932" s="115">
        <v>66.400000000000006</v>
      </c>
      <c r="F932" s="115">
        <v>741.1</v>
      </c>
      <c r="G932">
        <v>4277</v>
      </c>
      <c r="H932" s="115"/>
      <c r="I932" s="115"/>
      <c r="L932" s="169">
        <v>44053</v>
      </c>
      <c r="M932" s="115">
        <v>65.955555555555506</v>
      </c>
      <c r="N932" s="115">
        <v>67.008888888888904</v>
      </c>
      <c r="O932" s="115">
        <v>65.6666666666667</v>
      </c>
      <c r="P932" s="115">
        <v>67.008888888888904</v>
      </c>
      <c r="Q932" s="115">
        <v>742</v>
      </c>
      <c r="R932">
        <v>179938</v>
      </c>
    </row>
    <row r="933" spans="1:18" x14ac:dyDescent="0.25">
      <c r="A933" s="169">
        <v>44054</v>
      </c>
      <c r="B933" s="115">
        <v>67.3066666666667</v>
      </c>
      <c r="C933" s="115">
        <v>66.035555555555504</v>
      </c>
      <c r="D933" s="115">
        <v>65.671111111111102</v>
      </c>
      <c r="E933" s="115">
        <v>66.6666666666667</v>
      </c>
      <c r="F933" s="115">
        <v>742.9</v>
      </c>
      <c r="G933">
        <v>3217</v>
      </c>
      <c r="H933" s="115"/>
      <c r="I933" s="115"/>
      <c r="L933" s="169">
        <v>44054</v>
      </c>
      <c r="M933" s="115">
        <v>65.813333333333304</v>
      </c>
      <c r="N933" s="115">
        <v>67.391111111111101</v>
      </c>
      <c r="O933" s="115">
        <v>65.617777777777803</v>
      </c>
      <c r="P933" s="115">
        <v>66.6666666666667</v>
      </c>
      <c r="Q933" s="115">
        <v>740.4</v>
      </c>
      <c r="R933">
        <v>201544</v>
      </c>
    </row>
    <row r="934" spans="1:18" x14ac:dyDescent="0.25">
      <c r="A934" s="169">
        <v>44055</v>
      </c>
      <c r="B934" s="115">
        <v>66.977777777777803</v>
      </c>
      <c r="C934" s="115">
        <v>65.408888888888896</v>
      </c>
      <c r="D934" s="115">
        <v>65.319999999999993</v>
      </c>
      <c r="E934" s="115">
        <v>65.706666666666706</v>
      </c>
      <c r="F934" s="115">
        <v>735.85</v>
      </c>
      <c r="G934">
        <v>7844</v>
      </c>
      <c r="H934" s="115"/>
      <c r="I934" s="115"/>
      <c r="L934" s="169">
        <v>44055</v>
      </c>
      <c r="M934" s="115">
        <v>65.435555555555595</v>
      </c>
      <c r="N934" s="115">
        <v>66.982222222222205</v>
      </c>
      <c r="O934" s="115">
        <v>65.3333333333333</v>
      </c>
      <c r="P934" s="115">
        <v>65.599999999999994</v>
      </c>
      <c r="Q934" s="115">
        <v>736.15</v>
      </c>
      <c r="R934">
        <v>102674</v>
      </c>
    </row>
    <row r="935" spans="1:18" x14ac:dyDescent="0.25">
      <c r="A935" s="169">
        <v>44056</v>
      </c>
      <c r="B935" s="115">
        <v>68.973333333333301</v>
      </c>
      <c r="C935" s="115">
        <v>68.671111111111102</v>
      </c>
      <c r="D935" s="115">
        <v>65.924444444444404</v>
      </c>
      <c r="E935" s="115">
        <v>66.377777777777794</v>
      </c>
      <c r="F935" s="115">
        <v>772.55</v>
      </c>
      <c r="G935">
        <v>10397</v>
      </c>
      <c r="H935" s="115"/>
      <c r="I935" s="115"/>
      <c r="L935" s="169">
        <v>44056</v>
      </c>
      <c r="M935" s="115">
        <v>68.506666666666703</v>
      </c>
      <c r="N935" s="115">
        <v>68.8888888888889</v>
      </c>
      <c r="O935" s="115">
        <v>65.7777777777778</v>
      </c>
      <c r="P935" s="115">
        <v>65.7777777777778</v>
      </c>
      <c r="Q935" s="115">
        <v>770.7</v>
      </c>
      <c r="R935">
        <v>241331</v>
      </c>
    </row>
    <row r="936" spans="1:18" x14ac:dyDescent="0.25">
      <c r="A936" s="169">
        <v>44057</v>
      </c>
      <c r="B936" s="115">
        <v>70.133333333333297</v>
      </c>
      <c r="C936" s="115">
        <v>67.884444444444497</v>
      </c>
      <c r="D936" s="115">
        <v>67.5555555555556</v>
      </c>
      <c r="E936" s="115">
        <v>68.573333333333295</v>
      </c>
      <c r="F936" s="115">
        <v>763.7</v>
      </c>
      <c r="G936">
        <v>13031</v>
      </c>
      <c r="H936" s="115"/>
      <c r="I936" s="115"/>
      <c r="L936" s="169">
        <v>44057</v>
      </c>
      <c r="M936" s="115">
        <v>68.044444444444494</v>
      </c>
      <c r="N936" s="115">
        <v>70.217777777777798</v>
      </c>
      <c r="O936" s="115">
        <v>67.5555555555556</v>
      </c>
      <c r="P936" s="115">
        <v>68.88</v>
      </c>
      <c r="Q936" s="115">
        <v>765.5</v>
      </c>
      <c r="R936">
        <v>149746</v>
      </c>
    </row>
    <row r="937" spans="1:18" x14ac:dyDescent="0.25">
      <c r="A937" s="169">
        <v>44060</v>
      </c>
      <c r="B937" s="115">
        <v>69.831111111111099</v>
      </c>
      <c r="C937" s="115">
        <v>69.319999999999993</v>
      </c>
      <c r="D937" s="115">
        <v>67.844444444444406</v>
      </c>
      <c r="E937" s="115">
        <v>68.093333333333305</v>
      </c>
      <c r="F937" s="115">
        <v>779.85</v>
      </c>
      <c r="G937">
        <v>4441</v>
      </c>
      <c r="H937" s="115"/>
      <c r="I937" s="115"/>
      <c r="L937" s="169">
        <v>44060</v>
      </c>
      <c r="M937" s="115">
        <v>69.3333333333333</v>
      </c>
      <c r="N937" s="115">
        <v>69.7777777777778</v>
      </c>
      <c r="O937" s="115">
        <v>67.537777777777805</v>
      </c>
      <c r="P937" s="115">
        <v>69.013333333333307</v>
      </c>
      <c r="Q937" s="115">
        <v>780</v>
      </c>
      <c r="R937">
        <v>137921</v>
      </c>
    </row>
    <row r="938" spans="1:18" x14ac:dyDescent="0.25">
      <c r="A938" s="169">
        <v>44061</v>
      </c>
      <c r="B938" s="115">
        <v>69.7777777777778</v>
      </c>
      <c r="C938" s="115">
        <v>69.382222222222197</v>
      </c>
      <c r="D938" s="115">
        <v>68.773333333333298</v>
      </c>
      <c r="E938" s="115">
        <v>69.462222222222195</v>
      </c>
      <c r="F938" s="115">
        <v>780.55</v>
      </c>
      <c r="G938">
        <v>3084</v>
      </c>
      <c r="H938" s="115"/>
      <c r="I938" s="115"/>
      <c r="L938" s="169">
        <v>44061</v>
      </c>
      <c r="M938" s="115">
        <v>69.351111111111095</v>
      </c>
      <c r="N938" s="115">
        <v>69.911111111111097</v>
      </c>
      <c r="O938" s="115">
        <v>68.266666666666694</v>
      </c>
      <c r="P938" s="115">
        <v>69.755555555555603</v>
      </c>
      <c r="Q938" s="115">
        <v>780.2</v>
      </c>
      <c r="R938">
        <v>170286</v>
      </c>
    </row>
    <row r="939" spans="1:18" x14ac:dyDescent="0.25">
      <c r="A939" s="169">
        <v>44062</v>
      </c>
      <c r="B939" s="115">
        <v>69.911111111111097</v>
      </c>
      <c r="C939" s="115">
        <v>66.746666666666698</v>
      </c>
      <c r="D939" s="115">
        <v>66.284444444444404</v>
      </c>
      <c r="E939" s="115">
        <v>69.382222222222197</v>
      </c>
      <c r="F939" s="115">
        <v>750.9</v>
      </c>
      <c r="G939">
        <v>10247</v>
      </c>
      <c r="H939" s="115"/>
      <c r="I939" s="115"/>
      <c r="L939" s="169">
        <v>44062</v>
      </c>
      <c r="M939" s="115">
        <v>66.728888888888903</v>
      </c>
      <c r="N939" s="115">
        <v>69.955555555555506</v>
      </c>
      <c r="O939" s="115">
        <v>66.226666666666702</v>
      </c>
      <c r="P939" s="115">
        <v>69.155555555555594</v>
      </c>
      <c r="Q939" s="115">
        <v>750.7</v>
      </c>
      <c r="R939">
        <v>287342</v>
      </c>
    </row>
    <row r="940" spans="1:18" x14ac:dyDescent="0.25">
      <c r="A940" s="169">
        <v>44063</v>
      </c>
      <c r="B940" s="115">
        <v>68.053333333333299</v>
      </c>
      <c r="C940" s="115">
        <v>66.484444444444406</v>
      </c>
      <c r="D940" s="115">
        <v>66.311111111111103</v>
      </c>
      <c r="E940" s="115">
        <v>66.311111111111103</v>
      </c>
      <c r="F940" s="115">
        <v>747.95</v>
      </c>
      <c r="G940">
        <v>13297</v>
      </c>
      <c r="H940" s="115"/>
      <c r="I940" s="115"/>
      <c r="L940" s="169">
        <v>44063</v>
      </c>
      <c r="M940" s="115">
        <v>66.524444444444399</v>
      </c>
      <c r="N940" s="115">
        <v>68.173333333333304</v>
      </c>
      <c r="O940" s="115">
        <v>66.315555555555505</v>
      </c>
      <c r="P940" s="115">
        <v>66.835555555555601</v>
      </c>
      <c r="Q940" s="115">
        <v>748.4</v>
      </c>
      <c r="R940">
        <v>166038</v>
      </c>
    </row>
    <row r="941" spans="1:18" x14ac:dyDescent="0.25">
      <c r="A941" s="169">
        <v>44064</v>
      </c>
      <c r="B941" s="115">
        <v>68</v>
      </c>
      <c r="C941" s="115">
        <v>66.622222222222206</v>
      </c>
      <c r="D941" s="115">
        <v>66.386666666666699</v>
      </c>
      <c r="E941" s="115">
        <v>67.1111111111111</v>
      </c>
      <c r="F941" s="115">
        <v>749.5</v>
      </c>
      <c r="G941">
        <v>2350</v>
      </c>
      <c r="H941" s="115"/>
      <c r="I941" s="115"/>
      <c r="L941" s="169">
        <v>44064</v>
      </c>
      <c r="M941" s="115">
        <v>66.675555555555604</v>
      </c>
      <c r="N941" s="115">
        <v>68.168888888888901</v>
      </c>
      <c r="O941" s="115">
        <v>66.302222222222198</v>
      </c>
      <c r="P941" s="115">
        <v>67.426666666666705</v>
      </c>
      <c r="Q941" s="115">
        <v>750.1</v>
      </c>
      <c r="R941">
        <v>112994</v>
      </c>
    </row>
    <row r="942" spans="1:18" x14ac:dyDescent="0.25">
      <c r="A942" s="169">
        <v>44067</v>
      </c>
      <c r="B942" s="115">
        <v>69.471111111111099</v>
      </c>
      <c r="C942" s="115">
        <v>68.284444444444404</v>
      </c>
      <c r="D942" s="115">
        <v>67.319999999999993</v>
      </c>
      <c r="E942" s="115">
        <v>67.822222222222194</v>
      </c>
      <c r="F942" s="115">
        <v>768.2</v>
      </c>
      <c r="G942">
        <v>5925</v>
      </c>
      <c r="H942" s="115"/>
      <c r="I942" s="115"/>
      <c r="L942" s="169">
        <v>44067</v>
      </c>
      <c r="M942" s="115">
        <v>68.302222222222198</v>
      </c>
      <c r="N942" s="115">
        <v>69.422222222222203</v>
      </c>
      <c r="O942" s="115">
        <v>67.084444444444401</v>
      </c>
      <c r="P942" s="115">
        <v>67.084444444444401</v>
      </c>
      <c r="Q942" s="115">
        <v>768.4</v>
      </c>
      <c r="R942">
        <v>297734</v>
      </c>
    </row>
    <row r="943" spans="1:18" x14ac:dyDescent="0.25">
      <c r="A943" s="169">
        <v>44068</v>
      </c>
      <c r="B943" s="115">
        <v>68.817777777777806</v>
      </c>
      <c r="C943" s="115">
        <v>67.72</v>
      </c>
      <c r="D943" s="115">
        <v>67.2</v>
      </c>
      <c r="E943" s="115">
        <v>68.608888888888899</v>
      </c>
      <c r="F943" s="115">
        <v>761.85</v>
      </c>
      <c r="G943">
        <v>2808</v>
      </c>
      <c r="H943" s="115"/>
      <c r="I943" s="115"/>
      <c r="L943" s="169">
        <v>44068</v>
      </c>
      <c r="M943" s="115">
        <v>67.764444444444507</v>
      </c>
      <c r="N943" s="115">
        <v>69.155555555555594</v>
      </c>
      <c r="O943" s="115">
        <v>67.137777777777799</v>
      </c>
      <c r="P943" s="115">
        <v>69.155555555555594</v>
      </c>
      <c r="Q943" s="115">
        <v>762.35</v>
      </c>
      <c r="R943">
        <v>162502</v>
      </c>
    </row>
    <row r="944" spans="1:18" x14ac:dyDescent="0.25">
      <c r="A944" s="169">
        <v>44069</v>
      </c>
      <c r="B944" s="115">
        <v>69.991111111111096</v>
      </c>
      <c r="C944" s="115">
        <v>68.1111111111111</v>
      </c>
      <c r="D944" s="115">
        <v>67.457777777777807</v>
      </c>
      <c r="E944" s="115">
        <v>68.4444444444444</v>
      </c>
      <c r="F944" s="115">
        <v>766.25</v>
      </c>
      <c r="G944">
        <v>8211</v>
      </c>
      <c r="H944" s="115"/>
      <c r="I944" s="115"/>
      <c r="L944" s="169">
        <v>44069</v>
      </c>
      <c r="M944" s="115">
        <v>68.182222222222194</v>
      </c>
      <c r="N944" s="115">
        <v>70.088888888888903</v>
      </c>
      <c r="O944" s="115">
        <v>67.466666666666697</v>
      </c>
      <c r="P944" s="115">
        <v>67.746666666666698</v>
      </c>
      <c r="Q944" s="115">
        <v>767.05</v>
      </c>
      <c r="R944">
        <v>316937</v>
      </c>
    </row>
    <row r="945" spans="1:18" x14ac:dyDescent="0.25">
      <c r="A945" s="169">
        <v>44070</v>
      </c>
      <c r="B945" s="115">
        <v>68.662222222222198</v>
      </c>
      <c r="C945" s="115">
        <v>67.635555555555598</v>
      </c>
      <c r="D945" s="115">
        <v>67.128888888888895</v>
      </c>
      <c r="E945" s="115">
        <v>68.506666666666703</v>
      </c>
      <c r="F945" s="115">
        <v>760.9</v>
      </c>
      <c r="G945">
        <v>2734</v>
      </c>
      <c r="H945" s="115"/>
      <c r="I945" s="115"/>
      <c r="L945" s="169">
        <v>44070</v>
      </c>
      <c r="M945" s="115">
        <v>67.595555555555606</v>
      </c>
      <c r="N945" s="115">
        <v>68.768888888888895</v>
      </c>
      <c r="O945" s="115">
        <v>67.1111111111111</v>
      </c>
      <c r="P945" s="115">
        <v>68.355555555555597</v>
      </c>
      <c r="Q945" s="115">
        <v>760.45</v>
      </c>
      <c r="R945">
        <v>120061</v>
      </c>
    </row>
    <row r="946" spans="1:18" x14ac:dyDescent="0.25">
      <c r="A946" s="169">
        <v>44071</v>
      </c>
      <c r="B946" s="115">
        <v>68.177777777777806</v>
      </c>
      <c r="C946" s="115">
        <v>66.946666666666701</v>
      </c>
      <c r="D946" s="115">
        <v>66.297777777777796</v>
      </c>
      <c r="E946" s="115">
        <v>68.177777777777806</v>
      </c>
      <c r="F946" s="115">
        <v>753.15</v>
      </c>
      <c r="G946">
        <v>8592</v>
      </c>
      <c r="H946" s="115"/>
      <c r="I946" s="115"/>
      <c r="L946" s="169">
        <v>44071</v>
      </c>
      <c r="M946" s="115">
        <v>67.044444444444494</v>
      </c>
      <c r="N946" s="115">
        <v>67.973333333333301</v>
      </c>
      <c r="O946" s="115">
        <v>66.2222222222222</v>
      </c>
      <c r="P946" s="115">
        <v>67.733333333333306</v>
      </c>
      <c r="Q946" s="115">
        <v>754.25</v>
      </c>
      <c r="R946">
        <v>164070</v>
      </c>
    </row>
    <row r="947" spans="1:18" x14ac:dyDescent="0.25">
      <c r="A947" s="169">
        <v>44074</v>
      </c>
      <c r="B947" s="115">
        <v>67.1111111111111</v>
      </c>
      <c r="C947" s="115">
        <v>65.431111111111093</v>
      </c>
      <c r="D947" s="115">
        <v>61.4577777777778</v>
      </c>
      <c r="E947" s="115">
        <v>67.1111111111111</v>
      </c>
      <c r="F947" s="115">
        <v>736.1</v>
      </c>
      <c r="G947">
        <v>6227</v>
      </c>
      <c r="H947" s="115"/>
      <c r="I947" s="115"/>
      <c r="L947" s="169">
        <v>44074</v>
      </c>
      <c r="M947" s="115">
        <v>65.422222222222203</v>
      </c>
      <c r="N947" s="115">
        <v>67.28</v>
      </c>
      <c r="O947" s="115">
        <v>61.386666666666699</v>
      </c>
      <c r="P947" s="115">
        <v>67.1111111111111</v>
      </c>
      <c r="Q947" s="115">
        <v>736</v>
      </c>
      <c r="R947">
        <v>214955</v>
      </c>
    </row>
    <row r="948" spans="1:18" x14ac:dyDescent="0.25">
      <c r="A948" s="169">
        <v>44075</v>
      </c>
      <c r="B948" s="115">
        <v>69.115555555555503</v>
      </c>
      <c r="C948" s="115">
        <v>67.831111111111099</v>
      </c>
      <c r="D948" s="115">
        <v>64.004444444444403</v>
      </c>
      <c r="E948" s="115">
        <v>64.004444444444403</v>
      </c>
      <c r="F948" s="115">
        <v>763.1</v>
      </c>
      <c r="G948">
        <v>369503</v>
      </c>
      <c r="H948" s="115"/>
      <c r="I948" s="115"/>
      <c r="L948" s="169">
        <v>44075</v>
      </c>
      <c r="M948" s="115">
        <v>67.897777777777804</v>
      </c>
      <c r="N948" s="115">
        <v>69.155555555555594</v>
      </c>
      <c r="O948" s="115">
        <v>64.177777777777806</v>
      </c>
      <c r="P948" s="115">
        <v>64.177777777777806</v>
      </c>
      <c r="Q948" s="115">
        <v>763.85</v>
      </c>
      <c r="R948">
        <v>262226</v>
      </c>
    </row>
    <row r="949" spans="1:18" x14ac:dyDescent="0.25">
      <c r="A949" s="169">
        <v>44076</v>
      </c>
      <c r="B949" s="115">
        <v>68.737777777777794</v>
      </c>
      <c r="C949" s="115">
        <v>67.955555555555506</v>
      </c>
      <c r="D949" s="115">
        <v>66.986666666666693</v>
      </c>
      <c r="E949" s="115">
        <v>67.831111111111099</v>
      </c>
      <c r="F949" s="115">
        <v>764.5</v>
      </c>
      <c r="G949">
        <v>2774</v>
      </c>
      <c r="H949" s="115"/>
      <c r="I949" s="115"/>
      <c r="L949" s="169">
        <v>44076</v>
      </c>
      <c r="M949" s="115">
        <v>68.115555555555503</v>
      </c>
      <c r="N949" s="115">
        <v>68.853333333333296</v>
      </c>
      <c r="O949" s="115">
        <v>66.893333333333302</v>
      </c>
      <c r="P949" s="115">
        <v>67.5555555555556</v>
      </c>
      <c r="Q949" s="115">
        <v>766.3</v>
      </c>
      <c r="R949">
        <v>148338</v>
      </c>
    </row>
    <row r="950" spans="1:18" x14ac:dyDescent="0.25">
      <c r="A950" s="169">
        <v>44077</v>
      </c>
      <c r="B950" s="115">
        <v>69.773333333333298</v>
      </c>
      <c r="C950" s="115">
        <v>66.728888888888903</v>
      </c>
      <c r="D950" s="115">
        <v>66.4177777777778</v>
      </c>
      <c r="E950" s="115">
        <v>69.773333333333298</v>
      </c>
      <c r="F950" s="115">
        <v>750.7</v>
      </c>
      <c r="G950">
        <v>2027</v>
      </c>
      <c r="H950" s="115"/>
      <c r="I950" s="115"/>
      <c r="L950" s="169">
        <v>44077</v>
      </c>
      <c r="M950" s="115">
        <v>66.724444444444401</v>
      </c>
      <c r="N950" s="115">
        <v>68.5555555555556</v>
      </c>
      <c r="O950" s="115">
        <v>66.400000000000006</v>
      </c>
      <c r="P950" s="115">
        <v>68.088888888888903</v>
      </c>
      <c r="Q950" s="115">
        <v>750.65</v>
      </c>
      <c r="R950">
        <v>114414</v>
      </c>
    </row>
    <row r="951" spans="1:18" x14ac:dyDescent="0.25">
      <c r="A951" s="169">
        <v>44078</v>
      </c>
      <c r="B951" s="115">
        <v>67.755555555555603</v>
      </c>
      <c r="C951" s="115">
        <v>65.760000000000005</v>
      </c>
      <c r="D951" s="115">
        <v>64.471111111111099</v>
      </c>
      <c r="E951" s="115">
        <v>66.088888888888903</v>
      </c>
      <c r="F951" s="115">
        <v>739.8</v>
      </c>
      <c r="G951">
        <v>11801</v>
      </c>
      <c r="H951" s="115"/>
      <c r="I951" s="115"/>
      <c r="L951" s="169">
        <v>44078</v>
      </c>
      <c r="M951" s="115">
        <v>65.822222222222194</v>
      </c>
      <c r="N951" s="115">
        <v>67.751111111111101</v>
      </c>
      <c r="O951" s="115">
        <v>65.52</v>
      </c>
      <c r="P951" s="115">
        <v>66.400000000000006</v>
      </c>
      <c r="Q951" s="115">
        <v>740.5</v>
      </c>
      <c r="R951">
        <v>278111</v>
      </c>
    </row>
    <row r="952" spans="1:18" x14ac:dyDescent="0.25">
      <c r="A952" s="169">
        <v>44081</v>
      </c>
      <c r="B952" s="115">
        <v>66.644444444444403</v>
      </c>
      <c r="C952" s="115">
        <v>66.124444444444407</v>
      </c>
      <c r="D952" s="115">
        <v>65.3333333333333</v>
      </c>
      <c r="E952" s="115">
        <v>66.644444444444403</v>
      </c>
      <c r="F952" s="115">
        <v>743.9</v>
      </c>
      <c r="G952">
        <v>1588</v>
      </c>
      <c r="H952" s="115"/>
      <c r="I952" s="115"/>
      <c r="L952" s="169">
        <v>44081</v>
      </c>
      <c r="M952" s="115">
        <v>66.182222222222194</v>
      </c>
      <c r="N952" s="115">
        <v>66.844444444444406</v>
      </c>
      <c r="O952" s="115">
        <v>65.3333333333333</v>
      </c>
      <c r="P952" s="115">
        <v>66.311111111111103</v>
      </c>
      <c r="Q952" s="115">
        <v>744.55</v>
      </c>
      <c r="R952">
        <v>77283</v>
      </c>
    </row>
    <row r="953" spans="1:18" x14ac:dyDescent="0.25">
      <c r="A953" s="169">
        <v>44082</v>
      </c>
      <c r="B953" s="115">
        <v>67.004444444444403</v>
      </c>
      <c r="C953" s="115">
        <v>65.697777777777802</v>
      </c>
      <c r="D953" s="115">
        <v>65.471111111111099</v>
      </c>
      <c r="E953" s="115">
        <v>67.004444444444403</v>
      </c>
      <c r="F953" s="115">
        <v>739.1</v>
      </c>
      <c r="G953">
        <v>1188</v>
      </c>
      <c r="H953" s="115"/>
      <c r="I953" s="115"/>
      <c r="L953" s="169">
        <v>44082</v>
      </c>
      <c r="M953" s="115">
        <v>65.72</v>
      </c>
      <c r="N953" s="115">
        <v>66.755555555555603</v>
      </c>
      <c r="O953" s="115">
        <v>65.364444444444402</v>
      </c>
      <c r="P953" s="115">
        <v>66.755555555555603</v>
      </c>
      <c r="Q953" s="115">
        <v>739.35</v>
      </c>
      <c r="R953">
        <v>69753</v>
      </c>
    </row>
    <row r="954" spans="1:18" x14ac:dyDescent="0.25">
      <c r="A954" s="169">
        <v>44083</v>
      </c>
      <c r="B954" s="115">
        <v>65.035555555555504</v>
      </c>
      <c r="C954" s="115">
        <v>64.173333333333304</v>
      </c>
      <c r="D954" s="115">
        <v>63.893333333333302</v>
      </c>
      <c r="E954" s="115">
        <v>65.035555555555504</v>
      </c>
      <c r="F954" s="115">
        <v>721.95</v>
      </c>
      <c r="G954">
        <v>2226</v>
      </c>
      <c r="H954" s="115"/>
      <c r="I954" s="115"/>
      <c r="L954" s="169">
        <v>44083</v>
      </c>
      <c r="M954" s="115">
        <v>64.235555555555607</v>
      </c>
      <c r="N954" s="115">
        <v>65.715555555555596</v>
      </c>
      <c r="O954" s="115">
        <v>64</v>
      </c>
      <c r="P954" s="115">
        <v>65.3333333333333</v>
      </c>
      <c r="Q954" s="115">
        <v>722.65</v>
      </c>
      <c r="R954">
        <v>145981</v>
      </c>
    </row>
    <row r="955" spans="1:18" x14ac:dyDescent="0.25">
      <c r="A955" s="169">
        <v>44084</v>
      </c>
      <c r="B955" s="115">
        <v>65.595555555555606</v>
      </c>
      <c r="C955" s="115">
        <v>64.680000000000007</v>
      </c>
      <c r="D955" s="115">
        <v>64.377777777777794</v>
      </c>
      <c r="E955" s="115">
        <v>65.168888888888901</v>
      </c>
      <c r="F955" s="115">
        <v>727.65</v>
      </c>
      <c r="G955">
        <v>878</v>
      </c>
      <c r="H955" s="115"/>
      <c r="I955" s="115"/>
      <c r="L955" s="169">
        <v>44084</v>
      </c>
      <c r="M955" s="115">
        <v>64.72</v>
      </c>
      <c r="N955" s="115">
        <v>65.675555555555604</v>
      </c>
      <c r="O955" s="115">
        <v>64.271111111111097</v>
      </c>
      <c r="P955" s="115">
        <v>64.271111111111097</v>
      </c>
      <c r="Q955" s="115">
        <v>728.1</v>
      </c>
      <c r="R955">
        <v>83427</v>
      </c>
    </row>
    <row r="956" spans="1:18" x14ac:dyDescent="0.25">
      <c r="A956" s="169">
        <v>44085</v>
      </c>
      <c r="B956" s="115">
        <v>65.551111111111098</v>
      </c>
      <c r="C956" s="115">
        <v>64.391111111111101</v>
      </c>
      <c r="D956" s="115">
        <v>63.5555555555556</v>
      </c>
      <c r="E956" s="115">
        <v>64.711111111111094</v>
      </c>
      <c r="F956" s="115">
        <v>724.4</v>
      </c>
      <c r="G956">
        <v>206742</v>
      </c>
      <c r="H956" s="115"/>
      <c r="I956" s="115"/>
      <c r="L956" s="169">
        <v>44085</v>
      </c>
      <c r="M956" s="115">
        <v>64.635555555555598</v>
      </c>
      <c r="N956" s="115">
        <v>65.697777777777802</v>
      </c>
      <c r="O956" s="115">
        <v>63.911111111111097</v>
      </c>
      <c r="P956" s="115">
        <v>64.368888888888904</v>
      </c>
      <c r="Q956" s="115">
        <v>727.15</v>
      </c>
      <c r="R956">
        <v>146981</v>
      </c>
    </row>
    <row r="957" spans="1:18" x14ac:dyDescent="0.25">
      <c r="A957" s="169">
        <v>44088</v>
      </c>
      <c r="B957" s="115">
        <v>66.142222222222202</v>
      </c>
      <c r="C957" s="115">
        <v>65.968888888888898</v>
      </c>
      <c r="D957" s="115">
        <v>65.177777777777806</v>
      </c>
      <c r="E957" s="115">
        <v>65.315555555555505</v>
      </c>
      <c r="F957" s="115">
        <v>742.15</v>
      </c>
      <c r="G957">
        <v>2558</v>
      </c>
      <c r="H957" s="115"/>
      <c r="I957" s="115"/>
      <c r="L957" s="169">
        <v>44088</v>
      </c>
      <c r="M957" s="115">
        <v>66.053333333333299</v>
      </c>
      <c r="N957" s="115">
        <v>66.408888888888896</v>
      </c>
      <c r="O957" s="115">
        <v>64.8888888888889</v>
      </c>
      <c r="P957" s="115">
        <v>64.8888888888889</v>
      </c>
      <c r="Q957" s="115">
        <v>743.1</v>
      </c>
      <c r="R957">
        <v>194009</v>
      </c>
    </row>
    <row r="958" spans="1:18" x14ac:dyDescent="0.25">
      <c r="A958" s="169">
        <v>44089</v>
      </c>
      <c r="B958" s="115">
        <v>66.764444444444507</v>
      </c>
      <c r="C958" s="115">
        <v>65.293333333333294</v>
      </c>
      <c r="D958" s="115">
        <v>64.6933333333333</v>
      </c>
      <c r="E958" s="115">
        <v>66.1955555555556</v>
      </c>
      <c r="F958" s="115">
        <v>734.55</v>
      </c>
      <c r="G958">
        <v>2532</v>
      </c>
      <c r="H958" s="115"/>
      <c r="I958" s="115"/>
      <c r="L958" s="169">
        <v>44089</v>
      </c>
      <c r="M958" s="115">
        <v>65.382222222222197</v>
      </c>
      <c r="N958" s="115">
        <v>66.822222222222194</v>
      </c>
      <c r="O958" s="115">
        <v>64.760000000000005</v>
      </c>
      <c r="P958" s="115">
        <v>66.053333333333299</v>
      </c>
      <c r="Q958" s="115">
        <v>735.55</v>
      </c>
      <c r="R958">
        <v>129626</v>
      </c>
    </row>
    <row r="959" spans="1:18" x14ac:dyDescent="0.25">
      <c r="A959" s="169">
        <v>44090</v>
      </c>
      <c r="B959" s="115">
        <v>65.862222222222201</v>
      </c>
      <c r="C959" s="115">
        <v>64.466666666666697</v>
      </c>
      <c r="D959" s="115">
        <v>64.213333333333296</v>
      </c>
      <c r="E959" s="115">
        <v>65.631111111111096</v>
      </c>
      <c r="F959" s="115">
        <v>725.25</v>
      </c>
      <c r="G959">
        <v>1503</v>
      </c>
      <c r="H959" s="115"/>
      <c r="I959" s="115"/>
      <c r="L959" s="169">
        <v>44090</v>
      </c>
      <c r="M959" s="115">
        <v>64.671111111111102</v>
      </c>
      <c r="N959" s="115">
        <v>65.902222222222207</v>
      </c>
      <c r="O959" s="115">
        <v>64</v>
      </c>
      <c r="P959" s="115">
        <v>65.675555555555604</v>
      </c>
      <c r="Q959" s="115">
        <v>727.55</v>
      </c>
      <c r="R959">
        <v>127338</v>
      </c>
    </row>
    <row r="960" spans="1:18" x14ac:dyDescent="0.25">
      <c r="A960" s="169">
        <v>44091</v>
      </c>
      <c r="B960" s="115">
        <v>65.244444444444397</v>
      </c>
      <c r="C960" s="115">
        <v>63.453333333333298</v>
      </c>
      <c r="D960" s="115">
        <v>63.2</v>
      </c>
      <c r="E960" s="115">
        <v>65.244444444444397</v>
      </c>
      <c r="F960" s="115">
        <v>713.85</v>
      </c>
      <c r="G960">
        <v>1412</v>
      </c>
      <c r="H960" s="115"/>
      <c r="I960" s="115"/>
      <c r="L960" s="169">
        <v>44091</v>
      </c>
      <c r="M960" s="115">
        <v>63.426666666666698</v>
      </c>
      <c r="N960" s="115">
        <v>65.204444444444405</v>
      </c>
      <c r="O960" s="115">
        <v>63.16</v>
      </c>
      <c r="P960" s="115">
        <v>64.622222222222206</v>
      </c>
      <c r="Q960" s="115">
        <v>713.55</v>
      </c>
      <c r="R960">
        <v>94552</v>
      </c>
    </row>
    <row r="961" spans="1:18" x14ac:dyDescent="0.25">
      <c r="A961" s="169">
        <v>44092</v>
      </c>
      <c r="B961" s="115">
        <v>64.053333333333299</v>
      </c>
      <c r="C961" s="115">
        <v>62.2088888888889</v>
      </c>
      <c r="D961" s="115">
        <v>61.3333333333333</v>
      </c>
      <c r="E961" s="115">
        <v>64</v>
      </c>
      <c r="F961" s="115">
        <v>699.85</v>
      </c>
      <c r="G961">
        <v>8206</v>
      </c>
      <c r="H961" s="115"/>
      <c r="I961" s="115"/>
      <c r="L961" s="169">
        <v>44092</v>
      </c>
      <c r="M961" s="115">
        <v>62.688888888888897</v>
      </c>
      <c r="N961" s="115">
        <v>64.088888888888903</v>
      </c>
      <c r="O961" s="115">
        <v>61.351111111111102</v>
      </c>
      <c r="P961" s="115">
        <v>63.644444444444403</v>
      </c>
      <c r="Q961" s="115">
        <v>705.25</v>
      </c>
      <c r="R961">
        <v>174687</v>
      </c>
    </row>
    <row r="962" spans="1:18" x14ac:dyDescent="0.25">
      <c r="A962" s="169">
        <v>44095</v>
      </c>
      <c r="B962" s="115">
        <v>62.933333333333302</v>
      </c>
      <c r="C962" s="115">
        <v>61.471111111111099</v>
      </c>
      <c r="D962" s="115">
        <v>60.96</v>
      </c>
      <c r="E962" s="115">
        <v>62.933333333333302</v>
      </c>
      <c r="F962" s="115">
        <v>691.55</v>
      </c>
      <c r="G962">
        <v>2987</v>
      </c>
      <c r="H962" s="115"/>
      <c r="I962" s="115"/>
      <c r="L962" s="169">
        <v>44095</v>
      </c>
      <c r="M962" s="115">
        <v>61.373333333333299</v>
      </c>
      <c r="N962" s="115">
        <v>62.488888888888901</v>
      </c>
      <c r="O962" s="115">
        <v>60.977777777777803</v>
      </c>
      <c r="P962" s="115">
        <v>62.2222222222222</v>
      </c>
      <c r="Q962" s="115">
        <v>690.45</v>
      </c>
      <c r="R962">
        <v>88164</v>
      </c>
    </row>
    <row r="963" spans="1:18" x14ac:dyDescent="0.25">
      <c r="A963" s="169">
        <v>44096</v>
      </c>
      <c r="B963" s="115">
        <v>61.733333333333299</v>
      </c>
      <c r="C963" s="115">
        <v>61.248888888888899</v>
      </c>
      <c r="D963" s="115">
        <v>59.924444444444397</v>
      </c>
      <c r="E963" s="115">
        <v>61.351111111111102</v>
      </c>
      <c r="F963" s="115">
        <v>689.05</v>
      </c>
      <c r="G963">
        <v>8648</v>
      </c>
      <c r="H963" s="115"/>
      <c r="I963" s="115"/>
      <c r="L963" s="169">
        <v>44096</v>
      </c>
      <c r="M963" s="115">
        <v>61.044444444444402</v>
      </c>
      <c r="N963" s="115">
        <v>61.7777777777778</v>
      </c>
      <c r="O963" s="115">
        <v>60</v>
      </c>
      <c r="P963" s="115">
        <v>61.6</v>
      </c>
      <c r="Q963" s="115">
        <v>686.75</v>
      </c>
      <c r="R963">
        <v>179006</v>
      </c>
    </row>
    <row r="964" spans="1:18" x14ac:dyDescent="0.25">
      <c r="A964" s="169">
        <v>44097</v>
      </c>
      <c r="B964" s="115">
        <v>61.822222222222202</v>
      </c>
      <c r="C964" s="115">
        <v>60.231111111111098</v>
      </c>
      <c r="D964" s="115">
        <v>60</v>
      </c>
      <c r="E964" s="115">
        <v>61.688888888888897</v>
      </c>
      <c r="F964" s="115">
        <v>677.6</v>
      </c>
      <c r="G964">
        <v>5267</v>
      </c>
      <c r="H964" s="115"/>
      <c r="I964" s="115"/>
      <c r="L964" s="169">
        <v>44097</v>
      </c>
      <c r="M964" s="115">
        <v>60.324444444444403</v>
      </c>
      <c r="N964" s="115">
        <v>61.995555555555597</v>
      </c>
      <c r="O964" s="115">
        <v>59.911111111111097</v>
      </c>
      <c r="P964" s="115">
        <v>61.3333333333333</v>
      </c>
      <c r="Q964" s="115">
        <v>678.65</v>
      </c>
      <c r="R964">
        <v>145830</v>
      </c>
    </row>
    <row r="965" spans="1:18" x14ac:dyDescent="0.25">
      <c r="A965" s="169">
        <v>44098</v>
      </c>
      <c r="B965" s="115">
        <v>61.746666666666698</v>
      </c>
      <c r="C965" s="115">
        <v>60.786666666666697</v>
      </c>
      <c r="D965" s="115">
        <v>58.844444444444399</v>
      </c>
      <c r="E965" s="115">
        <v>58.844444444444399</v>
      </c>
      <c r="F965" s="115">
        <v>683.85</v>
      </c>
      <c r="G965">
        <v>2454</v>
      </c>
      <c r="H965" s="115"/>
      <c r="I965" s="115"/>
      <c r="L965" s="169">
        <v>44098</v>
      </c>
      <c r="M965" s="115">
        <v>60.622222222222199</v>
      </c>
      <c r="N965" s="115">
        <v>61.742222222222203</v>
      </c>
      <c r="O965" s="115">
        <v>59.177777777777798</v>
      </c>
      <c r="P965" s="115">
        <v>59.5555555555556</v>
      </c>
      <c r="Q965" s="115">
        <v>682</v>
      </c>
      <c r="R965">
        <v>198036</v>
      </c>
    </row>
    <row r="966" spans="1:18" x14ac:dyDescent="0.25">
      <c r="A966" s="169">
        <v>44099</v>
      </c>
      <c r="B966" s="115">
        <v>62.475555555555601</v>
      </c>
      <c r="C966" s="115">
        <v>61.724444444444401</v>
      </c>
      <c r="D966" s="115">
        <v>60.173333333333296</v>
      </c>
      <c r="E966" s="115">
        <v>60.64</v>
      </c>
      <c r="F966" s="115">
        <v>694.4</v>
      </c>
      <c r="G966">
        <v>284688</v>
      </c>
      <c r="H966" s="115"/>
      <c r="I966" s="115"/>
      <c r="L966" s="169">
        <v>44099</v>
      </c>
      <c r="M966" s="115">
        <v>61.822222222222202</v>
      </c>
      <c r="N966" s="115">
        <v>62.448888888888902</v>
      </c>
      <c r="O966" s="115">
        <v>60.088888888888903</v>
      </c>
      <c r="P966" s="115">
        <v>60.088888888888903</v>
      </c>
      <c r="Q966" s="115">
        <v>695.5</v>
      </c>
      <c r="R966">
        <v>1155320</v>
      </c>
    </row>
    <row r="967" spans="1:18" x14ac:dyDescent="0.25">
      <c r="A967" s="169">
        <v>44102</v>
      </c>
      <c r="B967" s="115">
        <v>63.8888888888889</v>
      </c>
      <c r="C967" s="115">
        <v>63.137777777777799</v>
      </c>
      <c r="D967" s="115">
        <v>62.951111111111103</v>
      </c>
      <c r="E967" s="115">
        <v>63.146666666666697</v>
      </c>
      <c r="F967" s="115">
        <v>710.3</v>
      </c>
      <c r="G967">
        <v>1902</v>
      </c>
      <c r="H967" s="115"/>
      <c r="I967" s="115"/>
      <c r="L967" s="169">
        <v>44102</v>
      </c>
      <c r="M967" s="115">
        <v>63.191111111111098</v>
      </c>
      <c r="N967" s="115">
        <v>63.9155555555555</v>
      </c>
      <c r="O967" s="115">
        <v>62.577777777777797</v>
      </c>
      <c r="P967" s="115">
        <v>62.928888888888899</v>
      </c>
      <c r="Q967" s="115">
        <v>710.9</v>
      </c>
      <c r="R967">
        <v>104936</v>
      </c>
    </row>
    <row r="968" spans="1:18" x14ac:dyDescent="0.25">
      <c r="A968" s="169">
        <v>44103</v>
      </c>
      <c r="B968" s="115">
        <v>64.12</v>
      </c>
      <c r="C968" s="115">
        <v>63.8888888888889</v>
      </c>
      <c r="D968" s="115">
        <v>62.671111111111102</v>
      </c>
      <c r="E968" s="115">
        <v>63.453333333333298</v>
      </c>
      <c r="F968" s="115">
        <v>718.75</v>
      </c>
      <c r="G968">
        <v>1701</v>
      </c>
      <c r="H968" s="115"/>
      <c r="I968" s="115"/>
      <c r="L968" s="169">
        <v>44103</v>
      </c>
      <c r="M968" s="115">
        <v>63.795555555555602</v>
      </c>
      <c r="N968" s="115">
        <v>64.422222222222203</v>
      </c>
      <c r="O968" s="115">
        <v>62.6666666666667</v>
      </c>
      <c r="P968" s="115">
        <v>64</v>
      </c>
      <c r="Q968" s="115">
        <v>717.7</v>
      </c>
      <c r="R968">
        <v>196793</v>
      </c>
    </row>
    <row r="969" spans="1:18" x14ac:dyDescent="0.25">
      <c r="A969" s="169">
        <v>44104</v>
      </c>
      <c r="B969" s="115">
        <v>64.12</v>
      </c>
      <c r="C969" s="115">
        <v>62.115555555555602</v>
      </c>
      <c r="D969" s="115">
        <v>61.866666666666703</v>
      </c>
      <c r="E969" s="115">
        <v>64.12</v>
      </c>
      <c r="F969" s="115">
        <v>698.8</v>
      </c>
      <c r="G969">
        <v>5378</v>
      </c>
      <c r="H969" s="115"/>
      <c r="I969" s="115"/>
      <c r="L969" s="169">
        <v>44104</v>
      </c>
      <c r="M969" s="115">
        <v>62.071111111111101</v>
      </c>
      <c r="N969" s="115">
        <v>64</v>
      </c>
      <c r="O969" s="115">
        <v>61.7777777777778</v>
      </c>
      <c r="P969" s="115">
        <v>64</v>
      </c>
      <c r="Q969" s="115">
        <v>698.3</v>
      </c>
      <c r="R969">
        <v>230753</v>
      </c>
    </row>
    <row r="970" spans="1:18" x14ac:dyDescent="0.25">
      <c r="A970" s="169">
        <v>44105</v>
      </c>
      <c r="B970" s="115">
        <v>63.0133333333333</v>
      </c>
      <c r="C970" s="115">
        <v>62.12</v>
      </c>
      <c r="D970" s="115">
        <v>61.84</v>
      </c>
      <c r="E970" s="115">
        <v>63.0133333333333</v>
      </c>
      <c r="F970" s="115">
        <v>698.85</v>
      </c>
      <c r="G970">
        <v>5115</v>
      </c>
      <c r="H970" s="115"/>
      <c r="I970" s="115"/>
      <c r="L970" s="169">
        <v>44105</v>
      </c>
      <c r="M970" s="115">
        <v>62.164444444444399</v>
      </c>
      <c r="N970" s="115">
        <v>62.96</v>
      </c>
      <c r="O970" s="115">
        <v>61.866666666666703</v>
      </c>
      <c r="P970" s="115">
        <v>62.8888888888889</v>
      </c>
      <c r="Q970" s="115">
        <v>699.35</v>
      </c>
      <c r="R970">
        <v>90755</v>
      </c>
    </row>
    <row r="971" spans="1:18" x14ac:dyDescent="0.25">
      <c r="A971" s="169">
        <v>44109</v>
      </c>
      <c r="B971" s="115">
        <v>65.3333333333333</v>
      </c>
      <c r="C971" s="115">
        <v>61.8</v>
      </c>
      <c r="D971" s="115">
        <v>61.511111111111099</v>
      </c>
      <c r="E971" s="115">
        <v>65.3333333333333</v>
      </c>
      <c r="F971" s="115">
        <v>695.25</v>
      </c>
      <c r="G971">
        <v>5828</v>
      </c>
      <c r="H971" s="115"/>
      <c r="I971" s="115"/>
      <c r="L971" s="169">
        <v>44109</v>
      </c>
      <c r="M971" s="115">
        <v>61.733333333333299</v>
      </c>
      <c r="N971" s="115">
        <v>63.1111111111111</v>
      </c>
      <c r="O971" s="115">
        <v>61.511111111111099</v>
      </c>
      <c r="P971" s="115">
        <v>62.657777777777802</v>
      </c>
      <c r="Q971" s="115">
        <v>694.5</v>
      </c>
      <c r="R971">
        <v>232436</v>
      </c>
    </row>
    <row r="972" spans="1:18" x14ac:dyDescent="0.25">
      <c r="A972" s="169">
        <v>44110</v>
      </c>
      <c r="B972" s="115">
        <v>62.488888888888901</v>
      </c>
      <c r="C972" s="115">
        <v>61.373333333333299</v>
      </c>
      <c r="D972" s="115">
        <v>60.8888888888889</v>
      </c>
      <c r="E972" s="115">
        <v>62.488888888888901</v>
      </c>
      <c r="F972" s="115">
        <v>690.45</v>
      </c>
      <c r="G972">
        <v>4467</v>
      </c>
      <c r="H972" s="115"/>
      <c r="I972" s="115"/>
      <c r="L972" s="169">
        <v>44110</v>
      </c>
      <c r="M972" s="115">
        <v>61.355555555555597</v>
      </c>
      <c r="N972" s="115">
        <v>62.1111111111111</v>
      </c>
      <c r="O972" s="115">
        <v>60.8888888888889</v>
      </c>
      <c r="P972" s="115">
        <v>61.786666666666697</v>
      </c>
      <c r="Q972" s="115">
        <v>690.25</v>
      </c>
      <c r="R972">
        <v>373375</v>
      </c>
    </row>
    <row r="973" spans="1:18" x14ac:dyDescent="0.25">
      <c r="A973" s="169">
        <v>44111</v>
      </c>
      <c r="B973" s="115">
        <v>61.6</v>
      </c>
      <c r="C973" s="115">
        <v>61.066666666666698</v>
      </c>
      <c r="D973" s="115">
        <v>60.413333333333298</v>
      </c>
      <c r="E973" s="115">
        <v>61.266666666666701</v>
      </c>
      <c r="F973" s="115">
        <v>687</v>
      </c>
      <c r="G973">
        <v>5816</v>
      </c>
      <c r="H973" s="115"/>
      <c r="I973" s="115"/>
      <c r="L973" s="169">
        <v>44111</v>
      </c>
      <c r="M973" s="115">
        <v>60.764444444444401</v>
      </c>
      <c r="N973" s="115">
        <v>61.7777777777778</v>
      </c>
      <c r="O973" s="115">
        <v>60.4444444444444</v>
      </c>
      <c r="P973" s="115">
        <v>61.355555555555597</v>
      </c>
      <c r="Q973" s="115">
        <v>683.6</v>
      </c>
      <c r="R973">
        <v>97215</v>
      </c>
    </row>
    <row r="974" spans="1:18" x14ac:dyDescent="0.25">
      <c r="A974" s="169">
        <v>44112</v>
      </c>
      <c r="B974" s="115">
        <v>61.328888888888898</v>
      </c>
      <c r="C974" s="115">
        <v>60.284444444444397</v>
      </c>
      <c r="D974" s="115">
        <v>59.715555555555603</v>
      </c>
      <c r="E974" s="115">
        <v>60.711111111111101</v>
      </c>
      <c r="F974" s="115">
        <v>678.2</v>
      </c>
      <c r="G974">
        <v>14399</v>
      </c>
      <c r="H974" s="115"/>
      <c r="I974" s="115"/>
      <c r="L974" s="169">
        <v>44112</v>
      </c>
      <c r="M974" s="115">
        <v>60.1111111111111</v>
      </c>
      <c r="N974" s="115">
        <v>61.328888888888898</v>
      </c>
      <c r="O974" s="115">
        <v>59.617777777777803</v>
      </c>
      <c r="P974" s="115">
        <v>60.8888888888889</v>
      </c>
      <c r="Q974" s="115">
        <v>676.25</v>
      </c>
      <c r="R974">
        <v>390043</v>
      </c>
    </row>
    <row r="975" spans="1:18" x14ac:dyDescent="0.25">
      <c r="A975" s="169">
        <v>44113</v>
      </c>
      <c r="B975" s="115">
        <v>60.4444444444444</v>
      </c>
      <c r="C975" s="115">
        <v>58.617777777777803</v>
      </c>
      <c r="D975" s="115">
        <v>58.2222222222222</v>
      </c>
      <c r="E975" s="115">
        <v>60.4444444444444</v>
      </c>
      <c r="F975" s="115">
        <v>659.45</v>
      </c>
      <c r="G975">
        <v>12026</v>
      </c>
      <c r="H975" s="115"/>
      <c r="I975" s="115"/>
      <c r="L975" s="169">
        <v>44113</v>
      </c>
      <c r="M975" s="115">
        <v>58.564444444444398</v>
      </c>
      <c r="N975" s="115">
        <v>60.408888888888903</v>
      </c>
      <c r="O975" s="115">
        <v>58.2222222222222</v>
      </c>
      <c r="P975" s="115">
        <v>60.355555555555597</v>
      </c>
      <c r="Q975" s="115">
        <v>658.85</v>
      </c>
      <c r="R975">
        <v>814930</v>
      </c>
    </row>
    <row r="976" spans="1:18" x14ac:dyDescent="0.25">
      <c r="A976" s="169">
        <v>44116</v>
      </c>
      <c r="B976" s="115">
        <v>60.4444444444444</v>
      </c>
      <c r="C976" s="115">
        <v>59.462222222222202</v>
      </c>
      <c r="D976" s="115">
        <v>57.848888888888901</v>
      </c>
      <c r="E976" s="115">
        <v>57.848888888888901</v>
      </c>
      <c r="F976" s="115">
        <v>668.95</v>
      </c>
      <c r="G976">
        <v>16454</v>
      </c>
      <c r="H976" s="115"/>
      <c r="I976" s="115"/>
      <c r="L976" s="169">
        <v>44116</v>
      </c>
      <c r="M976" s="115">
        <v>59.506666666666703</v>
      </c>
      <c r="N976" s="115">
        <v>60.475555555555601</v>
      </c>
      <c r="O976" s="115">
        <v>58.577777777777797</v>
      </c>
      <c r="P976" s="115">
        <v>58.577777777777797</v>
      </c>
      <c r="Q976" s="115">
        <v>669.45</v>
      </c>
      <c r="R976">
        <v>1115882</v>
      </c>
    </row>
    <row r="977" spans="1:18" x14ac:dyDescent="0.25">
      <c r="A977" s="169">
        <v>44117</v>
      </c>
      <c r="B977" s="115">
        <v>63.742222222222203</v>
      </c>
      <c r="C977" s="115">
        <v>61.44</v>
      </c>
      <c r="D977" s="115">
        <v>59.466666666666697</v>
      </c>
      <c r="E977" s="115">
        <v>61.151111111111099</v>
      </c>
      <c r="F977" s="115">
        <v>691.2</v>
      </c>
      <c r="G977">
        <v>36265</v>
      </c>
      <c r="H977" s="115"/>
      <c r="I977" s="115"/>
      <c r="L977" s="169">
        <v>44117</v>
      </c>
      <c r="M977" s="115">
        <v>61.528888888888901</v>
      </c>
      <c r="N977" s="115">
        <v>62.044444444444402</v>
      </c>
      <c r="O977" s="115">
        <v>58.893333333333302</v>
      </c>
      <c r="P977" s="115">
        <v>59.5555555555556</v>
      </c>
      <c r="Q977" s="115">
        <v>692.2</v>
      </c>
      <c r="R977">
        <v>302591</v>
      </c>
    </row>
    <row r="978" spans="1:18" x14ac:dyDescent="0.25">
      <c r="A978" s="169">
        <v>44118</v>
      </c>
      <c r="B978" s="115">
        <v>63.546666666666702</v>
      </c>
      <c r="C978" s="115">
        <v>59.684444444444502</v>
      </c>
      <c r="D978" s="115">
        <v>59.155555555555601</v>
      </c>
      <c r="E978" s="115">
        <v>63.546666666666702</v>
      </c>
      <c r="F978" s="115">
        <v>671.45</v>
      </c>
      <c r="G978">
        <v>3596</v>
      </c>
      <c r="H978" s="115"/>
      <c r="I978" s="115"/>
      <c r="L978" s="169">
        <v>44118</v>
      </c>
      <c r="M978" s="115">
        <v>59.64</v>
      </c>
      <c r="N978" s="115">
        <v>61.511111111111099</v>
      </c>
      <c r="O978" s="115">
        <v>59.1111111111111</v>
      </c>
      <c r="P978" s="115">
        <v>61.3333333333333</v>
      </c>
      <c r="Q978" s="115">
        <v>670.95</v>
      </c>
      <c r="R978">
        <v>539057</v>
      </c>
    </row>
    <row r="979" spans="1:18" x14ac:dyDescent="0.25">
      <c r="A979" s="169">
        <v>44119</v>
      </c>
      <c r="B979" s="115">
        <v>60.9866666666667</v>
      </c>
      <c r="C979" s="115">
        <v>59.533333333333303</v>
      </c>
      <c r="D979" s="115">
        <v>59.1111111111111</v>
      </c>
      <c r="E979" s="115">
        <v>60</v>
      </c>
      <c r="F979" s="115">
        <v>669.75</v>
      </c>
      <c r="G979">
        <v>8172</v>
      </c>
      <c r="H979" s="115"/>
      <c r="I979" s="115"/>
      <c r="L979" s="169">
        <v>44119</v>
      </c>
      <c r="M979" s="115">
        <v>59.488888888888901</v>
      </c>
      <c r="N979" s="115">
        <v>60.973333333333301</v>
      </c>
      <c r="O979" s="115">
        <v>59.1111111111111</v>
      </c>
      <c r="P979" s="115">
        <v>59.942222222222199</v>
      </c>
      <c r="Q979" s="115">
        <v>669.25</v>
      </c>
      <c r="R979">
        <v>139047</v>
      </c>
    </row>
    <row r="980" spans="1:18" x14ac:dyDescent="0.25">
      <c r="A980" s="169">
        <v>44120</v>
      </c>
      <c r="B980" s="115">
        <v>61.377777777777801</v>
      </c>
      <c r="C980" s="115">
        <v>60.591111111111097</v>
      </c>
      <c r="D980" s="115">
        <v>59.146666666666697</v>
      </c>
      <c r="E980" s="115">
        <v>60.266666666666701</v>
      </c>
      <c r="F980" s="115">
        <v>681.65</v>
      </c>
      <c r="G980">
        <v>5792</v>
      </c>
      <c r="H980" s="115"/>
      <c r="I980" s="115"/>
      <c r="L980" s="169">
        <v>44120</v>
      </c>
      <c r="M980" s="115">
        <v>60.688888888888897</v>
      </c>
      <c r="N980" s="115">
        <v>61.506666666666703</v>
      </c>
      <c r="O980" s="115">
        <v>59.2</v>
      </c>
      <c r="P980" s="115">
        <v>60</v>
      </c>
      <c r="Q980" s="115">
        <v>682.75</v>
      </c>
      <c r="R980">
        <v>186549</v>
      </c>
    </row>
    <row r="981" spans="1:18" x14ac:dyDescent="0.25">
      <c r="A981" s="169">
        <v>44123</v>
      </c>
      <c r="B981" s="115">
        <v>61.688888888888897</v>
      </c>
      <c r="C981" s="115">
        <v>60.404444444444401</v>
      </c>
      <c r="D981" s="115">
        <v>60.2222222222222</v>
      </c>
      <c r="E981" s="115">
        <v>61.688888888888897</v>
      </c>
      <c r="F981" s="115">
        <v>679.55</v>
      </c>
      <c r="G981">
        <v>29731</v>
      </c>
      <c r="H981" s="115"/>
      <c r="I981" s="115"/>
      <c r="L981" s="169">
        <v>44123</v>
      </c>
      <c r="M981" s="115">
        <v>60.408888888888903</v>
      </c>
      <c r="N981" s="115">
        <v>61.475555555555601</v>
      </c>
      <c r="O981" s="115">
        <v>60.151111111111099</v>
      </c>
      <c r="P981" s="115">
        <v>60.8888888888889</v>
      </c>
      <c r="Q981" s="115">
        <v>679.6</v>
      </c>
      <c r="R981">
        <v>499470</v>
      </c>
    </row>
    <row r="982" spans="1:18" x14ac:dyDescent="0.25">
      <c r="A982" s="169">
        <v>44124</v>
      </c>
      <c r="B982" s="115">
        <v>60.8755555555556</v>
      </c>
      <c r="C982" s="115">
        <v>60.155555555555601</v>
      </c>
      <c r="D982" s="115">
        <v>60</v>
      </c>
      <c r="E982" s="115">
        <v>60.355555555555597</v>
      </c>
      <c r="F982" s="115">
        <v>676.75</v>
      </c>
      <c r="G982">
        <v>3707</v>
      </c>
      <c r="H982" s="115"/>
      <c r="I982" s="115"/>
      <c r="L982" s="169">
        <v>44124</v>
      </c>
      <c r="M982" s="115">
        <v>60.186666666666703</v>
      </c>
      <c r="N982" s="115">
        <v>60.884444444444398</v>
      </c>
      <c r="O982" s="115">
        <v>60</v>
      </c>
      <c r="P982" s="115">
        <v>60.4177777777778</v>
      </c>
      <c r="Q982" s="115">
        <v>677.1</v>
      </c>
      <c r="R982">
        <v>141807</v>
      </c>
    </row>
    <row r="983" spans="1:18" x14ac:dyDescent="0.25">
      <c r="A983" s="169">
        <v>44125</v>
      </c>
      <c r="B983" s="115">
        <v>60.475555555555601</v>
      </c>
      <c r="C983" s="115">
        <v>59.617777777777803</v>
      </c>
      <c r="D983" s="115">
        <v>59.377777777777801</v>
      </c>
      <c r="E983" s="115">
        <v>60.071111111111101</v>
      </c>
      <c r="F983" s="115">
        <v>670.7</v>
      </c>
      <c r="G983">
        <v>3184</v>
      </c>
      <c r="H983" s="115"/>
      <c r="I983" s="115"/>
      <c r="L983" s="169">
        <v>44125</v>
      </c>
      <c r="M983" s="115">
        <v>59.644444444444403</v>
      </c>
      <c r="N983" s="115">
        <v>60.391111111111101</v>
      </c>
      <c r="O983" s="115">
        <v>59.377777777777801</v>
      </c>
      <c r="P983" s="115">
        <v>60.191111111111098</v>
      </c>
      <c r="Q983" s="115">
        <v>671</v>
      </c>
      <c r="R983">
        <v>70373</v>
      </c>
    </row>
    <row r="984" spans="1:18" x14ac:dyDescent="0.25">
      <c r="A984" s="169">
        <v>44126</v>
      </c>
      <c r="B984" s="115">
        <v>59.946666666666701</v>
      </c>
      <c r="C984" s="115">
        <v>59.502222222222201</v>
      </c>
      <c r="D984" s="115">
        <v>59.257777777777797</v>
      </c>
      <c r="E984" s="115">
        <v>59.257777777777797</v>
      </c>
      <c r="F984" s="115">
        <v>669.4</v>
      </c>
      <c r="G984">
        <v>1167</v>
      </c>
      <c r="H984" s="115"/>
      <c r="I984" s="115"/>
      <c r="L984" s="169">
        <v>44126</v>
      </c>
      <c r="M984" s="115">
        <v>59.551111111111098</v>
      </c>
      <c r="N984" s="115">
        <v>59.933333333333302</v>
      </c>
      <c r="O984" s="115">
        <v>59.2</v>
      </c>
      <c r="P984" s="115">
        <v>59.5555555555556</v>
      </c>
      <c r="Q984" s="115">
        <v>669.95</v>
      </c>
      <c r="R984">
        <v>370645</v>
      </c>
    </row>
    <row r="985" spans="1:18" x14ac:dyDescent="0.25">
      <c r="A985" s="169">
        <v>44127</v>
      </c>
      <c r="B985" s="115">
        <v>60.186666666666703</v>
      </c>
      <c r="C985" s="115">
        <v>59.631111111111103</v>
      </c>
      <c r="D985" s="115">
        <v>59.3066666666667</v>
      </c>
      <c r="E985" s="115">
        <v>59.64</v>
      </c>
      <c r="F985" s="115">
        <v>670.85</v>
      </c>
      <c r="G985">
        <v>9075</v>
      </c>
      <c r="H985" s="115"/>
      <c r="I985" s="115"/>
      <c r="L985" s="169">
        <v>44127</v>
      </c>
      <c r="M985" s="115">
        <v>59.5555555555556</v>
      </c>
      <c r="N985" s="115">
        <v>60.257777777777797</v>
      </c>
      <c r="O985" s="115">
        <v>59.24</v>
      </c>
      <c r="P985" s="115">
        <v>59.995555555555597</v>
      </c>
      <c r="Q985" s="115">
        <v>670</v>
      </c>
      <c r="R985">
        <v>156490</v>
      </c>
    </row>
    <row r="986" spans="1:18" x14ac:dyDescent="0.25">
      <c r="A986" s="169">
        <v>44130</v>
      </c>
      <c r="B986" s="115">
        <v>59.995555555555597</v>
      </c>
      <c r="C986" s="115">
        <v>59.724444444444401</v>
      </c>
      <c r="D986" s="115">
        <v>59.293333333333301</v>
      </c>
      <c r="E986" s="115">
        <v>59.466666666666697</v>
      </c>
      <c r="F986" s="115">
        <v>671.9</v>
      </c>
      <c r="G986">
        <v>3319</v>
      </c>
      <c r="H986" s="115"/>
      <c r="I986" s="115"/>
      <c r="L986" s="169">
        <v>44130</v>
      </c>
      <c r="M986" s="115">
        <v>59.751111111111101</v>
      </c>
      <c r="N986" s="115">
        <v>60</v>
      </c>
      <c r="O986" s="115">
        <v>59.262222222222199</v>
      </c>
      <c r="P986" s="115">
        <v>59.977777777777803</v>
      </c>
      <c r="Q986" s="115">
        <v>672.2</v>
      </c>
      <c r="R986">
        <v>129971</v>
      </c>
    </row>
    <row r="987" spans="1:18" x14ac:dyDescent="0.25">
      <c r="A987" s="169">
        <v>44131</v>
      </c>
      <c r="B987" s="115">
        <v>60.4444444444444</v>
      </c>
      <c r="C987" s="115">
        <v>59.8</v>
      </c>
      <c r="D987" s="115">
        <v>59.462222222222202</v>
      </c>
      <c r="E987" s="115">
        <v>60.4444444444444</v>
      </c>
      <c r="F987" s="115">
        <v>672.75</v>
      </c>
      <c r="G987">
        <v>829</v>
      </c>
      <c r="H987" s="115"/>
      <c r="I987" s="115"/>
      <c r="L987" s="169">
        <v>44131</v>
      </c>
      <c r="M987" s="115">
        <v>59.724444444444401</v>
      </c>
      <c r="N987" s="115">
        <v>59.9866666666667</v>
      </c>
      <c r="O987" s="115">
        <v>59.2088888888889</v>
      </c>
      <c r="P987" s="115">
        <v>59.9866666666667</v>
      </c>
      <c r="Q987" s="115">
        <v>671.9</v>
      </c>
      <c r="R987">
        <v>194183</v>
      </c>
    </row>
    <row r="988" spans="1:18" x14ac:dyDescent="0.25">
      <c r="A988" s="169">
        <v>44132</v>
      </c>
      <c r="B988" s="115">
        <v>60.4444444444444</v>
      </c>
      <c r="C988" s="115">
        <v>59.053333333333299</v>
      </c>
      <c r="D988" s="115">
        <v>58.551111111111098</v>
      </c>
      <c r="E988" s="115">
        <v>59.893333333333302</v>
      </c>
      <c r="F988" s="115">
        <v>664.35</v>
      </c>
      <c r="G988">
        <v>25775</v>
      </c>
      <c r="H988" s="115"/>
      <c r="I988" s="115"/>
      <c r="L988" s="169">
        <v>44132</v>
      </c>
      <c r="M988" s="115">
        <v>59.053333333333299</v>
      </c>
      <c r="N988" s="115">
        <v>60.4444444444444</v>
      </c>
      <c r="O988" s="115">
        <v>58.533333333333303</v>
      </c>
      <c r="P988" s="115">
        <v>59.991111111111103</v>
      </c>
      <c r="Q988" s="115">
        <v>664.35</v>
      </c>
      <c r="R988">
        <v>175970</v>
      </c>
    </row>
    <row r="989" spans="1:18" x14ac:dyDescent="0.25">
      <c r="A989" s="169">
        <v>44133</v>
      </c>
      <c r="B989" s="115">
        <v>60.657777777777802</v>
      </c>
      <c r="C989" s="115">
        <v>58.071111111111101</v>
      </c>
      <c r="D989" s="115">
        <v>57.422222222222203</v>
      </c>
      <c r="E989" s="115">
        <v>58.6666666666667</v>
      </c>
      <c r="F989" s="115">
        <v>653.29999999999995</v>
      </c>
      <c r="G989">
        <v>10322</v>
      </c>
      <c r="H989" s="115"/>
      <c r="I989" s="115"/>
      <c r="L989" s="169">
        <v>44133</v>
      </c>
      <c r="M989" s="115">
        <v>58.1244444444444</v>
      </c>
      <c r="N989" s="115">
        <v>59.022222222222197</v>
      </c>
      <c r="O989" s="115">
        <v>57.453333333333298</v>
      </c>
      <c r="P989" s="115">
        <v>58.995555555555597</v>
      </c>
      <c r="Q989" s="115">
        <v>653.9</v>
      </c>
      <c r="R989">
        <v>280527</v>
      </c>
    </row>
    <row r="990" spans="1:18" x14ac:dyDescent="0.25">
      <c r="A990" s="169">
        <v>44134</v>
      </c>
      <c r="B990" s="115">
        <v>58.8888888888889</v>
      </c>
      <c r="C990" s="115">
        <v>58.1955555555556</v>
      </c>
      <c r="D990" s="115">
        <v>57.351111111111102</v>
      </c>
      <c r="E990" s="115">
        <v>58.884444444444398</v>
      </c>
      <c r="F990" s="115">
        <v>654.70000000000005</v>
      </c>
      <c r="G990">
        <v>21180</v>
      </c>
      <c r="H990" s="115"/>
      <c r="I990" s="115"/>
      <c r="L990" s="169">
        <v>44134</v>
      </c>
      <c r="M990" s="115">
        <v>58.213333333333303</v>
      </c>
      <c r="N990" s="115">
        <v>59.137777777777799</v>
      </c>
      <c r="O990" s="115">
        <v>57.453333333333298</v>
      </c>
      <c r="P990" s="115">
        <v>58.577777777777797</v>
      </c>
      <c r="Q990" s="115">
        <v>654.9</v>
      </c>
      <c r="R990">
        <v>230767</v>
      </c>
    </row>
    <row r="991" spans="1:18" x14ac:dyDescent="0.25">
      <c r="A991" s="169">
        <v>44137</v>
      </c>
      <c r="B991" s="115">
        <v>60.88</v>
      </c>
      <c r="C991" s="115">
        <v>59.8</v>
      </c>
      <c r="D991" s="115">
        <v>58.622222222222199</v>
      </c>
      <c r="E991" s="115">
        <v>58.622222222222199</v>
      </c>
      <c r="F991" s="115">
        <v>672.75</v>
      </c>
      <c r="G991">
        <v>6536</v>
      </c>
      <c r="H991" s="115"/>
      <c r="I991" s="115"/>
      <c r="L991" s="169">
        <v>44137</v>
      </c>
      <c r="M991" s="115">
        <v>59.573333333333302</v>
      </c>
      <c r="N991" s="115">
        <v>60.857777777777798</v>
      </c>
      <c r="O991" s="115">
        <v>58.213333333333303</v>
      </c>
      <c r="P991" s="115">
        <v>59.2</v>
      </c>
      <c r="Q991" s="115">
        <v>670.2</v>
      </c>
      <c r="R991">
        <v>238660</v>
      </c>
    </row>
    <row r="992" spans="1:18" x14ac:dyDescent="0.25">
      <c r="A992" s="169">
        <v>44138</v>
      </c>
      <c r="B992" s="115">
        <v>60.64</v>
      </c>
      <c r="C992" s="115">
        <v>59.715555555555603</v>
      </c>
      <c r="D992" s="115">
        <v>58.973333333333301</v>
      </c>
      <c r="E992" s="115">
        <v>59.9022222222222</v>
      </c>
      <c r="F992" s="115">
        <v>671.8</v>
      </c>
      <c r="G992">
        <v>15830</v>
      </c>
      <c r="H992" s="115"/>
      <c r="I992" s="115"/>
      <c r="L992" s="169">
        <v>44138</v>
      </c>
      <c r="M992" s="115">
        <v>59.746666666666698</v>
      </c>
      <c r="N992" s="115">
        <v>60.7911111111111</v>
      </c>
      <c r="O992" s="115">
        <v>58.866666666666703</v>
      </c>
      <c r="P992" s="115">
        <v>59.742222222222203</v>
      </c>
      <c r="Q992" s="115">
        <v>672.15</v>
      </c>
      <c r="R992">
        <v>533830</v>
      </c>
    </row>
    <row r="993" spans="1:18" x14ac:dyDescent="0.25">
      <c r="A993" s="169">
        <v>44139</v>
      </c>
      <c r="B993" s="115">
        <v>60.56</v>
      </c>
      <c r="C993" s="115">
        <v>59.853333333333303</v>
      </c>
      <c r="D993" s="115">
        <v>58.3466666666667</v>
      </c>
      <c r="E993" s="115">
        <v>60.56</v>
      </c>
      <c r="F993" s="115">
        <v>673.35</v>
      </c>
      <c r="G993">
        <v>118141</v>
      </c>
      <c r="H993" s="115"/>
      <c r="I993" s="115"/>
      <c r="L993" s="169">
        <v>44139</v>
      </c>
      <c r="M993" s="115">
        <v>59.817777777777799</v>
      </c>
      <c r="N993" s="115">
        <v>60.866666666666703</v>
      </c>
      <c r="O993" s="115">
        <v>58.2222222222222</v>
      </c>
      <c r="P993" s="115">
        <v>60</v>
      </c>
      <c r="Q993" s="115">
        <v>672.95</v>
      </c>
      <c r="R993">
        <v>405813</v>
      </c>
    </row>
    <row r="994" spans="1:18" x14ac:dyDescent="0.25">
      <c r="A994" s="169">
        <v>44140</v>
      </c>
      <c r="B994" s="115">
        <v>62.24</v>
      </c>
      <c r="C994" s="115">
        <v>62.04</v>
      </c>
      <c r="D994" s="115">
        <v>60.066666666666698</v>
      </c>
      <c r="E994" s="115">
        <v>60.448888888888902</v>
      </c>
      <c r="F994" s="115">
        <v>697.95</v>
      </c>
      <c r="G994">
        <v>19405</v>
      </c>
      <c r="H994" s="115"/>
      <c r="I994" s="115"/>
      <c r="L994" s="169">
        <v>44140</v>
      </c>
      <c r="M994" s="115">
        <v>62.075555555555603</v>
      </c>
      <c r="N994" s="115">
        <v>62.2222222222222</v>
      </c>
      <c r="O994" s="115">
        <v>59.995555555555597</v>
      </c>
      <c r="P994" s="115">
        <v>60</v>
      </c>
      <c r="Q994" s="115">
        <v>698.35</v>
      </c>
      <c r="R994">
        <v>2190861</v>
      </c>
    </row>
    <row r="995" spans="1:18" x14ac:dyDescent="0.25">
      <c r="A995" s="169">
        <v>44141</v>
      </c>
      <c r="B995" s="115">
        <v>62.822222222222202</v>
      </c>
      <c r="C995" s="115">
        <v>61.755555555555603</v>
      </c>
      <c r="D995" s="115">
        <v>61.324444444444403</v>
      </c>
      <c r="E995" s="115">
        <v>62.6666666666667</v>
      </c>
      <c r="F995" s="115">
        <v>694.75</v>
      </c>
      <c r="G995">
        <v>2748</v>
      </c>
      <c r="H995" s="115"/>
      <c r="I995" s="115"/>
      <c r="L995" s="169">
        <v>44141</v>
      </c>
      <c r="M995" s="115">
        <v>61.715555555555603</v>
      </c>
      <c r="N995" s="115">
        <v>62.6666666666667</v>
      </c>
      <c r="O995" s="115">
        <v>61.364444444444402</v>
      </c>
      <c r="P995" s="115">
        <v>62.573333333333302</v>
      </c>
      <c r="Q995" s="115">
        <v>694.3</v>
      </c>
      <c r="R995">
        <v>117988</v>
      </c>
    </row>
    <row r="996" spans="1:18" x14ac:dyDescent="0.25">
      <c r="A996" s="169">
        <v>44144</v>
      </c>
      <c r="B996" s="115">
        <v>62.577777777777797</v>
      </c>
      <c r="C996" s="115">
        <v>61.5822222222222</v>
      </c>
      <c r="D996" s="115">
        <v>61.093333333333298</v>
      </c>
      <c r="E996" s="115">
        <v>61.822222222222202</v>
      </c>
      <c r="F996" s="115">
        <v>692.8</v>
      </c>
      <c r="G996">
        <v>6643</v>
      </c>
      <c r="H996" s="115"/>
      <c r="I996" s="115"/>
      <c r="L996" s="169">
        <v>44144</v>
      </c>
      <c r="M996" s="115">
        <v>61.497777777777799</v>
      </c>
      <c r="N996" s="115">
        <v>62.604444444444397</v>
      </c>
      <c r="O996" s="115">
        <v>61.155555555555601</v>
      </c>
      <c r="P996" s="115">
        <v>62.2222222222222</v>
      </c>
      <c r="Q996" s="115">
        <v>691.85</v>
      </c>
      <c r="R996">
        <v>106732</v>
      </c>
    </row>
    <row r="997" spans="1:18" x14ac:dyDescent="0.25">
      <c r="A997" s="169">
        <v>44145</v>
      </c>
      <c r="B997" s="115">
        <v>64.8</v>
      </c>
      <c r="C997" s="115">
        <v>64.324444444444396</v>
      </c>
      <c r="D997" s="115">
        <v>61.493333333333297</v>
      </c>
      <c r="E997" s="115">
        <v>61.702222222222197</v>
      </c>
      <c r="F997" s="115">
        <v>723.65</v>
      </c>
      <c r="G997">
        <v>24146</v>
      </c>
      <c r="H997" s="115"/>
      <c r="I997" s="115"/>
      <c r="L997" s="169">
        <v>44145</v>
      </c>
      <c r="M997" s="115">
        <v>64.426666666666705</v>
      </c>
      <c r="N997" s="115">
        <v>64.862222222222201</v>
      </c>
      <c r="O997" s="115">
        <v>61.355555555555597</v>
      </c>
      <c r="P997" s="115">
        <v>61.7777777777778</v>
      </c>
      <c r="Q997" s="115">
        <v>724.8</v>
      </c>
      <c r="R997">
        <v>264015</v>
      </c>
    </row>
    <row r="998" spans="1:18" x14ac:dyDescent="0.25">
      <c r="A998" s="169">
        <v>44146</v>
      </c>
      <c r="B998" s="115">
        <v>65.688888888888897</v>
      </c>
      <c r="C998" s="115">
        <v>65.511111111111106</v>
      </c>
      <c r="D998" s="115">
        <v>63.5555555555556</v>
      </c>
      <c r="E998" s="115">
        <v>63.5555555555556</v>
      </c>
      <c r="F998" s="115">
        <v>737</v>
      </c>
      <c r="G998">
        <v>3886</v>
      </c>
      <c r="H998" s="115"/>
      <c r="I998" s="115"/>
      <c r="L998" s="169">
        <v>44146</v>
      </c>
      <c r="M998" s="115">
        <v>65.506666666666703</v>
      </c>
      <c r="N998" s="115">
        <v>65.773333333333298</v>
      </c>
      <c r="O998" s="115">
        <v>64.12</v>
      </c>
      <c r="P998" s="115">
        <v>64.4444444444444</v>
      </c>
      <c r="Q998" s="115">
        <v>736.95</v>
      </c>
      <c r="R998">
        <v>275649</v>
      </c>
    </row>
    <row r="999" spans="1:18" x14ac:dyDescent="0.25">
      <c r="A999" s="169">
        <v>44147</v>
      </c>
      <c r="B999" s="115">
        <v>65.702222222222204</v>
      </c>
      <c r="C999" s="115">
        <v>63.773333333333298</v>
      </c>
      <c r="D999" s="115">
        <v>63.1111111111111</v>
      </c>
      <c r="E999" s="115">
        <v>65</v>
      </c>
      <c r="F999" s="115">
        <v>717.45</v>
      </c>
      <c r="G999">
        <v>7963</v>
      </c>
      <c r="H999" s="115"/>
      <c r="I999" s="115"/>
      <c r="L999" s="169">
        <v>44147</v>
      </c>
      <c r="M999" s="115">
        <v>63.684444444444502</v>
      </c>
      <c r="N999" s="115">
        <v>65.764444444444507</v>
      </c>
      <c r="O999" s="115">
        <v>63.115555555555602</v>
      </c>
      <c r="P999" s="115">
        <v>65.3333333333333</v>
      </c>
      <c r="Q999" s="115">
        <v>716.45</v>
      </c>
      <c r="R999">
        <v>275456</v>
      </c>
    </row>
    <row r="1000" spans="1:18" x14ac:dyDescent="0.25">
      <c r="A1000" s="169">
        <v>44148</v>
      </c>
      <c r="B1000" s="115">
        <v>66.6666666666667</v>
      </c>
      <c r="C1000" s="115">
        <v>65.84</v>
      </c>
      <c r="D1000" s="115">
        <v>63.213333333333303</v>
      </c>
      <c r="E1000" s="115">
        <v>63.471111111111099</v>
      </c>
      <c r="F1000" s="115">
        <v>740.7</v>
      </c>
      <c r="G1000">
        <v>320170</v>
      </c>
      <c r="H1000" s="115"/>
      <c r="I1000" s="115"/>
      <c r="L1000" s="169">
        <v>44148</v>
      </c>
      <c r="M1000" s="115">
        <v>65.991111111111096</v>
      </c>
      <c r="N1000" s="115">
        <v>66.6666666666667</v>
      </c>
      <c r="O1000" s="115">
        <v>63.2</v>
      </c>
      <c r="P1000" s="115">
        <v>64</v>
      </c>
      <c r="Q1000" s="115">
        <v>742.4</v>
      </c>
      <c r="R1000">
        <v>511792</v>
      </c>
    </row>
    <row r="1001" spans="1:18" x14ac:dyDescent="0.25">
      <c r="A1001" s="169">
        <v>44149</v>
      </c>
      <c r="B1001" s="115">
        <v>67.1111111111111</v>
      </c>
      <c r="C1001" s="115">
        <v>65.764444444444507</v>
      </c>
      <c r="D1001" s="115">
        <v>65.302222222222198</v>
      </c>
      <c r="E1001" s="115">
        <v>67.1111111111111</v>
      </c>
      <c r="F1001" s="115">
        <v>739.85</v>
      </c>
      <c r="G1001">
        <v>1243</v>
      </c>
      <c r="H1001" s="115"/>
      <c r="I1001" s="115"/>
      <c r="L1001" s="169">
        <v>44149</v>
      </c>
      <c r="M1001" s="115">
        <v>65.764444444444507</v>
      </c>
      <c r="N1001" s="115">
        <v>66.2222222222222</v>
      </c>
      <c r="O1001" s="115">
        <v>65.3333333333333</v>
      </c>
      <c r="P1001" s="115">
        <v>66.2222222222222</v>
      </c>
      <c r="Q1001" s="115">
        <v>739.85</v>
      </c>
      <c r="R1001">
        <v>16695</v>
      </c>
    </row>
    <row r="1002" spans="1:18" x14ac:dyDescent="0.25">
      <c r="A1002" s="169">
        <v>44152</v>
      </c>
      <c r="B1002" s="115">
        <v>66.2222222222222</v>
      </c>
      <c r="C1002" s="115">
        <v>66.106666666666698</v>
      </c>
      <c r="D1002" s="115">
        <v>64.604444444444397</v>
      </c>
      <c r="E1002" s="115">
        <v>65.7777777777778</v>
      </c>
      <c r="F1002" s="115">
        <v>743.7</v>
      </c>
      <c r="G1002">
        <v>7960</v>
      </c>
      <c r="H1002" s="115"/>
      <c r="I1002" s="115"/>
      <c r="L1002" s="169">
        <v>44152</v>
      </c>
      <c r="M1002" s="115">
        <v>66.128888888888895</v>
      </c>
      <c r="N1002" s="115">
        <v>66.2222222222222</v>
      </c>
      <c r="O1002" s="115">
        <v>64.631111111111096</v>
      </c>
      <c r="P1002" s="115">
        <v>65.3333333333333</v>
      </c>
      <c r="Q1002" s="115">
        <v>743.95</v>
      </c>
      <c r="R1002">
        <v>207506</v>
      </c>
    </row>
    <row r="1003" spans="1:18" x14ac:dyDescent="0.25">
      <c r="A1003" s="169">
        <v>44153</v>
      </c>
      <c r="B1003" s="115">
        <v>69.155555555555594</v>
      </c>
      <c r="C1003" s="115">
        <v>68.653333333333293</v>
      </c>
      <c r="D1003" s="115">
        <v>66.284444444444404</v>
      </c>
      <c r="E1003" s="115">
        <v>66.400000000000006</v>
      </c>
      <c r="F1003" s="115">
        <v>772.35</v>
      </c>
      <c r="G1003">
        <v>9048</v>
      </c>
      <c r="H1003" s="115"/>
      <c r="I1003" s="115"/>
      <c r="L1003" s="169">
        <v>44153</v>
      </c>
      <c r="M1003" s="115">
        <v>68.6666666666667</v>
      </c>
      <c r="N1003" s="115">
        <v>69.239999999999995</v>
      </c>
      <c r="O1003" s="115">
        <v>66.133333333333297</v>
      </c>
      <c r="P1003" s="115">
        <v>66.2222222222222</v>
      </c>
      <c r="Q1003" s="115">
        <v>772.5</v>
      </c>
      <c r="R1003">
        <v>615889</v>
      </c>
    </row>
    <row r="1004" spans="1:18" x14ac:dyDescent="0.25">
      <c r="A1004" s="169">
        <v>44154</v>
      </c>
      <c r="B1004" s="115">
        <v>68.8888888888889</v>
      </c>
      <c r="C1004" s="115">
        <v>68.231111111111105</v>
      </c>
      <c r="D1004" s="115">
        <v>67.226666666666702</v>
      </c>
      <c r="E1004" s="115">
        <v>68.266666666666694</v>
      </c>
      <c r="F1004" s="115">
        <v>767.6</v>
      </c>
      <c r="G1004">
        <v>4203</v>
      </c>
      <c r="H1004" s="115"/>
      <c r="I1004" s="115"/>
      <c r="L1004" s="169">
        <v>44154</v>
      </c>
      <c r="M1004" s="115">
        <v>68.315555555555505</v>
      </c>
      <c r="N1004" s="115">
        <v>69.066666666666706</v>
      </c>
      <c r="O1004" s="115">
        <v>67.1111111111111</v>
      </c>
      <c r="P1004" s="115">
        <v>68</v>
      </c>
      <c r="Q1004" s="115">
        <v>768.55</v>
      </c>
      <c r="R1004">
        <v>243492</v>
      </c>
    </row>
    <row r="1005" spans="1:18" x14ac:dyDescent="0.25">
      <c r="A1005" s="169">
        <v>44155</v>
      </c>
      <c r="B1005" s="115">
        <v>69.182222222222194</v>
      </c>
      <c r="C1005" s="115">
        <v>68.346666666666707</v>
      </c>
      <c r="D1005" s="115">
        <v>67.662222222222198</v>
      </c>
      <c r="E1005" s="115">
        <v>68.4444444444444</v>
      </c>
      <c r="F1005" s="115">
        <v>768.9</v>
      </c>
      <c r="G1005">
        <v>2482</v>
      </c>
      <c r="H1005" s="115"/>
      <c r="I1005" s="115"/>
      <c r="L1005" s="169">
        <v>44155</v>
      </c>
      <c r="M1005" s="115">
        <v>68.426666666666705</v>
      </c>
      <c r="N1005" s="115">
        <v>69.324444444444396</v>
      </c>
      <c r="O1005" s="115">
        <v>67.5555555555556</v>
      </c>
      <c r="P1005" s="115">
        <v>68.177777777777806</v>
      </c>
      <c r="Q1005" s="115">
        <v>769.8</v>
      </c>
      <c r="R1005">
        <v>204016</v>
      </c>
    </row>
    <row r="1006" spans="1:18" x14ac:dyDescent="0.25">
      <c r="A1006" s="169">
        <v>44158</v>
      </c>
      <c r="B1006" s="115">
        <v>69.155555555555594</v>
      </c>
      <c r="C1006" s="115">
        <v>66.911111111111097</v>
      </c>
      <c r="D1006" s="115">
        <v>66.684444444444495</v>
      </c>
      <c r="E1006" s="115">
        <v>69.155555555555594</v>
      </c>
      <c r="F1006" s="115">
        <v>752.75</v>
      </c>
      <c r="G1006">
        <v>1933</v>
      </c>
      <c r="H1006" s="115"/>
      <c r="I1006" s="115"/>
      <c r="L1006" s="169">
        <v>44158</v>
      </c>
      <c r="M1006" s="115">
        <v>67.217777777777798</v>
      </c>
      <c r="N1006" s="115">
        <v>69.3333333333333</v>
      </c>
      <c r="O1006" s="115">
        <v>66.6666666666667</v>
      </c>
      <c r="P1006" s="115">
        <v>68.4444444444444</v>
      </c>
      <c r="Q1006" s="115">
        <v>756.2</v>
      </c>
      <c r="R1006">
        <v>289306</v>
      </c>
    </row>
    <row r="1007" spans="1:18" x14ac:dyDescent="0.25">
      <c r="A1007" s="169">
        <v>44159</v>
      </c>
      <c r="B1007" s="115">
        <v>68.355555555555597</v>
      </c>
      <c r="C1007" s="115">
        <v>68.253333333333302</v>
      </c>
      <c r="D1007" s="115">
        <v>66.8044444444444</v>
      </c>
      <c r="E1007" s="115">
        <v>66.8044444444444</v>
      </c>
      <c r="F1007" s="115">
        <v>767.85</v>
      </c>
      <c r="G1007">
        <v>2555</v>
      </c>
      <c r="H1007" s="115"/>
      <c r="I1007" s="115"/>
      <c r="L1007" s="169">
        <v>44159</v>
      </c>
      <c r="M1007" s="115">
        <v>68.266666666666694</v>
      </c>
      <c r="N1007" s="115">
        <v>68.44</v>
      </c>
      <c r="O1007" s="115">
        <v>66.644444444444403</v>
      </c>
      <c r="P1007" s="115">
        <v>67.2</v>
      </c>
      <c r="Q1007" s="115">
        <v>768</v>
      </c>
      <c r="R1007">
        <v>139190</v>
      </c>
    </row>
    <row r="1008" spans="1:18" x14ac:dyDescent="0.25">
      <c r="A1008" s="169">
        <v>44160</v>
      </c>
      <c r="B1008" s="115">
        <v>68.391111111111101</v>
      </c>
      <c r="C1008" s="115">
        <v>67.115555555555503</v>
      </c>
      <c r="D1008" s="115">
        <v>66.742222222222196</v>
      </c>
      <c r="E1008" s="115">
        <v>68.226666666666702</v>
      </c>
      <c r="F1008" s="115">
        <v>755.05</v>
      </c>
      <c r="G1008">
        <v>972</v>
      </c>
      <c r="H1008" s="115"/>
      <c r="I1008" s="115"/>
      <c r="L1008" s="169">
        <v>44160</v>
      </c>
      <c r="M1008" s="115">
        <v>67.057777777777801</v>
      </c>
      <c r="N1008" s="115">
        <v>68.4444444444444</v>
      </c>
      <c r="O1008" s="115">
        <v>66.755555555555603</v>
      </c>
      <c r="P1008" s="115">
        <v>67.599999999999994</v>
      </c>
      <c r="Q1008" s="115">
        <v>754.4</v>
      </c>
      <c r="R1008">
        <v>130432</v>
      </c>
    </row>
    <row r="1009" spans="1:18" x14ac:dyDescent="0.25">
      <c r="A1009" s="169">
        <v>44161</v>
      </c>
      <c r="B1009" s="115">
        <v>69.733333333333306</v>
      </c>
      <c r="C1009" s="115">
        <v>69.133333333333297</v>
      </c>
      <c r="D1009" s="115">
        <v>66.2222222222222</v>
      </c>
      <c r="E1009" s="115">
        <v>66.2222222222222</v>
      </c>
      <c r="F1009" s="115">
        <v>777.75</v>
      </c>
      <c r="G1009">
        <v>23279</v>
      </c>
      <c r="H1009" s="115"/>
      <c r="I1009" s="115"/>
      <c r="L1009" s="169">
        <v>44161</v>
      </c>
      <c r="M1009" s="115">
        <v>69.115555555555503</v>
      </c>
      <c r="N1009" s="115">
        <v>69.7777777777778</v>
      </c>
      <c r="O1009" s="115">
        <v>67.404444444444394</v>
      </c>
      <c r="P1009" s="115">
        <v>67.52</v>
      </c>
      <c r="Q1009" s="115">
        <v>777.55</v>
      </c>
      <c r="R1009">
        <v>365772</v>
      </c>
    </row>
    <row r="1010" spans="1:18" x14ac:dyDescent="0.25">
      <c r="A1010" s="169">
        <v>44162</v>
      </c>
      <c r="B1010" s="115">
        <v>82.16</v>
      </c>
      <c r="C1010" s="115">
        <v>77.622222222222206</v>
      </c>
      <c r="D1010" s="115">
        <v>69.066666666666706</v>
      </c>
      <c r="E1010" s="115">
        <v>69.066666666666706</v>
      </c>
      <c r="F1010" s="115">
        <v>873.25</v>
      </c>
      <c r="G1010">
        <v>68187</v>
      </c>
      <c r="H1010" s="115"/>
      <c r="I1010" s="115"/>
      <c r="L1010" s="169">
        <v>44162</v>
      </c>
      <c r="M1010" s="115">
        <v>77.457777777777807</v>
      </c>
      <c r="N1010" s="115">
        <v>82.133333333333297</v>
      </c>
      <c r="O1010" s="115">
        <v>69.253333333333302</v>
      </c>
      <c r="P1010" s="115">
        <v>69.457777777777807</v>
      </c>
      <c r="Q1010" s="115">
        <v>871.4</v>
      </c>
      <c r="R1010">
        <v>2419944</v>
      </c>
    </row>
    <row r="1011" spans="1:18" x14ac:dyDescent="0.25">
      <c r="A1011" s="169">
        <v>44166</v>
      </c>
      <c r="B1011" s="115">
        <v>79.466666666666697</v>
      </c>
      <c r="C1011" s="115">
        <v>74.106666666666698</v>
      </c>
      <c r="D1011" s="115">
        <v>73.182222222222194</v>
      </c>
      <c r="E1011" s="115">
        <v>77.36</v>
      </c>
      <c r="F1011" s="115">
        <v>833.7</v>
      </c>
      <c r="G1011">
        <v>25757</v>
      </c>
      <c r="H1011" s="115"/>
      <c r="I1011" s="115"/>
      <c r="L1011" s="169">
        <v>44166</v>
      </c>
      <c r="M1011" s="115">
        <v>74.275555555555599</v>
      </c>
      <c r="N1011" s="115">
        <v>80</v>
      </c>
      <c r="O1011" s="115">
        <v>73.053333333333299</v>
      </c>
      <c r="P1011" s="115">
        <v>80</v>
      </c>
      <c r="Q1011" s="115">
        <v>835.6</v>
      </c>
      <c r="R1011">
        <v>679159</v>
      </c>
    </row>
    <row r="1012" spans="1:18" x14ac:dyDescent="0.25">
      <c r="A1012" s="169">
        <v>44167</v>
      </c>
      <c r="B1012" s="115">
        <v>78.613333333333301</v>
      </c>
      <c r="C1012" s="115">
        <v>77.466666666666697</v>
      </c>
      <c r="D1012" s="115">
        <v>73.217777777777798</v>
      </c>
      <c r="E1012" s="115">
        <v>74.6666666666667</v>
      </c>
      <c r="F1012" s="115">
        <v>871.5</v>
      </c>
      <c r="G1012">
        <v>10478</v>
      </c>
      <c r="H1012" s="115"/>
      <c r="I1012" s="115"/>
      <c r="L1012" s="169">
        <v>44167</v>
      </c>
      <c r="M1012" s="115">
        <v>77.36</v>
      </c>
      <c r="N1012" s="115">
        <v>78.6666666666667</v>
      </c>
      <c r="O1012" s="115">
        <v>73.155555555555594</v>
      </c>
      <c r="P1012" s="115">
        <v>74.275555555555599</v>
      </c>
      <c r="Q1012" s="115">
        <v>870.3</v>
      </c>
      <c r="R1012">
        <v>446312</v>
      </c>
    </row>
    <row r="1013" spans="1:18" x14ac:dyDescent="0.25">
      <c r="A1013" s="169">
        <v>44168</v>
      </c>
      <c r="B1013" s="115">
        <v>78.36</v>
      </c>
      <c r="C1013" s="115">
        <v>75.128888888888895</v>
      </c>
      <c r="D1013" s="115">
        <v>74.311111111111103</v>
      </c>
      <c r="E1013" s="115">
        <v>77.511111111111106</v>
      </c>
      <c r="F1013" s="115">
        <v>845.2</v>
      </c>
      <c r="G1013">
        <v>14734</v>
      </c>
      <c r="H1013" s="115"/>
      <c r="I1013" s="115"/>
      <c r="L1013" s="169">
        <v>44168</v>
      </c>
      <c r="M1013" s="115">
        <v>75.235555555555607</v>
      </c>
      <c r="N1013" s="115">
        <v>78.6666666666667</v>
      </c>
      <c r="O1013" s="115">
        <v>74.6666666666667</v>
      </c>
      <c r="P1013" s="115">
        <v>76.4444444444444</v>
      </c>
      <c r="Q1013" s="115">
        <v>846.4</v>
      </c>
      <c r="R1013">
        <v>268179</v>
      </c>
    </row>
    <row r="1014" spans="1:18" x14ac:dyDescent="0.25">
      <c r="A1014" s="169">
        <v>44169</v>
      </c>
      <c r="B1014" s="115">
        <v>76</v>
      </c>
      <c r="C1014" s="115">
        <v>74.3333333333333</v>
      </c>
      <c r="D1014" s="115">
        <v>73.955555555555506</v>
      </c>
      <c r="E1014" s="115">
        <v>76</v>
      </c>
      <c r="F1014" s="115">
        <v>836.25</v>
      </c>
      <c r="G1014">
        <v>6018</v>
      </c>
      <c r="H1014" s="115"/>
      <c r="I1014" s="115"/>
      <c r="L1014" s="169">
        <v>44169</v>
      </c>
      <c r="M1014" s="115">
        <v>74.257777777777804</v>
      </c>
      <c r="N1014" s="115">
        <v>76.346666666666707</v>
      </c>
      <c r="O1014" s="115">
        <v>73.866666666666703</v>
      </c>
      <c r="P1014" s="115">
        <v>75.64</v>
      </c>
      <c r="Q1014" s="115">
        <v>835.4</v>
      </c>
      <c r="R1014">
        <v>205982</v>
      </c>
    </row>
    <row r="1015" spans="1:18" x14ac:dyDescent="0.25">
      <c r="A1015" s="169">
        <v>44172</v>
      </c>
      <c r="B1015" s="115">
        <v>76.8888888888889</v>
      </c>
      <c r="C1015" s="115">
        <v>76.466666666666697</v>
      </c>
      <c r="D1015" s="115">
        <v>74.3333333333333</v>
      </c>
      <c r="E1015" s="115">
        <v>74.3333333333333</v>
      </c>
      <c r="F1015" s="115">
        <v>860.25</v>
      </c>
      <c r="G1015">
        <v>11887</v>
      </c>
      <c r="H1015" s="115"/>
      <c r="I1015" s="115"/>
      <c r="L1015" s="169">
        <v>44172</v>
      </c>
      <c r="M1015" s="115">
        <v>76.457777777777807</v>
      </c>
      <c r="N1015" s="115">
        <v>76.8888888888889</v>
      </c>
      <c r="O1015" s="115">
        <v>74.2222222222222</v>
      </c>
      <c r="P1015" s="115">
        <v>74.6666666666667</v>
      </c>
      <c r="Q1015" s="115">
        <v>860.15</v>
      </c>
      <c r="R1015">
        <v>230482</v>
      </c>
    </row>
    <row r="1016" spans="1:18" x14ac:dyDescent="0.25">
      <c r="A1016" s="169">
        <v>44173</v>
      </c>
      <c r="B1016" s="115">
        <v>79.1111111111111</v>
      </c>
      <c r="C1016" s="115">
        <v>78.506666666666703</v>
      </c>
      <c r="D1016" s="115">
        <v>76.977777777777803</v>
      </c>
      <c r="E1016" s="115">
        <v>76.977777777777803</v>
      </c>
      <c r="F1016" s="115">
        <v>883.2</v>
      </c>
      <c r="G1016">
        <v>26771</v>
      </c>
      <c r="H1016" s="115"/>
      <c r="I1016" s="115"/>
      <c r="L1016" s="169">
        <v>44173</v>
      </c>
      <c r="M1016" s="115">
        <v>78.6933333333333</v>
      </c>
      <c r="N1016" s="115">
        <v>79.1111111111111</v>
      </c>
      <c r="O1016" s="115">
        <v>76.835555555555601</v>
      </c>
      <c r="P1016" s="115">
        <v>76.835555555555601</v>
      </c>
      <c r="Q1016" s="115">
        <v>885.3</v>
      </c>
      <c r="R1016">
        <v>690286</v>
      </c>
    </row>
    <row r="1017" spans="1:18" x14ac:dyDescent="0.25">
      <c r="A1017" s="169">
        <v>44174</v>
      </c>
      <c r="B1017" s="115">
        <v>80.933333333333294</v>
      </c>
      <c r="C1017" s="115">
        <v>80.591111111111104</v>
      </c>
      <c r="D1017" s="115">
        <v>78.986666666666693</v>
      </c>
      <c r="E1017" s="115">
        <v>79.1111111111111</v>
      </c>
      <c r="F1017" s="115">
        <v>906.65</v>
      </c>
      <c r="G1017">
        <v>10211</v>
      </c>
      <c r="H1017" s="115"/>
      <c r="I1017" s="115"/>
      <c r="L1017" s="169">
        <v>44174</v>
      </c>
      <c r="M1017" s="115">
        <v>80.648888888888905</v>
      </c>
      <c r="N1017" s="115">
        <v>80.8888888888889</v>
      </c>
      <c r="O1017" s="115">
        <v>78.848888888888894</v>
      </c>
      <c r="P1017" s="115">
        <v>79.377777777777794</v>
      </c>
      <c r="Q1017" s="115">
        <v>907.3</v>
      </c>
      <c r="R1017">
        <v>653620</v>
      </c>
    </row>
    <row r="1018" spans="1:18" x14ac:dyDescent="0.25">
      <c r="A1018" s="169">
        <v>44175</v>
      </c>
      <c r="B1018" s="115">
        <v>81.293333333333294</v>
      </c>
      <c r="C1018" s="115">
        <v>80.946666666666701</v>
      </c>
      <c r="D1018" s="115">
        <v>79.648888888888905</v>
      </c>
      <c r="E1018" s="115">
        <v>80.5555555555556</v>
      </c>
      <c r="F1018" s="115">
        <v>910.65</v>
      </c>
      <c r="G1018">
        <v>4692</v>
      </c>
      <c r="H1018" s="115"/>
      <c r="I1018" s="115"/>
      <c r="L1018" s="169">
        <v>44175</v>
      </c>
      <c r="M1018" s="115">
        <v>80.964444444444496</v>
      </c>
      <c r="N1018" s="115">
        <v>81.244444444444397</v>
      </c>
      <c r="O1018" s="115">
        <v>79.644444444444403</v>
      </c>
      <c r="P1018" s="115">
        <v>80.711111111111094</v>
      </c>
      <c r="Q1018" s="115">
        <v>910.85</v>
      </c>
      <c r="R1018">
        <v>389770</v>
      </c>
    </row>
    <row r="1019" spans="1:18" x14ac:dyDescent="0.25">
      <c r="A1019" s="169">
        <v>44176</v>
      </c>
      <c r="B1019" s="115">
        <v>81.599999999999994</v>
      </c>
      <c r="C1019" s="115">
        <v>80.831111111111099</v>
      </c>
      <c r="D1019" s="115">
        <v>80.448888888888902</v>
      </c>
      <c r="E1019" s="115">
        <v>81.435555555555595</v>
      </c>
      <c r="F1019" s="115">
        <v>909.35</v>
      </c>
      <c r="G1019">
        <v>2138</v>
      </c>
      <c r="H1019" s="115"/>
      <c r="I1019" s="115"/>
      <c r="L1019" s="169">
        <v>44176</v>
      </c>
      <c r="M1019" s="115">
        <v>80.893333333333302</v>
      </c>
      <c r="N1019" s="115">
        <v>81.822222222222194</v>
      </c>
      <c r="O1019" s="115">
        <v>80.435555555555595</v>
      </c>
      <c r="P1019" s="115">
        <v>81.7777777777778</v>
      </c>
      <c r="Q1019" s="115">
        <v>910.05</v>
      </c>
      <c r="R1019">
        <v>471886</v>
      </c>
    </row>
    <row r="1020" spans="1:18" x14ac:dyDescent="0.25">
      <c r="A1020" s="169">
        <v>44179</v>
      </c>
      <c r="B1020" s="115">
        <v>81.773333333333298</v>
      </c>
      <c r="C1020" s="115">
        <v>80.128888888888895</v>
      </c>
      <c r="D1020" s="115">
        <v>78.968888888888898</v>
      </c>
      <c r="E1020" s="115">
        <v>81.688888888888897</v>
      </c>
      <c r="F1020" s="115">
        <v>901.45</v>
      </c>
      <c r="G1020">
        <v>11096</v>
      </c>
      <c r="H1020" s="115"/>
      <c r="I1020" s="115"/>
      <c r="L1020" s="169">
        <v>44179</v>
      </c>
      <c r="M1020" s="115">
        <v>80.168888888888901</v>
      </c>
      <c r="N1020" s="115">
        <v>81.671111111111102</v>
      </c>
      <c r="O1020" s="115">
        <v>78.995555555555597</v>
      </c>
      <c r="P1020" s="115">
        <v>81.328888888888898</v>
      </c>
      <c r="Q1020" s="115">
        <v>901.9</v>
      </c>
      <c r="R1020">
        <v>542609</v>
      </c>
    </row>
    <row r="1021" spans="1:18" x14ac:dyDescent="0.25">
      <c r="A1021" s="169">
        <v>44180</v>
      </c>
      <c r="B1021" s="115">
        <v>82.008888888888904</v>
      </c>
      <c r="C1021" s="115">
        <v>81.728888888888903</v>
      </c>
      <c r="D1021" s="115">
        <v>80.262222222222206</v>
      </c>
      <c r="E1021" s="115">
        <v>81.328888888888898</v>
      </c>
      <c r="F1021" s="115">
        <v>919.45</v>
      </c>
      <c r="G1021">
        <v>8976</v>
      </c>
      <c r="H1021" s="115"/>
      <c r="I1021" s="115"/>
      <c r="L1021" s="169">
        <v>44180</v>
      </c>
      <c r="M1021" s="115">
        <v>81.728888888888903</v>
      </c>
      <c r="N1021" s="115">
        <v>82.044444444444494</v>
      </c>
      <c r="O1021" s="115">
        <v>80.284444444444404</v>
      </c>
      <c r="P1021" s="115">
        <v>80.622222222222206</v>
      </c>
      <c r="Q1021" s="115">
        <v>919.45</v>
      </c>
      <c r="R1021">
        <v>264142</v>
      </c>
    </row>
    <row r="1022" spans="1:18" x14ac:dyDescent="0.25">
      <c r="A1022" s="169">
        <v>44181</v>
      </c>
      <c r="B1022" s="115">
        <v>87.377777777777794</v>
      </c>
      <c r="C1022" s="115">
        <v>86.608888888888899</v>
      </c>
      <c r="D1022" s="115">
        <v>80.826666666666696</v>
      </c>
      <c r="E1022" s="115">
        <v>80.826666666666696</v>
      </c>
      <c r="F1022" s="115">
        <v>974.35</v>
      </c>
      <c r="G1022">
        <v>26073</v>
      </c>
      <c r="H1022" s="115"/>
      <c r="I1022" s="115"/>
      <c r="L1022" s="169">
        <v>44181</v>
      </c>
      <c r="M1022" s="115">
        <v>86.657777777777795</v>
      </c>
      <c r="N1022" s="115">
        <v>87.466666666666697</v>
      </c>
      <c r="O1022" s="115">
        <v>81.924444444444404</v>
      </c>
      <c r="P1022" s="115">
        <v>82.2222222222222</v>
      </c>
      <c r="Q1022" s="115">
        <v>974.9</v>
      </c>
      <c r="R1022">
        <v>685215</v>
      </c>
    </row>
    <row r="1023" spans="1:18" x14ac:dyDescent="0.25">
      <c r="A1023" s="169">
        <v>44182</v>
      </c>
      <c r="B1023" s="115">
        <v>88.808888888888902</v>
      </c>
      <c r="C1023" s="115">
        <v>86.933333333333294</v>
      </c>
      <c r="D1023" s="115">
        <v>85.066666666666706</v>
      </c>
      <c r="E1023" s="115">
        <v>86.715555555555596</v>
      </c>
      <c r="F1023" s="115">
        <v>978</v>
      </c>
      <c r="G1023">
        <v>25828</v>
      </c>
      <c r="H1023" s="115"/>
      <c r="I1023" s="115"/>
      <c r="L1023" s="169">
        <v>44182</v>
      </c>
      <c r="M1023" s="115">
        <v>87.2222222222222</v>
      </c>
      <c r="N1023" s="115">
        <v>88.866666666666703</v>
      </c>
      <c r="O1023" s="115">
        <v>85.586666666666702</v>
      </c>
      <c r="P1023" s="115">
        <v>87.12</v>
      </c>
      <c r="Q1023" s="115">
        <v>981.25</v>
      </c>
      <c r="R1023">
        <v>745112</v>
      </c>
    </row>
    <row r="1024" spans="1:18" x14ac:dyDescent="0.25">
      <c r="A1024" s="169">
        <v>44183</v>
      </c>
      <c r="B1024" s="115">
        <v>88.711111111111094</v>
      </c>
      <c r="C1024" s="115">
        <v>86.186666666666696</v>
      </c>
      <c r="D1024" s="115">
        <v>84.6666666666667</v>
      </c>
      <c r="E1024" s="115">
        <v>88.711111111111094</v>
      </c>
      <c r="F1024" s="115">
        <v>969.6</v>
      </c>
      <c r="G1024">
        <v>7288</v>
      </c>
      <c r="H1024" s="115"/>
      <c r="I1024" s="115"/>
      <c r="L1024" s="169">
        <v>44183</v>
      </c>
      <c r="M1024" s="115">
        <v>86.137777777777799</v>
      </c>
      <c r="N1024" s="115">
        <v>88.177777777777806</v>
      </c>
      <c r="O1024" s="115">
        <v>84.56</v>
      </c>
      <c r="P1024" s="115">
        <v>87.84</v>
      </c>
      <c r="Q1024" s="115">
        <v>969.05</v>
      </c>
      <c r="R1024">
        <v>230905</v>
      </c>
    </row>
    <row r="1025" spans="1:18" x14ac:dyDescent="0.25">
      <c r="A1025" s="169">
        <v>44186</v>
      </c>
      <c r="B1025" s="115">
        <v>86.128888888888895</v>
      </c>
      <c r="C1025" s="115">
        <v>80.386666666666699</v>
      </c>
      <c r="D1025" s="115">
        <v>76.795555555555595</v>
      </c>
      <c r="E1025" s="115">
        <v>86.128888888888895</v>
      </c>
      <c r="F1025" s="115">
        <v>904.35</v>
      </c>
      <c r="G1025">
        <v>43150</v>
      </c>
      <c r="H1025" s="115"/>
      <c r="I1025" s="115"/>
      <c r="L1025" s="169">
        <v>44186</v>
      </c>
      <c r="M1025" s="115">
        <v>80.684444444444495</v>
      </c>
      <c r="N1025" s="115">
        <v>86.008888888888904</v>
      </c>
      <c r="O1025" s="115">
        <v>76.715555555555596</v>
      </c>
      <c r="P1025" s="115">
        <v>85.866666666666703</v>
      </c>
      <c r="Q1025" s="115">
        <v>907.7</v>
      </c>
      <c r="R1025">
        <v>304195</v>
      </c>
    </row>
    <row r="1026" spans="1:18" x14ac:dyDescent="0.25">
      <c r="A1026" s="169">
        <v>44187</v>
      </c>
      <c r="B1026" s="115">
        <v>81.515555555555594</v>
      </c>
      <c r="C1026" s="115">
        <v>80.902222222222207</v>
      </c>
      <c r="D1026" s="115">
        <v>75.791111111111107</v>
      </c>
      <c r="E1026" s="115">
        <v>75.791111111111107</v>
      </c>
      <c r="F1026" s="115">
        <v>910.15</v>
      </c>
      <c r="G1026">
        <v>12599</v>
      </c>
      <c r="H1026" s="115"/>
      <c r="I1026" s="115"/>
      <c r="L1026" s="169">
        <v>44187</v>
      </c>
      <c r="M1026" s="115">
        <v>80.822222222222194</v>
      </c>
      <c r="N1026" s="115">
        <v>81.511111111111106</v>
      </c>
      <c r="O1026" s="115">
        <v>77</v>
      </c>
      <c r="P1026" s="115">
        <v>80.622222222222206</v>
      </c>
      <c r="Q1026" s="115">
        <v>909.25</v>
      </c>
      <c r="R1026">
        <v>212870</v>
      </c>
    </row>
    <row r="1027" spans="1:18" x14ac:dyDescent="0.25">
      <c r="A1027" s="169">
        <v>44188</v>
      </c>
      <c r="B1027" s="115">
        <v>83.946666666666701</v>
      </c>
      <c r="C1027" s="115">
        <v>80.271111111111097</v>
      </c>
      <c r="D1027" s="115">
        <v>78.2222222222222</v>
      </c>
      <c r="E1027" s="115">
        <v>80.8888888888889</v>
      </c>
      <c r="F1027" s="115">
        <v>903.05</v>
      </c>
      <c r="G1027">
        <v>18727</v>
      </c>
      <c r="H1027" s="115"/>
      <c r="I1027" s="115"/>
      <c r="L1027" s="169">
        <v>44188</v>
      </c>
      <c r="M1027" s="115">
        <v>80.453333333333305</v>
      </c>
      <c r="N1027" s="115">
        <v>83.991111111111096</v>
      </c>
      <c r="O1027" s="115">
        <v>78.231111111111105</v>
      </c>
      <c r="P1027" s="115">
        <v>81.142222222222202</v>
      </c>
      <c r="Q1027" s="115">
        <v>905.1</v>
      </c>
      <c r="R1027">
        <v>240217</v>
      </c>
    </row>
    <row r="1028" spans="1:18" x14ac:dyDescent="0.25">
      <c r="A1028" s="169">
        <v>44189</v>
      </c>
      <c r="B1028" s="115">
        <v>82.84</v>
      </c>
      <c r="C1028" s="115">
        <v>81.599999999999994</v>
      </c>
      <c r="D1028" s="115">
        <v>79.831111111111099</v>
      </c>
      <c r="E1028" s="115">
        <v>80.177777777777806</v>
      </c>
      <c r="F1028" s="115">
        <v>918</v>
      </c>
      <c r="G1028">
        <v>13393</v>
      </c>
      <c r="H1028" s="115"/>
      <c r="I1028" s="115"/>
      <c r="L1028" s="169">
        <v>44189</v>
      </c>
      <c r="M1028" s="115">
        <v>81.591111111111104</v>
      </c>
      <c r="N1028" s="115">
        <v>82.844444444444406</v>
      </c>
      <c r="O1028" s="115">
        <v>79.5555555555556</v>
      </c>
      <c r="P1028" s="115">
        <v>80.4444444444444</v>
      </c>
      <c r="Q1028" s="115">
        <v>917.9</v>
      </c>
      <c r="R1028">
        <v>234063</v>
      </c>
    </row>
    <row r="1029" spans="1:18" x14ac:dyDescent="0.25">
      <c r="A1029" s="169">
        <v>44193</v>
      </c>
      <c r="B1029" s="115">
        <v>82.391111111111101</v>
      </c>
      <c r="C1029" s="115">
        <v>79.737777777777794</v>
      </c>
      <c r="D1029" s="115">
        <v>78.875555555555593</v>
      </c>
      <c r="E1029" s="115">
        <v>82.2222222222222</v>
      </c>
      <c r="F1029" s="115">
        <v>897.05</v>
      </c>
      <c r="G1029">
        <v>13394</v>
      </c>
      <c r="H1029" s="115"/>
      <c r="I1029" s="115"/>
      <c r="L1029" s="169">
        <v>44193</v>
      </c>
      <c r="M1029" s="115">
        <v>79.724444444444401</v>
      </c>
      <c r="N1029" s="115">
        <v>82.311111111111103</v>
      </c>
      <c r="O1029" s="115">
        <v>78.933333333333294</v>
      </c>
      <c r="P1029" s="115">
        <v>81.733333333333306</v>
      </c>
      <c r="Q1029" s="115">
        <v>896.9</v>
      </c>
      <c r="R1029">
        <v>144981</v>
      </c>
    </row>
    <row r="1030" spans="1:18" x14ac:dyDescent="0.25">
      <c r="A1030" s="169">
        <v>44194</v>
      </c>
      <c r="B1030" s="115">
        <v>81.688888888888897</v>
      </c>
      <c r="C1030" s="115">
        <v>80.1111111111111</v>
      </c>
      <c r="D1030" s="115">
        <v>79.355555555555597</v>
      </c>
      <c r="E1030" s="115">
        <v>81.688888888888897</v>
      </c>
      <c r="F1030" s="115">
        <v>901.25</v>
      </c>
      <c r="G1030">
        <v>9078</v>
      </c>
      <c r="H1030" s="115"/>
      <c r="I1030" s="115"/>
      <c r="L1030" s="169">
        <v>44194</v>
      </c>
      <c r="M1030" s="115">
        <v>80.2</v>
      </c>
      <c r="N1030" s="115">
        <v>80.8</v>
      </c>
      <c r="O1030" s="115">
        <v>79.297777777777796</v>
      </c>
      <c r="P1030" s="115">
        <v>80.355555555555597</v>
      </c>
      <c r="Q1030" s="115">
        <v>902.25</v>
      </c>
      <c r="R1030">
        <v>139172</v>
      </c>
    </row>
    <row r="1031" spans="1:18" x14ac:dyDescent="0.25">
      <c r="A1031" s="169">
        <v>44195</v>
      </c>
      <c r="B1031" s="115">
        <v>81.422222222222203</v>
      </c>
      <c r="C1031" s="115">
        <v>80.36</v>
      </c>
      <c r="D1031" s="115">
        <v>78.84</v>
      </c>
      <c r="E1031" s="115">
        <v>80.177777777777806</v>
      </c>
      <c r="F1031" s="115">
        <v>904.05</v>
      </c>
      <c r="G1031">
        <v>8609</v>
      </c>
      <c r="H1031" s="115"/>
      <c r="I1031" s="115"/>
      <c r="L1031" s="169">
        <v>44195</v>
      </c>
      <c r="M1031" s="115">
        <v>80.235555555555607</v>
      </c>
      <c r="N1031" s="115">
        <v>81.502222222222201</v>
      </c>
      <c r="O1031" s="115">
        <v>78.844444444444406</v>
      </c>
      <c r="P1031" s="115">
        <v>80.435555555555595</v>
      </c>
      <c r="Q1031" s="115">
        <v>902.65</v>
      </c>
      <c r="R1031">
        <v>357235</v>
      </c>
    </row>
    <row r="1032" spans="1:18" x14ac:dyDescent="0.25">
      <c r="A1032" s="169">
        <v>44196</v>
      </c>
      <c r="B1032" s="115">
        <v>82.146666666666704</v>
      </c>
      <c r="C1032" s="115">
        <v>81.373333333333306</v>
      </c>
      <c r="D1032" s="115">
        <v>80.088888888888903</v>
      </c>
      <c r="E1032" s="115">
        <v>80.568888888888907</v>
      </c>
      <c r="F1032" s="115">
        <v>915.45</v>
      </c>
      <c r="G1032">
        <v>16784</v>
      </c>
      <c r="H1032" s="115"/>
      <c r="I1032" s="115"/>
      <c r="L1032" s="169">
        <v>44196</v>
      </c>
      <c r="M1032" s="115">
        <v>81.426666666666705</v>
      </c>
      <c r="N1032" s="115">
        <v>82.2222222222222</v>
      </c>
      <c r="O1032" s="115">
        <v>80.093333333333305</v>
      </c>
      <c r="P1032" s="115">
        <v>80.622222222222206</v>
      </c>
      <c r="Q1032" s="115">
        <v>916.05</v>
      </c>
      <c r="R1032">
        <v>259528</v>
      </c>
    </row>
    <row r="1033" spans="1:18" x14ac:dyDescent="0.25">
      <c r="A1033" s="169">
        <v>44197</v>
      </c>
      <c r="B1033" s="115">
        <v>81.822222222222194</v>
      </c>
      <c r="C1033" s="115">
        <v>80.764444444444507</v>
      </c>
      <c r="D1033" s="115">
        <v>80.271111111111097</v>
      </c>
      <c r="E1033" s="115">
        <v>81.524444444444399</v>
      </c>
      <c r="F1033" s="115">
        <v>908.6</v>
      </c>
      <c r="G1033">
        <v>7400</v>
      </c>
      <c r="H1033" s="115"/>
      <c r="I1033" s="115"/>
      <c r="L1033" s="169">
        <v>44197</v>
      </c>
      <c r="M1033" s="115">
        <v>80.706666666666706</v>
      </c>
      <c r="N1033" s="115">
        <v>81.942222222222199</v>
      </c>
      <c r="O1033" s="115">
        <v>80.266666666666694</v>
      </c>
      <c r="P1033" s="115">
        <v>81.066666666666706</v>
      </c>
      <c r="Q1033" s="115">
        <v>907.95</v>
      </c>
      <c r="R1033">
        <v>192511</v>
      </c>
    </row>
    <row r="1034" spans="1:18" x14ac:dyDescent="0.25">
      <c r="A1034" s="169">
        <v>44200</v>
      </c>
      <c r="B1034" s="115">
        <v>85.853333333333296</v>
      </c>
      <c r="C1034" s="115">
        <v>84.8044444444444</v>
      </c>
      <c r="D1034" s="115">
        <v>80.706666666666706</v>
      </c>
      <c r="E1034" s="115">
        <v>81.275555555555599</v>
      </c>
      <c r="F1034" s="115">
        <v>954.05</v>
      </c>
      <c r="G1034">
        <v>36265</v>
      </c>
      <c r="H1034" s="115"/>
      <c r="I1034" s="115"/>
      <c r="L1034" s="169">
        <v>44200</v>
      </c>
      <c r="M1034" s="115">
        <v>84.5555555555556</v>
      </c>
      <c r="N1034" s="115">
        <v>85.422222222222203</v>
      </c>
      <c r="O1034" s="115">
        <v>80.497777777777799</v>
      </c>
      <c r="P1034" s="115">
        <v>80.8888888888889</v>
      </c>
      <c r="Q1034" s="115">
        <v>951.25</v>
      </c>
      <c r="R1034">
        <v>586508</v>
      </c>
    </row>
    <row r="1035" spans="1:18" x14ac:dyDescent="0.25">
      <c r="A1035" s="169">
        <v>44201</v>
      </c>
      <c r="B1035" s="115">
        <v>86.924444444444404</v>
      </c>
      <c r="C1035" s="115">
        <v>85.866666666666703</v>
      </c>
      <c r="D1035" s="115">
        <v>83.866666666666703</v>
      </c>
      <c r="E1035" s="115">
        <v>83.866666666666703</v>
      </c>
      <c r="F1035" s="115">
        <v>966</v>
      </c>
      <c r="G1035">
        <v>20677</v>
      </c>
      <c r="H1035" s="115"/>
      <c r="I1035" s="115"/>
      <c r="L1035" s="169">
        <v>44201</v>
      </c>
      <c r="M1035" s="115">
        <v>85.906666666666695</v>
      </c>
      <c r="N1035" s="115">
        <v>86.906666666666695</v>
      </c>
      <c r="O1035" s="115">
        <v>84.644444444444403</v>
      </c>
      <c r="P1035" s="115">
        <v>84.8888888888889</v>
      </c>
      <c r="Q1035" s="115">
        <v>966.45</v>
      </c>
      <c r="R1035">
        <v>281957</v>
      </c>
    </row>
    <row r="1036" spans="1:18" x14ac:dyDescent="0.25">
      <c r="A1036" s="169">
        <v>44202</v>
      </c>
      <c r="B1036" s="115">
        <v>86.662222222222198</v>
      </c>
      <c r="C1036" s="115">
        <v>85.506666666666703</v>
      </c>
      <c r="D1036" s="115">
        <v>84.626666666666694</v>
      </c>
      <c r="E1036" s="115">
        <v>86.071111111111094</v>
      </c>
      <c r="F1036" s="115">
        <v>961.95</v>
      </c>
      <c r="G1036">
        <v>9219</v>
      </c>
      <c r="H1036" s="115"/>
      <c r="I1036" s="115"/>
      <c r="L1036" s="169">
        <v>44202</v>
      </c>
      <c r="M1036" s="115">
        <v>85.342222222222205</v>
      </c>
      <c r="N1036" s="115">
        <v>86.6666666666667</v>
      </c>
      <c r="O1036" s="115">
        <v>84.711111111111094</v>
      </c>
      <c r="P1036" s="115">
        <v>86.044444444444494</v>
      </c>
      <c r="Q1036" s="115">
        <v>960.1</v>
      </c>
      <c r="R1036">
        <v>171532</v>
      </c>
    </row>
    <row r="1037" spans="1:18" x14ac:dyDescent="0.25">
      <c r="A1037" s="169">
        <v>44203</v>
      </c>
      <c r="B1037" s="115">
        <v>88.142222222222202</v>
      </c>
      <c r="C1037" s="115">
        <v>87.648888888888905</v>
      </c>
      <c r="D1037" s="115">
        <v>85.537777777777805</v>
      </c>
      <c r="E1037" s="115">
        <v>86.133333333333297</v>
      </c>
      <c r="F1037" s="115">
        <v>986.05</v>
      </c>
      <c r="G1037">
        <v>17497</v>
      </c>
      <c r="H1037" s="115"/>
      <c r="I1037" s="115"/>
      <c r="L1037" s="169">
        <v>44203</v>
      </c>
      <c r="M1037" s="115">
        <v>87.6</v>
      </c>
      <c r="N1037" s="115">
        <v>88.177777777777806</v>
      </c>
      <c r="O1037" s="115">
        <v>85.448888888888902</v>
      </c>
      <c r="P1037" s="115">
        <v>86.4444444444444</v>
      </c>
      <c r="Q1037" s="115">
        <v>985.5</v>
      </c>
      <c r="R1037">
        <v>307737</v>
      </c>
    </row>
    <row r="1038" spans="1:18" x14ac:dyDescent="0.25">
      <c r="A1038" s="169">
        <v>44204</v>
      </c>
      <c r="B1038" s="115">
        <v>90.2222222222222</v>
      </c>
      <c r="C1038" s="115">
        <v>88.017777777777795</v>
      </c>
      <c r="D1038" s="115">
        <v>86.391111111111101</v>
      </c>
      <c r="E1038" s="115">
        <v>88.622222222222206</v>
      </c>
      <c r="F1038" s="115">
        <v>990.2</v>
      </c>
      <c r="G1038">
        <v>20572</v>
      </c>
      <c r="H1038" s="115"/>
      <c r="I1038" s="115"/>
      <c r="L1038" s="169">
        <v>44204</v>
      </c>
      <c r="M1038" s="115">
        <v>88.008888888888904</v>
      </c>
      <c r="N1038" s="115">
        <v>90.231111111111105</v>
      </c>
      <c r="O1038" s="115">
        <v>86.475555555555601</v>
      </c>
      <c r="P1038" s="115">
        <v>87.608888888888899</v>
      </c>
      <c r="Q1038" s="115">
        <v>990.1</v>
      </c>
      <c r="R1038">
        <v>253110</v>
      </c>
    </row>
    <row r="1039" spans="1:18" x14ac:dyDescent="0.25">
      <c r="A1039" s="169">
        <v>44207</v>
      </c>
      <c r="B1039" s="115">
        <v>94.746666666666698</v>
      </c>
      <c r="C1039" s="115">
        <v>88.586666666666702</v>
      </c>
      <c r="D1039" s="115">
        <v>87.506666666666703</v>
      </c>
      <c r="E1039" s="115">
        <v>88.088888888888903</v>
      </c>
      <c r="F1039" s="115">
        <v>996.6</v>
      </c>
      <c r="G1039">
        <v>34389</v>
      </c>
      <c r="H1039" s="115"/>
      <c r="I1039" s="115"/>
      <c r="L1039" s="169">
        <v>44207</v>
      </c>
      <c r="M1039" s="115">
        <v>88.5555555555556</v>
      </c>
      <c r="N1039" s="115">
        <v>94.791111111111107</v>
      </c>
      <c r="O1039" s="115">
        <v>87.466666666666697</v>
      </c>
      <c r="P1039" s="115">
        <v>88.8</v>
      </c>
      <c r="Q1039" s="115">
        <v>996.25</v>
      </c>
      <c r="R1039">
        <v>544461</v>
      </c>
    </row>
    <row r="1040" spans="1:18" x14ac:dyDescent="0.25">
      <c r="A1040" s="169">
        <v>44208</v>
      </c>
      <c r="B1040" s="115">
        <v>89.475555555555601</v>
      </c>
      <c r="C1040" s="115">
        <v>86.217777777777798</v>
      </c>
      <c r="D1040" s="115">
        <v>85.8888888888889</v>
      </c>
      <c r="E1040" s="115">
        <v>88.586666666666702</v>
      </c>
      <c r="F1040" s="115">
        <v>969.95</v>
      </c>
      <c r="G1040">
        <v>21045</v>
      </c>
      <c r="H1040" s="115"/>
      <c r="I1040" s="115"/>
      <c r="L1040" s="169">
        <v>44208</v>
      </c>
      <c r="M1040" s="115">
        <v>86.08</v>
      </c>
      <c r="N1040" s="115">
        <v>89.6</v>
      </c>
      <c r="O1040" s="115">
        <v>85.866666666666703</v>
      </c>
      <c r="P1040" s="115">
        <v>89.266666666666694</v>
      </c>
      <c r="Q1040" s="115">
        <v>968.4</v>
      </c>
      <c r="R1040">
        <v>292668</v>
      </c>
    </row>
    <row r="1041" spans="1:18" x14ac:dyDescent="0.25">
      <c r="A1041" s="169">
        <v>44209</v>
      </c>
      <c r="B1041" s="115">
        <v>87.5555555555556</v>
      </c>
      <c r="C1041" s="115">
        <v>83.031111111111102</v>
      </c>
      <c r="D1041" s="115">
        <v>81.968888888888898</v>
      </c>
      <c r="E1041" s="115">
        <v>86.4</v>
      </c>
      <c r="F1041" s="115">
        <v>934.1</v>
      </c>
      <c r="G1041">
        <v>18551</v>
      </c>
      <c r="H1041" s="115"/>
      <c r="I1041" s="115"/>
      <c r="L1041" s="169">
        <v>44209</v>
      </c>
      <c r="M1041" s="115">
        <v>83.351111111111095</v>
      </c>
      <c r="N1041" s="115">
        <v>88.355555555555597</v>
      </c>
      <c r="O1041" s="115">
        <v>82.026666666666699</v>
      </c>
      <c r="P1041" s="115">
        <v>88.355555555555597</v>
      </c>
      <c r="Q1041" s="115">
        <v>937.7</v>
      </c>
      <c r="R1041">
        <v>453061</v>
      </c>
    </row>
    <row r="1042" spans="1:18" x14ac:dyDescent="0.25">
      <c r="A1042" s="169">
        <v>44210</v>
      </c>
      <c r="B1042" s="115">
        <v>82.924444444444404</v>
      </c>
      <c r="C1042" s="115">
        <v>81</v>
      </c>
      <c r="D1042" s="115">
        <v>80.622222222222206</v>
      </c>
      <c r="E1042" s="115">
        <v>82.626666666666694</v>
      </c>
      <c r="F1042" s="115">
        <v>911.25</v>
      </c>
      <c r="G1042">
        <v>9195</v>
      </c>
      <c r="H1042" s="115"/>
      <c r="I1042" s="115"/>
      <c r="L1042" s="169">
        <v>44210</v>
      </c>
      <c r="M1042" s="115">
        <v>80.977777777777803</v>
      </c>
      <c r="N1042" s="115">
        <v>82.933333333333294</v>
      </c>
      <c r="O1042" s="115">
        <v>80.622222222222206</v>
      </c>
      <c r="P1042" s="115">
        <v>82.933333333333294</v>
      </c>
      <c r="Q1042" s="115">
        <v>911</v>
      </c>
      <c r="R1042">
        <v>437195</v>
      </c>
    </row>
    <row r="1043" spans="1:18" x14ac:dyDescent="0.25">
      <c r="A1043" s="169">
        <v>44211</v>
      </c>
      <c r="B1043" s="115">
        <v>82.546666666666695</v>
      </c>
      <c r="C1043" s="115">
        <v>79.511111111111106</v>
      </c>
      <c r="D1043" s="115">
        <v>79.1111111111111</v>
      </c>
      <c r="E1043" s="115">
        <v>80.088888888888903</v>
      </c>
      <c r="F1043" s="115">
        <v>894.5</v>
      </c>
      <c r="G1043">
        <v>18216</v>
      </c>
      <c r="H1043" s="115"/>
      <c r="I1043" s="115"/>
      <c r="L1043" s="169">
        <v>44211</v>
      </c>
      <c r="M1043" s="115">
        <v>79.613333333333301</v>
      </c>
      <c r="N1043" s="115">
        <v>82.551111111111098</v>
      </c>
      <c r="O1043" s="115">
        <v>79.2</v>
      </c>
      <c r="P1043" s="115">
        <v>81.208888888888893</v>
      </c>
      <c r="Q1043" s="115">
        <v>895.65</v>
      </c>
      <c r="R1043">
        <v>374973</v>
      </c>
    </row>
    <row r="1044" spans="1:18" x14ac:dyDescent="0.25">
      <c r="A1044" s="169">
        <v>44214</v>
      </c>
      <c r="B1044" s="115">
        <v>80.3066666666667</v>
      </c>
      <c r="C1044" s="115">
        <v>77.848888888888894</v>
      </c>
      <c r="D1044" s="115">
        <v>77.022222222222197</v>
      </c>
      <c r="E1044" s="115">
        <v>79.733333333333306</v>
      </c>
      <c r="F1044" s="115">
        <v>875.8</v>
      </c>
      <c r="G1044">
        <v>7649</v>
      </c>
      <c r="H1044" s="115"/>
      <c r="I1044" s="115"/>
      <c r="L1044" s="169">
        <v>44214</v>
      </c>
      <c r="M1044" s="115">
        <v>77.902222222222207</v>
      </c>
      <c r="N1044" s="115">
        <v>80.533333333333303</v>
      </c>
      <c r="O1044" s="115">
        <v>76.933333333333294</v>
      </c>
      <c r="P1044" s="115">
        <v>79.613333333333301</v>
      </c>
      <c r="Q1044" s="115">
        <v>876.4</v>
      </c>
      <c r="R1044">
        <v>252811</v>
      </c>
    </row>
    <row r="1045" spans="1:18" x14ac:dyDescent="0.25">
      <c r="A1045" s="169">
        <v>44215</v>
      </c>
      <c r="B1045" s="115">
        <v>79.822222222222194</v>
      </c>
      <c r="C1045" s="115">
        <v>77.906666666666695</v>
      </c>
      <c r="D1045" s="115">
        <v>77.173333333333304</v>
      </c>
      <c r="E1045" s="115">
        <v>78.319999999999993</v>
      </c>
      <c r="F1045" s="115">
        <v>876.45</v>
      </c>
      <c r="G1045">
        <v>7700</v>
      </c>
      <c r="H1045" s="115"/>
      <c r="I1045" s="115"/>
      <c r="L1045" s="169">
        <v>44215</v>
      </c>
      <c r="M1045" s="115">
        <v>77.697777777777802</v>
      </c>
      <c r="N1045" s="115">
        <v>79.875555555555593</v>
      </c>
      <c r="O1045" s="115">
        <v>77.213333333333296</v>
      </c>
      <c r="P1045" s="115">
        <v>78.791111111111107</v>
      </c>
      <c r="Q1045" s="115">
        <v>874.1</v>
      </c>
      <c r="R1045">
        <v>175775</v>
      </c>
    </row>
    <row r="1046" spans="1:18" x14ac:dyDescent="0.25">
      <c r="A1046" s="169">
        <v>44216</v>
      </c>
      <c r="B1046" s="115">
        <v>82.4</v>
      </c>
      <c r="C1046" s="115">
        <v>81.466666666666697</v>
      </c>
      <c r="D1046" s="115">
        <v>78.431111111111093</v>
      </c>
      <c r="E1046" s="115">
        <v>78.6666666666667</v>
      </c>
      <c r="F1046" s="115">
        <v>916.5</v>
      </c>
      <c r="G1046">
        <v>27658</v>
      </c>
      <c r="H1046" s="115"/>
      <c r="I1046" s="115"/>
      <c r="L1046" s="169">
        <v>44216</v>
      </c>
      <c r="M1046" s="115">
        <v>81.502222222222201</v>
      </c>
      <c r="N1046" s="115">
        <v>82.311111111111103</v>
      </c>
      <c r="O1046" s="115">
        <v>78.217777777777798</v>
      </c>
      <c r="P1046" s="115">
        <v>78.217777777777798</v>
      </c>
      <c r="Q1046" s="115">
        <v>916.9</v>
      </c>
      <c r="R1046">
        <v>346394</v>
      </c>
    </row>
    <row r="1047" spans="1:18" x14ac:dyDescent="0.25">
      <c r="A1047" s="169">
        <v>44217</v>
      </c>
      <c r="B1047" s="115">
        <v>83.786666666666704</v>
      </c>
      <c r="C1047" s="115">
        <v>82.035555555555504</v>
      </c>
      <c r="D1047" s="115">
        <v>80.146666666666704</v>
      </c>
      <c r="E1047" s="115">
        <v>82.662222222222198</v>
      </c>
      <c r="F1047" s="115">
        <v>922.9</v>
      </c>
      <c r="G1047">
        <v>8459</v>
      </c>
      <c r="H1047" s="115"/>
      <c r="I1047" s="115"/>
      <c r="L1047" s="169">
        <v>44217</v>
      </c>
      <c r="M1047" s="115">
        <v>82.102222222222196</v>
      </c>
      <c r="N1047" s="115">
        <v>83.817777777777806</v>
      </c>
      <c r="O1047" s="115">
        <v>80.186666666666696</v>
      </c>
      <c r="P1047" s="115">
        <v>82.506666666666703</v>
      </c>
      <c r="Q1047" s="115">
        <v>923.65</v>
      </c>
      <c r="R1047">
        <v>474750</v>
      </c>
    </row>
    <row r="1048" spans="1:18" x14ac:dyDescent="0.25">
      <c r="A1048" s="169">
        <v>44218</v>
      </c>
      <c r="B1048" s="115">
        <v>82.377777777777794</v>
      </c>
      <c r="C1048" s="115">
        <v>80.413333333333298</v>
      </c>
      <c r="D1048" s="115">
        <v>80.075555555555596</v>
      </c>
      <c r="E1048" s="115">
        <v>82.035555555555504</v>
      </c>
      <c r="F1048" s="115">
        <v>904.65</v>
      </c>
      <c r="G1048">
        <v>5204</v>
      </c>
      <c r="H1048" s="115"/>
      <c r="I1048" s="115"/>
      <c r="L1048" s="169">
        <v>44218</v>
      </c>
      <c r="M1048" s="115">
        <v>80.355555555555597</v>
      </c>
      <c r="N1048" s="115">
        <v>82.6666666666667</v>
      </c>
      <c r="O1048" s="115">
        <v>80</v>
      </c>
      <c r="P1048" s="115">
        <v>82.6666666666667</v>
      </c>
      <c r="Q1048" s="115">
        <v>904</v>
      </c>
      <c r="R1048">
        <v>133684</v>
      </c>
    </row>
    <row r="1049" spans="1:18" x14ac:dyDescent="0.25">
      <c r="A1049" s="169">
        <v>44221</v>
      </c>
      <c r="B1049" s="115">
        <v>81.3333333333333</v>
      </c>
      <c r="C1049" s="115">
        <v>79.315555555555505</v>
      </c>
      <c r="D1049" s="115">
        <v>78.715555555555596</v>
      </c>
      <c r="E1049" s="115">
        <v>81.3333333333333</v>
      </c>
      <c r="F1049" s="115">
        <v>892.3</v>
      </c>
      <c r="G1049">
        <v>10545</v>
      </c>
      <c r="H1049" s="115"/>
      <c r="I1049" s="115"/>
      <c r="L1049" s="169">
        <v>44221</v>
      </c>
      <c r="M1049" s="115">
        <v>79.355555555555597</v>
      </c>
      <c r="N1049" s="115">
        <v>81.524444444444399</v>
      </c>
      <c r="O1049" s="115">
        <v>78.702222222222204</v>
      </c>
      <c r="P1049" s="115">
        <v>81.12</v>
      </c>
      <c r="Q1049" s="115">
        <v>892.75</v>
      </c>
      <c r="R1049">
        <v>139916</v>
      </c>
    </row>
    <row r="1050" spans="1:18" x14ac:dyDescent="0.25">
      <c r="A1050" s="169">
        <v>44223</v>
      </c>
      <c r="B1050" s="115">
        <v>81.955555555555506</v>
      </c>
      <c r="C1050" s="115">
        <v>80.040000000000006</v>
      </c>
      <c r="D1050" s="115">
        <v>79.16</v>
      </c>
      <c r="E1050" s="115">
        <v>79.453333333333305</v>
      </c>
      <c r="F1050" s="115">
        <v>900.45</v>
      </c>
      <c r="G1050">
        <v>9807</v>
      </c>
      <c r="H1050" s="115"/>
      <c r="I1050" s="115"/>
      <c r="L1050" s="169">
        <v>44223</v>
      </c>
      <c r="M1050" s="115">
        <v>80.053333333333299</v>
      </c>
      <c r="N1050" s="115">
        <v>82.044444444444494</v>
      </c>
      <c r="O1050" s="115">
        <v>79.1111111111111</v>
      </c>
      <c r="P1050" s="115">
        <v>79.5555555555556</v>
      </c>
      <c r="Q1050" s="115">
        <v>900.6</v>
      </c>
      <c r="R1050">
        <v>309589</v>
      </c>
    </row>
    <row r="1051" spans="1:18" x14ac:dyDescent="0.25">
      <c r="A1051" s="169">
        <v>44224</v>
      </c>
      <c r="B1051" s="115">
        <v>80</v>
      </c>
      <c r="C1051" s="115">
        <v>76.746666666666698</v>
      </c>
      <c r="D1051" s="115">
        <v>76</v>
      </c>
      <c r="E1051" s="115">
        <v>80</v>
      </c>
      <c r="F1051" s="115">
        <v>863.4</v>
      </c>
      <c r="G1051">
        <v>5919</v>
      </c>
      <c r="H1051" s="115"/>
      <c r="I1051" s="115"/>
      <c r="L1051" s="169">
        <v>44224</v>
      </c>
      <c r="M1051" s="115">
        <v>76.648888888888905</v>
      </c>
      <c r="N1051" s="115">
        <v>79.986666666666693</v>
      </c>
      <c r="O1051" s="115">
        <v>75.915555555555599</v>
      </c>
      <c r="P1051" s="115">
        <v>79.288888888888906</v>
      </c>
      <c r="Q1051" s="115">
        <v>862.3</v>
      </c>
      <c r="R1051">
        <v>180834</v>
      </c>
    </row>
    <row r="1052" spans="1:18" x14ac:dyDescent="0.25">
      <c r="A1052" s="169">
        <v>44225</v>
      </c>
      <c r="B1052" s="115">
        <v>80.760000000000005</v>
      </c>
      <c r="C1052" s="115">
        <v>79.995555555555597</v>
      </c>
      <c r="D1052" s="115">
        <v>76.533333333333303</v>
      </c>
      <c r="E1052" s="115">
        <v>76.533333333333303</v>
      </c>
      <c r="F1052" s="115">
        <v>899.95</v>
      </c>
      <c r="G1052">
        <v>16973</v>
      </c>
      <c r="H1052" s="115"/>
      <c r="I1052" s="115"/>
      <c r="L1052" s="169">
        <v>44225</v>
      </c>
      <c r="M1052" s="115">
        <v>79.875555555555593</v>
      </c>
      <c r="N1052" s="115">
        <v>80.84</v>
      </c>
      <c r="O1052" s="115">
        <v>76.8888888888889</v>
      </c>
      <c r="P1052" s="115">
        <v>76.977777777777803</v>
      </c>
      <c r="Q1052" s="115">
        <v>898.6</v>
      </c>
      <c r="R1052">
        <v>505026</v>
      </c>
    </row>
    <row r="1053" spans="1:18" x14ac:dyDescent="0.25">
      <c r="A1053" s="169">
        <v>44228</v>
      </c>
      <c r="B1053" s="115">
        <v>81.448888888888902</v>
      </c>
      <c r="C1053" s="115">
        <v>80.044444444444494</v>
      </c>
      <c r="D1053" s="115">
        <v>77.688888888888897</v>
      </c>
      <c r="E1053" s="115">
        <v>77.688888888888897</v>
      </c>
      <c r="F1053" s="115">
        <v>900.5</v>
      </c>
      <c r="G1053">
        <v>21984</v>
      </c>
      <c r="H1053" s="115"/>
      <c r="I1053" s="115"/>
      <c r="L1053" s="169">
        <v>44228</v>
      </c>
      <c r="M1053" s="115">
        <v>80.168888888888901</v>
      </c>
      <c r="N1053" s="115">
        <v>81.422222222222203</v>
      </c>
      <c r="O1053" s="115">
        <v>77.7777777777778</v>
      </c>
      <c r="P1053" s="115">
        <v>79.817777777777806</v>
      </c>
      <c r="Q1053" s="115">
        <v>901.9</v>
      </c>
      <c r="R1053">
        <v>193468</v>
      </c>
    </row>
    <row r="1054" spans="1:18" x14ac:dyDescent="0.25">
      <c r="A1054" s="169">
        <v>44229</v>
      </c>
      <c r="B1054" s="115">
        <v>81.7777777777778</v>
      </c>
      <c r="C1054" s="115">
        <v>77.493333333333297</v>
      </c>
      <c r="D1054" s="115">
        <v>77.013333333333307</v>
      </c>
      <c r="E1054" s="115">
        <v>81.7777777777778</v>
      </c>
      <c r="F1054" s="115">
        <v>871.8</v>
      </c>
      <c r="G1054">
        <v>12786</v>
      </c>
      <c r="H1054" s="115"/>
      <c r="I1054" s="115"/>
      <c r="L1054" s="169">
        <v>44229</v>
      </c>
      <c r="M1054" s="115">
        <v>77.342222222222205</v>
      </c>
      <c r="N1054" s="115">
        <v>81.031111111111102</v>
      </c>
      <c r="O1054" s="115">
        <v>76.977777777777803</v>
      </c>
      <c r="P1054" s="115">
        <v>80.835555555555601</v>
      </c>
      <c r="Q1054" s="115">
        <v>870.1</v>
      </c>
      <c r="R1054">
        <v>528139</v>
      </c>
    </row>
    <row r="1055" spans="1:18" x14ac:dyDescent="0.25">
      <c r="A1055" s="169">
        <v>44230</v>
      </c>
      <c r="B1055" s="115">
        <v>80.355555555555597</v>
      </c>
      <c r="C1055" s="115">
        <v>79.746666666666698</v>
      </c>
      <c r="D1055" s="115">
        <v>77.471111111111099</v>
      </c>
      <c r="E1055" s="115">
        <v>77.599999999999994</v>
      </c>
      <c r="F1055" s="115">
        <v>897.15</v>
      </c>
      <c r="G1055">
        <v>738931</v>
      </c>
      <c r="H1055" s="115"/>
      <c r="I1055" s="115"/>
      <c r="L1055" s="169">
        <v>44230</v>
      </c>
      <c r="M1055" s="115">
        <v>79.733333333333306</v>
      </c>
      <c r="N1055" s="115">
        <v>80.435555555555595</v>
      </c>
      <c r="O1055" s="115">
        <v>77.515555555555594</v>
      </c>
      <c r="P1055" s="115">
        <v>77.773333333333298</v>
      </c>
      <c r="Q1055" s="115">
        <v>897</v>
      </c>
      <c r="R1055">
        <v>327110</v>
      </c>
    </row>
    <row r="1056" spans="1:18" x14ac:dyDescent="0.25">
      <c r="A1056" s="169">
        <v>44231</v>
      </c>
      <c r="B1056" s="115">
        <v>80.8</v>
      </c>
      <c r="C1056" s="115">
        <v>80.315555555555505</v>
      </c>
      <c r="D1056" s="115">
        <v>78.311111111111103</v>
      </c>
      <c r="E1056" s="115">
        <v>80</v>
      </c>
      <c r="F1056" s="115">
        <v>903.55</v>
      </c>
      <c r="G1056">
        <v>20866</v>
      </c>
      <c r="H1056" s="115"/>
      <c r="I1056" s="115"/>
      <c r="L1056" s="169">
        <v>44231</v>
      </c>
      <c r="M1056" s="115">
        <v>80.257777777777804</v>
      </c>
      <c r="N1056" s="115">
        <v>80.8888888888889</v>
      </c>
      <c r="O1056" s="115">
        <v>78.231111111111105</v>
      </c>
      <c r="P1056" s="115">
        <v>80</v>
      </c>
      <c r="Q1056" s="115">
        <v>902.9</v>
      </c>
      <c r="R1056">
        <v>286341</v>
      </c>
    </row>
    <row r="1057" spans="1:18" x14ac:dyDescent="0.25">
      <c r="A1057" s="169">
        <v>44232</v>
      </c>
      <c r="B1057" s="115">
        <v>80.8888888888889</v>
      </c>
      <c r="C1057" s="115">
        <v>80.013333333333307</v>
      </c>
      <c r="D1057" s="115">
        <v>79.191111111111098</v>
      </c>
      <c r="E1057" s="115">
        <v>80.8888888888889</v>
      </c>
      <c r="F1057" s="115">
        <v>900.15</v>
      </c>
      <c r="G1057">
        <v>8597</v>
      </c>
      <c r="H1057" s="115"/>
      <c r="I1057" s="115"/>
      <c r="L1057" s="169">
        <v>44232</v>
      </c>
      <c r="M1057" s="115">
        <v>80.1111111111111</v>
      </c>
      <c r="N1057" s="115">
        <v>80.897777777777804</v>
      </c>
      <c r="O1057" s="115">
        <v>79.262222222222206</v>
      </c>
      <c r="P1057" s="115">
        <v>80.622222222222206</v>
      </c>
      <c r="Q1057" s="115">
        <v>901.25</v>
      </c>
      <c r="R1057">
        <v>120319</v>
      </c>
    </row>
    <row r="1058" spans="1:18" x14ac:dyDescent="0.25">
      <c r="A1058" s="169">
        <v>44235</v>
      </c>
      <c r="B1058" s="115">
        <v>80.577777777777797</v>
      </c>
      <c r="C1058" s="115">
        <v>78.826666666666696</v>
      </c>
      <c r="D1058" s="115">
        <v>78.506666666666703</v>
      </c>
      <c r="E1058" s="115">
        <v>80.573333333333295</v>
      </c>
      <c r="F1058" s="115">
        <v>886.8</v>
      </c>
      <c r="G1058">
        <v>7579</v>
      </c>
      <c r="H1058" s="115"/>
      <c r="I1058" s="115"/>
      <c r="L1058" s="169">
        <v>44235</v>
      </c>
      <c r="M1058" s="115">
        <v>78.871111111111105</v>
      </c>
      <c r="N1058" s="115">
        <v>80.848888888888894</v>
      </c>
      <c r="O1058" s="115">
        <v>78.400000000000006</v>
      </c>
      <c r="P1058" s="115">
        <v>80.204444444444405</v>
      </c>
      <c r="Q1058" s="115">
        <v>887.3</v>
      </c>
      <c r="R1058">
        <v>183505</v>
      </c>
    </row>
    <row r="1059" spans="1:18" x14ac:dyDescent="0.25">
      <c r="A1059" s="169">
        <v>44236</v>
      </c>
      <c r="B1059" s="115">
        <v>80.248888888888899</v>
      </c>
      <c r="C1059" s="115">
        <v>79.573333333333295</v>
      </c>
      <c r="D1059" s="115">
        <v>78.466666666666697</v>
      </c>
      <c r="E1059" s="115">
        <v>79.755555555555603</v>
      </c>
      <c r="F1059" s="115">
        <v>895.2</v>
      </c>
      <c r="G1059">
        <v>6291</v>
      </c>
      <c r="H1059" s="115"/>
      <c r="I1059" s="115"/>
      <c r="L1059" s="169">
        <v>44236</v>
      </c>
      <c r="M1059" s="115">
        <v>79.680000000000007</v>
      </c>
      <c r="N1059" s="115">
        <v>80.133333333333297</v>
      </c>
      <c r="O1059" s="115">
        <v>78.488888888888894</v>
      </c>
      <c r="P1059" s="115">
        <v>79.5555555555556</v>
      </c>
      <c r="Q1059" s="115">
        <v>896.4</v>
      </c>
      <c r="R1059">
        <v>109818</v>
      </c>
    </row>
    <row r="1060" spans="1:18" x14ac:dyDescent="0.25">
      <c r="A1060" s="169">
        <v>44237</v>
      </c>
      <c r="B1060" s="115">
        <v>80.8</v>
      </c>
      <c r="C1060" s="115">
        <v>79.173333333333304</v>
      </c>
      <c r="D1060" s="115">
        <v>78.297777777777796</v>
      </c>
      <c r="E1060" s="115">
        <v>80.8</v>
      </c>
      <c r="F1060" s="115">
        <v>890.7</v>
      </c>
      <c r="G1060">
        <v>7983</v>
      </c>
      <c r="H1060" s="115"/>
      <c r="I1060" s="115"/>
      <c r="L1060" s="169">
        <v>44237</v>
      </c>
      <c r="M1060" s="115">
        <v>79.1955555555556</v>
      </c>
      <c r="N1060" s="115">
        <v>80.8888888888889</v>
      </c>
      <c r="O1060" s="115">
        <v>78.262222222222206</v>
      </c>
      <c r="P1060" s="115">
        <v>80.3066666666667</v>
      </c>
      <c r="Q1060" s="115">
        <v>890.95</v>
      </c>
      <c r="R1060">
        <v>193969</v>
      </c>
    </row>
    <row r="1061" spans="1:18" x14ac:dyDescent="0.25">
      <c r="A1061" s="169">
        <v>44238</v>
      </c>
      <c r="B1061" s="115">
        <v>82.2222222222222</v>
      </c>
      <c r="C1061" s="115">
        <v>80.591111111111104</v>
      </c>
      <c r="D1061" s="115">
        <v>78.862222222222201</v>
      </c>
      <c r="E1061" s="115">
        <v>79.1111111111111</v>
      </c>
      <c r="F1061" s="115">
        <v>906.65</v>
      </c>
      <c r="G1061">
        <v>25118</v>
      </c>
      <c r="H1061" s="115"/>
      <c r="I1061" s="115"/>
      <c r="L1061" s="169">
        <v>44238</v>
      </c>
      <c r="M1061" s="115">
        <v>80.395555555555603</v>
      </c>
      <c r="N1061" s="115">
        <v>82.2222222222222</v>
      </c>
      <c r="O1061" s="115">
        <v>78.648888888888905</v>
      </c>
      <c r="P1061" s="115">
        <v>78.835555555555601</v>
      </c>
      <c r="Q1061" s="115">
        <v>904.45</v>
      </c>
      <c r="R1061">
        <v>643694</v>
      </c>
    </row>
    <row r="1062" spans="1:18" x14ac:dyDescent="0.25">
      <c r="A1062" s="169">
        <v>44239</v>
      </c>
      <c r="B1062" s="115">
        <v>81.657777777777795</v>
      </c>
      <c r="C1062" s="115">
        <v>81.075555555555596</v>
      </c>
      <c r="D1062" s="115">
        <v>80.4444444444444</v>
      </c>
      <c r="E1062" s="115">
        <v>80.88</v>
      </c>
      <c r="F1062" s="115">
        <v>912.1</v>
      </c>
      <c r="G1062">
        <v>18354</v>
      </c>
      <c r="H1062" s="115"/>
      <c r="I1062" s="115"/>
      <c r="L1062" s="169">
        <v>44239</v>
      </c>
      <c r="M1062" s="115">
        <v>81.124444444444407</v>
      </c>
      <c r="N1062" s="115">
        <v>81.946666666666701</v>
      </c>
      <c r="O1062" s="115">
        <v>80.4444444444444</v>
      </c>
      <c r="P1062" s="115">
        <v>80.711111111111094</v>
      </c>
      <c r="Q1062" s="115">
        <v>912.65</v>
      </c>
      <c r="R1062">
        <v>151122</v>
      </c>
    </row>
    <row r="1063" spans="1:18" x14ac:dyDescent="0.25">
      <c r="A1063" s="169">
        <v>44242</v>
      </c>
      <c r="B1063" s="115">
        <v>85.511111111111106</v>
      </c>
      <c r="C1063" s="115">
        <v>83.875555555555593</v>
      </c>
      <c r="D1063" s="115">
        <v>81.422222222222203</v>
      </c>
      <c r="E1063" s="115">
        <v>82.488888888888894</v>
      </c>
      <c r="F1063" s="115">
        <v>943.6</v>
      </c>
      <c r="G1063">
        <v>28914</v>
      </c>
      <c r="H1063" s="115"/>
      <c r="I1063" s="115"/>
      <c r="L1063" s="169">
        <v>44242</v>
      </c>
      <c r="M1063" s="115">
        <v>83.995555555555597</v>
      </c>
      <c r="N1063" s="115">
        <v>85.595555555555606</v>
      </c>
      <c r="O1063" s="115">
        <v>81.422222222222203</v>
      </c>
      <c r="P1063" s="115">
        <v>81.924444444444404</v>
      </c>
      <c r="Q1063" s="115">
        <v>944.95</v>
      </c>
      <c r="R1063">
        <v>636320</v>
      </c>
    </row>
    <row r="1064" spans="1:18" x14ac:dyDescent="0.25">
      <c r="A1064" s="169">
        <v>44243</v>
      </c>
      <c r="B1064" s="115">
        <v>85.688888888888897</v>
      </c>
      <c r="C1064" s="115">
        <v>80.128888888888895</v>
      </c>
      <c r="D1064" s="115">
        <v>79.466666666666697</v>
      </c>
      <c r="E1064" s="115">
        <v>85.688888888888897</v>
      </c>
      <c r="F1064" s="115">
        <v>901.45</v>
      </c>
      <c r="G1064">
        <v>42566</v>
      </c>
      <c r="H1064" s="115"/>
      <c r="I1064" s="115"/>
      <c r="L1064" s="169">
        <v>44243</v>
      </c>
      <c r="M1064" s="115">
        <v>80.142222222222202</v>
      </c>
      <c r="N1064" s="115">
        <v>85.3333333333333</v>
      </c>
      <c r="O1064" s="115">
        <v>79.377777777777794</v>
      </c>
      <c r="P1064" s="115">
        <v>85.155555555555594</v>
      </c>
      <c r="Q1064" s="115">
        <v>901.6</v>
      </c>
      <c r="R1064">
        <v>1117650</v>
      </c>
    </row>
    <row r="1065" spans="1:18" x14ac:dyDescent="0.25">
      <c r="A1065" s="169">
        <v>44244</v>
      </c>
      <c r="B1065" s="115">
        <v>84.484444444444406</v>
      </c>
      <c r="C1065" s="115">
        <v>83.995555555555597</v>
      </c>
      <c r="D1065" s="115">
        <v>80.146666666666704</v>
      </c>
      <c r="E1065" s="115">
        <v>80.146666666666704</v>
      </c>
      <c r="F1065" s="115">
        <v>944.95</v>
      </c>
      <c r="G1065">
        <v>20955</v>
      </c>
      <c r="H1065" s="115"/>
      <c r="I1065" s="115"/>
      <c r="L1065" s="169">
        <v>44244</v>
      </c>
      <c r="M1065" s="115">
        <v>84.031111111111102</v>
      </c>
      <c r="N1065" s="115">
        <v>84.4444444444444</v>
      </c>
      <c r="O1065" s="115">
        <v>80.533333333333303</v>
      </c>
      <c r="P1065" s="115">
        <v>80.56</v>
      </c>
      <c r="Q1065" s="115">
        <v>945.35</v>
      </c>
      <c r="R1065">
        <v>973921</v>
      </c>
    </row>
    <row r="1066" spans="1:18" x14ac:dyDescent="0.25">
      <c r="A1066" s="169">
        <v>44245</v>
      </c>
      <c r="B1066" s="115">
        <v>85.7777777777778</v>
      </c>
      <c r="C1066" s="115">
        <v>84.346666666666707</v>
      </c>
      <c r="D1066" s="115">
        <v>83.315555555555505</v>
      </c>
      <c r="E1066" s="115">
        <v>85.7777777777778</v>
      </c>
      <c r="F1066" s="115">
        <v>948.9</v>
      </c>
      <c r="G1066">
        <v>11442</v>
      </c>
      <c r="H1066" s="115"/>
      <c r="I1066" s="115"/>
      <c r="L1066" s="169">
        <v>44245</v>
      </c>
      <c r="M1066" s="115">
        <v>84.32</v>
      </c>
      <c r="N1066" s="115">
        <v>85.155555555555594</v>
      </c>
      <c r="O1066" s="115">
        <v>83.2</v>
      </c>
      <c r="P1066" s="115">
        <v>84.8888888888889</v>
      </c>
      <c r="Q1066" s="115">
        <v>948.6</v>
      </c>
      <c r="R1066">
        <v>252316</v>
      </c>
    </row>
    <row r="1067" spans="1:18" x14ac:dyDescent="0.25">
      <c r="A1067" s="169">
        <v>44246</v>
      </c>
      <c r="B1067" s="115">
        <v>86.6666666666667</v>
      </c>
      <c r="C1067" s="115">
        <v>86.431111111111093</v>
      </c>
      <c r="D1067" s="115">
        <v>83.857777777777798</v>
      </c>
      <c r="E1067" s="115">
        <v>84.653333333333293</v>
      </c>
      <c r="F1067" s="115">
        <v>972.35</v>
      </c>
      <c r="G1067">
        <v>35875</v>
      </c>
      <c r="H1067" s="115"/>
      <c r="I1067" s="115"/>
      <c r="L1067" s="169">
        <v>44246</v>
      </c>
      <c r="M1067" s="115">
        <v>86.5822222222222</v>
      </c>
      <c r="N1067" s="115">
        <v>87.288888888888906</v>
      </c>
      <c r="O1067" s="115">
        <v>83.986666666666693</v>
      </c>
      <c r="P1067" s="115">
        <v>84.8888888888889</v>
      </c>
      <c r="Q1067" s="115">
        <v>974.05</v>
      </c>
      <c r="R1067">
        <v>423112</v>
      </c>
    </row>
    <row r="1068" spans="1:18" x14ac:dyDescent="0.25">
      <c r="A1068" s="169">
        <v>44249</v>
      </c>
      <c r="B1068" s="115">
        <v>95.5555555555556</v>
      </c>
      <c r="C1068" s="115">
        <v>91.066666666666706</v>
      </c>
      <c r="D1068" s="115">
        <v>86.964444444444496</v>
      </c>
      <c r="E1068" s="115">
        <v>87.1111111111111</v>
      </c>
      <c r="F1068" s="115">
        <v>1024.5</v>
      </c>
      <c r="G1068">
        <v>75180</v>
      </c>
      <c r="H1068" s="115"/>
      <c r="I1068" s="115"/>
      <c r="L1068" s="169">
        <v>44249</v>
      </c>
      <c r="M1068" s="115">
        <v>91.12</v>
      </c>
      <c r="N1068" s="115">
        <v>95.5555555555556</v>
      </c>
      <c r="O1068" s="115">
        <v>86.808888888888902</v>
      </c>
      <c r="P1068" s="115">
        <v>87.2</v>
      </c>
      <c r="Q1068" s="115">
        <v>1025.0999999999999</v>
      </c>
      <c r="R1068">
        <v>1867081</v>
      </c>
    </row>
    <row r="1069" spans="1:18" x14ac:dyDescent="0.25">
      <c r="A1069" s="169">
        <v>44250</v>
      </c>
      <c r="B1069" s="115">
        <v>97.408888888888896</v>
      </c>
      <c r="C1069" s="115">
        <v>91.6933333333333</v>
      </c>
      <c r="D1069" s="115">
        <v>89.844444444444406</v>
      </c>
      <c r="E1069" s="115">
        <v>95.1111111111111</v>
      </c>
      <c r="F1069" s="115">
        <v>1031.55</v>
      </c>
      <c r="G1069">
        <v>46218</v>
      </c>
      <c r="H1069" s="115"/>
      <c r="I1069" s="115"/>
      <c r="L1069" s="169">
        <v>44250</v>
      </c>
      <c r="M1069" s="115">
        <v>91.7777777777778</v>
      </c>
      <c r="N1069" s="115">
        <v>100.444444444444</v>
      </c>
      <c r="O1069" s="115">
        <v>89.933333333333294</v>
      </c>
      <c r="P1069" s="115">
        <v>94.4</v>
      </c>
      <c r="Q1069" s="115">
        <v>1032.5</v>
      </c>
      <c r="R1069">
        <v>908037</v>
      </c>
    </row>
    <row r="1070" spans="1:18" x14ac:dyDescent="0.25">
      <c r="A1070" s="169">
        <v>44251</v>
      </c>
      <c r="B1070" s="115">
        <v>95.5555555555556</v>
      </c>
      <c r="C1070" s="115">
        <v>93</v>
      </c>
      <c r="D1070" s="115">
        <v>90.6666666666667</v>
      </c>
      <c r="E1070" s="115">
        <v>93.688888888888897</v>
      </c>
      <c r="F1070" s="115">
        <v>1046.25</v>
      </c>
      <c r="G1070">
        <v>141944</v>
      </c>
      <c r="H1070" s="115"/>
      <c r="I1070" s="115"/>
      <c r="L1070" s="169">
        <v>44251</v>
      </c>
      <c r="M1070" s="115">
        <v>93.12</v>
      </c>
      <c r="N1070" s="115">
        <v>94.933333333333294</v>
      </c>
      <c r="O1070" s="115">
        <v>90.6666666666667</v>
      </c>
      <c r="P1070" s="115">
        <v>91.964444444444396</v>
      </c>
      <c r="Q1070" s="115">
        <v>1047.5999999999999</v>
      </c>
      <c r="R1070">
        <v>194184</v>
      </c>
    </row>
    <row r="1071" spans="1:18" x14ac:dyDescent="0.25">
      <c r="A1071" s="169">
        <v>44252</v>
      </c>
      <c r="B1071" s="115">
        <v>93.955555555555506</v>
      </c>
      <c r="C1071" s="115">
        <v>92.022222222222197</v>
      </c>
      <c r="D1071" s="115">
        <v>90.631111111111096</v>
      </c>
      <c r="E1071" s="115">
        <v>93.955555555555506</v>
      </c>
      <c r="F1071" s="115">
        <v>1035.25</v>
      </c>
      <c r="G1071">
        <v>13622</v>
      </c>
      <c r="H1071" s="115"/>
      <c r="I1071" s="115"/>
      <c r="L1071" s="169">
        <v>44252</v>
      </c>
      <c r="M1071" s="115">
        <v>92.675555555555505</v>
      </c>
      <c r="N1071" s="115">
        <v>94.004444444444403</v>
      </c>
      <c r="O1071" s="115">
        <v>90.724444444444401</v>
      </c>
      <c r="P1071" s="115">
        <v>93.6</v>
      </c>
      <c r="Q1071" s="115">
        <v>1042.5999999999999</v>
      </c>
      <c r="R1071">
        <v>412338</v>
      </c>
    </row>
    <row r="1072" spans="1:18" x14ac:dyDescent="0.25">
      <c r="A1072" s="169">
        <v>44253</v>
      </c>
      <c r="B1072" s="115">
        <v>94.186666666666696</v>
      </c>
      <c r="C1072" s="115">
        <v>92.391111111111101</v>
      </c>
      <c r="D1072" s="115">
        <v>90.528888888888901</v>
      </c>
      <c r="E1072" s="115">
        <v>91.5555555555556</v>
      </c>
      <c r="F1072" s="115">
        <v>1039.4000000000001</v>
      </c>
      <c r="G1072">
        <v>15425</v>
      </c>
      <c r="H1072" s="115"/>
      <c r="I1072" s="115"/>
      <c r="L1072" s="169">
        <v>44253</v>
      </c>
      <c r="M1072" s="115">
        <v>92.706666666666706</v>
      </c>
      <c r="N1072" s="115">
        <v>94.213333333333296</v>
      </c>
      <c r="O1072" s="115">
        <v>90.226666666666702</v>
      </c>
      <c r="P1072" s="115">
        <v>91.16</v>
      </c>
      <c r="Q1072" s="115">
        <v>1042.95</v>
      </c>
      <c r="R1072">
        <v>362246</v>
      </c>
    </row>
    <row r="1073" spans="1:18" x14ac:dyDescent="0.25">
      <c r="A1073" s="169">
        <v>44256</v>
      </c>
      <c r="B1073" s="115">
        <v>94.391111111111101</v>
      </c>
      <c r="C1073" s="115">
        <v>92.831111111111099</v>
      </c>
      <c r="D1073" s="115">
        <v>89.5555555555556</v>
      </c>
      <c r="E1073" s="115">
        <v>94.031111111111102</v>
      </c>
      <c r="F1073" s="115">
        <v>1044.3499999999999</v>
      </c>
      <c r="G1073">
        <v>10524</v>
      </c>
      <c r="H1073" s="115"/>
      <c r="I1073" s="115"/>
      <c r="L1073" s="169">
        <v>44256</v>
      </c>
      <c r="M1073" s="115">
        <v>92.884444444444497</v>
      </c>
      <c r="N1073" s="115">
        <v>95.1111111111111</v>
      </c>
      <c r="O1073" s="115">
        <v>89.608888888888899</v>
      </c>
      <c r="P1073" s="115">
        <v>95.1111111111111</v>
      </c>
      <c r="Q1073" s="115">
        <v>1044.95</v>
      </c>
      <c r="R1073">
        <v>387264</v>
      </c>
    </row>
    <row r="1074" spans="1:18" x14ac:dyDescent="0.25">
      <c r="A1074" s="169">
        <v>44257</v>
      </c>
      <c r="B1074" s="115">
        <v>94.2222222222222</v>
      </c>
      <c r="C1074" s="115">
        <v>93.773333333333298</v>
      </c>
      <c r="D1074" s="115">
        <v>92.088888888888903</v>
      </c>
      <c r="E1074" s="115">
        <v>93.862222222222201</v>
      </c>
      <c r="F1074" s="115">
        <v>1054.95</v>
      </c>
      <c r="G1074">
        <v>4812</v>
      </c>
      <c r="H1074" s="115"/>
      <c r="I1074" s="115"/>
      <c r="L1074" s="169">
        <v>44257</v>
      </c>
      <c r="M1074" s="115">
        <v>93.773333333333298</v>
      </c>
      <c r="N1074" s="115">
        <v>94.311111111111103</v>
      </c>
      <c r="O1074" s="115">
        <v>92.04</v>
      </c>
      <c r="P1074" s="115">
        <v>94.213333333333296</v>
      </c>
      <c r="Q1074" s="115">
        <v>1054.95</v>
      </c>
      <c r="R1074">
        <v>245382</v>
      </c>
    </row>
    <row r="1075" spans="1:18" x14ac:dyDescent="0.25">
      <c r="A1075" s="169">
        <v>44258</v>
      </c>
      <c r="B1075" s="115">
        <v>94.6933333333333</v>
      </c>
      <c r="C1075" s="115">
        <v>93.315555555555505</v>
      </c>
      <c r="D1075" s="115">
        <v>91.697777777777802</v>
      </c>
      <c r="E1075" s="115">
        <v>94.2222222222222</v>
      </c>
      <c r="F1075" s="115">
        <v>1049.8</v>
      </c>
      <c r="G1075">
        <v>10313</v>
      </c>
      <c r="H1075" s="115"/>
      <c r="I1075" s="115"/>
      <c r="L1075" s="169">
        <v>44258</v>
      </c>
      <c r="M1075" s="115">
        <v>93.186666666666696</v>
      </c>
      <c r="N1075" s="115">
        <v>94.6666666666667</v>
      </c>
      <c r="O1075" s="115">
        <v>91.697777777777802</v>
      </c>
      <c r="P1075" s="115">
        <v>94.293333333333294</v>
      </c>
      <c r="Q1075" s="115">
        <v>1048.3499999999999</v>
      </c>
      <c r="R1075">
        <v>245955</v>
      </c>
    </row>
    <row r="1076" spans="1:18" x14ac:dyDescent="0.25">
      <c r="A1076" s="169">
        <v>44259</v>
      </c>
      <c r="B1076" s="115">
        <v>94.213333333333296</v>
      </c>
      <c r="C1076" s="115">
        <v>93.355555555555597</v>
      </c>
      <c r="D1076" s="115">
        <v>92</v>
      </c>
      <c r="E1076" s="115">
        <v>92</v>
      </c>
      <c r="F1076" s="115">
        <v>1050.25</v>
      </c>
      <c r="G1076">
        <v>8189</v>
      </c>
      <c r="H1076" s="115"/>
      <c r="I1076" s="115"/>
      <c r="L1076" s="169">
        <v>44259</v>
      </c>
      <c r="M1076" s="115">
        <v>93.337777777777802</v>
      </c>
      <c r="N1076" s="115">
        <v>94.2222222222222</v>
      </c>
      <c r="O1076" s="115">
        <v>92.115555555555503</v>
      </c>
      <c r="P1076" s="115">
        <v>92.355555555555597</v>
      </c>
      <c r="Q1076" s="115">
        <v>1050.05</v>
      </c>
      <c r="R1076">
        <v>223324</v>
      </c>
    </row>
    <row r="1077" spans="1:18" x14ac:dyDescent="0.25">
      <c r="A1077" s="169">
        <v>44260</v>
      </c>
      <c r="B1077" s="115">
        <v>93.773333333333298</v>
      </c>
      <c r="C1077" s="115">
        <v>92.586666666666702</v>
      </c>
      <c r="D1077" s="115">
        <v>91.56</v>
      </c>
      <c r="E1077" s="115">
        <v>92.8888888888889</v>
      </c>
      <c r="F1077" s="115">
        <v>1041.5999999999999</v>
      </c>
      <c r="G1077">
        <v>6376</v>
      </c>
      <c r="H1077" s="115"/>
      <c r="I1077" s="115"/>
      <c r="L1077" s="169">
        <v>44260</v>
      </c>
      <c r="M1077" s="115">
        <v>92.755555555555603</v>
      </c>
      <c r="N1077" s="115">
        <v>93.826666666666696</v>
      </c>
      <c r="O1077" s="115">
        <v>91.471111111111099</v>
      </c>
      <c r="P1077" s="115">
        <v>93.337777777777802</v>
      </c>
      <c r="Q1077" s="115">
        <v>1043.5</v>
      </c>
      <c r="R1077">
        <v>225217</v>
      </c>
    </row>
    <row r="1078" spans="1:18" x14ac:dyDescent="0.25">
      <c r="A1078" s="169">
        <v>44263</v>
      </c>
      <c r="B1078" s="115">
        <v>93.688888888888897</v>
      </c>
      <c r="C1078" s="115">
        <v>89.017777777777795</v>
      </c>
      <c r="D1078" s="115">
        <v>88.2222222222222</v>
      </c>
      <c r="E1078" s="115">
        <v>93.688888888888897</v>
      </c>
      <c r="F1078" s="115">
        <v>1001.45</v>
      </c>
      <c r="G1078">
        <v>14426</v>
      </c>
      <c r="H1078" s="115"/>
      <c r="I1078" s="115"/>
      <c r="L1078" s="169">
        <v>44263</v>
      </c>
      <c r="M1078" s="115">
        <v>88.795555555555595</v>
      </c>
      <c r="N1078" s="115">
        <v>92.622222222222206</v>
      </c>
      <c r="O1078" s="115">
        <v>88.177777777777806</v>
      </c>
      <c r="P1078" s="115">
        <v>92.622222222222206</v>
      </c>
      <c r="Q1078" s="115">
        <v>998.95</v>
      </c>
      <c r="R1078">
        <v>471331</v>
      </c>
    </row>
    <row r="1079" spans="1:18" x14ac:dyDescent="0.25">
      <c r="A1079" s="169">
        <v>44264</v>
      </c>
      <c r="B1079" s="115">
        <v>89.644444444444403</v>
      </c>
      <c r="C1079" s="115">
        <v>88.288888888888906</v>
      </c>
      <c r="D1079" s="115">
        <v>85.768888888888895</v>
      </c>
      <c r="E1079" s="115">
        <v>89.551111111111098</v>
      </c>
      <c r="F1079" s="115">
        <v>993.25</v>
      </c>
      <c r="G1079">
        <v>13484</v>
      </c>
      <c r="H1079" s="115"/>
      <c r="I1079" s="115"/>
      <c r="L1079" s="169">
        <v>44264</v>
      </c>
      <c r="M1079" s="115">
        <v>88.284444444444404</v>
      </c>
      <c r="N1079" s="115">
        <v>89.862222222222201</v>
      </c>
      <c r="O1079" s="115">
        <v>87.1111111111111</v>
      </c>
      <c r="P1079" s="115">
        <v>89.511111111111106</v>
      </c>
      <c r="Q1079" s="115">
        <v>993.2</v>
      </c>
      <c r="R1079">
        <v>440372</v>
      </c>
    </row>
    <row r="1080" spans="1:18" x14ac:dyDescent="0.25">
      <c r="A1080" s="169">
        <v>44265</v>
      </c>
      <c r="B1080" s="115">
        <v>89.4177777777778</v>
      </c>
      <c r="C1080" s="115">
        <v>87.942222222222199</v>
      </c>
      <c r="D1080" s="115">
        <v>87.622222222222206</v>
      </c>
      <c r="E1080" s="115">
        <v>88.182222222222194</v>
      </c>
      <c r="F1080" s="115">
        <v>989.35</v>
      </c>
      <c r="G1080">
        <v>5521</v>
      </c>
      <c r="H1080" s="115"/>
      <c r="I1080" s="115"/>
      <c r="L1080" s="169">
        <v>44265</v>
      </c>
      <c r="M1080" s="115">
        <v>87.946666666666701</v>
      </c>
      <c r="N1080" s="115">
        <v>89.595555555555606</v>
      </c>
      <c r="O1080" s="115">
        <v>87.644444444444403</v>
      </c>
      <c r="P1080" s="115">
        <v>88.4444444444444</v>
      </c>
      <c r="Q1080" s="115">
        <v>989.4</v>
      </c>
      <c r="R1080">
        <v>122907</v>
      </c>
    </row>
    <row r="1081" spans="1:18" x14ac:dyDescent="0.25">
      <c r="A1081" s="169">
        <v>44267</v>
      </c>
      <c r="B1081" s="115">
        <v>89.155555555555594</v>
      </c>
      <c r="C1081" s="115">
        <v>86.742222222222196</v>
      </c>
      <c r="D1081" s="115">
        <v>86.364444444444402</v>
      </c>
      <c r="E1081" s="115">
        <v>88.688888888888897</v>
      </c>
      <c r="F1081" s="115">
        <v>975.85</v>
      </c>
      <c r="G1081">
        <v>7576</v>
      </c>
      <c r="H1081" s="115"/>
      <c r="I1081" s="115"/>
      <c r="L1081" s="169">
        <v>44267</v>
      </c>
      <c r="M1081" s="115">
        <v>86.768888888888895</v>
      </c>
      <c r="N1081" s="115">
        <v>89.204444444444405</v>
      </c>
      <c r="O1081" s="115">
        <v>86.311111111111103</v>
      </c>
      <c r="P1081" s="115">
        <v>88.4444444444444</v>
      </c>
      <c r="Q1081" s="115">
        <v>976.15</v>
      </c>
      <c r="R1081">
        <v>328416</v>
      </c>
    </row>
    <row r="1082" spans="1:18" x14ac:dyDescent="0.25">
      <c r="A1082" s="169">
        <v>44270</v>
      </c>
      <c r="B1082" s="115">
        <v>88.115555555555503</v>
      </c>
      <c r="C1082" s="115">
        <v>85.653333333333293</v>
      </c>
      <c r="D1082" s="115">
        <v>85.191111111111098</v>
      </c>
      <c r="E1082" s="115">
        <v>87.644444444444403</v>
      </c>
      <c r="F1082" s="115">
        <v>963.6</v>
      </c>
      <c r="G1082">
        <v>5876</v>
      </c>
      <c r="H1082" s="115"/>
      <c r="I1082" s="115"/>
      <c r="L1082" s="169">
        <v>44270</v>
      </c>
      <c r="M1082" s="115">
        <v>85.604444444444397</v>
      </c>
      <c r="N1082" s="115">
        <v>88.204444444444405</v>
      </c>
      <c r="O1082" s="115">
        <v>85.155555555555594</v>
      </c>
      <c r="P1082" s="115">
        <v>87.742222222222196</v>
      </c>
      <c r="Q1082" s="115">
        <v>963.05</v>
      </c>
      <c r="R1082">
        <v>268268</v>
      </c>
    </row>
    <row r="1083" spans="1:18" x14ac:dyDescent="0.25">
      <c r="A1083" s="169">
        <v>44271</v>
      </c>
      <c r="B1083" s="115">
        <v>89.431111111111093</v>
      </c>
      <c r="C1083" s="115">
        <v>88.568888888888907</v>
      </c>
      <c r="D1083" s="115">
        <v>85.844444444444406</v>
      </c>
      <c r="E1083" s="115">
        <v>85.933333333333294</v>
      </c>
      <c r="F1083" s="115">
        <v>996.4</v>
      </c>
      <c r="G1083">
        <v>13509</v>
      </c>
      <c r="H1083" s="115"/>
      <c r="I1083" s="115"/>
      <c r="L1083" s="169">
        <v>44271</v>
      </c>
      <c r="M1083" s="115">
        <v>88.515555555555594</v>
      </c>
      <c r="N1083" s="115">
        <v>89.595555555555606</v>
      </c>
      <c r="O1083" s="115">
        <v>85.768888888888895</v>
      </c>
      <c r="P1083" s="115">
        <v>85.768888888888895</v>
      </c>
      <c r="Q1083" s="115">
        <v>995.8</v>
      </c>
      <c r="R1083">
        <v>306905</v>
      </c>
    </row>
    <row r="1084" spans="1:18" x14ac:dyDescent="0.25">
      <c r="A1084" s="169">
        <v>44272</v>
      </c>
      <c r="B1084" s="115">
        <v>90.4</v>
      </c>
      <c r="C1084" s="115">
        <v>89.6933333333333</v>
      </c>
      <c r="D1084" s="115">
        <v>88.826666666666696</v>
      </c>
      <c r="E1084" s="115">
        <v>88.8888888888889</v>
      </c>
      <c r="F1084" s="115">
        <v>1009.05</v>
      </c>
      <c r="G1084">
        <v>20442</v>
      </c>
      <c r="H1084" s="115"/>
      <c r="I1084" s="115"/>
      <c r="L1084" s="169">
        <v>44272</v>
      </c>
      <c r="M1084" s="115">
        <v>89.475555555555601</v>
      </c>
      <c r="N1084" s="115">
        <v>90.311111111111103</v>
      </c>
      <c r="O1084" s="115">
        <v>88.8888888888889</v>
      </c>
      <c r="P1084" s="115">
        <v>89.3333333333333</v>
      </c>
      <c r="Q1084" s="115">
        <v>1006.6</v>
      </c>
      <c r="R1084">
        <v>245546</v>
      </c>
    </row>
    <row r="1085" spans="1:18" x14ac:dyDescent="0.25">
      <c r="A1085" s="169">
        <v>44273</v>
      </c>
      <c r="B1085" s="115">
        <v>91.097777777777793</v>
      </c>
      <c r="C1085" s="115">
        <v>86.68</v>
      </c>
      <c r="D1085" s="115">
        <v>85.977777777777803</v>
      </c>
      <c r="E1085" s="115">
        <v>90.377777777777794</v>
      </c>
      <c r="F1085" s="115">
        <v>975.15</v>
      </c>
      <c r="G1085">
        <v>17444</v>
      </c>
      <c r="H1085" s="115"/>
      <c r="I1085" s="115"/>
      <c r="L1085" s="169">
        <v>44273</v>
      </c>
      <c r="M1085" s="115">
        <v>86.706666666666706</v>
      </c>
      <c r="N1085" s="115">
        <v>91.115555555555503</v>
      </c>
      <c r="O1085" s="115">
        <v>85.982222222222205</v>
      </c>
      <c r="P1085" s="115">
        <v>89.511111111111106</v>
      </c>
      <c r="Q1085" s="115">
        <v>975.45</v>
      </c>
      <c r="R1085">
        <v>221772</v>
      </c>
    </row>
    <row r="1086" spans="1:18" x14ac:dyDescent="0.25">
      <c r="A1086" s="169">
        <v>44274</v>
      </c>
      <c r="B1086" s="115">
        <v>89.857777777777798</v>
      </c>
      <c r="C1086" s="115">
        <v>86.591111111111104</v>
      </c>
      <c r="D1086" s="115">
        <v>85.373333333333306</v>
      </c>
      <c r="E1086" s="115">
        <v>86.755555555555603</v>
      </c>
      <c r="F1086" s="115">
        <v>974.15</v>
      </c>
      <c r="G1086">
        <v>21175</v>
      </c>
      <c r="H1086" s="115"/>
      <c r="I1086" s="115"/>
      <c r="L1086" s="169">
        <v>44274</v>
      </c>
      <c r="M1086" s="115">
        <v>86.76</v>
      </c>
      <c r="N1086" s="115">
        <v>89.7777777777778</v>
      </c>
      <c r="O1086" s="115">
        <v>85.346666666666707</v>
      </c>
      <c r="P1086" s="115">
        <v>87.035555555555504</v>
      </c>
      <c r="Q1086" s="115">
        <v>976.05</v>
      </c>
      <c r="R1086">
        <v>1548190</v>
      </c>
    </row>
    <row r="1087" spans="1:18" x14ac:dyDescent="0.25">
      <c r="A1087" s="169">
        <v>44277</v>
      </c>
      <c r="B1087" s="115">
        <v>89.3333333333333</v>
      </c>
      <c r="C1087" s="115">
        <v>88.84</v>
      </c>
      <c r="D1087" s="115">
        <v>86.964444444444496</v>
      </c>
      <c r="E1087" s="115">
        <v>88.8</v>
      </c>
      <c r="F1087" s="115">
        <v>999.45</v>
      </c>
      <c r="G1087">
        <v>5688</v>
      </c>
      <c r="H1087" s="115"/>
      <c r="I1087" s="115"/>
      <c r="L1087" s="169">
        <v>44277</v>
      </c>
      <c r="M1087" s="115">
        <v>88.88</v>
      </c>
      <c r="N1087" s="115">
        <v>89.3333333333333</v>
      </c>
      <c r="O1087" s="115">
        <v>86.6666666666667</v>
      </c>
      <c r="P1087" s="115">
        <v>87.564444444444405</v>
      </c>
      <c r="Q1087" s="115">
        <v>999.9</v>
      </c>
      <c r="R1087">
        <v>216625</v>
      </c>
    </row>
    <row r="1088" spans="1:18" x14ac:dyDescent="0.25">
      <c r="A1088" s="169">
        <v>44278</v>
      </c>
      <c r="B1088" s="115">
        <v>90.933333333333294</v>
      </c>
      <c r="C1088" s="115">
        <v>88.884444444444497</v>
      </c>
      <c r="D1088" s="115">
        <v>87.506666666666703</v>
      </c>
      <c r="E1088" s="115">
        <v>90.933333333333294</v>
      </c>
      <c r="F1088" s="115">
        <v>999.95</v>
      </c>
      <c r="G1088">
        <v>9925</v>
      </c>
      <c r="H1088" s="115"/>
      <c r="I1088" s="115"/>
      <c r="L1088" s="169">
        <v>44278</v>
      </c>
      <c r="M1088" s="115">
        <v>88.808888888888902</v>
      </c>
      <c r="N1088" s="115">
        <v>90.6666666666667</v>
      </c>
      <c r="O1088" s="115">
        <v>87.471111111111099</v>
      </c>
      <c r="P1088" s="115">
        <v>89.688888888888897</v>
      </c>
      <c r="Q1088" s="115">
        <v>999.1</v>
      </c>
      <c r="R1088">
        <v>202472</v>
      </c>
    </row>
    <row r="1089" spans="1:18" x14ac:dyDescent="0.25">
      <c r="A1089" s="169">
        <v>44279</v>
      </c>
      <c r="B1089" s="115">
        <v>91.004444444444403</v>
      </c>
      <c r="C1089" s="115">
        <v>88.164444444444399</v>
      </c>
      <c r="D1089" s="115">
        <v>87.302222222222198</v>
      </c>
      <c r="E1089" s="115">
        <v>88.977777777777803</v>
      </c>
      <c r="F1089" s="115">
        <v>991.85</v>
      </c>
      <c r="G1089">
        <v>16735</v>
      </c>
      <c r="H1089" s="115"/>
      <c r="I1089" s="115"/>
      <c r="L1089" s="169">
        <v>44279</v>
      </c>
      <c r="M1089" s="115">
        <v>88.133333333333297</v>
      </c>
      <c r="N1089" s="115">
        <v>91.022222222222197</v>
      </c>
      <c r="O1089" s="115">
        <v>87.275555555555599</v>
      </c>
      <c r="P1089" s="115">
        <v>89.24</v>
      </c>
      <c r="Q1089" s="115">
        <v>991.5</v>
      </c>
      <c r="R1089">
        <v>360611</v>
      </c>
    </row>
    <row r="1090" spans="1:18" x14ac:dyDescent="0.25">
      <c r="A1090" s="169">
        <v>44280</v>
      </c>
      <c r="B1090" s="115">
        <v>90.133333333333297</v>
      </c>
      <c r="C1090" s="115">
        <v>88.697777777777802</v>
      </c>
      <c r="D1090" s="115">
        <v>87.022222222222197</v>
      </c>
      <c r="E1090" s="115">
        <v>87.022222222222197</v>
      </c>
      <c r="F1090" s="115">
        <v>997.85</v>
      </c>
      <c r="G1090">
        <v>19571</v>
      </c>
      <c r="H1090" s="115"/>
      <c r="I1090" s="115"/>
      <c r="L1090" s="169">
        <v>44280</v>
      </c>
      <c r="M1090" s="115">
        <v>88.768888888888895</v>
      </c>
      <c r="N1090" s="115">
        <v>90.2222222222222</v>
      </c>
      <c r="O1090" s="115">
        <v>87.808888888888902</v>
      </c>
      <c r="P1090" s="115">
        <v>88.168888888888901</v>
      </c>
      <c r="Q1090" s="115">
        <v>998.65</v>
      </c>
      <c r="R1090">
        <v>476282</v>
      </c>
    </row>
    <row r="1091" spans="1:18" x14ac:dyDescent="0.25">
      <c r="A1091" s="169">
        <v>44281</v>
      </c>
      <c r="B1091" s="115">
        <v>90.044444444444494</v>
      </c>
      <c r="C1091" s="115">
        <v>88.395555555555603</v>
      </c>
      <c r="D1091" s="115">
        <v>86.831111111111099</v>
      </c>
      <c r="E1091" s="115">
        <v>90.044444444444494</v>
      </c>
      <c r="F1091" s="115">
        <v>994.45</v>
      </c>
      <c r="G1091">
        <v>5786</v>
      </c>
      <c r="H1091" s="115"/>
      <c r="I1091" s="115"/>
      <c r="L1091" s="169">
        <v>44281</v>
      </c>
      <c r="M1091" s="115">
        <v>88.32</v>
      </c>
      <c r="N1091" s="115">
        <v>89.7777777777778</v>
      </c>
      <c r="O1091" s="115">
        <v>86.844444444444406</v>
      </c>
      <c r="P1091" s="115">
        <v>89.706666666666706</v>
      </c>
      <c r="Q1091" s="115">
        <v>993.6</v>
      </c>
      <c r="R1091">
        <v>219511</v>
      </c>
    </row>
    <row r="1092" spans="1:18" x14ac:dyDescent="0.25">
      <c r="A1092" s="169">
        <v>44285</v>
      </c>
      <c r="B1092" s="115">
        <v>90.697777777777802</v>
      </c>
      <c r="C1092" s="115">
        <v>90.271111111111097</v>
      </c>
      <c r="D1092" s="115">
        <v>88.462222222222195</v>
      </c>
      <c r="E1092" s="115">
        <v>88.533333333333303</v>
      </c>
      <c r="F1092" s="115">
        <v>1015.55</v>
      </c>
      <c r="G1092">
        <v>17029</v>
      </c>
      <c r="H1092" s="115"/>
      <c r="I1092" s="115"/>
      <c r="L1092" s="169">
        <v>44285</v>
      </c>
      <c r="M1092" s="115">
        <v>90.284444444444404</v>
      </c>
      <c r="N1092" s="115">
        <v>90.6666666666667</v>
      </c>
      <c r="O1092" s="115">
        <v>88.324444444444396</v>
      </c>
      <c r="P1092" s="115">
        <v>89.6</v>
      </c>
      <c r="Q1092" s="115">
        <v>1015.7</v>
      </c>
      <c r="R1092">
        <v>291772</v>
      </c>
    </row>
    <row r="1093" spans="1:18" x14ac:dyDescent="0.25">
      <c r="A1093" s="169">
        <v>44286</v>
      </c>
      <c r="B1093" s="115">
        <v>91.4177777777778</v>
      </c>
      <c r="C1093" s="115">
        <v>89.413333333333298</v>
      </c>
      <c r="D1093" s="115">
        <v>87.3333333333333</v>
      </c>
      <c r="E1093" s="115">
        <v>91.1111111111111</v>
      </c>
      <c r="F1093" s="115">
        <v>1005.9</v>
      </c>
      <c r="G1093">
        <v>10945</v>
      </c>
      <c r="H1093" s="115"/>
      <c r="I1093" s="115"/>
      <c r="L1093" s="169">
        <v>44286</v>
      </c>
      <c r="M1093" s="115">
        <v>89.151111111111106</v>
      </c>
      <c r="N1093" s="115">
        <v>90.6666666666667</v>
      </c>
      <c r="O1093" s="115">
        <v>87.288888888888906</v>
      </c>
      <c r="P1093" s="115">
        <v>90.6666666666667</v>
      </c>
      <c r="Q1093" s="115">
        <v>1002.95</v>
      </c>
      <c r="R1093">
        <v>306997</v>
      </c>
    </row>
    <row r="1094" spans="1:18" x14ac:dyDescent="0.25">
      <c r="A1094" s="169">
        <v>44287</v>
      </c>
      <c r="B1094" s="115">
        <v>90.057777777777801</v>
      </c>
      <c r="C1094" s="115">
        <v>89.737777777777794</v>
      </c>
      <c r="D1094" s="115">
        <v>88.377777777777794</v>
      </c>
      <c r="E1094" s="115">
        <v>89.413333333333298</v>
      </c>
      <c r="F1094" s="115">
        <v>1009.55</v>
      </c>
      <c r="G1094">
        <v>48708</v>
      </c>
      <c r="H1094" s="115"/>
      <c r="I1094" s="115"/>
      <c r="L1094" s="169">
        <v>44287</v>
      </c>
      <c r="M1094" s="115">
        <v>89.688888888888897</v>
      </c>
      <c r="N1094" s="115">
        <v>90.2222222222222</v>
      </c>
      <c r="O1094" s="115">
        <v>88.297777777777796</v>
      </c>
      <c r="P1094" s="115">
        <v>89.786666666666704</v>
      </c>
      <c r="Q1094" s="115">
        <v>1009</v>
      </c>
      <c r="R1094">
        <v>206328</v>
      </c>
    </row>
    <row r="1095" spans="1:18" x14ac:dyDescent="0.25">
      <c r="A1095" s="169">
        <v>44291</v>
      </c>
      <c r="B1095" s="115">
        <v>89.5555555555556</v>
      </c>
      <c r="C1095" s="115">
        <v>86.871111111111105</v>
      </c>
      <c r="D1095" s="115">
        <v>86.311111111111103</v>
      </c>
      <c r="E1095" s="115">
        <v>88.391111111111101</v>
      </c>
      <c r="F1095" s="115">
        <v>977.3</v>
      </c>
      <c r="G1095">
        <v>10408</v>
      </c>
      <c r="H1095" s="115"/>
      <c r="I1095" s="115"/>
      <c r="L1095" s="169">
        <v>44291</v>
      </c>
      <c r="M1095" s="115">
        <v>86.706666666666706</v>
      </c>
      <c r="N1095" s="115">
        <v>89.755555555555603</v>
      </c>
      <c r="O1095" s="115">
        <v>86.311111111111103</v>
      </c>
      <c r="P1095" s="115">
        <v>89.688888888888897</v>
      </c>
      <c r="Q1095" s="115">
        <v>975.45</v>
      </c>
      <c r="R1095">
        <v>122155</v>
      </c>
    </row>
    <row r="1096" spans="1:18" x14ac:dyDescent="0.25">
      <c r="A1096" s="169">
        <v>44292</v>
      </c>
      <c r="B1096" s="115">
        <v>88.462222222222195</v>
      </c>
      <c r="C1096" s="115">
        <v>87.3333333333333</v>
      </c>
      <c r="D1096" s="115">
        <v>86.533333333333303</v>
      </c>
      <c r="E1096" s="115">
        <v>86.533333333333303</v>
      </c>
      <c r="F1096" s="115">
        <v>982.5</v>
      </c>
      <c r="G1096">
        <v>5065</v>
      </c>
      <c r="H1096" s="115"/>
      <c r="I1096" s="115"/>
      <c r="L1096" s="169">
        <v>44292</v>
      </c>
      <c r="M1096" s="115">
        <v>87.346666666666707</v>
      </c>
      <c r="N1096" s="115">
        <v>88.782222222222202</v>
      </c>
      <c r="O1096" s="115">
        <v>86.933333333333294</v>
      </c>
      <c r="P1096" s="115">
        <v>88.782222222222202</v>
      </c>
      <c r="Q1096" s="115">
        <v>982.65</v>
      </c>
      <c r="R1096">
        <v>102489</v>
      </c>
    </row>
    <row r="1097" spans="1:18" x14ac:dyDescent="0.25">
      <c r="A1097" s="169">
        <v>44293</v>
      </c>
      <c r="B1097" s="115">
        <v>89.835555555555601</v>
      </c>
      <c r="C1097" s="115">
        <v>89.426666666666705</v>
      </c>
      <c r="D1097" s="115">
        <v>87.3333333333333</v>
      </c>
      <c r="E1097" s="115">
        <v>87.3333333333333</v>
      </c>
      <c r="F1097" s="115">
        <v>1006.05</v>
      </c>
      <c r="G1097">
        <v>5794</v>
      </c>
      <c r="H1097" s="115"/>
      <c r="I1097" s="115"/>
      <c r="L1097" s="169">
        <v>44293</v>
      </c>
      <c r="M1097" s="115">
        <v>89.413333333333298</v>
      </c>
      <c r="N1097" s="115">
        <v>89.955555555555506</v>
      </c>
      <c r="O1097" s="115">
        <v>87.591111111111104</v>
      </c>
      <c r="P1097" s="115">
        <v>87.822222222222194</v>
      </c>
      <c r="Q1097" s="115">
        <v>1005.9</v>
      </c>
      <c r="R1097">
        <v>298419</v>
      </c>
    </row>
    <row r="1098" spans="1:18" x14ac:dyDescent="0.25">
      <c r="A1098" s="169">
        <v>44294</v>
      </c>
      <c r="B1098" s="115">
        <v>91.377777777777794</v>
      </c>
      <c r="C1098" s="115">
        <v>88.866666666666703</v>
      </c>
      <c r="D1098" s="115">
        <v>88.031111111111102</v>
      </c>
      <c r="E1098" s="115">
        <v>90.2222222222222</v>
      </c>
      <c r="F1098" s="115">
        <v>999.75</v>
      </c>
      <c r="G1098">
        <v>7246</v>
      </c>
      <c r="H1098" s="115"/>
      <c r="I1098" s="115"/>
      <c r="L1098" s="169">
        <v>44294</v>
      </c>
      <c r="M1098" s="115">
        <v>88.991111111111096</v>
      </c>
      <c r="N1098" s="115">
        <v>91.5555555555556</v>
      </c>
      <c r="O1098" s="115">
        <v>88.631111111111096</v>
      </c>
      <c r="P1098" s="115">
        <v>90.044444444444494</v>
      </c>
      <c r="Q1098" s="115">
        <v>1001.15</v>
      </c>
      <c r="R1098">
        <v>115653</v>
      </c>
    </row>
    <row r="1099" spans="1:18" x14ac:dyDescent="0.25">
      <c r="A1099" s="169">
        <v>44295</v>
      </c>
      <c r="B1099" s="115">
        <v>89.64</v>
      </c>
      <c r="C1099" s="115">
        <v>88.044444444444494</v>
      </c>
      <c r="D1099" s="115">
        <v>87.644444444444403</v>
      </c>
      <c r="E1099" s="115">
        <v>88.866666666666703</v>
      </c>
      <c r="F1099" s="115">
        <v>990.5</v>
      </c>
      <c r="G1099">
        <v>4221</v>
      </c>
      <c r="H1099" s="115"/>
      <c r="I1099" s="115"/>
      <c r="L1099" s="169">
        <v>44295</v>
      </c>
      <c r="M1099" s="115">
        <v>87.968888888888898</v>
      </c>
      <c r="N1099" s="115">
        <v>89.697777777777802</v>
      </c>
      <c r="O1099" s="115">
        <v>87.5822222222222</v>
      </c>
      <c r="P1099" s="115">
        <v>88.755555555555603</v>
      </c>
      <c r="Q1099" s="115">
        <v>989.65</v>
      </c>
      <c r="R1099">
        <v>72492</v>
      </c>
    </row>
    <row r="1100" spans="1:18" x14ac:dyDescent="0.25">
      <c r="A1100" s="169">
        <v>44298</v>
      </c>
      <c r="B1100" s="115">
        <v>89.746666666666698</v>
      </c>
      <c r="C1100" s="115">
        <v>87.875555555555593</v>
      </c>
      <c r="D1100" s="115">
        <v>86.6666666666667</v>
      </c>
      <c r="E1100" s="115">
        <v>87.288888888888906</v>
      </c>
      <c r="F1100" s="115">
        <v>988.6</v>
      </c>
      <c r="G1100">
        <v>22426</v>
      </c>
      <c r="H1100" s="115"/>
      <c r="I1100" s="115"/>
      <c r="L1100" s="169">
        <v>44298</v>
      </c>
      <c r="M1100" s="115">
        <v>87.902222222222207</v>
      </c>
      <c r="N1100" s="115">
        <v>89.7777777777778</v>
      </c>
      <c r="O1100" s="115">
        <v>87.5822222222222</v>
      </c>
      <c r="P1100" s="115">
        <v>88.302222222222198</v>
      </c>
      <c r="Q1100" s="115">
        <v>988.9</v>
      </c>
      <c r="R1100">
        <v>430160</v>
      </c>
    </row>
    <row r="1101" spans="1:18" x14ac:dyDescent="0.25">
      <c r="A1101" s="169">
        <v>44299</v>
      </c>
      <c r="B1101" s="115">
        <v>90.057777777777801</v>
      </c>
      <c r="C1101" s="115">
        <v>89.315555555555505</v>
      </c>
      <c r="D1101" s="115">
        <v>87.2</v>
      </c>
      <c r="E1101" s="115">
        <v>87.2</v>
      </c>
      <c r="F1101" s="115">
        <v>1004.8</v>
      </c>
      <c r="G1101">
        <v>5343</v>
      </c>
      <c r="H1101" s="115"/>
      <c r="I1101" s="115"/>
      <c r="L1101" s="169">
        <v>44299</v>
      </c>
      <c r="M1101" s="115">
        <v>89.293333333333294</v>
      </c>
      <c r="N1101" s="115">
        <v>90.2222222222222</v>
      </c>
      <c r="O1101" s="115">
        <v>87.911111111111097</v>
      </c>
      <c r="P1101" s="115">
        <v>88.426666666666705</v>
      </c>
      <c r="Q1101" s="115">
        <v>1004.55</v>
      </c>
      <c r="R1101">
        <v>421085</v>
      </c>
    </row>
    <row r="1102" spans="1:18" x14ac:dyDescent="0.25">
      <c r="A1102" s="169">
        <v>44301</v>
      </c>
      <c r="B1102" s="115">
        <v>90.315555555555505</v>
      </c>
      <c r="C1102" s="115">
        <v>88.355555555555597</v>
      </c>
      <c r="D1102" s="115">
        <v>87.288888888888906</v>
      </c>
      <c r="E1102" s="115">
        <v>88.8888888888889</v>
      </c>
      <c r="F1102" s="115">
        <v>994</v>
      </c>
      <c r="G1102">
        <v>16000</v>
      </c>
      <c r="H1102" s="115"/>
      <c r="I1102" s="115"/>
      <c r="L1102" s="169">
        <v>44301</v>
      </c>
      <c r="M1102" s="115">
        <v>88.675555555555604</v>
      </c>
      <c r="N1102" s="115">
        <v>90.32</v>
      </c>
      <c r="O1102" s="115">
        <v>87.697777777777802</v>
      </c>
      <c r="P1102" s="115">
        <v>88.915555555555599</v>
      </c>
      <c r="Q1102" s="115">
        <v>997.6</v>
      </c>
      <c r="R1102">
        <v>218047</v>
      </c>
    </row>
    <row r="1103" spans="1:18" x14ac:dyDescent="0.25">
      <c r="A1103" s="169">
        <v>44302</v>
      </c>
      <c r="B1103" s="115">
        <v>89.066666666666706</v>
      </c>
      <c r="C1103" s="115">
        <v>87.933333333333294</v>
      </c>
      <c r="D1103" s="115">
        <v>87.466666666666697</v>
      </c>
      <c r="E1103" s="115">
        <v>89.066666666666706</v>
      </c>
      <c r="F1103" s="115">
        <v>989.25</v>
      </c>
      <c r="G1103">
        <v>3296</v>
      </c>
      <c r="H1103" s="115"/>
      <c r="I1103" s="115"/>
      <c r="L1103" s="169">
        <v>44302</v>
      </c>
      <c r="M1103" s="115">
        <v>87.942222222222199</v>
      </c>
      <c r="N1103" s="115">
        <v>89.035555555555504</v>
      </c>
      <c r="O1103" s="115">
        <v>87.4177777777778</v>
      </c>
      <c r="P1103" s="115">
        <v>88</v>
      </c>
      <c r="Q1103" s="115">
        <v>989.35</v>
      </c>
      <c r="R1103">
        <v>144583</v>
      </c>
    </row>
    <row r="1104" spans="1:18" x14ac:dyDescent="0.25">
      <c r="A1104" s="169">
        <v>44305</v>
      </c>
      <c r="B1104" s="115">
        <v>87.995555555555597</v>
      </c>
      <c r="C1104" s="115">
        <v>83.2</v>
      </c>
      <c r="D1104" s="115">
        <v>82.364444444444402</v>
      </c>
      <c r="E1104" s="115">
        <v>87.995555555555597</v>
      </c>
      <c r="F1104" s="115">
        <v>936</v>
      </c>
      <c r="G1104">
        <v>17560</v>
      </c>
      <c r="H1104" s="115"/>
      <c r="I1104" s="115"/>
      <c r="L1104" s="169">
        <v>44305</v>
      </c>
      <c r="M1104" s="115">
        <v>83.204444444444405</v>
      </c>
      <c r="N1104" s="115">
        <v>87.1111111111111</v>
      </c>
      <c r="O1104" s="115">
        <v>82.328888888888898</v>
      </c>
      <c r="P1104" s="115">
        <v>87.1111111111111</v>
      </c>
      <c r="Q1104" s="115">
        <v>936.05</v>
      </c>
      <c r="R1104">
        <v>440724</v>
      </c>
    </row>
    <row r="1105" spans="1:18" x14ac:dyDescent="0.25">
      <c r="A1105" s="169">
        <v>44306</v>
      </c>
      <c r="B1105" s="115">
        <v>85.155555555555594</v>
      </c>
      <c r="C1105" s="115">
        <v>82.462222222222195</v>
      </c>
      <c r="D1105" s="115">
        <v>80.906666666666695</v>
      </c>
      <c r="E1105" s="115">
        <v>84.675555555555604</v>
      </c>
      <c r="F1105" s="115">
        <v>927.7</v>
      </c>
      <c r="G1105">
        <v>14176</v>
      </c>
      <c r="H1105" s="115"/>
      <c r="I1105" s="115"/>
      <c r="L1105" s="169">
        <v>44306</v>
      </c>
      <c r="M1105" s="115">
        <v>82.337777777777802</v>
      </c>
      <c r="N1105" s="115">
        <v>85.2222222222222</v>
      </c>
      <c r="O1105" s="115">
        <v>81.7777777777778</v>
      </c>
      <c r="P1105" s="115">
        <v>84.32</v>
      </c>
      <c r="Q1105" s="115">
        <v>926.3</v>
      </c>
      <c r="R1105">
        <v>263351</v>
      </c>
    </row>
    <row r="1106" spans="1:18" x14ac:dyDescent="0.25">
      <c r="A1106" s="169">
        <v>44308</v>
      </c>
      <c r="B1106" s="115">
        <v>82.48</v>
      </c>
      <c r="C1106" s="115">
        <v>79.186666666666696</v>
      </c>
      <c r="D1106" s="115">
        <v>78.844444444444406</v>
      </c>
      <c r="E1106" s="115">
        <v>80.56</v>
      </c>
      <c r="F1106" s="115">
        <v>890.85</v>
      </c>
      <c r="G1106">
        <v>23457</v>
      </c>
      <c r="H1106" s="115"/>
      <c r="I1106" s="115"/>
      <c r="L1106" s="169">
        <v>44308</v>
      </c>
      <c r="M1106" s="115">
        <v>79.173333333333304</v>
      </c>
      <c r="N1106" s="115">
        <v>82.617777777777803</v>
      </c>
      <c r="O1106" s="115">
        <v>78.764444444444507</v>
      </c>
      <c r="P1106" s="115">
        <v>82.488888888888894</v>
      </c>
      <c r="Q1106" s="115">
        <v>890.7</v>
      </c>
      <c r="R1106">
        <v>517983</v>
      </c>
    </row>
    <row r="1107" spans="1:18" x14ac:dyDescent="0.25">
      <c r="A1107" s="169">
        <v>44309</v>
      </c>
      <c r="B1107" s="115">
        <v>80.4444444444444</v>
      </c>
      <c r="C1107" s="115">
        <v>78.284444444444404</v>
      </c>
      <c r="D1107" s="115">
        <v>77.688888888888897</v>
      </c>
      <c r="E1107" s="115">
        <v>79.1111111111111</v>
      </c>
      <c r="F1107" s="115">
        <v>880.7</v>
      </c>
      <c r="G1107">
        <v>31403</v>
      </c>
      <c r="H1107" s="115"/>
      <c r="I1107" s="115"/>
      <c r="L1107" s="169">
        <v>44309</v>
      </c>
      <c r="M1107" s="115">
        <v>78.213333333333296</v>
      </c>
      <c r="N1107" s="115">
        <v>80.462222222222195</v>
      </c>
      <c r="O1107" s="115">
        <v>77.64</v>
      </c>
      <c r="P1107" s="115">
        <v>79.2</v>
      </c>
      <c r="Q1107" s="115">
        <v>879.9</v>
      </c>
      <c r="R1107">
        <v>666887</v>
      </c>
    </row>
    <row r="1108" spans="1:18" x14ac:dyDescent="0.25">
      <c r="A1108" s="169">
        <v>44312</v>
      </c>
      <c r="B1108" s="115">
        <v>80.311111111111103</v>
      </c>
      <c r="C1108" s="115">
        <v>79.835555555555601</v>
      </c>
      <c r="D1108" s="115">
        <v>77.866666666666703</v>
      </c>
      <c r="E1108" s="115">
        <v>78.64</v>
      </c>
      <c r="F1108" s="115">
        <v>898.15</v>
      </c>
      <c r="G1108">
        <v>25014</v>
      </c>
      <c r="H1108" s="115"/>
      <c r="I1108" s="115"/>
      <c r="L1108" s="169">
        <v>44312</v>
      </c>
      <c r="M1108" s="115">
        <v>79.915555555555599</v>
      </c>
      <c r="N1108" s="115">
        <v>80.297777777777796</v>
      </c>
      <c r="O1108" s="115">
        <v>78.6666666666667</v>
      </c>
      <c r="P1108" s="115">
        <v>78.755555555555603</v>
      </c>
      <c r="Q1108" s="115">
        <v>899.05</v>
      </c>
      <c r="R1108">
        <v>342656</v>
      </c>
    </row>
    <row r="1109" spans="1:18" x14ac:dyDescent="0.25">
      <c r="A1109" s="169">
        <v>44313</v>
      </c>
      <c r="B1109" s="115">
        <v>83.4177777777778</v>
      </c>
      <c r="C1109" s="115">
        <v>82.462222222222195</v>
      </c>
      <c r="D1109" s="115">
        <v>80.248888888888899</v>
      </c>
      <c r="E1109" s="115">
        <v>80.72</v>
      </c>
      <c r="F1109" s="115">
        <v>927.7</v>
      </c>
      <c r="G1109">
        <v>10251</v>
      </c>
      <c r="H1109" s="115"/>
      <c r="I1109" s="115"/>
      <c r="L1109" s="169">
        <v>44313</v>
      </c>
      <c r="M1109" s="115">
        <v>82.848888888888894</v>
      </c>
      <c r="N1109" s="115">
        <v>83.368888888888904</v>
      </c>
      <c r="O1109" s="115">
        <v>80</v>
      </c>
      <c r="P1109" s="115">
        <v>80.088888888888903</v>
      </c>
      <c r="Q1109" s="115">
        <v>932.05</v>
      </c>
      <c r="R1109">
        <v>344506</v>
      </c>
    </row>
    <row r="1110" spans="1:18" x14ac:dyDescent="0.25">
      <c r="A1110" s="169">
        <v>44314</v>
      </c>
      <c r="B1110" s="115">
        <v>84.084444444444401</v>
      </c>
      <c r="C1110" s="115">
        <v>83.702222222222204</v>
      </c>
      <c r="D1110" s="115">
        <v>80.448888888888902</v>
      </c>
      <c r="E1110" s="115">
        <v>83.1111111111111</v>
      </c>
      <c r="F1110" s="115">
        <v>941.65</v>
      </c>
      <c r="G1110">
        <v>9136</v>
      </c>
      <c r="H1110" s="115"/>
      <c r="I1110" s="115"/>
      <c r="L1110" s="169">
        <v>44314</v>
      </c>
      <c r="M1110" s="115">
        <v>83.795555555555595</v>
      </c>
      <c r="N1110" s="115">
        <v>84.204444444444405</v>
      </c>
      <c r="O1110" s="115">
        <v>80.4444444444444</v>
      </c>
      <c r="P1110" s="115">
        <v>82.377777777777794</v>
      </c>
      <c r="Q1110" s="115">
        <v>942.7</v>
      </c>
      <c r="R1110">
        <v>202509</v>
      </c>
    </row>
    <row r="1111" spans="1:18" x14ac:dyDescent="0.25">
      <c r="A1111" s="169">
        <v>44315</v>
      </c>
      <c r="B1111" s="115">
        <v>88.875555555555593</v>
      </c>
      <c r="C1111" s="115">
        <v>83.346666666666707</v>
      </c>
      <c r="D1111" s="115">
        <v>82.133333333333297</v>
      </c>
      <c r="E1111" s="115">
        <v>88.875555555555593</v>
      </c>
      <c r="F1111" s="115">
        <v>937.65</v>
      </c>
      <c r="G1111">
        <v>38311</v>
      </c>
      <c r="H1111" s="115"/>
      <c r="I1111" s="115"/>
      <c r="L1111" s="169">
        <v>44315</v>
      </c>
      <c r="M1111" s="115">
        <v>83.293333333333294</v>
      </c>
      <c r="N1111" s="115">
        <v>88.4444444444444</v>
      </c>
      <c r="O1111" s="115">
        <v>80.4444444444444</v>
      </c>
      <c r="P1111" s="115">
        <v>88.346666666666707</v>
      </c>
      <c r="Q1111" s="115">
        <v>937.05</v>
      </c>
      <c r="R1111">
        <v>701998</v>
      </c>
    </row>
    <row r="1112" spans="1:18" x14ac:dyDescent="0.25">
      <c r="A1112" s="169">
        <v>44316</v>
      </c>
      <c r="B1112" s="115">
        <v>86.204444444444405</v>
      </c>
      <c r="C1112" s="115">
        <v>84.56</v>
      </c>
      <c r="D1112" s="115">
        <v>82.96</v>
      </c>
      <c r="E1112" s="115">
        <v>83.168888888888901</v>
      </c>
      <c r="F1112" s="115">
        <v>951.3</v>
      </c>
      <c r="G1112">
        <v>26654</v>
      </c>
      <c r="H1112" s="115"/>
      <c r="I1112" s="115"/>
      <c r="L1112" s="169">
        <v>44316</v>
      </c>
      <c r="M1112" s="115">
        <v>84.493333333333297</v>
      </c>
      <c r="N1112" s="115">
        <v>86.2222222222222</v>
      </c>
      <c r="O1112" s="115">
        <v>82.964444444444496</v>
      </c>
      <c r="P1112" s="115">
        <v>83.288888888888906</v>
      </c>
      <c r="Q1112" s="115">
        <v>950.55</v>
      </c>
      <c r="R1112">
        <v>444033</v>
      </c>
    </row>
    <row r="1113" spans="1:18" x14ac:dyDescent="0.25">
      <c r="A1113" s="169">
        <v>44319</v>
      </c>
      <c r="B1113" s="115">
        <v>90.422222222222203</v>
      </c>
      <c r="C1113" s="115">
        <v>89.217777777777798</v>
      </c>
      <c r="D1113" s="115">
        <v>85.688888888888897</v>
      </c>
      <c r="E1113" s="115">
        <v>85.688888888888897</v>
      </c>
      <c r="F1113" s="115">
        <v>1003.7</v>
      </c>
      <c r="G1113">
        <v>121398</v>
      </c>
      <c r="H1113" s="115"/>
      <c r="I1113" s="115"/>
      <c r="L1113" s="169">
        <v>44319</v>
      </c>
      <c r="M1113" s="115">
        <v>89.231111111111105</v>
      </c>
      <c r="N1113" s="115">
        <v>90.462222222222195</v>
      </c>
      <c r="O1113" s="115">
        <v>85.448888888888902</v>
      </c>
      <c r="P1113" s="115">
        <v>86.2222222222222</v>
      </c>
      <c r="Q1113" s="115">
        <v>1003.85</v>
      </c>
      <c r="R1113">
        <v>1862786</v>
      </c>
    </row>
    <row r="1114" spans="1:18" x14ac:dyDescent="0.25">
      <c r="A1114" s="169">
        <v>44320</v>
      </c>
      <c r="B1114" s="115">
        <v>93.813333333333304</v>
      </c>
      <c r="C1114" s="115">
        <v>88.937777777777796</v>
      </c>
      <c r="D1114" s="115">
        <v>88</v>
      </c>
      <c r="E1114" s="115">
        <v>91.497777777777799</v>
      </c>
      <c r="F1114" s="115">
        <v>1000.55</v>
      </c>
      <c r="G1114">
        <v>47789</v>
      </c>
      <c r="H1114" s="115"/>
      <c r="I1114" s="115"/>
      <c r="L1114" s="169">
        <v>44320</v>
      </c>
      <c r="M1114" s="115">
        <v>88.964444444444496</v>
      </c>
      <c r="N1114" s="115">
        <v>93.764444444444393</v>
      </c>
      <c r="O1114" s="115">
        <v>88.533333333333303</v>
      </c>
      <c r="P1114" s="115">
        <v>91.5555555555556</v>
      </c>
      <c r="Q1114" s="115">
        <v>1000.85</v>
      </c>
      <c r="R1114">
        <v>685170</v>
      </c>
    </row>
    <row r="1115" spans="1:18" x14ac:dyDescent="0.25">
      <c r="A1115" s="169">
        <v>44321</v>
      </c>
      <c r="B1115" s="115">
        <v>91.266666666666694</v>
      </c>
      <c r="C1115" s="115">
        <v>88.906666666666695</v>
      </c>
      <c r="D1115" s="115">
        <v>88.497777777777799</v>
      </c>
      <c r="E1115" s="115">
        <v>91.1111111111111</v>
      </c>
      <c r="F1115" s="115">
        <v>1000.2</v>
      </c>
      <c r="G1115">
        <v>14032</v>
      </c>
      <c r="H1115" s="115"/>
      <c r="I1115" s="115"/>
      <c r="L1115" s="169">
        <v>44321</v>
      </c>
      <c r="M1115" s="115">
        <v>88.884444444444497</v>
      </c>
      <c r="N1115" s="115">
        <v>91.5555555555556</v>
      </c>
      <c r="O1115" s="115">
        <v>88.471111111111099</v>
      </c>
      <c r="P1115" s="115">
        <v>91.44</v>
      </c>
      <c r="Q1115" s="115">
        <v>999.95</v>
      </c>
      <c r="R1115">
        <v>288692</v>
      </c>
    </row>
    <row r="1116" spans="1:18" x14ac:dyDescent="0.25">
      <c r="A1116" s="169">
        <v>44322</v>
      </c>
      <c r="B1116" s="115">
        <v>89.688888888888897</v>
      </c>
      <c r="C1116" s="115">
        <v>88.257777777777804</v>
      </c>
      <c r="D1116" s="115">
        <v>87.342222222222205</v>
      </c>
      <c r="E1116" s="115">
        <v>89.155555555555594</v>
      </c>
      <c r="F1116" s="115">
        <v>992.9</v>
      </c>
      <c r="G1116">
        <v>14169</v>
      </c>
      <c r="H1116" s="115"/>
      <c r="I1116" s="115"/>
      <c r="L1116" s="169">
        <v>44322</v>
      </c>
      <c r="M1116" s="115">
        <v>88.302222222222198</v>
      </c>
      <c r="N1116" s="115">
        <v>89.76</v>
      </c>
      <c r="O1116" s="115">
        <v>87.591111111111104</v>
      </c>
      <c r="P1116" s="115">
        <v>89.422222222222203</v>
      </c>
      <c r="Q1116" s="115">
        <v>993.4</v>
      </c>
      <c r="R1116">
        <v>235989</v>
      </c>
    </row>
    <row r="1117" spans="1:18" x14ac:dyDescent="0.25">
      <c r="A1117" s="169">
        <v>44323</v>
      </c>
      <c r="B1117" s="115">
        <v>89.151111111111106</v>
      </c>
      <c r="C1117" s="115">
        <v>88.711111111111094</v>
      </c>
      <c r="D1117" s="115">
        <v>88</v>
      </c>
      <c r="E1117" s="115">
        <v>88.266666666666694</v>
      </c>
      <c r="F1117" s="115">
        <v>998</v>
      </c>
      <c r="G1117">
        <v>7536</v>
      </c>
      <c r="H1117" s="115"/>
      <c r="I1117" s="115"/>
      <c r="L1117" s="169">
        <v>44323</v>
      </c>
      <c r="M1117" s="115">
        <v>88.7777777777778</v>
      </c>
      <c r="N1117" s="115">
        <v>89.244444444444397</v>
      </c>
      <c r="O1117" s="115">
        <v>88.302222222222198</v>
      </c>
      <c r="P1117" s="115">
        <v>88.8888888888889</v>
      </c>
      <c r="Q1117" s="115">
        <v>998.75</v>
      </c>
      <c r="R1117">
        <v>246879</v>
      </c>
    </row>
    <row r="1118" spans="1:18" x14ac:dyDescent="0.25">
      <c r="A1118" s="169">
        <v>44326</v>
      </c>
      <c r="B1118" s="115">
        <v>89.653333333333293</v>
      </c>
      <c r="C1118" s="115">
        <v>87.684444444444495</v>
      </c>
      <c r="D1118" s="115">
        <v>87.288888888888906</v>
      </c>
      <c r="E1118" s="115">
        <v>89.146666666666704</v>
      </c>
      <c r="F1118" s="115">
        <v>986.45</v>
      </c>
      <c r="G1118">
        <v>6871</v>
      </c>
      <c r="H1118" s="115"/>
      <c r="I1118" s="115"/>
      <c r="L1118" s="169">
        <v>44326</v>
      </c>
      <c r="M1118" s="115">
        <v>87.573333333333295</v>
      </c>
      <c r="N1118" s="115">
        <v>89.564444444444405</v>
      </c>
      <c r="O1118" s="115">
        <v>87.208888888888893</v>
      </c>
      <c r="P1118" s="115">
        <v>89.066666666666706</v>
      </c>
      <c r="Q1118" s="115">
        <v>985.2</v>
      </c>
      <c r="R1118">
        <v>136450</v>
      </c>
    </row>
    <row r="1119" spans="1:18" x14ac:dyDescent="0.25">
      <c r="A1119" s="169">
        <v>44327</v>
      </c>
      <c r="B1119" s="115">
        <v>89.062222222222204</v>
      </c>
      <c r="C1119" s="115">
        <v>88.235555555555607</v>
      </c>
      <c r="D1119" s="115">
        <v>87.497777777777799</v>
      </c>
      <c r="E1119" s="115">
        <v>87.684444444444495</v>
      </c>
      <c r="F1119" s="115">
        <v>992.65</v>
      </c>
      <c r="G1119">
        <v>14493</v>
      </c>
      <c r="H1119" s="115"/>
      <c r="I1119" s="115"/>
      <c r="L1119" s="169">
        <v>44327</v>
      </c>
      <c r="M1119" s="115">
        <v>88.248888888888899</v>
      </c>
      <c r="N1119" s="115">
        <v>89.066666666666706</v>
      </c>
      <c r="O1119" s="115">
        <v>87.395555555555603</v>
      </c>
      <c r="P1119" s="115">
        <v>87.5555555555556</v>
      </c>
      <c r="Q1119" s="115">
        <v>992.8</v>
      </c>
      <c r="R1119">
        <v>131403</v>
      </c>
    </row>
    <row r="1120" spans="1:18" x14ac:dyDescent="0.25">
      <c r="A1120" s="169">
        <v>44328</v>
      </c>
      <c r="B1120" s="115">
        <v>89.5555555555556</v>
      </c>
      <c r="C1120" s="115">
        <v>87.2</v>
      </c>
      <c r="D1120" s="115">
        <v>86.711111111111094</v>
      </c>
      <c r="E1120" s="115">
        <v>89.3333333333333</v>
      </c>
      <c r="F1120" s="115">
        <v>981</v>
      </c>
      <c r="G1120">
        <v>9468</v>
      </c>
      <c r="H1120" s="115"/>
      <c r="I1120" s="115"/>
      <c r="L1120" s="169">
        <v>44328</v>
      </c>
      <c r="M1120" s="115">
        <v>87.12</v>
      </c>
      <c r="N1120" s="115">
        <v>88.88</v>
      </c>
      <c r="O1120" s="115">
        <v>86.684444444444495</v>
      </c>
      <c r="P1120" s="115">
        <v>88.382222222222197</v>
      </c>
      <c r="Q1120" s="115">
        <v>980.1</v>
      </c>
      <c r="R1120">
        <v>159625</v>
      </c>
    </row>
    <row r="1121" spans="1:18" x14ac:dyDescent="0.25">
      <c r="A1121" s="169">
        <v>44330</v>
      </c>
      <c r="B1121" s="115">
        <v>88.315555555555505</v>
      </c>
      <c r="C1121" s="115">
        <v>86.724444444444401</v>
      </c>
      <c r="D1121" s="115">
        <v>86.186666666666696</v>
      </c>
      <c r="E1121" s="115">
        <v>87.5555555555556</v>
      </c>
      <c r="F1121" s="115">
        <v>975.65</v>
      </c>
      <c r="G1121">
        <v>25845</v>
      </c>
      <c r="H1121" s="115"/>
      <c r="I1121" s="115"/>
      <c r="L1121" s="169">
        <v>44330</v>
      </c>
      <c r="M1121" s="115">
        <v>86.5822222222222</v>
      </c>
      <c r="N1121" s="115">
        <v>88.426666666666705</v>
      </c>
      <c r="O1121" s="115">
        <v>86.226666666666702</v>
      </c>
      <c r="P1121" s="115">
        <v>87.715555555555596</v>
      </c>
      <c r="Q1121" s="115">
        <v>974.05</v>
      </c>
      <c r="R1121">
        <v>109133</v>
      </c>
    </row>
    <row r="1122" spans="1:18" x14ac:dyDescent="0.25">
      <c r="A1122" s="169">
        <v>44333</v>
      </c>
      <c r="B1122" s="115">
        <v>87.368888888888904</v>
      </c>
      <c r="C1122" s="115">
        <v>86.528888888888901</v>
      </c>
      <c r="D1122" s="115">
        <v>86.235555555555607</v>
      </c>
      <c r="E1122" s="115">
        <v>87.022222222222197</v>
      </c>
      <c r="F1122" s="115">
        <v>973.45</v>
      </c>
      <c r="G1122">
        <v>11813</v>
      </c>
      <c r="H1122" s="115"/>
      <c r="I1122" s="115"/>
      <c r="L1122" s="169">
        <v>44333</v>
      </c>
      <c r="M1122" s="115">
        <v>86.528888888888901</v>
      </c>
      <c r="N1122" s="115">
        <v>87.413333333333298</v>
      </c>
      <c r="O1122" s="115">
        <v>86.262222222222206</v>
      </c>
      <c r="P1122" s="115">
        <v>87.342222222222205</v>
      </c>
      <c r="Q1122" s="115">
        <v>973.45</v>
      </c>
      <c r="R1122">
        <v>58511</v>
      </c>
    </row>
    <row r="1123" spans="1:18" x14ac:dyDescent="0.25">
      <c r="A1123" s="169">
        <v>44334</v>
      </c>
      <c r="B1123" s="115">
        <v>87.28</v>
      </c>
      <c r="C1123" s="115">
        <v>87.088888888888903</v>
      </c>
      <c r="D1123" s="115">
        <v>86.24</v>
      </c>
      <c r="E1123" s="115">
        <v>86.24</v>
      </c>
      <c r="F1123" s="115">
        <v>979.75</v>
      </c>
      <c r="G1123">
        <v>5048</v>
      </c>
      <c r="H1123" s="115"/>
      <c r="I1123" s="115"/>
      <c r="L1123" s="169">
        <v>44334</v>
      </c>
      <c r="M1123" s="115">
        <v>87.08</v>
      </c>
      <c r="N1123" s="115">
        <v>87.288888888888906</v>
      </c>
      <c r="O1123" s="115">
        <v>86.453333333333305</v>
      </c>
      <c r="P1123" s="115">
        <v>87.24</v>
      </c>
      <c r="Q1123" s="115">
        <v>979.65</v>
      </c>
      <c r="R1123">
        <v>263982</v>
      </c>
    </row>
    <row r="1124" spans="1:18" x14ac:dyDescent="0.25">
      <c r="A1124" s="169">
        <v>44335</v>
      </c>
      <c r="B1124" s="115">
        <v>89.608888888888899</v>
      </c>
      <c r="C1124" s="115">
        <v>89.155555555555594</v>
      </c>
      <c r="D1124" s="115">
        <v>87.2</v>
      </c>
      <c r="E1124" s="115">
        <v>87.3066666666667</v>
      </c>
      <c r="F1124" s="115">
        <v>1003</v>
      </c>
      <c r="G1124">
        <v>16737</v>
      </c>
      <c r="H1124" s="115"/>
      <c r="I1124" s="115"/>
      <c r="L1124" s="169">
        <v>44335</v>
      </c>
      <c r="M1124" s="115">
        <v>89.2222222222222</v>
      </c>
      <c r="N1124" s="115">
        <v>89.688888888888897</v>
      </c>
      <c r="O1124" s="115">
        <v>87.2</v>
      </c>
      <c r="P1124" s="115">
        <v>87.2</v>
      </c>
      <c r="Q1124" s="115">
        <v>1003.75</v>
      </c>
      <c r="R1124">
        <v>293765</v>
      </c>
    </row>
    <row r="1125" spans="1:18" x14ac:dyDescent="0.25">
      <c r="A1125" s="169">
        <v>44336</v>
      </c>
      <c r="B1125" s="115">
        <v>90.6666666666667</v>
      </c>
      <c r="C1125" s="115">
        <v>89.4444444444444</v>
      </c>
      <c r="D1125" s="115">
        <v>89.066666666666706</v>
      </c>
      <c r="E1125" s="115">
        <v>90.6666666666667</v>
      </c>
      <c r="F1125" s="115">
        <v>1006.25</v>
      </c>
      <c r="G1125">
        <v>20154</v>
      </c>
      <c r="H1125" s="115"/>
      <c r="I1125" s="115"/>
      <c r="L1125" s="169">
        <v>44336</v>
      </c>
      <c r="M1125" s="115">
        <v>89.4177777777778</v>
      </c>
      <c r="N1125" s="115">
        <v>90.551111111111098</v>
      </c>
      <c r="O1125" s="115">
        <v>88.986666666666693</v>
      </c>
      <c r="P1125" s="115">
        <v>90.488888888888894</v>
      </c>
      <c r="Q1125" s="115">
        <v>1005.95</v>
      </c>
      <c r="R1125">
        <v>234098</v>
      </c>
    </row>
    <row r="1126" spans="1:18" x14ac:dyDescent="0.25">
      <c r="A1126" s="169">
        <v>44337</v>
      </c>
      <c r="B1126" s="115">
        <v>89.688888888888897</v>
      </c>
      <c r="C1126" s="115">
        <v>88.097777777777793</v>
      </c>
      <c r="D1126" s="115">
        <v>87.382222222222197</v>
      </c>
      <c r="E1126" s="115">
        <v>89.688888888888897</v>
      </c>
      <c r="F1126" s="115">
        <v>991.1</v>
      </c>
      <c r="G1126">
        <v>1112725</v>
      </c>
      <c r="H1126" s="115"/>
      <c r="I1126" s="115"/>
      <c r="L1126" s="169">
        <v>44337</v>
      </c>
      <c r="M1126" s="115">
        <v>88.151111111111106</v>
      </c>
      <c r="N1126" s="115">
        <v>90.008888888888904</v>
      </c>
      <c r="O1126" s="115">
        <v>87.422222222222203</v>
      </c>
      <c r="P1126" s="115">
        <v>90.008888888888904</v>
      </c>
      <c r="Q1126" s="115">
        <v>991.7</v>
      </c>
      <c r="R1126">
        <v>986912</v>
      </c>
    </row>
    <row r="1127" spans="1:18" x14ac:dyDescent="0.25">
      <c r="A1127" s="169">
        <v>44340</v>
      </c>
      <c r="B1127" s="115">
        <v>91.773333333333298</v>
      </c>
      <c r="C1127" s="115">
        <v>89.324444444444396</v>
      </c>
      <c r="D1127" s="115">
        <v>88.8</v>
      </c>
      <c r="E1127" s="115">
        <v>91.773333333333298</v>
      </c>
      <c r="F1127" s="115">
        <v>1004.9</v>
      </c>
      <c r="G1127">
        <v>26647</v>
      </c>
      <c r="H1127" s="115"/>
      <c r="I1127" s="115"/>
      <c r="L1127" s="169">
        <v>44340</v>
      </c>
      <c r="M1127" s="115">
        <v>89.302222222222198</v>
      </c>
      <c r="N1127" s="115">
        <v>91.466666666666697</v>
      </c>
      <c r="O1127" s="115">
        <v>88.7777777777778</v>
      </c>
      <c r="P1127" s="115">
        <v>90.755555555555603</v>
      </c>
      <c r="Q1127" s="115">
        <v>1004.65</v>
      </c>
      <c r="R1127">
        <v>432940</v>
      </c>
    </row>
    <row r="1128" spans="1:18" x14ac:dyDescent="0.25">
      <c r="A1128" s="169">
        <v>44341</v>
      </c>
      <c r="B1128" s="115">
        <v>91.466666666666697</v>
      </c>
      <c r="C1128" s="115">
        <v>91.164444444444399</v>
      </c>
      <c r="D1128" s="115">
        <v>89.066666666666706</v>
      </c>
      <c r="E1128" s="115">
        <v>90.2222222222222</v>
      </c>
      <c r="F1128" s="115">
        <v>1025.5999999999999</v>
      </c>
      <c r="G1128">
        <v>38654</v>
      </c>
      <c r="H1128" s="115"/>
      <c r="I1128" s="115"/>
      <c r="L1128" s="169">
        <v>44341</v>
      </c>
      <c r="M1128" s="115">
        <v>91.231111111111105</v>
      </c>
      <c r="N1128" s="115">
        <v>91.466666666666697</v>
      </c>
      <c r="O1128" s="115">
        <v>89.066666666666706</v>
      </c>
      <c r="P1128" s="115">
        <v>90.2222222222222</v>
      </c>
      <c r="Q1128" s="115">
        <v>1026.3499999999999</v>
      </c>
      <c r="R1128">
        <v>332601</v>
      </c>
    </row>
    <row r="1129" spans="1:18" x14ac:dyDescent="0.25">
      <c r="A1129" s="169">
        <v>44342</v>
      </c>
      <c r="B1129" s="115">
        <v>92.324444444444495</v>
      </c>
      <c r="C1129" s="115">
        <v>90.395555555555603</v>
      </c>
      <c r="D1129" s="115">
        <v>89.711111111111094</v>
      </c>
      <c r="E1129" s="115">
        <v>91.2</v>
      </c>
      <c r="F1129" s="115">
        <v>1016.95</v>
      </c>
      <c r="G1129">
        <v>18210</v>
      </c>
      <c r="H1129" s="115"/>
      <c r="I1129" s="115"/>
      <c r="L1129" s="169">
        <v>44342</v>
      </c>
      <c r="M1129" s="115">
        <v>90.346666666666707</v>
      </c>
      <c r="N1129" s="115">
        <v>92.208888888888893</v>
      </c>
      <c r="O1129" s="115">
        <v>89.688888888888897</v>
      </c>
      <c r="P1129" s="115">
        <v>91.5555555555556</v>
      </c>
      <c r="Q1129" s="115">
        <v>1016.4</v>
      </c>
      <c r="R1129">
        <v>194615</v>
      </c>
    </row>
    <row r="1130" spans="1:18" x14ac:dyDescent="0.25">
      <c r="A1130" s="169">
        <v>44343</v>
      </c>
      <c r="B1130" s="115">
        <v>91.213333333333296</v>
      </c>
      <c r="C1130" s="115">
        <v>90.586666666666702</v>
      </c>
      <c r="D1130" s="115">
        <v>89.782222222222202</v>
      </c>
      <c r="E1130" s="115">
        <v>90.488888888888894</v>
      </c>
      <c r="F1130" s="115">
        <v>1019.1</v>
      </c>
      <c r="G1130">
        <v>35584</v>
      </c>
      <c r="H1130" s="115"/>
      <c r="I1130" s="115"/>
      <c r="L1130" s="169">
        <v>44343</v>
      </c>
      <c r="M1130" s="115">
        <v>90.431111111111093</v>
      </c>
      <c r="N1130" s="115">
        <v>91.271111111111097</v>
      </c>
      <c r="O1130" s="115">
        <v>89.791111111111107</v>
      </c>
      <c r="P1130" s="115">
        <v>90.982222222222205</v>
      </c>
      <c r="Q1130" s="115">
        <v>1017.35</v>
      </c>
      <c r="R1130">
        <v>191420</v>
      </c>
    </row>
    <row r="1131" spans="1:18" x14ac:dyDescent="0.25">
      <c r="A1131" s="169">
        <v>44344</v>
      </c>
      <c r="B1131" s="115">
        <v>91.048888888888897</v>
      </c>
      <c r="C1131" s="115">
        <v>89.471111111111099</v>
      </c>
      <c r="D1131" s="115">
        <v>89.155555555555594</v>
      </c>
      <c r="E1131" s="115">
        <v>90.2222222222222</v>
      </c>
      <c r="F1131" s="115">
        <v>1006.55</v>
      </c>
      <c r="G1131">
        <v>17643</v>
      </c>
      <c r="H1131" s="115"/>
      <c r="I1131" s="115"/>
      <c r="L1131" s="169">
        <v>44344</v>
      </c>
      <c r="M1131" s="115">
        <v>89.56</v>
      </c>
      <c r="N1131" s="115">
        <v>91.057777777777801</v>
      </c>
      <c r="O1131" s="115">
        <v>89.1111111111111</v>
      </c>
      <c r="P1131" s="115">
        <v>90.48</v>
      </c>
      <c r="Q1131" s="115">
        <v>1007.55</v>
      </c>
      <c r="R1131">
        <v>211715</v>
      </c>
    </row>
    <row r="1132" spans="1:18" x14ac:dyDescent="0.25">
      <c r="A1132" s="169">
        <v>44347</v>
      </c>
      <c r="B1132" s="115">
        <v>90.844444444444406</v>
      </c>
      <c r="C1132" s="115">
        <v>90.022222222222197</v>
      </c>
      <c r="D1132" s="115">
        <v>89.524444444444399</v>
      </c>
      <c r="E1132" s="115">
        <v>90.844444444444406</v>
      </c>
      <c r="F1132" s="115">
        <v>1012.75</v>
      </c>
      <c r="G1132">
        <v>13042</v>
      </c>
      <c r="H1132" s="115"/>
      <c r="I1132" s="115"/>
      <c r="L1132" s="169">
        <v>44347</v>
      </c>
      <c r="M1132" s="115">
        <v>89.915555555555599</v>
      </c>
      <c r="N1132" s="115">
        <v>90.644444444444403</v>
      </c>
      <c r="O1132" s="115">
        <v>89.515555555555594</v>
      </c>
      <c r="P1132" s="115">
        <v>90.644444444444403</v>
      </c>
      <c r="Q1132" s="115">
        <v>1011.55</v>
      </c>
      <c r="R1132">
        <v>154294</v>
      </c>
    </row>
    <row r="1133" spans="1:18" x14ac:dyDescent="0.25">
      <c r="A1133" s="169">
        <v>44348</v>
      </c>
      <c r="B1133" s="115">
        <v>90.6666666666667</v>
      </c>
      <c r="C1133" s="115">
        <v>89.48</v>
      </c>
      <c r="D1133" s="115">
        <v>89.244444444444397</v>
      </c>
      <c r="E1133" s="115">
        <v>90.6666666666667</v>
      </c>
      <c r="F1133" s="115">
        <v>1006.65</v>
      </c>
      <c r="G1133">
        <v>19129</v>
      </c>
      <c r="H1133" s="115"/>
      <c r="I1133" s="115"/>
      <c r="L1133" s="169">
        <v>44348</v>
      </c>
      <c r="M1133" s="115">
        <v>89.484444444444406</v>
      </c>
      <c r="N1133" s="115">
        <v>90.448888888888902</v>
      </c>
      <c r="O1133" s="115">
        <v>88.977777777777803</v>
      </c>
      <c r="P1133" s="115">
        <v>90.2222222222222</v>
      </c>
      <c r="Q1133" s="115">
        <v>1006.7</v>
      </c>
      <c r="R1133">
        <v>133555</v>
      </c>
    </row>
    <row r="1134" spans="1:18" x14ac:dyDescent="0.25">
      <c r="A1134" s="169">
        <v>44349</v>
      </c>
      <c r="B1134" s="115">
        <v>91.733333333333306</v>
      </c>
      <c r="C1134" s="115">
        <v>90.608888888888899</v>
      </c>
      <c r="D1134" s="115">
        <v>89.342222222222205</v>
      </c>
      <c r="E1134" s="115">
        <v>89.671111111111102</v>
      </c>
      <c r="F1134" s="115">
        <v>1019.35</v>
      </c>
      <c r="G1134">
        <v>14441</v>
      </c>
      <c r="H1134" s="115"/>
      <c r="I1134" s="115"/>
      <c r="L1134" s="169">
        <v>44349</v>
      </c>
      <c r="M1134" s="115">
        <v>90.568888888888907</v>
      </c>
      <c r="N1134" s="115">
        <v>91.911111111111097</v>
      </c>
      <c r="O1134" s="115">
        <v>89.3333333333333</v>
      </c>
      <c r="P1134" s="115">
        <v>89.6</v>
      </c>
      <c r="Q1134" s="115">
        <v>1018.9</v>
      </c>
      <c r="R1134">
        <v>325965</v>
      </c>
    </row>
    <row r="1135" spans="1:18" x14ac:dyDescent="0.25">
      <c r="A1135" s="169">
        <v>44350</v>
      </c>
      <c r="B1135" s="115">
        <v>91.5555555555556</v>
      </c>
      <c r="C1135" s="115">
        <v>91.342222222222205</v>
      </c>
      <c r="D1135" s="115">
        <v>90.493333333333297</v>
      </c>
      <c r="E1135" s="115">
        <v>91.5555555555556</v>
      </c>
      <c r="F1135" s="115">
        <v>1027.5999999999999</v>
      </c>
      <c r="G1135">
        <v>16516</v>
      </c>
      <c r="H1135" s="115"/>
      <c r="I1135" s="115"/>
      <c r="L1135" s="169">
        <v>44350</v>
      </c>
      <c r="M1135" s="115">
        <v>91.373333333333306</v>
      </c>
      <c r="N1135" s="115">
        <v>91.5555555555556</v>
      </c>
      <c r="O1135" s="115">
        <v>90.568888888888907</v>
      </c>
      <c r="P1135" s="115">
        <v>90.568888888888907</v>
      </c>
      <c r="Q1135" s="115">
        <v>1027.95</v>
      </c>
      <c r="R1135">
        <v>100206</v>
      </c>
    </row>
    <row r="1136" spans="1:18" x14ac:dyDescent="0.25">
      <c r="A1136" s="169">
        <v>44351</v>
      </c>
      <c r="B1136" s="115">
        <v>94.977777777777803</v>
      </c>
      <c r="C1136" s="115">
        <v>94.097777777777793</v>
      </c>
      <c r="D1136" s="115">
        <v>91.653333333333293</v>
      </c>
      <c r="E1136" s="115">
        <v>92.266666666666694</v>
      </c>
      <c r="F1136" s="115">
        <v>1058.5999999999999</v>
      </c>
      <c r="G1136">
        <v>28455</v>
      </c>
      <c r="H1136" s="115"/>
      <c r="I1136" s="115"/>
      <c r="L1136" s="169">
        <v>44351</v>
      </c>
      <c r="M1136" s="115">
        <v>94.062222222222204</v>
      </c>
      <c r="N1136" s="115">
        <v>95.022222222222197</v>
      </c>
      <c r="O1136" s="115">
        <v>91.733333333333306</v>
      </c>
      <c r="P1136" s="115">
        <v>91.911111111111097</v>
      </c>
      <c r="Q1136" s="115">
        <v>1058.2</v>
      </c>
      <c r="R1136">
        <v>601641</v>
      </c>
    </row>
    <row r="1137" spans="1:18" x14ac:dyDescent="0.25">
      <c r="A1137" s="169">
        <v>44354</v>
      </c>
      <c r="B1137" s="115">
        <v>101.6</v>
      </c>
      <c r="C1137" s="115">
        <v>99.96</v>
      </c>
      <c r="D1137" s="115">
        <v>95.1111111111111</v>
      </c>
      <c r="E1137" s="115">
        <v>95.1111111111111</v>
      </c>
      <c r="F1137" s="115">
        <v>1124.55</v>
      </c>
      <c r="G1137">
        <v>92528</v>
      </c>
      <c r="H1137" s="115"/>
      <c r="I1137" s="115"/>
      <c r="L1137" s="169">
        <v>44354</v>
      </c>
      <c r="M1137" s="115">
        <v>100.115555555556</v>
      </c>
      <c r="N1137" s="115">
        <v>101.62666666666701</v>
      </c>
      <c r="O1137" s="115">
        <v>95.733333333333306</v>
      </c>
      <c r="P1137" s="115">
        <v>96.106666666666698</v>
      </c>
      <c r="Q1137" s="115">
        <v>1126.3</v>
      </c>
      <c r="R1137">
        <v>1157969</v>
      </c>
    </row>
    <row r="1138" spans="1:18" x14ac:dyDescent="0.25">
      <c r="A1138" s="169">
        <v>44355</v>
      </c>
      <c r="B1138" s="115">
        <v>102.213333333333</v>
      </c>
      <c r="C1138" s="115">
        <v>99.186666666666696</v>
      </c>
      <c r="D1138" s="115">
        <v>96.8</v>
      </c>
      <c r="E1138" s="115">
        <v>102.213333333333</v>
      </c>
      <c r="F1138" s="115">
        <v>1115.8499999999999</v>
      </c>
      <c r="G1138">
        <v>64007</v>
      </c>
      <c r="H1138" s="115"/>
      <c r="I1138" s="115"/>
      <c r="L1138" s="169">
        <v>44355</v>
      </c>
      <c r="M1138" s="115">
        <v>99.253333333333302</v>
      </c>
      <c r="N1138" s="115">
        <v>101.973333333333</v>
      </c>
      <c r="O1138" s="115">
        <v>96.768888888888895</v>
      </c>
      <c r="P1138" s="115">
        <v>101.955555555556</v>
      </c>
      <c r="Q1138" s="115">
        <v>1116.5999999999999</v>
      </c>
      <c r="R1138">
        <v>839863</v>
      </c>
    </row>
    <row r="1139" spans="1:18" x14ac:dyDescent="0.25">
      <c r="A1139" s="169">
        <v>44356</v>
      </c>
      <c r="B1139" s="115">
        <v>104.71111111111099</v>
      </c>
      <c r="C1139" s="115">
        <v>102.01333333333299</v>
      </c>
      <c r="D1139" s="115">
        <v>99.1111111111111</v>
      </c>
      <c r="E1139" s="115">
        <v>101.15555555555601</v>
      </c>
      <c r="F1139" s="115">
        <v>1147.6500000000001</v>
      </c>
      <c r="G1139">
        <v>65842</v>
      </c>
      <c r="H1139" s="115"/>
      <c r="I1139" s="115"/>
      <c r="L1139" s="169">
        <v>44356</v>
      </c>
      <c r="M1139" s="115">
        <v>102.271111111111</v>
      </c>
      <c r="N1139" s="115">
        <v>104.71111111111099</v>
      </c>
      <c r="O1139" s="115">
        <v>99.106666666666698</v>
      </c>
      <c r="P1139" s="115">
        <v>100.391111111111</v>
      </c>
      <c r="Q1139" s="115">
        <v>1150.55</v>
      </c>
      <c r="R1139">
        <v>638771</v>
      </c>
    </row>
    <row r="1140" spans="1:18" x14ac:dyDescent="0.25">
      <c r="A1140" s="169">
        <v>44357</v>
      </c>
      <c r="B1140" s="115">
        <v>122.48</v>
      </c>
      <c r="C1140" s="115">
        <v>105.16</v>
      </c>
      <c r="D1140" s="115">
        <v>104.473333333333</v>
      </c>
      <c r="E1140" s="115">
        <v>110.64</v>
      </c>
      <c r="F1140" s="115">
        <v>788.7</v>
      </c>
      <c r="G1140">
        <v>118193</v>
      </c>
      <c r="H1140" s="115"/>
      <c r="I1140" s="115"/>
      <c r="L1140" s="169">
        <v>44357</v>
      </c>
      <c r="M1140" s="115">
        <v>105.23333333333299</v>
      </c>
      <c r="N1140" s="115">
        <v>122.45333333333301</v>
      </c>
      <c r="O1140" s="115">
        <v>104.133333333333</v>
      </c>
      <c r="P1140" s="115">
        <v>110.666666666667</v>
      </c>
      <c r="Q1140" s="115">
        <v>789.25</v>
      </c>
      <c r="R1140">
        <v>2552627</v>
      </c>
    </row>
    <row r="1141" spans="1:18" x14ac:dyDescent="0.25">
      <c r="A1141" s="169">
        <v>44358</v>
      </c>
      <c r="B1141" s="115">
        <v>107.68666666666699</v>
      </c>
      <c r="C1141" s="115">
        <v>105.4</v>
      </c>
      <c r="D1141" s="115">
        <v>103.426666666667</v>
      </c>
      <c r="E1141" s="115">
        <v>107.306666666667</v>
      </c>
      <c r="F1141" s="115">
        <v>790.5</v>
      </c>
      <c r="G1141">
        <v>32772</v>
      </c>
      <c r="H1141" s="115"/>
      <c r="I1141" s="115"/>
      <c r="L1141" s="169">
        <v>44358</v>
      </c>
      <c r="M1141" s="115">
        <v>105.366666666667</v>
      </c>
      <c r="N1141" s="115">
        <v>108</v>
      </c>
      <c r="O1141" s="115">
        <v>103.4</v>
      </c>
      <c r="P1141" s="115">
        <v>108</v>
      </c>
      <c r="Q1141" s="115">
        <v>790.25</v>
      </c>
      <c r="R1141">
        <v>836773</v>
      </c>
    </row>
    <row r="1142" spans="1:18" x14ac:dyDescent="0.25">
      <c r="A1142" s="169">
        <v>44361</v>
      </c>
      <c r="B1142" s="115">
        <v>105.2</v>
      </c>
      <c r="C1142" s="115">
        <v>103.413333333333</v>
      </c>
      <c r="D1142" s="115">
        <v>102.286666666667</v>
      </c>
      <c r="E1142" s="115">
        <v>104.533333333333</v>
      </c>
      <c r="F1142" s="115">
        <v>775.6</v>
      </c>
      <c r="G1142">
        <v>61580</v>
      </c>
      <c r="H1142" s="115"/>
      <c r="I1142" s="115"/>
      <c r="L1142" s="169">
        <v>44361</v>
      </c>
      <c r="M1142" s="115">
        <v>103.426666666667</v>
      </c>
      <c r="N1142" s="115">
        <v>105.366666666667</v>
      </c>
      <c r="O1142" s="115">
        <v>102.193333333333</v>
      </c>
      <c r="P1142" s="115">
        <v>105.333333333333</v>
      </c>
      <c r="Q1142" s="115">
        <v>775.7</v>
      </c>
      <c r="R1142">
        <v>610343</v>
      </c>
    </row>
    <row r="1143" spans="1:18" x14ac:dyDescent="0.25">
      <c r="A1143" s="169">
        <v>44362</v>
      </c>
      <c r="B1143" s="115">
        <v>106.393333333333</v>
      </c>
      <c r="C1143" s="115">
        <v>105.746666666667</v>
      </c>
      <c r="D1143" s="115">
        <v>102.366666666667</v>
      </c>
      <c r="E1143" s="115">
        <v>103</v>
      </c>
      <c r="F1143" s="115">
        <v>793.1</v>
      </c>
      <c r="G1143">
        <v>23111</v>
      </c>
      <c r="H1143" s="115"/>
      <c r="I1143" s="115"/>
      <c r="L1143" s="169">
        <v>44362</v>
      </c>
      <c r="M1143" s="115">
        <v>105.82666666666699</v>
      </c>
      <c r="N1143" s="115">
        <v>106.4</v>
      </c>
      <c r="O1143" s="115">
        <v>102</v>
      </c>
      <c r="P1143" s="115">
        <v>103.6</v>
      </c>
      <c r="Q1143" s="115">
        <v>793.7</v>
      </c>
      <c r="R1143">
        <v>571110</v>
      </c>
    </row>
    <row r="1144" spans="1:18" x14ac:dyDescent="0.25">
      <c r="A1144" s="169">
        <v>44363</v>
      </c>
      <c r="B1144" s="115">
        <v>106.7</v>
      </c>
      <c r="C1144" s="115">
        <v>105.113333333333</v>
      </c>
      <c r="D1144" s="115">
        <v>104.73333333333299</v>
      </c>
      <c r="E1144" s="115">
        <v>106.7</v>
      </c>
      <c r="F1144" s="115">
        <v>788.35</v>
      </c>
      <c r="G1144">
        <v>20122</v>
      </c>
      <c r="H1144" s="115"/>
      <c r="I1144" s="115"/>
      <c r="L1144" s="169">
        <v>44363</v>
      </c>
      <c r="M1144" s="115">
        <v>105.09333333333301</v>
      </c>
      <c r="N1144" s="115">
        <v>106.52</v>
      </c>
      <c r="O1144" s="115">
        <v>104.73333333333299</v>
      </c>
      <c r="P1144" s="115">
        <v>106</v>
      </c>
      <c r="Q1144" s="115">
        <v>788.2</v>
      </c>
      <c r="R1144">
        <v>338741</v>
      </c>
    </row>
    <row r="1145" spans="1:18" x14ac:dyDescent="0.25">
      <c r="A1145" s="169">
        <v>44364</v>
      </c>
      <c r="B1145" s="115">
        <v>105.926666666667</v>
      </c>
      <c r="C1145" s="115">
        <v>105.493333333333</v>
      </c>
      <c r="D1145" s="115">
        <v>103.62</v>
      </c>
      <c r="E1145" s="115">
        <v>104.6</v>
      </c>
      <c r="F1145" s="115">
        <v>791.2</v>
      </c>
      <c r="G1145">
        <v>23665</v>
      </c>
      <c r="H1145" s="115"/>
      <c r="I1145" s="115"/>
      <c r="L1145" s="169">
        <v>44364</v>
      </c>
      <c r="M1145" s="115">
        <v>105.48666666666701</v>
      </c>
      <c r="N1145" s="115">
        <v>105.98666666666701</v>
      </c>
      <c r="O1145" s="115">
        <v>103.6</v>
      </c>
      <c r="P1145" s="115">
        <v>103.6</v>
      </c>
      <c r="Q1145" s="115">
        <v>791.15</v>
      </c>
      <c r="R1145">
        <v>318298</v>
      </c>
    </row>
    <row r="1146" spans="1:18" x14ac:dyDescent="0.25">
      <c r="A1146" s="169">
        <v>44365</v>
      </c>
      <c r="B1146" s="115">
        <v>106.66</v>
      </c>
      <c r="C1146" s="115">
        <v>106.286666666667</v>
      </c>
      <c r="D1146" s="115">
        <v>104.426666666667</v>
      </c>
      <c r="E1146" s="115">
        <v>104.666666666667</v>
      </c>
      <c r="F1146" s="115">
        <v>797.15</v>
      </c>
      <c r="G1146">
        <v>37990</v>
      </c>
      <c r="H1146" s="115"/>
      <c r="I1146" s="115"/>
      <c r="L1146" s="169">
        <v>44365</v>
      </c>
      <c r="M1146" s="115">
        <v>106.193333333333</v>
      </c>
      <c r="N1146" s="115">
        <v>106.666666666667</v>
      </c>
      <c r="O1146" s="115">
        <v>104.40666666666699</v>
      </c>
      <c r="P1146" s="115">
        <v>105.586666666667</v>
      </c>
      <c r="Q1146" s="115">
        <v>796.45</v>
      </c>
      <c r="R1146">
        <v>645034</v>
      </c>
    </row>
    <row r="1147" spans="1:18" x14ac:dyDescent="0.25">
      <c r="A1147" s="169">
        <v>44368</v>
      </c>
      <c r="B1147" s="115">
        <v>106.386666666667</v>
      </c>
      <c r="C1147" s="115">
        <v>104.913333333333</v>
      </c>
      <c r="D1147" s="115">
        <v>104.48666666666701</v>
      </c>
      <c r="E1147" s="115">
        <v>106.26666666666701</v>
      </c>
      <c r="F1147" s="115">
        <v>786.85</v>
      </c>
      <c r="G1147">
        <v>22292</v>
      </c>
      <c r="H1147" s="115"/>
      <c r="I1147" s="115"/>
      <c r="L1147" s="169">
        <v>44368</v>
      </c>
      <c r="M1147" s="115">
        <v>104.88</v>
      </c>
      <c r="N1147" s="115">
        <v>106.386666666667</v>
      </c>
      <c r="O1147" s="115">
        <v>104.666666666667</v>
      </c>
      <c r="P1147" s="115">
        <v>106</v>
      </c>
      <c r="Q1147" s="115">
        <v>786.6</v>
      </c>
      <c r="R1147">
        <v>254807</v>
      </c>
    </row>
    <row r="1148" spans="1:18" x14ac:dyDescent="0.25">
      <c r="A1148" s="169">
        <v>44369</v>
      </c>
      <c r="B1148" s="115">
        <v>105.8</v>
      </c>
      <c r="C1148" s="115">
        <v>103.646666666667</v>
      </c>
      <c r="D1148" s="115">
        <v>102.853333333333</v>
      </c>
      <c r="E1148" s="115">
        <v>104.26666666666701</v>
      </c>
      <c r="F1148" s="115">
        <v>777.35</v>
      </c>
      <c r="G1148">
        <v>56083</v>
      </c>
      <c r="H1148" s="115"/>
      <c r="I1148" s="115"/>
      <c r="L1148" s="169">
        <v>44369</v>
      </c>
      <c r="M1148" s="115">
        <v>103.706666666667</v>
      </c>
      <c r="N1148" s="115">
        <v>105.866666666667</v>
      </c>
      <c r="O1148" s="115">
        <v>103.333333333333</v>
      </c>
      <c r="P1148" s="115">
        <v>104.98666666666701</v>
      </c>
      <c r="Q1148" s="115">
        <v>777.8</v>
      </c>
      <c r="R1148">
        <v>367710</v>
      </c>
    </row>
    <row r="1149" spans="1:18" x14ac:dyDescent="0.25">
      <c r="A1149" s="169">
        <v>44370</v>
      </c>
      <c r="B1149" s="115">
        <v>103.37333333333299</v>
      </c>
      <c r="C1149" s="115">
        <v>100.533333333333</v>
      </c>
      <c r="D1149" s="115">
        <v>100.26666666666701</v>
      </c>
      <c r="E1149" s="115">
        <v>102.92</v>
      </c>
      <c r="F1149" s="115">
        <v>754</v>
      </c>
      <c r="G1149">
        <v>25184</v>
      </c>
      <c r="H1149" s="115"/>
      <c r="I1149" s="115"/>
      <c r="L1149" s="169">
        <v>44370</v>
      </c>
      <c r="M1149" s="115">
        <v>100.46</v>
      </c>
      <c r="N1149" s="115">
        <v>103.633333333333</v>
      </c>
      <c r="O1149" s="115">
        <v>100.226666666667</v>
      </c>
      <c r="P1149" s="115">
        <v>102.90666666666699</v>
      </c>
      <c r="Q1149" s="115">
        <v>753.45</v>
      </c>
      <c r="R1149">
        <v>575649</v>
      </c>
    </row>
    <row r="1150" spans="1:18" x14ac:dyDescent="0.25">
      <c r="A1150" s="169">
        <v>44371</v>
      </c>
      <c r="B1150" s="115">
        <v>101.286666666667</v>
      </c>
      <c r="C1150" s="115">
        <v>96.1933333333333</v>
      </c>
      <c r="D1150" s="115">
        <v>96</v>
      </c>
      <c r="E1150" s="115">
        <v>101.2</v>
      </c>
      <c r="F1150" s="115">
        <v>721.45</v>
      </c>
      <c r="G1150">
        <v>62837</v>
      </c>
      <c r="H1150" s="115"/>
      <c r="I1150" s="115"/>
      <c r="L1150" s="169">
        <v>44371</v>
      </c>
      <c r="M1150" s="115">
        <v>96.186666666666696</v>
      </c>
      <c r="N1150" s="115">
        <v>101.333333333333</v>
      </c>
      <c r="O1150" s="115">
        <v>95.866666666666703</v>
      </c>
      <c r="P1150" s="115">
        <v>101.32666666666699</v>
      </c>
      <c r="Q1150" s="115">
        <v>721.4</v>
      </c>
      <c r="R1150">
        <v>559142</v>
      </c>
    </row>
    <row r="1151" spans="1:18" x14ac:dyDescent="0.25">
      <c r="A1151" s="169">
        <v>44372</v>
      </c>
      <c r="B1151" s="115">
        <v>97.573333333333295</v>
      </c>
      <c r="C1151" s="115">
        <v>95.493333333333297</v>
      </c>
      <c r="D1151" s="115">
        <v>95.233333333333306</v>
      </c>
      <c r="E1151" s="115">
        <v>96.533333333333303</v>
      </c>
      <c r="F1151" s="115">
        <v>716.2</v>
      </c>
      <c r="G1151">
        <v>42640</v>
      </c>
      <c r="H1151" s="115"/>
      <c r="I1151" s="115"/>
      <c r="L1151" s="169">
        <v>44372</v>
      </c>
      <c r="M1151" s="115">
        <v>95.526666666666699</v>
      </c>
      <c r="N1151" s="115">
        <v>97.6933333333333</v>
      </c>
      <c r="O1151" s="115">
        <v>95.2</v>
      </c>
      <c r="P1151" s="115">
        <v>97.053333333333299</v>
      </c>
      <c r="Q1151" s="115">
        <v>716.45</v>
      </c>
      <c r="R1151">
        <v>696988</v>
      </c>
    </row>
    <row r="1152" spans="1:18" x14ac:dyDescent="0.25">
      <c r="A1152" s="169">
        <v>44375</v>
      </c>
      <c r="B1152" s="115">
        <v>98</v>
      </c>
      <c r="C1152" s="115">
        <v>97.353333333333296</v>
      </c>
      <c r="D1152" s="115">
        <v>95.606666666666698</v>
      </c>
      <c r="E1152" s="115">
        <v>95.606666666666698</v>
      </c>
      <c r="F1152" s="115">
        <v>730.15</v>
      </c>
      <c r="G1152">
        <v>19720</v>
      </c>
      <c r="H1152" s="115"/>
      <c r="I1152" s="115"/>
      <c r="L1152" s="169">
        <v>44375</v>
      </c>
      <c r="M1152" s="115">
        <v>97.246666666666698</v>
      </c>
      <c r="N1152" s="115">
        <v>97.993333333333297</v>
      </c>
      <c r="O1152" s="115">
        <v>95.733333333333306</v>
      </c>
      <c r="P1152" s="115">
        <v>96</v>
      </c>
      <c r="Q1152" s="115">
        <v>729.35</v>
      </c>
      <c r="R1152">
        <v>603401</v>
      </c>
    </row>
    <row r="1153" spans="1:18" x14ac:dyDescent="0.25">
      <c r="A1153" s="169">
        <v>44376</v>
      </c>
      <c r="B1153" s="115">
        <v>98.153333333333293</v>
      </c>
      <c r="C1153" s="115">
        <v>96.7</v>
      </c>
      <c r="D1153" s="115">
        <v>96.34</v>
      </c>
      <c r="E1153" s="115">
        <v>97.3333333333333</v>
      </c>
      <c r="F1153" s="115">
        <v>725.25</v>
      </c>
      <c r="G1153">
        <v>25785</v>
      </c>
      <c r="H1153" s="115"/>
      <c r="I1153" s="115"/>
      <c r="L1153" s="169">
        <v>44376</v>
      </c>
      <c r="M1153" s="115">
        <v>96.62</v>
      </c>
      <c r="N1153" s="115">
        <v>98.2</v>
      </c>
      <c r="O1153" s="115">
        <v>96.3333333333333</v>
      </c>
      <c r="P1153" s="115">
        <v>97.866666666666703</v>
      </c>
      <c r="Q1153" s="115">
        <v>724.65</v>
      </c>
      <c r="R1153">
        <v>304765</v>
      </c>
    </row>
    <row r="1154" spans="1:18" x14ac:dyDescent="0.25">
      <c r="A1154" s="169">
        <v>44377</v>
      </c>
      <c r="B1154" s="115">
        <v>97.92</v>
      </c>
      <c r="C1154" s="115">
        <v>97.226666666666702</v>
      </c>
      <c r="D1154" s="115">
        <v>96.3066666666667</v>
      </c>
      <c r="E1154" s="115">
        <v>97.3333333333333</v>
      </c>
      <c r="F1154" s="115">
        <v>729.2</v>
      </c>
      <c r="G1154">
        <v>20512</v>
      </c>
      <c r="H1154" s="115"/>
      <c r="I1154" s="115"/>
      <c r="L1154" s="169">
        <v>44377</v>
      </c>
      <c r="M1154" s="115">
        <v>97.28</v>
      </c>
      <c r="N1154" s="115">
        <v>97.966666666666697</v>
      </c>
      <c r="O1154" s="115">
        <v>96.266666666666694</v>
      </c>
      <c r="P1154" s="115">
        <v>97.493333333333297</v>
      </c>
      <c r="Q1154" s="115">
        <v>729.6</v>
      </c>
      <c r="R1154">
        <v>244521</v>
      </c>
    </row>
    <row r="1155" spans="1:18" x14ac:dyDescent="0.25">
      <c r="A1155" s="169">
        <v>44378</v>
      </c>
      <c r="B1155" s="115">
        <v>97.893333333333302</v>
      </c>
      <c r="C1155" s="115">
        <v>96.48</v>
      </c>
      <c r="D1155" s="115">
        <v>96.16</v>
      </c>
      <c r="E1155" s="115">
        <v>97.233333333333306</v>
      </c>
      <c r="F1155" s="115">
        <v>723.6</v>
      </c>
      <c r="G1155">
        <v>9858</v>
      </c>
      <c r="H1155" s="115"/>
      <c r="I1155" s="115"/>
      <c r="L1155" s="169">
        <v>44378</v>
      </c>
      <c r="M1155" s="115">
        <v>96.5</v>
      </c>
      <c r="N1155" s="115">
        <v>98</v>
      </c>
      <c r="O1155" s="115">
        <v>96.1666666666667</v>
      </c>
      <c r="P1155" s="115">
        <v>98</v>
      </c>
      <c r="Q1155" s="115">
        <v>723.75</v>
      </c>
      <c r="R1155">
        <v>295551</v>
      </c>
    </row>
    <row r="1156" spans="1:18" x14ac:dyDescent="0.25">
      <c r="A1156" s="169">
        <v>44379</v>
      </c>
      <c r="B1156" s="115">
        <v>96.76</v>
      </c>
      <c r="C1156" s="115">
        <v>95.926666666666705</v>
      </c>
      <c r="D1156" s="115">
        <v>95.12</v>
      </c>
      <c r="E1156" s="115">
        <v>96.6666666666667</v>
      </c>
      <c r="F1156" s="115">
        <v>719.45</v>
      </c>
      <c r="G1156">
        <v>10706</v>
      </c>
      <c r="H1156" s="115"/>
      <c r="I1156" s="115"/>
      <c r="L1156" s="169">
        <v>44379</v>
      </c>
      <c r="M1156" s="115">
        <v>95.886666666666699</v>
      </c>
      <c r="N1156" s="115">
        <v>96.84</v>
      </c>
      <c r="O1156" s="115">
        <v>95.066666666666706</v>
      </c>
      <c r="P1156" s="115">
        <v>96.6666666666667</v>
      </c>
      <c r="Q1156" s="115">
        <v>719.15</v>
      </c>
      <c r="R1156">
        <v>466173</v>
      </c>
    </row>
    <row r="1157" spans="1:18" x14ac:dyDescent="0.25">
      <c r="A1157" s="169">
        <v>44382</v>
      </c>
      <c r="B1157" s="115">
        <v>97.42</v>
      </c>
      <c r="C1157" s="115">
        <v>95.133333333333297</v>
      </c>
      <c r="D1157" s="115">
        <v>94.6666666666667</v>
      </c>
      <c r="E1157" s="115">
        <v>95.933333333333294</v>
      </c>
      <c r="F1157" s="115">
        <v>713.5</v>
      </c>
      <c r="G1157">
        <v>42821</v>
      </c>
      <c r="H1157" s="115"/>
      <c r="I1157" s="115"/>
      <c r="L1157" s="169">
        <v>44382</v>
      </c>
      <c r="M1157" s="115">
        <v>95.086666666666702</v>
      </c>
      <c r="N1157" s="115">
        <v>97.466666666666697</v>
      </c>
      <c r="O1157" s="115">
        <v>94.533333333333303</v>
      </c>
      <c r="P1157" s="115">
        <v>96.6666666666667</v>
      </c>
      <c r="Q1157" s="115">
        <v>713.15</v>
      </c>
      <c r="R1157">
        <v>331472</v>
      </c>
    </row>
    <row r="1158" spans="1:18" x14ac:dyDescent="0.25">
      <c r="A1158" s="169">
        <v>44383</v>
      </c>
      <c r="B1158" s="115">
        <v>97.8</v>
      </c>
      <c r="C1158" s="115">
        <v>96.386666666666699</v>
      </c>
      <c r="D1158" s="115">
        <v>95.6</v>
      </c>
      <c r="E1158" s="115">
        <v>95.706666666666706</v>
      </c>
      <c r="F1158" s="115">
        <v>722.9</v>
      </c>
      <c r="G1158">
        <v>33365</v>
      </c>
      <c r="H1158" s="115"/>
      <c r="I1158" s="115"/>
      <c r="L1158" s="169">
        <v>44383</v>
      </c>
      <c r="M1158" s="115">
        <v>96.466666666666697</v>
      </c>
      <c r="N1158" s="115">
        <v>97.866666666666703</v>
      </c>
      <c r="O1158" s="115">
        <v>95.426666666666705</v>
      </c>
      <c r="P1158" s="115">
        <v>95.426666666666705</v>
      </c>
      <c r="Q1158" s="115">
        <v>723.5</v>
      </c>
      <c r="R1158">
        <v>298744</v>
      </c>
    </row>
    <row r="1159" spans="1:18" x14ac:dyDescent="0.25">
      <c r="A1159" s="169">
        <v>44384</v>
      </c>
      <c r="B1159" s="115">
        <v>100.37333333333299</v>
      </c>
      <c r="C1159" s="115">
        <v>99.613333333333301</v>
      </c>
      <c r="D1159" s="115">
        <v>96.16</v>
      </c>
      <c r="E1159" s="115">
        <v>96.386666666666699</v>
      </c>
      <c r="F1159" s="115">
        <v>747.1</v>
      </c>
      <c r="G1159">
        <v>26874</v>
      </c>
      <c r="H1159" s="115"/>
      <c r="I1159" s="115"/>
      <c r="L1159" s="169">
        <v>44384</v>
      </c>
      <c r="M1159" s="115">
        <v>99.44</v>
      </c>
      <c r="N1159" s="115">
        <v>100.366666666667</v>
      </c>
      <c r="O1159" s="115">
        <v>96.06</v>
      </c>
      <c r="P1159" s="115">
        <v>96.68</v>
      </c>
      <c r="Q1159" s="115">
        <v>745.8</v>
      </c>
      <c r="R1159">
        <v>728762</v>
      </c>
    </row>
    <row r="1160" spans="1:18" x14ac:dyDescent="0.25">
      <c r="A1160" s="169">
        <v>44385</v>
      </c>
      <c r="B1160" s="115">
        <v>103.2</v>
      </c>
      <c r="C1160" s="115">
        <v>102.73333333333299</v>
      </c>
      <c r="D1160" s="115">
        <v>99.14</v>
      </c>
      <c r="E1160" s="115">
        <v>100</v>
      </c>
      <c r="F1160" s="115">
        <v>770.5</v>
      </c>
      <c r="G1160">
        <v>87094</v>
      </c>
      <c r="H1160" s="115"/>
      <c r="I1160" s="115"/>
      <c r="L1160" s="169">
        <v>44385</v>
      </c>
      <c r="M1160" s="115">
        <v>102.66</v>
      </c>
      <c r="N1160" s="115">
        <v>103.2</v>
      </c>
      <c r="O1160" s="115">
        <v>99.913333333333298</v>
      </c>
      <c r="P1160" s="115">
        <v>100.113333333333</v>
      </c>
      <c r="Q1160" s="115">
        <v>769.95</v>
      </c>
      <c r="R1160">
        <v>725401</v>
      </c>
    </row>
    <row r="1161" spans="1:18" x14ac:dyDescent="0.25">
      <c r="A1161" s="169">
        <v>44386</v>
      </c>
      <c r="B1161" s="115">
        <v>103.333333333333</v>
      </c>
      <c r="C1161" s="115">
        <v>102.65333333333299</v>
      </c>
      <c r="D1161" s="115">
        <v>101.286666666667</v>
      </c>
      <c r="E1161" s="115">
        <v>102.02</v>
      </c>
      <c r="F1161" s="115">
        <v>769.9</v>
      </c>
      <c r="G1161">
        <v>36305</v>
      </c>
      <c r="H1161" s="115"/>
      <c r="I1161" s="115"/>
      <c r="L1161" s="169">
        <v>44386</v>
      </c>
      <c r="M1161" s="115">
        <v>102.67333333333301</v>
      </c>
      <c r="N1161" s="115">
        <v>103.333333333333</v>
      </c>
      <c r="O1161" s="115">
        <v>101.466666666667</v>
      </c>
      <c r="P1161" s="115">
        <v>102.666666666667</v>
      </c>
      <c r="Q1161" s="115">
        <v>770.05</v>
      </c>
      <c r="R1161">
        <v>336893</v>
      </c>
    </row>
    <row r="1162" spans="1:18" x14ac:dyDescent="0.25">
      <c r="A1162" s="169">
        <v>44389</v>
      </c>
      <c r="B1162" s="115">
        <v>104.366666666667</v>
      </c>
      <c r="C1162" s="115">
        <v>104.133333333333</v>
      </c>
      <c r="D1162" s="115">
        <v>102.72</v>
      </c>
      <c r="E1162" s="115">
        <v>103.2</v>
      </c>
      <c r="F1162" s="115">
        <v>781</v>
      </c>
      <c r="G1162">
        <v>14257</v>
      </c>
      <c r="H1162" s="115"/>
      <c r="I1162" s="115"/>
      <c r="L1162" s="169">
        <v>44389</v>
      </c>
      <c r="M1162" s="115">
        <v>104.16</v>
      </c>
      <c r="N1162" s="115">
        <v>104.26666666666701</v>
      </c>
      <c r="O1162" s="115">
        <v>102.68</v>
      </c>
      <c r="P1162" s="115">
        <v>103.333333333333</v>
      </c>
      <c r="Q1162" s="115">
        <v>781.2</v>
      </c>
      <c r="R1162">
        <v>261290</v>
      </c>
    </row>
    <row r="1163" spans="1:18" x14ac:dyDescent="0.25">
      <c r="A1163" s="169">
        <v>44390</v>
      </c>
      <c r="B1163" s="115">
        <v>107.28</v>
      </c>
      <c r="C1163" s="115">
        <v>104.886666666667</v>
      </c>
      <c r="D1163" s="115">
        <v>104.133333333333</v>
      </c>
      <c r="E1163" s="115">
        <v>104.666666666667</v>
      </c>
      <c r="F1163" s="115">
        <v>786.65</v>
      </c>
      <c r="G1163">
        <v>25981</v>
      </c>
      <c r="H1163" s="115"/>
      <c r="I1163" s="115"/>
      <c r="L1163" s="169">
        <v>44390</v>
      </c>
      <c r="M1163" s="115">
        <v>104.933333333333</v>
      </c>
      <c r="N1163" s="115">
        <v>107.2</v>
      </c>
      <c r="O1163" s="115">
        <v>104.133333333333</v>
      </c>
      <c r="P1163" s="115">
        <v>104.26666666666701</v>
      </c>
      <c r="Q1163" s="115">
        <v>787</v>
      </c>
      <c r="R1163">
        <v>521722</v>
      </c>
    </row>
    <row r="1164" spans="1:18" x14ac:dyDescent="0.25">
      <c r="A1164" s="169">
        <v>44391</v>
      </c>
      <c r="B1164" s="115">
        <v>106</v>
      </c>
      <c r="C1164" s="115">
        <v>103.893333333333</v>
      </c>
      <c r="D1164" s="115">
        <v>103.333333333333</v>
      </c>
      <c r="E1164" s="115">
        <v>106</v>
      </c>
      <c r="F1164" s="115">
        <v>779.2</v>
      </c>
      <c r="G1164">
        <v>14859</v>
      </c>
      <c r="H1164" s="115"/>
      <c r="I1164" s="115"/>
      <c r="L1164" s="169">
        <v>44391</v>
      </c>
      <c r="M1164" s="115">
        <v>103.72</v>
      </c>
      <c r="N1164" s="115">
        <v>105.806666666667</v>
      </c>
      <c r="O1164" s="115">
        <v>103.333333333333</v>
      </c>
      <c r="P1164" s="115">
        <v>104.933333333333</v>
      </c>
      <c r="Q1164" s="115">
        <v>777.9</v>
      </c>
      <c r="R1164">
        <v>205546</v>
      </c>
    </row>
    <row r="1165" spans="1:18" x14ac:dyDescent="0.25">
      <c r="A1165" s="169">
        <v>44392</v>
      </c>
      <c r="B1165" s="115">
        <v>106.48666666666701</v>
      </c>
      <c r="C1165" s="115">
        <v>106.193333333333</v>
      </c>
      <c r="D1165" s="115">
        <v>104.026666666667</v>
      </c>
      <c r="E1165" s="115">
        <v>104.65333333333299</v>
      </c>
      <c r="F1165" s="115">
        <v>796.45</v>
      </c>
      <c r="G1165">
        <v>51181</v>
      </c>
      <c r="H1165" s="115"/>
      <c r="I1165" s="115"/>
      <c r="L1165" s="169">
        <v>44392</v>
      </c>
      <c r="M1165" s="115">
        <v>106.17333333333301</v>
      </c>
      <c r="N1165" s="115">
        <v>106.54</v>
      </c>
      <c r="O1165" s="115">
        <v>104.006666666667</v>
      </c>
      <c r="P1165" s="115">
        <v>104.166666666667</v>
      </c>
      <c r="Q1165" s="115">
        <v>796.3</v>
      </c>
      <c r="R1165">
        <v>247741</v>
      </c>
    </row>
    <row r="1166" spans="1:18" x14ac:dyDescent="0.25">
      <c r="A1166" s="169">
        <v>44393</v>
      </c>
      <c r="B1166" s="115">
        <v>106.666666666667</v>
      </c>
      <c r="C1166" s="115">
        <v>106.226666666667</v>
      </c>
      <c r="D1166" s="115">
        <v>103.646666666667</v>
      </c>
      <c r="E1166" s="115">
        <v>106.193333333333</v>
      </c>
      <c r="F1166" s="115">
        <v>796.7</v>
      </c>
      <c r="G1166">
        <v>36154</v>
      </c>
      <c r="H1166" s="115"/>
      <c r="I1166" s="115"/>
      <c r="L1166" s="169">
        <v>44393</v>
      </c>
      <c r="M1166" s="115">
        <v>106.36</v>
      </c>
      <c r="N1166" s="115">
        <v>106.8</v>
      </c>
      <c r="O1166" s="115">
        <v>103.66</v>
      </c>
      <c r="P1166" s="115">
        <v>106.533333333333</v>
      </c>
      <c r="Q1166" s="115">
        <v>797.7</v>
      </c>
      <c r="R1166">
        <v>328950</v>
      </c>
    </row>
    <row r="1167" spans="1:18" x14ac:dyDescent="0.25">
      <c r="A1167" s="169">
        <v>44396</v>
      </c>
      <c r="B1167" s="115">
        <v>106.293333333333</v>
      </c>
      <c r="C1167" s="115">
        <v>103.713333333333</v>
      </c>
      <c r="D1167" s="115">
        <v>103.2</v>
      </c>
      <c r="E1167" s="115">
        <v>106.293333333333</v>
      </c>
      <c r="F1167" s="115">
        <v>777.85</v>
      </c>
      <c r="G1167">
        <v>8315</v>
      </c>
      <c r="H1167" s="115"/>
      <c r="I1167" s="115"/>
      <c r="L1167" s="169">
        <v>44396</v>
      </c>
      <c r="M1167" s="115">
        <v>103.493333333333</v>
      </c>
      <c r="N1167" s="115">
        <v>105.6</v>
      </c>
      <c r="O1167" s="115">
        <v>102</v>
      </c>
      <c r="P1167" s="115">
        <v>105.333333333333</v>
      </c>
      <c r="Q1167" s="115">
        <v>776.2</v>
      </c>
      <c r="R1167">
        <v>201787</v>
      </c>
    </row>
    <row r="1168" spans="1:18" x14ac:dyDescent="0.25">
      <c r="A1168" s="169">
        <v>44397</v>
      </c>
      <c r="B1168" s="115">
        <v>105.466666666667</v>
      </c>
      <c r="C1168" s="115">
        <v>103.74</v>
      </c>
      <c r="D1168" s="115">
        <v>102.74</v>
      </c>
      <c r="E1168" s="115">
        <v>103.806666666667</v>
      </c>
      <c r="F1168" s="115">
        <v>778.05</v>
      </c>
      <c r="G1168">
        <v>25039</v>
      </c>
      <c r="H1168" s="115"/>
      <c r="I1168" s="115"/>
      <c r="L1168" s="169">
        <v>44397</v>
      </c>
      <c r="M1168" s="115">
        <v>103.76666666666701</v>
      </c>
      <c r="N1168" s="115">
        <v>104.606666666667</v>
      </c>
      <c r="O1168" s="115">
        <v>102.74</v>
      </c>
      <c r="P1168" s="115">
        <v>104.01333333333299</v>
      </c>
      <c r="Q1168" s="115">
        <v>778.25</v>
      </c>
      <c r="R1168">
        <v>131943</v>
      </c>
    </row>
    <row r="1169" spans="1:18" x14ac:dyDescent="0.25">
      <c r="A1169" s="169">
        <v>44399</v>
      </c>
      <c r="B1169" s="115">
        <v>104.966666666667</v>
      </c>
      <c r="C1169" s="115">
        <v>101.2</v>
      </c>
      <c r="D1169" s="115">
        <v>100.12666666666701</v>
      </c>
      <c r="E1169" s="115">
        <v>104.666666666667</v>
      </c>
      <c r="F1169" s="115">
        <v>759</v>
      </c>
      <c r="G1169">
        <v>13550</v>
      </c>
      <c r="H1169" s="115"/>
      <c r="I1169" s="115"/>
      <c r="L1169" s="169">
        <v>44399</v>
      </c>
      <c r="M1169" s="115">
        <v>101.22</v>
      </c>
      <c r="N1169" s="115">
        <v>105.17333333333301</v>
      </c>
      <c r="O1169" s="115">
        <v>98.906666666666695</v>
      </c>
      <c r="P1169" s="115">
        <v>104.8</v>
      </c>
      <c r="Q1169" s="115">
        <v>759.15</v>
      </c>
      <c r="R1169">
        <v>307180</v>
      </c>
    </row>
    <row r="1170" spans="1:18" x14ac:dyDescent="0.25">
      <c r="A1170" s="169">
        <v>44400</v>
      </c>
      <c r="B1170" s="115">
        <v>103.226666666667</v>
      </c>
      <c r="C1170" s="115">
        <v>97.686666666666696</v>
      </c>
      <c r="D1170" s="115">
        <v>97.3333333333333</v>
      </c>
      <c r="E1170" s="115">
        <v>103.226666666667</v>
      </c>
      <c r="F1170" s="115">
        <v>732.65</v>
      </c>
      <c r="G1170">
        <v>19426</v>
      </c>
      <c r="H1170" s="115"/>
      <c r="I1170" s="115"/>
      <c r="L1170" s="169">
        <v>44400</v>
      </c>
      <c r="M1170" s="115">
        <v>97.653333333333293</v>
      </c>
      <c r="N1170" s="115">
        <v>102</v>
      </c>
      <c r="O1170" s="115">
        <v>97.3333333333333</v>
      </c>
      <c r="P1170" s="115">
        <v>102</v>
      </c>
      <c r="Q1170" s="115">
        <v>732.4</v>
      </c>
      <c r="R1170">
        <v>338403</v>
      </c>
    </row>
    <row r="1171" spans="1:18" x14ac:dyDescent="0.25">
      <c r="A1171" s="169">
        <v>44403</v>
      </c>
      <c r="B1171" s="115">
        <v>100.533333333333</v>
      </c>
      <c r="C1171" s="115">
        <v>100.12666666666701</v>
      </c>
      <c r="D1171" s="115">
        <v>97.466666666666697</v>
      </c>
      <c r="E1171" s="115">
        <v>97.466666666666697</v>
      </c>
      <c r="F1171" s="115">
        <v>750.95</v>
      </c>
      <c r="G1171">
        <v>22000</v>
      </c>
      <c r="H1171" s="115"/>
      <c r="I1171" s="115"/>
      <c r="L1171" s="169">
        <v>44403</v>
      </c>
      <c r="M1171" s="115">
        <v>100.14</v>
      </c>
      <c r="N1171" s="115">
        <v>100.586666666667</v>
      </c>
      <c r="O1171" s="115">
        <v>98.133333333333297</v>
      </c>
      <c r="P1171" s="115">
        <v>98.133333333333297</v>
      </c>
      <c r="Q1171" s="115">
        <v>751.05</v>
      </c>
      <c r="R1171">
        <v>446644</v>
      </c>
    </row>
    <row r="1172" spans="1:18" x14ac:dyDescent="0.25">
      <c r="A1172" s="169">
        <v>44404</v>
      </c>
      <c r="B1172" s="115">
        <v>101.693333333333</v>
      </c>
      <c r="C1172" s="115">
        <v>99.046666666666695</v>
      </c>
      <c r="D1172" s="115">
        <v>98.526666666666699</v>
      </c>
      <c r="E1172" s="115">
        <v>101.066666666667</v>
      </c>
      <c r="F1172" s="115">
        <v>742.85</v>
      </c>
      <c r="G1172">
        <v>8373</v>
      </c>
      <c r="H1172" s="115"/>
      <c r="I1172" s="115"/>
      <c r="L1172" s="169">
        <v>44404</v>
      </c>
      <c r="M1172" s="115">
        <v>98.993333333333297</v>
      </c>
      <c r="N1172" s="115">
        <v>102</v>
      </c>
      <c r="O1172" s="115">
        <v>98.413333333333298</v>
      </c>
      <c r="P1172" s="115">
        <v>101.066666666667</v>
      </c>
      <c r="Q1172" s="115">
        <v>742.45</v>
      </c>
      <c r="R1172">
        <v>367390</v>
      </c>
    </row>
    <row r="1173" spans="1:18" x14ac:dyDescent="0.25">
      <c r="A1173" s="169">
        <v>44405</v>
      </c>
      <c r="B1173" s="115">
        <v>101.466666666667</v>
      </c>
      <c r="C1173" s="115">
        <v>101.23333333333299</v>
      </c>
      <c r="D1173" s="115">
        <v>99.066666666666706</v>
      </c>
      <c r="E1173" s="115">
        <v>100.533333333333</v>
      </c>
      <c r="F1173" s="115">
        <v>759.25</v>
      </c>
      <c r="G1173">
        <v>23435</v>
      </c>
      <c r="H1173" s="115"/>
      <c r="I1173" s="115"/>
      <c r="L1173" s="169">
        <v>44405</v>
      </c>
      <c r="M1173" s="115">
        <v>101.23333333333299</v>
      </c>
      <c r="N1173" s="115">
        <v>101.566666666667</v>
      </c>
      <c r="O1173" s="115">
        <v>99.073333333333295</v>
      </c>
      <c r="P1173" s="115">
        <v>100</v>
      </c>
      <c r="Q1173" s="115">
        <v>759.25</v>
      </c>
      <c r="R1173">
        <v>326741</v>
      </c>
    </row>
    <row r="1174" spans="1:18" x14ac:dyDescent="0.25">
      <c r="A1174" s="169">
        <v>44406</v>
      </c>
      <c r="B1174" s="115">
        <v>101.68</v>
      </c>
      <c r="C1174" s="115">
        <v>100.473333333333</v>
      </c>
      <c r="D1174" s="115">
        <v>99.8</v>
      </c>
      <c r="E1174" s="115">
        <v>99.933333333333294</v>
      </c>
      <c r="F1174" s="115">
        <v>753.55</v>
      </c>
      <c r="G1174">
        <v>4541</v>
      </c>
      <c r="H1174" s="115"/>
      <c r="I1174" s="115"/>
      <c r="L1174" s="169">
        <v>44406</v>
      </c>
      <c r="M1174" s="115">
        <v>100.366666666667</v>
      </c>
      <c r="N1174" s="115">
        <v>102</v>
      </c>
      <c r="O1174" s="115">
        <v>99.733333333333306</v>
      </c>
      <c r="P1174" s="115">
        <v>102</v>
      </c>
      <c r="Q1174" s="115">
        <v>752.75</v>
      </c>
      <c r="R1174">
        <v>220693</v>
      </c>
    </row>
    <row r="1175" spans="1:18" x14ac:dyDescent="0.25">
      <c r="A1175" s="169">
        <v>44407</v>
      </c>
      <c r="B1175" s="115">
        <v>102.31333333333301</v>
      </c>
      <c r="C1175" s="115">
        <v>101.54</v>
      </c>
      <c r="D1175" s="115">
        <v>100</v>
      </c>
      <c r="E1175" s="115">
        <v>100</v>
      </c>
      <c r="F1175" s="115">
        <v>761.55</v>
      </c>
      <c r="G1175">
        <v>19888</v>
      </c>
      <c r="H1175" s="115"/>
      <c r="I1175" s="115"/>
      <c r="L1175" s="169">
        <v>44407</v>
      </c>
      <c r="M1175" s="115">
        <v>101.573333333333</v>
      </c>
      <c r="N1175" s="115">
        <v>102.52</v>
      </c>
      <c r="O1175" s="115">
        <v>100.4</v>
      </c>
      <c r="P1175" s="115">
        <v>100.4</v>
      </c>
      <c r="Q1175" s="115">
        <v>761.8</v>
      </c>
      <c r="R1175">
        <v>751627</v>
      </c>
    </row>
    <row r="1176" spans="1:18" x14ac:dyDescent="0.25">
      <c r="A1176" s="169">
        <v>44410</v>
      </c>
      <c r="B1176" s="115">
        <v>107.726666666667</v>
      </c>
      <c r="C1176" s="115">
        <v>105.226666666667</v>
      </c>
      <c r="D1176" s="115">
        <v>101.566666666667</v>
      </c>
      <c r="E1176" s="115">
        <v>103.333333333333</v>
      </c>
      <c r="F1176" s="115">
        <v>789.2</v>
      </c>
      <c r="G1176">
        <v>83290</v>
      </c>
      <c r="H1176" s="115"/>
      <c r="I1176" s="115"/>
      <c r="L1176" s="169">
        <v>44410</v>
      </c>
      <c r="M1176" s="115">
        <v>105.213333333333</v>
      </c>
      <c r="N1176" s="115">
        <v>107.706666666667</v>
      </c>
      <c r="O1176" s="115">
        <v>101.6</v>
      </c>
      <c r="P1176" s="115">
        <v>102.666666666667</v>
      </c>
      <c r="Q1176" s="115">
        <v>789.1</v>
      </c>
      <c r="R1176">
        <v>2755163</v>
      </c>
    </row>
    <row r="1177" spans="1:18" x14ac:dyDescent="0.25">
      <c r="A1177" s="169">
        <v>44411</v>
      </c>
      <c r="B1177" s="115">
        <v>106.62666666666701</v>
      </c>
      <c r="C1177" s="115">
        <v>104.966666666667</v>
      </c>
      <c r="D1177" s="115">
        <v>104.26666666666701</v>
      </c>
      <c r="E1177" s="115">
        <v>106.253333333333</v>
      </c>
      <c r="F1177" s="115">
        <v>787.25</v>
      </c>
      <c r="G1177">
        <v>50142</v>
      </c>
      <c r="H1177" s="115"/>
      <c r="I1177" s="115"/>
      <c r="L1177" s="169">
        <v>44411</v>
      </c>
      <c r="M1177" s="115">
        <v>105.146666666667</v>
      </c>
      <c r="N1177" s="115">
        <v>106.666666666667</v>
      </c>
      <c r="O1177" s="115">
        <v>104.26666666666701</v>
      </c>
      <c r="P1177" s="115">
        <v>106.666666666667</v>
      </c>
      <c r="Q1177" s="115">
        <v>788.6</v>
      </c>
      <c r="R1177">
        <v>661904</v>
      </c>
    </row>
    <row r="1178" spans="1:18" x14ac:dyDescent="0.25">
      <c r="A1178" s="169">
        <v>44412</v>
      </c>
      <c r="B1178" s="115">
        <v>106.26</v>
      </c>
      <c r="C1178" s="115">
        <v>105.67333333333301</v>
      </c>
      <c r="D1178" s="115">
        <v>104.62666666666701</v>
      </c>
      <c r="E1178" s="115">
        <v>106.26</v>
      </c>
      <c r="F1178" s="115">
        <v>792.55</v>
      </c>
      <c r="G1178">
        <v>15624</v>
      </c>
      <c r="H1178" s="115"/>
      <c r="I1178" s="115"/>
      <c r="L1178" s="169">
        <v>44412</v>
      </c>
      <c r="M1178" s="115">
        <v>105.7</v>
      </c>
      <c r="N1178" s="115">
        <v>106.09333333333301</v>
      </c>
      <c r="O1178" s="115">
        <v>104.54666666666699</v>
      </c>
      <c r="P1178" s="115">
        <v>105.74</v>
      </c>
      <c r="Q1178" s="115">
        <v>792.75</v>
      </c>
      <c r="R1178">
        <v>599806</v>
      </c>
    </row>
    <row r="1179" spans="1:18" x14ac:dyDescent="0.25">
      <c r="A1179" s="169">
        <v>44413</v>
      </c>
      <c r="B1179" s="115">
        <v>106.68</v>
      </c>
      <c r="C1179" s="115">
        <v>104.04666666666699</v>
      </c>
      <c r="D1179" s="115">
        <v>103.506666666667</v>
      </c>
      <c r="E1179" s="115">
        <v>106.68</v>
      </c>
      <c r="F1179" s="115">
        <v>780.35</v>
      </c>
      <c r="G1179">
        <v>14590</v>
      </c>
      <c r="H1179" s="115"/>
      <c r="I1179" s="115"/>
      <c r="L1179" s="169">
        <v>44413</v>
      </c>
      <c r="M1179" s="115">
        <v>104</v>
      </c>
      <c r="N1179" s="115">
        <v>106.526666666667</v>
      </c>
      <c r="O1179" s="115">
        <v>103.466666666667</v>
      </c>
      <c r="P1179" s="115">
        <v>105.7</v>
      </c>
      <c r="Q1179" s="115">
        <v>780</v>
      </c>
      <c r="R1179">
        <v>668270</v>
      </c>
    </row>
    <row r="1180" spans="1:18" x14ac:dyDescent="0.25">
      <c r="A1180" s="169">
        <v>44414</v>
      </c>
      <c r="B1180" s="115">
        <v>105.2</v>
      </c>
      <c r="C1180" s="115">
        <v>103.086666666667</v>
      </c>
      <c r="D1180" s="115">
        <v>102.8</v>
      </c>
      <c r="E1180" s="115">
        <v>103.866666666667</v>
      </c>
      <c r="F1180" s="115">
        <v>773.15</v>
      </c>
      <c r="G1180">
        <v>13670</v>
      </c>
      <c r="H1180" s="115"/>
      <c r="I1180" s="115"/>
      <c r="L1180" s="169">
        <v>44414</v>
      </c>
      <c r="M1180" s="115">
        <v>103.08</v>
      </c>
      <c r="N1180" s="115">
        <v>105.2</v>
      </c>
      <c r="O1180" s="115">
        <v>102.806666666667</v>
      </c>
      <c r="P1180" s="115">
        <v>104.37333333333299</v>
      </c>
      <c r="Q1180" s="115">
        <v>773.1</v>
      </c>
      <c r="R1180">
        <v>161288</v>
      </c>
    </row>
    <row r="1181" spans="1:18" x14ac:dyDescent="0.25">
      <c r="A1181" s="169">
        <v>44417</v>
      </c>
      <c r="B1181" s="115">
        <v>103.56</v>
      </c>
      <c r="C1181" s="115">
        <v>102.01333333333299</v>
      </c>
      <c r="D1181" s="115">
        <v>101.6</v>
      </c>
      <c r="E1181" s="115">
        <v>102.8</v>
      </c>
      <c r="F1181" s="115">
        <v>765.1</v>
      </c>
      <c r="G1181">
        <v>18124</v>
      </c>
      <c r="H1181" s="115"/>
      <c r="I1181" s="115"/>
      <c r="L1181" s="169">
        <v>44417</v>
      </c>
      <c r="M1181" s="115">
        <v>101.993333333333</v>
      </c>
      <c r="N1181" s="115">
        <v>103.64</v>
      </c>
      <c r="O1181" s="115">
        <v>101.6</v>
      </c>
      <c r="P1181" s="115">
        <v>102.806666666667</v>
      </c>
      <c r="Q1181" s="115">
        <v>764.95</v>
      </c>
      <c r="R1181">
        <v>176051</v>
      </c>
    </row>
    <row r="1182" spans="1:18" x14ac:dyDescent="0.25">
      <c r="A1182" s="169">
        <v>44418</v>
      </c>
      <c r="B1182" s="115">
        <v>102.913333333333</v>
      </c>
      <c r="C1182" s="115">
        <v>100.76666666666701</v>
      </c>
      <c r="D1182" s="115">
        <v>99.506666666666703</v>
      </c>
      <c r="E1182" s="115">
        <v>102.393333333333</v>
      </c>
      <c r="F1182" s="115">
        <v>755.75</v>
      </c>
      <c r="G1182">
        <v>22467</v>
      </c>
      <c r="H1182" s="115"/>
      <c r="I1182" s="115"/>
      <c r="L1182" s="169">
        <v>44418</v>
      </c>
      <c r="M1182" s="115">
        <v>100.833333333333</v>
      </c>
      <c r="N1182" s="115">
        <v>102.92</v>
      </c>
      <c r="O1182" s="115">
        <v>99.406666666666695</v>
      </c>
      <c r="P1182" s="115">
        <v>102.36</v>
      </c>
      <c r="Q1182" s="115">
        <v>756.25</v>
      </c>
      <c r="R1182">
        <v>265679</v>
      </c>
    </row>
    <row r="1183" spans="1:18" x14ac:dyDescent="0.25">
      <c r="A1183" s="169">
        <v>44419</v>
      </c>
      <c r="B1183" s="115">
        <v>103.78</v>
      </c>
      <c r="C1183" s="115">
        <v>102.893333333333</v>
      </c>
      <c r="D1183" s="115">
        <v>96.126666666666694</v>
      </c>
      <c r="E1183" s="115">
        <v>100</v>
      </c>
      <c r="F1183" s="115">
        <v>771.7</v>
      </c>
      <c r="G1183">
        <v>18824</v>
      </c>
      <c r="H1183" s="115"/>
      <c r="I1183" s="115"/>
      <c r="L1183" s="169">
        <v>44419</v>
      </c>
      <c r="M1183" s="115">
        <v>102.993333333333</v>
      </c>
      <c r="N1183" s="115">
        <v>103.86</v>
      </c>
      <c r="O1183" s="115">
        <v>96.086666666666702</v>
      </c>
      <c r="P1183" s="115">
        <v>100.613333333333</v>
      </c>
      <c r="Q1183" s="115">
        <v>772.45</v>
      </c>
      <c r="R1183">
        <v>570277</v>
      </c>
    </row>
    <row r="1184" spans="1:18" x14ac:dyDescent="0.25">
      <c r="A1184" s="169">
        <v>44420</v>
      </c>
      <c r="B1184" s="115">
        <v>104.253333333333</v>
      </c>
      <c r="C1184" s="115">
        <v>103.146666666667</v>
      </c>
      <c r="D1184" s="115">
        <v>101.466666666667</v>
      </c>
      <c r="E1184" s="115">
        <v>103.866666666667</v>
      </c>
      <c r="F1184" s="115">
        <v>773.6</v>
      </c>
      <c r="G1184">
        <v>6555</v>
      </c>
      <c r="H1184" s="115"/>
      <c r="I1184" s="115"/>
      <c r="L1184" s="169">
        <v>44420</v>
      </c>
      <c r="M1184" s="115">
        <v>103.22</v>
      </c>
      <c r="N1184" s="115">
        <v>104.26</v>
      </c>
      <c r="O1184" s="115">
        <v>101.40666666666699</v>
      </c>
      <c r="P1184" s="115">
        <v>103.866666666667</v>
      </c>
      <c r="Q1184" s="115">
        <v>774.15</v>
      </c>
      <c r="R1184">
        <v>256036</v>
      </c>
    </row>
    <row r="1185" spans="1:18" x14ac:dyDescent="0.25">
      <c r="A1185" s="169">
        <v>44421</v>
      </c>
      <c r="B1185" s="115">
        <v>106.28</v>
      </c>
      <c r="C1185" s="115">
        <v>103.366666666667</v>
      </c>
      <c r="D1185" s="115">
        <v>102.6</v>
      </c>
      <c r="E1185" s="115">
        <v>102.88</v>
      </c>
      <c r="F1185" s="115">
        <v>775.25</v>
      </c>
      <c r="G1185">
        <v>17172</v>
      </c>
      <c r="H1185" s="115"/>
      <c r="I1185" s="115"/>
      <c r="L1185" s="169">
        <v>44421</v>
      </c>
      <c r="M1185" s="115">
        <v>103.386666666667</v>
      </c>
      <c r="N1185" s="115">
        <v>106.4</v>
      </c>
      <c r="O1185" s="115">
        <v>102.646666666667</v>
      </c>
      <c r="P1185" s="115">
        <v>103.2</v>
      </c>
      <c r="Q1185" s="115">
        <v>775.4</v>
      </c>
      <c r="R1185">
        <v>541903</v>
      </c>
    </row>
    <row r="1186" spans="1:18" x14ac:dyDescent="0.25">
      <c r="A1186" s="169">
        <v>44424</v>
      </c>
      <c r="B1186" s="115">
        <v>103.86</v>
      </c>
      <c r="C1186" s="115">
        <v>102.633333333333</v>
      </c>
      <c r="D1186" s="115">
        <v>100.4</v>
      </c>
      <c r="E1186" s="115">
        <v>103.6</v>
      </c>
      <c r="F1186" s="115">
        <v>769.75</v>
      </c>
      <c r="G1186">
        <v>6442</v>
      </c>
      <c r="H1186" s="115"/>
      <c r="I1186" s="115"/>
      <c r="L1186" s="169">
        <v>44424</v>
      </c>
      <c r="M1186" s="115">
        <v>102.74</v>
      </c>
      <c r="N1186" s="115">
        <v>104.18666666666699</v>
      </c>
      <c r="O1186" s="115">
        <v>100.32666666666699</v>
      </c>
      <c r="P1186" s="115">
        <v>104.18666666666699</v>
      </c>
      <c r="Q1186" s="115">
        <v>770.55</v>
      </c>
      <c r="R1186">
        <v>190969</v>
      </c>
    </row>
    <row r="1187" spans="1:18" x14ac:dyDescent="0.25">
      <c r="A1187" s="169">
        <v>44425</v>
      </c>
      <c r="B1187" s="115">
        <v>105.306666666667</v>
      </c>
      <c r="C1187" s="115">
        <v>105.073333333333</v>
      </c>
      <c r="D1187" s="115">
        <v>102.54666666666699</v>
      </c>
      <c r="E1187" s="115">
        <v>102.59333333333301</v>
      </c>
      <c r="F1187" s="115">
        <v>788.05</v>
      </c>
      <c r="G1187">
        <v>17758</v>
      </c>
      <c r="H1187" s="115"/>
      <c r="I1187" s="115"/>
      <c r="L1187" s="169">
        <v>44425</v>
      </c>
      <c r="M1187" s="115">
        <v>105.053333333333</v>
      </c>
      <c r="N1187" s="115">
        <v>105.333333333333</v>
      </c>
      <c r="O1187" s="115">
        <v>102.48</v>
      </c>
      <c r="P1187" s="115">
        <v>102.666666666667</v>
      </c>
      <c r="Q1187" s="115">
        <v>787.9</v>
      </c>
      <c r="R1187">
        <v>488484</v>
      </c>
    </row>
    <row r="1188" spans="1:18" x14ac:dyDescent="0.25">
      <c r="A1188" s="169">
        <v>44426</v>
      </c>
      <c r="B1188" s="115">
        <v>106.666666666667</v>
      </c>
      <c r="C1188" s="115">
        <v>105.4</v>
      </c>
      <c r="D1188" s="115">
        <v>102.773333333333</v>
      </c>
      <c r="E1188" s="115">
        <v>105.333333333333</v>
      </c>
      <c r="F1188" s="115">
        <v>790.5</v>
      </c>
      <c r="G1188">
        <v>54295</v>
      </c>
      <c r="H1188" s="115"/>
      <c r="I1188" s="115"/>
      <c r="L1188" s="169">
        <v>44426</v>
      </c>
      <c r="M1188" s="115">
        <v>105.466666666667</v>
      </c>
      <c r="N1188" s="115">
        <v>106.666666666667</v>
      </c>
      <c r="O1188" s="115">
        <v>102.806666666667</v>
      </c>
      <c r="P1188" s="115">
        <v>105.893333333333</v>
      </c>
      <c r="Q1188" s="115">
        <v>791</v>
      </c>
      <c r="R1188">
        <v>836873</v>
      </c>
    </row>
    <row r="1189" spans="1:18" x14ac:dyDescent="0.25">
      <c r="A1189" s="169">
        <v>44428</v>
      </c>
      <c r="B1189" s="115">
        <v>108</v>
      </c>
      <c r="C1189" s="115">
        <v>107.386666666667</v>
      </c>
      <c r="D1189" s="115">
        <v>105.04666666666699</v>
      </c>
      <c r="E1189" s="115">
        <v>106.533333333333</v>
      </c>
      <c r="F1189" s="115">
        <v>805.4</v>
      </c>
      <c r="G1189">
        <v>33637</v>
      </c>
      <c r="H1189" s="115"/>
      <c r="I1189" s="115"/>
      <c r="L1189" s="169">
        <v>44428</v>
      </c>
      <c r="M1189" s="115">
        <v>107.553333333333</v>
      </c>
      <c r="N1189" s="115">
        <v>108</v>
      </c>
      <c r="O1189" s="115">
        <v>104.886666666667</v>
      </c>
      <c r="P1189" s="115">
        <v>105.866666666667</v>
      </c>
      <c r="Q1189" s="115">
        <v>806.65</v>
      </c>
      <c r="R1189">
        <v>1225083</v>
      </c>
    </row>
    <row r="1190" spans="1:18" x14ac:dyDescent="0.25">
      <c r="A1190" s="169">
        <v>44431</v>
      </c>
      <c r="B1190" s="115">
        <v>112.04</v>
      </c>
      <c r="C1190" s="115">
        <v>111.073333333333</v>
      </c>
      <c r="D1190" s="115">
        <v>108.666666666667</v>
      </c>
      <c r="E1190" s="115">
        <v>108.666666666667</v>
      </c>
      <c r="F1190" s="115">
        <v>833.05</v>
      </c>
      <c r="G1190">
        <v>54441</v>
      </c>
      <c r="H1190" s="115"/>
      <c r="I1190" s="115"/>
      <c r="L1190" s="169">
        <v>44431</v>
      </c>
      <c r="M1190" s="115">
        <v>111.133333333333</v>
      </c>
      <c r="N1190" s="115">
        <v>112</v>
      </c>
      <c r="O1190" s="115">
        <v>108.68</v>
      </c>
      <c r="P1190" s="115">
        <v>109.2</v>
      </c>
      <c r="Q1190" s="115">
        <v>833.5</v>
      </c>
      <c r="R1190">
        <v>2116302</v>
      </c>
    </row>
    <row r="1191" spans="1:18" x14ac:dyDescent="0.25">
      <c r="A1191" s="169">
        <v>44432</v>
      </c>
      <c r="B1191" s="115">
        <v>112</v>
      </c>
      <c r="C1191" s="115">
        <v>107.586666666667</v>
      </c>
      <c r="D1191" s="115">
        <v>106.746666666667</v>
      </c>
      <c r="E1191" s="115">
        <v>111.98666666666701</v>
      </c>
      <c r="F1191" s="115">
        <v>806.9</v>
      </c>
      <c r="G1191">
        <v>25324</v>
      </c>
      <c r="H1191" s="115"/>
      <c r="I1191" s="115"/>
      <c r="L1191" s="169">
        <v>44432</v>
      </c>
      <c r="M1191" s="115">
        <v>107.573333333333</v>
      </c>
      <c r="N1191" s="115">
        <v>111.866666666667</v>
      </c>
      <c r="O1191" s="115">
        <v>106.78</v>
      </c>
      <c r="P1191" s="115">
        <v>111.6</v>
      </c>
      <c r="Q1191" s="115">
        <v>806.8</v>
      </c>
      <c r="R1191">
        <v>658419</v>
      </c>
    </row>
    <row r="1192" spans="1:18" x14ac:dyDescent="0.25">
      <c r="A1192" s="169">
        <v>44433</v>
      </c>
      <c r="B1192" s="115">
        <v>111.333333333333</v>
      </c>
      <c r="C1192" s="115">
        <v>110.68666666666699</v>
      </c>
      <c r="D1192" s="115">
        <v>108.2</v>
      </c>
      <c r="E1192" s="115">
        <v>108.433333333333</v>
      </c>
      <c r="F1192" s="115">
        <v>830.15</v>
      </c>
      <c r="G1192">
        <v>42220</v>
      </c>
      <c r="H1192" s="115"/>
      <c r="I1192" s="115"/>
      <c r="L1192" s="169">
        <v>44433</v>
      </c>
      <c r="M1192" s="115">
        <v>110.773333333333</v>
      </c>
      <c r="N1192" s="115">
        <v>111.466666666667</v>
      </c>
      <c r="O1192" s="115">
        <v>108.26666666666701</v>
      </c>
      <c r="P1192" s="115">
        <v>108.34666666666701</v>
      </c>
      <c r="Q1192" s="115">
        <v>830.8</v>
      </c>
      <c r="R1192">
        <v>339597</v>
      </c>
    </row>
    <row r="1193" spans="1:18" x14ac:dyDescent="0.25">
      <c r="A1193" s="169">
        <v>44434</v>
      </c>
      <c r="B1193" s="115">
        <v>113.866666666667</v>
      </c>
      <c r="C1193" s="115">
        <v>113.34666666666701</v>
      </c>
      <c r="D1193" s="115">
        <v>110.666666666667</v>
      </c>
      <c r="E1193" s="115">
        <v>110.933333333333</v>
      </c>
      <c r="F1193" s="115">
        <v>850.1</v>
      </c>
      <c r="G1193">
        <v>22080</v>
      </c>
      <c r="H1193" s="115"/>
      <c r="I1193" s="115"/>
      <c r="L1193" s="169">
        <v>44434</v>
      </c>
      <c r="M1193" s="115">
        <v>113.286666666667</v>
      </c>
      <c r="N1193" s="115">
        <v>113.866666666667</v>
      </c>
      <c r="O1193" s="115">
        <v>110.54</v>
      </c>
      <c r="P1193" s="115">
        <v>110.66</v>
      </c>
      <c r="Q1193" s="115">
        <v>849.65</v>
      </c>
      <c r="R1193">
        <v>1116542</v>
      </c>
    </row>
    <row r="1194" spans="1:18" x14ac:dyDescent="0.25">
      <c r="A1194" s="169">
        <v>44435</v>
      </c>
      <c r="B1194" s="115">
        <v>114.666666666667</v>
      </c>
      <c r="C1194" s="115">
        <v>113.553333333333</v>
      </c>
      <c r="D1194" s="115">
        <v>112.146666666667</v>
      </c>
      <c r="E1194" s="115">
        <v>112.146666666667</v>
      </c>
      <c r="F1194" s="115">
        <v>851.65</v>
      </c>
      <c r="G1194">
        <v>36745</v>
      </c>
      <c r="H1194" s="115"/>
      <c r="I1194" s="115"/>
      <c r="L1194" s="169">
        <v>44435</v>
      </c>
      <c r="M1194" s="115">
        <v>113.66</v>
      </c>
      <c r="N1194" s="115">
        <v>114.666666666667</v>
      </c>
      <c r="O1194" s="115">
        <v>112.4</v>
      </c>
      <c r="P1194" s="115">
        <v>113.86</v>
      </c>
      <c r="Q1194" s="115">
        <v>852.45</v>
      </c>
      <c r="R1194">
        <v>601960</v>
      </c>
    </row>
    <row r="1195" spans="1:18" x14ac:dyDescent="0.25">
      <c r="A1195" s="169">
        <v>44438</v>
      </c>
      <c r="B1195" s="115">
        <v>114.64</v>
      </c>
      <c r="C1195" s="115">
        <v>113.073333333333</v>
      </c>
      <c r="D1195" s="115">
        <v>112.786666666667</v>
      </c>
      <c r="E1195" s="115">
        <v>114.64</v>
      </c>
      <c r="F1195" s="115">
        <v>848.05</v>
      </c>
      <c r="G1195">
        <v>7418</v>
      </c>
      <c r="H1195" s="115"/>
      <c r="I1195" s="115"/>
      <c r="L1195" s="169">
        <v>44438</v>
      </c>
      <c r="M1195" s="115">
        <v>113.146666666667</v>
      </c>
      <c r="N1195" s="115">
        <v>114.533333333333</v>
      </c>
      <c r="O1195" s="115">
        <v>112.666666666667</v>
      </c>
      <c r="P1195" s="115">
        <v>114.133333333333</v>
      </c>
      <c r="Q1195" s="115">
        <v>848.6</v>
      </c>
      <c r="R1195">
        <v>454238</v>
      </c>
    </row>
    <row r="1196" spans="1:18" x14ac:dyDescent="0.25">
      <c r="A1196" s="169">
        <v>44439</v>
      </c>
      <c r="B1196" s="115">
        <v>114.473333333333</v>
      </c>
      <c r="C1196" s="115">
        <v>112.44</v>
      </c>
      <c r="D1196" s="115">
        <v>110.666666666667</v>
      </c>
      <c r="E1196" s="115">
        <v>113.613333333333</v>
      </c>
      <c r="F1196" s="115">
        <v>843.3</v>
      </c>
      <c r="G1196">
        <v>13477</v>
      </c>
      <c r="H1196" s="115"/>
      <c r="I1196" s="115"/>
      <c r="L1196" s="169">
        <v>44439</v>
      </c>
      <c r="M1196" s="115">
        <v>112.926666666667</v>
      </c>
      <c r="N1196" s="115">
        <v>114.533333333333</v>
      </c>
      <c r="O1196" s="115">
        <v>110.666666666667</v>
      </c>
      <c r="P1196" s="115">
        <v>113.2</v>
      </c>
      <c r="Q1196" s="115">
        <v>846.95</v>
      </c>
      <c r="R1196">
        <v>369194</v>
      </c>
    </row>
    <row r="1197" spans="1:18" x14ac:dyDescent="0.25">
      <c r="A1197" s="169">
        <v>44440</v>
      </c>
      <c r="B1197" s="115">
        <v>114.666666666667</v>
      </c>
      <c r="C1197" s="115">
        <v>112.86</v>
      </c>
      <c r="D1197" s="115">
        <v>111.2</v>
      </c>
      <c r="E1197" s="115">
        <v>112.666666666667</v>
      </c>
      <c r="F1197" s="115">
        <v>846.45</v>
      </c>
      <c r="G1197">
        <v>15640</v>
      </c>
      <c r="H1197" s="115"/>
      <c r="I1197" s="115"/>
      <c r="L1197" s="169">
        <v>44440</v>
      </c>
      <c r="M1197" s="115">
        <v>112.893333333333</v>
      </c>
      <c r="N1197" s="115">
        <v>114.666666666667</v>
      </c>
      <c r="O1197" s="115">
        <v>111.073333333333</v>
      </c>
      <c r="P1197" s="115">
        <v>112.92</v>
      </c>
      <c r="Q1197" s="115">
        <v>846.7</v>
      </c>
      <c r="R1197">
        <v>382412</v>
      </c>
    </row>
    <row r="1198" spans="1:18" x14ac:dyDescent="0.25">
      <c r="A1198" s="169">
        <v>44441</v>
      </c>
      <c r="B1198" s="115">
        <v>118.34666666666701</v>
      </c>
      <c r="C1198" s="115">
        <v>117.613333333333</v>
      </c>
      <c r="D1198" s="115">
        <v>112.833333333333</v>
      </c>
      <c r="E1198" s="115">
        <v>113.566666666667</v>
      </c>
      <c r="F1198" s="115">
        <v>882.1</v>
      </c>
      <c r="G1198">
        <v>21797</v>
      </c>
      <c r="H1198" s="115"/>
      <c r="I1198" s="115"/>
      <c r="L1198" s="169">
        <v>44441</v>
      </c>
      <c r="M1198" s="115">
        <v>117.65333333333299</v>
      </c>
      <c r="N1198" s="115">
        <v>118.4</v>
      </c>
      <c r="O1198" s="115">
        <v>112.866666666667</v>
      </c>
      <c r="P1198" s="115">
        <v>113.333333333333</v>
      </c>
      <c r="Q1198" s="115">
        <v>882.4</v>
      </c>
      <c r="R1198">
        <v>689836</v>
      </c>
    </row>
    <row r="1199" spans="1:18" x14ac:dyDescent="0.25">
      <c r="A1199" s="169">
        <v>44442</v>
      </c>
      <c r="B1199" s="115">
        <v>121.84666666666701</v>
      </c>
      <c r="C1199" s="115">
        <v>121.133333333333</v>
      </c>
      <c r="D1199" s="115">
        <v>118.793333333333</v>
      </c>
      <c r="E1199" s="115">
        <v>118.8</v>
      </c>
      <c r="F1199" s="115">
        <v>908.5</v>
      </c>
      <c r="G1199">
        <v>536707</v>
      </c>
      <c r="H1199" s="115"/>
      <c r="I1199" s="115"/>
      <c r="L1199" s="169">
        <v>44442</v>
      </c>
      <c r="M1199" s="115">
        <v>121.033333333333</v>
      </c>
      <c r="N1199" s="115">
        <v>121.866666666667</v>
      </c>
      <c r="O1199" s="115">
        <v>118.806666666667</v>
      </c>
      <c r="P1199" s="115">
        <v>119.06</v>
      </c>
      <c r="Q1199" s="115">
        <v>907.75</v>
      </c>
      <c r="R1199">
        <v>1060054</v>
      </c>
    </row>
    <row r="1200" spans="1:18" x14ac:dyDescent="0.25">
      <c r="A1200" s="169">
        <v>44445</v>
      </c>
      <c r="B1200" s="115">
        <v>126.98</v>
      </c>
      <c r="C1200" s="115">
        <v>125.18</v>
      </c>
      <c r="D1200" s="115">
        <v>122.006666666667</v>
      </c>
      <c r="E1200" s="115">
        <v>122.006666666667</v>
      </c>
      <c r="F1200" s="115">
        <v>938.85</v>
      </c>
      <c r="G1200">
        <v>49443</v>
      </c>
      <c r="H1200" s="115"/>
      <c r="I1200" s="115"/>
      <c r="L1200" s="169">
        <v>44445</v>
      </c>
      <c r="M1200" s="115">
        <v>125.246666666667</v>
      </c>
      <c r="N1200" s="115">
        <v>126.933333333333</v>
      </c>
      <c r="O1200" s="115">
        <v>122.693333333333</v>
      </c>
      <c r="P1200" s="115">
        <v>122.693333333333</v>
      </c>
      <c r="Q1200" s="115">
        <v>939.35</v>
      </c>
      <c r="R1200">
        <v>1243852</v>
      </c>
    </row>
    <row r="1201" spans="1:18" x14ac:dyDescent="0.25">
      <c r="A1201" s="169">
        <v>44446</v>
      </c>
      <c r="B1201" s="115">
        <v>127.253333333333</v>
      </c>
      <c r="C1201" s="115">
        <v>123.45333333333301</v>
      </c>
      <c r="D1201" s="115">
        <v>121.366666666667</v>
      </c>
      <c r="E1201" s="115">
        <v>127.253333333333</v>
      </c>
      <c r="F1201" s="115">
        <v>925.9</v>
      </c>
      <c r="G1201">
        <v>23745</v>
      </c>
      <c r="H1201" s="115"/>
      <c r="I1201" s="115"/>
      <c r="L1201" s="169">
        <v>44446</v>
      </c>
      <c r="M1201" s="115">
        <v>123.54</v>
      </c>
      <c r="N1201" s="115">
        <v>126.133333333333</v>
      </c>
      <c r="O1201" s="115">
        <v>121.34666666666701</v>
      </c>
      <c r="P1201" s="115">
        <v>126.133333333333</v>
      </c>
      <c r="Q1201" s="115">
        <v>926.55</v>
      </c>
      <c r="R1201">
        <v>747252</v>
      </c>
    </row>
    <row r="1202" spans="1:18" x14ac:dyDescent="0.25">
      <c r="A1202" s="169">
        <v>44447</v>
      </c>
      <c r="B1202" s="115">
        <v>125.15333333333299</v>
      </c>
      <c r="C1202" s="115">
        <v>123.74</v>
      </c>
      <c r="D1202" s="115">
        <v>123.04666666666699</v>
      </c>
      <c r="E1202" s="115">
        <v>124.65333333333299</v>
      </c>
      <c r="F1202" s="115">
        <v>928.05</v>
      </c>
      <c r="G1202">
        <v>11690</v>
      </c>
      <c r="H1202" s="115"/>
      <c r="I1202" s="115"/>
      <c r="L1202" s="169">
        <v>44447</v>
      </c>
      <c r="M1202" s="115">
        <v>123.706666666667</v>
      </c>
      <c r="N1202" s="115">
        <v>125.106666666667</v>
      </c>
      <c r="O1202" s="115">
        <v>123.09333333333301</v>
      </c>
      <c r="P1202" s="115">
        <v>124.46</v>
      </c>
      <c r="Q1202" s="115">
        <v>927.8</v>
      </c>
      <c r="R1202">
        <v>457045</v>
      </c>
    </row>
    <row r="1203" spans="1:18" x14ac:dyDescent="0.25">
      <c r="A1203" s="169">
        <v>44448</v>
      </c>
      <c r="B1203" s="115">
        <v>126.4</v>
      </c>
      <c r="C1203" s="115">
        <v>125.2</v>
      </c>
      <c r="D1203" s="115">
        <v>121.51333333333299</v>
      </c>
      <c r="E1203" s="115">
        <v>123.333333333333</v>
      </c>
      <c r="F1203" s="115">
        <v>939</v>
      </c>
      <c r="G1203">
        <v>26063</v>
      </c>
      <c r="H1203" s="115"/>
      <c r="I1203" s="115"/>
      <c r="L1203" s="169">
        <v>44448</v>
      </c>
      <c r="M1203" s="115">
        <v>124.726666666667</v>
      </c>
      <c r="N1203" s="115">
        <v>126</v>
      </c>
      <c r="O1203" s="115">
        <v>121.6</v>
      </c>
      <c r="P1203" s="115">
        <v>123.706666666667</v>
      </c>
      <c r="Q1203" s="115">
        <v>935.45</v>
      </c>
      <c r="R1203">
        <v>392484</v>
      </c>
    </row>
    <row r="1204" spans="1:18" x14ac:dyDescent="0.25">
      <c r="A1204" s="169">
        <v>44452</v>
      </c>
      <c r="B1204" s="115">
        <v>125.973333333333</v>
      </c>
      <c r="C1204" s="115">
        <v>123.26666666666701</v>
      </c>
      <c r="D1204" s="115">
        <v>122.45333333333301</v>
      </c>
      <c r="E1204" s="115">
        <v>125.973333333333</v>
      </c>
      <c r="F1204" s="115">
        <v>924.5</v>
      </c>
      <c r="G1204">
        <v>32066</v>
      </c>
      <c r="H1204" s="115"/>
      <c r="I1204" s="115"/>
      <c r="L1204" s="169">
        <v>44452</v>
      </c>
      <c r="M1204" s="115">
        <v>123.82666666666699</v>
      </c>
      <c r="N1204" s="115">
        <v>126</v>
      </c>
      <c r="O1204" s="115">
        <v>122.4</v>
      </c>
      <c r="P1204" s="115">
        <v>125.506666666667</v>
      </c>
      <c r="Q1204" s="115">
        <v>928.7</v>
      </c>
      <c r="R1204">
        <v>337979</v>
      </c>
    </row>
    <row r="1205" spans="1:18" x14ac:dyDescent="0.25">
      <c r="A1205" s="169">
        <v>44453</v>
      </c>
      <c r="B1205" s="115">
        <v>125.62</v>
      </c>
      <c r="C1205" s="115">
        <v>124.14</v>
      </c>
      <c r="D1205" s="115">
        <v>121.706666666667</v>
      </c>
      <c r="E1205" s="115">
        <v>124.62666666666701</v>
      </c>
      <c r="F1205" s="115">
        <v>931.05</v>
      </c>
      <c r="G1205">
        <v>11908</v>
      </c>
      <c r="H1205" s="115"/>
      <c r="I1205" s="115"/>
      <c r="L1205" s="169">
        <v>44453</v>
      </c>
      <c r="M1205" s="115">
        <v>124.193333333333</v>
      </c>
      <c r="N1205" s="115">
        <v>125.586666666667</v>
      </c>
      <c r="O1205" s="115">
        <v>121.66</v>
      </c>
      <c r="P1205" s="115">
        <v>124.90666666666699</v>
      </c>
      <c r="Q1205" s="115">
        <v>931.45</v>
      </c>
      <c r="R1205">
        <v>392254</v>
      </c>
    </row>
    <row r="1206" spans="1:18" x14ac:dyDescent="0.25">
      <c r="A1206" s="169">
        <v>44454</v>
      </c>
      <c r="B1206" s="115">
        <v>125.34</v>
      </c>
      <c r="C1206" s="115">
        <v>124.753333333333</v>
      </c>
      <c r="D1206" s="115">
        <v>123.78</v>
      </c>
      <c r="E1206" s="115">
        <v>125.18666666666699</v>
      </c>
      <c r="F1206" s="115">
        <v>935.65</v>
      </c>
      <c r="G1206">
        <v>6063</v>
      </c>
      <c r="H1206" s="115"/>
      <c r="I1206" s="115"/>
      <c r="L1206" s="169">
        <v>44454</v>
      </c>
      <c r="M1206" s="115">
        <v>124.746666666667</v>
      </c>
      <c r="N1206" s="115">
        <v>125.746666666667</v>
      </c>
      <c r="O1206" s="115">
        <v>123.726666666667</v>
      </c>
      <c r="P1206" s="115">
        <v>124.613333333333</v>
      </c>
      <c r="Q1206" s="115">
        <v>935.6</v>
      </c>
      <c r="R1206">
        <v>225109</v>
      </c>
    </row>
    <row r="1207" spans="1:18" x14ac:dyDescent="0.25">
      <c r="A1207" s="169">
        <v>44455</v>
      </c>
      <c r="B1207" s="115">
        <v>125.466666666667</v>
      </c>
      <c r="C1207" s="115">
        <v>124.4</v>
      </c>
      <c r="D1207" s="115">
        <v>123.51333333333299</v>
      </c>
      <c r="E1207" s="115">
        <v>125.466666666667</v>
      </c>
      <c r="F1207" s="115">
        <v>933</v>
      </c>
      <c r="G1207">
        <v>20021</v>
      </c>
      <c r="H1207" s="115"/>
      <c r="I1207" s="115"/>
      <c r="L1207" s="169">
        <v>44455</v>
      </c>
      <c r="M1207" s="115">
        <v>124.493333333333</v>
      </c>
      <c r="N1207" s="115">
        <v>125.333333333333</v>
      </c>
      <c r="O1207" s="115">
        <v>123.466666666667</v>
      </c>
      <c r="P1207" s="115">
        <v>125.333333333333</v>
      </c>
      <c r="Q1207" s="115">
        <v>933.7</v>
      </c>
      <c r="R1207">
        <v>341553</v>
      </c>
    </row>
    <row r="1208" spans="1:18" x14ac:dyDescent="0.25">
      <c r="A1208" s="169">
        <v>44456</v>
      </c>
      <c r="B1208" s="115">
        <v>124.8</v>
      </c>
      <c r="C1208" s="115">
        <v>118</v>
      </c>
      <c r="D1208" s="115">
        <v>116.133333333333</v>
      </c>
      <c r="E1208" s="115">
        <v>124.8</v>
      </c>
      <c r="F1208" s="115">
        <v>885</v>
      </c>
      <c r="G1208">
        <v>18960</v>
      </c>
      <c r="H1208" s="115"/>
      <c r="I1208" s="115"/>
      <c r="L1208" s="169">
        <v>44456</v>
      </c>
      <c r="M1208" s="115">
        <v>117.613333333333</v>
      </c>
      <c r="N1208" s="115">
        <v>124.90666666666699</v>
      </c>
      <c r="O1208" s="115">
        <v>116.02</v>
      </c>
      <c r="P1208" s="115">
        <v>124.90666666666699</v>
      </c>
      <c r="Q1208" s="115">
        <v>882.1</v>
      </c>
      <c r="R1208">
        <v>419199</v>
      </c>
    </row>
    <row r="1209" spans="1:18" x14ac:dyDescent="0.25">
      <c r="A1209" s="169">
        <v>44459</v>
      </c>
      <c r="B1209" s="115">
        <v>120.82666666666699</v>
      </c>
      <c r="C1209" s="115">
        <v>116.746666666667</v>
      </c>
      <c r="D1209" s="115">
        <v>116.226666666667</v>
      </c>
      <c r="E1209" s="115">
        <v>117.666666666667</v>
      </c>
      <c r="F1209" s="115">
        <v>875.6</v>
      </c>
      <c r="G1209">
        <v>40702</v>
      </c>
      <c r="H1209" s="115"/>
      <c r="I1209" s="115"/>
      <c r="L1209" s="169">
        <v>44459</v>
      </c>
      <c r="M1209" s="115">
        <v>116.84</v>
      </c>
      <c r="N1209" s="115">
        <v>121.033333333333</v>
      </c>
      <c r="O1209" s="115">
        <v>116.28</v>
      </c>
      <c r="P1209" s="115">
        <v>117.613333333333</v>
      </c>
      <c r="Q1209" s="115">
        <v>876.3</v>
      </c>
      <c r="R1209">
        <v>385035</v>
      </c>
    </row>
    <row r="1210" spans="1:18" x14ac:dyDescent="0.25">
      <c r="A1210" s="169">
        <v>44460</v>
      </c>
      <c r="B1210" s="115">
        <v>125.66</v>
      </c>
      <c r="C1210" s="115">
        <v>122.36</v>
      </c>
      <c r="D1210" s="115">
        <v>116.273333333333</v>
      </c>
      <c r="E1210" s="115">
        <v>116.273333333333</v>
      </c>
      <c r="F1210" s="115">
        <v>917.7</v>
      </c>
      <c r="G1210">
        <v>697800</v>
      </c>
      <c r="H1210" s="115"/>
      <c r="I1210" s="115"/>
      <c r="L1210" s="169">
        <v>44460</v>
      </c>
      <c r="M1210" s="115">
        <v>122.44</v>
      </c>
      <c r="N1210" s="115">
        <v>125.6</v>
      </c>
      <c r="O1210" s="115">
        <v>116.666666666667</v>
      </c>
      <c r="P1210" s="115">
        <v>116.84</v>
      </c>
      <c r="Q1210" s="115">
        <v>918.3</v>
      </c>
      <c r="R1210">
        <v>2566696</v>
      </c>
    </row>
    <row r="1211" spans="1:18" x14ac:dyDescent="0.25">
      <c r="A1211" s="169">
        <v>44461</v>
      </c>
      <c r="B1211" s="115">
        <v>125.066666666667</v>
      </c>
      <c r="C1211" s="115">
        <v>122.46</v>
      </c>
      <c r="D1211" s="115">
        <v>120.933333333333</v>
      </c>
      <c r="E1211" s="115">
        <v>123.466666666667</v>
      </c>
      <c r="F1211" s="115">
        <v>918.45</v>
      </c>
      <c r="G1211">
        <v>132294</v>
      </c>
      <c r="H1211" s="115"/>
      <c r="I1211" s="115"/>
      <c r="L1211" s="169">
        <v>44461</v>
      </c>
      <c r="M1211" s="115">
        <v>122.12666666666701</v>
      </c>
      <c r="N1211" s="115">
        <v>125.166666666667</v>
      </c>
      <c r="O1211" s="115">
        <v>120.966666666667</v>
      </c>
      <c r="P1211" s="115">
        <v>123.333333333333</v>
      </c>
      <c r="Q1211" s="115">
        <v>915.95</v>
      </c>
      <c r="R1211">
        <v>2547276</v>
      </c>
    </row>
    <row r="1212" spans="1:18" x14ac:dyDescent="0.25">
      <c r="A1212" s="169">
        <v>44462</v>
      </c>
      <c r="B1212" s="115">
        <v>124.913333333333</v>
      </c>
      <c r="C1212" s="115">
        <v>123.98666666666701</v>
      </c>
      <c r="D1212" s="115">
        <v>122.113333333333</v>
      </c>
      <c r="E1212" s="115">
        <v>122.8</v>
      </c>
      <c r="F1212" s="115">
        <v>929.9</v>
      </c>
      <c r="G1212">
        <v>31756</v>
      </c>
      <c r="H1212" s="115"/>
      <c r="I1212" s="115"/>
      <c r="L1212" s="169">
        <v>44462</v>
      </c>
      <c r="M1212" s="115">
        <v>124.133333333333</v>
      </c>
      <c r="N1212" s="115">
        <v>124.95333333333301</v>
      </c>
      <c r="O1212" s="115">
        <v>122</v>
      </c>
      <c r="P1212" s="115">
        <v>122</v>
      </c>
      <c r="Q1212" s="115">
        <v>931</v>
      </c>
      <c r="R1212">
        <v>312387</v>
      </c>
    </row>
    <row r="1213" spans="1:18" x14ac:dyDescent="0.25">
      <c r="A1213" s="169">
        <v>44463</v>
      </c>
      <c r="B1213" s="115">
        <v>125.6</v>
      </c>
      <c r="C1213" s="115">
        <v>123.746666666667</v>
      </c>
      <c r="D1213" s="115">
        <v>122.113333333333</v>
      </c>
      <c r="E1213" s="115">
        <v>122.133333333333</v>
      </c>
      <c r="F1213" s="115">
        <v>928.1</v>
      </c>
      <c r="G1213">
        <v>12101</v>
      </c>
      <c r="H1213" s="115"/>
      <c r="I1213" s="115"/>
      <c r="L1213" s="169">
        <v>44463</v>
      </c>
      <c r="M1213" s="115">
        <v>123.773333333333</v>
      </c>
      <c r="N1213" s="115">
        <v>125.6</v>
      </c>
      <c r="O1213" s="115">
        <v>122.133333333333</v>
      </c>
      <c r="P1213" s="115">
        <v>124.82666666666699</v>
      </c>
      <c r="Q1213" s="115">
        <v>928.3</v>
      </c>
      <c r="R1213">
        <v>316697</v>
      </c>
    </row>
    <row r="1214" spans="1:18" x14ac:dyDescent="0.25">
      <c r="A1214" s="169">
        <v>44466</v>
      </c>
      <c r="B1214" s="115">
        <v>125.073333333333</v>
      </c>
      <c r="C1214" s="115">
        <v>120.473333333333</v>
      </c>
      <c r="D1214" s="115">
        <v>119.98666666666701</v>
      </c>
      <c r="E1214" s="115">
        <v>124.166666666667</v>
      </c>
      <c r="F1214" s="115">
        <v>903.55</v>
      </c>
      <c r="G1214">
        <v>22394</v>
      </c>
      <c r="H1214" s="115"/>
      <c r="I1214" s="115"/>
      <c r="L1214" s="169">
        <v>44466</v>
      </c>
      <c r="M1214" s="115">
        <v>120.366666666667</v>
      </c>
      <c r="N1214" s="115">
        <v>125.31333333333301</v>
      </c>
      <c r="O1214" s="115">
        <v>119.6</v>
      </c>
      <c r="P1214" s="115">
        <v>124.926666666667</v>
      </c>
      <c r="Q1214" s="115">
        <v>902.75</v>
      </c>
      <c r="R1214">
        <v>245933</v>
      </c>
    </row>
    <row r="1215" spans="1:18" x14ac:dyDescent="0.25">
      <c r="A1215" s="169">
        <v>44467</v>
      </c>
      <c r="B1215" s="115">
        <v>122.666666666667</v>
      </c>
      <c r="C1215" s="115">
        <v>120.87333333333299</v>
      </c>
      <c r="D1215" s="115">
        <v>118.933333333333</v>
      </c>
      <c r="E1215" s="115">
        <v>120</v>
      </c>
      <c r="F1215" s="115">
        <v>906.55</v>
      </c>
      <c r="G1215">
        <v>52002</v>
      </c>
      <c r="H1215" s="115"/>
      <c r="I1215" s="115"/>
      <c r="L1215" s="169">
        <v>44467</v>
      </c>
      <c r="M1215" s="115">
        <v>120.886666666667</v>
      </c>
      <c r="N1215" s="115">
        <v>122.726666666667</v>
      </c>
      <c r="O1215" s="115">
        <v>118.8</v>
      </c>
      <c r="P1215" s="115">
        <v>121.066666666667</v>
      </c>
      <c r="Q1215" s="115">
        <v>906.65</v>
      </c>
      <c r="R1215">
        <v>235555</v>
      </c>
    </row>
    <row r="1216" spans="1:18" x14ac:dyDescent="0.25">
      <c r="A1216" s="169">
        <v>44468</v>
      </c>
      <c r="B1216" s="115">
        <v>122.26666666666701</v>
      </c>
      <c r="C1216" s="115">
        <v>120.09333333333301</v>
      </c>
      <c r="D1216" s="115">
        <v>119.566666666667</v>
      </c>
      <c r="E1216" s="115">
        <v>120.666666666667</v>
      </c>
      <c r="F1216" s="115">
        <v>900.7</v>
      </c>
      <c r="G1216">
        <v>14102</v>
      </c>
      <c r="H1216" s="115"/>
      <c r="I1216" s="115"/>
      <c r="L1216" s="169">
        <v>44468</v>
      </c>
      <c r="M1216" s="115">
        <v>120.01333333333299</v>
      </c>
      <c r="N1216" s="115">
        <v>122.393333333333</v>
      </c>
      <c r="O1216" s="115">
        <v>119.34666666666701</v>
      </c>
      <c r="P1216" s="115">
        <v>120.886666666667</v>
      </c>
      <c r="Q1216" s="115">
        <v>900.1</v>
      </c>
      <c r="R1216">
        <v>320497</v>
      </c>
    </row>
    <row r="1217" spans="1:18" x14ac:dyDescent="0.25">
      <c r="A1217" s="169">
        <v>44469</v>
      </c>
      <c r="B1217" s="115">
        <v>122.666666666667</v>
      </c>
      <c r="C1217" s="115">
        <v>120.166666666667</v>
      </c>
      <c r="D1217" s="115">
        <v>117.866666666667</v>
      </c>
      <c r="E1217" s="115">
        <v>120.4</v>
      </c>
      <c r="F1217" s="115">
        <v>901.25</v>
      </c>
      <c r="G1217">
        <v>26041</v>
      </c>
      <c r="H1217" s="115"/>
      <c r="I1217" s="115"/>
      <c r="L1217" s="169">
        <v>44469</v>
      </c>
      <c r="M1217" s="115">
        <v>119.68</v>
      </c>
      <c r="N1217" s="115">
        <v>122.693333333333</v>
      </c>
      <c r="O1217" s="115">
        <v>118</v>
      </c>
      <c r="P1217" s="115">
        <v>119.866666666667</v>
      </c>
      <c r="Q1217" s="115">
        <v>897.6</v>
      </c>
      <c r="R1217">
        <v>494250</v>
      </c>
    </row>
    <row r="1218" spans="1:18" x14ac:dyDescent="0.25">
      <c r="A1218" s="169">
        <v>44470</v>
      </c>
      <c r="B1218" s="115">
        <v>122.066666666667</v>
      </c>
      <c r="C1218" s="115">
        <v>121.12</v>
      </c>
      <c r="D1218" s="115">
        <v>117.793333333333</v>
      </c>
      <c r="E1218" s="115">
        <v>120.533333333333</v>
      </c>
      <c r="F1218" s="115">
        <v>908.4</v>
      </c>
      <c r="G1218">
        <v>32936</v>
      </c>
      <c r="H1218" s="115"/>
      <c r="I1218" s="115"/>
      <c r="L1218" s="169">
        <v>44470</v>
      </c>
      <c r="M1218" s="115">
        <v>121.36</v>
      </c>
      <c r="N1218" s="115">
        <v>122.133333333333</v>
      </c>
      <c r="O1218" s="115">
        <v>117.8</v>
      </c>
      <c r="P1218" s="115">
        <v>120.02</v>
      </c>
      <c r="Q1218" s="115">
        <v>910.2</v>
      </c>
      <c r="R1218">
        <v>963206</v>
      </c>
    </row>
    <row r="1219" spans="1:18" x14ac:dyDescent="0.25">
      <c r="A1219" s="169">
        <v>44473</v>
      </c>
      <c r="B1219" s="115">
        <v>123.333333333333</v>
      </c>
      <c r="C1219" s="115">
        <v>121.9</v>
      </c>
      <c r="D1219" s="115">
        <v>121.16</v>
      </c>
      <c r="E1219" s="115">
        <v>123.333333333333</v>
      </c>
      <c r="F1219" s="115">
        <v>914.25</v>
      </c>
      <c r="G1219">
        <v>9146</v>
      </c>
      <c r="H1219" s="115"/>
      <c r="I1219" s="115"/>
      <c r="L1219" s="169">
        <v>44473</v>
      </c>
      <c r="M1219" s="115">
        <v>122.22</v>
      </c>
      <c r="N1219" s="115">
        <v>122.533333333333</v>
      </c>
      <c r="O1219" s="115">
        <v>121.12</v>
      </c>
      <c r="P1219" s="115">
        <v>122</v>
      </c>
      <c r="Q1219" s="115">
        <v>916.65</v>
      </c>
      <c r="R1219">
        <v>152896</v>
      </c>
    </row>
    <row r="1220" spans="1:18" x14ac:dyDescent="0.25">
      <c r="A1220" s="169">
        <v>44474</v>
      </c>
      <c r="B1220" s="115">
        <v>123.04666666666699</v>
      </c>
      <c r="C1220" s="115">
        <v>121.90666666666699</v>
      </c>
      <c r="D1220" s="115">
        <v>121.37333333333299</v>
      </c>
      <c r="E1220" s="115">
        <v>123.04666666666699</v>
      </c>
      <c r="F1220" s="115">
        <v>914.3</v>
      </c>
      <c r="G1220">
        <v>12987</v>
      </c>
      <c r="H1220" s="115"/>
      <c r="I1220" s="115"/>
      <c r="L1220" s="169">
        <v>44474</v>
      </c>
      <c r="M1220" s="115">
        <v>121.853333333333</v>
      </c>
      <c r="N1220" s="115">
        <v>123.253333333333</v>
      </c>
      <c r="O1220" s="115">
        <v>121.366666666667</v>
      </c>
      <c r="P1220" s="115">
        <v>122.22</v>
      </c>
      <c r="Q1220" s="115">
        <v>913.9</v>
      </c>
      <c r="R1220">
        <v>260461</v>
      </c>
    </row>
    <row r="1221" spans="1:18" x14ac:dyDescent="0.25">
      <c r="A1221" s="169">
        <v>44475</v>
      </c>
      <c r="B1221" s="115">
        <v>122.76666666666701</v>
      </c>
      <c r="C1221" s="115">
        <v>119.586666666667</v>
      </c>
      <c r="D1221" s="115">
        <v>119.333333333333</v>
      </c>
      <c r="E1221" s="115">
        <v>122.133333333333</v>
      </c>
      <c r="F1221" s="115">
        <v>896.9</v>
      </c>
      <c r="G1221">
        <v>29045</v>
      </c>
      <c r="H1221" s="115"/>
      <c r="I1221" s="115"/>
      <c r="L1221" s="169">
        <v>44475</v>
      </c>
      <c r="M1221" s="115">
        <v>119.466666666667</v>
      </c>
      <c r="N1221" s="115">
        <v>122.34</v>
      </c>
      <c r="O1221" s="115">
        <v>119.2</v>
      </c>
      <c r="P1221" s="115">
        <v>122.26666666666701</v>
      </c>
      <c r="Q1221" s="115">
        <v>896</v>
      </c>
      <c r="R1221">
        <v>476175</v>
      </c>
    </row>
    <row r="1222" spans="1:18" x14ac:dyDescent="0.25">
      <c r="A1222" s="169">
        <v>44476</v>
      </c>
      <c r="B1222" s="115">
        <v>121.26666666666701</v>
      </c>
      <c r="C1222" s="115">
        <v>120.746666666667</v>
      </c>
      <c r="D1222" s="115">
        <v>119.15333333333299</v>
      </c>
      <c r="E1222" s="115">
        <v>120.8</v>
      </c>
      <c r="F1222" s="115">
        <v>905.6</v>
      </c>
      <c r="G1222">
        <v>14007</v>
      </c>
      <c r="H1222" s="115"/>
      <c r="I1222" s="115"/>
      <c r="L1222" s="169">
        <v>44476</v>
      </c>
      <c r="M1222" s="115">
        <v>120.8</v>
      </c>
      <c r="N1222" s="115">
        <v>121.333333333333</v>
      </c>
      <c r="O1222" s="115">
        <v>119.2</v>
      </c>
      <c r="P1222" s="115">
        <v>120.393333333333</v>
      </c>
      <c r="Q1222" s="115">
        <v>906</v>
      </c>
      <c r="R1222">
        <v>354907</v>
      </c>
    </row>
    <row r="1223" spans="1:18" x14ac:dyDescent="0.25">
      <c r="A1223" s="169">
        <v>44477</v>
      </c>
      <c r="B1223" s="115">
        <v>122.48666666666701</v>
      </c>
      <c r="C1223" s="115">
        <v>120.24</v>
      </c>
      <c r="D1223" s="115">
        <v>119.066666666667</v>
      </c>
      <c r="E1223" s="115">
        <v>122.48666666666701</v>
      </c>
      <c r="F1223" s="115">
        <v>901.8</v>
      </c>
      <c r="G1223">
        <v>13136</v>
      </c>
      <c r="H1223" s="115"/>
      <c r="I1223" s="115"/>
      <c r="L1223" s="169">
        <v>44477</v>
      </c>
      <c r="M1223" s="115">
        <v>120.1</v>
      </c>
      <c r="N1223" s="115">
        <v>121.586666666667</v>
      </c>
      <c r="O1223" s="115">
        <v>118.993333333333</v>
      </c>
      <c r="P1223" s="115">
        <v>121.586666666667</v>
      </c>
      <c r="Q1223" s="115">
        <v>900.75</v>
      </c>
      <c r="R1223">
        <v>216638</v>
      </c>
    </row>
    <row r="1224" spans="1:18" x14ac:dyDescent="0.25">
      <c r="A1224" s="169">
        <v>44480</v>
      </c>
      <c r="B1224" s="115">
        <v>123.333333333333</v>
      </c>
      <c r="C1224" s="115">
        <v>121.67333333333301</v>
      </c>
      <c r="D1224" s="115">
        <v>120.7</v>
      </c>
      <c r="E1224" s="115">
        <v>123.333333333333</v>
      </c>
      <c r="F1224" s="115">
        <v>912.55</v>
      </c>
      <c r="G1224">
        <v>46331</v>
      </c>
      <c r="H1224" s="115"/>
      <c r="I1224" s="115"/>
      <c r="L1224" s="169">
        <v>44480</v>
      </c>
      <c r="M1224" s="115">
        <v>121.806666666667</v>
      </c>
      <c r="N1224" s="115">
        <v>123.253333333333</v>
      </c>
      <c r="O1224" s="115">
        <v>120.90666666666699</v>
      </c>
      <c r="P1224" s="115">
        <v>123.246666666667</v>
      </c>
      <c r="Q1224" s="115">
        <v>913.55</v>
      </c>
      <c r="R1224">
        <v>465455</v>
      </c>
    </row>
    <row r="1225" spans="1:18" x14ac:dyDescent="0.25">
      <c r="A1225" s="169">
        <v>44481</v>
      </c>
      <c r="B1225" s="115">
        <v>122.51333333333299</v>
      </c>
      <c r="C1225" s="115">
        <v>121.46</v>
      </c>
      <c r="D1225" s="115">
        <v>121.026666666667</v>
      </c>
      <c r="E1225" s="115">
        <v>121.74</v>
      </c>
      <c r="F1225" s="115">
        <v>910.95</v>
      </c>
      <c r="G1225">
        <v>10625</v>
      </c>
      <c r="H1225" s="115"/>
      <c r="I1225" s="115"/>
      <c r="L1225" s="169">
        <v>44481</v>
      </c>
      <c r="M1225" s="115">
        <v>121.293333333333</v>
      </c>
      <c r="N1225" s="115">
        <v>122.633333333333</v>
      </c>
      <c r="O1225" s="115">
        <v>121.066666666667</v>
      </c>
      <c r="P1225" s="115">
        <v>122.526666666667</v>
      </c>
      <c r="Q1225" s="115">
        <v>909.7</v>
      </c>
      <c r="R1225">
        <v>189083</v>
      </c>
    </row>
    <row r="1226" spans="1:18" x14ac:dyDescent="0.25">
      <c r="A1226" s="169">
        <v>44482</v>
      </c>
      <c r="B1226" s="115">
        <v>122.066666666667</v>
      </c>
      <c r="C1226" s="115">
        <v>119.693333333333</v>
      </c>
      <c r="D1226" s="115">
        <v>119.34666666666701</v>
      </c>
      <c r="E1226" s="115">
        <v>122.066666666667</v>
      </c>
      <c r="F1226" s="115">
        <v>897.7</v>
      </c>
      <c r="G1226">
        <v>27176</v>
      </c>
      <c r="H1226" s="115"/>
      <c r="I1226" s="115"/>
      <c r="L1226" s="169">
        <v>44482</v>
      </c>
      <c r="M1226" s="115">
        <v>119.6</v>
      </c>
      <c r="N1226" s="115">
        <v>122.14</v>
      </c>
      <c r="O1226" s="115">
        <v>119.353333333333</v>
      </c>
      <c r="P1226" s="115">
        <v>122.133333333333</v>
      </c>
      <c r="Q1226" s="115">
        <v>897</v>
      </c>
      <c r="R1226">
        <v>312924</v>
      </c>
    </row>
    <row r="1227" spans="1:18" x14ac:dyDescent="0.25">
      <c r="A1227" s="169">
        <v>44483</v>
      </c>
      <c r="B1227" s="115">
        <v>120.58</v>
      </c>
      <c r="C1227" s="115">
        <v>119.566666666667</v>
      </c>
      <c r="D1227" s="115">
        <v>118.86</v>
      </c>
      <c r="E1227" s="115">
        <v>120</v>
      </c>
      <c r="F1227" s="115">
        <v>896.75</v>
      </c>
      <c r="G1227">
        <v>26578</v>
      </c>
      <c r="H1227" s="115"/>
      <c r="I1227" s="115"/>
      <c r="L1227" s="169">
        <v>44483</v>
      </c>
      <c r="M1227" s="115">
        <v>119.74</v>
      </c>
      <c r="N1227" s="115">
        <v>120.526666666667</v>
      </c>
      <c r="O1227" s="115">
        <v>118.806666666667</v>
      </c>
      <c r="P1227" s="115">
        <v>119.92</v>
      </c>
      <c r="Q1227" s="115">
        <v>898.05</v>
      </c>
      <c r="R1227">
        <v>845632</v>
      </c>
    </row>
    <row r="1228" spans="1:18" x14ac:dyDescent="0.25">
      <c r="A1228" s="169">
        <v>44487</v>
      </c>
      <c r="B1228" s="115">
        <v>122.62</v>
      </c>
      <c r="C1228" s="115">
        <v>120.2</v>
      </c>
      <c r="D1228" s="115">
        <v>119.466666666667</v>
      </c>
      <c r="E1228" s="115">
        <v>120.866666666667</v>
      </c>
      <c r="F1228" s="115">
        <v>901.5</v>
      </c>
      <c r="G1228">
        <v>17338</v>
      </c>
      <c r="H1228" s="115"/>
      <c r="I1228" s="115"/>
      <c r="L1228" s="169">
        <v>44487</v>
      </c>
      <c r="M1228" s="115">
        <v>120.04</v>
      </c>
      <c r="N1228" s="115">
        <v>122.64</v>
      </c>
      <c r="O1228" s="115">
        <v>119.466666666667</v>
      </c>
      <c r="P1228" s="115">
        <v>120.666666666667</v>
      </c>
      <c r="Q1228" s="115">
        <v>900.3</v>
      </c>
      <c r="R1228">
        <v>383116</v>
      </c>
    </row>
    <row r="1229" spans="1:18" x14ac:dyDescent="0.25">
      <c r="A1229" s="169">
        <v>44488</v>
      </c>
      <c r="B1229" s="115">
        <v>122.506666666667</v>
      </c>
      <c r="C1229" s="115">
        <v>120.54</v>
      </c>
      <c r="D1229" s="115">
        <v>119.6</v>
      </c>
      <c r="E1229" s="115">
        <v>120.333333333333</v>
      </c>
      <c r="F1229" s="115">
        <v>904.05</v>
      </c>
      <c r="G1229">
        <v>42369</v>
      </c>
      <c r="H1229" s="115"/>
      <c r="I1229" s="115"/>
      <c r="L1229" s="169">
        <v>44488</v>
      </c>
      <c r="M1229" s="115">
        <v>120.62</v>
      </c>
      <c r="N1229" s="115">
        <v>122.51333333333299</v>
      </c>
      <c r="O1229" s="115">
        <v>119.64</v>
      </c>
      <c r="P1229" s="115">
        <v>120.95333333333301</v>
      </c>
      <c r="Q1229" s="115">
        <v>904.65</v>
      </c>
      <c r="R1229">
        <v>299664</v>
      </c>
    </row>
    <row r="1230" spans="1:18" x14ac:dyDescent="0.25">
      <c r="A1230" s="169">
        <v>44489</v>
      </c>
      <c r="B1230" s="115">
        <v>120.993333333333</v>
      </c>
      <c r="C1230" s="115">
        <v>113.6</v>
      </c>
      <c r="D1230" s="115">
        <v>111.68</v>
      </c>
      <c r="E1230" s="115">
        <v>120.613333333333</v>
      </c>
      <c r="F1230" s="115">
        <v>852</v>
      </c>
      <c r="G1230">
        <v>41713</v>
      </c>
      <c r="H1230" s="115"/>
      <c r="I1230" s="115"/>
      <c r="L1230" s="169">
        <v>44489</v>
      </c>
      <c r="M1230" s="115">
        <v>113.42</v>
      </c>
      <c r="N1230" s="115">
        <v>121.18666666666699</v>
      </c>
      <c r="O1230" s="115">
        <v>111.6</v>
      </c>
      <c r="P1230" s="115">
        <v>120.926666666667</v>
      </c>
      <c r="Q1230" s="115">
        <v>850.65</v>
      </c>
      <c r="R1230">
        <v>961208</v>
      </c>
    </row>
    <row r="1231" spans="1:18" x14ac:dyDescent="0.25">
      <c r="A1231" s="169">
        <v>44490</v>
      </c>
      <c r="B1231" s="115">
        <v>114.88</v>
      </c>
      <c r="C1231" s="115">
        <v>110.48666666666701</v>
      </c>
      <c r="D1231" s="115">
        <v>109</v>
      </c>
      <c r="E1231" s="115">
        <v>113.34</v>
      </c>
      <c r="F1231" s="115">
        <v>828.65</v>
      </c>
      <c r="G1231">
        <v>57392</v>
      </c>
      <c r="H1231" s="115"/>
      <c r="I1231" s="115"/>
      <c r="L1231" s="169">
        <v>44490</v>
      </c>
      <c r="M1231" s="115">
        <v>110.606666666667</v>
      </c>
      <c r="N1231" s="115">
        <v>114.886666666667</v>
      </c>
      <c r="O1231" s="115">
        <v>108.7</v>
      </c>
      <c r="P1231" s="115">
        <v>113.72</v>
      </c>
      <c r="Q1231" s="115">
        <v>829.55</v>
      </c>
      <c r="R1231">
        <v>873154</v>
      </c>
    </row>
    <row r="1232" spans="1:18" x14ac:dyDescent="0.25">
      <c r="A1232" s="169">
        <v>44491</v>
      </c>
      <c r="B1232" s="115">
        <v>113.90666666666699</v>
      </c>
      <c r="C1232" s="115">
        <v>110.773333333333</v>
      </c>
      <c r="D1232" s="115">
        <v>109.84666666666701</v>
      </c>
      <c r="E1232" s="115">
        <v>111.333333333333</v>
      </c>
      <c r="F1232" s="115">
        <v>830.8</v>
      </c>
      <c r="G1232">
        <v>30483</v>
      </c>
      <c r="H1232" s="115"/>
      <c r="I1232" s="115"/>
      <c r="L1232" s="169">
        <v>44491</v>
      </c>
      <c r="M1232" s="115">
        <v>110.73333333333299</v>
      </c>
      <c r="N1232" s="115">
        <v>114.053333333333</v>
      </c>
      <c r="O1232" s="115">
        <v>109.64</v>
      </c>
      <c r="P1232" s="115">
        <v>110.933333333333</v>
      </c>
      <c r="Q1232" s="115">
        <v>830.5</v>
      </c>
      <c r="R1232">
        <v>455320</v>
      </c>
    </row>
    <row r="1233" spans="1:18" x14ac:dyDescent="0.25">
      <c r="A1233" s="169">
        <v>44494</v>
      </c>
      <c r="B1233" s="115">
        <v>111.73333333333299</v>
      </c>
      <c r="C1233" s="115">
        <v>109.4</v>
      </c>
      <c r="D1233" s="115">
        <v>107.76</v>
      </c>
      <c r="E1233" s="115">
        <v>111.2</v>
      </c>
      <c r="F1233" s="115">
        <v>820.5</v>
      </c>
      <c r="G1233">
        <v>41358</v>
      </c>
      <c r="H1233" s="115"/>
      <c r="I1233" s="115"/>
      <c r="L1233" s="169">
        <v>44494</v>
      </c>
      <c r="M1233" s="115">
        <v>109.34666666666701</v>
      </c>
      <c r="N1233" s="115">
        <v>111.90666666666699</v>
      </c>
      <c r="O1233" s="115">
        <v>107.84</v>
      </c>
      <c r="P1233" s="115">
        <v>111.90666666666699</v>
      </c>
      <c r="Q1233" s="115">
        <v>820.1</v>
      </c>
      <c r="R1233">
        <v>608457</v>
      </c>
    </row>
    <row r="1234" spans="1:18" x14ac:dyDescent="0.25">
      <c r="A1234" s="169">
        <v>44495</v>
      </c>
      <c r="B1234" s="115">
        <v>110.666666666667</v>
      </c>
      <c r="C1234" s="115">
        <v>109.973333333333</v>
      </c>
      <c r="D1234" s="115">
        <v>108.333333333333</v>
      </c>
      <c r="E1234" s="115">
        <v>109.6</v>
      </c>
      <c r="F1234" s="115">
        <v>824.8</v>
      </c>
      <c r="G1234">
        <v>18875</v>
      </c>
      <c r="H1234" s="115"/>
      <c r="I1234" s="115"/>
      <c r="L1234" s="169">
        <v>44495</v>
      </c>
      <c r="M1234" s="115">
        <v>109.90666666666699</v>
      </c>
      <c r="N1234" s="115">
        <v>110.666666666667</v>
      </c>
      <c r="O1234" s="115">
        <v>108.28</v>
      </c>
      <c r="P1234" s="115">
        <v>110.4</v>
      </c>
      <c r="Q1234" s="115">
        <v>824.3</v>
      </c>
      <c r="R1234">
        <v>608410</v>
      </c>
    </row>
    <row r="1235" spans="1:18" x14ac:dyDescent="0.25">
      <c r="A1235" s="169">
        <v>44496</v>
      </c>
      <c r="B1235" s="115">
        <v>110.64</v>
      </c>
      <c r="C1235" s="115">
        <v>108.76</v>
      </c>
      <c r="D1235" s="115">
        <v>108.146666666667</v>
      </c>
      <c r="E1235" s="115">
        <v>110.26666666666701</v>
      </c>
      <c r="F1235" s="115">
        <v>815.7</v>
      </c>
      <c r="G1235">
        <v>33211</v>
      </c>
      <c r="H1235" s="115"/>
      <c r="I1235" s="115"/>
      <c r="L1235" s="169">
        <v>44496</v>
      </c>
      <c r="M1235" s="115">
        <v>108.773333333333</v>
      </c>
      <c r="N1235" s="115">
        <v>110.533333333333</v>
      </c>
      <c r="O1235" s="115">
        <v>108.133333333333</v>
      </c>
      <c r="P1235" s="115">
        <v>110.04666666666699</v>
      </c>
      <c r="Q1235" s="115">
        <v>815.8</v>
      </c>
      <c r="R1235">
        <v>457755</v>
      </c>
    </row>
    <row r="1236" spans="1:18" x14ac:dyDescent="0.25">
      <c r="A1236" s="169">
        <v>44497</v>
      </c>
      <c r="B1236" s="115">
        <v>112.17333333333301</v>
      </c>
      <c r="C1236" s="115">
        <v>109.666666666667</v>
      </c>
      <c r="D1236" s="115">
        <v>109.066666666667</v>
      </c>
      <c r="E1236" s="115">
        <v>109.066666666667</v>
      </c>
      <c r="F1236" s="115">
        <v>822.5</v>
      </c>
      <c r="G1236">
        <v>14924</v>
      </c>
      <c r="H1236" s="115"/>
      <c r="I1236" s="115"/>
      <c r="L1236" s="169">
        <v>44497</v>
      </c>
      <c r="M1236" s="115">
        <v>109.786666666667</v>
      </c>
      <c r="N1236" s="115">
        <v>112.26666666666701</v>
      </c>
      <c r="O1236" s="115">
        <v>108.8</v>
      </c>
      <c r="P1236" s="115">
        <v>108.8</v>
      </c>
      <c r="Q1236" s="115">
        <v>823.4</v>
      </c>
      <c r="R1236">
        <v>421305</v>
      </c>
    </row>
    <row r="1237" spans="1:18" x14ac:dyDescent="0.25">
      <c r="A1237" s="169">
        <v>44498</v>
      </c>
      <c r="B1237" s="115">
        <v>118.273333333333</v>
      </c>
      <c r="C1237" s="115">
        <v>113.446666666667</v>
      </c>
      <c r="D1237" s="115">
        <v>108.06</v>
      </c>
      <c r="E1237" s="115">
        <v>109.866666666667</v>
      </c>
      <c r="F1237" s="115">
        <v>850.85</v>
      </c>
      <c r="G1237">
        <v>60600</v>
      </c>
      <c r="H1237" s="115"/>
      <c r="I1237" s="115"/>
      <c r="L1237" s="169">
        <v>44498</v>
      </c>
      <c r="M1237" s="115">
        <v>113.246666666667</v>
      </c>
      <c r="N1237" s="115">
        <v>113.893333333333</v>
      </c>
      <c r="O1237" s="115">
        <v>108</v>
      </c>
      <c r="P1237" s="115">
        <v>110</v>
      </c>
      <c r="Q1237" s="115">
        <v>849.35</v>
      </c>
      <c r="R1237">
        <v>1084029</v>
      </c>
    </row>
    <row r="1238" spans="1:18" x14ac:dyDescent="0.25">
      <c r="A1238" s="169">
        <v>44501</v>
      </c>
      <c r="B1238" s="115">
        <v>124</v>
      </c>
      <c r="C1238" s="115">
        <v>122.8</v>
      </c>
      <c r="D1238" s="115">
        <v>113.446666666667</v>
      </c>
      <c r="E1238" s="115">
        <v>113.446666666667</v>
      </c>
      <c r="F1238" s="115">
        <v>921</v>
      </c>
      <c r="G1238">
        <v>115006</v>
      </c>
      <c r="H1238" s="115"/>
      <c r="I1238" s="115"/>
      <c r="L1238" s="169">
        <v>44501</v>
      </c>
      <c r="M1238" s="115">
        <v>122.86</v>
      </c>
      <c r="N1238" s="115">
        <v>124</v>
      </c>
      <c r="O1238" s="115">
        <v>113.73333333333299</v>
      </c>
      <c r="P1238" s="115">
        <v>114.466666666667</v>
      </c>
      <c r="Q1238" s="115">
        <v>921.45</v>
      </c>
      <c r="R1238">
        <v>1335249</v>
      </c>
    </row>
    <row r="1239" spans="1:18" x14ac:dyDescent="0.25">
      <c r="A1239" s="169">
        <v>44502</v>
      </c>
      <c r="B1239" s="115">
        <v>123.066666666667</v>
      </c>
      <c r="C1239" s="115">
        <v>122.32</v>
      </c>
      <c r="D1239" s="115">
        <v>120.466666666667</v>
      </c>
      <c r="E1239" s="115">
        <v>123.066666666667</v>
      </c>
      <c r="F1239" s="115">
        <v>917.4</v>
      </c>
      <c r="G1239">
        <v>21606</v>
      </c>
      <c r="H1239" s="115"/>
      <c r="I1239" s="115"/>
      <c r="L1239" s="169">
        <v>44502</v>
      </c>
      <c r="M1239" s="115">
        <v>122.40666666666699</v>
      </c>
      <c r="N1239" s="115">
        <v>123.09333333333301</v>
      </c>
      <c r="O1239" s="115">
        <v>120.38</v>
      </c>
      <c r="P1239" s="115">
        <v>122.933333333333</v>
      </c>
      <c r="Q1239" s="115">
        <v>918.05</v>
      </c>
      <c r="R1239">
        <v>362035</v>
      </c>
    </row>
    <row r="1240" spans="1:18" x14ac:dyDescent="0.25">
      <c r="A1240" s="169">
        <v>44503</v>
      </c>
      <c r="B1240" s="115">
        <v>125.6</v>
      </c>
      <c r="C1240" s="115">
        <v>125.02</v>
      </c>
      <c r="D1240" s="115">
        <v>122</v>
      </c>
      <c r="E1240" s="115">
        <v>123.73333333333299</v>
      </c>
      <c r="F1240" s="115">
        <v>937.65</v>
      </c>
      <c r="G1240">
        <v>35233</v>
      </c>
      <c r="H1240" s="115"/>
      <c r="I1240" s="115"/>
      <c r="L1240" s="169">
        <v>44503</v>
      </c>
      <c r="M1240" s="115">
        <v>125.06</v>
      </c>
      <c r="N1240" s="115">
        <v>125.6</v>
      </c>
      <c r="O1240" s="115">
        <v>122.6</v>
      </c>
      <c r="P1240" s="115">
        <v>122.793333333333</v>
      </c>
      <c r="Q1240" s="115">
        <v>937.95</v>
      </c>
      <c r="R1240">
        <v>569229</v>
      </c>
    </row>
    <row r="1241" spans="1:18" x14ac:dyDescent="0.25">
      <c r="A1241" s="169">
        <v>44504</v>
      </c>
      <c r="B1241" s="115">
        <v>126.666666666667</v>
      </c>
      <c r="C1241" s="115">
        <v>125.04666666666699</v>
      </c>
      <c r="D1241" s="115">
        <v>124.40666666666699</v>
      </c>
      <c r="E1241" s="115">
        <v>126.633333333333</v>
      </c>
      <c r="F1241" s="115">
        <v>937.85</v>
      </c>
      <c r="G1241">
        <v>4522</v>
      </c>
      <c r="H1241" s="115"/>
      <c r="I1241" s="115"/>
      <c r="L1241" s="169">
        <v>44504</v>
      </c>
      <c r="M1241" s="115">
        <v>124.926666666667</v>
      </c>
      <c r="N1241" s="115">
        <v>126.933333333333</v>
      </c>
      <c r="O1241" s="115">
        <v>124.213333333333</v>
      </c>
      <c r="P1241" s="115">
        <v>125.73333333333299</v>
      </c>
      <c r="Q1241" s="115">
        <v>936.95</v>
      </c>
      <c r="R1241">
        <v>105641</v>
      </c>
    </row>
    <row r="1242" spans="1:18" x14ac:dyDescent="0.25">
      <c r="A1242" s="169">
        <v>44508</v>
      </c>
      <c r="B1242" s="115">
        <v>135.47999999999999</v>
      </c>
      <c r="C1242" s="115">
        <v>134.16</v>
      </c>
      <c r="D1242" s="115">
        <v>123.26</v>
      </c>
      <c r="E1242" s="115">
        <v>125.066666666667</v>
      </c>
      <c r="F1242" s="115">
        <v>1006.2</v>
      </c>
      <c r="G1242">
        <v>152463</v>
      </c>
      <c r="H1242" s="115"/>
      <c r="I1242" s="115"/>
      <c r="L1242" s="169">
        <v>44508</v>
      </c>
      <c r="M1242" s="115">
        <v>133.993333333333</v>
      </c>
      <c r="N1242" s="115">
        <v>135.46666666666701</v>
      </c>
      <c r="O1242" s="115">
        <v>123.16</v>
      </c>
      <c r="P1242" s="115">
        <v>125.18666666666699</v>
      </c>
      <c r="Q1242" s="115">
        <v>1004.95</v>
      </c>
      <c r="R1242">
        <v>1828767</v>
      </c>
    </row>
    <row r="1243" spans="1:18" x14ac:dyDescent="0.25">
      <c r="A1243" s="169">
        <v>44509</v>
      </c>
      <c r="B1243" s="115">
        <v>136</v>
      </c>
      <c r="C1243" s="115">
        <v>128.90666666666701</v>
      </c>
      <c r="D1243" s="115">
        <v>126.98666666666701</v>
      </c>
      <c r="E1243" s="115">
        <v>133.73333333333301</v>
      </c>
      <c r="F1243" s="115">
        <v>966.8</v>
      </c>
      <c r="G1243">
        <v>86878</v>
      </c>
      <c r="H1243" s="115"/>
      <c r="I1243" s="115"/>
      <c r="L1243" s="169">
        <v>44509</v>
      </c>
      <c r="M1243" s="115">
        <v>128.81333333333299</v>
      </c>
      <c r="N1243" s="115">
        <v>134.84</v>
      </c>
      <c r="O1243" s="115">
        <v>127.033333333333</v>
      </c>
      <c r="P1243" s="115">
        <v>134.666666666667</v>
      </c>
      <c r="Q1243" s="115">
        <v>966.1</v>
      </c>
      <c r="R1243">
        <v>893091</v>
      </c>
    </row>
    <row r="1244" spans="1:18" x14ac:dyDescent="0.25">
      <c r="A1244" s="169">
        <v>44510</v>
      </c>
      <c r="B1244" s="115">
        <v>130</v>
      </c>
      <c r="C1244" s="115">
        <v>126.306666666667</v>
      </c>
      <c r="D1244" s="115">
        <v>125.866666666667</v>
      </c>
      <c r="E1244" s="115">
        <v>130</v>
      </c>
      <c r="F1244" s="115">
        <v>947.3</v>
      </c>
      <c r="G1244">
        <v>37812</v>
      </c>
      <c r="H1244" s="115"/>
      <c r="I1244" s="115"/>
      <c r="L1244" s="169">
        <v>44510</v>
      </c>
      <c r="M1244" s="115">
        <v>126.366666666667</v>
      </c>
      <c r="N1244" s="115">
        <v>129.066666666667</v>
      </c>
      <c r="O1244" s="115">
        <v>125.88</v>
      </c>
      <c r="P1244" s="115">
        <v>129.066666666667</v>
      </c>
      <c r="Q1244" s="115">
        <v>947.75</v>
      </c>
      <c r="R1244">
        <v>392712</v>
      </c>
    </row>
    <row r="1245" spans="1:18" x14ac:dyDescent="0.25">
      <c r="A1245" s="169">
        <v>44511</v>
      </c>
      <c r="B1245" s="115">
        <v>126.12666666666701</v>
      </c>
      <c r="C1245" s="115">
        <v>122.87333333333299</v>
      </c>
      <c r="D1245" s="115">
        <v>122.01333333333299</v>
      </c>
      <c r="E1245" s="115">
        <v>125.866666666667</v>
      </c>
      <c r="F1245" s="115">
        <v>921.55</v>
      </c>
      <c r="G1245">
        <v>19017</v>
      </c>
      <c r="H1245" s="115"/>
      <c r="I1245" s="115"/>
      <c r="L1245" s="169">
        <v>44511</v>
      </c>
      <c r="M1245" s="115">
        <v>122.88</v>
      </c>
      <c r="N1245" s="115">
        <v>127.02</v>
      </c>
      <c r="O1245" s="115">
        <v>122.01333333333299</v>
      </c>
      <c r="P1245" s="115">
        <v>127.02</v>
      </c>
      <c r="Q1245" s="115">
        <v>921.6</v>
      </c>
      <c r="R1245">
        <v>314192</v>
      </c>
    </row>
    <row r="1246" spans="1:18" x14ac:dyDescent="0.25">
      <c r="A1246" s="169">
        <v>44512</v>
      </c>
      <c r="B1246" s="115">
        <v>130.666666666667</v>
      </c>
      <c r="C1246" s="115">
        <v>129.62666666666701</v>
      </c>
      <c r="D1246" s="115">
        <v>121.84</v>
      </c>
      <c r="E1246" s="115">
        <v>124.666666666667</v>
      </c>
      <c r="F1246" s="115">
        <v>972.2</v>
      </c>
      <c r="G1246">
        <v>49714</v>
      </c>
      <c r="H1246" s="115"/>
      <c r="I1246" s="115"/>
      <c r="L1246" s="169">
        <v>44512</v>
      </c>
      <c r="M1246" s="115">
        <v>129.58000000000001</v>
      </c>
      <c r="N1246" s="115">
        <v>130.666666666667</v>
      </c>
      <c r="O1246" s="115">
        <v>121.73333333333299</v>
      </c>
      <c r="P1246" s="115">
        <v>123.82666666666699</v>
      </c>
      <c r="Q1246" s="115">
        <v>971.85</v>
      </c>
      <c r="R1246">
        <v>667697</v>
      </c>
    </row>
    <row r="1247" spans="1:18" x14ac:dyDescent="0.25">
      <c r="A1247" s="169">
        <v>44515</v>
      </c>
      <c r="B1247" s="115">
        <v>132.53333333333299</v>
      </c>
      <c r="C1247" s="115">
        <v>124.26666666666701</v>
      </c>
      <c r="D1247" s="115">
        <v>123.526666666667</v>
      </c>
      <c r="E1247" s="115">
        <v>130.30000000000001</v>
      </c>
      <c r="F1247" s="115">
        <v>932</v>
      </c>
      <c r="G1247">
        <v>53926</v>
      </c>
      <c r="H1247" s="115"/>
      <c r="I1247" s="115"/>
      <c r="L1247" s="169">
        <v>44515</v>
      </c>
      <c r="M1247" s="115">
        <v>124.366666666667</v>
      </c>
      <c r="N1247" s="115">
        <v>132.59333333333299</v>
      </c>
      <c r="O1247" s="115">
        <v>123.613333333333</v>
      </c>
      <c r="P1247" s="115">
        <v>130.666666666667</v>
      </c>
      <c r="Q1247" s="115">
        <v>932.75</v>
      </c>
      <c r="R1247">
        <v>565564</v>
      </c>
    </row>
    <row r="1248" spans="1:18" x14ac:dyDescent="0.25">
      <c r="A1248" s="169">
        <v>44516</v>
      </c>
      <c r="B1248" s="115">
        <v>126.253333333333</v>
      </c>
      <c r="C1248" s="115">
        <v>121.666666666667</v>
      </c>
      <c r="D1248" s="115">
        <v>119.273333333333</v>
      </c>
      <c r="E1248" s="115">
        <v>126.253333333333</v>
      </c>
      <c r="F1248" s="115">
        <v>912.5</v>
      </c>
      <c r="G1248">
        <v>25576</v>
      </c>
      <c r="H1248" s="115"/>
      <c r="I1248" s="115"/>
      <c r="L1248" s="169">
        <v>44516</v>
      </c>
      <c r="M1248" s="115">
        <v>122.926666666667</v>
      </c>
      <c r="N1248" s="115">
        <v>125.286666666667</v>
      </c>
      <c r="O1248" s="115">
        <v>122.133333333333</v>
      </c>
      <c r="P1248" s="115">
        <v>125.15333333333299</v>
      </c>
      <c r="Q1248" s="115">
        <v>921.95</v>
      </c>
      <c r="R1248">
        <v>446215</v>
      </c>
    </row>
    <row r="1249" spans="1:18" x14ac:dyDescent="0.25">
      <c r="A1249" s="169">
        <v>44517</v>
      </c>
      <c r="B1249" s="115">
        <v>125.32666666666699</v>
      </c>
      <c r="C1249" s="115">
        <v>124.12</v>
      </c>
      <c r="D1249" s="115">
        <v>122.76</v>
      </c>
      <c r="E1249" s="115">
        <v>123.32666666666699</v>
      </c>
      <c r="F1249" s="115">
        <v>930.9</v>
      </c>
      <c r="G1249">
        <v>30508</v>
      </c>
      <c r="H1249" s="115"/>
      <c r="I1249" s="115"/>
      <c r="L1249" s="169">
        <v>44517</v>
      </c>
      <c r="M1249" s="115">
        <v>124.1</v>
      </c>
      <c r="N1249" s="115">
        <v>125.6</v>
      </c>
      <c r="O1249" s="115">
        <v>122.73333333333299</v>
      </c>
      <c r="P1249" s="115">
        <v>123.293333333333</v>
      </c>
      <c r="Q1249" s="115">
        <v>930.75</v>
      </c>
      <c r="R1249">
        <v>347646</v>
      </c>
    </row>
    <row r="1250" spans="1:18" x14ac:dyDescent="0.25">
      <c r="A1250" s="169">
        <v>44518</v>
      </c>
      <c r="B1250" s="115">
        <v>127.28</v>
      </c>
      <c r="C1250" s="115">
        <v>126.5</v>
      </c>
      <c r="D1250" s="115">
        <v>122.26666666666701</v>
      </c>
      <c r="E1250" s="115">
        <v>123.866666666667</v>
      </c>
      <c r="F1250" s="115">
        <v>948.75</v>
      </c>
      <c r="G1250">
        <v>81240</v>
      </c>
      <c r="H1250" s="115"/>
      <c r="I1250" s="115"/>
      <c r="L1250" s="169">
        <v>44518</v>
      </c>
      <c r="M1250" s="115">
        <v>126.62</v>
      </c>
      <c r="N1250" s="115">
        <v>127.333333333333</v>
      </c>
      <c r="O1250" s="115">
        <v>122.28</v>
      </c>
      <c r="P1250" s="115">
        <v>124.1</v>
      </c>
      <c r="Q1250" s="115">
        <v>949.65</v>
      </c>
      <c r="R1250">
        <v>478611</v>
      </c>
    </row>
    <row r="1251" spans="1:18" x14ac:dyDescent="0.25">
      <c r="A1251" s="169">
        <v>44522</v>
      </c>
      <c r="B1251" s="115">
        <v>128</v>
      </c>
      <c r="C1251" s="115">
        <v>121.933333333333</v>
      </c>
      <c r="D1251" s="115">
        <v>119.773333333333</v>
      </c>
      <c r="E1251" s="115">
        <v>128</v>
      </c>
      <c r="F1251" s="115">
        <v>914.5</v>
      </c>
      <c r="G1251">
        <v>24838</v>
      </c>
      <c r="H1251" s="115"/>
      <c r="I1251" s="115"/>
      <c r="L1251" s="169">
        <v>44522</v>
      </c>
      <c r="M1251" s="115">
        <v>121.68666666666699</v>
      </c>
      <c r="N1251" s="115">
        <v>127.853333333333</v>
      </c>
      <c r="O1251" s="115">
        <v>119.753333333333</v>
      </c>
      <c r="P1251" s="115">
        <v>127.37333333333299</v>
      </c>
      <c r="Q1251" s="115">
        <v>912.65</v>
      </c>
      <c r="R1251">
        <v>418173</v>
      </c>
    </row>
    <row r="1252" spans="1:18" x14ac:dyDescent="0.25">
      <c r="A1252" s="169">
        <v>44523</v>
      </c>
      <c r="B1252" s="115">
        <v>125.473333333333</v>
      </c>
      <c r="C1252" s="115">
        <v>122.54</v>
      </c>
      <c r="D1252" s="115">
        <v>120.226666666667</v>
      </c>
      <c r="E1252" s="115">
        <v>121.466666666667</v>
      </c>
      <c r="F1252" s="115">
        <v>919.05</v>
      </c>
      <c r="G1252">
        <v>39868</v>
      </c>
      <c r="H1252" s="115"/>
      <c r="I1252" s="115"/>
      <c r="L1252" s="169">
        <v>44523</v>
      </c>
      <c r="M1252" s="115">
        <v>122.54</v>
      </c>
      <c r="N1252" s="115">
        <v>125.6</v>
      </c>
      <c r="O1252" s="115">
        <v>120.32666666666699</v>
      </c>
      <c r="P1252" s="115">
        <v>121.253333333333</v>
      </c>
      <c r="Q1252" s="115">
        <v>919.05</v>
      </c>
      <c r="R1252">
        <v>281841</v>
      </c>
    </row>
    <row r="1253" spans="1:18" x14ac:dyDescent="0.25">
      <c r="A1253" s="169">
        <v>44524</v>
      </c>
      <c r="B1253" s="115">
        <v>124.933333333333</v>
      </c>
      <c r="C1253" s="115">
        <v>121.76666666666701</v>
      </c>
      <c r="D1253" s="115">
        <v>119.193333333333</v>
      </c>
      <c r="E1253" s="115">
        <v>123.333333333333</v>
      </c>
      <c r="F1253" s="115">
        <v>913.25</v>
      </c>
      <c r="G1253">
        <v>21179</v>
      </c>
      <c r="H1253" s="115"/>
      <c r="I1253" s="115"/>
      <c r="L1253" s="169">
        <v>44524</v>
      </c>
      <c r="M1253" s="115">
        <v>122.09333333333301</v>
      </c>
      <c r="N1253" s="115">
        <v>124.993333333333</v>
      </c>
      <c r="O1253" s="115">
        <v>120.8</v>
      </c>
      <c r="P1253" s="115">
        <v>123.926666666667</v>
      </c>
      <c r="Q1253" s="115">
        <v>915.7</v>
      </c>
      <c r="R1253">
        <v>305385</v>
      </c>
    </row>
    <row r="1254" spans="1:18" x14ac:dyDescent="0.25">
      <c r="A1254" s="169">
        <v>44525</v>
      </c>
      <c r="B1254" s="115">
        <v>122.666666666667</v>
      </c>
      <c r="C1254" s="115">
        <v>121.59333333333301</v>
      </c>
      <c r="D1254" s="115">
        <v>119.073333333333</v>
      </c>
      <c r="E1254" s="115">
        <v>121.466666666667</v>
      </c>
      <c r="F1254" s="115">
        <v>911.95</v>
      </c>
      <c r="G1254">
        <v>15638</v>
      </c>
      <c r="H1254" s="115"/>
      <c r="I1254" s="115"/>
      <c r="L1254" s="169">
        <v>44525</v>
      </c>
      <c r="M1254" s="115">
        <v>121.506666666667</v>
      </c>
      <c r="N1254" s="115">
        <v>122.666666666667</v>
      </c>
      <c r="O1254" s="115">
        <v>119.006666666667</v>
      </c>
      <c r="P1254" s="115">
        <v>121.073333333333</v>
      </c>
      <c r="Q1254" s="115">
        <v>911.3</v>
      </c>
      <c r="R1254">
        <v>318370</v>
      </c>
    </row>
    <row r="1255" spans="1:18" x14ac:dyDescent="0.25">
      <c r="A1255" s="169">
        <v>44526</v>
      </c>
      <c r="B1255" s="115">
        <v>122.4</v>
      </c>
      <c r="C1255" s="115">
        <v>117.833333333333</v>
      </c>
      <c r="D1255" s="115">
        <v>117.6</v>
      </c>
      <c r="E1255" s="115">
        <v>122.4</v>
      </c>
      <c r="F1255" s="115">
        <v>883.75</v>
      </c>
      <c r="G1255">
        <v>40532</v>
      </c>
      <c r="H1255" s="115"/>
      <c r="I1255" s="115"/>
      <c r="L1255" s="169">
        <v>44526</v>
      </c>
      <c r="M1255" s="115">
        <v>117.84666666666701</v>
      </c>
      <c r="N1255" s="115">
        <v>122.353333333333</v>
      </c>
      <c r="O1255" s="115">
        <v>117.613333333333</v>
      </c>
      <c r="P1255" s="115">
        <v>121.506666666667</v>
      </c>
      <c r="Q1255" s="115">
        <v>883.85</v>
      </c>
      <c r="R1255">
        <v>349468</v>
      </c>
    </row>
    <row r="1256" spans="1:18" x14ac:dyDescent="0.25">
      <c r="A1256" s="169">
        <v>44529</v>
      </c>
      <c r="B1256" s="115">
        <v>117.87333333333299</v>
      </c>
      <c r="C1256" s="115">
        <v>116.22</v>
      </c>
      <c r="D1256" s="115">
        <v>112.666666666667</v>
      </c>
      <c r="E1256" s="115">
        <v>117.866666666667</v>
      </c>
      <c r="F1256" s="115">
        <v>871.65</v>
      </c>
      <c r="G1256">
        <v>22925</v>
      </c>
      <c r="H1256" s="115"/>
      <c r="I1256" s="115"/>
      <c r="L1256" s="169">
        <v>44529</v>
      </c>
      <c r="M1256" s="115">
        <v>116.32666666666699</v>
      </c>
      <c r="N1256" s="115">
        <v>118</v>
      </c>
      <c r="O1256" s="115">
        <v>112.45333333333301</v>
      </c>
      <c r="P1256" s="115">
        <v>117.73333333333299</v>
      </c>
      <c r="Q1256" s="115">
        <v>872.45</v>
      </c>
      <c r="R1256">
        <v>403965</v>
      </c>
    </row>
    <row r="1257" spans="1:18" x14ac:dyDescent="0.25">
      <c r="A1257" s="169">
        <v>44530</v>
      </c>
      <c r="B1257" s="115">
        <v>120.44</v>
      </c>
      <c r="C1257" s="115">
        <v>119.1</v>
      </c>
      <c r="D1257" s="115">
        <v>116.433333333333</v>
      </c>
      <c r="E1257" s="115">
        <v>117.2</v>
      </c>
      <c r="F1257" s="115">
        <v>893.25</v>
      </c>
      <c r="G1257">
        <v>45306</v>
      </c>
      <c r="H1257" s="115"/>
      <c r="I1257" s="115"/>
      <c r="L1257" s="169">
        <v>44530</v>
      </c>
      <c r="M1257" s="115">
        <v>118.86</v>
      </c>
      <c r="N1257" s="115">
        <v>120.666666666667</v>
      </c>
      <c r="O1257" s="115">
        <v>116.273333333333</v>
      </c>
      <c r="P1257" s="115">
        <v>116.273333333333</v>
      </c>
      <c r="Q1257" s="115">
        <v>891.45</v>
      </c>
      <c r="R1257">
        <v>306737</v>
      </c>
    </row>
    <row r="1258" spans="1:18" x14ac:dyDescent="0.25">
      <c r="A1258" s="169">
        <v>44531</v>
      </c>
      <c r="B1258" s="115">
        <v>120.533333333333</v>
      </c>
      <c r="C1258" s="115">
        <v>118.68666666666699</v>
      </c>
      <c r="D1258" s="115">
        <v>116.95333333333301</v>
      </c>
      <c r="E1258" s="115">
        <v>120.533333333333</v>
      </c>
      <c r="F1258" s="115">
        <v>890.15</v>
      </c>
      <c r="G1258">
        <v>22730</v>
      </c>
      <c r="H1258" s="115"/>
      <c r="I1258" s="115"/>
      <c r="L1258" s="169">
        <v>44531</v>
      </c>
      <c r="M1258" s="115">
        <v>118.786666666667</v>
      </c>
      <c r="N1258" s="115">
        <v>120.493333333333</v>
      </c>
      <c r="O1258" s="115">
        <v>116.933333333333</v>
      </c>
      <c r="P1258" s="115">
        <v>119.273333333333</v>
      </c>
      <c r="Q1258" s="115">
        <v>890.9</v>
      </c>
      <c r="R1258">
        <v>187452</v>
      </c>
    </row>
    <row r="1259" spans="1:18" x14ac:dyDescent="0.25">
      <c r="A1259" s="169">
        <v>44532</v>
      </c>
      <c r="B1259" s="115">
        <v>122.31333333333301</v>
      </c>
      <c r="C1259" s="115">
        <v>120.793333333333</v>
      </c>
      <c r="D1259" s="115">
        <v>117.973333333333</v>
      </c>
      <c r="E1259" s="115">
        <v>118.133333333333</v>
      </c>
      <c r="F1259" s="115">
        <v>905.95</v>
      </c>
      <c r="G1259">
        <v>12898</v>
      </c>
      <c r="H1259" s="115"/>
      <c r="I1259" s="115"/>
      <c r="L1259" s="169">
        <v>44532</v>
      </c>
      <c r="M1259" s="115">
        <v>121.473333333333</v>
      </c>
      <c r="N1259" s="115">
        <v>122.4</v>
      </c>
      <c r="O1259" s="115">
        <v>117.966666666667</v>
      </c>
      <c r="P1259" s="115">
        <v>119.106666666667</v>
      </c>
      <c r="Q1259" s="115">
        <v>911.05</v>
      </c>
      <c r="R1259">
        <v>281539</v>
      </c>
    </row>
    <row r="1260" spans="1:18" x14ac:dyDescent="0.25">
      <c r="A1260" s="169">
        <v>44533</v>
      </c>
      <c r="B1260" s="115">
        <v>121.67333333333301</v>
      </c>
      <c r="C1260" s="115">
        <v>117.166666666667</v>
      </c>
      <c r="D1260" s="115">
        <v>116.67333333333301</v>
      </c>
      <c r="E1260" s="115">
        <v>121.66</v>
      </c>
      <c r="F1260" s="115">
        <v>878.75</v>
      </c>
      <c r="G1260">
        <v>14656</v>
      </c>
      <c r="H1260" s="115"/>
      <c r="I1260" s="115"/>
      <c r="L1260" s="169">
        <v>44533</v>
      </c>
      <c r="M1260" s="115">
        <v>117.086666666667</v>
      </c>
      <c r="N1260" s="115">
        <v>121.51333333333299</v>
      </c>
      <c r="O1260" s="115">
        <v>116.65333333333299</v>
      </c>
      <c r="P1260" s="115">
        <v>121.473333333333</v>
      </c>
      <c r="Q1260" s="115">
        <v>878.15</v>
      </c>
      <c r="R1260">
        <v>252883</v>
      </c>
    </row>
    <row r="1261" spans="1:18" x14ac:dyDescent="0.25">
      <c r="A1261" s="169">
        <v>44536</v>
      </c>
      <c r="B1261" s="115">
        <v>119.866666666667</v>
      </c>
      <c r="C1261" s="115">
        <v>118.04666666666699</v>
      </c>
      <c r="D1261" s="115">
        <v>115.333333333333</v>
      </c>
      <c r="E1261" s="115">
        <v>115.333333333333</v>
      </c>
      <c r="F1261" s="115">
        <v>885.35</v>
      </c>
      <c r="G1261">
        <v>22757</v>
      </c>
      <c r="H1261" s="115"/>
      <c r="I1261" s="115"/>
      <c r="L1261" s="169">
        <v>44536</v>
      </c>
      <c r="M1261" s="115">
        <v>118.066666666667</v>
      </c>
      <c r="N1261" s="115">
        <v>119.993333333333</v>
      </c>
      <c r="O1261" s="115">
        <v>116.42</v>
      </c>
      <c r="P1261" s="115">
        <v>116.833333333333</v>
      </c>
      <c r="Q1261" s="115">
        <v>885.5</v>
      </c>
      <c r="R1261">
        <v>211354</v>
      </c>
    </row>
    <row r="1262" spans="1:18" x14ac:dyDescent="0.25">
      <c r="A1262" s="169">
        <v>44537</v>
      </c>
      <c r="B1262" s="115">
        <v>118.72</v>
      </c>
      <c r="C1262" s="115">
        <v>116.573333333333</v>
      </c>
      <c r="D1262" s="115">
        <v>115.73333333333299</v>
      </c>
      <c r="E1262" s="115">
        <v>118.133333333333</v>
      </c>
      <c r="F1262" s="115">
        <v>874.3</v>
      </c>
      <c r="G1262">
        <v>11631</v>
      </c>
      <c r="H1262" s="115"/>
      <c r="I1262" s="115"/>
      <c r="L1262" s="169">
        <v>44537</v>
      </c>
      <c r="M1262" s="115">
        <v>116.18666666666699</v>
      </c>
      <c r="N1262" s="115">
        <v>119.053333333333</v>
      </c>
      <c r="O1262" s="115">
        <v>115.666666666667</v>
      </c>
      <c r="P1262" s="115">
        <v>118.4</v>
      </c>
      <c r="Q1262" s="115">
        <v>871.4</v>
      </c>
      <c r="R1262">
        <v>209859</v>
      </c>
    </row>
    <row r="1263" spans="1:18" x14ac:dyDescent="0.25">
      <c r="A1263" s="169">
        <v>44538</v>
      </c>
      <c r="B1263" s="115">
        <v>119.446666666667</v>
      </c>
      <c r="C1263" s="115">
        <v>118.9</v>
      </c>
      <c r="D1263" s="115">
        <v>117.3</v>
      </c>
      <c r="E1263" s="115">
        <v>118.133333333333</v>
      </c>
      <c r="F1263" s="115">
        <v>891.75</v>
      </c>
      <c r="G1263">
        <v>14818</v>
      </c>
      <c r="H1263" s="115"/>
      <c r="I1263" s="115"/>
      <c r="L1263" s="169">
        <v>44538</v>
      </c>
      <c r="M1263" s="115">
        <v>118.92</v>
      </c>
      <c r="N1263" s="115">
        <v>119.46</v>
      </c>
      <c r="O1263" s="115">
        <v>116.713333333333</v>
      </c>
      <c r="P1263" s="115">
        <v>117.333333333333</v>
      </c>
      <c r="Q1263" s="115">
        <v>891.9</v>
      </c>
      <c r="R1263">
        <v>177065</v>
      </c>
    </row>
    <row r="1264" spans="1:18" x14ac:dyDescent="0.25">
      <c r="A1264" s="169">
        <v>44539</v>
      </c>
      <c r="B1264" s="115">
        <v>120.26666666666701</v>
      </c>
      <c r="C1264" s="115">
        <v>118.973333333333</v>
      </c>
      <c r="D1264" s="115">
        <v>117.993333333333</v>
      </c>
      <c r="E1264" s="115">
        <v>120.26666666666701</v>
      </c>
      <c r="F1264" s="115">
        <v>892.3</v>
      </c>
      <c r="G1264">
        <v>7171</v>
      </c>
      <c r="H1264" s="115"/>
      <c r="I1264" s="115"/>
      <c r="L1264" s="169">
        <v>44539</v>
      </c>
      <c r="M1264" s="115">
        <v>119.18666666666699</v>
      </c>
      <c r="N1264" s="115">
        <v>120.32666666666699</v>
      </c>
      <c r="O1264" s="115">
        <v>117.893333333333</v>
      </c>
      <c r="P1264" s="115">
        <v>119.966666666667</v>
      </c>
      <c r="Q1264" s="115">
        <v>893.9</v>
      </c>
      <c r="R1264">
        <v>129004</v>
      </c>
    </row>
    <row r="1265" spans="1:18" x14ac:dyDescent="0.25">
      <c r="A1265" s="169">
        <v>44540</v>
      </c>
      <c r="B1265" s="115">
        <v>119.73333333333299</v>
      </c>
      <c r="C1265" s="115">
        <v>118.6</v>
      </c>
      <c r="D1265" s="115">
        <v>117.426666666667</v>
      </c>
      <c r="E1265" s="115">
        <v>118.973333333333</v>
      </c>
      <c r="F1265" s="115">
        <v>889.5</v>
      </c>
      <c r="G1265">
        <v>10645</v>
      </c>
      <c r="H1265" s="115"/>
      <c r="I1265" s="115"/>
      <c r="L1265" s="169">
        <v>44540</v>
      </c>
      <c r="M1265" s="115">
        <v>118.833333333333</v>
      </c>
      <c r="N1265" s="115">
        <v>119.76</v>
      </c>
      <c r="O1265" s="115">
        <v>117.426666666667</v>
      </c>
      <c r="P1265" s="115">
        <v>119.333333333333</v>
      </c>
      <c r="Q1265" s="115">
        <v>891.25</v>
      </c>
      <c r="R1265">
        <v>220920</v>
      </c>
    </row>
    <row r="1266" spans="1:18" x14ac:dyDescent="0.25">
      <c r="A1266" s="169">
        <v>44543</v>
      </c>
      <c r="B1266" s="115">
        <v>122.133333333333</v>
      </c>
      <c r="C1266" s="115">
        <v>120.26666666666701</v>
      </c>
      <c r="D1266" s="115">
        <v>118.666666666667</v>
      </c>
      <c r="E1266" s="115">
        <v>118.8</v>
      </c>
      <c r="F1266" s="115">
        <v>902</v>
      </c>
      <c r="G1266">
        <v>11627</v>
      </c>
      <c r="H1266" s="115"/>
      <c r="I1266" s="115"/>
      <c r="L1266" s="169">
        <v>44543</v>
      </c>
      <c r="M1266" s="115">
        <v>120.293333333333</v>
      </c>
      <c r="N1266" s="115">
        <v>122.23333333333299</v>
      </c>
      <c r="O1266" s="115">
        <v>118.58</v>
      </c>
      <c r="P1266" s="115">
        <v>119.426666666667</v>
      </c>
      <c r="Q1266" s="115">
        <v>902.2</v>
      </c>
      <c r="R1266">
        <v>255484</v>
      </c>
    </row>
    <row r="1267" spans="1:18" x14ac:dyDescent="0.25">
      <c r="A1267" s="169">
        <v>44544</v>
      </c>
      <c r="B1267" s="115">
        <v>123.026666666667</v>
      </c>
      <c r="C1267" s="115">
        <v>121.146666666667</v>
      </c>
      <c r="D1267" s="115">
        <v>118.933333333333</v>
      </c>
      <c r="E1267" s="115">
        <v>121.333333333333</v>
      </c>
      <c r="F1267" s="115">
        <v>908.6</v>
      </c>
      <c r="G1267">
        <v>11204</v>
      </c>
      <c r="H1267" s="115"/>
      <c r="I1267" s="115"/>
      <c r="L1267" s="169">
        <v>44544</v>
      </c>
      <c r="M1267" s="115">
        <v>121.193333333333</v>
      </c>
      <c r="N1267" s="115">
        <v>123.17333333333301</v>
      </c>
      <c r="O1267" s="115">
        <v>118.726666666667</v>
      </c>
      <c r="P1267" s="115">
        <v>120.4</v>
      </c>
      <c r="Q1267" s="115">
        <v>908.95</v>
      </c>
      <c r="R1267">
        <v>320083</v>
      </c>
    </row>
    <row r="1268" spans="1:18" x14ac:dyDescent="0.25">
      <c r="A1268" s="169">
        <v>44545</v>
      </c>
      <c r="B1268" s="115">
        <v>121.726666666667</v>
      </c>
      <c r="C1268" s="115">
        <v>120.393333333333</v>
      </c>
      <c r="D1268" s="115">
        <v>119.65333333333299</v>
      </c>
      <c r="E1268" s="115">
        <v>121.2</v>
      </c>
      <c r="F1268" s="115">
        <v>902.95</v>
      </c>
      <c r="G1268">
        <v>10929</v>
      </c>
      <c r="H1268" s="115"/>
      <c r="I1268" s="115"/>
      <c r="L1268" s="169">
        <v>44545</v>
      </c>
      <c r="M1268" s="115">
        <v>120.333333333333</v>
      </c>
      <c r="N1268" s="115">
        <v>121.993333333333</v>
      </c>
      <c r="O1268" s="115">
        <v>119.526666666667</v>
      </c>
      <c r="P1268" s="115">
        <v>121.84666666666701</v>
      </c>
      <c r="Q1268" s="115">
        <v>902.5</v>
      </c>
      <c r="R1268">
        <v>169032</v>
      </c>
    </row>
    <row r="1269" spans="1:18" x14ac:dyDescent="0.25">
      <c r="A1269" s="169">
        <v>44546</v>
      </c>
      <c r="B1269" s="115">
        <v>121.04666666666699</v>
      </c>
      <c r="C1269" s="115">
        <v>116.693333333333</v>
      </c>
      <c r="D1269" s="115">
        <v>116.44</v>
      </c>
      <c r="E1269" s="115">
        <v>120.746666666667</v>
      </c>
      <c r="F1269" s="115">
        <v>875.2</v>
      </c>
      <c r="G1269">
        <v>27174</v>
      </c>
      <c r="H1269" s="115"/>
      <c r="I1269" s="115"/>
      <c r="L1269" s="169">
        <v>44546</v>
      </c>
      <c r="M1269" s="115">
        <v>116.66</v>
      </c>
      <c r="N1269" s="115">
        <v>121.12666666666701</v>
      </c>
      <c r="O1269" s="115">
        <v>116.4</v>
      </c>
      <c r="P1269" s="115">
        <v>121.113333333333</v>
      </c>
      <c r="Q1269" s="115">
        <v>874.95</v>
      </c>
      <c r="R1269">
        <v>284547</v>
      </c>
    </row>
    <row r="1270" spans="1:18" x14ac:dyDescent="0.25">
      <c r="A1270" s="169">
        <v>44547</v>
      </c>
      <c r="B1270" s="115">
        <v>116.993333333333</v>
      </c>
      <c r="C1270" s="115">
        <v>115.413333333333</v>
      </c>
      <c r="D1270" s="115">
        <v>114.34</v>
      </c>
      <c r="E1270" s="115">
        <v>116.01333333333299</v>
      </c>
      <c r="F1270" s="115">
        <v>865.6</v>
      </c>
      <c r="G1270">
        <v>19828</v>
      </c>
      <c r="H1270" s="115"/>
      <c r="I1270" s="115"/>
      <c r="L1270" s="169">
        <v>44547</v>
      </c>
      <c r="M1270" s="115">
        <v>115.493333333333</v>
      </c>
      <c r="N1270" s="115">
        <v>117.086666666667</v>
      </c>
      <c r="O1270" s="115">
        <v>114.306666666667</v>
      </c>
      <c r="P1270" s="115">
        <v>116.65333333333299</v>
      </c>
      <c r="Q1270" s="115">
        <v>866.2</v>
      </c>
      <c r="R1270">
        <v>321757</v>
      </c>
    </row>
    <row r="1271" spans="1:18" x14ac:dyDescent="0.25">
      <c r="A1271" s="169">
        <v>44550</v>
      </c>
      <c r="B1271" s="115">
        <v>114</v>
      </c>
      <c r="C1271" s="115">
        <v>110.26666666666701</v>
      </c>
      <c r="D1271" s="115">
        <v>109.333333333333</v>
      </c>
      <c r="E1271" s="115">
        <v>114</v>
      </c>
      <c r="F1271" s="115">
        <v>827</v>
      </c>
      <c r="G1271">
        <v>749829</v>
      </c>
      <c r="H1271" s="115"/>
      <c r="I1271" s="115"/>
      <c r="L1271" s="169">
        <v>44550</v>
      </c>
      <c r="M1271" s="115">
        <v>110.37333333333299</v>
      </c>
      <c r="N1271" s="115">
        <v>114.4</v>
      </c>
      <c r="O1271" s="115">
        <v>109.34</v>
      </c>
      <c r="P1271" s="115">
        <v>114.4</v>
      </c>
      <c r="Q1271" s="115">
        <v>827.8</v>
      </c>
      <c r="R1271">
        <v>457179</v>
      </c>
    </row>
    <row r="1272" spans="1:18" x14ac:dyDescent="0.25">
      <c r="A1272" s="169">
        <v>44551</v>
      </c>
      <c r="B1272" s="115">
        <v>112.533333333333</v>
      </c>
      <c r="C1272" s="115">
        <v>111.92</v>
      </c>
      <c r="D1272" s="115">
        <v>109.053333333333</v>
      </c>
      <c r="E1272" s="115">
        <v>110.993333333333</v>
      </c>
      <c r="F1272" s="115">
        <v>839.4</v>
      </c>
      <c r="G1272">
        <v>15067</v>
      </c>
      <c r="H1272" s="115"/>
      <c r="I1272" s="115"/>
      <c r="L1272" s="169">
        <v>44551</v>
      </c>
      <c r="M1272" s="115">
        <v>111.913333333333</v>
      </c>
      <c r="N1272" s="115">
        <v>112.56</v>
      </c>
      <c r="O1272" s="115">
        <v>108.973333333333</v>
      </c>
      <c r="P1272" s="115">
        <v>110.666666666667</v>
      </c>
      <c r="Q1272" s="115">
        <v>839.35</v>
      </c>
      <c r="R1272">
        <v>472418</v>
      </c>
    </row>
    <row r="1273" spans="1:18" x14ac:dyDescent="0.25">
      <c r="A1273" s="169">
        <v>44552</v>
      </c>
      <c r="B1273" s="115">
        <v>115.3</v>
      </c>
      <c r="C1273" s="115">
        <v>113.04</v>
      </c>
      <c r="D1273" s="115">
        <v>111.246666666667</v>
      </c>
      <c r="E1273" s="115">
        <v>112.04</v>
      </c>
      <c r="F1273" s="115">
        <v>847.8</v>
      </c>
      <c r="G1273">
        <v>11818</v>
      </c>
      <c r="H1273" s="115"/>
      <c r="I1273" s="115"/>
      <c r="L1273" s="169">
        <v>44552</v>
      </c>
      <c r="M1273" s="115">
        <v>113.12</v>
      </c>
      <c r="N1273" s="115">
        <v>115.32666666666699</v>
      </c>
      <c r="O1273" s="115">
        <v>111.2</v>
      </c>
      <c r="P1273" s="115">
        <v>111.40666666666699</v>
      </c>
      <c r="Q1273" s="115">
        <v>848.4</v>
      </c>
      <c r="R1273">
        <v>191723</v>
      </c>
    </row>
    <row r="1274" spans="1:18" x14ac:dyDescent="0.25">
      <c r="A1274" s="169">
        <v>44553</v>
      </c>
      <c r="B1274" s="115">
        <v>114.193333333333</v>
      </c>
      <c r="C1274" s="115">
        <v>113.48</v>
      </c>
      <c r="D1274" s="115">
        <v>112.34</v>
      </c>
      <c r="E1274" s="115">
        <v>113.01333333333299</v>
      </c>
      <c r="F1274" s="115">
        <v>851.1</v>
      </c>
      <c r="G1274">
        <v>6482</v>
      </c>
      <c r="H1274" s="115"/>
      <c r="I1274" s="115"/>
      <c r="L1274" s="169">
        <v>44553</v>
      </c>
      <c r="M1274" s="115">
        <v>113.28</v>
      </c>
      <c r="N1274" s="115">
        <v>114.293333333333</v>
      </c>
      <c r="O1274" s="115">
        <v>112.31333333333301</v>
      </c>
      <c r="P1274" s="115">
        <v>114.26666666666701</v>
      </c>
      <c r="Q1274" s="115">
        <v>849.6</v>
      </c>
      <c r="R1274">
        <v>231194</v>
      </c>
    </row>
    <row r="1275" spans="1:18" x14ac:dyDescent="0.25">
      <c r="A1275" s="169">
        <v>44554</v>
      </c>
      <c r="B1275" s="115">
        <v>114.12</v>
      </c>
      <c r="C1275" s="115">
        <v>111.90666666666699</v>
      </c>
      <c r="D1275" s="115">
        <v>111.48</v>
      </c>
      <c r="E1275" s="115">
        <v>113.333333333333</v>
      </c>
      <c r="F1275" s="115">
        <v>839.3</v>
      </c>
      <c r="G1275">
        <v>16111</v>
      </c>
      <c r="H1275" s="115"/>
      <c r="I1275" s="115"/>
      <c r="L1275" s="169">
        <v>44554</v>
      </c>
      <c r="M1275" s="115">
        <v>111.92</v>
      </c>
      <c r="N1275" s="115">
        <v>114.17333333333301</v>
      </c>
      <c r="O1275" s="115">
        <v>111.40666666666699</v>
      </c>
      <c r="P1275" s="115">
        <v>113.333333333333</v>
      </c>
      <c r="Q1275" s="115">
        <v>839.4</v>
      </c>
      <c r="R1275">
        <v>235778</v>
      </c>
    </row>
    <row r="1276" spans="1:18" x14ac:dyDescent="0.25">
      <c r="A1276" s="169">
        <v>44557</v>
      </c>
      <c r="B1276" s="115">
        <v>114.293333333333</v>
      </c>
      <c r="C1276" s="115">
        <v>113.86</v>
      </c>
      <c r="D1276" s="115">
        <v>110.98</v>
      </c>
      <c r="E1276" s="115">
        <v>112</v>
      </c>
      <c r="F1276" s="115">
        <v>853.95</v>
      </c>
      <c r="G1276">
        <v>14284</v>
      </c>
      <c r="H1276" s="115"/>
      <c r="I1276" s="115"/>
      <c r="L1276" s="169">
        <v>44557</v>
      </c>
      <c r="M1276" s="115">
        <v>113.993333333333</v>
      </c>
      <c r="N1276" s="115">
        <v>114.46</v>
      </c>
      <c r="O1276" s="115">
        <v>110.04</v>
      </c>
      <c r="P1276" s="115">
        <v>111.6</v>
      </c>
      <c r="Q1276" s="115">
        <v>854.95</v>
      </c>
      <c r="R1276">
        <v>309517</v>
      </c>
    </row>
    <row r="1277" spans="1:18" x14ac:dyDescent="0.25">
      <c r="A1277" s="169">
        <v>44558</v>
      </c>
      <c r="B1277" s="115">
        <v>117.32666666666699</v>
      </c>
      <c r="C1277" s="115">
        <v>115.98</v>
      </c>
      <c r="D1277" s="115">
        <v>114.293333333333</v>
      </c>
      <c r="E1277" s="115">
        <v>114.56</v>
      </c>
      <c r="F1277" s="115">
        <v>869.85</v>
      </c>
      <c r="G1277">
        <v>15453</v>
      </c>
      <c r="H1277" s="115"/>
      <c r="I1277" s="115"/>
      <c r="L1277" s="169">
        <v>44558</v>
      </c>
      <c r="M1277" s="115">
        <v>115.973333333333</v>
      </c>
      <c r="N1277" s="115">
        <v>117.333333333333</v>
      </c>
      <c r="O1277" s="115">
        <v>113.993333333333</v>
      </c>
      <c r="P1277" s="115">
        <v>114.8</v>
      </c>
      <c r="Q1277" s="115">
        <v>869.8</v>
      </c>
      <c r="R1277">
        <v>272288</v>
      </c>
    </row>
    <row r="1278" spans="1:18" x14ac:dyDescent="0.25">
      <c r="A1278" s="169">
        <v>44559</v>
      </c>
      <c r="B1278" s="115">
        <v>118.4</v>
      </c>
      <c r="C1278" s="115">
        <v>118</v>
      </c>
      <c r="D1278" s="115">
        <v>114.84666666666701</v>
      </c>
      <c r="E1278" s="115">
        <v>115.4</v>
      </c>
      <c r="F1278" s="115">
        <v>885</v>
      </c>
      <c r="G1278">
        <v>17481</v>
      </c>
      <c r="H1278" s="115"/>
      <c r="I1278" s="115"/>
      <c r="L1278" s="169">
        <v>44559</v>
      </c>
      <c r="M1278" s="115">
        <v>118.086666666667</v>
      </c>
      <c r="N1278" s="115">
        <v>118.613333333333</v>
      </c>
      <c r="O1278" s="115">
        <v>114.92</v>
      </c>
      <c r="P1278" s="115">
        <v>116</v>
      </c>
      <c r="Q1278" s="115">
        <v>885.65</v>
      </c>
      <c r="R1278">
        <v>173275</v>
      </c>
    </row>
    <row r="1279" spans="1:18" x14ac:dyDescent="0.25">
      <c r="A1279" s="169">
        <v>44560</v>
      </c>
      <c r="B1279" s="115">
        <v>120.666666666667</v>
      </c>
      <c r="C1279" s="115">
        <v>114.926666666667</v>
      </c>
      <c r="D1279" s="115">
        <v>114.213333333333</v>
      </c>
      <c r="E1279" s="115">
        <v>120.666666666667</v>
      </c>
      <c r="F1279" s="115">
        <v>861.95</v>
      </c>
      <c r="G1279">
        <v>15499</v>
      </c>
      <c r="H1279" s="115"/>
      <c r="I1279" s="115"/>
      <c r="L1279" s="169">
        <v>44560</v>
      </c>
      <c r="M1279" s="115">
        <v>114.84</v>
      </c>
      <c r="N1279" s="115">
        <v>120.053333333333</v>
      </c>
      <c r="O1279" s="115">
        <v>114</v>
      </c>
      <c r="P1279" s="115">
        <v>120</v>
      </c>
      <c r="Q1279" s="115">
        <v>861.3</v>
      </c>
      <c r="R1279">
        <v>220367</v>
      </c>
    </row>
    <row r="1280" spans="1:18" x14ac:dyDescent="0.25">
      <c r="A1280" s="169">
        <v>44561</v>
      </c>
      <c r="B1280" s="115">
        <v>119.553333333333</v>
      </c>
      <c r="C1280" s="115">
        <v>118.206666666667</v>
      </c>
      <c r="D1280" s="115">
        <v>115.033333333333</v>
      </c>
      <c r="E1280" s="115">
        <v>117.066666666667</v>
      </c>
      <c r="F1280" s="115">
        <v>886.55</v>
      </c>
      <c r="G1280">
        <v>19638</v>
      </c>
      <c r="H1280" s="115"/>
      <c r="I1280" s="115"/>
      <c r="L1280" s="169">
        <v>44561</v>
      </c>
      <c r="M1280" s="115">
        <v>118.44</v>
      </c>
      <c r="N1280" s="115">
        <v>119.6</v>
      </c>
      <c r="O1280" s="115">
        <v>115.1</v>
      </c>
      <c r="P1280" s="115">
        <v>115.64</v>
      </c>
      <c r="Q1280" s="115">
        <v>888.3</v>
      </c>
      <c r="R1280">
        <v>178100</v>
      </c>
    </row>
    <row r="1281" spans="1:18" x14ac:dyDescent="0.25">
      <c r="A1281" s="169">
        <v>44564</v>
      </c>
      <c r="B1281" s="115">
        <v>118.32666666666699</v>
      </c>
      <c r="C1281" s="115">
        <v>117.24</v>
      </c>
      <c r="D1281" s="115">
        <v>117</v>
      </c>
      <c r="E1281" s="115">
        <v>118.213333333333</v>
      </c>
      <c r="F1281" s="115">
        <v>879.3</v>
      </c>
      <c r="G1281">
        <v>5166</v>
      </c>
      <c r="H1281" s="115"/>
      <c r="I1281" s="115"/>
      <c r="L1281" s="169">
        <v>44564</v>
      </c>
      <c r="M1281" s="115">
        <v>117.306666666667</v>
      </c>
      <c r="N1281" s="115">
        <v>118.353333333333</v>
      </c>
      <c r="O1281" s="115">
        <v>117.066666666667</v>
      </c>
      <c r="P1281" s="115">
        <v>118.333333333333</v>
      </c>
      <c r="Q1281" s="115">
        <v>879.8</v>
      </c>
      <c r="R1281">
        <v>136008</v>
      </c>
    </row>
    <row r="1282" spans="1:18" x14ac:dyDescent="0.25">
      <c r="A1282" s="169">
        <v>44565</v>
      </c>
      <c r="B1282" s="115">
        <v>117.966666666667</v>
      </c>
      <c r="C1282" s="115">
        <v>116.646666666667</v>
      </c>
      <c r="D1282" s="115">
        <v>116.24</v>
      </c>
      <c r="E1282" s="115">
        <v>117.24</v>
      </c>
      <c r="F1282" s="115">
        <v>874.85</v>
      </c>
      <c r="G1282">
        <v>3579</v>
      </c>
      <c r="H1282" s="115"/>
      <c r="I1282" s="115"/>
      <c r="L1282" s="169">
        <v>44565</v>
      </c>
      <c r="M1282" s="115">
        <v>116.65333333333299</v>
      </c>
      <c r="N1282" s="115">
        <v>117.933333333333</v>
      </c>
      <c r="O1282" s="115">
        <v>116.533333333333</v>
      </c>
      <c r="P1282" s="115">
        <v>117.866666666667</v>
      </c>
      <c r="Q1282" s="115">
        <v>874.9</v>
      </c>
      <c r="R1282">
        <v>98033</v>
      </c>
    </row>
    <row r="1283" spans="1:18" x14ac:dyDescent="0.25">
      <c r="A1283" s="169">
        <v>44566</v>
      </c>
      <c r="B1283" s="115">
        <v>117.433333333333</v>
      </c>
      <c r="C1283" s="115">
        <v>116.726666666667</v>
      </c>
      <c r="D1283" s="115">
        <v>116</v>
      </c>
      <c r="E1283" s="115">
        <v>117.18666666666699</v>
      </c>
      <c r="F1283" s="115">
        <v>875.45</v>
      </c>
      <c r="G1283">
        <v>3875</v>
      </c>
      <c r="H1283" s="115"/>
      <c r="I1283" s="115"/>
      <c r="L1283" s="169">
        <v>44566</v>
      </c>
      <c r="M1283" s="115">
        <v>116.666666666667</v>
      </c>
      <c r="N1283" s="115">
        <v>117.45333333333301</v>
      </c>
      <c r="O1283" s="115">
        <v>115.14</v>
      </c>
      <c r="P1283" s="115">
        <v>115.14</v>
      </c>
      <c r="Q1283" s="115">
        <v>875</v>
      </c>
      <c r="R1283">
        <v>156066</v>
      </c>
    </row>
    <row r="1284" spans="1:18" x14ac:dyDescent="0.25">
      <c r="A1284" s="169">
        <v>44567</v>
      </c>
      <c r="B1284" s="115">
        <v>116.4</v>
      </c>
      <c r="C1284" s="115">
        <v>112.16</v>
      </c>
      <c r="D1284" s="115">
        <v>111.866666666667</v>
      </c>
      <c r="E1284" s="115">
        <v>116.4</v>
      </c>
      <c r="F1284" s="115">
        <v>841.2</v>
      </c>
      <c r="G1284">
        <v>60915</v>
      </c>
      <c r="H1284" s="115"/>
      <c r="I1284" s="115"/>
      <c r="L1284" s="169">
        <v>44567</v>
      </c>
      <c r="M1284" s="115">
        <v>112.18</v>
      </c>
      <c r="N1284" s="115">
        <v>116.66</v>
      </c>
      <c r="O1284" s="115">
        <v>111.866666666667</v>
      </c>
      <c r="P1284" s="115">
        <v>116.66</v>
      </c>
      <c r="Q1284" s="115">
        <v>841.35</v>
      </c>
      <c r="R1284">
        <v>508794</v>
      </c>
    </row>
    <row r="1285" spans="1:18" x14ac:dyDescent="0.25">
      <c r="A1285" s="169">
        <v>44568</v>
      </c>
      <c r="B1285" s="115">
        <v>114.24</v>
      </c>
      <c r="C1285" s="115">
        <v>113.09333333333301</v>
      </c>
      <c r="D1285" s="115">
        <v>111.62666666666701</v>
      </c>
      <c r="E1285" s="115">
        <v>112</v>
      </c>
      <c r="F1285" s="115">
        <v>848.2</v>
      </c>
      <c r="G1285">
        <v>8483</v>
      </c>
      <c r="H1285" s="115"/>
      <c r="I1285" s="115"/>
      <c r="L1285" s="169">
        <v>44568</v>
      </c>
      <c r="M1285" s="115">
        <v>113.506666666667</v>
      </c>
      <c r="N1285" s="115">
        <v>114.28</v>
      </c>
      <c r="O1285" s="115">
        <v>111.413333333333</v>
      </c>
      <c r="P1285" s="115">
        <v>111.413333333333</v>
      </c>
      <c r="Q1285" s="115">
        <v>851.3</v>
      </c>
      <c r="R1285">
        <v>489401</v>
      </c>
    </row>
    <row r="1286" spans="1:18" x14ac:dyDescent="0.25">
      <c r="A1286" s="169">
        <v>44571</v>
      </c>
      <c r="B1286" s="115">
        <v>114.886666666667</v>
      </c>
      <c r="C1286" s="115">
        <v>113.253333333333</v>
      </c>
      <c r="D1286" s="115">
        <v>113.04</v>
      </c>
      <c r="E1286" s="115">
        <v>113.2</v>
      </c>
      <c r="F1286" s="115">
        <v>849.4</v>
      </c>
      <c r="G1286">
        <v>12904</v>
      </c>
      <c r="H1286" s="115"/>
      <c r="I1286" s="115"/>
      <c r="L1286" s="169">
        <v>44571</v>
      </c>
      <c r="M1286" s="115">
        <v>113.3</v>
      </c>
      <c r="N1286" s="115">
        <v>114.893333333333</v>
      </c>
      <c r="O1286" s="115">
        <v>113.066666666667</v>
      </c>
      <c r="P1286" s="115">
        <v>113.866666666667</v>
      </c>
      <c r="Q1286" s="115">
        <v>849.75</v>
      </c>
      <c r="R1286">
        <v>229901</v>
      </c>
    </row>
    <row r="1287" spans="1:18" x14ac:dyDescent="0.25">
      <c r="A1287" s="169">
        <v>44572</v>
      </c>
      <c r="B1287" s="115">
        <v>118.9</v>
      </c>
      <c r="C1287" s="115">
        <v>115.81333333333301</v>
      </c>
      <c r="D1287" s="115">
        <v>111.893333333333</v>
      </c>
      <c r="E1287" s="115">
        <v>112.946666666667</v>
      </c>
      <c r="F1287" s="115">
        <v>868.6</v>
      </c>
      <c r="G1287">
        <v>28990</v>
      </c>
      <c r="H1287" s="115"/>
      <c r="I1287" s="115"/>
      <c r="L1287" s="169">
        <v>44572</v>
      </c>
      <c r="M1287" s="115">
        <v>115.926666666667</v>
      </c>
      <c r="N1287" s="115">
        <v>119.026666666667</v>
      </c>
      <c r="O1287" s="115">
        <v>111.87333333333299</v>
      </c>
      <c r="P1287" s="115">
        <v>113.866666666667</v>
      </c>
      <c r="Q1287" s="115">
        <v>869.45</v>
      </c>
      <c r="R1287">
        <v>829627</v>
      </c>
    </row>
    <row r="1288" spans="1:18" x14ac:dyDescent="0.25">
      <c r="A1288" s="169">
        <v>44573</v>
      </c>
      <c r="B1288" s="115">
        <v>122.62</v>
      </c>
      <c r="C1288" s="115">
        <v>121.32</v>
      </c>
      <c r="D1288" s="115">
        <v>118.246666666667</v>
      </c>
      <c r="E1288" s="115">
        <v>118.666666666667</v>
      </c>
      <c r="F1288" s="115">
        <v>909.9</v>
      </c>
      <c r="G1288">
        <v>39716</v>
      </c>
      <c r="H1288" s="115"/>
      <c r="I1288" s="115"/>
      <c r="L1288" s="169">
        <v>44573</v>
      </c>
      <c r="M1288" s="115">
        <v>121.246666666667</v>
      </c>
      <c r="N1288" s="115">
        <v>122.62666666666701</v>
      </c>
      <c r="O1288" s="115">
        <v>118.033333333333</v>
      </c>
      <c r="P1288" s="115">
        <v>118.65333333333299</v>
      </c>
      <c r="Q1288" s="115">
        <v>909.35</v>
      </c>
      <c r="R1288">
        <v>1367601</v>
      </c>
    </row>
    <row r="1289" spans="1:18" x14ac:dyDescent="0.25">
      <c r="A1289" s="169">
        <v>44574</v>
      </c>
      <c r="B1289" s="115">
        <v>122.26666666666701</v>
      </c>
      <c r="C1289" s="115">
        <v>120.74</v>
      </c>
      <c r="D1289" s="115">
        <v>120.193333333333</v>
      </c>
      <c r="E1289" s="115">
        <v>121.6</v>
      </c>
      <c r="F1289" s="115">
        <v>905.55</v>
      </c>
      <c r="G1289">
        <v>18003</v>
      </c>
      <c r="H1289" s="115"/>
      <c r="I1289" s="115"/>
      <c r="L1289" s="169">
        <v>44574</v>
      </c>
      <c r="M1289" s="115">
        <v>120.74</v>
      </c>
      <c r="N1289" s="115">
        <v>122.26666666666701</v>
      </c>
      <c r="O1289" s="115">
        <v>120.166666666667</v>
      </c>
      <c r="P1289" s="115">
        <v>122</v>
      </c>
      <c r="Q1289" s="115">
        <v>905.55</v>
      </c>
      <c r="R1289">
        <v>237875</v>
      </c>
    </row>
    <row r="1290" spans="1:18" x14ac:dyDescent="0.25">
      <c r="A1290" s="169">
        <v>44575</v>
      </c>
      <c r="B1290" s="115">
        <v>124</v>
      </c>
      <c r="C1290" s="115">
        <v>123.76</v>
      </c>
      <c r="D1290" s="115">
        <v>118.713333333333</v>
      </c>
      <c r="E1290" s="115">
        <v>121.333333333333</v>
      </c>
      <c r="F1290" s="115">
        <v>928.2</v>
      </c>
      <c r="G1290">
        <v>56590</v>
      </c>
      <c r="H1290" s="115"/>
      <c r="I1290" s="115"/>
      <c r="L1290" s="169">
        <v>44575</v>
      </c>
      <c r="M1290" s="115">
        <v>123.82</v>
      </c>
      <c r="N1290" s="115">
        <v>124</v>
      </c>
      <c r="O1290" s="115">
        <v>118.62</v>
      </c>
      <c r="P1290" s="115">
        <v>121.09333333333301</v>
      </c>
      <c r="Q1290" s="115">
        <v>928.65</v>
      </c>
      <c r="R1290">
        <v>420993</v>
      </c>
    </row>
    <row r="1291" spans="1:18" x14ac:dyDescent="0.25">
      <c r="A1291" s="169">
        <v>44578</v>
      </c>
      <c r="B1291" s="115">
        <v>126.94</v>
      </c>
      <c r="C1291" s="115">
        <v>124.90666666666699</v>
      </c>
      <c r="D1291" s="115">
        <v>121.90666666666699</v>
      </c>
      <c r="E1291" s="115">
        <v>124.133333333333</v>
      </c>
      <c r="F1291" s="115">
        <v>936.8</v>
      </c>
      <c r="G1291">
        <v>16451</v>
      </c>
      <c r="H1291" s="115"/>
      <c r="I1291" s="115"/>
      <c r="L1291" s="169">
        <v>44578</v>
      </c>
      <c r="M1291" s="115">
        <v>125.666666666667</v>
      </c>
      <c r="N1291" s="115">
        <v>126.8</v>
      </c>
      <c r="O1291" s="115">
        <v>121.82666666666699</v>
      </c>
      <c r="P1291" s="115">
        <v>124.433333333333</v>
      </c>
      <c r="Q1291" s="115">
        <v>942.5</v>
      </c>
      <c r="R1291">
        <v>294658</v>
      </c>
    </row>
    <row r="1292" spans="1:18" x14ac:dyDescent="0.25">
      <c r="A1292" s="169">
        <v>44579</v>
      </c>
      <c r="B1292" s="115">
        <v>127.066666666667</v>
      </c>
      <c r="C1292" s="115">
        <v>123.106666666667</v>
      </c>
      <c r="D1292" s="115">
        <v>122.4</v>
      </c>
      <c r="E1292" s="115">
        <v>127.066666666667</v>
      </c>
      <c r="F1292" s="115">
        <v>923.3</v>
      </c>
      <c r="G1292">
        <v>13915</v>
      </c>
      <c r="H1292" s="115"/>
      <c r="I1292" s="115"/>
      <c r="L1292" s="169">
        <v>44579</v>
      </c>
      <c r="M1292" s="115">
        <v>123.1</v>
      </c>
      <c r="N1292" s="115">
        <v>126.666666666667</v>
      </c>
      <c r="O1292" s="115">
        <v>122</v>
      </c>
      <c r="P1292" s="115">
        <v>126.666666666667</v>
      </c>
      <c r="Q1292" s="115">
        <v>923.25</v>
      </c>
      <c r="R1292">
        <v>274338</v>
      </c>
    </row>
    <row r="1293" spans="1:18" x14ac:dyDescent="0.25">
      <c r="A1293" s="169">
        <v>44580</v>
      </c>
      <c r="B1293" s="115">
        <v>126.26666666666701</v>
      </c>
      <c r="C1293" s="115">
        <v>125.253333333333</v>
      </c>
      <c r="D1293" s="115">
        <v>121.6</v>
      </c>
      <c r="E1293" s="115">
        <v>122.933333333333</v>
      </c>
      <c r="F1293" s="115">
        <v>939.4</v>
      </c>
      <c r="G1293">
        <v>32983</v>
      </c>
      <c r="H1293" s="115"/>
      <c r="I1293" s="115"/>
      <c r="L1293" s="169">
        <v>44580</v>
      </c>
      <c r="M1293" s="115">
        <v>125.32666666666699</v>
      </c>
      <c r="N1293" s="115">
        <v>126.26666666666701</v>
      </c>
      <c r="O1293" s="115">
        <v>122.1</v>
      </c>
      <c r="P1293" s="115">
        <v>122.1</v>
      </c>
      <c r="Q1293" s="115">
        <v>939.95</v>
      </c>
      <c r="R1293">
        <v>789781</v>
      </c>
    </row>
    <row r="1294" spans="1:18" x14ac:dyDescent="0.25">
      <c r="A1294" s="169">
        <v>44581</v>
      </c>
      <c r="B1294" s="115">
        <v>125.54</v>
      </c>
      <c r="C1294" s="115">
        <v>125.31333333333301</v>
      </c>
      <c r="D1294" s="115">
        <v>124.073333333333</v>
      </c>
      <c r="E1294" s="115">
        <v>125.2</v>
      </c>
      <c r="F1294" s="115">
        <v>939.85</v>
      </c>
      <c r="G1294">
        <v>6656</v>
      </c>
      <c r="H1294" s="115"/>
      <c r="I1294" s="115"/>
      <c r="L1294" s="169">
        <v>44581</v>
      </c>
      <c r="M1294" s="115">
        <v>125.32</v>
      </c>
      <c r="N1294" s="115">
        <v>125.6</v>
      </c>
      <c r="O1294" s="115">
        <v>124.04666666666699</v>
      </c>
      <c r="P1294" s="115">
        <v>125.413333333333</v>
      </c>
      <c r="Q1294" s="115">
        <v>939.9</v>
      </c>
      <c r="R1294">
        <v>245967</v>
      </c>
    </row>
    <row r="1295" spans="1:18" x14ac:dyDescent="0.25">
      <c r="A1295" s="169">
        <v>44582</v>
      </c>
      <c r="B1295" s="115">
        <v>124.393333333333</v>
      </c>
      <c r="C1295" s="115">
        <v>122.066666666667</v>
      </c>
      <c r="D1295" s="115">
        <v>120.006666666667</v>
      </c>
      <c r="E1295" s="115">
        <v>122.933333333333</v>
      </c>
      <c r="F1295" s="115">
        <v>915.5</v>
      </c>
      <c r="G1295">
        <v>15802</v>
      </c>
      <c r="H1295" s="115"/>
      <c r="I1295" s="115"/>
      <c r="L1295" s="169">
        <v>44582</v>
      </c>
      <c r="M1295" s="115">
        <v>122.113333333333</v>
      </c>
      <c r="N1295" s="115">
        <v>124.88</v>
      </c>
      <c r="O1295" s="115">
        <v>120.01333333333299</v>
      </c>
      <c r="P1295" s="115">
        <v>124.88</v>
      </c>
      <c r="Q1295" s="115">
        <v>915.85</v>
      </c>
      <c r="R1295">
        <v>363805</v>
      </c>
    </row>
    <row r="1296" spans="1:18" x14ac:dyDescent="0.25">
      <c r="A1296" s="169">
        <v>44585</v>
      </c>
      <c r="B1296" s="115">
        <v>122.526666666667</v>
      </c>
      <c r="C1296" s="115">
        <v>120.26666666666701</v>
      </c>
      <c r="D1296" s="115">
        <v>117.2</v>
      </c>
      <c r="E1296" s="115">
        <v>122.526666666667</v>
      </c>
      <c r="F1296" s="115">
        <v>902</v>
      </c>
      <c r="G1296">
        <v>16265</v>
      </c>
      <c r="H1296" s="115"/>
      <c r="I1296" s="115"/>
      <c r="L1296" s="169">
        <v>44585</v>
      </c>
      <c r="M1296" s="115">
        <v>120.086666666667</v>
      </c>
      <c r="N1296" s="115">
        <v>121.6</v>
      </c>
      <c r="O1296" s="115">
        <v>117.09333333333301</v>
      </c>
      <c r="P1296" s="115">
        <v>120.8</v>
      </c>
      <c r="Q1296" s="115">
        <v>900.65</v>
      </c>
      <c r="R1296">
        <v>499297</v>
      </c>
    </row>
    <row r="1297" spans="1:18" x14ac:dyDescent="0.25">
      <c r="A1297" s="169">
        <v>44586</v>
      </c>
      <c r="B1297" s="115">
        <v>120</v>
      </c>
      <c r="C1297" s="115">
        <v>116.366666666667</v>
      </c>
      <c r="D1297" s="115">
        <v>114.31333333333301</v>
      </c>
      <c r="E1297" s="115">
        <v>119.993333333333</v>
      </c>
      <c r="F1297" s="115">
        <v>872.75</v>
      </c>
      <c r="G1297">
        <v>31863</v>
      </c>
      <c r="H1297" s="115"/>
      <c r="I1297" s="115"/>
      <c r="L1297" s="169">
        <v>44586</v>
      </c>
      <c r="M1297" s="115">
        <v>116.36</v>
      </c>
      <c r="N1297" s="115">
        <v>119.106666666667</v>
      </c>
      <c r="O1297" s="115">
        <v>114.32666666666699</v>
      </c>
      <c r="P1297" s="115">
        <v>118.666666666667</v>
      </c>
      <c r="Q1297" s="115">
        <v>872.7</v>
      </c>
      <c r="R1297">
        <v>692777</v>
      </c>
    </row>
    <row r="1298" spans="1:18" x14ac:dyDescent="0.25">
      <c r="A1298" s="169">
        <v>44588</v>
      </c>
      <c r="B1298" s="115">
        <v>118</v>
      </c>
      <c r="C1298" s="115">
        <v>114.833333333333</v>
      </c>
      <c r="D1298" s="115">
        <v>112.693333333333</v>
      </c>
      <c r="E1298" s="115">
        <v>116.366666666667</v>
      </c>
      <c r="F1298" s="115">
        <v>861.25</v>
      </c>
      <c r="G1298">
        <v>20466</v>
      </c>
      <c r="H1298" s="115"/>
      <c r="I1298" s="115"/>
      <c r="L1298" s="169">
        <v>44588</v>
      </c>
      <c r="M1298" s="115">
        <v>115.2</v>
      </c>
      <c r="N1298" s="115">
        <v>118</v>
      </c>
      <c r="O1298" s="115">
        <v>112.68</v>
      </c>
      <c r="P1298" s="115">
        <v>116.38</v>
      </c>
      <c r="Q1298" s="115">
        <v>864</v>
      </c>
      <c r="R1298">
        <v>599462</v>
      </c>
    </row>
    <row r="1299" spans="1:18" x14ac:dyDescent="0.25">
      <c r="A1299" s="169">
        <v>44589</v>
      </c>
      <c r="B1299" s="115">
        <v>120.06</v>
      </c>
      <c r="C1299" s="115">
        <v>118.31333333333301</v>
      </c>
      <c r="D1299" s="115">
        <v>116.273333333333</v>
      </c>
      <c r="E1299" s="115">
        <v>116.666666666667</v>
      </c>
      <c r="F1299" s="115">
        <v>887.35</v>
      </c>
      <c r="G1299">
        <v>9798</v>
      </c>
      <c r="H1299" s="115"/>
      <c r="I1299" s="115"/>
      <c r="L1299" s="169">
        <v>44589</v>
      </c>
      <c r="M1299" s="115">
        <v>118.2</v>
      </c>
      <c r="N1299" s="115">
        <v>120.14</v>
      </c>
      <c r="O1299" s="115">
        <v>116.09333333333301</v>
      </c>
      <c r="P1299" s="115">
        <v>116.68</v>
      </c>
      <c r="Q1299" s="115">
        <v>886.5</v>
      </c>
      <c r="R1299">
        <v>388382</v>
      </c>
    </row>
    <row r="1300" spans="1:18" x14ac:dyDescent="0.25">
      <c r="A1300" s="169">
        <v>44592</v>
      </c>
      <c r="B1300" s="115">
        <v>121.5</v>
      </c>
      <c r="C1300" s="115">
        <v>120.48666666666701</v>
      </c>
      <c r="D1300" s="115">
        <v>117.84</v>
      </c>
      <c r="E1300" s="115">
        <v>118.286666666667</v>
      </c>
      <c r="F1300" s="115">
        <v>903.65</v>
      </c>
      <c r="G1300">
        <v>13291</v>
      </c>
      <c r="H1300" s="115"/>
      <c r="I1300" s="115"/>
      <c r="L1300" s="169">
        <v>44592</v>
      </c>
      <c r="M1300" s="115">
        <v>120.646666666667</v>
      </c>
      <c r="N1300" s="115">
        <v>121.573333333333</v>
      </c>
      <c r="O1300" s="115">
        <v>117.753333333333</v>
      </c>
      <c r="P1300" s="115">
        <v>118.646666666667</v>
      </c>
      <c r="Q1300" s="115">
        <v>904.85</v>
      </c>
      <c r="R1300">
        <v>277297</v>
      </c>
    </row>
    <row r="1301" spans="1:18" x14ac:dyDescent="0.25">
      <c r="A1301" s="169">
        <v>44593</v>
      </c>
      <c r="B1301" s="115">
        <v>122.96</v>
      </c>
      <c r="C1301" s="115">
        <v>122.26666666666701</v>
      </c>
      <c r="D1301" s="115">
        <v>119.833333333333</v>
      </c>
      <c r="E1301" s="115">
        <v>122.96</v>
      </c>
      <c r="F1301" s="115">
        <v>917</v>
      </c>
      <c r="G1301">
        <v>8791</v>
      </c>
      <c r="H1301" s="115"/>
      <c r="I1301" s="115"/>
      <c r="L1301" s="169">
        <v>44593</v>
      </c>
      <c r="M1301" s="115">
        <v>122.366666666667</v>
      </c>
      <c r="N1301" s="115">
        <v>122.933333333333</v>
      </c>
      <c r="O1301" s="115">
        <v>119.506666666667</v>
      </c>
      <c r="P1301" s="115">
        <v>121.466666666667</v>
      </c>
      <c r="Q1301" s="115">
        <v>917.75</v>
      </c>
      <c r="R1301">
        <v>194342</v>
      </c>
    </row>
    <row r="1302" spans="1:18" x14ac:dyDescent="0.25">
      <c r="A1302" s="169">
        <v>44594</v>
      </c>
      <c r="B1302" s="115">
        <v>125.73333333333299</v>
      </c>
      <c r="C1302" s="115">
        <v>125.17333333333301</v>
      </c>
      <c r="D1302" s="115">
        <v>121.333333333333</v>
      </c>
      <c r="E1302" s="115">
        <v>121.333333333333</v>
      </c>
      <c r="F1302" s="115">
        <v>938.8</v>
      </c>
      <c r="G1302">
        <v>7009</v>
      </c>
      <c r="H1302" s="115"/>
      <c r="I1302" s="115"/>
      <c r="L1302" s="169">
        <v>44594</v>
      </c>
      <c r="M1302" s="115">
        <v>125.42</v>
      </c>
      <c r="N1302" s="115">
        <v>125.73333333333299</v>
      </c>
      <c r="O1302" s="115">
        <v>122.1</v>
      </c>
      <c r="P1302" s="115">
        <v>123.32666666666699</v>
      </c>
      <c r="Q1302" s="115">
        <v>940.65</v>
      </c>
      <c r="R1302">
        <v>463277</v>
      </c>
    </row>
    <row r="1303" spans="1:18" x14ac:dyDescent="0.25">
      <c r="A1303" s="169">
        <v>44595</v>
      </c>
      <c r="B1303" s="115">
        <v>126.4</v>
      </c>
      <c r="C1303" s="115">
        <v>126.133333333333</v>
      </c>
      <c r="D1303" s="115">
        <v>121.466666666667</v>
      </c>
      <c r="E1303" s="115">
        <v>124.666666666667</v>
      </c>
      <c r="F1303" s="115">
        <v>946</v>
      </c>
      <c r="G1303">
        <v>46132</v>
      </c>
      <c r="H1303" s="115"/>
      <c r="I1303" s="115"/>
      <c r="L1303" s="169">
        <v>44595</v>
      </c>
      <c r="M1303" s="115">
        <v>126.09333333333301</v>
      </c>
      <c r="N1303" s="115">
        <v>126.51333333333299</v>
      </c>
      <c r="O1303" s="115">
        <v>121.34666666666701</v>
      </c>
      <c r="P1303" s="115">
        <v>124.26666666666701</v>
      </c>
      <c r="Q1303" s="115">
        <v>945.7</v>
      </c>
      <c r="R1303">
        <v>1106746</v>
      </c>
    </row>
    <row r="1304" spans="1:18" x14ac:dyDescent="0.25">
      <c r="A1304" s="169">
        <v>44596</v>
      </c>
      <c r="B1304" s="115">
        <v>127.17333333333301</v>
      </c>
      <c r="C1304" s="115">
        <v>126.613333333333</v>
      </c>
      <c r="D1304" s="115">
        <v>123.64</v>
      </c>
      <c r="E1304" s="115">
        <v>125.466666666667</v>
      </c>
      <c r="F1304" s="115">
        <v>949.6</v>
      </c>
      <c r="G1304">
        <v>24529</v>
      </c>
      <c r="H1304" s="115"/>
      <c r="I1304" s="115"/>
      <c r="L1304" s="169">
        <v>44596</v>
      </c>
      <c r="M1304" s="115">
        <v>126.693333333333</v>
      </c>
      <c r="N1304" s="115">
        <v>127.23333333333299</v>
      </c>
      <c r="O1304" s="115">
        <v>123.606666666667</v>
      </c>
      <c r="P1304" s="115">
        <v>126.133333333333</v>
      </c>
      <c r="Q1304" s="115">
        <v>950.2</v>
      </c>
      <c r="R1304">
        <v>327150</v>
      </c>
    </row>
    <row r="1305" spans="1:18" x14ac:dyDescent="0.25">
      <c r="A1305" s="169">
        <v>44599</v>
      </c>
      <c r="B1305" s="115">
        <v>127.59333333333301</v>
      </c>
      <c r="C1305" s="115">
        <v>125.51333333333299</v>
      </c>
      <c r="D1305" s="115">
        <v>123.58</v>
      </c>
      <c r="E1305" s="115">
        <v>126.8</v>
      </c>
      <c r="F1305" s="115">
        <v>941.35</v>
      </c>
      <c r="G1305">
        <v>9144</v>
      </c>
      <c r="H1305" s="115"/>
      <c r="I1305" s="115"/>
      <c r="L1305" s="169">
        <v>44599</v>
      </c>
      <c r="M1305" s="115">
        <v>125.526666666667</v>
      </c>
      <c r="N1305" s="115">
        <v>127.68666666666699</v>
      </c>
      <c r="O1305" s="115">
        <v>123.52</v>
      </c>
      <c r="P1305" s="115">
        <v>126.693333333333</v>
      </c>
      <c r="Q1305" s="115">
        <v>941.45</v>
      </c>
      <c r="R1305">
        <v>255876</v>
      </c>
    </row>
    <row r="1306" spans="1:18" x14ac:dyDescent="0.25">
      <c r="A1306" s="169">
        <v>44600</v>
      </c>
      <c r="B1306" s="115">
        <v>127.98</v>
      </c>
      <c r="C1306" s="115">
        <v>126.01333333333299</v>
      </c>
      <c r="D1306" s="115">
        <v>125.34</v>
      </c>
      <c r="E1306" s="115">
        <v>127.98</v>
      </c>
      <c r="F1306" s="115">
        <v>945.1</v>
      </c>
      <c r="G1306">
        <v>6769</v>
      </c>
      <c r="H1306" s="115"/>
      <c r="I1306" s="115"/>
      <c r="L1306" s="169">
        <v>44600</v>
      </c>
      <c r="M1306" s="115">
        <v>126.086666666667</v>
      </c>
      <c r="N1306" s="115">
        <v>127.09333333333301</v>
      </c>
      <c r="O1306" s="115">
        <v>125.333333333333</v>
      </c>
      <c r="P1306" s="115">
        <v>125.473333333333</v>
      </c>
      <c r="Q1306" s="115">
        <v>945.65</v>
      </c>
      <c r="R1306">
        <v>435785</v>
      </c>
    </row>
    <row r="1307" spans="1:18" x14ac:dyDescent="0.25">
      <c r="A1307" s="169">
        <v>44601</v>
      </c>
      <c r="B1307" s="115">
        <v>126.76666666666701</v>
      </c>
      <c r="C1307" s="115">
        <v>123.893333333333</v>
      </c>
      <c r="D1307" s="115">
        <v>121.98666666666701</v>
      </c>
      <c r="E1307" s="115">
        <v>125.466666666667</v>
      </c>
      <c r="F1307" s="115">
        <v>929.2</v>
      </c>
      <c r="G1307">
        <v>10822</v>
      </c>
      <c r="H1307" s="115"/>
      <c r="I1307" s="115"/>
      <c r="L1307" s="169">
        <v>44601</v>
      </c>
      <c r="M1307" s="115">
        <v>123.62666666666701</v>
      </c>
      <c r="N1307" s="115">
        <v>126.8</v>
      </c>
      <c r="O1307" s="115">
        <v>121.946666666667</v>
      </c>
      <c r="P1307" s="115">
        <v>126.8</v>
      </c>
      <c r="Q1307" s="115">
        <v>927.2</v>
      </c>
      <c r="R1307">
        <v>385245</v>
      </c>
    </row>
    <row r="1308" spans="1:18" x14ac:dyDescent="0.25">
      <c r="A1308" s="169">
        <v>44602</v>
      </c>
      <c r="B1308" s="115">
        <v>124.26666666666701</v>
      </c>
      <c r="C1308" s="115">
        <v>118.966666666667</v>
      </c>
      <c r="D1308" s="115">
        <v>118.2</v>
      </c>
      <c r="E1308" s="115">
        <v>124.26666666666701</v>
      </c>
      <c r="F1308" s="115">
        <v>892.25</v>
      </c>
      <c r="G1308">
        <v>97733</v>
      </c>
      <c r="H1308" s="115"/>
      <c r="I1308" s="115"/>
      <c r="L1308" s="169">
        <v>44602</v>
      </c>
      <c r="M1308" s="115">
        <v>118.84666666666701</v>
      </c>
      <c r="N1308" s="115">
        <v>123.666666666667</v>
      </c>
      <c r="O1308" s="115">
        <v>118.17333333333301</v>
      </c>
      <c r="P1308" s="115">
        <v>123.62666666666701</v>
      </c>
      <c r="Q1308" s="115">
        <v>891.35</v>
      </c>
      <c r="R1308">
        <v>769298</v>
      </c>
    </row>
    <row r="1309" spans="1:18" x14ac:dyDescent="0.25">
      <c r="A1309" s="169">
        <v>44603</v>
      </c>
      <c r="B1309" s="115">
        <v>125.466666666667</v>
      </c>
      <c r="C1309" s="115">
        <v>124.806666666667</v>
      </c>
      <c r="D1309" s="115">
        <v>118.8</v>
      </c>
      <c r="E1309" s="115">
        <v>118.8</v>
      </c>
      <c r="F1309" s="115">
        <v>936.05</v>
      </c>
      <c r="G1309">
        <v>34114</v>
      </c>
      <c r="H1309" s="115"/>
      <c r="I1309" s="115"/>
      <c r="L1309" s="169">
        <v>44603</v>
      </c>
      <c r="M1309" s="115">
        <v>124.866666666667</v>
      </c>
      <c r="N1309" s="115">
        <v>125.45333333333301</v>
      </c>
      <c r="O1309" s="115">
        <v>118.84666666666701</v>
      </c>
      <c r="P1309" s="115">
        <v>119.466666666667</v>
      </c>
      <c r="Q1309" s="115">
        <v>936.5</v>
      </c>
      <c r="R1309">
        <v>693127</v>
      </c>
    </row>
    <row r="1310" spans="1:18" x14ac:dyDescent="0.25">
      <c r="A1310" s="169">
        <v>44606</v>
      </c>
      <c r="B1310" s="115">
        <v>125.333333333333</v>
      </c>
      <c r="C1310" s="115">
        <v>121.6</v>
      </c>
      <c r="D1310" s="115">
        <v>120.066666666667</v>
      </c>
      <c r="E1310" s="115">
        <v>124</v>
      </c>
      <c r="F1310" s="115">
        <v>912</v>
      </c>
      <c r="G1310">
        <v>19226</v>
      </c>
      <c r="H1310" s="115"/>
      <c r="I1310" s="115"/>
      <c r="L1310" s="169">
        <v>44606</v>
      </c>
      <c r="M1310" s="115">
        <v>121.506666666667</v>
      </c>
      <c r="N1310" s="115">
        <v>125.333333333333</v>
      </c>
      <c r="O1310" s="115">
        <v>119.82666666666699</v>
      </c>
      <c r="P1310" s="115">
        <v>123.926666666667</v>
      </c>
      <c r="Q1310" s="115">
        <v>911.3</v>
      </c>
      <c r="R1310">
        <v>516089</v>
      </c>
    </row>
    <row r="1311" spans="1:18" x14ac:dyDescent="0.25">
      <c r="A1311" s="169">
        <v>44607</v>
      </c>
      <c r="B1311" s="115">
        <v>125.18</v>
      </c>
      <c r="C1311" s="115">
        <v>121.54</v>
      </c>
      <c r="D1311" s="115">
        <v>120.48</v>
      </c>
      <c r="E1311" s="115">
        <v>120.48</v>
      </c>
      <c r="F1311" s="115">
        <v>911.55</v>
      </c>
      <c r="G1311">
        <v>19759</v>
      </c>
      <c r="H1311" s="115"/>
      <c r="I1311" s="115"/>
      <c r="L1311" s="169">
        <v>44607</v>
      </c>
      <c r="M1311" s="115">
        <v>121.646666666667</v>
      </c>
      <c r="N1311" s="115">
        <v>125.28</v>
      </c>
      <c r="O1311" s="115">
        <v>120.666666666667</v>
      </c>
      <c r="P1311" s="115">
        <v>121.2</v>
      </c>
      <c r="Q1311" s="115">
        <v>912.35</v>
      </c>
      <c r="R1311">
        <v>506370</v>
      </c>
    </row>
    <row r="1312" spans="1:18" x14ac:dyDescent="0.25">
      <c r="A1312" s="169">
        <v>44608</v>
      </c>
      <c r="B1312" s="115">
        <v>125.54</v>
      </c>
      <c r="C1312" s="115">
        <v>125.166666666667</v>
      </c>
      <c r="D1312" s="115">
        <v>122.4</v>
      </c>
      <c r="E1312" s="115">
        <v>122.4</v>
      </c>
      <c r="F1312" s="115">
        <v>938.75</v>
      </c>
      <c r="G1312">
        <v>6641</v>
      </c>
      <c r="H1312" s="115"/>
      <c r="I1312" s="115"/>
      <c r="L1312" s="169">
        <v>44608</v>
      </c>
      <c r="M1312" s="115">
        <v>125.206666666667</v>
      </c>
      <c r="N1312" s="115">
        <v>125.6</v>
      </c>
      <c r="O1312" s="115">
        <v>122.413333333333</v>
      </c>
      <c r="P1312" s="115">
        <v>122.413333333333</v>
      </c>
      <c r="Q1312" s="115">
        <v>939.05</v>
      </c>
      <c r="R1312">
        <v>317549</v>
      </c>
    </row>
    <row r="1313" spans="1:18" x14ac:dyDescent="0.25">
      <c r="A1313" s="169">
        <v>44609</v>
      </c>
      <c r="B1313" s="115">
        <v>126.76666666666701</v>
      </c>
      <c r="C1313" s="115">
        <v>124.1</v>
      </c>
      <c r="D1313" s="115">
        <v>123.6</v>
      </c>
      <c r="E1313" s="115">
        <v>125.066666666667</v>
      </c>
      <c r="F1313" s="115">
        <v>930.75</v>
      </c>
      <c r="G1313">
        <v>9485</v>
      </c>
      <c r="H1313" s="115"/>
      <c r="I1313" s="115"/>
      <c r="L1313" s="169">
        <v>44609</v>
      </c>
      <c r="M1313" s="115">
        <v>124.086666666667</v>
      </c>
      <c r="N1313" s="115">
        <v>126.8</v>
      </c>
      <c r="O1313" s="115">
        <v>123.6</v>
      </c>
      <c r="P1313" s="115">
        <v>124.666666666667</v>
      </c>
      <c r="Q1313" s="115">
        <v>930.65</v>
      </c>
      <c r="R1313">
        <v>344025</v>
      </c>
    </row>
    <row r="1314" spans="1:18" x14ac:dyDescent="0.25">
      <c r="A1314" s="169">
        <v>44610</v>
      </c>
      <c r="B1314" s="115">
        <v>127.866666666667</v>
      </c>
      <c r="C1314" s="115">
        <v>127.026666666667</v>
      </c>
      <c r="D1314" s="115">
        <v>122.666666666667</v>
      </c>
      <c r="E1314" s="115">
        <v>122.666666666667</v>
      </c>
      <c r="F1314" s="115">
        <v>952.7</v>
      </c>
      <c r="G1314">
        <v>20643</v>
      </c>
      <c r="H1314" s="115"/>
      <c r="I1314" s="115"/>
      <c r="L1314" s="169">
        <v>44610</v>
      </c>
      <c r="M1314" s="115">
        <v>127.17333333333301</v>
      </c>
      <c r="N1314" s="115">
        <v>127.98666666666701</v>
      </c>
      <c r="O1314" s="115">
        <v>123.433333333333</v>
      </c>
      <c r="P1314" s="115">
        <v>124.066666666667</v>
      </c>
      <c r="Q1314" s="115">
        <v>953.8</v>
      </c>
      <c r="R1314">
        <v>510780</v>
      </c>
    </row>
    <row r="1315" spans="1:18" x14ac:dyDescent="0.25">
      <c r="A1315" s="169">
        <v>44613</v>
      </c>
      <c r="B1315" s="115">
        <v>129.07333333333301</v>
      </c>
      <c r="C1315" s="115">
        <v>125.426666666667</v>
      </c>
      <c r="D1315" s="115">
        <v>124.12666666666701</v>
      </c>
      <c r="E1315" s="115">
        <v>128</v>
      </c>
      <c r="F1315" s="115">
        <v>940.7</v>
      </c>
      <c r="G1315">
        <v>10629</v>
      </c>
      <c r="H1315" s="115"/>
      <c r="I1315" s="115"/>
      <c r="L1315" s="169">
        <v>44613</v>
      </c>
      <c r="M1315" s="115">
        <v>125.36</v>
      </c>
      <c r="N1315" s="115">
        <v>129.19999999999999</v>
      </c>
      <c r="O1315" s="115">
        <v>124</v>
      </c>
      <c r="P1315" s="115">
        <v>127.533333333333</v>
      </c>
      <c r="Q1315" s="115">
        <v>940.2</v>
      </c>
      <c r="R1315">
        <v>416175</v>
      </c>
    </row>
    <row r="1316" spans="1:18" x14ac:dyDescent="0.25">
      <c r="A1316" s="169">
        <v>44614</v>
      </c>
      <c r="B1316" s="115">
        <v>124.42</v>
      </c>
      <c r="C1316" s="115">
        <v>122.286666666667</v>
      </c>
      <c r="D1316" s="115">
        <v>121.38</v>
      </c>
      <c r="E1316" s="115">
        <v>122.666666666667</v>
      </c>
      <c r="F1316" s="115">
        <v>917.15</v>
      </c>
      <c r="G1316">
        <v>15750</v>
      </c>
      <c r="H1316" s="115"/>
      <c r="I1316" s="115"/>
      <c r="L1316" s="169">
        <v>44614</v>
      </c>
      <c r="M1316" s="115">
        <v>122.34</v>
      </c>
      <c r="N1316" s="115">
        <v>124.426666666667</v>
      </c>
      <c r="O1316" s="115">
        <v>121.5</v>
      </c>
      <c r="P1316" s="115">
        <v>123.066666666667</v>
      </c>
      <c r="Q1316" s="115">
        <v>917.55</v>
      </c>
      <c r="R1316">
        <v>287809</v>
      </c>
    </row>
    <row r="1317" spans="1:18" x14ac:dyDescent="0.25">
      <c r="A1317" s="169">
        <v>44615</v>
      </c>
      <c r="B1317" s="115">
        <v>124.95333333333301</v>
      </c>
      <c r="C1317" s="115">
        <v>123.306666666667</v>
      </c>
      <c r="D1317" s="115">
        <v>122.006666666667</v>
      </c>
      <c r="E1317" s="115">
        <v>122.006666666667</v>
      </c>
      <c r="F1317" s="115">
        <v>924.8</v>
      </c>
      <c r="G1317">
        <v>6518</v>
      </c>
      <c r="H1317" s="115"/>
      <c r="I1317" s="115"/>
      <c r="L1317" s="169">
        <v>44615</v>
      </c>
      <c r="M1317" s="115">
        <v>122.886666666667</v>
      </c>
      <c r="N1317" s="115">
        <v>124.933333333333</v>
      </c>
      <c r="O1317" s="115">
        <v>122.133333333333</v>
      </c>
      <c r="P1317" s="115">
        <v>123.333333333333</v>
      </c>
      <c r="Q1317" s="115">
        <v>921.65</v>
      </c>
      <c r="R1317">
        <v>258116</v>
      </c>
    </row>
    <row r="1318" spans="1:18" x14ac:dyDescent="0.25">
      <c r="A1318" s="169">
        <v>44616</v>
      </c>
      <c r="B1318" s="115">
        <v>120.92</v>
      </c>
      <c r="C1318" s="115">
        <v>117.913333333333</v>
      </c>
      <c r="D1318" s="115">
        <v>111.446666666667</v>
      </c>
      <c r="E1318" s="115">
        <v>111.446666666667</v>
      </c>
      <c r="F1318" s="115">
        <v>884.35</v>
      </c>
      <c r="G1318">
        <v>37044</v>
      </c>
      <c r="H1318" s="115"/>
      <c r="I1318" s="115"/>
      <c r="L1318" s="169">
        <v>44616</v>
      </c>
      <c r="M1318" s="115">
        <v>117.95333333333301</v>
      </c>
      <c r="N1318" s="115">
        <v>120.98</v>
      </c>
      <c r="O1318" s="115">
        <v>117.286666666667</v>
      </c>
      <c r="P1318" s="115">
        <v>118</v>
      </c>
      <c r="Q1318" s="115">
        <v>884.65</v>
      </c>
      <c r="R1318">
        <v>580938</v>
      </c>
    </row>
    <row r="1319" spans="1:18" x14ac:dyDescent="0.25">
      <c r="A1319" s="169">
        <v>44617</v>
      </c>
      <c r="B1319" s="115">
        <v>125.073333333333</v>
      </c>
      <c r="C1319" s="115">
        <v>124.34</v>
      </c>
      <c r="D1319" s="115">
        <v>117.866666666667</v>
      </c>
      <c r="E1319" s="115">
        <v>117.866666666667</v>
      </c>
      <c r="F1319" s="115">
        <v>932.55</v>
      </c>
      <c r="G1319">
        <v>9758</v>
      </c>
      <c r="H1319" s="115"/>
      <c r="I1319" s="115"/>
      <c r="L1319" s="169">
        <v>44617</v>
      </c>
      <c r="M1319" s="115">
        <v>124.293333333333</v>
      </c>
      <c r="N1319" s="115">
        <v>125.246666666667</v>
      </c>
      <c r="O1319" s="115">
        <v>118.26666666666701</v>
      </c>
      <c r="P1319" s="115">
        <v>118.26666666666701</v>
      </c>
      <c r="Q1319" s="115">
        <v>932.2</v>
      </c>
      <c r="R1319">
        <v>223434</v>
      </c>
    </row>
    <row r="1320" spans="1:18" x14ac:dyDescent="0.25">
      <c r="A1320" s="169">
        <v>44620</v>
      </c>
      <c r="B1320" s="115">
        <v>126.74</v>
      </c>
      <c r="C1320" s="115">
        <v>126</v>
      </c>
      <c r="D1320" s="115">
        <v>121.81333333333301</v>
      </c>
      <c r="E1320" s="115">
        <v>121.81333333333301</v>
      </c>
      <c r="F1320" s="115">
        <v>945</v>
      </c>
      <c r="G1320">
        <v>12373</v>
      </c>
      <c r="H1320" s="115"/>
      <c r="I1320" s="115"/>
      <c r="L1320" s="169">
        <v>44620</v>
      </c>
      <c r="M1320" s="115">
        <v>126.066666666667</v>
      </c>
      <c r="N1320" s="115">
        <v>126.8</v>
      </c>
      <c r="O1320" s="115">
        <v>122.4</v>
      </c>
      <c r="P1320" s="115">
        <v>124</v>
      </c>
      <c r="Q1320" s="115">
        <v>945.5</v>
      </c>
      <c r="R1320">
        <v>264910</v>
      </c>
    </row>
    <row r="1321" spans="1:18" x14ac:dyDescent="0.25">
      <c r="A1321" s="169">
        <v>44622</v>
      </c>
      <c r="B1321" s="115">
        <v>135.333333333333</v>
      </c>
      <c r="C1321" s="115">
        <v>129.74</v>
      </c>
      <c r="D1321" s="115">
        <v>124.333333333333</v>
      </c>
      <c r="E1321" s="115">
        <v>124.333333333333</v>
      </c>
      <c r="F1321" s="115">
        <v>973.05</v>
      </c>
      <c r="G1321">
        <v>38237</v>
      </c>
      <c r="H1321" s="115"/>
      <c r="I1321" s="115"/>
      <c r="L1321" s="169">
        <v>44622</v>
      </c>
      <c r="M1321" s="115">
        <v>130.113333333333</v>
      </c>
      <c r="N1321" s="115">
        <v>135.30666666666701</v>
      </c>
      <c r="O1321" s="115">
        <v>124.40666666666699</v>
      </c>
      <c r="P1321" s="115">
        <v>126</v>
      </c>
      <c r="Q1321" s="115">
        <v>975.85</v>
      </c>
      <c r="R1321">
        <v>1550652</v>
      </c>
    </row>
    <row r="1322" spans="1:18" x14ac:dyDescent="0.25">
      <c r="A1322" s="169">
        <v>44623</v>
      </c>
      <c r="B1322" s="115">
        <v>134.773333333333</v>
      </c>
      <c r="C1322" s="115">
        <v>131.29333333333301</v>
      </c>
      <c r="D1322" s="115">
        <v>129.74666666666701</v>
      </c>
      <c r="E1322" s="115">
        <v>131.6</v>
      </c>
      <c r="F1322" s="115">
        <v>984.7</v>
      </c>
      <c r="G1322">
        <v>14236</v>
      </c>
      <c r="H1322" s="115"/>
      <c r="I1322" s="115"/>
      <c r="L1322" s="169">
        <v>44623</v>
      </c>
      <c r="M1322" s="115">
        <v>131.24</v>
      </c>
      <c r="N1322" s="115">
        <v>134.80000000000001</v>
      </c>
      <c r="O1322" s="115">
        <v>130.15333333333299</v>
      </c>
      <c r="P1322" s="115">
        <v>131.066666666667</v>
      </c>
      <c r="Q1322" s="115">
        <v>984.3</v>
      </c>
      <c r="R1322">
        <v>704472</v>
      </c>
    </row>
    <row r="1323" spans="1:18" x14ac:dyDescent="0.25">
      <c r="A1323" s="169">
        <v>44624</v>
      </c>
      <c r="B1323" s="115">
        <v>130.68666666666701</v>
      </c>
      <c r="C1323" s="115">
        <v>124.246666666667</v>
      </c>
      <c r="D1323" s="115">
        <v>122.92</v>
      </c>
      <c r="E1323" s="115">
        <v>130.666666666667</v>
      </c>
      <c r="F1323" s="115">
        <v>931.85</v>
      </c>
      <c r="G1323">
        <v>18782</v>
      </c>
      <c r="H1323" s="115"/>
      <c r="I1323" s="115"/>
      <c r="L1323" s="169">
        <v>44624</v>
      </c>
      <c r="M1323" s="115">
        <v>124.18666666666699</v>
      </c>
      <c r="N1323" s="115">
        <v>130.786666666667</v>
      </c>
      <c r="O1323" s="115">
        <v>122.8</v>
      </c>
      <c r="P1323" s="115">
        <v>130.786666666667</v>
      </c>
      <c r="Q1323" s="115">
        <v>931.4</v>
      </c>
      <c r="R1323">
        <v>228934</v>
      </c>
    </row>
    <row r="1324" spans="1:18" x14ac:dyDescent="0.25">
      <c r="A1324" s="169">
        <v>44627</v>
      </c>
      <c r="B1324" s="115">
        <v>122.133333333333</v>
      </c>
      <c r="C1324" s="115">
        <v>120.3</v>
      </c>
      <c r="D1324" s="115">
        <v>116.84</v>
      </c>
      <c r="E1324" s="115">
        <v>122.133333333333</v>
      </c>
      <c r="F1324" s="115">
        <v>902.25</v>
      </c>
      <c r="G1324">
        <v>34112</v>
      </c>
      <c r="H1324" s="115"/>
      <c r="I1324" s="115"/>
      <c r="L1324" s="169">
        <v>44627</v>
      </c>
      <c r="M1324" s="115">
        <v>120.62666666666701</v>
      </c>
      <c r="N1324" s="115">
        <v>121.92</v>
      </c>
      <c r="O1324" s="115">
        <v>116.72</v>
      </c>
      <c r="P1324" s="115">
        <v>121.533333333333</v>
      </c>
      <c r="Q1324" s="115">
        <v>904.7</v>
      </c>
      <c r="R1324">
        <v>535319</v>
      </c>
    </row>
    <row r="1325" spans="1:18" x14ac:dyDescent="0.25">
      <c r="A1325" s="169">
        <v>44628</v>
      </c>
      <c r="B1325" s="115">
        <v>123.26666666666701</v>
      </c>
      <c r="C1325" s="115">
        <v>121.76666666666701</v>
      </c>
      <c r="D1325" s="115">
        <v>120.36</v>
      </c>
      <c r="E1325" s="115">
        <v>120.693333333333</v>
      </c>
      <c r="F1325" s="115">
        <v>913.25</v>
      </c>
      <c r="G1325">
        <v>22584</v>
      </c>
      <c r="H1325" s="115"/>
      <c r="I1325" s="115"/>
      <c r="L1325" s="169">
        <v>44628</v>
      </c>
      <c r="M1325" s="115">
        <v>121.4</v>
      </c>
      <c r="N1325" s="115">
        <v>123.333333333333</v>
      </c>
      <c r="O1325" s="115">
        <v>120.166666666667</v>
      </c>
      <c r="P1325" s="115">
        <v>121.713333333333</v>
      </c>
      <c r="Q1325" s="115">
        <v>910.5</v>
      </c>
      <c r="R1325">
        <v>305183</v>
      </c>
    </row>
    <row r="1326" spans="1:18" x14ac:dyDescent="0.25">
      <c r="A1326" s="169">
        <v>44629</v>
      </c>
      <c r="B1326" s="115">
        <v>122.24</v>
      </c>
      <c r="C1326" s="115">
        <v>120.73333333333299</v>
      </c>
      <c r="D1326" s="115">
        <v>119.206666666667</v>
      </c>
      <c r="E1326" s="115">
        <v>122</v>
      </c>
      <c r="F1326" s="115">
        <v>905.5</v>
      </c>
      <c r="G1326">
        <v>14882</v>
      </c>
      <c r="H1326" s="115"/>
      <c r="I1326" s="115"/>
      <c r="L1326" s="169">
        <v>44629</v>
      </c>
      <c r="M1326" s="115">
        <v>120.8</v>
      </c>
      <c r="N1326" s="115">
        <v>122.246666666667</v>
      </c>
      <c r="O1326" s="115">
        <v>119.213333333333</v>
      </c>
      <c r="P1326" s="115">
        <v>122.24</v>
      </c>
      <c r="Q1326" s="115">
        <v>906</v>
      </c>
      <c r="R1326">
        <v>564436</v>
      </c>
    </row>
    <row r="1327" spans="1:18" x14ac:dyDescent="0.25">
      <c r="A1327" s="169">
        <v>44630</v>
      </c>
      <c r="B1327" s="115">
        <v>127.026666666667</v>
      </c>
      <c r="C1327" s="115">
        <v>122.58</v>
      </c>
      <c r="D1327" s="115">
        <v>121.333333333333</v>
      </c>
      <c r="E1327" s="115">
        <v>127.026666666667</v>
      </c>
      <c r="F1327" s="115">
        <v>919.35</v>
      </c>
      <c r="G1327">
        <v>10107</v>
      </c>
      <c r="H1327" s="115"/>
      <c r="I1327" s="115"/>
      <c r="L1327" s="169">
        <v>44630</v>
      </c>
      <c r="M1327" s="115">
        <v>122.98666666666701</v>
      </c>
      <c r="N1327" s="115">
        <v>125.18666666666699</v>
      </c>
      <c r="O1327" s="115">
        <v>121.333333333333</v>
      </c>
      <c r="P1327" s="115">
        <v>123.18666666666699</v>
      </c>
      <c r="Q1327" s="115">
        <v>922.4</v>
      </c>
      <c r="R1327">
        <v>591466</v>
      </c>
    </row>
    <row r="1328" spans="1:18" x14ac:dyDescent="0.25">
      <c r="A1328" s="169">
        <v>44631</v>
      </c>
      <c r="B1328" s="115">
        <v>123.333333333333</v>
      </c>
      <c r="C1328" s="115">
        <v>121.58</v>
      </c>
      <c r="D1328" s="115">
        <v>120.366666666667</v>
      </c>
      <c r="E1328" s="115">
        <v>123.333333333333</v>
      </c>
      <c r="F1328" s="115">
        <v>911.85</v>
      </c>
      <c r="G1328">
        <v>25238</v>
      </c>
      <c r="H1328" s="115"/>
      <c r="I1328" s="115"/>
      <c r="L1328" s="169">
        <v>44631</v>
      </c>
      <c r="M1328" s="115">
        <v>121.38</v>
      </c>
      <c r="N1328" s="115">
        <v>123.033333333333</v>
      </c>
      <c r="O1328" s="115">
        <v>120.3</v>
      </c>
      <c r="P1328" s="115">
        <v>122.4</v>
      </c>
      <c r="Q1328" s="115">
        <v>910.35</v>
      </c>
      <c r="R1328">
        <v>499691</v>
      </c>
    </row>
    <row r="1329" spans="1:18" x14ac:dyDescent="0.25">
      <c r="A1329" s="169">
        <v>44634</v>
      </c>
      <c r="B1329" s="115">
        <v>121.466666666667</v>
      </c>
      <c r="C1329" s="115">
        <v>119.81333333333301</v>
      </c>
      <c r="D1329" s="115">
        <v>118.886666666667</v>
      </c>
      <c r="E1329" s="115">
        <v>121.466666666667</v>
      </c>
      <c r="F1329" s="115">
        <v>898.6</v>
      </c>
      <c r="G1329">
        <v>17479</v>
      </c>
      <c r="H1329" s="115"/>
      <c r="I1329" s="115"/>
      <c r="L1329" s="169">
        <v>44634</v>
      </c>
      <c r="M1329" s="115">
        <v>119.92</v>
      </c>
      <c r="N1329" s="115">
        <v>121.38</v>
      </c>
      <c r="O1329" s="115">
        <v>118.933333333333</v>
      </c>
      <c r="P1329" s="115">
        <v>121.38</v>
      </c>
      <c r="Q1329" s="115">
        <v>899.4</v>
      </c>
      <c r="R1329">
        <v>434891</v>
      </c>
    </row>
    <row r="1330" spans="1:18" x14ac:dyDescent="0.25">
      <c r="A1330" s="169">
        <v>44635</v>
      </c>
      <c r="B1330" s="115">
        <v>124.533333333333</v>
      </c>
      <c r="C1330" s="115">
        <v>123.36</v>
      </c>
      <c r="D1330" s="115">
        <v>118.8</v>
      </c>
      <c r="E1330" s="115">
        <v>121.2</v>
      </c>
      <c r="F1330" s="115">
        <v>925.2</v>
      </c>
      <c r="G1330">
        <v>9205</v>
      </c>
      <c r="H1330" s="115"/>
      <c r="I1330" s="115"/>
      <c r="L1330" s="169">
        <v>44635</v>
      </c>
      <c r="M1330" s="115">
        <v>123.333333333333</v>
      </c>
      <c r="N1330" s="115">
        <v>124.62666666666701</v>
      </c>
      <c r="O1330" s="115">
        <v>118.7</v>
      </c>
      <c r="P1330" s="115">
        <v>120.586666666667</v>
      </c>
      <c r="Q1330" s="115">
        <v>925</v>
      </c>
      <c r="R1330">
        <v>560542</v>
      </c>
    </row>
    <row r="1331" spans="1:18" x14ac:dyDescent="0.25">
      <c r="A1331" s="169">
        <v>44636</v>
      </c>
      <c r="B1331" s="115">
        <v>126.426666666667</v>
      </c>
      <c r="C1331" s="115">
        <v>125.62</v>
      </c>
      <c r="D1331" s="115">
        <v>123.73333333333299</v>
      </c>
      <c r="E1331" s="115">
        <v>124.533333333333</v>
      </c>
      <c r="F1331" s="115">
        <v>942.15</v>
      </c>
      <c r="G1331">
        <v>19210</v>
      </c>
      <c r="H1331" s="115"/>
      <c r="I1331" s="115"/>
      <c r="L1331" s="169">
        <v>44636</v>
      </c>
      <c r="M1331" s="115">
        <v>125.44</v>
      </c>
      <c r="N1331" s="115">
        <v>126.473333333333</v>
      </c>
      <c r="O1331" s="115">
        <v>123.68</v>
      </c>
      <c r="P1331" s="115">
        <v>124.946666666667</v>
      </c>
      <c r="Q1331" s="115">
        <v>940.8</v>
      </c>
      <c r="R1331">
        <v>258148</v>
      </c>
    </row>
    <row r="1332" spans="1:18" x14ac:dyDescent="0.25">
      <c r="A1332" s="169">
        <v>44637</v>
      </c>
      <c r="B1332" s="115">
        <v>128.81333333333299</v>
      </c>
      <c r="C1332" s="115">
        <v>126.38</v>
      </c>
      <c r="D1332" s="115">
        <v>122.006666666667</v>
      </c>
      <c r="E1332" s="115">
        <v>126.26666666666701</v>
      </c>
      <c r="F1332" s="115">
        <v>947.85</v>
      </c>
      <c r="G1332">
        <v>38613</v>
      </c>
      <c r="H1332" s="115"/>
      <c r="I1332" s="115"/>
      <c r="L1332" s="169">
        <v>44637</v>
      </c>
      <c r="M1332" s="115">
        <v>126.52</v>
      </c>
      <c r="N1332" s="115">
        <v>128.80000000000001</v>
      </c>
      <c r="O1332" s="115">
        <v>122.006666666667</v>
      </c>
      <c r="P1332" s="115">
        <v>127.333333333333</v>
      </c>
      <c r="Q1332" s="115">
        <v>948.9</v>
      </c>
      <c r="R1332">
        <v>910821</v>
      </c>
    </row>
    <row r="1333" spans="1:18" x14ac:dyDescent="0.25">
      <c r="A1333" s="169">
        <v>44641</v>
      </c>
      <c r="B1333" s="115">
        <v>127.1</v>
      </c>
      <c r="C1333" s="115">
        <v>125.58</v>
      </c>
      <c r="D1333" s="115">
        <v>122.713333333333</v>
      </c>
      <c r="E1333" s="115">
        <v>125.333333333333</v>
      </c>
      <c r="F1333" s="115">
        <v>941.85</v>
      </c>
      <c r="G1333">
        <v>15812</v>
      </c>
      <c r="H1333" s="115"/>
      <c r="I1333" s="115"/>
      <c r="L1333" s="169">
        <v>44641</v>
      </c>
      <c r="M1333" s="115">
        <v>125.773333333333</v>
      </c>
      <c r="N1333" s="115">
        <v>127.2</v>
      </c>
      <c r="O1333" s="115">
        <v>122.753333333333</v>
      </c>
      <c r="P1333" s="115">
        <v>125.32666666666699</v>
      </c>
      <c r="Q1333" s="115">
        <v>943.3</v>
      </c>
      <c r="R1333">
        <v>444168</v>
      </c>
    </row>
    <row r="1334" spans="1:18" x14ac:dyDescent="0.25">
      <c r="A1334" s="169">
        <v>44642</v>
      </c>
      <c r="B1334" s="115">
        <v>130.606666666667</v>
      </c>
      <c r="C1334" s="115">
        <v>128.02000000000001</v>
      </c>
      <c r="D1334" s="115">
        <v>125.95333333333301</v>
      </c>
      <c r="E1334" s="115">
        <v>126.15333333333299</v>
      </c>
      <c r="F1334" s="115">
        <v>960.15</v>
      </c>
      <c r="G1334">
        <v>27442</v>
      </c>
      <c r="H1334" s="115"/>
      <c r="I1334" s="115"/>
      <c r="L1334" s="169">
        <v>44642</v>
      </c>
      <c r="M1334" s="115">
        <v>128.08000000000001</v>
      </c>
      <c r="N1334" s="115">
        <v>130.53333333333299</v>
      </c>
      <c r="O1334" s="115">
        <v>125.87333333333299</v>
      </c>
      <c r="P1334" s="115">
        <v>126.4</v>
      </c>
      <c r="Q1334" s="115">
        <v>960.6</v>
      </c>
      <c r="R1334">
        <v>616992</v>
      </c>
    </row>
    <row r="1335" spans="1:18" x14ac:dyDescent="0.25">
      <c r="A1335" s="169">
        <v>44643</v>
      </c>
      <c r="B1335" s="115">
        <v>131.946666666667</v>
      </c>
      <c r="C1335" s="115">
        <v>131.45333333333301</v>
      </c>
      <c r="D1335" s="115">
        <v>128.68666666666701</v>
      </c>
      <c r="E1335" s="115">
        <v>129.726666666667</v>
      </c>
      <c r="F1335" s="115">
        <v>985.9</v>
      </c>
      <c r="G1335">
        <v>11557</v>
      </c>
      <c r="H1335" s="115"/>
      <c r="I1335" s="115"/>
      <c r="L1335" s="169">
        <v>44643</v>
      </c>
      <c r="M1335" s="115">
        <v>131.47333333333299</v>
      </c>
      <c r="N1335" s="115">
        <v>131.98666666666699</v>
      </c>
      <c r="O1335" s="115">
        <v>128.35333333333301</v>
      </c>
      <c r="P1335" s="115">
        <v>128.53333333333299</v>
      </c>
      <c r="Q1335" s="115">
        <v>986.05</v>
      </c>
      <c r="R1335">
        <v>451883</v>
      </c>
    </row>
    <row r="1336" spans="1:18" x14ac:dyDescent="0.25">
      <c r="A1336" s="169">
        <v>44644</v>
      </c>
      <c r="B1336" s="115">
        <v>131.86000000000001</v>
      </c>
      <c r="C1336" s="115">
        <v>129.29333333333301</v>
      </c>
      <c r="D1336" s="115">
        <v>128.13333333333301</v>
      </c>
      <c r="E1336" s="115">
        <v>131.86000000000001</v>
      </c>
      <c r="F1336" s="115">
        <v>969.7</v>
      </c>
      <c r="G1336">
        <v>7819</v>
      </c>
      <c r="H1336" s="115"/>
      <c r="I1336" s="115"/>
      <c r="L1336" s="169">
        <v>44644</v>
      </c>
      <c r="M1336" s="115">
        <v>129.19999999999999</v>
      </c>
      <c r="N1336" s="115">
        <v>131.54666666666699</v>
      </c>
      <c r="O1336" s="115">
        <v>128</v>
      </c>
      <c r="P1336" s="115">
        <v>130.933333333333</v>
      </c>
      <c r="Q1336" s="115">
        <v>969</v>
      </c>
      <c r="R1336">
        <v>269968</v>
      </c>
    </row>
    <row r="1337" spans="1:18" x14ac:dyDescent="0.25">
      <c r="A1337" s="169">
        <v>44645</v>
      </c>
      <c r="B1337" s="115">
        <v>130.02000000000001</v>
      </c>
      <c r="C1337" s="115">
        <v>126.98</v>
      </c>
      <c r="D1337" s="115">
        <v>124.96</v>
      </c>
      <c r="E1337" s="115">
        <v>129.066666666667</v>
      </c>
      <c r="F1337" s="115">
        <v>952.35</v>
      </c>
      <c r="G1337">
        <v>20891</v>
      </c>
      <c r="H1337" s="115"/>
      <c r="I1337" s="115"/>
      <c r="L1337" s="169">
        <v>44645</v>
      </c>
      <c r="M1337" s="115">
        <v>127.68</v>
      </c>
      <c r="N1337" s="115">
        <v>130.13333333333301</v>
      </c>
      <c r="O1337" s="115">
        <v>126.666666666667</v>
      </c>
      <c r="P1337" s="115">
        <v>129.333333333333</v>
      </c>
      <c r="Q1337" s="115">
        <v>957.6</v>
      </c>
      <c r="R1337">
        <v>308434</v>
      </c>
    </row>
    <row r="1338" spans="1:18" x14ac:dyDescent="0.25">
      <c r="A1338" s="169">
        <v>44648</v>
      </c>
      <c r="B1338" s="115">
        <v>130.98666666666699</v>
      </c>
      <c r="C1338" s="115">
        <v>125.08</v>
      </c>
      <c r="D1338" s="115">
        <v>123.333333333333</v>
      </c>
      <c r="E1338" s="115">
        <v>130.98666666666699</v>
      </c>
      <c r="F1338" s="115">
        <v>938.1</v>
      </c>
      <c r="G1338">
        <v>14060</v>
      </c>
      <c r="H1338" s="115"/>
      <c r="I1338" s="115"/>
      <c r="L1338" s="169">
        <v>44648</v>
      </c>
      <c r="M1338" s="115">
        <v>125.17333333333301</v>
      </c>
      <c r="N1338" s="115">
        <v>128</v>
      </c>
      <c r="O1338" s="115">
        <v>123.333333333333</v>
      </c>
      <c r="P1338" s="115">
        <v>127.98666666666701</v>
      </c>
      <c r="Q1338" s="115">
        <v>938.8</v>
      </c>
      <c r="R1338">
        <v>516828</v>
      </c>
    </row>
    <row r="1339" spans="1:18" x14ac:dyDescent="0.25">
      <c r="A1339" s="169">
        <v>44649</v>
      </c>
      <c r="B1339" s="115">
        <v>126.18666666666699</v>
      </c>
      <c r="C1339" s="115">
        <v>124.62666666666701</v>
      </c>
      <c r="D1339" s="115">
        <v>123.866666666667</v>
      </c>
      <c r="E1339" s="115">
        <v>126.18666666666699</v>
      </c>
      <c r="F1339" s="115">
        <v>934.7</v>
      </c>
      <c r="G1339">
        <v>10313</v>
      </c>
      <c r="H1339" s="115"/>
      <c r="I1339" s="115"/>
      <c r="L1339" s="169">
        <v>44649</v>
      </c>
      <c r="M1339" s="115">
        <v>124.54</v>
      </c>
      <c r="N1339" s="115">
        <v>125.993333333333</v>
      </c>
      <c r="O1339" s="115">
        <v>123.866666666667</v>
      </c>
      <c r="P1339" s="115">
        <v>125.17333333333301</v>
      </c>
      <c r="Q1339" s="115">
        <v>934.05</v>
      </c>
      <c r="R1339">
        <v>326409</v>
      </c>
    </row>
    <row r="1340" spans="1:18" x14ac:dyDescent="0.25">
      <c r="A1340" s="169">
        <v>44650</v>
      </c>
      <c r="B1340" s="115">
        <v>130.97999999999999</v>
      </c>
      <c r="C1340" s="115">
        <v>128.12</v>
      </c>
      <c r="D1340" s="115">
        <v>124.866666666667</v>
      </c>
      <c r="E1340" s="115">
        <v>125.73333333333299</v>
      </c>
      <c r="F1340" s="115">
        <v>960.9</v>
      </c>
      <c r="G1340">
        <v>31376</v>
      </c>
      <c r="H1340" s="115"/>
      <c r="I1340" s="115"/>
      <c r="L1340" s="169">
        <v>44650</v>
      </c>
      <c r="M1340" s="115">
        <v>128.106666666667</v>
      </c>
      <c r="N1340" s="115">
        <v>131.16</v>
      </c>
      <c r="O1340" s="115">
        <v>124.98666666666701</v>
      </c>
      <c r="P1340" s="115">
        <v>125.12</v>
      </c>
      <c r="Q1340" s="115">
        <v>960.8</v>
      </c>
      <c r="R1340">
        <v>322950</v>
      </c>
    </row>
    <row r="1341" spans="1:18" x14ac:dyDescent="0.25">
      <c r="A1341" s="169">
        <v>44651</v>
      </c>
      <c r="B1341" s="115">
        <v>130</v>
      </c>
      <c r="C1341" s="115">
        <v>125.473333333333</v>
      </c>
      <c r="D1341" s="115">
        <v>123.746666666667</v>
      </c>
      <c r="E1341" s="115">
        <v>130</v>
      </c>
      <c r="F1341" s="115">
        <v>941.05</v>
      </c>
      <c r="G1341">
        <v>23537</v>
      </c>
      <c r="H1341" s="115"/>
      <c r="I1341" s="115"/>
      <c r="L1341" s="169">
        <v>44651</v>
      </c>
      <c r="M1341" s="115">
        <v>125.506666666667</v>
      </c>
      <c r="N1341" s="115">
        <v>129.73333333333301</v>
      </c>
      <c r="O1341" s="115">
        <v>124.14</v>
      </c>
      <c r="P1341" s="115">
        <v>129.73333333333301</v>
      </c>
      <c r="Q1341" s="115">
        <v>941.3</v>
      </c>
      <c r="R1341">
        <v>318671</v>
      </c>
    </row>
    <row r="1342" spans="1:18" x14ac:dyDescent="0.25">
      <c r="A1342" s="169">
        <v>44652</v>
      </c>
      <c r="B1342" s="115">
        <v>128</v>
      </c>
      <c r="C1342" s="115">
        <v>125.22</v>
      </c>
      <c r="D1342" s="115">
        <v>124.22</v>
      </c>
      <c r="E1342" s="115">
        <v>128</v>
      </c>
      <c r="F1342" s="115">
        <v>939.15</v>
      </c>
      <c r="G1342">
        <v>43674</v>
      </c>
      <c r="H1342" s="115"/>
      <c r="I1342" s="115"/>
      <c r="L1342" s="169">
        <v>44652</v>
      </c>
      <c r="M1342" s="115">
        <v>125.18666666666699</v>
      </c>
      <c r="N1342" s="115">
        <v>127.913333333333</v>
      </c>
      <c r="O1342" s="115">
        <v>124.23333333333299</v>
      </c>
      <c r="P1342" s="115">
        <v>124.666666666667</v>
      </c>
      <c r="Q1342" s="115">
        <v>938.9</v>
      </c>
      <c r="R1342">
        <v>446690</v>
      </c>
    </row>
    <row r="1343" spans="1:18" x14ac:dyDescent="0.25">
      <c r="A1343" s="169">
        <v>44655</v>
      </c>
      <c r="B1343" s="115">
        <v>127.666666666667</v>
      </c>
      <c r="C1343" s="115">
        <v>127.02</v>
      </c>
      <c r="D1343" s="115">
        <v>125.473333333333</v>
      </c>
      <c r="E1343" s="115">
        <v>126.64</v>
      </c>
      <c r="F1343" s="115">
        <v>952.65</v>
      </c>
      <c r="G1343">
        <v>37064</v>
      </c>
      <c r="H1343" s="115"/>
      <c r="I1343" s="115"/>
      <c r="L1343" s="169">
        <v>44655</v>
      </c>
      <c r="M1343" s="115">
        <v>126.966666666667</v>
      </c>
      <c r="N1343" s="115">
        <v>127.693333333333</v>
      </c>
      <c r="O1343" s="115">
        <v>125.48666666666701</v>
      </c>
      <c r="P1343" s="115">
        <v>126.106666666667</v>
      </c>
      <c r="Q1343" s="115">
        <v>952.25</v>
      </c>
      <c r="R1343">
        <v>385873</v>
      </c>
    </row>
    <row r="1344" spans="1:18" x14ac:dyDescent="0.25">
      <c r="A1344" s="169">
        <v>44656</v>
      </c>
      <c r="B1344" s="115">
        <v>128.386666666667</v>
      </c>
      <c r="C1344" s="115">
        <v>127.31333333333301</v>
      </c>
      <c r="D1344" s="115">
        <v>125.866666666667</v>
      </c>
      <c r="E1344" s="115">
        <v>127.866666666667</v>
      </c>
      <c r="F1344" s="115">
        <v>954.85</v>
      </c>
      <c r="G1344">
        <v>25824</v>
      </c>
      <c r="H1344" s="115"/>
      <c r="I1344" s="115"/>
      <c r="L1344" s="169">
        <v>44656</v>
      </c>
      <c r="M1344" s="115">
        <v>127.273333333333</v>
      </c>
      <c r="N1344" s="115">
        <v>128.53333333333299</v>
      </c>
      <c r="O1344" s="115">
        <v>125.866666666667</v>
      </c>
      <c r="P1344" s="115">
        <v>127.52</v>
      </c>
      <c r="Q1344" s="115">
        <v>954.55</v>
      </c>
      <c r="R1344">
        <v>500799</v>
      </c>
    </row>
    <row r="1345" spans="1:18" x14ac:dyDescent="0.25">
      <c r="A1345" s="169">
        <v>44657</v>
      </c>
      <c r="B1345" s="115">
        <v>130.65333333333299</v>
      </c>
      <c r="C1345" s="115">
        <v>129.73333333333301</v>
      </c>
      <c r="D1345" s="115">
        <v>126.37333333333299</v>
      </c>
      <c r="E1345" s="115">
        <v>127.333333333333</v>
      </c>
      <c r="F1345" s="115">
        <v>973</v>
      </c>
      <c r="G1345">
        <v>42981</v>
      </c>
      <c r="H1345" s="115"/>
      <c r="I1345" s="115"/>
      <c r="L1345" s="169">
        <v>44657</v>
      </c>
      <c r="M1345" s="115">
        <v>129.79333333333301</v>
      </c>
      <c r="N1345" s="115">
        <v>130.666666666667</v>
      </c>
      <c r="O1345" s="115">
        <v>126.246666666667</v>
      </c>
      <c r="P1345" s="115">
        <v>127.333333333333</v>
      </c>
      <c r="Q1345" s="115">
        <v>973.45</v>
      </c>
      <c r="R1345">
        <v>509463</v>
      </c>
    </row>
    <row r="1346" spans="1:18" x14ac:dyDescent="0.25">
      <c r="A1346" s="169">
        <v>44658</v>
      </c>
      <c r="B1346" s="115">
        <v>133.113333333333</v>
      </c>
      <c r="C1346" s="115">
        <v>127.946666666667</v>
      </c>
      <c r="D1346" s="115">
        <v>126.713333333333</v>
      </c>
      <c r="E1346" s="115">
        <v>131.333333333333</v>
      </c>
      <c r="F1346" s="115">
        <v>959.6</v>
      </c>
      <c r="G1346">
        <v>17971</v>
      </c>
      <c r="H1346" s="115"/>
      <c r="I1346" s="115"/>
      <c r="L1346" s="169">
        <v>44658</v>
      </c>
      <c r="M1346" s="115">
        <v>128.02666666666701</v>
      </c>
      <c r="N1346" s="115">
        <v>133.19999999999999</v>
      </c>
      <c r="O1346" s="115">
        <v>126.7</v>
      </c>
      <c r="P1346" s="115">
        <v>130.95333333333301</v>
      </c>
      <c r="Q1346" s="115">
        <v>960.2</v>
      </c>
      <c r="R1346">
        <v>793384</v>
      </c>
    </row>
    <row r="1347" spans="1:18" x14ac:dyDescent="0.25">
      <c r="A1347" s="169">
        <v>44659</v>
      </c>
      <c r="B1347" s="115">
        <v>130.933333333333</v>
      </c>
      <c r="C1347" s="115">
        <v>128.34</v>
      </c>
      <c r="D1347" s="115">
        <v>127.26666666666701</v>
      </c>
      <c r="E1347" s="115">
        <v>130</v>
      </c>
      <c r="F1347" s="115">
        <v>962.55</v>
      </c>
      <c r="G1347">
        <v>15113</v>
      </c>
      <c r="H1347" s="115"/>
      <c r="I1347" s="115"/>
      <c r="L1347" s="169">
        <v>44659</v>
      </c>
      <c r="M1347" s="115">
        <v>128.30000000000001</v>
      </c>
      <c r="N1347" s="115">
        <v>130.95333333333301</v>
      </c>
      <c r="O1347" s="115">
        <v>127.333333333333</v>
      </c>
      <c r="P1347" s="115">
        <v>129.68</v>
      </c>
      <c r="Q1347" s="115">
        <v>962.25</v>
      </c>
      <c r="R1347">
        <v>283586</v>
      </c>
    </row>
    <row r="1348" spans="1:18" x14ac:dyDescent="0.25">
      <c r="A1348" s="169">
        <v>44662</v>
      </c>
      <c r="B1348" s="115">
        <v>128.94</v>
      </c>
      <c r="C1348" s="115">
        <v>127.12</v>
      </c>
      <c r="D1348" s="115">
        <v>126.68</v>
      </c>
      <c r="E1348" s="115">
        <v>128.666666666667</v>
      </c>
      <c r="F1348" s="115">
        <v>953.4</v>
      </c>
      <c r="G1348">
        <v>16931</v>
      </c>
      <c r="H1348" s="115"/>
      <c r="I1348" s="115"/>
      <c r="L1348" s="169">
        <v>44662</v>
      </c>
      <c r="M1348" s="115">
        <v>127.073333333333</v>
      </c>
      <c r="N1348" s="115">
        <v>129.26666666666699</v>
      </c>
      <c r="O1348" s="115">
        <v>126.8</v>
      </c>
      <c r="P1348" s="115">
        <v>129.26666666666699</v>
      </c>
      <c r="Q1348" s="115">
        <v>953.05</v>
      </c>
      <c r="R1348">
        <v>354840</v>
      </c>
    </row>
    <row r="1349" spans="1:18" x14ac:dyDescent="0.25">
      <c r="A1349" s="169">
        <v>44663</v>
      </c>
      <c r="B1349" s="115">
        <v>132.4</v>
      </c>
      <c r="C1349" s="115">
        <v>131.19999999999999</v>
      </c>
      <c r="D1349" s="115">
        <v>126.006666666667</v>
      </c>
      <c r="E1349" s="115">
        <v>127.333333333333</v>
      </c>
      <c r="F1349" s="115">
        <v>984</v>
      </c>
      <c r="G1349">
        <v>56608</v>
      </c>
      <c r="H1349" s="115"/>
      <c r="I1349" s="115"/>
      <c r="L1349" s="169">
        <v>44663</v>
      </c>
      <c r="M1349" s="115">
        <v>131.18666666666701</v>
      </c>
      <c r="N1349" s="115">
        <v>132.57333333333301</v>
      </c>
      <c r="O1349" s="115">
        <v>126.01333333333299</v>
      </c>
      <c r="P1349" s="115">
        <v>127.2</v>
      </c>
      <c r="Q1349" s="115">
        <v>983.9</v>
      </c>
      <c r="R1349">
        <v>1049192</v>
      </c>
    </row>
    <row r="1350" spans="1:18" x14ac:dyDescent="0.25">
      <c r="A1350" s="169">
        <v>44664</v>
      </c>
      <c r="B1350" s="115">
        <v>140</v>
      </c>
      <c r="C1350" s="115">
        <v>134.91999999999999</v>
      </c>
      <c r="D1350" s="115">
        <v>132.57333333333301</v>
      </c>
      <c r="E1350" s="115">
        <v>132.666666666667</v>
      </c>
      <c r="F1350" s="115">
        <v>1011.9</v>
      </c>
      <c r="G1350">
        <v>85419</v>
      </c>
      <c r="H1350" s="115"/>
      <c r="I1350" s="115"/>
      <c r="L1350" s="169">
        <v>44664</v>
      </c>
      <c r="M1350" s="115">
        <v>134.80666666666701</v>
      </c>
      <c r="N1350" s="115">
        <v>140.113333333333</v>
      </c>
      <c r="O1350" s="115">
        <v>132.53333333333299</v>
      </c>
      <c r="P1350" s="115">
        <v>132.666666666667</v>
      </c>
      <c r="Q1350" s="115">
        <v>1011.05</v>
      </c>
      <c r="R1350">
        <v>1352062</v>
      </c>
    </row>
    <row r="1351" spans="1:18" x14ac:dyDescent="0.25">
      <c r="A1351" s="169">
        <v>44669</v>
      </c>
      <c r="B1351" s="115">
        <v>144.113333333333</v>
      </c>
      <c r="C1351" s="115">
        <v>141.67333333333301</v>
      </c>
      <c r="D1351" s="115">
        <v>134.67333333333301</v>
      </c>
      <c r="E1351" s="115">
        <v>134.90666666666701</v>
      </c>
      <c r="F1351" s="115">
        <v>1062.55</v>
      </c>
      <c r="G1351">
        <v>72490</v>
      </c>
      <c r="H1351" s="115"/>
      <c r="I1351" s="115"/>
      <c r="L1351" s="169">
        <v>44669</v>
      </c>
      <c r="M1351" s="115">
        <v>141.17333333333301</v>
      </c>
      <c r="N1351" s="115">
        <v>144</v>
      </c>
      <c r="O1351" s="115">
        <v>134.933333333333</v>
      </c>
      <c r="P1351" s="115">
        <v>135.19333333333299</v>
      </c>
      <c r="Q1351" s="115">
        <v>1058.8</v>
      </c>
      <c r="R1351">
        <v>1766083</v>
      </c>
    </row>
    <row r="1352" spans="1:18" x14ac:dyDescent="0.25">
      <c r="A1352" s="169">
        <v>44670</v>
      </c>
      <c r="B1352" s="115">
        <v>146.17333333333301</v>
      </c>
      <c r="C1352" s="115">
        <v>139.386666666667</v>
      </c>
      <c r="D1352" s="115">
        <v>138</v>
      </c>
      <c r="E1352" s="115">
        <v>143.46666666666701</v>
      </c>
      <c r="F1352" s="115">
        <v>1045.4000000000001</v>
      </c>
      <c r="G1352">
        <v>88692</v>
      </c>
      <c r="H1352" s="115"/>
      <c r="I1352" s="115"/>
      <c r="L1352" s="169">
        <v>44670</v>
      </c>
      <c r="M1352" s="115">
        <v>139.566666666667</v>
      </c>
      <c r="N1352" s="115">
        <v>146.26666666666699</v>
      </c>
      <c r="O1352" s="115">
        <v>138.24</v>
      </c>
      <c r="P1352" s="115">
        <v>144</v>
      </c>
      <c r="Q1352" s="115">
        <v>1046.75</v>
      </c>
      <c r="R1352">
        <v>732740</v>
      </c>
    </row>
    <row r="1353" spans="1:18" x14ac:dyDescent="0.25">
      <c r="A1353" s="169">
        <v>44671</v>
      </c>
      <c r="B1353" s="115">
        <v>149.053333333333</v>
      </c>
      <c r="C1353" s="115">
        <v>142.74666666666701</v>
      </c>
      <c r="D1353" s="115">
        <v>141.46</v>
      </c>
      <c r="E1353" s="115">
        <v>141.46</v>
      </c>
      <c r="F1353" s="115">
        <v>1070.5999999999999</v>
      </c>
      <c r="G1353">
        <v>42562</v>
      </c>
      <c r="H1353" s="115"/>
      <c r="I1353" s="115"/>
      <c r="L1353" s="169">
        <v>44671</v>
      </c>
      <c r="M1353" s="115">
        <v>142.69333333333299</v>
      </c>
      <c r="N1353" s="115">
        <v>149.19999999999999</v>
      </c>
      <c r="O1353" s="115">
        <v>141.41333333333299</v>
      </c>
      <c r="P1353" s="115">
        <v>141.70666666666699</v>
      </c>
      <c r="Q1353" s="115">
        <v>1070.2</v>
      </c>
      <c r="R1353">
        <v>1221742</v>
      </c>
    </row>
    <row r="1354" spans="1:18" x14ac:dyDescent="0.25">
      <c r="A1354" s="169">
        <v>44672</v>
      </c>
      <c r="B1354" s="115">
        <v>147.30000000000001</v>
      </c>
      <c r="C1354" s="115">
        <v>140.90666666666701</v>
      </c>
      <c r="D1354" s="115">
        <v>139.13999999999999</v>
      </c>
      <c r="E1354" s="115">
        <v>146.94</v>
      </c>
      <c r="F1354" s="115">
        <v>1056.8</v>
      </c>
      <c r="G1354">
        <v>35385</v>
      </c>
      <c r="H1354" s="115"/>
      <c r="I1354" s="115"/>
      <c r="L1354" s="169">
        <v>44672</v>
      </c>
      <c r="M1354" s="115">
        <v>140.79333333333301</v>
      </c>
      <c r="N1354" s="115">
        <v>147.86666666666699</v>
      </c>
      <c r="O1354" s="115">
        <v>139.19999999999999</v>
      </c>
      <c r="P1354" s="115">
        <v>147.86666666666699</v>
      </c>
      <c r="Q1354" s="115">
        <v>1055.95</v>
      </c>
      <c r="R1354">
        <v>649874</v>
      </c>
    </row>
    <row r="1355" spans="1:18" x14ac:dyDescent="0.25">
      <c r="A1355" s="169">
        <v>44673</v>
      </c>
      <c r="B1355" s="115">
        <v>142.63999999999999</v>
      </c>
      <c r="C1355" s="115">
        <v>138.63333333333301</v>
      </c>
      <c r="D1355" s="115">
        <v>137.82666666666699</v>
      </c>
      <c r="E1355" s="115">
        <v>138.666666666667</v>
      </c>
      <c r="F1355" s="115">
        <v>1039.75</v>
      </c>
      <c r="G1355">
        <v>26515</v>
      </c>
      <c r="H1355" s="115"/>
      <c r="I1355" s="115"/>
      <c r="L1355" s="169">
        <v>44673</v>
      </c>
      <c r="M1355" s="115">
        <v>138.65333333333299</v>
      </c>
      <c r="N1355" s="115">
        <v>142.54666666666699</v>
      </c>
      <c r="O1355" s="115">
        <v>137.76666666666699</v>
      </c>
      <c r="P1355" s="115">
        <v>138.933333333333</v>
      </c>
      <c r="Q1355" s="115">
        <v>1039.9000000000001</v>
      </c>
      <c r="R1355">
        <v>766645</v>
      </c>
    </row>
    <row r="1356" spans="1:18" x14ac:dyDescent="0.25">
      <c r="A1356" s="169">
        <v>44676</v>
      </c>
      <c r="B1356" s="115">
        <v>146.94</v>
      </c>
      <c r="C1356" s="115">
        <v>146.26</v>
      </c>
      <c r="D1356" s="115">
        <v>138.5</v>
      </c>
      <c r="E1356" s="115">
        <v>140</v>
      </c>
      <c r="F1356" s="115">
        <v>1096.95</v>
      </c>
      <c r="G1356">
        <v>33707</v>
      </c>
      <c r="H1356" s="115"/>
      <c r="I1356" s="115"/>
      <c r="L1356" s="169">
        <v>44676</v>
      </c>
      <c r="M1356" s="115">
        <v>145.97333333333299</v>
      </c>
      <c r="N1356" s="115">
        <v>147.1</v>
      </c>
      <c r="O1356" s="115">
        <v>138.226666666667</v>
      </c>
      <c r="P1356" s="115">
        <v>138.53333333333299</v>
      </c>
      <c r="Q1356" s="115">
        <v>1094.8</v>
      </c>
      <c r="R1356">
        <v>1333564</v>
      </c>
    </row>
    <row r="1357" spans="1:18" x14ac:dyDescent="0.25">
      <c r="A1357" s="169">
        <v>44677</v>
      </c>
      <c r="B1357" s="115">
        <v>152</v>
      </c>
      <c r="C1357" s="115">
        <v>142.65333333333299</v>
      </c>
      <c r="D1357" s="115">
        <v>141.86666666666699</v>
      </c>
      <c r="E1357" s="115">
        <v>150.29333333333301</v>
      </c>
      <c r="F1357" s="115">
        <v>1069.9000000000001</v>
      </c>
      <c r="G1357">
        <v>63034</v>
      </c>
      <c r="H1357" s="115"/>
      <c r="I1357" s="115"/>
      <c r="L1357" s="169">
        <v>44677</v>
      </c>
      <c r="M1357" s="115">
        <v>142.76</v>
      </c>
      <c r="N1357" s="115">
        <v>152.933333333333</v>
      </c>
      <c r="O1357" s="115">
        <v>141.86666666666699</v>
      </c>
      <c r="P1357" s="115">
        <v>150.13333333333301</v>
      </c>
      <c r="Q1357" s="115">
        <v>1070.7</v>
      </c>
      <c r="R1357">
        <v>1093713</v>
      </c>
    </row>
    <row r="1358" spans="1:18" x14ac:dyDescent="0.25">
      <c r="A1358" s="169">
        <v>44678</v>
      </c>
      <c r="B1358" s="115">
        <v>143.85333333333301</v>
      </c>
      <c r="C1358" s="115">
        <v>138.273333333333</v>
      </c>
      <c r="D1358" s="115">
        <v>137.74</v>
      </c>
      <c r="E1358" s="115">
        <v>143.85333333333301</v>
      </c>
      <c r="F1358" s="115">
        <v>1037.05</v>
      </c>
      <c r="G1358">
        <v>2115540</v>
      </c>
      <c r="H1358" s="115"/>
      <c r="I1358" s="115"/>
      <c r="L1358" s="169">
        <v>44678</v>
      </c>
      <c r="M1358" s="115">
        <v>138.19333333333299</v>
      </c>
      <c r="N1358" s="115">
        <v>143.393333333333</v>
      </c>
      <c r="O1358" s="115">
        <v>137.73333333333301</v>
      </c>
      <c r="P1358" s="115">
        <v>142.76</v>
      </c>
      <c r="Q1358" s="115">
        <v>1036.45</v>
      </c>
      <c r="R1358">
        <v>2032208</v>
      </c>
    </row>
    <row r="1359" spans="1:18" x14ac:dyDescent="0.25">
      <c r="A1359" s="169">
        <v>44679</v>
      </c>
      <c r="B1359" s="115">
        <v>146.80000000000001</v>
      </c>
      <c r="C1359" s="115">
        <v>141.20666666666699</v>
      </c>
      <c r="D1359" s="115">
        <v>139.333333333333</v>
      </c>
      <c r="E1359" s="115">
        <v>139.333333333333</v>
      </c>
      <c r="F1359" s="115">
        <v>1059.05</v>
      </c>
      <c r="G1359">
        <v>126550</v>
      </c>
      <c r="H1359" s="115"/>
      <c r="I1359" s="115"/>
      <c r="L1359" s="169">
        <v>44679</v>
      </c>
      <c r="M1359" s="115">
        <v>141.28</v>
      </c>
      <c r="N1359" s="115">
        <v>146.933333333333</v>
      </c>
      <c r="O1359" s="115">
        <v>140</v>
      </c>
      <c r="P1359" s="115">
        <v>140.26666666666699</v>
      </c>
      <c r="Q1359" s="115">
        <v>1059.5999999999999</v>
      </c>
      <c r="R1359">
        <v>2237963</v>
      </c>
    </row>
    <row r="1360" spans="1:18" x14ac:dyDescent="0.25">
      <c r="A1360" s="169">
        <v>44680</v>
      </c>
      <c r="B1360" s="115">
        <v>153.69999999999999</v>
      </c>
      <c r="C1360" s="115">
        <v>144.58000000000001</v>
      </c>
      <c r="D1360" s="115">
        <v>143.73333333333301</v>
      </c>
      <c r="E1360" s="115">
        <v>143.933333333333</v>
      </c>
      <c r="F1360" s="115">
        <v>1084.3499999999999</v>
      </c>
      <c r="G1360">
        <v>124901</v>
      </c>
      <c r="H1360" s="115"/>
      <c r="I1360" s="115"/>
      <c r="L1360" s="169">
        <v>44680</v>
      </c>
      <c r="M1360" s="115">
        <v>144.47333333333299</v>
      </c>
      <c r="N1360" s="115">
        <v>153.86000000000001</v>
      </c>
      <c r="O1360" s="115">
        <v>143.34</v>
      </c>
      <c r="P1360" s="115">
        <v>143.97999999999999</v>
      </c>
      <c r="Q1360" s="115">
        <v>1083.55</v>
      </c>
      <c r="R1360">
        <v>3184803</v>
      </c>
    </row>
    <row r="1361" spans="1:18" x14ac:dyDescent="0.25">
      <c r="A1361" s="169">
        <v>44683</v>
      </c>
      <c r="B1361" s="115">
        <v>153.38</v>
      </c>
      <c r="C1361" s="115">
        <v>147.38</v>
      </c>
      <c r="D1361" s="115">
        <v>144</v>
      </c>
      <c r="E1361" s="115">
        <v>144.40666666666701</v>
      </c>
      <c r="F1361" s="115">
        <v>1105.3499999999999</v>
      </c>
      <c r="G1361">
        <v>141005</v>
      </c>
      <c r="H1361" s="115"/>
      <c r="I1361" s="115"/>
      <c r="L1361" s="169">
        <v>44683</v>
      </c>
      <c r="M1361" s="115">
        <v>147.31333333333299</v>
      </c>
      <c r="N1361" s="115">
        <v>150.933333333333</v>
      </c>
      <c r="O1361" s="115">
        <v>144.01333333333301</v>
      </c>
      <c r="P1361" s="115">
        <v>144.26666666666699</v>
      </c>
      <c r="Q1361" s="115">
        <v>1104.8499999999999</v>
      </c>
      <c r="R1361">
        <v>1487956</v>
      </c>
    </row>
    <row r="1362" spans="1:18" x14ac:dyDescent="0.25">
      <c r="A1362" s="169">
        <v>44685</v>
      </c>
      <c r="B1362" s="115">
        <v>150</v>
      </c>
      <c r="C1362" s="115">
        <v>145.493333333333</v>
      </c>
      <c r="D1362" s="115">
        <v>143.87333333333299</v>
      </c>
      <c r="E1362" s="115">
        <v>147.76666666666699</v>
      </c>
      <c r="F1362" s="115">
        <v>1091.2</v>
      </c>
      <c r="G1362">
        <v>314210</v>
      </c>
      <c r="H1362" s="115"/>
      <c r="I1362" s="115"/>
      <c r="L1362" s="169">
        <v>44685</v>
      </c>
      <c r="M1362" s="115">
        <v>145.333333333333</v>
      </c>
      <c r="N1362" s="115">
        <v>149.97333333333299</v>
      </c>
      <c r="O1362" s="115">
        <v>143.73333333333301</v>
      </c>
      <c r="P1362" s="115">
        <v>148.666666666667</v>
      </c>
      <c r="Q1362" s="115">
        <v>1090</v>
      </c>
      <c r="R1362">
        <v>904415</v>
      </c>
    </row>
    <row r="1363" spans="1:18" x14ac:dyDescent="0.25">
      <c r="A1363" s="169">
        <v>44686</v>
      </c>
      <c r="B1363" s="115">
        <v>148.08666666666701</v>
      </c>
      <c r="C1363" s="115">
        <v>146.63333333333301</v>
      </c>
      <c r="D1363" s="115">
        <v>140.29333333333301</v>
      </c>
      <c r="E1363" s="115">
        <v>145.493333333333</v>
      </c>
      <c r="F1363" s="115">
        <v>1099.75</v>
      </c>
      <c r="G1363">
        <v>2271260</v>
      </c>
      <c r="H1363" s="115"/>
      <c r="I1363" s="115"/>
      <c r="L1363" s="169">
        <v>44686</v>
      </c>
      <c r="M1363" s="115">
        <v>146.57333333333301</v>
      </c>
      <c r="N1363" s="115">
        <v>149.03333333333299</v>
      </c>
      <c r="O1363" s="115">
        <v>140.26666666666699</v>
      </c>
      <c r="P1363" s="115">
        <v>146.08666666666701</v>
      </c>
      <c r="Q1363" s="115">
        <v>1099.3</v>
      </c>
      <c r="R1363">
        <v>3164744</v>
      </c>
    </row>
    <row r="1364" spans="1:18" x14ac:dyDescent="0.25">
      <c r="A1364" s="169">
        <v>44687</v>
      </c>
      <c r="B1364" s="115">
        <v>145.6</v>
      </c>
      <c r="C1364" s="115">
        <v>143.35333333333301</v>
      </c>
      <c r="D1364" s="115">
        <v>141.40666666666701</v>
      </c>
      <c r="E1364" s="115">
        <v>145.6</v>
      </c>
      <c r="F1364" s="115">
        <v>1075.1500000000001</v>
      </c>
      <c r="G1364">
        <v>49723</v>
      </c>
      <c r="H1364" s="115"/>
      <c r="I1364" s="115"/>
      <c r="L1364" s="169">
        <v>44687</v>
      </c>
      <c r="M1364" s="115">
        <v>143.41333333333299</v>
      </c>
      <c r="N1364" s="115">
        <v>145.1</v>
      </c>
      <c r="O1364" s="115">
        <v>141.333333333333</v>
      </c>
      <c r="P1364" s="115">
        <v>144.53333333333299</v>
      </c>
      <c r="Q1364" s="115">
        <v>1075.5999999999999</v>
      </c>
      <c r="R1364">
        <v>421788</v>
      </c>
    </row>
    <row r="1365" spans="1:18" x14ac:dyDescent="0.25">
      <c r="A1365" s="169">
        <v>44690</v>
      </c>
      <c r="B1365" s="115">
        <v>143.08666666666701</v>
      </c>
      <c r="C1365" s="115">
        <v>141.24</v>
      </c>
      <c r="D1365" s="115">
        <v>134.933333333333</v>
      </c>
      <c r="E1365" s="115">
        <v>134.933333333333</v>
      </c>
      <c r="F1365" s="115">
        <v>1059.3</v>
      </c>
      <c r="G1365">
        <v>28935</v>
      </c>
      <c r="H1365" s="115"/>
      <c r="I1365" s="115"/>
      <c r="L1365" s="169">
        <v>44690</v>
      </c>
      <c r="M1365" s="115">
        <v>141.18666666666701</v>
      </c>
      <c r="N1365" s="115">
        <v>143.18666666666701</v>
      </c>
      <c r="O1365" s="115">
        <v>140</v>
      </c>
      <c r="P1365" s="115">
        <v>141.333333333333</v>
      </c>
      <c r="Q1365" s="115">
        <v>1058.9000000000001</v>
      </c>
      <c r="R1365">
        <v>1054956</v>
      </c>
    </row>
    <row r="1366" spans="1:18" x14ac:dyDescent="0.25">
      <c r="A1366" s="169">
        <v>44691</v>
      </c>
      <c r="B1366" s="115">
        <v>145.78</v>
      </c>
      <c r="C1366" s="115">
        <v>144.32666666666699</v>
      </c>
      <c r="D1366" s="115">
        <v>140.75333333333299</v>
      </c>
      <c r="E1366" s="115">
        <v>144</v>
      </c>
      <c r="F1366" s="115">
        <v>1082.45</v>
      </c>
      <c r="G1366">
        <v>36400</v>
      </c>
      <c r="H1366" s="115"/>
      <c r="I1366" s="115"/>
      <c r="L1366" s="169">
        <v>44691</v>
      </c>
      <c r="M1366" s="115">
        <v>144.24</v>
      </c>
      <c r="N1366" s="115">
        <v>145.84</v>
      </c>
      <c r="O1366" s="115">
        <v>140.58000000000001</v>
      </c>
      <c r="P1366" s="115">
        <v>142.066666666667</v>
      </c>
      <c r="Q1366" s="115">
        <v>1081.8</v>
      </c>
      <c r="R1366">
        <v>1054704</v>
      </c>
    </row>
    <row r="1367" spans="1:18" x14ac:dyDescent="0.25">
      <c r="A1367" s="169">
        <v>44692</v>
      </c>
      <c r="B1367" s="115">
        <v>147.333333333333</v>
      </c>
      <c r="C1367" s="115">
        <v>140.12</v>
      </c>
      <c r="D1367" s="115">
        <v>137.46666666666701</v>
      </c>
      <c r="E1367" s="115">
        <v>144.32666666666699</v>
      </c>
      <c r="F1367" s="115">
        <v>1050.9000000000001</v>
      </c>
      <c r="G1367">
        <v>59394</v>
      </c>
      <c r="H1367" s="115"/>
      <c r="I1367" s="115"/>
      <c r="L1367" s="169">
        <v>44692</v>
      </c>
      <c r="M1367" s="115">
        <v>139.91999999999999</v>
      </c>
      <c r="N1367" s="115">
        <v>147.36666666666699</v>
      </c>
      <c r="O1367" s="115">
        <v>137.333333333333</v>
      </c>
      <c r="P1367" s="115">
        <v>144.13333333333301</v>
      </c>
      <c r="Q1367" s="115">
        <v>1049.4000000000001</v>
      </c>
      <c r="R1367">
        <v>1134215</v>
      </c>
    </row>
    <row r="1368" spans="1:18" x14ac:dyDescent="0.25">
      <c r="A1368" s="169">
        <v>44693</v>
      </c>
      <c r="B1368" s="115">
        <v>143.066666666667</v>
      </c>
      <c r="C1368" s="115">
        <v>141.713333333333</v>
      </c>
      <c r="D1368" s="115">
        <v>138.13333333333301</v>
      </c>
      <c r="E1368" s="115">
        <v>140.12</v>
      </c>
      <c r="F1368" s="115">
        <v>1062.8499999999999</v>
      </c>
      <c r="G1368">
        <v>46012</v>
      </c>
      <c r="H1368" s="115"/>
      <c r="I1368" s="115"/>
      <c r="L1368" s="169">
        <v>44693</v>
      </c>
      <c r="M1368" s="115">
        <v>141.9</v>
      </c>
      <c r="N1368" s="115">
        <v>143.19333333333299</v>
      </c>
      <c r="O1368" s="115">
        <v>138.04666666666699</v>
      </c>
      <c r="P1368" s="115">
        <v>139.993333333333</v>
      </c>
      <c r="Q1368" s="115">
        <v>1064.25</v>
      </c>
      <c r="R1368">
        <v>1146497</v>
      </c>
    </row>
    <row r="1369" spans="1:18" x14ac:dyDescent="0.25">
      <c r="A1369" s="169">
        <v>44694</v>
      </c>
      <c r="B1369" s="115">
        <v>148.273333333333</v>
      </c>
      <c r="C1369" s="115">
        <v>146.41999999999999</v>
      </c>
      <c r="D1369" s="115">
        <v>142.67333333333301</v>
      </c>
      <c r="E1369" s="115">
        <v>144.666666666667</v>
      </c>
      <c r="F1369" s="115">
        <v>1098.1500000000001</v>
      </c>
      <c r="G1369">
        <v>43919</v>
      </c>
      <c r="H1369" s="115"/>
      <c r="I1369" s="115"/>
      <c r="L1369" s="169">
        <v>44694</v>
      </c>
      <c r="M1369" s="115">
        <v>145.47333333333299</v>
      </c>
      <c r="N1369" s="115">
        <v>148.13333333333301</v>
      </c>
      <c r="O1369" s="115">
        <v>142.70666666666699</v>
      </c>
      <c r="P1369" s="115">
        <v>144.666666666667</v>
      </c>
      <c r="Q1369" s="115">
        <v>1091.05</v>
      </c>
      <c r="R1369">
        <v>1765287</v>
      </c>
    </row>
    <row r="1370" spans="1:18" x14ac:dyDescent="0.25">
      <c r="A1370" s="169">
        <v>44697</v>
      </c>
      <c r="B1370" s="115">
        <v>149.32</v>
      </c>
      <c r="C1370" s="115">
        <v>147.41333333333299</v>
      </c>
      <c r="D1370" s="115">
        <v>143.68</v>
      </c>
      <c r="E1370" s="115">
        <v>143.68</v>
      </c>
      <c r="F1370" s="115">
        <v>1105.5999999999999</v>
      </c>
      <c r="G1370">
        <v>26620</v>
      </c>
      <c r="H1370" s="115"/>
      <c r="I1370" s="115"/>
      <c r="L1370" s="169">
        <v>44697</v>
      </c>
      <c r="M1370" s="115">
        <v>147.25333333333299</v>
      </c>
      <c r="N1370" s="115">
        <v>149.333333333333</v>
      </c>
      <c r="O1370" s="115">
        <v>145.36000000000001</v>
      </c>
      <c r="P1370" s="115">
        <v>146.666666666667</v>
      </c>
      <c r="Q1370" s="115">
        <v>1104.4000000000001</v>
      </c>
      <c r="R1370">
        <v>415584</v>
      </c>
    </row>
    <row r="1371" spans="1:18" x14ac:dyDescent="0.25">
      <c r="A1371" s="169">
        <v>44698</v>
      </c>
      <c r="B1371" s="115">
        <v>152.65333333333299</v>
      </c>
      <c r="C1371" s="115">
        <v>147.91999999999999</v>
      </c>
      <c r="D1371" s="115">
        <v>146.72</v>
      </c>
      <c r="E1371" s="115">
        <v>148.80000000000001</v>
      </c>
      <c r="F1371" s="115">
        <v>1109.4000000000001</v>
      </c>
      <c r="G1371">
        <v>50961</v>
      </c>
      <c r="H1371" s="115"/>
      <c r="I1371" s="115"/>
      <c r="L1371" s="169">
        <v>44698</v>
      </c>
      <c r="M1371" s="115">
        <v>147.98666666666699</v>
      </c>
      <c r="N1371" s="115">
        <v>152.666666666667</v>
      </c>
      <c r="O1371" s="115">
        <v>146.69999999999999</v>
      </c>
      <c r="P1371" s="115">
        <v>148</v>
      </c>
      <c r="Q1371" s="115">
        <v>1109.9000000000001</v>
      </c>
      <c r="R1371">
        <v>953179</v>
      </c>
    </row>
    <row r="1372" spans="1:18" x14ac:dyDescent="0.25">
      <c r="A1372" s="169">
        <v>44699</v>
      </c>
      <c r="B1372" s="115">
        <v>150.393333333333</v>
      </c>
      <c r="C1372" s="115">
        <v>147.26</v>
      </c>
      <c r="D1372" s="115">
        <v>144.78</v>
      </c>
      <c r="E1372" s="115">
        <v>150</v>
      </c>
      <c r="F1372" s="115">
        <v>1104.45</v>
      </c>
      <c r="G1372">
        <v>33015</v>
      </c>
      <c r="H1372" s="115"/>
      <c r="I1372" s="115"/>
      <c r="L1372" s="169">
        <v>44699</v>
      </c>
      <c r="M1372" s="115">
        <v>147.09333333333299</v>
      </c>
      <c r="N1372" s="115">
        <v>150.493333333333</v>
      </c>
      <c r="O1372" s="115">
        <v>144.80000000000001</v>
      </c>
      <c r="P1372" s="115">
        <v>149.25333333333299</v>
      </c>
      <c r="Q1372" s="115">
        <v>1103.2</v>
      </c>
      <c r="R1372">
        <v>426122</v>
      </c>
    </row>
    <row r="1373" spans="1:18" x14ac:dyDescent="0.25">
      <c r="A1373" s="169">
        <v>44700</v>
      </c>
      <c r="B1373" s="115">
        <v>145.73333333333301</v>
      </c>
      <c r="C1373" s="115">
        <v>141.85333333333301</v>
      </c>
      <c r="D1373" s="115">
        <v>139.666666666667</v>
      </c>
      <c r="E1373" s="115">
        <v>140.14666666666699</v>
      </c>
      <c r="F1373" s="115">
        <v>1063.9000000000001</v>
      </c>
      <c r="G1373">
        <v>33017</v>
      </c>
      <c r="H1373" s="115"/>
      <c r="I1373" s="115"/>
      <c r="L1373" s="169">
        <v>44700</v>
      </c>
      <c r="M1373" s="115">
        <v>141.48666666666699</v>
      </c>
      <c r="N1373" s="115">
        <v>145.773333333333</v>
      </c>
      <c r="O1373" s="115">
        <v>139.713333333333</v>
      </c>
      <c r="P1373" s="115">
        <v>142.13333333333301</v>
      </c>
      <c r="Q1373" s="115">
        <v>1061.1500000000001</v>
      </c>
      <c r="R1373">
        <v>791131</v>
      </c>
    </row>
    <row r="1374" spans="1:18" x14ac:dyDescent="0.25">
      <c r="A1374" s="169">
        <v>44701</v>
      </c>
      <c r="B1374" s="115">
        <v>148.46</v>
      </c>
      <c r="C1374" s="115">
        <v>146.97999999999999</v>
      </c>
      <c r="D1374" s="115">
        <v>141.84666666666701</v>
      </c>
      <c r="E1374" s="115">
        <v>143.066666666667</v>
      </c>
      <c r="F1374" s="115">
        <v>1102.3499999999999</v>
      </c>
      <c r="G1374">
        <v>38976</v>
      </c>
      <c r="H1374" s="115"/>
      <c r="I1374" s="115"/>
      <c r="L1374" s="169">
        <v>44701</v>
      </c>
      <c r="M1374" s="115">
        <v>147.113333333333</v>
      </c>
      <c r="N1374" s="115">
        <v>148.52666666666701</v>
      </c>
      <c r="O1374" s="115">
        <v>140.933333333333</v>
      </c>
      <c r="P1374" s="115">
        <v>143.19999999999999</v>
      </c>
      <c r="Q1374" s="115">
        <v>1103.3499999999999</v>
      </c>
      <c r="R1374">
        <v>798398</v>
      </c>
    </row>
    <row r="1375" spans="1:18" x14ac:dyDescent="0.25">
      <c r="A1375" s="169">
        <v>44704</v>
      </c>
      <c r="B1375" s="115">
        <v>148.62</v>
      </c>
      <c r="C1375" s="115">
        <v>143.82</v>
      </c>
      <c r="D1375" s="115">
        <v>143.24666666666701</v>
      </c>
      <c r="E1375" s="115">
        <v>148.62</v>
      </c>
      <c r="F1375" s="115">
        <v>1078.6500000000001</v>
      </c>
      <c r="G1375">
        <v>22336</v>
      </c>
      <c r="H1375" s="115"/>
      <c r="I1375" s="115"/>
      <c r="L1375" s="169">
        <v>44704</v>
      </c>
      <c r="M1375" s="115">
        <v>143.87333333333299</v>
      </c>
      <c r="N1375" s="115">
        <v>148.433333333333</v>
      </c>
      <c r="O1375" s="115">
        <v>142.666666666667</v>
      </c>
      <c r="P1375" s="115">
        <v>145.333333333333</v>
      </c>
      <c r="Q1375" s="115">
        <v>1079.05</v>
      </c>
      <c r="R1375">
        <v>842985</v>
      </c>
    </row>
    <row r="1376" spans="1:18" x14ac:dyDescent="0.25">
      <c r="A1376" s="169">
        <v>44705</v>
      </c>
      <c r="B1376" s="115">
        <v>149.65333333333299</v>
      </c>
      <c r="C1376" s="115">
        <v>147.80000000000001</v>
      </c>
      <c r="D1376" s="115">
        <v>144.91999999999999</v>
      </c>
      <c r="E1376" s="115">
        <v>146</v>
      </c>
      <c r="F1376" s="115">
        <v>1108.5</v>
      </c>
      <c r="G1376">
        <v>25596</v>
      </c>
      <c r="H1376" s="115"/>
      <c r="I1376" s="115"/>
      <c r="L1376" s="169">
        <v>44705</v>
      </c>
      <c r="M1376" s="115">
        <v>147.87333333333299</v>
      </c>
      <c r="N1376" s="115">
        <v>149.86666666666699</v>
      </c>
      <c r="O1376" s="115">
        <v>144.36666666666699</v>
      </c>
      <c r="P1376" s="115">
        <v>145.19999999999999</v>
      </c>
      <c r="Q1376" s="115">
        <v>1109.05</v>
      </c>
      <c r="R1376">
        <v>658254</v>
      </c>
    </row>
    <row r="1377" spans="1:18" x14ac:dyDescent="0.25">
      <c r="A1377" s="169">
        <v>44706</v>
      </c>
      <c r="B1377" s="115">
        <v>150</v>
      </c>
      <c r="C1377" s="115">
        <v>142.03333333333299</v>
      </c>
      <c r="D1377" s="115">
        <v>140.613333333333</v>
      </c>
      <c r="E1377" s="115">
        <v>150</v>
      </c>
      <c r="F1377" s="115">
        <v>1065.25</v>
      </c>
      <c r="G1377">
        <v>17109</v>
      </c>
      <c r="H1377" s="115"/>
      <c r="I1377" s="115"/>
      <c r="L1377" s="169">
        <v>44706</v>
      </c>
      <c r="M1377" s="115">
        <v>141.80666666666701</v>
      </c>
      <c r="N1377" s="115">
        <v>149.29333333333301</v>
      </c>
      <c r="O1377" s="115">
        <v>140.666666666667</v>
      </c>
      <c r="P1377" s="115">
        <v>149.053333333333</v>
      </c>
      <c r="Q1377" s="115">
        <v>1063.55</v>
      </c>
      <c r="R1377">
        <v>826907</v>
      </c>
    </row>
    <row r="1378" spans="1:18" x14ac:dyDescent="0.25">
      <c r="A1378" s="169">
        <v>44707</v>
      </c>
      <c r="B1378" s="115">
        <v>145.493333333333</v>
      </c>
      <c r="C1378" s="115">
        <v>142.81333333333299</v>
      </c>
      <c r="D1378" s="115">
        <v>141.46666666666701</v>
      </c>
      <c r="E1378" s="115">
        <v>142.933333333333</v>
      </c>
      <c r="F1378" s="115">
        <v>1071.0999999999999</v>
      </c>
      <c r="G1378">
        <v>22540</v>
      </c>
      <c r="H1378" s="115"/>
      <c r="I1378" s="115"/>
      <c r="L1378" s="169">
        <v>44707</v>
      </c>
      <c r="M1378" s="115">
        <v>142.76</v>
      </c>
      <c r="N1378" s="115">
        <v>145.51333333333301</v>
      </c>
      <c r="O1378" s="115">
        <v>141.606666666667</v>
      </c>
      <c r="P1378" s="115">
        <v>142.666666666667</v>
      </c>
      <c r="Q1378" s="115">
        <v>1070.7</v>
      </c>
      <c r="R1378">
        <v>501776</v>
      </c>
    </row>
    <row r="1379" spans="1:18" x14ac:dyDescent="0.25">
      <c r="A1379" s="169">
        <v>44708</v>
      </c>
      <c r="B1379" s="115">
        <v>148.946666666667</v>
      </c>
      <c r="C1379" s="115">
        <v>145.46</v>
      </c>
      <c r="D1379" s="115">
        <v>143.92666666666699</v>
      </c>
      <c r="E1379" s="115">
        <v>144.666666666667</v>
      </c>
      <c r="F1379" s="115">
        <v>1090.95</v>
      </c>
      <c r="G1379">
        <v>34773</v>
      </c>
      <c r="H1379" s="115"/>
      <c r="I1379" s="115"/>
      <c r="L1379" s="169">
        <v>44708</v>
      </c>
      <c r="M1379" s="115">
        <v>145.28</v>
      </c>
      <c r="N1379" s="115">
        <v>148.933333333333</v>
      </c>
      <c r="O1379" s="115">
        <v>143.84</v>
      </c>
      <c r="P1379" s="115">
        <v>144.666666666667</v>
      </c>
      <c r="Q1379" s="115">
        <v>1089.5999999999999</v>
      </c>
      <c r="R1379">
        <v>669602</v>
      </c>
    </row>
    <row r="1380" spans="1:18" x14ac:dyDescent="0.25">
      <c r="A1380" s="169">
        <v>44711</v>
      </c>
      <c r="B1380" s="115">
        <v>147.45333333333301</v>
      </c>
      <c r="C1380" s="115">
        <v>144.84666666666701</v>
      </c>
      <c r="D1380" s="115">
        <v>143.73333333333301</v>
      </c>
      <c r="E1380" s="115">
        <v>146</v>
      </c>
      <c r="F1380" s="115">
        <v>1086.3499999999999</v>
      </c>
      <c r="G1380">
        <v>22644</v>
      </c>
      <c r="H1380" s="115"/>
      <c r="I1380" s="115"/>
      <c r="L1380" s="169">
        <v>44711</v>
      </c>
      <c r="M1380" s="115">
        <v>145.03333333333299</v>
      </c>
      <c r="N1380" s="115">
        <v>147.57333333333301</v>
      </c>
      <c r="O1380" s="115">
        <v>143.73333333333301</v>
      </c>
      <c r="P1380" s="115">
        <v>146.666666666667</v>
      </c>
      <c r="Q1380" s="115">
        <v>1087.75</v>
      </c>
      <c r="R1380">
        <v>1057240</v>
      </c>
    </row>
    <row r="1381" spans="1:18" x14ac:dyDescent="0.25">
      <c r="A1381" s="169">
        <v>44712</v>
      </c>
      <c r="B1381" s="115">
        <v>146.19999999999999</v>
      </c>
      <c r="C1381" s="115">
        <v>141.04</v>
      </c>
      <c r="D1381" s="115">
        <v>139.38</v>
      </c>
      <c r="E1381" s="115">
        <v>145.106666666667</v>
      </c>
      <c r="F1381" s="115">
        <v>1057.8</v>
      </c>
      <c r="G1381">
        <v>55616</v>
      </c>
      <c r="H1381" s="115"/>
      <c r="I1381" s="115"/>
      <c r="L1381" s="169">
        <v>44712</v>
      </c>
      <c r="M1381" s="115">
        <v>140.86666666666699</v>
      </c>
      <c r="N1381" s="115">
        <v>146.26666666666699</v>
      </c>
      <c r="O1381" s="115">
        <v>139.25333333333299</v>
      </c>
      <c r="P1381" s="115">
        <v>145.32</v>
      </c>
      <c r="Q1381" s="115">
        <v>1056.5</v>
      </c>
      <c r="R1381">
        <v>4211825</v>
      </c>
    </row>
    <row r="1382" spans="1:18" x14ac:dyDescent="0.25">
      <c r="A1382" s="169">
        <v>44713</v>
      </c>
      <c r="B1382" s="115">
        <v>149.333333333333</v>
      </c>
      <c r="C1382" s="115">
        <v>147.886666666667</v>
      </c>
      <c r="D1382" s="115">
        <v>140.393333333333</v>
      </c>
      <c r="E1382" s="115">
        <v>141.19333333333299</v>
      </c>
      <c r="F1382" s="115">
        <v>1109.1500000000001</v>
      </c>
      <c r="G1382">
        <v>64073</v>
      </c>
      <c r="H1382" s="115"/>
      <c r="I1382" s="115"/>
      <c r="L1382" s="169">
        <v>44713</v>
      </c>
      <c r="M1382" s="115">
        <v>147.88</v>
      </c>
      <c r="N1382" s="115">
        <v>149.333333333333</v>
      </c>
      <c r="O1382" s="115">
        <v>140.26666666666699</v>
      </c>
      <c r="P1382" s="115">
        <v>141.14666666666699</v>
      </c>
      <c r="Q1382" s="115">
        <v>1109.0999999999999</v>
      </c>
      <c r="R1382">
        <v>762091</v>
      </c>
    </row>
    <row r="1383" spans="1:18" x14ac:dyDescent="0.25">
      <c r="A1383" s="169">
        <v>44714</v>
      </c>
      <c r="B1383" s="115">
        <v>155.53333333333299</v>
      </c>
      <c r="C1383" s="115">
        <v>152.22</v>
      </c>
      <c r="D1383" s="115">
        <v>144.91999999999999</v>
      </c>
      <c r="E1383" s="115">
        <v>148.006666666667</v>
      </c>
      <c r="F1383" s="115">
        <v>1141.6500000000001</v>
      </c>
      <c r="G1383">
        <v>70174</v>
      </c>
      <c r="H1383" s="115"/>
      <c r="I1383" s="115"/>
      <c r="L1383" s="169">
        <v>44714</v>
      </c>
      <c r="M1383" s="115">
        <v>151.86666666666699</v>
      </c>
      <c r="N1383" s="115">
        <v>155.58666666666701</v>
      </c>
      <c r="O1383" s="115">
        <v>144.80666666666701</v>
      </c>
      <c r="P1383" s="115">
        <v>149.46666666666701</v>
      </c>
      <c r="Q1383" s="115">
        <v>1139</v>
      </c>
      <c r="R1383">
        <v>1280243</v>
      </c>
    </row>
    <row r="1384" spans="1:18" x14ac:dyDescent="0.25">
      <c r="A1384" s="169">
        <v>44715</v>
      </c>
      <c r="B1384" s="115">
        <v>154.4</v>
      </c>
      <c r="C1384" s="115">
        <v>146.62</v>
      </c>
      <c r="D1384" s="115">
        <v>144.933333333333</v>
      </c>
      <c r="E1384" s="115">
        <v>153.19999999999999</v>
      </c>
      <c r="F1384" s="115">
        <v>1099.6500000000001</v>
      </c>
      <c r="G1384">
        <v>68960</v>
      </c>
      <c r="H1384" s="115"/>
      <c r="I1384" s="115"/>
      <c r="L1384" s="169">
        <v>44715</v>
      </c>
      <c r="M1384" s="115">
        <v>146.726666666667</v>
      </c>
      <c r="N1384" s="115">
        <v>154.46666666666701</v>
      </c>
      <c r="O1384" s="115">
        <v>145.46666666666701</v>
      </c>
      <c r="P1384" s="115">
        <v>153.333333333333</v>
      </c>
      <c r="Q1384" s="115">
        <v>1100.45</v>
      </c>
      <c r="R1384">
        <v>1321318</v>
      </c>
    </row>
    <row r="1385" spans="1:18" x14ac:dyDescent="0.25">
      <c r="A1385" s="169">
        <v>44718</v>
      </c>
      <c r="B1385" s="115">
        <v>151.54</v>
      </c>
      <c r="C1385" s="115">
        <v>146.91999999999999</v>
      </c>
      <c r="D1385" s="115">
        <v>144</v>
      </c>
      <c r="E1385" s="115">
        <v>149</v>
      </c>
      <c r="F1385" s="115">
        <v>734.6</v>
      </c>
      <c r="G1385">
        <v>34989</v>
      </c>
      <c r="H1385" s="115"/>
      <c r="I1385" s="115"/>
      <c r="L1385" s="169">
        <v>44718</v>
      </c>
      <c r="M1385" s="115">
        <v>146.61000000000001</v>
      </c>
      <c r="N1385" s="115">
        <v>152</v>
      </c>
      <c r="O1385" s="115">
        <v>144.01</v>
      </c>
      <c r="P1385" s="115">
        <v>149.97999999999999</v>
      </c>
      <c r="Q1385" s="115">
        <v>733.05</v>
      </c>
      <c r="R1385">
        <v>1145386</v>
      </c>
    </row>
    <row r="1386" spans="1:18" x14ac:dyDescent="0.25">
      <c r="A1386" s="169">
        <v>44719</v>
      </c>
      <c r="B1386" s="115">
        <v>149.5</v>
      </c>
      <c r="C1386" s="115">
        <v>148.55000000000001</v>
      </c>
      <c r="D1386" s="115">
        <v>145.25</v>
      </c>
      <c r="E1386" s="115">
        <v>147.02000000000001</v>
      </c>
      <c r="F1386" s="115">
        <v>742.75</v>
      </c>
      <c r="G1386">
        <v>32437</v>
      </c>
      <c r="H1386" s="115"/>
      <c r="I1386" s="115"/>
      <c r="L1386" s="169">
        <v>44719</v>
      </c>
      <c r="M1386" s="115">
        <v>148.62</v>
      </c>
      <c r="N1386" s="115">
        <v>149.4</v>
      </c>
      <c r="O1386" s="115">
        <v>145.47999999999999</v>
      </c>
      <c r="P1386" s="115">
        <v>147.78</v>
      </c>
      <c r="Q1386" s="115">
        <v>743.1</v>
      </c>
      <c r="R1386">
        <v>669193</v>
      </c>
    </row>
    <row r="1387" spans="1:18" x14ac:dyDescent="0.25">
      <c r="A1387" s="169">
        <v>44720</v>
      </c>
      <c r="B1387" s="115">
        <v>152</v>
      </c>
      <c r="C1387" s="115">
        <v>148.76</v>
      </c>
      <c r="D1387" s="115">
        <v>147.35</v>
      </c>
      <c r="E1387" s="115">
        <v>152</v>
      </c>
      <c r="F1387" s="115">
        <v>743.8</v>
      </c>
      <c r="G1387">
        <v>40941</v>
      </c>
      <c r="H1387" s="115"/>
      <c r="I1387" s="115"/>
      <c r="L1387" s="169">
        <v>44720</v>
      </c>
      <c r="M1387" s="115">
        <v>148.94999999999999</v>
      </c>
      <c r="N1387" s="115">
        <v>150.66</v>
      </c>
      <c r="O1387" s="115">
        <v>147.22999999999999</v>
      </c>
      <c r="P1387" s="115">
        <v>150</v>
      </c>
      <c r="Q1387" s="115">
        <v>744.75</v>
      </c>
      <c r="R1387">
        <v>669081</v>
      </c>
    </row>
    <row r="1388" spans="1:18" x14ac:dyDescent="0.25">
      <c r="A1388" s="169">
        <v>44721</v>
      </c>
      <c r="B1388" s="115">
        <v>150.4</v>
      </c>
      <c r="C1388" s="115">
        <v>148.05000000000001</v>
      </c>
      <c r="D1388" s="115">
        <v>146.80000000000001</v>
      </c>
      <c r="E1388" s="115">
        <v>150.4</v>
      </c>
      <c r="F1388" s="115">
        <v>740.25</v>
      </c>
      <c r="G1388">
        <v>11684</v>
      </c>
      <c r="H1388" s="115"/>
      <c r="I1388" s="115"/>
      <c r="L1388" s="169">
        <v>44721</v>
      </c>
      <c r="M1388" s="115">
        <v>148</v>
      </c>
      <c r="N1388" s="115">
        <v>148.88999999999999</v>
      </c>
      <c r="O1388" s="115">
        <v>146.74</v>
      </c>
      <c r="P1388" s="115">
        <v>148.80000000000001</v>
      </c>
      <c r="Q1388" s="115">
        <v>740</v>
      </c>
      <c r="R1388">
        <v>609869</v>
      </c>
    </row>
    <row r="1389" spans="1:18" x14ac:dyDescent="0.25">
      <c r="A1389" s="169">
        <v>44722</v>
      </c>
      <c r="B1389" s="115">
        <v>151.52000000000001</v>
      </c>
      <c r="C1389" s="115">
        <v>150.91999999999999</v>
      </c>
      <c r="D1389" s="115">
        <v>146.66999999999999</v>
      </c>
      <c r="E1389" s="115">
        <v>147.19999999999999</v>
      </c>
      <c r="F1389" s="115">
        <v>754.6</v>
      </c>
      <c r="G1389">
        <v>33756</v>
      </c>
      <c r="H1389" s="115"/>
      <c r="I1389" s="115"/>
      <c r="L1389" s="169">
        <v>44722</v>
      </c>
      <c r="M1389" s="115">
        <v>150.9</v>
      </c>
      <c r="N1389" s="115">
        <v>151.46</v>
      </c>
      <c r="O1389" s="115">
        <v>146.21</v>
      </c>
      <c r="P1389" s="115">
        <v>146.80000000000001</v>
      </c>
      <c r="Q1389" s="115">
        <v>754.5</v>
      </c>
      <c r="R1389">
        <v>569863</v>
      </c>
    </row>
    <row r="1390" spans="1:18" x14ac:dyDescent="0.25">
      <c r="A1390" s="169">
        <v>44725</v>
      </c>
      <c r="B1390" s="115">
        <v>152.82</v>
      </c>
      <c r="C1390" s="115">
        <v>149.58000000000001</v>
      </c>
      <c r="D1390" s="115">
        <v>146.69</v>
      </c>
      <c r="E1390" s="115">
        <v>149.94</v>
      </c>
      <c r="F1390" s="115">
        <v>747.9</v>
      </c>
      <c r="G1390">
        <v>52045</v>
      </c>
      <c r="H1390" s="115"/>
      <c r="I1390" s="115"/>
      <c r="L1390" s="169">
        <v>44725</v>
      </c>
      <c r="M1390" s="115">
        <v>149.61000000000001</v>
      </c>
      <c r="N1390" s="115">
        <v>152.80000000000001</v>
      </c>
      <c r="O1390" s="115">
        <v>147.05000000000001</v>
      </c>
      <c r="P1390" s="115">
        <v>149.69999999999999</v>
      </c>
      <c r="Q1390" s="115">
        <v>748.05</v>
      </c>
      <c r="R1390">
        <v>609985</v>
      </c>
    </row>
    <row r="1391" spans="1:18" x14ac:dyDescent="0.25">
      <c r="A1391" s="169">
        <v>44726</v>
      </c>
      <c r="B1391" s="115">
        <v>158.97999999999999</v>
      </c>
      <c r="C1391" s="115">
        <v>154.15</v>
      </c>
      <c r="D1391" s="115">
        <v>148.4</v>
      </c>
      <c r="E1391" s="115">
        <v>151</v>
      </c>
      <c r="F1391" s="115">
        <v>770.75</v>
      </c>
      <c r="G1391">
        <v>39229</v>
      </c>
      <c r="H1391" s="115"/>
      <c r="I1391" s="115"/>
      <c r="L1391" s="169">
        <v>44726</v>
      </c>
      <c r="M1391" s="115">
        <v>154.74</v>
      </c>
      <c r="N1391" s="115">
        <v>158.80000000000001</v>
      </c>
      <c r="O1391" s="115">
        <v>148.21</v>
      </c>
      <c r="P1391" s="115">
        <v>149.19999999999999</v>
      </c>
      <c r="Q1391" s="115">
        <v>773.7</v>
      </c>
      <c r="R1391">
        <v>1221548</v>
      </c>
    </row>
    <row r="1392" spans="1:18" x14ac:dyDescent="0.25">
      <c r="A1392" s="169">
        <v>44727</v>
      </c>
      <c r="B1392" s="115">
        <v>161.09</v>
      </c>
      <c r="C1392" s="115">
        <v>157.44</v>
      </c>
      <c r="D1392" s="115">
        <v>154.99</v>
      </c>
      <c r="E1392" s="115">
        <v>158</v>
      </c>
      <c r="F1392" s="115">
        <v>787.2</v>
      </c>
      <c r="G1392">
        <v>56684</v>
      </c>
      <c r="H1392" s="115"/>
      <c r="I1392" s="115"/>
      <c r="L1392" s="169">
        <v>44727</v>
      </c>
      <c r="M1392" s="115">
        <v>157.37</v>
      </c>
      <c r="N1392" s="115">
        <v>161.12</v>
      </c>
      <c r="O1392" s="115">
        <v>155</v>
      </c>
      <c r="P1392" s="115">
        <v>157.80000000000001</v>
      </c>
      <c r="Q1392" s="115">
        <v>786.85</v>
      </c>
      <c r="R1392">
        <v>1862890</v>
      </c>
    </row>
    <row r="1393" spans="1:18" x14ac:dyDescent="0.25">
      <c r="A1393" s="169">
        <v>44728</v>
      </c>
      <c r="B1393" s="115">
        <v>159</v>
      </c>
      <c r="C1393" s="115">
        <v>155.55000000000001</v>
      </c>
      <c r="D1393" s="115">
        <v>153.09</v>
      </c>
      <c r="E1393" s="115">
        <v>159</v>
      </c>
      <c r="F1393" s="115">
        <v>777.75</v>
      </c>
      <c r="G1393">
        <v>58552</v>
      </c>
      <c r="H1393" s="115"/>
      <c r="I1393" s="115"/>
      <c r="L1393" s="169">
        <v>44728</v>
      </c>
      <c r="M1393" s="115">
        <v>155.83000000000001</v>
      </c>
      <c r="N1393" s="115">
        <v>158.99</v>
      </c>
      <c r="O1393" s="115">
        <v>153.09</v>
      </c>
      <c r="P1393" s="115">
        <v>158.78</v>
      </c>
      <c r="Q1393" s="115">
        <v>779.15</v>
      </c>
      <c r="R1393">
        <v>1033672</v>
      </c>
    </row>
    <row r="1394" spans="1:18" x14ac:dyDescent="0.25">
      <c r="A1394" s="169">
        <v>44729</v>
      </c>
      <c r="B1394" s="115">
        <v>156.09</v>
      </c>
      <c r="C1394" s="115">
        <v>150.26</v>
      </c>
      <c r="D1394" s="115">
        <v>149.28</v>
      </c>
      <c r="E1394" s="115">
        <v>156.09</v>
      </c>
      <c r="F1394" s="115">
        <v>751.3</v>
      </c>
      <c r="G1394">
        <v>42118</v>
      </c>
      <c r="H1394" s="115"/>
      <c r="I1394" s="115"/>
      <c r="L1394" s="169">
        <v>44729</v>
      </c>
      <c r="M1394" s="115">
        <v>150.21</v>
      </c>
      <c r="N1394" s="115">
        <v>155.22</v>
      </c>
      <c r="O1394" s="115">
        <v>149.21</v>
      </c>
      <c r="P1394" s="115">
        <v>154</v>
      </c>
      <c r="Q1394" s="115">
        <v>751.05</v>
      </c>
      <c r="R1394">
        <v>2136629</v>
      </c>
    </row>
    <row r="1395" spans="1:18" x14ac:dyDescent="0.25">
      <c r="A1395" s="169">
        <v>44732</v>
      </c>
      <c r="B1395" s="115">
        <v>151.85</v>
      </c>
      <c r="C1395" s="115">
        <v>150.4</v>
      </c>
      <c r="D1395" s="115">
        <v>143.33000000000001</v>
      </c>
      <c r="E1395" s="115">
        <v>150.4</v>
      </c>
      <c r="F1395" s="115">
        <v>752</v>
      </c>
      <c r="G1395">
        <v>84535</v>
      </c>
      <c r="H1395" s="115"/>
      <c r="I1395" s="115"/>
      <c r="L1395" s="169">
        <v>44732</v>
      </c>
      <c r="M1395" s="115">
        <v>150.47</v>
      </c>
      <c r="N1395" s="115">
        <v>151.80000000000001</v>
      </c>
      <c r="O1395" s="115">
        <v>144.19999999999999</v>
      </c>
      <c r="P1395" s="115">
        <v>150.21</v>
      </c>
      <c r="Q1395" s="115">
        <v>752.35</v>
      </c>
      <c r="R1395">
        <v>1517867</v>
      </c>
    </row>
    <row r="1396" spans="1:18" x14ac:dyDescent="0.25">
      <c r="A1396" s="169">
        <v>44733</v>
      </c>
      <c r="B1396" s="115">
        <v>151.59</v>
      </c>
      <c r="C1396" s="115">
        <v>148.03</v>
      </c>
      <c r="D1396" s="115">
        <v>146.30000000000001</v>
      </c>
      <c r="E1396" s="115">
        <v>150.80000000000001</v>
      </c>
      <c r="F1396" s="115">
        <v>740.15</v>
      </c>
      <c r="G1396">
        <v>34699</v>
      </c>
      <c r="H1396" s="115"/>
      <c r="I1396" s="115"/>
      <c r="L1396" s="169">
        <v>44733</v>
      </c>
      <c r="M1396" s="115">
        <v>147.74</v>
      </c>
      <c r="N1396" s="115">
        <v>151.80000000000001</v>
      </c>
      <c r="O1396" s="115">
        <v>146.09</v>
      </c>
      <c r="P1396" s="115">
        <v>151.80000000000001</v>
      </c>
      <c r="Q1396" s="115">
        <v>738.7</v>
      </c>
      <c r="R1396">
        <v>595809</v>
      </c>
    </row>
    <row r="1397" spans="1:18" x14ac:dyDescent="0.25">
      <c r="A1397" s="169">
        <v>44734</v>
      </c>
      <c r="B1397" s="115">
        <v>151.80000000000001</v>
      </c>
      <c r="C1397" s="115">
        <v>149.4</v>
      </c>
      <c r="D1397" s="115">
        <v>146.08000000000001</v>
      </c>
      <c r="E1397" s="115">
        <v>148</v>
      </c>
      <c r="F1397" s="115">
        <v>747</v>
      </c>
      <c r="G1397">
        <v>68323</v>
      </c>
      <c r="H1397" s="115"/>
      <c r="I1397" s="115"/>
      <c r="L1397" s="169">
        <v>44734</v>
      </c>
      <c r="M1397" s="115">
        <v>149.69999999999999</v>
      </c>
      <c r="N1397" s="115">
        <v>151.80000000000001</v>
      </c>
      <c r="O1397" s="115">
        <v>146.1</v>
      </c>
      <c r="P1397" s="115">
        <v>148.16</v>
      </c>
      <c r="Q1397" s="115">
        <v>748.5</v>
      </c>
      <c r="R1397">
        <v>1545609</v>
      </c>
    </row>
    <row r="1398" spans="1:18" x14ac:dyDescent="0.25">
      <c r="A1398" s="169">
        <v>44735</v>
      </c>
      <c r="B1398" s="115">
        <v>153.51</v>
      </c>
      <c r="C1398" s="115">
        <v>150.74</v>
      </c>
      <c r="D1398" s="115">
        <v>147.28</v>
      </c>
      <c r="E1398" s="115">
        <v>151.09</v>
      </c>
      <c r="F1398" s="115">
        <v>753.7</v>
      </c>
      <c r="G1398">
        <v>134281</v>
      </c>
      <c r="H1398" s="115"/>
      <c r="I1398" s="115"/>
      <c r="L1398" s="169">
        <v>44735</v>
      </c>
      <c r="M1398" s="115">
        <v>150.71</v>
      </c>
      <c r="N1398" s="115">
        <v>153.54</v>
      </c>
      <c r="O1398" s="115">
        <v>147.06</v>
      </c>
      <c r="P1398" s="115">
        <v>150.96</v>
      </c>
      <c r="Q1398" s="115">
        <v>753.55</v>
      </c>
      <c r="R1398">
        <v>827258</v>
      </c>
    </row>
    <row r="1399" spans="1:18" x14ac:dyDescent="0.25">
      <c r="A1399" s="169">
        <v>44736</v>
      </c>
      <c r="B1399" s="115">
        <v>155.96</v>
      </c>
      <c r="C1399" s="115">
        <v>153.91999999999999</v>
      </c>
      <c r="D1399" s="115">
        <v>151.13</v>
      </c>
      <c r="E1399" s="115">
        <v>152.58000000000001</v>
      </c>
      <c r="F1399" s="115">
        <v>769.6</v>
      </c>
      <c r="G1399">
        <v>49602</v>
      </c>
      <c r="H1399" s="115"/>
      <c r="I1399" s="115"/>
      <c r="L1399" s="169">
        <v>44736</v>
      </c>
      <c r="M1399" s="115">
        <v>154.1</v>
      </c>
      <c r="N1399" s="115">
        <v>156</v>
      </c>
      <c r="O1399" s="115">
        <v>151.19999999999999</v>
      </c>
      <c r="P1399" s="115">
        <v>151.80000000000001</v>
      </c>
      <c r="Q1399" s="115">
        <v>770.5</v>
      </c>
      <c r="R1399">
        <v>679169</v>
      </c>
    </row>
    <row r="1400" spans="1:18" x14ac:dyDescent="0.25">
      <c r="A1400" s="169">
        <v>44739</v>
      </c>
      <c r="B1400" s="115">
        <v>156.99</v>
      </c>
      <c r="C1400" s="115">
        <v>155.5</v>
      </c>
      <c r="D1400" s="115">
        <v>150.08000000000001</v>
      </c>
      <c r="E1400" s="115">
        <v>156.99</v>
      </c>
      <c r="F1400" s="115">
        <v>777.5</v>
      </c>
      <c r="G1400">
        <v>30394</v>
      </c>
      <c r="H1400" s="115"/>
      <c r="I1400" s="115"/>
      <c r="L1400" s="169">
        <v>44739</v>
      </c>
      <c r="M1400" s="115">
        <v>155.27000000000001</v>
      </c>
      <c r="N1400" s="115">
        <v>155.97999999999999</v>
      </c>
      <c r="O1400" s="115">
        <v>145.62</v>
      </c>
      <c r="P1400" s="115">
        <v>155.97999999999999</v>
      </c>
      <c r="Q1400" s="115">
        <v>776.35</v>
      </c>
      <c r="R1400">
        <v>593308</v>
      </c>
    </row>
    <row r="1401" spans="1:18" x14ac:dyDescent="0.25">
      <c r="A1401" s="169">
        <v>44740</v>
      </c>
      <c r="B1401" s="115">
        <v>157.6</v>
      </c>
      <c r="C1401" s="115">
        <v>156.13999999999999</v>
      </c>
      <c r="D1401" s="115">
        <v>153.52000000000001</v>
      </c>
      <c r="E1401" s="115">
        <v>155.4</v>
      </c>
      <c r="F1401" s="115">
        <v>780.7</v>
      </c>
      <c r="G1401">
        <v>29993</v>
      </c>
      <c r="H1401" s="115"/>
      <c r="I1401" s="115"/>
      <c r="L1401" s="169">
        <v>44740</v>
      </c>
      <c r="M1401" s="115">
        <v>155.99</v>
      </c>
      <c r="N1401" s="115">
        <v>157.74</v>
      </c>
      <c r="O1401" s="115">
        <v>153.69</v>
      </c>
      <c r="P1401" s="115">
        <v>155.59</v>
      </c>
      <c r="Q1401" s="115">
        <v>779.95</v>
      </c>
      <c r="R1401">
        <v>639078</v>
      </c>
    </row>
    <row r="1402" spans="1:18" x14ac:dyDescent="0.25">
      <c r="A1402" s="169">
        <v>44741</v>
      </c>
      <c r="B1402" s="115">
        <v>158</v>
      </c>
      <c r="C1402" s="115">
        <v>156.76</v>
      </c>
      <c r="D1402" s="115">
        <v>153.93</v>
      </c>
      <c r="E1402" s="115">
        <v>155.80000000000001</v>
      </c>
      <c r="F1402" s="115">
        <v>783.8</v>
      </c>
      <c r="G1402">
        <v>28143</v>
      </c>
      <c r="H1402" s="115"/>
      <c r="I1402" s="115"/>
      <c r="L1402" s="169">
        <v>44741</v>
      </c>
      <c r="M1402" s="115">
        <v>157.02000000000001</v>
      </c>
      <c r="N1402" s="115">
        <v>158</v>
      </c>
      <c r="O1402" s="115">
        <v>154.01</v>
      </c>
      <c r="P1402" s="115">
        <v>155.19999999999999</v>
      </c>
      <c r="Q1402" s="115">
        <v>785.1</v>
      </c>
      <c r="R1402">
        <v>553698</v>
      </c>
    </row>
    <row r="1403" spans="1:18" x14ac:dyDescent="0.25">
      <c r="A1403" s="169">
        <v>44742</v>
      </c>
      <c r="B1403" s="115">
        <v>158.88999999999999</v>
      </c>
      <c r="C1403" s="115">
        <v>158.12</v>
      </c>
      <c r="D1403" s="115">
        <v>156.74</v>
      </c>
      <c r="E1403" s="115">
        <v>157.6</v>
      </c>
      <c r="F1403" s="115">
        <v>790.6</v>
      </c>
      <c r="G1403">
        <v>16098</v>
      </c>
      <c r="H1403" s="115"/>
      <c r="I1403" s="115"/>
      <c r="L1403" s="169">
        <v>44742</v>
      </c>
      <c r="M1403" s="115">
        <v>158.11000000000001</v>
      </c>
      <c r="N1403" s="115">
        <v>158.80000000000001</v>
      </c>
      <c r="O1403" s="115">
        <v>156.80000000000001</v>
      </c>
      <c r="P1403" s="115">
        <v>157</v>
      </c>
      <c r="Q1403" s="115">
        <v>790.55</v>
      </c>
      <c r="R1403">
        <v>538194</v>
      </c>
    </row>
    <row r="1404" spans="1:18" x14ac:dyDescent="0.25">
      <c r="A1404" s="169">
        <v>44743</v>
      </c>
      <c r="B1404" s="115">
        <v>161.72999999999999</v>
      </c>
      <c r="C1404" s="115">
        <v>158.86000000000001</v>
      </c>
      <c r="D1404" s="115">
        <v>157.6</v>
      </c>
      <c r="E1404" s="115">
        <v>157.82</v>
      </c>
      <c r="F1404" s="115">
        <v>794.3</v>
      </c>
      <c r="G1404">
        <v>52752</v>
      </c>
      <c r="H1404" s="115"/>
      <c r="I1404" s="115"/>
      <c r="L1404" s="169">
        <v>44743</v>
      </c>
      <c r="M1404" s="115">
        <v>158.80000000000001</v>
      </c>
      <c r="N1404" s="115">
        <v>161.80000000000001</v>
      </c>
      <c r="O1404" s="115">
        <v>157.24</v>
      </c>
      <c r="P1404" s="115">
        <v>158</v>
      </c>
      <c r="Q1404" s="115">
        <v>794</v>
      </c>
      <c r="R1404">
        <v>951574</v>
      </c>
    </row>
    <row r="1405" spans="1:18" x14ac:dyDescent="0.25">
      <c r="A1405" s="169">
        <v>44746</v>
      </c>
      <c r="B1405" s="115">
        <v>161.06</v>
      </c>
      <c r="C1405" s="115">
        <v>157.15</v>
      </c>
      <c r="D1405" s="115">
        <v>156.09</v>
      </c>
      <c r="E1405" s="115">
        <v>158.69999999999999</v>
      </c>
      <c r="F1405" s="115">
        <v>785.75</v>
      </c>
      <c r="G1405">
        <v>42940</v>
      </c>
      <c r="H1405" s="115"/>
      <c r="I1405" s="115"/>
      <c r="L1405" s="169">
        <v>44746</v>
      </c>
      <c r="M1405" s="115">
        <v>157.22</v>
      </c>
      <c r="N1405" s="115">
        <v>161.18</v>
      </c>
      <c r="O1405" s="115">
        <v>156.11000000000001</v>
      </c>
      <c r="P1405" s="115">
        <v>158.80000000000001</v>
      </c>
      <c r="Q1405" s="115">
        <v>786.1</v>
      </c>
      <c r="R1405">
        <v>486590</v>
      </c>
    </row>
    <row r="1406" spans="1:18" x14ac:dyDescent="0.25">
      <c r="A1406" s="169">
        <v>44747</v>
      </c>
      <c r="B1406" s="115">
        <v>162</v>
      </c>
      <c r="C1406" s="115">
        <v>158.26</v>
      </c>
      <c r="D1406" s="115">
        <v>157.25</v>
      </c>
      <c r="E1406" s="115">
        <v>159.59</v>
      </c>
      <c r="F1406" s="115">
        <v>791.3</v>
      </c>
      <c r="G1406">
        <v>63946</v>
      </c>
      <c r="H1406" s="115"/>
      <c r="I1406" s="115"/>
      <c r="L1406" s="169">
        <v>44747</v>
      </c>
      <c r="M1406" s="115">
        <v>159.07</v>
      </c>
      <c r="N1406" s="115">
        <v>162</v>
      </c>
      <c r="O1406" s="115">
        <v>157.19999999999999</v>
      </c>
      <c r="P1406" s="115">
        <v>157.22</v>
      </c>
      <c r="Q1406" s="115">
        <v>795.35</v>
      </c>
      <c r="R1406">
        <v>1584172</v>
      </c>
    </row>
    <row r="1407" spans="1:18" x14ac:dyDescent="0.25">
      <c r="A1407" s="169">
        <v>44748</v>
      </c>
      <c r="B1407" s="115">
        <v>165.25</v>
      </c>
      <c r="C1407" s="115">
        <v>164.24</v>
      </c>
      <c r="D1407" s="115">
        <v>158.57</v>
      </c>
      <c r="E1407" s="115">
        <v>159.59</v>
      </c>
      <c r="F1407" s="115">
        <v>821.2</v>
      </c>
      <c r="G1407">
        <v>40493</v>
      </c>
      <c r="H1407" s="115"/>
      <c r="I1407" s="115"/>
      <c r="L1407" s="169">
        <v>44748</v>
      </c>
      <c r="M1407" s="115">
        <v>164.2</v>
      </c>
      <c r="N1407" s="115">
        <v>165.19</v>
      </c>
      <c r="O1407" s="115">
        <v>158.5</v>
      </c>
      <c r="P1407" s="115">
        <v>159</v>
      </c>
      <c r="Q1407" s="115">
        <v>821</v>
      </c>
      <c r="R1407">
        <v>1497723</v>
      </c>
    </row>
    <row r="1408" spans="1:18" x14ac:dyDescent="0.25">
      <c r="A1408" s="169">
        <v>44749</v>
      </c>
      <c r="B1408" s="115">
        <v>169.33</v>
      </c>
      <c r="C1408" s="115">
        <v>165.01</v>
      </c>
      <c r="D1408" s="115">
        <v>162.46</v>
      </c>
      <c r="E1408" s="115">
        <v>165.02</v>
      </c>
      <c r="F1408" s="115">
        <v>825.05</v>
      </c>
      <c r="G1408">
        <v>74852</v>
      </c>
      <c r="H1408" s="115"/>
      <c r="I1408" s="115"/>
      <c r="L1408" s="169">
        <v>44749</v>
      </c>
      <c r="M1408" s="115">
        <v>165.44</v>
      </c>
      <c r="N1408" s="115">
        <v>169.4</v>
      </c>
      <c r="O1408" s="115">
        <v>163.62</v>
      </c>
      <c r="P1408" s="115">
        <v>166</v>
      </c>
      <c r="Q1408" s="115">
        <v>827.2</v>
      </c>
      <c r="R1408">
        <v>1247045</v>
      </c>
    </row>
    <row r="1409" spans="1:18" x14ac:dyDescent="0.25">
      <c r="A1409" s="169">
        <v>44750</v>
      </c>
      <c r="B1409" s="115">
        <v>170.4</v>
      </c>
      <c r="C1409" s="115">
        <v>169.72</v>
      </c>
      <c r="D1409" s="115">
        <v>164</v>
      </c>
      <c r="E1409" s="115">
        <v>169.24</v>
      </c>
      <c r="F1409" s="115">
        <v>848.6</v>
      </c>
      <c r="G1409">
        <v>19385</v>
      </c>
      <c r="H1409" s="115"/>
      <c r="I1409" s="115"/>
      <c r="L1409" s="169">
        <v>44750</v>
      </c>
      <c r="M1409" s="115">
        <v>169.71</v>
      </c>
      <c r="N1409" s="115">
        <v>170.36</v>
      </c>
      <c r="O1409" s="115">
        <v>163.98</v>
      </c>
      <c r="P1409" s="115">
        <v>166.98</v>
      </c>
      <c r="Q1409" s="115">
        <v>848.55</v>
      </c>
      <c r="R1409">
        <v>1036719</v>
      </c>
    </row>
    <row r="1410" spans="1:18" x14ac:dyDescent="0.25">
      <c r="A1410" s="169">
        <v>44753</v>
      </c>
      <c r="B1410" s="115">
        <v>173.03</v>
      </c>
      <c r="C1410" s="115">
        <v>171.22</v>
      </c>
      <c r="D1410" s="115">
        <v>169.21</v>
      </c>
      <c r="E1410" s="115">
        <v>170.38</v>
      </c>
      <c r="F1410" s="115">
        <v>856.1</v>
      </c>
      <c r="G1410">
        <v>34486</v>
      </c>
      <c r="H1410" s="115"/>
      <c r="I1410" s="115"/>
      <c r="L1410" s="169">
        <v>44753</v>
      </c>
      <c r="M1410" s="115">
        <v>171.05</v>
      </c>
      <c r="N1410" s="115">
        <v>173.15</v>
      </c>
      <c r="O1410" s="115">
        <v>169.13</v>
      </c>
      <c r="P1410" s="115">
        <v>170.26</v>
      </c>
      <c r="Q1410" s="115">
        <v>855.25</v>
      </c>
      <c r="R1410">
        <v>824142</v>
      </c>
    </row>
    <row r="1411" spans="1:18" x14ac:dyDescent="0.25">
      <c r="A1411" s="169">
        <v>44754</v>
      </c>
      <c r="B1411" s="115">
        <v>173</v>
      </c>
      <c r="C1411" s="115">
        <v>170.32</v>
      </c>
      <c r="D1411" s="115">
        <v>167.49</v>
      </c>
      <c r="E1411" s="115">
        <v>172.38</v>
      </c>
      <c r="F1411" s="115">
        <v>851.6</v>
      </c>
      <c r="G1411">
        <v>42593</v>
      </c>
      <c r="H1411" s="115"/>
      <c r="I1411" s="115"/>
      <c r="L1411" s="169">
        <v>44754</v>
      </c>
      <c r="M1411" s="115">
        <v>170.69</v>
      </c>
      <c r="N1411" s="115">
        <v>173</v>
      </c>
      <c r="O1411" s="115">
        <v>167.52</v>
      </c>
      <c r="P1411" s="115">
        <v>171.25</v>
      </c>
      <c r="Q1411" s="115">
        <v>853.45</v>
      </c>
      <c r="R1411">
        <v>995918</v>
      </c>
    </row>
    <row r="1412" spans="1:18" x14ac:dyDescent="0.25">
      <c r="A1412" s="169">
        <v>44755</v>
      </c>
      <c r="B1412" s="115">
        <v>176</v>
      </c>
      <c r="C1412" s="115">
        <v>174.95</v>
      </c>
      <c r="D1412" s="115">
        <v>171.6</v>
      </c>
      <c r="E1412" s="115">
        <v>173.6</v>
      </c>
      <c r="F1412" s="115">
        <v>874.75</v>
      </c>
      <c r="G1412">
        <v>30985</v>
      </c>
      <c r="H1412" s="115"/>
      <c r="I1412" s="115"/>
      <c r="L1412" s="169">
        <v>44755</v>
      </c>
      <c r="M1412" s="115">
        <v>174.94</v>
      </c>
      <c r="N1412" s="115">
        <v>176</v>
      </c>
      <c r="O1412" s="115">
        <v>171.49</v>
      </c>
      <c r="P1412" s="115">
        <v>172.6</v>
      </c>
      <c r="Q1412" s="115">
        <v>874.7</v>
      </c>
      <c r="R1412">
        <v>1377055</v>
      </c>
    </row>
    <row r="1413" spans="1:18" x14ac:dyDescent="0.25">
      <c r="A1413" s="169">
        <v>44756</v>
      </c>
      <c r="B1413" s="115">
        <v>176.71</v>
      </c>
      <c r="C1413" s="115">
        <v>167.5</v>
      </c>
      <c r="D1413" s="115">
        <v>163.66</v>
      </c>
      <c r="E1413" s="115">
        <v>176.57</v>
      </c>
      <c r="F1413" s="115">
        <v>837.5</v>
      </c>
      <c r="G1413">
        <v>74732</v>
      </c>
      <c r="H1413" s="115"/>
      <c r="I1413" s="115"/>
      <c r="L1413" s="169">
        <v>44756</v>
      </c>
      <c r="M1413" s="115">
        <v>166.96</v>
      </c>
      <c r="N1413" s="115">
        <v>176.68</v>
      </c>
      <c r="O1413" s="115">
        <v>164.84</v>
      </c>
      <c r="P1413" s="115">
        <v>176</v>
      </c>
      <c r="Q1413" s="115">
        <v>834.8</v>
      </c>
      <c r="R1413">
        <v>1269007</v>
      </c>
    </row>
    <row r="1414" spans="1:18" x14ac:dyDescent="0.25">
      <c r="A1414" s="169">
        <v>44757</v>
      </c>
      <c r="B1414" s="115">
        <v>171</v>
      </c>
      <c r="C1414" s="115">
        <v>165.32</v>
      </c>
      <c r="D1414" s="115">
        <v>163.59</v>
      </c>
      <c r="E1414" s="115">
        <v>168.01</v>
      </c>
      <c r="F1414" s="115">
        <v>826.6</v>
      </c>
      <c r="G1414">
        <v>57358</v>
      </c>
      <c r="H1414" s="115"/>
      <c r="I1414" s="115"/>
      <c r="L1414" s="169">
        <v>44757</v>
      </c>
      <c r="M1414" s="115">
        <v>165.32</v>
      </c>
      <c r="N1414" s="115">
        <v>171</v>
      </c>
      <c r="O1414" s="115">
        <v>163.54</v>
      </c>
      <c r="P1414" s="115">
        <v>168.8</v>
      </c>
      <c r="Q1414" s="115">
        <v>826.6</v>
      </c>
      <c r="R1414">
        <v>913793</v>
      </c>
    </row>
    <row r="1415" spans="1:18" x14ac:dyDescent="0.25">
      <c r="A1415" s="169">
        <v>44760</v>
      </c>
      <c r="B1415" s="115">
        <v>173.34</v>
      </c>
      <c r="C1415" s="115">
        <v>171.48</v>
      </c>
      <c r="D1415" s="115">
        <v>165.29</v>
      </c>
      <c r="E1415" s="115">
        <v>166.4</v>
      </c>
      <c r="F1415" s="115">
        <v>857.4</v>
      </c>
      <c r="G1415">
        <v>48191</v>
      </c>
      <c r="H1415" s="115"/>
      <c r="I1415" s="115"/>
      <c r="L1415" s="169">
        <v>44760</v>
      </c>
      <c r="M1415" s="115">
        <v>171.23</v>
      </c>
      <c r="N1415" s="115">
        <v>173.18</v>
      </c>
      <c r="O1415" s="115">
        <v>165.51</v>
      </c>
      <c r="P1415" s="115">
        <v>167.34</v>
      </c>
      <c r="Q1415" s="115">
        <v>856.15</v>
      </c>
      <c r="R1415">
        <v>1565433</v>
      </c>
    </row>
    <row r="1416" spans="1:18" x14ac:dyDescent="0.25">
      <c r="A1416" s="169">
        <v>44761</v>
      </c>
      <c r="B1416" s="115">
        <v>176.8</v>
      </c>
      <c r="C1416" s="115">
        <v>175.55</v>
      </c>
      <c r="D1416" s="115">
        <v>170.69</v>
      </c>
      <c r="E1416" s="115">
        <v>171.68</v>
      </c>
      <c r="F1416" s="115">
        <v>877.75</v>
      </c>
      <c r="G1416">
        <v>99781</v>
      </c>
      <c r="H1416" s="115"/>
      <c r="I1416" s="115"/>
      <c r="L1416" s="169">
        <v>44761</v>
      </c>
      <c r="M1416" s="115">
        <v>175.82</v>
      </c>
      <c r="N1416" s="115">
        <v>176.85</v>
      </c>
      <c r="O1416" s="115">
        <v>170.73</v>
      </c>
      <c r="P1416" s="115">
        <v>171.73</v>
      </c>
      <c r="Q1416" s="115">
        <v>879.1</v>
      </c>
      <c r="R1416">
        <v>1296442</v>
      </c>
    </row>
    <row r="1417" spans="1:18" x14ac:dyDescent="0.25">
      <c r="A1417" s="169">
        <v>44762</v>
      </c>
      <c r="B1417" s="115">
        <v>180</v>
      </c>
      <c r="C1417" s="115">
        <v>178.5</v>
      </c>
      <c r="D1417" s="115">
        <v>175.07</v>
      </c>
      <c r="E1417" s="115">
        <v>178.38</v>
      </c>
      <c r="F1417" s="115">
        <v>892.5</v>
      </c>
      <c r="G1417">
        <v>43356</v>
      </c>
      <c r="H1417" s="115"/>
      <c r="I1417" s="115"/>
      <c r="L1417" s="169">
        <v>44762</v>
      </c>
      <c r="M1417" s="115">
        <v>178.67</v>
      </c>
      <c r="N1417" s="115">
        <v>180</v>
      </c>
      <c r="O1417" s="115">
        <v>175</v>
      </c>
      <c r="P1417" s="115">
        <v>177.38</v>
      </c>
      <c r="Q1417" s="115">
        <v>893.35</v>
      </c>
      <c r="R1417">
        <v>1248058</v>
      </c>
    </row>
    <row r="1418" spans="1:18" x14ac:dyDescent="0.25">
      <c r="A1418" s="169">
        <v>44763</v>
      </c>
      <c r="B1418" s="115">
        <v>182.21</v>
      </c>
      <c r="C1418" s="115">
        <v>174.44</v>
      </c>
      <c r="D1418" s="115">
        <v>173.34</v>
      </c>
      <c r="E1418" s="115">
        <v>179</v>
      </c>
      <c r="F1418" s="115">
        <v>872.2</v>
      </c>
      <c r="G1418">
        <v>87485</v>
      </c>
      <c r="H1418" s="115"/>
      <c r="I1418" s="115"/>
      <c r="L1418" s="169">
        <v>44763</v>
      </c>
      <c r="M1418" s="115">
        <v>174.39</v>
      </c>
      <c r="N1418" s="115">
        <v>182.12</v>
      </c>
      <c r="O1418" s="115">
        <v>173.6</v>
      </c>
      <c r="P1418" s="115">
        <v>179.65</v>
      </c>
      <c r="Q1418" s="115">
        <v>871.95</v>
      </c>
      <c r="R1418">
        <v>1537223</v>
      </c>
    </row>
    <row r="1419" spans="1:18" x14ac:dyDescent="0.25">
      <c r="A1419" s="169">
        <v>44764</v>
      </c>
      <c r="B1419" s="115">
        <v>176.45</v>
      </c>
      <c r="C1419" s="115">
        <v>174.38</v>
      </c>
      <c r="D1419" s="115">
        <v>171.2</v>
      </c>
      <c r="E1419" s="115">
        <v>175.99</v>
      </c>
      <c r="F1419" s="115">
        <v>871.9</v>
      </c>
      <c r="G1419">
        <v>59186</v>
      </c>
      <c r="H1419" s="115"/>
      <c r="I1419" s="115"/>
      <c r="L1419" s="169">
        <v>44764</v>
      </c>
      <c r="M1419" s="115">
        <v>174.46</v>
      </c>
      <c r="N1419" s="115">
        <v>176.44</v>
      </c>
      <c r="O1419" s="115">
        <v>171.04</v>
      </c>
      <c r="P1419" s="115">
        <v>175.38</v>
      </c>
      <c r="Q1419" s="115">
        <v>872.3</v>
      </c>
      <c r="R1419">
        <v>699171</v>
      </c>
    </row>
    <row r="1420" spans="1:18" x14ac:dyDescent="0.25">
      <c r="A1420" s="169">
        <v>44767</v>
      </c>
      <c r="B1420" s="115">
        <v>177.99</v>
      </c>
      <c r="C1420" s="115">
        <v>175.06</v>
      </c>
      <c r="D1420" s="115">
        <v>172.61</v>
      </c>
      <c r="E1420" s="115">
        <v>175.2</v>
      </c>
      <c r="F1420" s="115">
        <v>875.3</v>
      </c>
      <c r="G1420">
        <v>20198</v>
      </c>
      <c r="H1420" s="115"/>
      <c r="I1420" s="115"/>
      <c r="L1420" s="169">
        <v>44767</v>
      </c>
      <c r="M1420" s="115">
        <v>174.99</v>
      </c>
      <c r="N1420" s="115">
        <v>178</v>
      </c>
      <c r="O1420" s="115">
        <v>172.6</v>
      </c>
      <c r="P1420" s="115">
        <v>175.52</v>
      </c>
      <c r="Q1420" s="115">
        <v>874.95</v>
      </c>
      <c r="R1420">
        <v>584852</v>
      </c>
    </row>
    <row r="1421" spans="1:18" x14ac:dyDescent="0.25">
      <c r="A1421" s="169">
        <v>44768</v>
      </c>
      <c r="B1421" s="115">
        <v>176.7</v>
      </c>
      <c r="C1421" s="115">
        <v>175.6</v>
      </c>
      <c r="D1421" s="115">
        <v>173.45</v>
      </c>
      <c r="E1421" s="115">
        <v>176.4</v>
      </c>
      <c r="F1421" s="115">
        <v>878</v>
      </c>
      <c r="G1421">
        <v>56229</v>
      </c>
      <c r="H1421" s="115"/>
      <c r="I1421" s="115"/>
      <c r="L1421" s="169">
        <v>44768</v>
      </c>
      <c r="M1421" s="115">
        <v>175.63</v>
      </c>
      <c r="N1421" s="115">
        <v>176.45</v>
      </c>
      <c r="O1421" s="115">
        <v>173.61</v>
      </c>
      <c r="P1421" s="115">
        <v>175</v>
      </c>
      <c r="Q1421" s="115">
        <v>878.15</v>
      </c>
      <c r="R1421">
        <v>758753</v>
      </c>
    </row>
    <row r="1422" spans="1:18" x14ac:dyDescent="0.25">
      <c r="A1422" s="169">
        <v>44769</v>
      </c>
      <c r="B1422" s="115">
        <v>176.93</v>
      </c>
      <c r="C1422" s="115">
        <v>173.95</v>
      </c>
      <c r="D1422" s="115">
        <v>173.21</v>
      </c>
      <c r="E1422" s="115">
        <v>176</v>
      </c>
      <c r="F1422" s="115">
        <v>869.75</v>
      </c>
      <c r="G1422">
        <v>15146</v>
      </c>
      <c r="H1422" s="115"/>
      <c r="I1422" s="115"/>
      <c r="L1422" s="169">
        <v>44769</v>
      </c>
      <c r="M1422" s="115">
        <v>173.98</v>
      </c>
      <c r="N1422" s="115">
        <v>176.94</v>
      </c>
      <c r="O1422" s="115">
        <v>173.21</v>
      </c>
      <c r="P1422" s="115">
        <v>175.8</v>
      </c>
      <c r="Q1422" s="115">
        <v>869.9</v>
      </c>
      <c r="R1422">
        <v>462739</v>
      </c>
    </row>
    <row r="1423" spans="1:18" x14ac:dyDescent="0.25">
      <c r="A1423" s="169">
        <v>44770</v>
      </c>
      <c r="B1423" s="115">
        <v>176.8</v>
      </c>
      <c r="C1423" s="115">
        <v>174.8</v>
      </c>
      <c r="D1423" s="115">
        <v>171.87</v>
      </c>
      <c r="E1423" s="115">
        <v>176.4</v>
      </c>
      <c r="F1423" s="115">
        <v>874</v>
      </c>
      <c r="G1423">
        <v>23415</v>
      </c>
      <c r="H1423" s="115"/>
      <c r="I1423" s="115"/>
      <c r="L1423" s="169">
        <v>44770</v>
      </c>
      <c r="M1423" s="115">
        <v>175.25</v>
      </c>
      <c r="N1423" s="115">
        <v>176.8</v>
      </c>
      <c r="O1423" s="115">
        <v>171.8</v>
      </c>
      <c r="P1423" s="115">
        <v>175</v>
      </c>
      <c r="Q1423" s="115">
        <v>876.25</v>
      </c>
      <c r="R1423">
        <v>564935</v>
      </c>
    </row>
    <row r="1424" spans="1:18" x14ac:dyDescent="0.25">
      <c r="A1424" s="169">
        <v>44771</v>
      </c>
      <c r="B1424" s="115">
        <v>178.52</v>
      </c>
      <c r="C1424" s="115">
        <v>176.63</v>
      </c>
      <c r="D1424" s="115">
        <v>175.2</v>
      </c>
      <c r="E1424" s="115">
        <v>176.6</v>
      </c>
      <c r="F1424" s="115">
        <v>883.15</v>
      </c>
      <c r="G1424">
        <v>60488</v>
      </c>
      <c r="H1424" s="115"/>
      <c r="I1424" s="115"/>
      <c r="L1424" s="169">
        <v>44771</v>
      </c>
      <c r="M1424" s="115">
        <v>176.54</v>
      </c>
      <c r="N1424" s="115">
        <v>178.5</v>
      </c>
      <c r="O1424" s="115">
        <v>175.01</v>
      </c>
      <c r="P1424" s="115">
        <v>176.2</v>
      </c>
      <c r="Q1424" s="115">
        <v>882.7</v>
      </c>
      <c r="R1424">
        <v>1082659</v>
      </c>
    </row>
    <row r="1425" spans="1:18" x14ac:dyDescent="0.25">
      <c r="A1425" s="169">
        <v>44774</v>
      </c>
      <c r="B1425" s="115">
        <v>189.15</v>
      </c>
      <c r="C1425" s="115">
        <v>185.27</v>
      </c>
      <c r="D1425" s="115">
        <v>177.94</v>
      </c>
      <c r="E1425" s="115">
        <v>178.4</v>
      </c>
      <c r="F1425" s="115">
        <v>926.35</v>
      </c>
      <c r="G1425">
        <v>246120</v>
      </c>
      <c r="H1425" s="115"/>
      <c r="I1425" s="115"/>
      <c r="L1425" s="169">
        <v>44774</v>
      </c>
      <c r="M1425" s="115">
        <v>185.22</v>
      </c>
      <c r="N1425" s="115">
        <v>189.2</v>
      </c>
      <c r="O1425" s="115">
        <v>178</v>
      </c>
      <c r="P1425" s="115">
        <v>178.36</v>
      </c>
      <c r="Q1425" s="115">
        <v>926.1</v>
      </c>
      <c r="R1425">
        <v>3812653</v>
      </c>
    </row>
    <row r="1426" spans="1:18" x14ac:dyDescent="0.25">
      <c r="A1426" s="169">
        <v>44775</v>
      </c>
      <c r="B1426" s="115">
        <v>192</v>
      </c>
      <c r="C1426" s="115">
        <v>183.08</v>
      </c>
      <c r="D1426" s="115">
        <v>182.49</v>
      </c>
      <c r="E1426" s="115">
        <v>192</v>
      </c>
      <c r="F1426" s="115">
        <v>915.4</v>
      </c>
      <c r="G1426">
        <v>144152</v>
      </c>
      <c r="H1426" s="115"/>
      <c r="I1426" s="115"/>
      <c r="L1426" s="169">
        <v>44775</v>
      </c>
      <c r="M1426" s="115">
        <v>183.12</v>
      </c>
      <c r="N1426" s="115">
        <v>192</v>
      </c>
      <c r="O1426" s="115">
        <v>182.4</v>
      </c>
      <c r="P1426" s="115">
        <v>192</v>
      </c>
      <c r="Q1426" s="115">
        <v>915.6</v>
      </c>
      <c r="R1426">
        <v>2649369</v>
      </c>
    </row>
    <row r="1427" spans="1:18" x14ac:dyDescent="0.25">
      <c r="A1427" s="169">
        <v>44776</v>
      </c>
      <c r="B1427" s="115">
        <v>190</v>
      </c>
      <c r="C1427" s="115">
        <v>188.39</v>
      </c>
      <c r="D1427" s="115">
        <v>180.97</v>
      </c>
      <c r="E1427" s="115">
        <v>183.2</v>
      </c>
      <c r="F1427" s="115">
        <v>941.95</v>
      </c>
      <c r="G1427">
        <v>121657</v>
      </c>
      <c r="H1427" s="115"/>
      <c r="I1427" s="115"/>
      <c r="L1427" s="169">
        <v>44776</v>
      </c>
      <c r="M1427" s="115">
        <v>188.52</v>
      </c>
      <c r="N1427" s="115">
        <v>189.8</v>
      </c>
      <c r="O1427" s="115">
        <v>180.87</v>
      </c>
      <c r="P1427" s="115">
        <v>183</v>
      </c>
      <c r="Q1427" s="115">
        <v>942.6</v>
      </c>
      <c r="R1427">
        <v>2472263</v>
      </c>
    </row>
    <row r="1428" spans="1:18" x14ac:dyDescent="0.25">
      <c r="A1428" s="169">
        <v>44777</v>
      </c>
      <c r="B1428" s="115">
        <v>205.38</v>
      </c>
      <c r="C1428" s="115">
        <v>200.92</v>
      </c>
      <c r="D1428" s="115">
        <v>189.52</v>
      </c>
      <c r="E1428" s="115">
        <v>190</v>
      </c>
      <c r="F1428" s="115">
        <v>1004.6</v>
      </c>
      <c r="G1428">
        <v>133781</v>
      </c>
      <c r="H1428" s="115"/>
      <c r="I1428" s="115"/>
      <c r="L1428" s="169">
        <v>44777</v>
      </c>
      <c r="M1428" s="115">
        <v>200.75</v>
      </c>
      <c r="N1428" s="115">
        <v>205.56</v>
      </c>
      <c r="O1428" s="115">
        <v>189.16</v>
      </c>
      <c r="P1428" s="115">
        <v>189.8</v>
      </c>
      <c r="Q1428" s="115">
        <v>1003.75</v>
      </c>
      <c r="R1428">
        <v>3612428</v>
      </c>
    </row>
    <row r="1429" spans="1:18" x14ac:dyDescent="0.25">
      <c r="A1429" s="169">
        <v>44778</v>
      </c>
      <c r="B1429" s="115">
        <v>209.6</v>
      </c>
      <c r="C1429" s="115">
        <v>204.94</v>
      </c>
      <c r="D1429" s="115">
        <v>199.09</v>
      </c>
      <c r="E1429" s="115">
        <v>203.01</v>
      </c>
      <c r="F1429" s="115">
        <v>1024.7</v>
      </c>
      <c r="G1429">
        <v>201395</v>
      </c>
      <c r="H1429" s="115"/>
      <c r="I1429" s="115"/>
      <c r="L1429" s="169">
        <v>44778</v>
      </c>
      <c r="M1429" s="115">
        <v>205.05</v>
      </c>
      <c r="N1429" s="115">
        <v>209.56</v>
      </c>
      <c r="O1429" s="115">
        <v>199</v>
      </c>
      <c r="P1429" s="115">
        <v>203.74</v>
      </c>
      <c r="Q1429" s="115">
        <v>1025.25</v>
      </c>
      <c r="R1429">
        <v>2920228</v>
      </c>
    </row>
    <row r="1430" spans="1:18" x14ac:dyDescent="0.25">
      <c r="A1430" s="169">
        <v>44781</v>
      </c>
      <c r="B1430" s="115">
        <v>205.82</v>
      </c>
      <c r="C1430" s="115">
        <v>202.43</v>
      </c>
      <c r="D1430" s="115">
        <v>198.6</v>
      </c>
      <c r="E1430" s="115">
        <v>205.82</v>
      </c>
      <c r="F1430" s="115">
        <v>1012.15</v>
      </c>
      <c r="G1430">
        <v>46976</v>
      </c>
      <c r="H1430" s="115"/>
      <c r="I1430" s="115"/>
      <c r="L1430" s="169">
        <v>44781</v>
      </c>
      <c r="M1430" s="115">
        <v>202.33</v>
      </c>
      <c r="N1430" s="115">
        <v>204.8</v>
      </c>
      <c r="O1430" s="115">
        <v>198.44</v>
      </c>
      <c r="P1430" s="115">
        <v>204.8</v>
      </c>
      <c r="Q1430" s="115">
        <v>1011.65</v>
      </c>
      <c r="R1430">
        <v>2028176</v>
      </c>
    </row>
    <row r="1431" spans="1:18" x14ac:dyDescent="0.25">
      <c r="A1431" s="169">
        <v>44783</v>
      </c>
      <c r="B1431" s="115">
        <v>204.9</v>
      </c>
      <c r="C1431" s="115">
        <v>200.77</v>
      </c>
      <c r="D1431" s="115">
        <v>199.14</v>
      </c>
      <c r="E1431" s="115">
        <v>204.9</v>
      </c>
      <c r="F1431" s="115">
        <v>1003.85</v>
      </c>
      <c r="G1431">
        <v>76245</v>
      </c>
      <c r="H1431" s="115"/>
      <c r="I1431" s="115"/>
      <c r="L1431" s="169">
        <v>44783</v>
      </c>
      <c r="M1431" s="115">
        <v>200.6</v>
      </c>
      <c r="N1431" s="115">
        <v>204.37</v>
      </c>
      <c r="O1431" s="115">
        <v>199</v>
      </c>
      <c r="P1431" s="115">
        <v>203.99</v>
      </c>
      <c r="Q1431" s="115">
        <v>1003</v>
      </c>
      <c r="R1431">
        <v>2089590</v>
      </c>
    </row>
    <row r="1432" spans="1:18" x14ac:dyDescent="0.25">
      <c r="A1432" s="169">
        <v>44784</v>
      </c>
      <c r="B1432" s="115">
        <v>203.77</v>
      </c>
      <c r="C1432" s="115">
        <v>200.56</v>
      </c>
      <c r="D1432" s="115">
        <v>199.5</v>
      </c>
      <c r="E1432" s="115">
        <v>202.58</v>
      </c>
      <c r="F1432" s="115">
        <v>1002.8</v>
      </c>
      <c r="G1432">
        <v>56786</v>
      </c>
      <c r="H1432" s="115"/>
      <c r="I1432" s="115"/>
      <c r="L1432" s="169">
        <v>44784</v>
      </c>
      <c r="M1432" s="115">
        <v>200.53</v>
      </c>
      <c r="N1432" s="115">
        <v>203.93</v>
      </c>
      <c r="O1432" s="115">
        <v>199.43</v>
      </c>
      <c r="P1432" s="115">
        <v>202.96</v>
      </c>
      <c r="Q1432" s="115">
        <v>1002.65</v>
      </c>
      <c r="R1432">
        <v>1337439</v>
      </c>
    </row>
    <row r="1433" spans="1:18" x14ac:dyDescent="0.25">
      <c r="A1433" s="169">
        <v>44785</v>
      </c>
      <c r="B1433" s="115">
        <v>206</v>
      </c>
      <c r="C1433" s="115">
        <v>205.18</v>
      </c>
      <c r="D1433" s="115">
        <v>200.61</v>
      </c>
      <c r="E1433" s="115">
        <v>202.56</v>
      </c>
      <c r="F1433" s="115">
        <v>1025.9000000000001</v>
      </c>
      <c r="G1433">
        <v>71713</v>
      </c>
      <c r="H1433" s="115"/>
      <c r="I1433" s="115"/>
      <c r="L1433" s="169">
        <v>44785</v>
      </c>
      <c r="M1433" s="115">
        <v>205.1</v>
      </c>
      <c r="N1433" s="115">
        <v>206.85</v>
      </c>
      <c r="O1433" s="115">
        <v>200.53</v>
      </c>
      <c r="P1433" s="115">
        <v>201</v>
      </c>
      <c r="Q1433" s="115">
        <v>1025.5</v>
      </c>
      <c r="R1433">
        <v>1007853</v>
      </c>
    </row>
    <row r="1434" spans="1:18" x14ac:dyDescent="0.25">
      <c r="A1434" s="169">
        <v>44789</v>
      </c>
      <c r="B1434" s="115">
        <v>216.72</v>
      </c>
      <c r="C1434" s="115">
        <v>207.84</v>
      </c>
      <c r="D1434" s="115">
        <v>203.5</v>
      </c>
      <c r="E1434" s="115">
        <v>205.2</v>
      </c>
      <c r="F1434" s="115">
        <v>1039.2</v>
      </c>
      <c r="G1434">
        <v>144853</v>
      </c>
      <c r="H1434" s="115"/>
      <c r="I1434" s="115"/>
      <c r="L1434" s="169">
        <v>44789</v>
      </c>
      <c r="M1434" s="115">
        <v>207.85</v>
      </c>
      <c r="N1434" s="115">
        <v>216.83</v>
      </c>
      <c r="O1434" s="115">
        <v>203.5</v>
      </c>
      <c r="P1434" s="115">
        <v>206</v>
      </c>
      <c r="Q1434" s="115">
        <v>1039.25</v>
      </c>
      <c r="R1434">
        <v>1835000</v>
      </c>
    </row>
    <row r="1435" spans="1:18" x14ac:dyDescent="0.25">
      <c r="A1435" s="169">
        <v>44790</v>
      </c>
      <c r="B1435" s="115">
        <v>209.59</v>
      </c>
      <c r="C1435" s="115">
        <v>207.49</v>
      </c>
      <c r="D1435" s="115">
        <v>205.4</v>
      </c>
      <c r="E1435" s="115">
        <v>209.59</v>
      </c>
      <c r="F1435" s="115">
        <v>1037.45</v>
      </c>
      <c r="G1435">
        <v>31937</v>
      </c>
      <c r="H1435" s="115"/>
      <c r="I1435" s="115"/>
      <c r="L1435" s="169">
        <v>44790</v>
      </c>
      <c r="M1435" s="115">
        <v>207.3</v>
      </c>
      <c r="N1435" s="115">
        <v>209</v>
      </c>
      <c r="O1435" s="115">
        <v>205.22</v>
      </c>
      <c r="P1435" s="115">
        <v>209</v>
      </c>
      <c r="Q1435" s="115">
        <v>1036.5</v>
      </c>
      <c r="R1435">
        <v>1306313</v>
      </c>
    </row>
    <row r="1436" spans="1:18" x14ac:dyDescent="0.25">
      <c r="A1436" s="169">
        <v>44791</v>
      </c>
      <c r="B1436" s="115">
        <v>210.23</v>
      </c>
      <c r="C1436" s="115">
        <v>208.37</v>
      </c>
      <c r="D1436" s="115">
        <v>206.55</v>
      </c>
      <c r="E1436" s="115">
        <v>206.81</v>
      </c>
      <c r="F1436" s="115">
        <v>1041.8499999999999</v>
      </c>
      <c r="G1436">
        <v>46544</v>
      </c>
      <c r="H1436" s="115"/>
      <c r="I1436" s="115"/>
      <c r="L1436" s="169">
        <v>44791</v>
      </c>
      <c r="M1436" s="115">
        <v>208.18</v>
      </c>
      <c r="N1436" s="115">
        <v>210.43</v>
      </c>
      <c r="O1436" s="115">
        <v>206.43</v>
      </c>
      <c r="P1436" s="115">
        <v>207.3</v>
      </c>
      <c r="Q1436" s="115">
        <v>1040.9000000000001</v>
      </c>
      <c r="R1436">
        <v>1108149</v>
      </c>
    </row>
    <row r="1437" spans="1:18" x14ac:dyDescent="0.25">
      <c r="A1437" s="169">
        <v>44792</v>
      </c>
      <c r="B1437" s="115">
        <v>209.14</v>
      </c>
      <c r="C1437" s="115">
        <v>197.73</v>
      </c>
      <c r="D1437" s="115">
        <v>197.2</v>
      </c>
      <c r="E1437" s="115">
        <v>208.01</v>
      </c>
      <c r="F1437" s="115">
        <v>988.65</v>
      </c>
      <c r="G1437">
        <v>141465</v>
      </c>
      <c r="H1437" s="115"/>
      <c r="I1437" s="115"/>
      <c r="L1437" s="169">
        <v>44792</v>
      </c>
      <c r="M1437" s="115">
        <v>197.63</v>
      </c>
      <c r="N1437" s="115">
        <v>209.2</v>
      </c>
      <c r="O1437" s="115">
        <v>197.11</v>
      </c>
      <c r="P1437" s="115">
        <v>209.2</v>
      </c>
      <c r="Q1437" s="115">
        <v>988.15</v>
      </c>
      <c r="R1437">
        <v>1678951</v>
      </c>
    </row>
    <row r="1438" spans="1:18" x14ac:dyDescent="0.25">
      <c r="A1438" s="169">
        <v>44795</v>
      </c>
      <c r="B1438" s="115">
        <v>199.39</v>
      </c>
      <c r="C1438" s="115">
        <v>183.8</v>
      </c>
      <c r="D1438" s="115">
        <v>181.6</v>
      </c>
      <c r="E1438" s="115">
        <v>198.4</v>
      </c>
      <c r="F1438" s="115">
        <v>919</v>
      </c>
      <c r="G1438">
        <v>183329</v>
      </c>
      <c r="H1438" s="115"/>
      <c r="I1438" s="115"/>
      <c r="L1438" s="169">
        <v>44795</v>
      </c>
      <c r="M1438" s="115">
        <v>183.95</v>
      </c>
      <c r="N1438" s="115">
        <v>199.4</v>
      </c>
      <c r="O1438" s="115">
        <v>181.58</v>
      </c>
      <c r="P1438" s="115">
        <v>199.4</v>
      </c>
      <c r="Q1438" s="115">
        <v>919.75</v>
      </c>
      <c r="R1438">
        <v>2306157</v>
      </c>
    </row>
    <row r="1439" spans="1:18" x14ac:dyDescent="0.25">
      <c r="A1439" s="169">
        <v>44796</v>
      </c>
      <c r="B1439" s="115">
        <v>194.2</v>
      </c>
      <c r="C1439" s="115">
        <v>192.48</v>
      </c>
      <c r="D1439" s="115">
        <v>183.6</v>
      </c>
      <c r="E1439" s="115">
        <v>183.6</v>
      </c>
      <c r="F1439" s="115">
        <v>962.4</v>
      </c>
      <c r="G1439">
        <v>143521</v>
      </c>
      <c r="H1439" s="115"/>
      <c r="I1439" s="115"/>
      <c r="L1439" s="169">
        <v>44796</v>
      </c>
      <c r="M1439" s="115">
        <v>192.71</v>
      </c>
      <c r="N1439" s="115">
        <v>194.04</v>
      </c>
      <c r="O1439" s="115">
        <v>183.41</v>
      </c>
      <c r="P1439" s="115">
        <v>183.95</v>
      </c>
      <c r="Q1439" s="115">
        <v>963.55</v>
      </c>
      <c r="R1439">
        <v>2190884</v>
      </c>
    </row>
    <row r="1440" spans="1:18" x14ac:dyDescent="0.25">
      <c r="A1440" s="169">
        <v>44797</v>
      </c>
      <c r="B1440" s="115">
        <v>208.96</v>
      </c>
      <c r="C1440" s="115">
        <v>206.17</v>
      </c>
      <c r="D1440" s="115">
        <v>192.94</v>
      </c>
      <c r="E1440" s="115">
        <v>194.6</v>
      </c>
      <c r="F1440" s="115">
        <v>1030.8499999999999</v>
      </c>
      <c r="G1440">
        <v>97338</v>
      </c>
      <c r="H1440" s="115"/>
      <c r="I1440" s="115"/>
      <c r="L1440" s="169">
        <v>44797</v>
      </c>
      <c r="M1440" s="115">
        <v>206.18</v>
      </c>
      <c r="N1440" s="115">
        <v>209</v>
      </c>
      <c r="O1440" s="115">
        <v>192.71</v>
      </c>
      <c r="P1440" s="115">
        <v>194</v>
      </c>
      <c r="Q1440" s="115">
        <v>1030.9000000000001</v>
      </c>
      <c r="R1440">
        <v>3927262</v>
      </c>
    </row>
    <row r="1441" spans="1:18" x14ac:dyDescent="0.25">
      <c r="A1441" s="169">
        <v>44798</v>
      </c>
      <c r="B1441" s="115">
        <v>208.2</v>
      </c>
      <c r="C1441" s="115">
        <v>205.65</v>
      </c>
      <c r="D1441" s="115">
        <v>199.12</v>
      </c>
      <c r="E1441" s="115">
        <v>207</v>
      </c>
      <c r="F1441" s="115">
        <v>1028.25</v>
      </c>
      <c r="G1441">
        <v>94476</v>
      </c>
      <c r="H1441" s="115"/>
      <c r="I1441" s="115"/>
      <c r="L1441" s="169">
        <v>44798</v>
      </c>
      <c r="M1441" s="115">
        <v>205.66</v>
      </c>
      <c r="N1441" s="115">
        <v>208.18</v>
      </c>
      <c r="O1441" s="115">
        <v>198.93</v>
      </c>
      <c r="P1441" s="115">
        <v>207.58</v>
      </c>
      <c r="Q1441" s="115">
        <v>1028.3</v>
      </c>
      <c r="R1441">
        <v>2525202</v>
      </c>
    </row>
    <row r="1442" spans="1:18" x14ac:dyDescent="0.25">
      <c r="A1442" s="169">
        <v>44799</v>
      </c>
      <c r="B1442" s="115">
        <v>206.81</v>
      </c>
      <c r="C1442" s="115">
        <v>204.61</v>
      </c>
      <c r="D1442" s="115">
        <v>201.98</v>
      </c>
      <c r="E1442" s="115">
        <v>204.8</v>
      </c>
      <c r="F1442" s="115">
        <v>1023.05</v>
      </c>
      <c r="G1442">
        <v>26211</v>
      </c>
      <c r="H1442" s="115"/>
      <c r="I1442" s="115"/>
      <c r="L1442" s="169">
        <v>44799</v>
      </c>
      <c r="M1442" s="115">
        <v>204.68</v>
      </c>
      <c r="N1442" s="115">
        <v>207</v>
      </c>
      <c r="O1442" s="115">
        <v>201.91</v>
      </c>
      <c r="P1442" s="115">
        <v>206.11</v>
      </c>
      <c r="Q1442" s="115">
        <v>1023.4</v>
      </c>
      <c r="R1442">
        <v>766150</v>
      </c>
    </row>
    <row r="1443" spans="1:18" x14ac:dyDescent="0.25">
      <c r="A1443" s="169">
        <v>44802</v>
      </c>
      <c r="B1443" s="115">
        <v>201.5</v>
      </c>
      <c r="C1443" s="115">
        <v>200.63</v>
      </c>
      <c r="D1443" s="115">
        <v>192</v>
      </c>
      <c r="E1443" s="115">
        <v>193.21</v>
      </c>
      <c r="F1443" s="115">
        <v>1003.15</v>
      </c>
      <c r="G1443">
        <v>41573</v>
      </c>
      <c r="H1443" s="115"/>
      <c r="I1443" s="115"/>
      <c r="L1443" s="169">
        <v>44802</v>
      </c>
      <c r="M1443" s="115">
        <v>200.44</v>
      </c>
      <c r="N1443" s="115">
        <v>201.6</v>
      </c>
      <c r="O1443" s="115">
        <v>192</v>
      </c>
      <c r="P1443" s="115">
        <v>194.8</v>
      </c>
      <c r="Q1443" s="115">
        <v>1002.2</v>
      </c>
      <c r="R1443">
        <v>984593</v>
      </c>
    </row>
    <row r="1444" spans="1:18" x14ac:dyDescent="0.25">
      <c r="A1444" s="169">
        <v>44803</v>
      </c>
      <c r="B1444" s="115">
        <v>208.59</v>
      </c>
      <c r="C1444" s="115">
        <v>206.77</v>
      </c>
      <c r="D1444" s="115">
        <v>202</v>
      </c>
      <c r="E1444" s="115">
        <v>202</v>
      </c>
      <c r="F1444" s="115">
        <v>1033.8499999999999</v>
      </c>
      <c r="G1444">
        <v>112796</v>
      </c>
      <c r="H1444" s="115"/>
      <c r="I1444" s="115"/>
      <c r="L1444" s="169">
        <v>44803</v>
      </c>
      <c r="M1444" s="115">
        <v>206.83</v>
      </c>
      <c r="N1444" s="115">
        <v>208.6</v>
      </c>
      <c r="O1444" s="115">
        <v>202.01</v>
      </c>
      <c r="P1444" s="115">
        <v>202.79</v>
      </c>
      <c r="Q1444" s="115">
        <v>1034.1500000000001</v>
      </c>
      <c r="R1444">
        <v>1450758</v>
      </c>
    </row>
    <row r="1445" spans="1:18" x14ac:dyDescent="0.25">
      <c r="A1445" s="169">
        <v>44805</v>
      </c>
      <c r="B1445" s="115">
        <v>210.2</v>
      </c>
      <c r="C1445" s="115">
        <v>208.27</v>
      </c>
      <c r="D1445" s="115">
        <v>201.37</v>
      </c>
      <c r="E1445" s="115">
        <v>204</v>
      </c>
      <c r="F1445" s="115">
        <v>1041.3499999999999</v>
      </c>
      <c r="G1445">
        <v>67050</v>
      </c>
      <c r="H1445" s="115"/>
      <c r="I1445" s="115"/>
      <c r="L1445" s="169">
        <v>44805</v>
      </c>
      <c r="M1445" s="115">
        <v>208.44</v>
      </c>
      <c r="N1445" s="115">
        <v>210.2</v>
      </c>
      <c r="O1445" s="115">
        <v>201.5</v>
      </c>
      <c r="P1445" s="115">
        <v>205</v>
      </c>
      <c r="Q1445" s="115">
        <v>1042.2</v>
      </c>
      <c r="R1445">
        <v>1913192</v>
      </c>
    </row>
    <row r="1446" spans="1:18" x14ac:dyDescent="0.25">
      <c r="A1446" s="169">
        <v>44806</v>
      </c>
      <c r="B1446" s="115">
        <v>209.22</v>
      </c>
      <c r="C1446" s="115">
        <v>206.52</v>
      </c>
      <c r="D1446" s="115">
        <v>205.16</v>
      </c>
      <c r="E1446" s="115">
        <v>207</v>
      </c>
      <c r="F1446" s="115">
        <v>1032.5999999999999</v>
      </c>
      <c r="G1446">
        <v>42260</v>
      </c>
      <c r="H1446" s="115"/>
      <c r="I1446" s="115"/>
      <c r="L1446" s="169">
        <v>44806</v>
      </c>
      <c r="M1446" s="115">
        <v>206.32</v>
      </c>
      <c r="N1446" s="115">
        <v>209.4</v>
      </c>
      <c r="O1446" s="115">
        <v>205.12</v>
      </c>
      <c r="P1446" s="115">
        <v>208.2</v>
      </c>
      <c r="Q1446" s="115">
        <v>1031.5999999999999</v>
      </c>
      <c r="R1446">
        <v>761652</v>
      </c>
    </row>
    <row r="1447" spans="1:18" x14ac:dyDescent="0.25">
      <c r="A1447" s="169">
        <v>44809</v>
      </c>
      <c r="B1447" s="115">
        <v>209</v>
      </c>
      <c r="C1447" s="115">
        <v>206.73</v>
      </c>
      <c r="D1447" s="115">
        <v>204.15</v>
      </c>
      <c r="E1447" s="115">
        <v>208</v>
      </c>
      <c r="F1447" s="115">
        <v>1033.6500000000001</v>
      </c>
      <c r="G1447">
        <v>82603</v>
      </c>
      <c r="H1447" s="115"/>
      <c r="I1447" s="115"/>
      <c r="L1447" s="169">
        <v>44809</v>
      </c>
      <c r="M1447" s="115">
        <v>206.68</v>
      </c>
      <c r="N1447" s="115">
        <v>209.2</v>
      </c>
      <c r="O1447" s="115">
        <v>204.13</v>
      </c>
      <c r="P1447" s="115">
        <v>209.2</v>
      </c>
      <c r="Q1447" s="115">
        <v>1033.4000000000001</v>
      </c>
      <c r="R1447">
        <v>1196301</v>
      </c>
    </row>
    <row r="1448" spans="1:18" x14ac:dyDescent="0.25">
      <c r="A1448" s="169">
        <v>44810</v>
      </c>
      <c r="B1448" s="115">
        <v>220.4</v>
      </c>
      <c r="C1448" s="115">
        <v>218.43</v>
      </c>
      <c r="D1448" s="115">
        <v>207.12</v>
      </c>
      <c r="E1448" s="115">
        <v>207.4</v>
      </c>
      <c r="F1448" s="115">
        <v>1092.1500000000001</v>
      </c>
      <c r="G1448">
        <v>221161</v>
      </c>
      <c r="H1448" s="115"/>
      <c r="I1448" s="115"/>
      <c r="L1448" s="169">
        <v>44810</v>
      </c>
      <c r="M1448" s="115">
        <v>218.75</v>
      </c>
      <c r="N1448" s="115">
        <v>220.56</v>
      </c>
      <c r="O1448" s="115">
        <v>206.84</v>
      </c>
      <c r="P1448" s="115">
        <v>208.06</v>
      </c>
      <c r="Q1448" s="115">
        <v>1093.75</v>
      </c>
      <c r="R1448">
        <v>2273551</v>
      </c>
    </row>
    <row r="1449" spans="1:18" x14ac:dyDescent="0.25">
      <c r="A1449" s="169">
        <v>44811</v>
      </c>
      <c r="B1449" s="115">
        <v>219.83</v>
      </c>
      <c r="C1449" s="115">
        <v>216.48</v>
      </c>
      <c r="D1449" s="115">
        <v>215.24</v>
      </c>
      <c r="E1449" s="115">
        <v>218.6</v>
      </c>
      <c r="F1449" s="115">
        <v>1082.4000000000001</v>
      </c>
      <c r="G1449">
        <v>52898</v>
      </c>
      <c r="H1449" s="115"/>
      <c r="I1449" s="115"/>
      <c r="L1449" s="169">
        <v>44811</v>
      </c>
      <c r="M1449" s="115">
        <v>216.58</v>
      </c>
      <c r="N1449" s="115">
        <v>219.95</v>
      </c>
      <c r="O1449" s="115">
        <v>215.2</v>
      </c>
      <c r="P1449" s="115">
        <v>218.75</v>
      </c>
      <c r="Q1449" s="115">
        <v>1082.9000000000001</v>
      </c>
      <c r="R1449">
        <v>1256303</v>
      </c>
    </row>
    <row r="1450" spans="1:18" x14ac:dyDescent="0.25">
      <c r="A1450" s="169">
        <v>44812</v>
      </c>
      <c r="B1450" s="115">
        <v>222.05</v>
      </c>
      <c r="C1450" s="115">
        <v>219.53</v>
      </c>
      <c r="D1450" s="115">
        <v>217.29</v>
      </c>
      <c r="E1450" s="115">
        <v>219.8</v>
      </c>
      <c r="F1450" s="115">
        <v>1097.6500000000001</v>
      </c>
      <c r="G1450">
        <v>52247</v>
      </c>
      <c r="H1450" s="115"/>
      <c r="I1450" s="115"/>
      <c r="L1450" s="169">
        <v>44812</v>
      </c>
      <c r="M1450" s="115">
        <v>219.65</v>
      </c>
      <c r="N1450" s="115">
        <v>222</v>
      </c>
      <c r="O1450" s="115">
        <v>217.2</v>
      </c>
      <c r="P1450" s="115">
        <v>219.4</v>
      </c>
      <c r="Q1450" s="115">
        <v>1098.25</v>
      </c>
      <c r="R1450">
        <v>1402080</v>
      </c>
    </row>
    <row r="1451" spans="1:18" x14ac:dyDescent="0.25">
      <c r="A1451" s="169">
        <v>44813</v>
      </c>
      <c r="B1451" s="115">
        <v>222</v>
      </c>
      <c r="C1451" s="115">
        <v>216.15</v>
      </c>
      <c r="D1451" s="115">
        <v>215</v>
      </c>
      <c r="E1451" s="115">
        <v>222</v>
      </c>
      <c r="F1451" s="115">
        <v>1080.75</v>
      </c>
      <c r="G1451">
        <v>41751</v>
      </c>
      <c r="H1451" s="115"/>
      <c r="I1451" s="115"/>
      <c r="L1451" s="169">
        <v>44813</v>
      </c>
      <c r="M1451" s="115">
        <v>216.04</v>
      </c>
      <c r="N1451" s="115">
        <v>221.58</v>
      </c>
      <c r="O1451" s="115">
        <v>215.02</v>
      </c>
      <c r="P1451" s="115">
        <v>220.94</v>
      </c>
      <c r="Q1451" s="115">
        <v>1080.2</v>
      </c>
      <c r="R1451">
        <v>864597</v>
      </c>
    </row>
    <row r="1452" spans="1:18" x14ac:dyDescent="0.25">
      <c r="A1452" s="169">
        <v>44816</v>
      </c>
      <c r="B1452" s="115">
        <v>218.96</v>
      </c>
      <c r="C1452" s="115">
        <v>213.12</v>
      </c>
      <c r="D1452" s="115">
        <v>212.2</v>
      </c>
      <c r="E1452" s="115">
        <v>218.96</v>
      </c>
      <c r="F1452" s="115">
        <v>1065.5999999999999</v>
      </c>
      <c r="G1452">
        <v>101490</v>
      </c>
      <c r="H1452" s="115"/>
      <c r="I1452" s="115"/>
      <c r="L1452" s="169">
        <v>44816</v>
      </c>
      <c r="M1452" s="115">
        <v>213.42</v>
      </c>
      <c r="N1452" s="115">
        <v>218.27</v>
      </c>
      <c r="O1452" s="115">
        <v>212</v>
      </c>
      <c r="P1452" s="115">
        <v>217.7</v>
      </c>
      <c r="Q1452" s="115">
        <v>1067.0999999999999</v>
      </c>
      <c r="R1452">
        <v>1274379</v>
      </c>
    </row>
    <row r="1453" spans="1:18" x14ac:dyDescent="0.25">
      <c r="A1453" s="169">
        <v>44817</v>
      </c>
      <c r="B1453" s="115">
        <v>219.26</v>
      </c>
      <c r="C1453" s="115">
        <v>215.1</v>
      </c>
      <c r="D1453" s="115">
        <v>214</v>
      </c>
      <c r="E1453" s="115">
        <v>214</v>
      </c>
      <c r="F1453" s="115">
        <v>1075.5</v>
      </c>
      <c r="G1453">
        <v>50254</v>
      </c>
      <c r="H1453" s="115"/>
      <c r="I1453" s="115"/>
      <c r="L1453" s="169">
        <v>44817</v>
      </c>
      <c r="M1453" s="115">
        <v>215.14</v>
      </c>
      <c r="N1453" s="115">
        <v>219.29</v>
      </c>
      <c r="O1453" s="115">
        <v>214.05</v>
      </c>
      <c r="P1453" s="115">
        <v>215</v>
      </c>
      <c r="Q1453" s="115">
        <v>1075.7</v>
      </c>
      <c r="R1453">
        <v>1231316</v>
      </c>
    </row>
    <row r="1454" spans="1:18" x14ac:dyDescent="0.25">
      <c r="A1454" s="169">
        <v>44818</v>
      </c>
      <c r="B1454" s="115">
        <v>216.05</v>
      </c>
      <c r="C1454" s="115">
        <v>214.4</v>
      </c>
      <c r="D1454" s="115">
        <v>212.01</v>
      </c>
      <c r="E1454" s="115">
        <v>212.01</v>
      </c>
      <c r="F1454" s="115">
        <v>1072</v>
      </c>
      <c r="G1454">
        <v>47229</v>
      </c>
      <c r="H1454" s="115"/>
      <c r="I1454" s="115"/>
      <c r="L1454" s="169">
        <v>44818</v>
      </c>
      <c r="M1454" s="115">
        <v>214.44</v>
      </c>
      <c r="N1454" s="115">
        <v>216.13</v>
      </c>
      <c r="O1454" s="115">
        <v>213.2</v>
      </c>
      <c r="P1454" s="115">
        <v>213.64</v>
      </c>
      <c r="Q1454" s="115">
        <v>1072.2</v>
      </c>
      <c r="R1454">
        <v>1365694</v>
      </c>
    </row>
    <row r="1455" spans="1:18" x14ac:dyDescent="0.25">
      <c r="A1455" s="169">
        <v>44819</v>
      </c>
      <c r="B1455" s="115">
        <v>221.83</v>
      </c>
      <c r="C1455" s="115">
        <v>218.89</v>
      </c>
      <c r="D1455" s="115">
        <v>212.4</v>
      </c>
      <c r="E1455" s="115">
        <v>212.4</v>
      </c>
      <c r="F1455" s="115">
        <v>1094.45</v>
      </c>
      <c r="G1455">
        <v>82645</v>
      </c>
      <c r="H1455" s="115"/>
      <c r="I1455" s="115"/>
      <c r="L1455" s="169">
        <v>44819</v>
      </c>
      <c r="M1455" s="115">
        <v>218.87</v>
      </c>
      <c r="N1455" s="115">
        <v>221.86</v>
      </c>
      <c r="O1455" s="115">
        <v>214</v>
      </c>
      <c r="P1455" s="115">
        <v>214</v>
      </c>
      <c r="Q1455" s="115">
        <v>1094.3499999999999</v>
      </c>
      <c r="R1455">
        <v>1484705</v>
      </c>
    </row>
    <row r="1456" spans="1:18" x14ac:dyDescent="0.25">
      <c r="A1456" s="169">
        <v>44820</v>
      </c>
      <c r="B1456" s="115">
        <v>222</v>
      </c>
      <c r="C1456" s="115">
        <v>220.32</v>
      </c>
      <c r="D1456" s="115">
        <v>214.56</v>
      </c>
      <c r="E1456" s="115">
        <v>217.43</v>
      </c>
      <c r="F1456" s="115">
        <v>1101.5999999999999</v>
      </c>
      <c r="G1456">
        <v>99205</v>
      </c>
      <c r="H1456" s="115"/>
      <c r="I1456" s="115"/>
      <c r="L1456" s="169">
        <v>44820</v>
      </c>
      <c r="M1456" s="115">
        <v>220.47</v>
      </c>
      <c r="N1456" s="115">
        <v>222</v>
      </c>
      <c r="O1456" s="115">
        <v>214.72</v>
      </c>
      <c r="P1456" s="115">
        <v>219.8</v>
      </c>
      <c r="Q1456" s="115">
        <v>1102.3499999999999</v>
      </c>
      <c r="R1456">
        <v>1394829</v>
      </c>
    </row>
    <row r="1457" spans="1:18" x14ac:dyDescent="0.25">
      <c r="A1457" s="169">
        <v>44823</v>
      </c>
      <c r="B1457" s="115">
        <v>223.6</v>
      </c>
      <c r="C1457" s="115">
        <v>216.14</v>
      </c>
      <c r="D1457" s="115">
        <v>213.72</v>
      </c>
      <c r="E1457" s="115">
        <v>217.6</v>
      </c>
      <c r="F1457" s="115">
        <v>1080.7</v>
      </c>
      <c r="G1457">
        <v>49459</v>
      </c>
      <c r="H1457" s="115"/>
      <c r="I1457" s="115"/>
      <c r="L1457" s="169">
        <v>44823</v>
      </c>
      <c r="M1457" s="115">
        <v>216.22</v>
      </c>
      <c r="N1457" s="115">
        <v>223.66</v>
      </c>
      <c r="O1457" s="115">
        <v>213.67</v>
      </c>
      <c r="P1457" s="115">
        <v>216</v>
      </c>
      <c r="Q1457" s="115">
        <v>1081.0999999999999</v>
      </c>
      <c r="R1457">
        <v>828681</v>
      </c>
    </row>
    <row r="1458" spans="1:18" x14ac:dyDescent="0.25">
      <c r="A1458" s="169">
        <v>44824</v>
      </c>
      <c r="B1458" s="115">
        <v>225.12</v>
      </c>
      <c r="C1458" s="115">
        <v>224.65</v>
      </c>
      <c r="D1458" s="115">
        <v>217.02</v>
      </c>
      <c r="E1458" s="115">
        <v>217.02</v>
      </c>
      <c r="F1458" s="115">
        <v>1123.25</v>
      </c>
      <c r="G1458">
        <v>50173</v>
      </c>
      <c r="H1458" s="115"/>
      <c r="I1458" s="115"/>
      <c r="L1458" s="169">
        <v>44824</v>
      </c>
      <c r="M1458" s="115">
        <v>224.53</v>
      </c>
      <c r="N1458" s="115">
        <v>225.2</v>
      </c>
      <c r="O1458" s="115">
        <v>218.33</v>
      </c>
      <c r="P1458" s="115">
        <v>218.8</v>
      </c>
      <c r="Q1458" s="115">
        <v>1122.6500000000001</v>
      </c>
      <c r="R1458">
        <v>1108168</v>
      </c>
    </row>
    <row r="1459" spans="1:18" x14ac:dyDescent="0.25">
      <c r="A1459" s="169">
        <v>44825</v>
      </c>
      <c r="B1459" s="115">
        <v>227.4</v>
      </c>
      <c r="C1459" s="115">
        <v>224.94</v>
      </c>
      <c r="D1459" s="115">
        <v>219.07</v>
      </c>
      <c r="E1459" s="115">
        <v>226</v>
      </c>
      <c r="F1459" s="115">
        <v>1124.7</v>
      </c>
      <c r="G1459">
        <v>76707</v>
      </c>
      <c r="H1459" s="115"/>
      <c r="I1459" s="115"/>
      <c r="L1459" s="169">
        <v>44825</v>
      </c>
      <c r="M1459" s="115">
        <v>224.88</v>
      </c>
      <c r="N1459" s="115">
        <v>227.6</v>
      </c>
      <c r="O1459" s="115">
        <v>219.01</v>
      </c>
      <c r="P1459" s="115">
        <v>224.53</v>
      </c>
      <c r="Q1459" s="115">
        <v>1124.4000000000001</v>
      </c>
      <c r="R1459">
        <v>970622</v>
      </c>
    </row>
    <row r="1460" spans="1:18" x14ac:dyDescent="0.25">
      <c r="A1460" s="169">
        <v>44826</v>
      </c>
      <c r="B1460" s="115">
        <v>238.96</v>
      </c>
      <c r="C1460" s="115">
        <v>234.22</v>
      </c>
      <c r="D1460" s="115">
        <v>221.41</v>
      </c>
      <c r="E1460" s="115">
        <v>221.41</v>
      </c>
      <c r="F1460" s="115">
        <v>1171.0999999999999</v>
      </c>
      <c r="G1460">
        <v>137646</v>
      </c>
      <c r="H1460" s="115"/>
      <c r="I1460" s="115"/>
      <c r="L1460" s="169">
        <v>44826</v>
      </c>
      <c r="M1460" s="115">
        <v>234.1</v>
      </c>
      <c r="N1460" s="115">
        <v>238.94</v>
      </c>
      <c r="O1460" s="115">
        <v>223</v>
      </c>
      <c r="P1460" s="115">
        <v>224.76</v>
      </c>
      <c r="Q1460" s="115">
        <v>1170.5</v>
      </c>
      <c r="R1460">
        <v>2076743</v>
      </c>
    </row>
    <row r="1461" spans="1:18" x14ac:dyDescent="0.25">
      <c r="A1461" s="169">
        <v>44827</v>
      </c>
      <c r="B1461" s="115">
        <v>234.78</v>
      </c>
      <c r="C1461" s="115">
        <v>231.84</v>
      </c>
      <c r="D1461" s="115">
        <v>229.45</v>
      </c>
      <c r="E1461" s="115">
        <v>234.2</v>
      </c>
      <c r="F1461" s="115">
        <v>1159.2</v>
      </c>
      <c r="G1461">
        <v>94155</v>
      </c>
      <c r="H1461" s="115"/>
      <c r="I1461" s="115"/>
      <c r="L1461" s="169">
        <v>44827</v>
      </c>
      <c r="M1461" s="115">
        <v>231.79</v>
      </c>
      <c r="N1461" s="115">
        <v>235</v>
      </c>
      <c r="O1461" s="115">
        <v>229.5</v>
      </c>
      <c r="P1461" s="115">
        <v>235</v>
      </c>
      <c r="Q1461" s="115">
        <v>1158.95</v>
      </c>
      <c r="R1461">
        <v>1420025</v>
      </c>
    </row>
    <row r="1462" spans="1:18" x14ac:dyDescent="0.25">
      <c r="A1462" s="169">
        <v>44830</v>
      </c>
      <c r="B1462" s="115">
        <v>229.05</v>
      </c>
      <c r="C1462" s="115">
        <v>216.98</v>
      </c>
      <c r="D1462" s="115">
        <v>213.33</v>
      </c>
      <c r="E1462" s="115">
        <v>228.24</v>
      </c>
      <c r="F1462" s="115">
        <v>1084.9000000000001</v>
      </c>
      <c r="G1462">
        <v>167056</v>
      </c>
      <c r="H1462" s="115"/>
      <c r="I1462" s="115"/>
      <c r="L1462" s="169">
        <v>44830</v>
      </c>
      <c r="M1462" s="115">
        <v>217.38</v>
      </c>
      <c r="N1462" s="115">
        <v>229.08</v>
      </c>
      <c r="O1462" s="115">
        <v>213.67</v>
      </c>
      <c r="P1462" s="115">
        <v>229.08</v>
      </c>
      <c r="Q1462" s="115">
        <v>1086.9000000000001</v>
      </c>
      <c r="R1462">
        <v>2432003</v>
      </c>
    </row>
    <row r="1463" spans="1:18" x14ac:dyDescent="0.25">
      <c r="A1463" s="169">
        <v>44831</v>
      </c>
      <c r="B1463" s="115">
        <v>216.59</v>
      </c>
      <c r="C1463" s="115">
        <v>207.69</v>
      </c>
      <c r="D1463" s="115">
        <v>204.75</v>
      </c>
      <c r="E1463" s="115">
        <v>216.38</v>
      </c>
      <c r="F1463" s="115">
        <v>1038.45</v>
      </c>
      <c r="G1463">
        <v>71668</v>
      </c>
      <c r="H1463" s="115"/>
      <c r="I1463" s="115"/>
      <c r="L1463" s="169">
        <v>44831</v>
      </c>
      <c r="M1463" s="115">
        <v>207.71</v>
      </c>
      <c r="N1463" s="115">
        <v>216.6</v>
      </c>
      <c r="O1463" s="115">
        <v>204.61</v>
      </c>
      <c r="P1463" s="115">
        <v>216.6</v>
      </c>
      <c r="Q1463" s="115">
        <v>1038.55</v>
      </c>
      <c r="R1463">
        <v>2428514</v>
      </c>
    </row>
    <row r="1464" spans="1:18" x14ac:dyDescent="0.25">
      <c r="A1464" s="169">
        <v>44832</v>
      </c>
      <c r="B1464" s="115">
        <v>209.8</v>
      </c>
      <c r="C1464" s="115">
        <v>205.98</v>
      </c>
      <c r="D1464" s="115">
        <v>205.4</v>
      </c>
      <c r="E1464" s="115">
        <v>207.4</v>
      </c>
      <c r="F1464" s="115">
        <v>1029.9000000000001</v>
      </c>
      <c r="G1464">
        <v>31152</v>
      </c>
      <c r="H1464" s="115"/>
      <c r="I1464" s="115"/>
      <c r="L1464" s="169">
        <v>44832</v>
      </c>
      <c r="M1464" s="115">
        <v>205.94</v>
      </c>
      <c r="N1464" s="115">
        <v>209.91</v>
      </c>
      <c r="O1464" s="115">
        <v>205.33</v>
      </c>
      <c r="P1464" s="115">
        <v>207.71</v>
      </c>
      <c r="Q1464" s="115">
        <v>1029.7</v>
      </c>
      <c r="R1464">
        <v>1225099</v>
      </c>
    </row>
    <row r="1465" spans="1:18" x14ac:dyDescent="0.25">
      <c r="A1465" s="169">
        <v>44833</v>
      </c>
      <c r="B1465" s="115">
        <v>211.46</v>
      </c>
      <c r="C1465" s="115">
        <v>207.13</v>
      </c>
      <c r="D1465" s="115">
        <v>205.46</v>
      </c>
      <c r="E1465" s="115">
        <v>210.99</v>
      </c>
      <c r="F1465" s="115">
        <v>1035.6500000000001</v>
      </c>
      <c r="G1465">
        <v>80388</v>
      </c>
      <c r="H1465" s="115"/>
      <c r="I1465" s="115"/>
      <c r="L1465" s="169">
        <v>44833</v>
      </c>
      <c r="M1465" s="115">
        <v>206.63</v>
      </c>
      <c r="N1465" s="115">
        <v>211.59</v>
      </c>
      <c r="O1465" s="115">
        <v>205.45</v>
      </c>
      <c r="P1465" s="115">
        <v>210</v>
      </c>
      <c r="Q1465" s="115">
        <v>1033.1500000000001</v>
      </c>
      <c r="R1465">
        <v>1476032</v>
      </c>
    </row>
    <row r="1466" spans="1:18" x14ac:dyDescent="0.25">
      <c r="A1466" s="169">
        <v>44834</v>
      </c>
      <c r="B1466" s="115">
        <v>209.76</v>
      </c>
      <c r="C1466" s="115">
        <v>208.8</v>
      </c>
      <c r="D1466" s="115">
        <v>203.01</v>
      </c>
      <c r="E1466" s="115">
        <v>207.4</v>
      </c>
      <c r="F1466" s="115">
        <v>1044</v>
      </c>
      <c r="G1466">
        <v>259165</v>
      </c>
      <c r="H1466" s="115"/>
      <c r="I1466" s="115"/>
      <c r="L1466" s="169">
        <v>44834</v>
      </c>
      <c r="M1466" s="115">
        <v>208.84</v>
      </c>
      <c r="N1466" s="115">
        <v>209.74</v>
      </c>
      <c r="O1466" s="115">
        <v>203</v>
      </c>
      <c r="P1466" s="115">
        <v>206.8</v>
      </c>
      <c r="Q1466" s="115">
        <v>1044.2</v>
      </c>
      <c r="R1466">
        <v>1355576</v>
      </c>
    </row>
    <row r="1467" spans="1:18" x14ac:dyDescent="0.25">
      <c r="A1467" s="169">
        <v>44837</v>
      </c>
      <c r="B1467" s="115">
        <v>216.17</v>
      </c>
      <c r="C1467" s="115">
        <v>213.94</v>
      </c>
      <c r="D1467" s="115">
        <v>208.74</v>
      </c>
      <c r="E1467" s="115">
        <v>209.79</v>
      </c>
      <c r="F1467" s="115">
        <v>1069.7</v>
      </c>
      <c r="G1467">
        <v>100312</v>
      </c>
      <c r="H1467" s="115"/>
      <c r="I1467" s="115"/>
      <c r="L1467" s="169">
        <v>44837</v>
      </c>
      <c r="M1467" s="115">
        <v>214.04</v>
      </c>
      <c r="N1467" s="115">
        <v>216.18</v>
      </c>
      <c r="O1467" s="115">
        <v>208.52</v>
      </c>
      <c r="P1467" s="115">
        <v>209</v>
      </c>
      <c r="Q1467" s="115">
        <v>1070.2</v>
      </c>
      <c r="R1467">
        <v>1497098</v>
      </c>
    </row>
    <row r="1468" spans="1:18" x14ac:dyDescent="0.25">
      <c r="A1468" s="169">
        <v>44838</v>
      </c>
      <c r="B1468" s="115">
        <v>230.94</v>
      </c>
      <c r="C1468" s="115">
        <v>228.71</v>
      </c>
      <c r="D1468" s="115">
        <v>215.2</v>
      </c>
      <c r="E1468" s="115">
        <v>218.8</v>
      </c>
      <c r="F1468" s="115">
        <v>1143.55</v>
      </c>
      <c r="G1468">
        <v>86572</v>
      </c>
      <c r="H1468" s="115"/>
      <c r="I1468" s="115"/>
      <c r="L1468" s="169">
        <v>44838</v>
      </c>
      <c r="M1468" s="115">
        <v>228.61</v>
      </c>
      <c r="N1468" s="115">
        <v>231</v>
      </c>
      <c r="O1468" s="115">
        <v>215.12</v>
      </c>
      <c r="P1468" s="115">
        <v>219</v>
      </c>
      <c r="Q1468" s="115">
        <v>1143.05</v>
      </c>
      <c r="R1468">
        <v>2003669</v>
      </c>
    </row>
    <row r="1469" spans="1:18" x14ac:dyDescent="0.25">
      <c r="A1469" s="169">
        <v>44840</v>
      </c>
      <c r="B1469" s="115">
        <v>229.62</v>
      </c>
      <c r="C1469" s="115">
        <v>228.35</v>
      </c>
      <c r="D1469" s="115">
        <v>221.05</v>
      </c>
      <c r="E1469" s="115">
        <v>228.16</v>
      </c>
      <c r="F1469" s="115">
        <v>1141.75</v>
      </c>
      <c r="G1469">
        <v>101722</v>
      </c>
      <c r="H1469" s="115"/>
      <c r="I1469" s="115"/>
      <c r="L1469" s="169">
        <v>44840</v>
      </c>
      <c r="M1469" s="115">
        <v>228.54</v>
      </c>
      <c r="N1469" s="115">
        <v>229.8</v>
      </c>
      <c r="O1469" s="115">
        <v>221.11</v>
      </c>
      <c r="P1469" s="115">
        <v>227.8</v>
      </c>
      <c r="Q1469" s="115">
        <v>1142.7</v>
      </c>
      <c r="R1469">
        <v>1651674</v>
      </c>
    </row>
    <row r="1470" spans="1:18" x14ac:dyDescent="0.25">
      <c r="A1470" s="169">
        <v>44841</v>
      </c>
      <c r="B1470" s="115">
        <v>228.35</v>
      </c>
      <c r="C1470" s="115">
        <v>227.05</v>
      </c>
      <c r="D1470" s="115">
        <v>224.1</v>
      </c>
      <c r="E1470" s="115">
        <v>227.92</v>
      </c>
      <c r="F1470" s="115">
        <v>1135.25</v>
      </c>
      <c r="G1470">
        <v>47169</v>
      </c>
      <c r="H1470" s="115"/>
      <c r="I1470" s="115"/>
      <c r="L1470" s="169">
        <v>44841</v>
      </c>
      <c r="M1470" s="115">
        <v>227.05</v>
      </c>
      <c r="N1470" s="115">
        <v>228.54</v>
      </c>
      <c r="O1470" s="115">
        <v>224.01</v>
      </c>
      <c r="P1470" s="115">
        <v>228.54</v>
      </c>
      <c r="Q1470" s="115">
        <v>1135.25</v>
      </c>
      <c r="R1470">
        <v>1230568</v>
      </c>
    </row>
    <row r="1471" spans="1:18" x14ac:dyDescent="0.25">
      <c r="A1471" s="169">
        <v>44844</v>
      </c>
      <c r="B1471" s="115">
        <v>224.81</v>
      </c>
      <c r="C1471" s="115">
        <v>217.85</v>
      </c>
      <c r="D1471" s="115">
        <v>216.89</v>
      </c>
      <c r="E1471" s="115">
        <v>220.61</v>
      </c>
      <c r="F1471" s="115">
        <v>1089.25</v>
      </c>
      <c r="G1471">
        <v>81045</v>
      </c>
      <c r="H1471" s="115"/>
      <c r="I1471" s="115"/>
      <c r="L1471" s="169">
        <v>44844</v>
      </c>
      <c r="M1471" s="115">
        <v>217.92</v>
      </c>
      <c r="N1471" s="115">
        <v>224.98</v>
      </c>
      <c r="O1471" s="115">
        <v>217.01</v>
      </c>
      <c r="P1471" s="115">
        <v>221.65</v>
      </c>
      <c r="Q1471" s="115">
        <v>1089.5999999999999</v>
      </c>
      <c r="R1471">
        <v>1330201</v>
      </c>
    </row>
    <row r="1472" spans="1:18" x14ac:dyDescent="0.25">
      <c r="A1472" s="169">
        <v>44845</v>
      </c>
      <c r="B1472" s="115">
        <v>219.69</v>
      </c>
      <c r="C1472" s="115">
        <v>208.97</v>
      </c>
      <c r="D1472" s="115">
        <v>206.53</v>
      </c>
      <c r="E1472" s="115">
        <v>219.6</v>
      </c>
      <c r="F1472" s="115">
        <v>1044.8499999999999</v>
      </c>
      <c r="G1472">
        <v>80726</v>
      </c>
      <c r="H1472" s="115"/>
      <c r="I1472" s="115"/>
      <c r="L1472" s="169">
        <v>44845</v>
      </c>
      <c r="M1472" s="115">
        <v>209.06</v>
      </c>
      <c r="N1472" s="115">
        <v>219.7</v>
      </c>
      <c r="O1472" s="115">
        <v>208</v>
      </c>
      <c r="P1472" s="115">
        <v>219.7</v>
      </c>
      <c r="Q1472" s="115">
        <v>1045.3</v>
      </c>
      <c r="R1472">
        <v>1472750</v>
      </c>
    </row>
    <row r="1473" spans="1:18" x14ac:dyDescent="0.25">
      <c r="A1473" s="169">
        <v>44846</v>
      </c>
      <c r="B1473" s="115">
        <v>218.6</v>
      </c>
      <c r="C1473" s="115">
        <v>213.8</v>
      </c>
      <c r="D1473" s="115">
        <v>205.1</v>
      </c>
      <c r="E1473" s="115">
        <v>211.4</v>
      </c>
      <c r="F1473" s="115">
        <v>1069</v>
      </c>
      <c r="G1473">
        <v>91718</v>
      </c>
      <c r="H1473" s="115"/>
      <c r="I1473" s="115"/>
      <c r="L1473" s="169">
        <v>44846</v>
      </c>
      <c r="M1473" s="115">
        <v>213.67</v>
      </c>
      <c r="N1473" s="115">
        <v>216.96</v>
      </c>
      <c r="O1473" s="115">
        <v>205.11</v>
      </c>
      <c r="P1473" s="115">
        <v>212.08</v>
      </c>
      <c r="Q1473" s="115">
        <v>1068.3499999999999</v>
      </c>
      <c r="R1473">
        <v>2429410</v>
      </c>
    </row>
    <row r="1474" spans="1:18" x14ac:dyDescent="0.25">
      <c r="A1474" s="169">
        <v>44847</v>
      </c>
      <c r="B1474" s="115">
        <v>219.72</v>
      </c>
      <c r="C1474" s="115">
        <v>213.73</v>
      </c>
      <c r="D1474" s="115">
        <v>211.39</v>
      </c>
      <c r="E1474" s="115">
        <v>217.2</v>
      </c>
      <c r="F1474" s="115">
        <v>1068.6500000000001</v>
      </c>
      <c r="G1474">
        <v>99104</v>
      </c>
      <c r="H1474" s="115"/>
      <c r="I1474" s="115"/>
      <c r="L1474" s="169">
        <v>44847</v>
      </c>
      <c r="M1474" s="115">
        <v>213.56</v>
      </c>
      <c r="N1474" s="115">
        <v>219.79</v>
      </c>
      <c r="O1474" s="115">
        <v>211.6</v>
      </c>
      <c r="P1474" s="115">
        <v>217.67</v>
      </c>
      <c r="Q1474" s="115">
        <v>1067.8</v>
      </c>
      <c r="R1474">
        <v>1645516</v>
      </c>
    </row>
    <row r="1475" spans="1:18" x14ac:dyDescent="0.25">
      <c r="A1475" s="169">
        <v>44848</v>
      </c>
      <c r="B1475" s="115">
        <v>215.6</v>
      </c>
      <c r="C1475" s="115">
        <v>205.54</v>
      </c>
      <c r="D1475" s="115">
        <v>204</v>
      </c>
      <c r="E1475" s="115">
        <v>215.6</v>
      </c>
      <c r="F1475" s="115">
        <v>1027.7</v>
      </c>
      <c r="G1475">
        <v>111329</v>
      </c>
      <c r="H1475" s="115"/>
      <c r="I1475" s="115"/>
      <c r="L1475" s="169">
        <v>44848</v>
      </c>
      <c r="M1475" s="115">
        <v>205.3</v>
      </c>
      <c r="N1475" s="115">
        <v>215.4</v>
      </c>
      <c r="O1475" s="115">
        <v>204</v>
      </c>
      <c r="P1475" s="115">
        <v>215.4</v>
      </c>
      <c r="Q1475" s="115">
        <v>1026.5</v>
      </c>
      <c r="R1475">
        <v>1608289</v>
      </c>
    </row>
    <row r="1476" spans="1:18" x14ac:dyDescent="0.25">
      <c r="A1476" s="169">
        <v>44851</v>
      </c>
      <c r="B1476" s="115">
        <v>202.74</v>
      </c>
      <c r="C1476" s="115">
        <v>198.25</v>
      </c>
      <c r="D1476" s="115">
        <v>196.99</v>
      </c>
      <c r="E1476" s="115">
        <v>201.03</v>
      </c>
      <c r="F1476" s="115">
        <v>991.25</v>
      </c>
      <c r="G1476">
        <v>171002</v>
      </c>
      <c r="H1476" s="115"/>
      <c r="I1476" s="115"/>
      <c r="L1476" s="169">
        <v>44851</v>
      </c>
      <c r="M1476" s="115">
        <v>198.19</v>
      </c>
      <c r="N1476" s="115">
        <v>202.9</v>
      </c>
      <c r="O1476" s="115">
        <v>197.12</v>
      </c>
      <c r="P1476" s="115">
        <v>202</v>
      </c>
      <c r="Q1476" s="115">
        <v>990.95</v>
      </c>
      <c r="R1476">
        <v>2428717</v>
      </c>
    </row>
    <row r="1477" spans="1:18" x14ac:dyDescent="0.25">
      <c r="A1477" s="169">
        <v>44852</v>
      </c>
      <c r="B1477" s="115">
        <v>204.4</v>
      </c>
      <c r="C1477" s="115">
        <v>199.82</v>
      </c>
      <c r="D1477" s="115">
        <v>192.67</v>
      </c>
      <c r="E1477" s="115">
        <v>199.24</v>
      </c>
      <c r="F1477" s="115">
        <v>999.1</v>
      </c>
      <c r="G1477">
        <v>158681</v>
      </c>
      <c r="H1477" s="115"/>
      <c r="I1477" s="115"/>
      <c r="L1477" s="169">
        <v>44852</v>
      </c>
      <c r="M1477" s="115">
        <v>199.86</v>
      </c>
      <c r="N1477" s="115">
        <v>201.39</v>
      </c>
      <c r="O1477" s="115">
        <v>193.02</v>
      </c>
      <c r="P1477" s="115">
        <v>200</v>
      </c>
      <c r="Q1477" s="115">
        <v>999.3</v>
      </c>
      <c r="R1477">
        <v>2413072</v>
      </c>
    </row>
    <row r="1478" spans="1:18" x14ac:dyDescent="0.25">
      <c r="A1478" s="169">
        <v>44853</v>
      </c>
      <c r="B1478" s="115">
        <v>204.71</v>
      </c>
      <c r="C1478" s="115">
        <v>203.16</v>
      </c>
      <c r="D1478" s="115">
        <v>198.27</v>
      </c>
      <c r="E1478" s="115">
        <v>202</v>
      </c>
      <c r="F1478" s="115">
        <v>1015.8</v>
      </c>
      <c r="G1478">
        <v>65169</v>
      </c>
      <c r="H1478" s="115"/>
      <c r="I1478" s="115"/>
      <c r="L1478" s="169">
        <v>44853</v>
      </c>
      <c r="M1478" s="115">
        <v>203.23</v>
      </c>
      <c r="N1478" s="115">
        <v>204.94</v>
      </c>
      <c r="O1478" s="115">
        <v>198.13</v>
      </c>
      <c r="P1478" s="115">
        <v>201.4</v>
      </c>
      <c r="Q1478" s="115">
        <v>1016.15</v>
      </c>
      <c r="R1478">
        <v>2422520</v>
      </c>
    </row>
    <row r="1479" spans="1:18" x14ac:dyDescent="0.25">
      <c r="A1479" s="169">
        <v>44854</v>
      </c>
      <c r="B1479" s="115">
        <v>205.01</v>
      </c>
      <c r="C1479" s="115">
        <v>203.99</v>
      </c>
      <c r="D1479" s="115">
        <v>199</v>
      </c>
      <c r="E1479" s="115">
        <v>203.93</v>
      </c>
      <c r="F1479" s="115">
        <v>1019.95</v>
      </c>
      <c r="G1479">
        <v>62362</v>
      </c>
      <c r="H1479" s="115"/>
      <c r="I1479" s="115"/>
      <c r="L1479" s="169">
        <v>44854</v>
      </c>
      <c r="M1479" s="115">
        <v>203.91</v>
      </c>
      <c r="N1479" s="115">
        <v>205</v>
      </c>
      <c r="O1479" s="115">
        <v>199</v>
      </c>
      <c r="P1479" s="115">
        <v>202.84</v>
      </c>
      <c r="Q1479" s="115">
        <v>1019.55</v>
      </c>
      <c r="R1479">
        <v>1716083</v>
      </c>
    </row>
    <row r="1480" spans="1:18" x14ac:dyDescent="0.25">
      <c r="A1480" s="169">
        <v>44855</v>
      </c>
      <c r="B1480" s="115">
        <v>207.2</v>
      </c>
      <c r="C1480" s="115">
        <v>202.39</v>
      </c>
      <c r="D1480" s="115">
        <v>201</v>
      </c>
      <c r="E1480" s="115">
        <v>204</v>
      </c>
      <c r="F1480" s="115">
        <v>1011.95</v>
      </c>
      <c r="G1480">
        <v>86380</v>
      </c>
      <c r="H1480" s="115"/>
      <c r="I1480" s="115"/>
      <c r="L1480" s="169">
        <v>44855</v>
      </c>
      <c r="M1480" s="115">
        <v>202.62</v>
      </c>
      <c r="N1480" s="115">
        <v>207.2</v>
      </c>
      <c r="O1480" s="115">
        <v>201.2</v>
      </c>
      <c r="P1480" s="115">
        <v>203.91</v>
      </c>
      <c r="Q1480" s="115">
        <v>1013.1</v>
      </c>
      <c r="R1480">
        <v>1681178</v>
      </c>
    </row>
    <row r="1481" spans="1:18" x14ac:dyDescent="0.25">
      <c r="A1481" s="169">
        <v>44858</v>
      </c>
      <c r="B1481" s="115">
        <v>207.4</v>
      </c>
      <c r="C1481" s="115">
        <v>206.05</v>
      </c>
      <c r="D1481" s="115">
        <v>204.05</v>
      </c>
      <c r="E1481" s="115">
        <v>204.05</v>
      </c>
      <c r="F1481" s="115">
        <v>1030.25</v>
      </c>
      <c r="G1481">
        <v>8588</v>
      </c>
      <c r="H1481" s="115"/>
      <c r="I1481" s="115"/>
      <c r="L1481" s="169">
        <v>44858</v>
      </c>
      <c r="M1481" s="115">
        <v>205.95</v>
      </c>
      <c r="N1481" s="115">
        <v>207.04</v>
      </c>
      <c r="O1481" s="115">
        <v>203.99</v>
      </c>
      <c r="P1481" s="115">
        <v>205.4</v>
      </c>
      <c r="Q1481" s="115">
        <v>1029.75</v>
      </c>
      <c r="R1481">
        <v>160457</v>
      </c>
    </row>
    <row r="1482" spans="1:18" x14ac:dyDescent="0.25">
      <c r="A1482" s="169">
        <v>44859</v>
      </c>
      <c r="B1482" s="115">
        <v>210.54</v>
      </c>
      <c r="C1482" s="115">
        <v>206.69</v>
      </c>
      <c r="D1482" s="115">
        <v>205.05</v>
      </c>
      <c r="E1482" s="115">
        <v>206.07</v>
      </c>
      <c r="F1482" s="115">
        <v>1033.45</v>
      </c>
      <c r="G1482">
        <v>112395</v>
      </c>
      <c r="H1482" s="115"/>
      <c r="I1482" s="115"/>
      <c r="L1482" s="169">
        <v>44859</v>
      </c>
      <c r="M1482" s="115">
        <v>206.54</v>
      </c>
      <c r="N1482" s="115">
        <v>210.58</v>
      </c>
      <c r="O1482" s="115">
        <v>205.17</v>
      </c>
      <c r="P1482" s="115">
        <v>206.6</v>
      </c>
      <c r="Q1482" s="115">
        <v>1032.7</v>
      </c>
      <c r="R1482">
        <v>2641167</v>
      </c>
    </row>
    <row r="1483" spans="1:18" x14ac:dyDescent="0.25">
      <c r="A1483" s="169">
        <v>44861</v>
      </c>
      <c r="B1483" s="115">
        <v>213.59</v>
      </c>
      <c r="C1483" s="115">
        <v>210.51</v>
      </c>
      <c r="D1483" s="115">
        <v>204.68</v>
      </c>
      <c r="E1483" s="115">
        <v>207.06</v>
      </c>
      <c r="F1483" s="115">
        <v>1052.55</v>
      </c>
      <c r="G1483">
        <v>107707</v>
      </c>
      <c r="H1483" s="115"/>
      <c r="I1483" s="115"/>
      <c r="L1483" s="169">
        <v>44861</v>
      </c>
      <c r="M1483" s="115">
        <v>210.46</v>
      </c>
      <c r="N1483" s="115">
        <v>213.54</v>
      </c>
      <c r="O1483" s="115">
        <v>205.53</v>
      </c>
      <c r="P1483" s="115">
        <v>208</v>
      </c>
      <c r="Q1483" s="115">
        <v>1052.3</v>
      </c>
      <c r="R1483">
        <v>2863089</v>
      </c>
    </row>
    <row r="1484" spans="1:18" x14ac:dyDescent="0.25">
      <c r="A1484" s="169">
        <v>44862</v>
      </c>
      <c r="B1484" s="115">
        <v>212.9</v>
      </c>
      <c r="C1484" s="115">
        <v>207.91</v>
      </c>
      <c r="D1484" s="115">
        <v>207.61</v>
      </c>
      <c r="E1484" s="115">
        <v>211.12</v>
      </c>
      <c r="F1484" s="115">
        <v>1039.55</v>
      </c>
      <c r="G1484">
        <v>65564</v>
      </c>
      <c r="H1484" s="115"/>
      <c r="I1484" s="115"/>
      <c r="L1484" s="169">
        <v>44862</v>
      </c>
      <c r="M1484" s="115">
        <v>208.01</v>
      </c>
      <c r="N1484" s="115">
        <v>212.94</v>
      </c>
      <c r="O1484" s="115">
        <v>207.8</v>
      </c>
      <c r="P1484" s="115">
        <v>211.52</v>
      </c>
      <c r="Q1484" s="115">
        <v>1040.05</v>
      </c>
      <c r="R1484">
        <v>1214101</v>
      </c>
    </row>
    <row r="1485" spans="1:18" x14ac:dyDescent="0.25">
      <c r="A1485" s="169">
        <v>44865</v>
      </c>
      <c r="B1485" s="115">
        <v>210.99</v>
      </c>
      <c r="C1485" s="115">
        <v>210.03</v>
      </c>
      <c r="D1485" s="115">
        <v>206.54</v>
      </c>
      <c r="E1485" s="115">
        <v>209.8</v>
      </c>
      <c r="F1485" s="115">
        <v>1050.1500000000001</v>
      </c>
      <c r="G1485">
        <v>31537</v>
      </c>
      <c r="H1485" s="115"/>
      <c r="I1485" s="115"/>
      <c r="L1485" s="169">
        <v>44865</v>
      </c>
      <c r="M1485" s="115">
        <v>209.81</v>
      </c>
      <c r="N1485" s="115">
        <v>211</v>
      </c>
      <c r="O1485" s="115">
        <v>206.42</v>
      </c>
      <c r="P1485" s="115">
        <v>209.37</v>
      </c>
      <c r="Q1485" s="115">
        <v>1049.05</v>
      </c>
      <c r="R1485">
        <v>1353114</v>
      </c>
    </row>
    <row r="1486" spans="1:18" x14ac:dyDescent="0.25">
      <c r="A1486" s="169">
        <v>44866</v>
      </c>
      <c r="B1486" s="115">
        <v>222.69</v>
      </c>
      <c r="C1486" s="115">
        <v>221.35</v>
      </c>
      <c r="D1486" s="115">
        <v>210.16</v>
      </c>
      <c r="E1486" s="115">
        <v>211</v>
      </c>
      <c r="F1486" s="115">
        <v>1106.75</v>
      </c>
      <c r="G1486">
        <v>331077</v>
      </c>
      <c r="H1486" s="115"/>
      <c r="I1486" s="115"/>
      <c r="L1486" s="169">
        <v>44866</v>
      </c>
      <c r="M1486" s="115">
        <v>221.4</v>
      </c>
      <c r="N1486" s="115">
        <v>222.8</v>
      </c>
      <c r="O1486" s="115">
        <v>210.48</v>
      </c>
      <c r="P1486" s="115">
        <v>212</v>
      </c>
      <c r="Q1486" s="115">
        <v>1107</v>
      </c>
      <c r="R1486">
        <v>5044191</v>
      </c>
    </row>
    <row r="1487" spans="1:18" x14ac:dyDescent="0.25">
      <c r="A1487" s="169">
        <v>44867</v>
      </c>
      <c r="B1487" s="115">
        <v>233</v>
      </c>
      <c r="C1487" s="115">
        <v>225.72</v>
      </c>
      <c r="D1487" s="115">
        <v>221.33</v>
      </c>
      <c r="E1487" s="115">
        <v>221.33</v>
      </c>
      <c r="F1487" s="115">
        <v>1128.5999999999999</v>
      </c>
      <c r="G1487">
        <v>103638</v>
      </c>
      <c r="H1487" s="115"/>
      <c r="I1487" s="115"/>
      <c r="L1487" s="169">
        <v>44867</v>
      </c>
      <c r="M1487" s="115">
        <v>225.5</v>
      </c>
      <c r="N1487" s="115">
        <v>233</v>
      </c>
      <c r="O1487" s="115">
        <v>222</v>
      </c>
      <c r="P1487" s="115">
        <v>222</v>
      </c>
      <c r="Q1487" s="115">
        <v>1127.5</v>
      </c>
      <c r="R1487">
        <v>3572759</v>
      </c>
    </row>
    <row r="1488" spans="1:18" x14ac:dyDescent="0.25">
      <c r="A1488" s="169">
        <v>44868</v>
      </c>
      <c r="B1488" s="115">
        <v>246.6</v>
      </c>
      <c r="C1488" s="115">
        <v>237.71</v>
      </c>
      <c r="D1488" s="115">
        <v>225.83</v>
      </c>
      <c r="E1488" s="115">
        <v>226</v>
      </c>
      <c r="F1488" s="115">
        <v>1188.55</v>
      </c>
      <c r="G1488">
        <v>371263</v>
      </c>
      <c r="H1488" s="115"/>
      <c r="I1488" s="115"/>
      <c r="L1488" s="169">
        <v>44868</v>
      </c>
      <c r="M1488" s="115">
        <v>237.8</v>
      </c>
      <c r="N1488" s="115">
        <v>246.6</v>
      </c>
      <c r="O1488" s="115">
        <v>225.67</v>
      </c>
      <c r="P1488" s="115">
        <v>226</v>
      </c>
      <c r="Q1488" s="115">
        <v>1189</v>
      </c>
      <c r="R1488">
        <v>6077712</v>
      </c>
    </row>
    <row r="1489" spans="1:18" x14ac:dyDescent="0.25">
      <c r="A1489" s="169">
        <v>44869</v>
      </c>
      <c r="B1489" s="115">
        <v>244</v>
      </c>
      <c r="C1489" s="115">
        <v>227.65</v>
      </c>
      <c r="D1489" s="115">
        <v>226.5</v>
      </c>
      <c r="E1489" s="115">
        <v>239.61</v>
      </c>
      <c r="F1489" s="115">
        <v>1138.25</v>
      </c>
      <c r="G1489">
        <v>99376</v>
      </c>
      <c r="H1489" s="115"/>
      <c r="I1489" s="115"/>
      <c r="L1489" s="169">
        <v>44869</v>
      </c>
      <c r="M1489" s="115">
        <v>227.78</v>
      </c>
      <c r="N1489" s="115">
        <v>244</v>
      </c>
      <c r="O1489" s="115">
        <v>226.4</v>
      </c>
      <c r="P1489" s="115">
        <v>238.96</v>
      </c>
      <c r="Q1489" s="115">
        <v>1138.9000000000001</v>
      </c>
      <c r="R1489">
        <v>2999929</v>
      </c>
    </row>
    <row r="1490" spans="1:18" x14ac:dyDescent="0.25">
      <c r="A1490" s="169">
        <v>44872</v>
      </c>
      <c r="B1490" s="115">
        <v>234.51</v>
      </c>
      <c r="C1490" s="115">
        <v>230.44</v>
      </c>
      <c r="D1490" s="115">
        <v>222.42</v>
      </c>
      <c r="E1490" s="115">
        <v>229.62</v>
      </c>
      <c r="F1490" s="115">
        <v>1152.2</v>
      </c>
      <c r="G1490">
        <v>145971</v>
      </c>
      <c r="H1490" s="115"/>
      <c r="I1490" s="115"/>
      <c r="L1490" s="169">
        <v>44872</v>
      </c>
      <c r="M1490" s="115">
        <v>228.32</v>
      </c>
      <c r="N1490" s="115">
        <v>234.44</v>
      </c>
      <c r="O1490" s="115">
        <v>222.44</v>
      </c>
      <c r="P1490" s="115">
        <v>230.58</v>
      </c>
      <c r="Q1490" s="115">
        <v>1141.5999999999999</v>
      </c>
      <c r="R1490">
        <v>2037563</v>
      </c>
    </row>
    <row r="1491" spans="1:18" x14ac:dyDescent="0.25">
      <c r="A1491" s="169">
        <v>44874</v>
      </c>
      <c r="B1491" s="115">
        <v>235.76</v>
      </c>
      <c r="C1491" s="115">
        <v>229.75</v>
      </c>
      <c r="D1491" s="115">
        <v>225.37</v>
      </c>
      <c r="E1491" s="115">
        <v>232.01</v>
      </c>
      <c r="F1491" s="115">
        <v>1148.75</v>
      </c>
      <c r="G1491">
        <v>157580</v>
      </c>
      <c r="H1491" s="115"/>
      <c r="I1491" s="115"/>
      <c r="L1491" s="169">
        <v>44874</v>
      </c>
      <c r="M1491" s="115">
        <v>229.61</v>
      </c>
      <c r="N1491" s="115">
        <v>235.9</v>
      </c>
      <c r="O1491" s="115">
        <v>225.4</v>
      </c>
      <c r="P1491" s="115">
        <v>233.8</v>
      </c>
      <c r="Q1491" s="115">
        <v>1148.05</v>
      </c>
      <c r="R1491">
        <v>2499376</v>
      </c>
    </row>
    <row r="1492" spans="1:18" x14ac:dyDescent="0.25">
      <c r="A1492" s="169">
        <v>44875</v>
      </c>
      <c r="B1492" s="115">
        <v>231</v>
      </c>
      <c r="C1492" s="115">
        <v>227.71</v>
      </c>
      <c r="D1492" s="115">
        <v>225.1</v>
      </c>
      <c r="E1492" s="115">
        <v>231</v>
      </c>
      <c r="F1492" s="115">
        <v>1138.55</v>
      </c>
      <c r="G1492">
        <v>74594</v>
      </c>
      <c r="H1492" s="115"/>
      <c r="I1492" s="115"/>
      <c r="L1492" s="169">
        <v>44875</v>
      </c>
      <c r="M1492" s="115">
        <v>227.81</v>
      </c>
      <c r="N1492" s="115">
        <v>230.46</v>
      </c>
      <c r="O1492" s="115">
        <v>225.08</v>
      </c>
      <c r="P1492" s="115">
        <v>230.46</v>
      </c>
      <c r="Q1492" s="115">
        <v>1139.05</v>
      </c>
      <c r="R1492">
        <v>1219356</v>
      </c>
    </row>
    <row r="1493" spans="1:18" x14ac:dyDescent="0.25">
      <c r="A1493" s="169">
        <v>44876</v>
      </c>
      <c r="B1493" s="115">
        <v>232.52</v>
      </c>
      <c r="C1493" s="115">
        <v>221.31</v>
      </c>
      <c r="D1493" s="115">
        <v>219.49</v>
      </c>
      <c r="E1493" s="115">
        <v>230.2</v>
      </c>
      <c r="F1493" s="115">
        <v>1106.55</v>
      </c>
      <c r="G1493">
        <v>79456</v>
      </c>
      <c r="H1493" s="115"/>
      <c r="I1493" s="115"/>
      <c r="L1493" s="169">
        <v>44876</v>
      </c>
      <c r="M1493" s="115">
        <v>221.28</v>
      </c>
      <c r="N1493" s="115">
        <v>232.59</v>
      </c>
      <c r="O1493" s="115">
        <v>219.03</v>
      </c>
      <c r="P1493" s="115">
        <v>229.2</v>
      </c>
      <c r="Q1493" s="115">
        <v>1106.4000000000001</v>
      </c>
      <c r="R1493">
        <v>1977729</v>
      </c>
    </row>
    <row r="1494" spans="1:18" x14ac:dyDescent="0.25">
      <c r="A1494" s="169">
        <v>44879</v>
      </c>
      <c r="B1494" s="115">
        <v>227</v>
      </c>
      <c r="C1494" s="115">
        <v>216.86</v>
      </c>
      <c r="D1494" s="115">
        <v>215.11</v>
      </c>
      <c r="E1494" s="115">
        <v>222</v>
      </c>
      <c r="F1494" s="115">
        <v>1084.3</v>
      </c>
      <c r="G1494">
        <v>114734</v>
      </c>
      <c r="H1494" s="115"/>
      <c r="I1494" s="115"/>
      <c r="L1494" s="169">
        <v>44879</v>
      </c>
      <c r="M1494" s="115">
        <v>216.86</v>
      </c>
      <c r="N1494" s="115">
        <v>227</v>
      </c>
      <c r="O1494" s="115">
        <v>215.11</v>
      </c>
      <c r="P1494" s="115">
        <v>222.2</v>
      </c>
      <c r="Q1494" s="115">
        <v>1084.3</v>
      </c>
      <c r="R1494">
        <v>1996542</v>
      </c>
    </row>
    <row r="1495" spans="1:18" x14ac:dyDescent="0.25">
      <c r="A1495" s="169">
        <v>44880</v>
      </c>
      <c r="B1495" s="115">
        <v>223</v>
      </c>
      <c r="C1495" s="115">
        <v>218.67</v>
      </c>
      <c r="D1495" s="115">
        <v>216.83</v>
      </c>
      <c r="E1495" s="115">
        <v>217.8</v>
      </c>
      <c r="F1495" s="115">
        <v>1093.3499999999999</v>
      </c>
      <c r="G1495">
        <v>94779</v>
      </c>
      <c r="H1495" s="115"/>
      <c r="I1495" s="115"/>
      <c r="L1495" s="169">
        <v>44880</v>
      </c>
      <c r="M1495" s="115">
        <v>218.52</v>
      </c>
      <c r="N1495" s="115">
        <v>223</v>
      </c>
      <c r="O1495" s="115">
        <v>216.89</v>
      </c>
      <c r="P1495" s="115">
        <v>217.94</v>
      </c>
      <c r="Q1495" s="115">
        <v>1092.5999999999999</v>
      </c>
      <c r="R1495">
        <v>1710957</v>
      </c>
    </row>
    <row r="1496" spans="1:18" x14ac:dyDescent="0.25">
      <c r="A1496" s="169">
        <v>44881</v>
      </c>
      <c r="B1496" s="115">
        <v>229.6</v>
      </c>
      <c r="C1496" s="115">
        <v>226.67</v>
      </c>
      <c r="D1496" s="115">
        <v>220.41</v>
      </c>
      <c r="E1496" s="115">
        <v>220.41</v>
      </c>
      <c r="F1496" s="115">
        <v>1133.3499999999999</v>
      </c>
      <c r="G1496">
        <v>161200</v>
      </c>
      <c r="H1496" s="115"/>
      <c r="I1496" s="115"/>
      <c r="L1496" s="169">
        <v>44881</v>
      </c>
      <c r="M1496" s="115">
        <v>226.32</v>
      </c>
      <c r="N1496" s="115">
        <v>229.6</v>
      </c>
      <c r="O1496" s="115">
        <v>220.6</v>
      </c>
      <c r="P1496" s="115">
        <v>220.6</v>
      </c>
      <c r="Q1496" s="115">
        <v>1131.5999999999999</v>
      </c>
      <c r="R1496">
        <v>2458592</v>
      </c>
    </row>
    <row r="1497" spans="1:18" x14ac:dyDescent="0.25">
      <c r="A1497" s="169">
        <v>44882</v>
      </c>
      <c r="B1497" s="115">
        <v>230.13</v>
      </c>
      <c r="C1497" s="115">
        <v>229.69</v>
      </c>
      <c r="D1497" s="115">
        <v>224.68</v>
      </c>
      <c r="E1497" s="115">
        <v>227.21</v>
      </c>
      <c r="F1497" s="115">
        <v>1148.45</v>
      </c>
      <c r="G1497">
        <v>124331</v>
      </c>
      <c r="H1497" s="115"/>
      <c r="I1497" s="115"/>
      <c r="L1497" s="169">
        <v>44882</v>
      </c>
      <c r="M1497" s="115">
        <v>229.59</v>
      </c>
      <c r="N1497" s="115">
        <v>230.16</v>
      </c>
      <c r="O1497" s="115">
        <v>224.6</v>
      </c>
      <c r="P1497" s="115">
        <v>228.53</v>
      </c>
      <c r="Q1497" s="115">
        <v>1147.95</v>
      </c>
      <c r="R1497">
        <v>1743695</v>
      </c>
    </row>
    <row r="1498" spans="1:18" x14ac:dyDescent="0.25">
      <c r="A1498" s="169">
        <v>44883</v>
      </c>
      <c r="B1498" s="115">
        <v>230.66</v>
      </c>
      <c r="C1498" s="115">
        <v>228.86</v>
      </c>
      <c r="D1498" s="115">
        <v>226.91</v>
      </c>
      <c r="E1498" s="115">
        <v>230.5</v>
      </c>
      <c r="F1498" s="115">
        <v>1144.3</v>
      </c>
      <c r="G1498">
        <v>79099</v>
      </c>
      <c r="H1498" s="115"/>
      <c r="I1498" s="115"/>
      <c r="L1498" s="169">
        <v>44883</v>
      </c>
      <c r="M1498" s="115">
        <v>228.78</v>
      </c>
      <c r="N1498" s="115">
        <v>230.6</v>
      </c>
      <c r="O1498" s="115">
        <v>227</v>
      </c>
      <c r="P1498" s="115">
        <v>230.16</v>
      </c>
      <c r="Q1498" s="115">
        <v>1143.9000000000001</v>
      </c>
      <c r="R1498">
        <v>1177230</v>
      </c>
    </row>
    <row r="1499" spans="1:18" x14ac:dyDescent="0.25">
      <c r="A1499" s="169">
        <v>44886</v>
      </c>
      <c r="B1499" s="115">
        <v>231.04</v>
      </c>
      <c r="C1499" s="115">
        <v>220.5</v>
      </c>
      <c r="D1499" s="115">
        <v>218.2</v>
      </c>
      <c r="E1499" s="115">
        <v>228.02</v>
      </c>
      <c r="F1499" s="115">
        <v>1102.5</v>
      </c>
      <c r="G1499">
        <v>123202</v>
      </c>
      <c r="H1499" s="115"/>
      <c r="I1499" s="115"/>
      <c r="L1499" s="169">
        <v>44886</v>
      </c>
      <c r="M1499" s="115">
        <v>220.66</v>
      </c>
      <c r="N1499" s="115">
        <v>231.1</v>
      </c>
      <c r="O1499" s="115">
        <v>219.33</v>
      </c>
      <c r="P1499" s="115">
        <v>228.78</v>
      </c>
      <c r="Q1499" s="115">
        <v>1103.3</v>
      </c>
      <c r="R1499">
        <v>1702184</v>
      </c>
    </row>
    <row r="1500" spans="1:18" x14ac:dyDescent="0.25">
      <c r="A1500" s="169">
        <v>44887</v>
      </c>
      <c r="B1500" s="115">
        <v>232</v>
      </c>
      <c r="C1500" s="115">
        <v>230.97</v>
      </c>
      <c r="D1500" s="115">
        <v>221.03</v>
      </c>
      <c r="E1500" s="115">
        <v>221.03</v>
      </c>
      <c r="F1500" s="115">
        <v>1154.8499999999999</v>
      </c>
      <c r="G1500">
        <v>68468</v>
      </c>
      <c r="H1500" s="115"/>
      <c r="I1500" s="115"/>
      <c r="L1500" s="169">
        <v>44887</v>
      </c>
      <c r="M1500" s="115">
        <v>231.04</v>
      </c>
      <c r="N1500" s="115">
        <v>232</v>
      </c>
      <c r="O1500" s="115">
        <v>221.76</v>
      </c>
      <c r="P1500" s="115">
        <v>221.9</v>
      </c>
      <c r="Q1500" s="115">
        <v>1155.2</v>
      </c>
      <c r="R1500">
        <v>2002605</v>
      </c>
    </row>
    <row r="1501" spans="1:18" x14ac:dyDescent="0.25">
      <c r="A1501" s="169">
        <v>44888</v>
      </c>
      <c r="B1501" s="115">
        <v>235</v>
      </c>
      <c r="C1501" s="115">
        <v>232.78</v>
      </c>
      <c r="D1501" s="115">
        <v>227.63</v>
      </c>
      <c r="E1501" s="115">
        <v>231.41</v>
      </c>
      <c r="F1501" s="115">
        <v>1163.9000000000001</v>
      </c>
      <c r="G1501">
        <v>57471</v>
      </c>
      <c r="H1501" s="115"/>
      <c r="I1501" s="115"/>
      <c r="L1501" s="169">
        <v>44888</v>
      </c>
      <c r="M1501" s="115">
        <v>232.9</v>
      </c>
      <c r="N1501" s="115">
        <v>235</v>
      </c>
      <c r="O1501" s="115">
        <v>227.6</v>
      </c>
      <c r="P1501" s="115">
        <v>232.4</v>
      </c>
      <c r="Q1501" s="115">
        <v>1164.5</v>
      </c>
      <c r="R1501">
        <v>1744564</v>
      </c>
    </row>
    <row r="1502" spans="1:18" x14ac:dyDescent="0.25">
      <c r="A1502" s="169">
        <v>44889</v>
      </c>
      <c r="B1502" s="115">
        <v>236</v>
      </c>
      <c r="C1502" s="115">
        <v>234.99</v>
      </c>
      <c r="D1502" s="115">
        <v>229</v>
      </c>
      <c r="E1502" s="115">
        <v>233</v>
      </c>
      <c r="F1502" s="115">
        <v>1174.95</v>
      </c>
      <c r="G1502">
        <v>53737</v>
      </c>
      <c r="H1502" s="115"/>
      <c r="I1502" s="115"/>
      <c r="L1502" s="169">
        <v>44889</v>
      </c>
      <c r="M1502" s="115">
        <v>235.14</v>
      </c>
      <c r="N1502" s="115">
        <v>236</v>
      </c>
      <c r="O1502" s="115">
        <v>228.8</v>
      </c>
      <c r="P1502" s="115">
        <v>233.03</v>
      </c>
      <c r="Q1502" s="115">
        <v>1175.7</v>
      </c>
      <c r="R1502">
        <v>1319178</v>
      </c>
    </row>
    <row r="1503" spans="1:18" x14ac:dyDescent="0.25">
      <c r="A1503" s="169">
        <v>44890</v>
      </c>
      <c r="B1503" s="115">
        <v>236.95</v>
      </c>
      <c r="C1503" s="115">
        <v>230.03</v>
      </c>
      <c r="D1503" s="115">
        <v>228</v>
      </c>
      <c r="E1503" s="115">
        <v>231.77</v>
      </c>
      <c r="F1503" s="115">
        <v>1150.1500000000001</v>
      </c>
      <c r="G1503">
        <v>42388</v>
      </c>
      <c r="H1503" s="115"/>
      <c r="I1503" s="115"/>
      <c r="L1503" s="169">
        <v>44890</v>
      </c>
      <c r="M1503" s="115">
        <v>230.39</v>
      </c>
      <c r="N1503" s="115">
        <v>237</v>
      </c>
      <c r="O1503" s="115">
        <v>228.95</v>
      </c>
      <c r="P1503" s="115">
        <v>233</v>
      </c>
      <c r="Q1503" s="115">
        <v>1151.95</v>
      </c>
      <c r="R1503">
        <v>1112867</v>
      </c>
    </row>
    <row r="1504" spans="1:18" x14ac:dyDescent="0.25">
      <c r="A1504" s="169">
        <v>44893</v>
      </c>
      <c r="B1504" s="115">
        <v>237</v>
      </c>
      <c r="C1504" s="115">
        <v>236.36</v>
      </c>
      <c r="D1504" s="115">
        <v>228.55</v>
      </c>
      <c r="E1504" s="115">
        <v>230.39</v>
      </c>
      <c r="F1504" s="115">
        <v>1181.8</v>
      </c>
      <c r="G1504">
        <v>40852</v>
      </c>
      <c r="H1504" s="115"/>
      <c r="I1504" s="115"/>
      <c r="L1504" s="169">
        <v>44893</v>
      </c>
      <c r="M1504" s="115">
        <v>236.66</v>
      </c>
      <c r="N1504" s="115">
        <v>237.2</v>
      </c>
      <c r="O1504" s="115">
        <v>228.4</v>
      </c>
      <c r="P1504" s="115">
        <v>230.39</v>
      </c>
      <c r="Q1504" s="115">
        <v>1183.3</v>
      </c>
      <c r="R1504">
        <v>2279374</v>
      </c>
    </row>
    <row r="1505" spans="1:18" x14ac:dyDescent="0.25">
      <c r="A1505" s="169">
        <v>44894</v>
      </c>
      <c r="B1505" s="115">
        <v>235.02</v>
      </c>
      <c r="C1505" s="115">
        <v>229.11</v>
      </c>
      <c r="D1505" s="115">
        <v>226.16</v>
      </c>
      <c r="E1505" s="115">
        <v>234.4</v>
      </c>
      <c r="F1505" s="115">
        <v>1145.55</v>
      </c>
      <c r="G1505">
        <v>54742</v>
      </c>
      <c r="H1505" s="115"/>
      <c r="I1505" s="115"/>
      <c r="L1505" s="169">
        <v>44894</v>
      </c>
      <c r="M1505" s="115">
        <v>229.23</v>
      </c>
      <c r="N1505" s="115">
        <v>235.72</v>
      </c>
      <c r="O1505" s="115">
        <v>226.2</v>
      </c>
      <c r="P1505" s="115">
        <v>235.72</v>
      </c>
      <c r="Q1505" s="115">
        <v>1146.1500000000001</v>
      </c>
      <c r="R1505">
        <v>1932308</v>
      </c>
    </row>
    <row r="1506" spans="1:18" x14ac:dyDescent="0.25">
      <c r="A1506" s="169">
        <v>44895</v>
      </c>
      <c r="B1506" s="115">
        <v>264.98</v>
      </c>
      <c r="C1506" s="115">
        <v>248.32</v>
      </c>
      <c r="D1506" s="115">
        <v>229.4</v>
      </c>
      <c r="E1506" s="115">
        <v>229.4</v>
      </c>
      <c r="F1506" s="115">
        <v>1241.5999999999999</v>
      </c>
      <c r="G1506">
        <v>343005</v>
      </c>
      <c r="H1506" s="115"/>
      <c r="I1506" s="115"/>
      <c r="L1506" s="169">
        <v>44895</v>
      </c>
      <c r="M1506" s="115">
        <v>249.95</v>
      </c>
      <c r="N1506" s="115">
        <v>264.8</v>
      </c>
      <c r="O1506" s="115">
        <v>230.2</v>
      </c>
      <c r="P1506" s="115">
        <v>230.2</v>
      </c>
      <c r="Q1506" s="115">
        <v>1249.75</v>
      </c>
      <c r="R1506">
        <v>35107723</v>
      </c>
    </row>
    <row r="1507" spans="1:18" x14ac:dyDescent="0.25">
      <c r="A1507" s="169">
        <v>44896</v>
      </c>
      <c r="B1507" s="115">
        <v>256</v>
      </c>
      <c r="C1507" s="115">
        <v>252.75</v>
      </c>
      <c r="D1507" s="115">
        <v>248.4</v>
      </c>
      <c r="E1507" s="115">
        <v>252.4</v>
      </c>
      <c r="F1507" s="115">
        <v>1263.75</v>
      </c>
      <c r="G1507">
        <v>136037</v>
      </c>
      <c r="H1507" s="115"/>
      <c r="I1507" s="115"/>
      <c r="L1507" s="169">
        <v>44896</v>
      </c>
      <c r="M1507" s="115">
        <v>252.84</v>
      </c>
      <c r="N1507" s="115">
        <v>256.93</v>
      </c>
      <c r="O1507" s="115">
        <v>248.21</v>
      </c>
      <c r="P1507" s="115">
        <v>255</v>
      </c>
      <c r="Q1507" s="115">
        <v>1264.2</v>
      </c>
      <c r="R1507">
        <v>4505236</v>
      </c>
    </row>
    <row r="1508" spans="1:18" x14ac:dyDescent="0.25">
      <c r="A1508" s="169">
        <v>44897</v>
      </c>
      <c r="B1508" s="115">
        <v>270.67</v>
      </c>
      <c r="C1508" s="115">
        <v>263.18</v>
      </c>
      <c r="D1508" s="115">
        <v>250.93</v>
      </c>
      <c r="E1508" s="115">
        <v>252.45</v>
      </c>
      <c r="F1508" s="115">
        <v>1315.9</v>
      </c>
      <c r="G1508">
        <v>186171</v>
      </c>
      <c r="H1508" s="115"/>
      <c r="I1508" s="115"/>
      <c r="L1508" s="169">
        <v>44897</v>
      </c>
      <c r="M1508" s="115">
        <v>263.72000000000003</v>
      </c>
      <c r="N1508" s="115">
        <v>270.8</v>
      </c>
      <c r="O1508" s="115">
        <v>251.12</v>
      </c>
      <c r="P1508" s="115">
        <v>252.8</v>
      </c>
      <c r="Q1508" s="115">
        <v>1318.6</v>
      </c>
      <c r="R1508">
        <v>5648883</v>
      </c>
    </row>
    <row r="1509" spans="1:18" x14ac:dyDescent="0.25">
      <c r="A1509" s="169">
        <v>44900</v>
      </c>
      <c r="B1509" s="115">
        <v>275.14999999999998</v>
      </c>
      <c r="C1509" s="115">
        <v>271.45</v>
      </c>
      <c r="D1509" s="115">
        <v>258.52999999999997</v>
      </c>
      <c r="E1509" s="115">
        <v>263.60000000000002</v>
      </c>
      <c r="F1509" s="115">
        <v>1357.25</v>
      </c>
      <c r="G1509">
        <v>63339</v>
      </c>
      <c r="H1509" s="115"/>
      <c r="I1509" s="115"/>
      <c r="L1509" s="169">
        <v>44900</v>
      </c>
      <c r="M1509" s="115">
        <v>270.56</v>
      </c>
      <c r="N1509" s="115">
        <v>275.52999999999997</v>
      </c>
      <c r="O1509" s="115">
        <v>258.47000000000003</v>
      </c>
      <c r="P1509" s="115">
        <v>263.39999999999998</v>
      </c>
      <c r="Q1509" s="115">
        <v>1352.8</v>
      </c>
      <c r="R1509">
        <v>1974702</v>
      </c>
    </row>
    <row r="1510" spans="1:18" x14ac:dyDescent="0.25">
      <c r="A1510" s="169">
        <v>44901</v>
      </c>
      <c r="B1510" s="115">
        <v>272.49</v>
      </c>
      <c r="C1510" s="115">
        <v>261.7</v>
      </c>
      <c r="D1510" s="115">
        <v>258.88</v>
      </c>
      <c r="E1510" s="115">
        <v>270</v>
      </c>
      <c r="F1510" s="115">
        <v>1308.5</v>
      </c>
      <c r="G1510">
        <v>124646</v>
      </c>
      <c r="H1510" s="115"/>
      <c r="I1510" s="115"/>
      <c r="L1510" s="169">
        <v>44901</v>
      </c>
      <c r="M1510" s="115">
        <v>261.92</v>
      </c>
      <c r="N1510" s="115">
        <v>272.55</v>
      </c>
      <c r="O1510" s="115">
        <v>260</v>
      </c>
      <c r="P1510" s="115">
        <v>270.39999999999998</v>
      </c>
      <c r="Q1510" s="115">
        <v>1309.5999999999999</v>
      </c>
      <c r="R1510">
        <v>3200965</v>
      </c>
    </row>
    <row r="1511" spans="1:18" x14ac:dyDescent="0.25">
      <c r="A1511" s="169">
        <v>44902</v>
      </c>
      <c r="B1511" s="115">
        <v>271.2</v>
      </c>
      <c r="C1511" s="115">
        <v>262.06</v>
      </c>
      <c r="D1511" s="115">
        <v>259.8</v>
      </c>
      <c r="E1511" s="115">
        <v>263.2</v>
      </c>
      <c r="F1511" s="115">
        <v>1310.3</v>
      </c>
      <c r="G1511">
        <v>65335</v>
      </c>
      <c r="H1511" s="115"/>
      <c r="I1511" s="115"/>
      <c r="L1511" s="169">
        <v>44902</v>
      </c>
      <c r="M1511" s="115">
        <v>261.77999999999997</v>
      </c>
      <c r="N1511" s="115">
        <v>271.32</v>
      </c>
      <c r="O1511" s="115">
        <v>259.61</v>
      </c>
      <c r="P1511" s="115">
        <v>263.93</v>
      </c>
      <c r="Q1511" s="115">
        <v>1308.9000000000001</v>
      </c>
      <c r="R1511">
        <v>2677931</v>
      </c>
    </row>
    <row r="1512" spans="1:18" x14ac:dyDescent="0.25">
      <c r="A1512" s="169">
        <v>44903</v>
      </c>
      <c r="B1512" s="115">
        <v>275.88</v>
      </c>
      <c r="C1512" s="115">
        <v>273.7</v>
      </c>
      <c r="D1512" s="115">
        <v>261.8</v>
      </c>
      <c r="E1512" s="115">
        <v>261.8</v>
      </c>
      <c r="F1512" s="115">
        <v>1368.5</v>
      </c>
      <c r="G1512">
        <v>141415</v>
      </c>
      <c r="H1512" s="115"/>
      <c r="I1512" s="115"/>
      <c r="L1512" s="169">
        <v>44903</v>
      </c>
      <c r="M1512" s="115">
        <v>273.35000000000002</v>
      </c>
      <c r="N1512" s="115">
        <v>276</v>
      </c>
      <c r="O1512" s="115">
        <v>262.13</v>
      </c>
      <c r="P1512" s="115">
        <v>262.60000000000002</v>
      </c>
      <c r="Q1512" s="115">
        <v>1366.75</v>
      </c>
      <c r="R1512">
        <v>2146630</v>
      </c>
    </row>
    <row r="1513" spans="1:18" x14ac:dyDescent="0.25">
      <c r="A1513" s="169">
        <v>44904</v>
      </c>
      <c r="B1513" s="115">
        <v>285.8</v>
      </c>
      <c r="C1513" s="115">
        <v>282.31</v>
      </c>
      <c r="D1513" s="115">
        <v>268.83</v>
      </c>
      <c r="E1513" s="115">
        <v>274.79000000000002</v>
      </c>
      <c r="F1513" s="115">
        <v>1411.55</v>
      </c>
      <c r="G1513">
        <v>196172</v>
      </c>
      <c r="H1513" s="115"/>
      <c r="I1513" s="115"/>
      <c r="L1513" s="169">
        <v>44904</v>
      </c>
      <c r="M1513" s="115">
        <v>282.05</v>
      </c>
      <c r="N1513" s="115">
        <v>285.92</v>
      </c>
      <c r="O1513" s="115">
        <v>269.01</v>
      </c>
      <c r="P1513" s="115">
        <v>273</v>
      </c>
      <c r="Q1513" s="115">
        <v>1410.25</v>
      </c>
      <c r="R1513">
        <v>2782846</v>
      </c>
    </row>
    <row r="1514" spans="1:18" x14ac:dyDescent="0.25">
      <c r="A1514" s="169">
        <v>44907</v>
      </c>
      <c r="B1514" s="115">
        <v>286.41000000000003</v>
      </c>
      <c r="C1514" s="115">
        <v>275.29000000000002</v>
      </c>
      <c r="D1514" s="115">
        <v>273.56</v>
      </c>
      <c r="E1514" s="115">
        <v>282.39999999999998</v>
      </c>
      <c r="F1514" s="115">
        <v>1376.45</v>
      </c>
      <c r="G1514">
        <v>113206</v>
      </c>
      <c r="H1514" s="115"/>
      <c r="I1514" s="115"/>
      <c r="L1514" s="169">
        <v>44907</v>
      </c>
      <c r="M1514" s="115">
        <v>275.25</v>
      </c>
      <c r="N1514" s="115">
        <v>286.49</v>
      </c>
      <c r="O1514" s="115">
        <v>273.45999999999998</v>
      </c>
      <c r="P1514" s="115">
        <v>283</v>
      </c>
      <c r="Q1514" s="115">
        <v>1376.25</v>
      </c>
      <c r="R1514">
        <v>2068908</v>
      </c>
    </row>
    <row r="1515" spans="1:18" x14ac:dyDescent="0.25">
      <c r="A1515" s="169">
        <v>44908</v>
      </c>
      <c r="B1515" s="115">
        <v>277.31</v>
      </c>
      <c r="C1515" s="115">
        <v>274.7</v>
      </c>
      <c r="D1515" s="115">
        <v>272.33999999999997</v>
      </c>
      <c r="E1515" s="115">
        <v>276.60000000000002</v>
      </c>
      <c r="F1515" s="115">
        <v>1373.5</v>
      </c>
      <c r="G1515">
        <v>53041</v>
      </c>
      <c r="H1515" s="115"/>
      <c r="I1515" s="115"/>
      <c r="L1515" s="169">
        <v>44908</v>
      </c>
      <c r="M1515" s="115">
        <v>274.64999999999998</v>
      </c>
      <c r="N1515" s="115">
        <v>277.49</v>
      </c>
      <c r="O1515" s="115">
        <v>272.39999999999998</v>
      </c>
      <c r="P1515" s="115">
        <v>276</v>
      </c>
      <c r="Q1515" s="115">
        <v>1373.25</v>
      </c>
      <c r="R1515">
        <v>1319455</v>
      </c>
    </row>
    <row r="1516" spans="1:18" x14ac:dyDescent="0.25">
      <c r="A1516" s="169">
        <v>44909</v>
      </c>
      <c r="B1516" s="115">
        <v>283.89999999999998</v>
      </c>
      <c r="C1516" s="115">
        <v>277.58</v>
      </c>
      <c r="D1516" s="115">
        <v>275</v>
      </c>
      <c r="E1516" s="115">
        <v>275</v>
      </c>
      <c r="F1516" s="115">
        <v>1387.9</v>
      </c>
      <c r="G1516">
        <v>80303</v>
      </c>
      <c r="H1516" s="115"/>
      <c r="I1516" s="115"/>
      <c r="L1516" s="169">
        <v>44909</v>
      </c>
      <c r="M1516" s="115">
        <v>277.77</v>
      </c>
      <c r="N1516" s="115">
        <v>284</v>
      </c>
      <c r="O1516" s="115">
        <v>275.63</v>
      </c>
      <c r="P1516" s="115">
        <v>276</v>
      </c>
      <c r="Q1516" s="115">
        <v>1388.85</v>
      </c>
      <c r="R1516">
        <v>1558556</v>
      </c>
    </row>
    <row r="1517" spans="1:18" x14ac:dyDescent="0.25">
      <c r="A1517" s="169">
        <v>44910</v>
      </c>
      <c r="B1517" s="115">
        <v>279.70999999999998</v>
      </c>
      <c r="C1517" s="115">
        <v>276.60000000000002</v>
      </c>
      <c r="D1517" s="115">
        <v>273</v>
      </c>
      <c r="E1517" s="115">
        <v>277.39999999999998</v>
      </c>
      <c r="F1517" s="115">
        <v>1383</v>
      </c>
      <c r="G1517">
        <v>40030</v>
      </c>
      <c r="H1517" s="115"/>
      <c r="I1517" s="115"/>
      <c r="L1517" s="169">
        <v>44910</v>
      </c>
      <c r="M1517" s="115">
        <v>276.63</v>
      </c>
      <c r="N1517" s="115">
        <v>279.88</v>
      </c>
      <c r="O1517" s="115">
        <v>273.01</v>
      </c>
      <c r="P1517" s="115">
        <v>277</v>
      </c>
      <c r="Q1517" s="115">
        <v>1383.15</v>
      </c>
      <c r="R1517">
        <v>1306904</v>
      </c>
    </row>
    <row r="1518" spans="1:18" x14ac:dyDescent="0.25">
      <c r="A1518" s="169">
        <v>44911</v>
      </c>
      <c r="B1518" s="115">
        <v>283.52999999999997</v>
      </c>
      <c r="C1518" s="115">
        <v>278.23</v>
      </c>
      <c r="D1518" s="115">
        <v>267.98</v>
      </c>
      <c r="E1518" s="115">
        <v>275.07</v>
      </c>
      <c r="F1518" s="115">
        <v>1391.15</v>
      </c>
      <c r="G1518">
        <v>57897</v>
      </c>
      <c r="H1518" s="115"/>
      <c r="I1518" s="115"/>
      <c r="L1518" s="169">
        <v>44911</v>
      </c>
      <c r="M1518" s="115">
        <v>279.33</v>
      </c>
      <c r="N1518" s="115">
        <v>283.60000000000002</v>
      </c>
      <c r="O1518" s="115">
        <v>268</v>
      </c>
      <c r="P1518" s="115">
        <v>276.63</v>
      </c>
      <c r="Q1518" s="115">
        <v>1396.65</v>
      </c>
      <c r="R1518">
        <v>1660383</v>
      </c>
    </row>
    <row r="1519" spans="1:18" x14ac:dyDescent="0.25">
      <c r="A1519" s="169">
        <v>44914</v>
      </c>
      <c r="B1519" s="115">
        <v>283.8</v>
      </c>
      <c r="C1519" s="115">
        <v>282.68</v>
      </c>
      <c r="D1519" s="115">
        <v>277.14999999999998</v>
      </c>
      <c r="E1519" s="115">
        <v>282.39999999999998</v>
      </c>
      <c r="F1519" s="115">
        <v>1413.4</v>
      </c>
      <c r="G1519">
        <v>39026</v>
      </c>
      <c r="H1519" s="115"/>
      <c r="I1519" s="115"/>
      <c r="L1519" s="169">
        <v>44914</v>
      </c>
      <c r="M1519" s="115">
        <v>282.77999999999997</v>
      </c>
      <c r="N1519" s="115">
        <v>284.2</v>
      </c>
      <c r="O1519" s="115">
        <v>277</v>
      </c>
      <c r="P1519" s="115">
        <v>284.2</v>
      </c>
      <c r="Q1519" s="115">
        <v>1413.9</v>
      </c>
      <c r="R1519">
        <v>1043293</v>
      </c>
    </row>
    <row r="1520" spans="1:18" x14ac:dyDescent="0.25">
      <c r="A1520" s="169">
        <v>44915</v>
      </c>
      <c r="B1520" s="115">
        <v>282.2</v>
      </c>
      <c r="C1520" s="115">
        <v>278.13</v>
      </c>
      <c r="D1520" s="115">
        <v>274.93</v>
      </c>
      <c r="E1520" s="115">
        <v>279.20999999999998</v>
      </c>
      <c r="F1520" s="115">
        <v>1390.65</v>
      </c>
      <c r="G1520">
        <v>34632</v>
      </c>
      <c r="H1520" s="115"/>
      <c r="I1520" s="115"/>
      <c r="L1520" s="169">
        <v>44915</v>
      </c>
      <c r="M1520" s="115">
        <v>278.26</v>
      </c>
      <c r="N1520" s="115">
        <v>282.29000000000002</v>
      </c>
      <c r="O1520" s="115">
        <v>275.39999999999998</v>
      </c>
      <c r="P1520" s="115">
        <v>280.5</v>
      </c>
      <c r="Q1520" s="115">
        <v>1391.3</v>
      </c>
      <c r="R1520">
        <v>1351634</v>
      </c>
    </row>
    <row r="1521" spans="1:18" x14ac:dyDescent="0.25">
      <c r="A1521" s="169">
        <v>44916</v>
      </c>
      <c r="B1521" s="115">
        <v>284.23</v>
      </c>
      <c r="C1521" s="115">
        <v>273.73</v>
      </c>
      <c r="D1521" s="115">
        <v>269.64</v>
      </c>
      <c r="E1521" s="115">
        <v>282</v>
      </c>
      <c r="F1521" s="115">
        <v>1368.65</v>
      </c>
      <c r="G1521">
        <v>47452</v>
      </c>
      <c r="H1521" s="115"/>
      <c r="I1521" s="115"/>
      <c r="L1521" s="169">
        <v>44916</v>
      </c>
      <c r="M1521" s="115">
        <v>274.23</v>
      </c>
      <c r="N1521" s="115">
        <v>284.49</v>
      </c>
      <c r="O1521" s="115">
        <v>271</v>
      </c>
      <c r="P1521" s="115">
        <v>281.39999999999998</v>
      </c>
      <c r="Q1521" s="115">
        <v>1371.15</v>
      </c>
      <c r="R1521">
        <v>1076054</v>
      </c>
    </row>
    <row r="1522" spans="1:18" x14ac:dyDescent="0.25">
      <c r="A1522" s="169">
        <v>44917</v>
      </c>
      <c r="B1522" s="115">
        <v>279.51</v>
      </c>
      <c r="C1522" s="115">
        <v>275.77999999999997</v>
      </c>
      <c r="D1522" s="115">
        <v>261.29000000000002</v>
      </c>
      <c r="E1522" s="115">
        <v>272</v>
      </c>
      <c r="F1522" s="115">
        <v>1378.9</v>
      </c>
      <c r="G1522">
        <v>76955</v>
      </c>
      <c r="H1522" s="115"/>
      <c r="I1522" s="115"/>
      <c r="L1522" s="169">
        <v>44917</v>
      </c>
      <c r="M1522" s="115">
        <v>276.11</v>
      </c>
      <c r="N1522" s="115">
        <v>279.8</v>
      </c>
      <c r="O1522" s="115">
        <v>261.18</v>
      </c>
      <c r="P1522" s="115">
        <v>274</v>
      </c>
      <c r="Q1522" s="115">
        <v>1380.55</v>
      </c>
      <c r="R1522">
        <v>2001212</v>
      </c>
    </row>
    <row r="1523" spans="1:18" x14ac:dyDescent="0.25">
      <c r="A1523" s="169">
        <v>44918</v>
      </c>
      <c r="B1523" s="115">
        <v>272.17</v>
      </c>
      <c r="C1523" s="115">
        <v>257.29000000000002</v>
      </c>
      <c r="D1523" s="115">
        <v>252.24</v>
      </c>
      <c r="E1523" s="115">
        <v>272</v>
      </c>
      <c r="F1523" s="115">
        <v>1286.45</v>
      </c>
      <c r="G1523">
        <v>58352</v>
      </c>
      <c r="H1523" s="115"/>
      <c r="I1523" s="115"/>
      <c r="L1523" s="169">
        <v>44918</v>
      </c>
      <c r="M1523" s="115">
        <v>257.52</v>
      </c>
      <c r="N1523" s="115">
        <v>273</v>
      </c>
      <c r="O1523" s="115">
        <v>252.61</v>
      </c>
      <c r="P1523" s="115">
        <v>273</v>
      </c>
      <c r="Q1523" s="115">
        <v>1287.5999999999999</v>
      </c>
      <c r="R1523">
        <v>1309597</v>
      </c>
    </row>
    <row r="1524" spans="1:18" x14ac:dyDescent="0.25">
      <c r="A1524" s="169">
        <v>44921</v>
      </c>
      <c r="B1524" s="115">
        <v>273.72000000000003</v>
      </c>
      <c r="C1524" s="115">
        <v>270</v>
      </c>
      <c r="D1524" s="115">
        <v>252.45</v>
      </c>
      <c r="E1524" s="115">
        <v>256.01</v>
      </c>
      <c r="F1524" s="115">
        <v>1350</v>
      </c>
      <c r="G1524">
        <v>52380</v>
      </c>
      <c r="H1524" s="115"/>
      <c r="I1524" s="115"/>
      <c r="L1524" s="169">
        <v>44921</v>
      </c>
      <c r="M1524" s="115">
        <v>270.54000000000002</v>
      </c>
      <c r="N1524" s="115">
        <v>273.94</v>
      </c>
      <c r="O1524" s="115">
        <v>252.04</v>
      </c>
      <c r="P1524" s="115">
        <v>258.01</v>
      </c>
      <c r="Q1524" s="115">
        <v>1352.7</v>
      </c>
      <c r="R1524">
        <v>1063793</v>
      </c>
    </row>
    <row r="1525" spans="1:18" x14ac:dyDescent="0.25">
      <c r="A1525" s="169">
        <v>44922</v>
      </c>
      <c r="B1525" s="115">
        <v>275.08</v>
      </c>
      <c r="C1525" s="115">
        <v>263.66000000000003</v>
      </c>
      <c r="D1525" s="115">
        <v>262.2</v>
      </c>
      <c r="E1525" s="115">
        <v>272</v>
      </c>
      <c r="F1525" s="115">
        <v>1318.3</v>
      </c>
      <c r="G1525">
        <v>29382</v>
      </c>
      <c r="H1525" s="115"/>
      <c r="I1525" s="115"/>
      <c r="L1525" s="169">
        <v>44922</v>
      </c>
      <c r="M1525" s="115">
        <v>263.77999999999997</v>
      </c>
      <c r="N1525" s="115">
        <v>274.88</v>
      </c>
      <c r="O1525" s="115">
        <v>262.2</v>
      </c>
      <c r="P1525" s="115">
        <v>271.60000000000002</v>
      </c>
      <c r="Q1525" s="115">
        <v>1318.9</v>
      </c>
      <c r="R1525">
        <v>805440</v>
      </c>
    </row>
    <row r="1526" spans="1:18" x14ac:dyDescent="0.25">
      <c r="A1526" s="169">
        <v>44923</v>
      </c>
      <c r="B1526" s="115">
        <v>268.72000000000003</v>
      </c>
      <c r="C1526" s="115">
        <v>264.38</v>
      </c>
      <c r="D1526" s="115">
        <v>262</v>
      </c>
      <c r="E1526" s="115">
        <v>265.99</v>
      </c>
      <c r="F1526" s="115">
        <v>1321.9</v>
      </c>
      <c r="G1526">
        <v>26986</v>
      </c>
      <c r="H1526" s="115"/>
      <c r="I1526" s="115"/>
      <c r="L1526" s="169">
        <v>44923</v>
      </c>
      <c r="M1526" s="115">
        <v>264.69</v>
      </c>
      <c r="N1526" s="115">
        <v>268.89</v>
      </c>
      <c r="O1526" s="115">
        <v>261.77999999999997</v>
      </c>
      <c r="P1526" s="115">
        <v>265.14999999999998</v>
      </c>
      <c r="Q1526" s="115">
        <v>1323.45</v>
      </c>
      <c r="R1526">
        <v>840258</v>
      </c>
    </row>
    <row r="1527" spans="1:18" x14ac:dyDescent="0.25">
      <c r="A1527" s="169">
        <v>44924</v>
      </c>
      <c r="B1527" s="115">
        <v>273.82</v>
      </c>
      <c r="C1527" s="115">
        <v>271.42</v>
      </c>
      <c r="D1527" s="115">
        <v>258.27999999999997</v>
      </c>
      <c r="E1527" s="115">
        <v>264.33999999999997</v>
      </c>
      <c r="F1527" s="115">
        <v>1357.1</v>
      </c>
      <c r="G1527">
        <v>32179</v>
      </c>
      <c r="H1527" s="115"/>
      <c r="I1527" s="115"/>
      <c r="L1527" s="169">
        <v>44924</v>
      </c>
      <c r="M1527" s="115">
        <v>271.44</v>
      </c>
      <c r="N1527" s="115">
        <v>273.8</v>
      </c>
      <c r="O1527" s="115">
        <v>258.27999999999997</v>
      </c>
      <c r="P1527" s="115">
        <v>263</v>
      </c>
      <c r="Q1527" s="115">
        <v>1357.2</v>
      </c>
      <c r="R1527">
        <v>1052769</v>
      </c>
    </row>
    <row r="1528" spans="1:18" x14ac:dyDescent="0.25">
      <c r="A1528" s="169">
        <v>44925</v>
      </c>
      <c r="B1528" s="115">
        <v>276</v>
      </c>
      <c r="C1528" s="115">
        <v>264.5</v>
      </c>
      <c r="D1528" s="115">
        <v>263.07</v>
      </c>
      <c r="E1528" s="115">
        <v>272.02</v>
      </c>
      <c r="F1528" s="115">
        <v>1322.5</v>
      </c>
      <c r="G1528">
        <v>35101</v>
      </c>
      <c r="H1528" s="115"/>
      <c r="I1528" s="115"/>
      <c r="L1528" s="169">
        <v>44925</v>
      </c>
      <c r="M1528" s="115">
        <v>264.51</v>
      </c>
      <c r="N1528" s="115">
        <v>276.02999999999997</v>
      </c>
      <c r="O1528" s="115">
        <v>263.02</v>
      </c>
      <c r="P1528" s="115">
        <v>272.8</v>
      </c>
      <c r="Q1528" s="115">
        <v>1322.55</v>
      </c>
      <c r="R1528">
        <v>950794</v>
      </c>
    </row>
    <row r="1529" spans="1:18" x14ac:dyDescent="0.25">
      <c r="A1529" s="169">
        <v>44928</v>
      </c>
      <c r="B1529" s="115">
        <v>271.25</v>
      </c>
      <c r="C1529" s="115">
        <v>265.74</v>
      </c>
      <c r="D1529" s="115">
        <v>263.69</v>
      </c>
      <c r="E1529" s="115">
        <v>269.14</v>
      </c>
      <c r="F1529" s="115">
        <v>1328.7</v>
      </c>
      <c r="G1529">
        <v>26039</v>
      </c>
      <c r="H1529" s="115"/>
      <c r="I1529" s="115"/>
      <c r="L1529" s="169">
        <v>44928</v>
      </c>
      <c r="M1529" s="115">
        <v>266.62</v>
      </c>
      <c r="N1529" s="115">
        <v>271.5</v>
      </c>
      <c r="O1529" s="115">
        <v>263.60000000000002</v>
      </c>
      <c r="P1529" s="115">
        <v>267.89</v>
      </c>
      <c r="Q1529" s="115">
        <v>1333.1</v>
      </c>
      <c r="R1529">
        <v>840116</v>
      </c>
    </row>
    <row r="1530" spans="1:18" x14ac:dyDescent="0.25">
      <c r="A1530" s="169">
        <v>44929</v>
      </c>
      <c r="B1530" s="115">
        <v>268</v>
      </c>
      <c r="C1530" s="115">
        <v>261.39999999999998</v>
      </c>
      <c r="D1530" s="115">
        <v>260.51</v>
      </c>
      <c r="E1530" s="115">
        <v>266.62</v>
      </c>
      <c r="F1530" s="115">
        <v>1307</v>
      </c>
      <c r="G1530">
        <v>25223</v>
      </c>
      <c r="H1530" s="115"/>
      <c r="I1530" s="115"/>
      <c r="L1530" s="169">
        <v>44929</v>
      </c>
      <c r="M1530" s="115">
        <v>261.33999999999997</v>
      </c>
      <c r="N1530" s="115">
        <v>267.94</v>
      </c>
      <c r="O1530" s="115">
        <v>260.22000000000003</v>
      </c>
      <c r="P1530" s="115">
        <v>266.62</v>
      </c>
      <c r="Q1530" s="115">
        <v>1306.7</v>
      </c>
      <c r="R1530">
        <v>782560</v>
      </c>
    </row>
    <row r="1531" spans="1:18" x14ac:dyDescent="0.25">
      <c r="A1531" s="169">
        <v>44930</v>
      </c>
      <c r="B1531" s="115">
        <v>265.74</v>
      </c>
      <c r="C1531" s="115">
        <v>261.27</v>
      </c>
      <c r="D1531" s="115">
        <v>260.01</v>
      </c>
      <c r="E1531" s="115">
        <v>262.39999999999998</v>
      </c>
      <c r="F1531" s="115">
        <v>1306.3499999999999</v>
      </c>
      <c r="G1531">
        <v>53859</v>
      </c>
      <c r="H1531" s="115"/>
      <c r="I1531" s="115"/>
      <c r="L1531" s="169">
        <v>44930</v>
      </c>
      <c r="M1531" s="115">
        <v>261.70999999999998</v>
      </c>
      <c r="N1531" s="115">
        <v>265.7</v>
      </c>
      <c r="O1531" s="115">
        <v>260</v>
      </c>
      <c r="P1531" s="115">
        <v>262.7</v>
      </c>
      <c r="Q1531" s="115">
        <v>1308.55</v>
      </c>
      <c r="R1531">
        <v>789919</v>
      </c>
    </row>
    <row r="1532" spans="1:18" x14ac:dyDescent="0.25">
      <c r="A1532" s="169">
        <v>44931</v>
      </c>
      <c r="B1532" s="115">
        <v>266.07</v>
      </c>
      <c r="C1532" s="115">
        <v>261.83</v>
      </c>
      <c r="D1532" s="115">
        <v>254.13</v>
      </c>
      <c r="E1532" s="115">
        <v>263.2</v>
      </c>
      <c r="F1532" s="115">
        <v>1309.1500000000001</v>
      </c>
      <c r="G1532">
        <v>76875</v>
      </c>
      <c r="H1532" s="115"/>
      <c r="I1532" s="115"/>
      <c r="L1532" s="169">
        <v>44931</v>
      </c>
      <c r="M1532" s="115">
        <v>261.77</v>
      </c>
      <c r="N1532" s="115">
        <v>266.18</v>
      </c>
      <c r="O1532" s="115">
        <v>254.2</v>
      </c>
      <c r="P1532" s="115">
        <v>262.79000000000002</v>
      </c>
      <c r="Q1532" s="115">
        <v>1308.8499999999999</v>
      </c>
      <c r="R1532">
        <v>1752730</v>
      </c>
    </row>
    <row r="1533" spans="1:18" x14ac:dyDescent="0.25">
      <c r="A1533" s="169">
        <v>44932</v>
      </c>
      <c r="B1533" s="115">
        <v>263.88</v>
      </c>
      <c r="C1533" s="115">
        <v>260.51</v>
      </c>
      <c r="D1533" s="115">
        <v>255.5</v>
      </c>
      <c r="E1533" s="115">
        <v>263.8</v>
      </c>
      <c r="F1533" s="115">
        <v>1302.55</v>
      </c>
      <c r="G1533">
        <v>71417</v>
      </c>
      <c r="H1533" s="115"/>
      <c r="I1533" s="115"/>
      <c r="L1533" s="169">
        <v>44932</v>
      </c>
      <c r="M1533" s="115">
        <v>260.18</v>
      </c>
      <c r="N1533" s="115">
        <v>263.92</v>
      </c>
      <c r="O1533" s="115">
        <v>255.45</v>
      </c>
      <c r="P1533" s="115">
        <v>262.99</v>
      </c>
      <c r="Q1533" s="115">
        <v>1300.9000000000001</v>
      </c>
      <c r="R1533">
        <v>1418434</v>
      </c>
    </row>
    <row r="1534" spans="1:18" x14ac:dyDescent="0.25">
      <c r="A1534" s="169">
        <v>44935</v>
      </c>
      <c r="B1534" s="115">
        <v>264.76</v>
      </c>
      <c r="C1534" s="115">
        <v>261.58999999999997</v>
      </c>
      <c r="D1534" s="115">
        <v>259.27999999999997</v>
      </c>
      <c r="E1534" s="115">
        <v>261.60000000000002</v>
      </c>
      <c r="F1534" s="115">
        <v>1307.95</v>
      </c>
      <c r="G1534">
        <v>62448</v>
      </c>
      <c r="H1534" s="115"/>
      <c r="I1534" s="115"/>
      <c r="L1534" s="169">
        <v>44935</v>
      </c>
      <c r="M1534" s="115">
        <v>261.75</v>
      </c>
      <c r="N1534" s="115">
        <v>264.91000000000003</v>
      </c>
      <c r="O1534" s="115">
        <v>259.41000000000003</v>
      </c>
      <c r="P1534" s="115">
        <v>262.35000000000002</v>
      </c>
      <c r="Q1534" s="115">
        <v>1308.75</v>
      </c>
      <c r="R1534">
        <v>1032074</v>
      </c>
    </row>
    <row r="1535" spans="1:18" x14ac:dyDescent="0.25">
      <c r="A1535" s="169">
        <v>44936</v>
      </c>
      <c r="B1535" s="115">
        <v>263</v>
      </c>
      <c r="C1535" s="115">
        <v>257.45</v>
      </c>
      <c r="D1535" s="115">
        <v>255.8</v>
      </c>
      <c r="E1535" s="115">
        <v>263</v>
      </c>
      <c r="F1535" s="115">
        <v>1287.25</v>
      </c>
      <c r="G1535">
        <v>25883</v>
      </c>
      <c r="H1535" s="115"/>
      <c r="I1535" s="115"/>
      <c r="L1535" s="169">
        <v>44936</v>
      </c>
      <c r="M1535" s="115">
        <v>257.45999999999998</v>
      </c>
      <c r="N1535" s="115">
        <v>262.60000000000002</v>
      </c>
      <c r="O1535" s="115">
        <v>255.8</v>
      </c>
      <c r="P1535" s="115">
        <v>262.32</v>
      </c>
      <c r="Q1535" s="115">
        <v>1287.3</v>
      </c>
      <c r="R1535">
        <v>882400</v>
      </c>
    </row>
    <row r="1536" spans="1:18" x14ac:dyDescent="0.25">
      <c r="A1536" s="169">
        <v>44937</v>
      </c>
      <c r="B1536" s="115">
        <v>258.92</v>
      </c>
      <c r="C1536" s="115">
        <v>245.02</v>
      </c>
      <c r="D1536" s="115">
        <v>243.01</v>
      </c>
      <c r="E1536" s="115">
        <v>258.01</v>
      </c>
      <c r="F1536" s="115">
        <v>1225.0999999999999</v>
      </c>
      <c r="G1536">
        <v>47544</v>
      </c>
      <c r="H1536" s="115"/>
      <c r="I1536" s="115"/>
      <c r="L1536" s="169">
        <v>44937</v>
      </c>
      <c r="M1536" s="115">
        <v>245.01</v>
      </c>
      <c r="N1536" s="115">
        <v>258.83999999999997</v>
      </c>
      <c r="O1536" s="115">
        <v>243.02</v>
      </c>
      <c r="P1536" s="115">
        <v>258.8</v>
      </c>
      <c r="Q1536" s="115">
        <v>1225.05</v>
      </c>
      <c r="R1536">
        <v>2267156</v>
      </c>
    </row>
    <row r="1537" spans="1:18" x14ac:dyDescent="0.25">
      <c r="A1537" s="169">
        <v>44938</v>
      </c>
      <c r="B1537" s="115">
        <v>246.06</v>
      </c>
      <c r="C1537" s="115">
        <v>237.46</v>
      </c>
      <c r="D1537" s="115">
        <v>234</v>
      </c>
      <c r="E1537" s="115">
        <v>245.8</v>
      </c>
      <c r="F1537" s="115">
        <v>1187.3</v>
      </c>
      <c r="G1537">
        <v>198310</v>
      </c>
      <c r="H1537" s="115"/>
      <c r="I1537" s="115"/>
      <c r="L1537" s="169">
        <v>44938</v>
      </c>
      <c r="M1537" s="115">
        <v>237.42</v>
      </c>
      <c r="N1537" s="115">
        <v>245.99</v>
      </c>
      <c r="O1537" s="115">
        <v>234.2</v>
      </c>
      <c r="P1537" s="115">
        <v>245.99</v>
      </c>
      <c r="Q1537" s="115">
        <v>1187.0999999999999</v>
      </c>
      <c r="R1537">
        <v>2406767</v>
      </c>
    </row>
    <row r="1538" spans="1:18" x14ac:dyDescent="0.25">
      <c r="A1538" s="169">
        <v>44939</v>
      </c>
      <c r="B1538" s="115">
        <v>239.03</v>
      </c>
      <c r="C1538" s="115">
        <v>226.96</v>
      </c>
      <c r="D1538" s="115">
        <v>224.43</v>
      </c>
      <c r="E1538" s="115">
        <v>237.47</v>
      </c>
      <c r="F1538" s="115">
        <v>1134.8</v>
      </c>
      <c r="G1538">
        <v>167436</v>
      </c>
      <c r="H1538" s="115"/>
      <c r="I1538" s="115"/>
      <c r="L1538" s="169">
        <v>44939</v>
      </c>
      <c r="M1538" s="115">
        <v>227.15</v>
      </c>
      <c r="N1538" s="115">
        <v>239.09</v>
      </c>
      <c r="O1538" s="115">
        <v>224.53</v>
      </c>
      <c r="P1538" s="115">
        <v>239.09</v>
      </c>
      <c r="Q1538" s="115">
        <v>1135.75</v>
      </c>
      <c r="R1538">
        <v>3638036</v>
      </c>
    </row>
    <row r="1539" spans="1:18" x14ac:dyDescent="0.25">
      <c r="A1539" s="169">
        <v>44942</v>
      </c>
      <c r="B1539" s="115">
        <v>244</v>
      </c>
      <c r="C1539" s="115">
        <v>241.4</v>
      </c>
      <c r="D1539" s="115">
        <v>227.7</v>
      </c>
      <c r="E1539" s="115">
        <v>227.7</v>
      </c>
      <c r="F1539" s="115">
        <v>1207</v>
      </c>
      <c r="G1539">
        <v>90890</v>
      </c>
      <c r="H1539" s="115"/>
      <c r="I1539" s="115"/>
      <c r="L1539" s="169">
        <v>44942</v>
      </c>
      <c r="M1539" s="115">
        <v>241.47</v>
      </c>
      <c r="N1539" s="115">
        <v>242.44</v>
      </c>
      <c r="O1539" s="115">
        <v>228.73</v>
      </c>
      <c r="P1539" s="115">
        <v>229.07</v>
      </c>
      <c r="Q1539" s="115">
        <v>1207.3499999999999</v>
      </c>
      <c r="R1539">
        <v>3010532</v>
      </c>
    </row>
    <row r="1540" spans="1:18" x14ac:dyDescent="0.25">
      <c r="A1540" s="169">
        <v>44943</v>
      </c>
      <c r="B1540" s="115">
        <v>244.88</v>
      </c>
      <c r="C1540" s="115">
        <v>242.04</v>
      </c>
      <c r="D1540" s="115">
        <v>238.03</v>
      </c>
      <c r="E1540" s="115">
        <v>242.57</v>
      </c>
      <c r="F1540" s="115">
        <v>1210.2</v>
      </c>
      <c r="G1540">
        <v>41419</v>
      </c>
      <c r="H1540" s="115"/>
      <c r="I1540" s="115"/>
      <c r="L1540" s="169">
        <v>44943</v>
      </c>
      <c r="M1540" s="115">
        <v>242.06</v>
      </c>
      <c r="N1540" s="115">
        <v>244.8</v>
      </c>
      <c r="O1540" s="115">
        <v>237.98</v>
      </c>
      <c r="P1540" s="115">
        <v>242</v>
      </c>
      <c r="Q1540" s="115">
        <v>1210.3</v>
      </c>
      <c r="R1540">
        <v>1993005</v>
      </c>
    </row>
    <row r="1541" spans="1:18" x14ac:dyDescent="0.25">
      <c r="A1541" s="169">
        <v>44944</v>
      </c>
      <c r="B1541" s="115">
        <v>244.88</v>
      </c>
      <c r="C1541" s="115">
        <v>243.37</v>
      </c>
      <c r="D1541" s="115">
        <v>241.41</v>
      </c>
      <c r="E1541" s="115">
        <v>243.49</v>
      </c>
      <c r="F1541" s="115">
        <v>1216.8499999999999</v>
      </c>
      <c r="G1541">
        <v>25155</v>
      </c>
      <c r="H1541" s="115"/>
      <c r="I1541" s="115"/>
      <c r="L1541" s="169">
        <v>44944</v>
      </c>
      <c r="M1541" s="115">
        <v>243.46</v>
      </c>
      <c r="N1541" s="115">
        <v>244.94</v>
      </c>
      <c r="O1541" s="115">
        <v>241.4</v>
      </c>
      <c r="P1541" s="115">
        <v>243.2</v>
      </c>
      <c r="Q1541" s="115">
        <v>1217.3</v>
      </c>
      <c r="R1541">
        <v>819145</v>
      </c>
    </row>
    <row r="1542" spans="1:18" x14ac:dyDescent="0.25">
      <c r="A1542" s="169">
        <v>44945</v>
      </c>
      <c r="B1542" s="115">
        <v>246.53</v>
      </c>
      <c r="C1542" s="115">
        <v>244.94</v>
      </c>
      <c r="D1542" s="115">
        <v>242.3</v>
      </c>
      <c r="E1542" s="115">
        <v>242.86</v>
      </c>
      <c r="F1542" s="115">
        <v>1224.7</v>
      </c>
      <c r="G1542">
        <v>34259</v>
      </c>
      <c r="H1542" s="115"/>
      <c r="I1542" s="115"/>
      <c r="L1542" s="169">
        <v>44945</v>
      </c>
      <c r="M1542" s="115">
        <v>244.91</v>
      </c>
      <c r="N1542" s="115">
        <v>246.58</v>
      </c>
      <c r="O1542" s="115">
        <v>242.4</v>
      </c>
      <c r="P1542" s="115">
        <v>242.78</v>
      </c>
      <c r="Q1542" s="115">
        <v>1224.55</v>
      </c>
      <c r="R1542">
        <v>1630492</v>
      </c>
    </row>
    <row r="1543" spans="1:18" x14ac:dyDescent="0.25">
      <c r="A1543" s="169">
        <v>44946</v>
      </c>
      <c r="B1543" s="115">
        <v>247.64</v>
      </c>
      <c r="C1543" s="115">
        <v>246.41</v>
      </c>
      <c r="D1543" s="115">
        <v>244.72</v>
      </c>
      <c r="E1543" s="115">
        <v>245.4</v>
      </c>
      <c r="F1543" s="115">
        <v>1232.05</v>
      </c>
      <c r="G1543">
        <v>47421</v>
      </c>
      <c r="H1543" s="115"/>
      <c r="I1543" s="115"/>
      <c r="L1543" s="169">
        <v>44946</v>
      </c>
      <c r="M1543" s="115">
        <v>246.53</v>
      </c>
      <c r="N1543" s="115">
        <v>247.58</v>
      </c>
      <c r="O1543" s="115">
        <v>244.4</v>
      </c>
      <c r="P1543" s="115">
        <v>245.43</v>
      </c>
      <c r="Q1543" s="115">
        <v>1232.6500000000001</v>
      </c>
      <c r="R1543">
        <v>1172211</v>
      </c>
    </row>
    <row r="1544" spans="1:18" x14ac:dyDescent="0.25">
      <c r="A1544" s="169">
        <v>44949</v>
      </c>
      <c r="B1544" s="115">
        <v>248.39</v>
      </c>
      <c r="C1544" s="115">
        <v>247.35</v>
      </c>
      <c r="D1544" s="115">
        <v>244.7</v>
      </c>
      <c r="E1544" s="115">
        <v>247.14</v>
      </c>
      <c r="F1544" s="115">
        <v>1236.75</v>
      </c>
      <c r="G1544">
        <v>10621</v>
      </c>
      <c r="H1544" s="115"/>
      <c r="I1544" s="115"/>
      <c r="L1544" s="169">
        <v>44949</v>
      </c>
      <c r="M1544" s="115">
        <v>247.37</v>
      </c>
      <c r="N1544" s="115">
        <v>248.39</v>
      </c>
      <c r="O1544" s="115">
        <v>244.6</v>
      </c>
      <c r="P1544" s="115">
        <v>247.6</v>
      </c>
      <c r="Q1544" s="115">
        <v>1236.8499999999999</v>
      </c>
      <c r="R1544">
        <v>531931</v>
      </c>
    </row>
    <row r="1545" spans="1:18" x14ac:dyDescent="0.25">
      <c r="A1545" s="169">
        <v>44950</v>
      </c>
      <c r="B1545" s="115">
        <v>250.12</v>
      </c>
      <c r="C1545" s="115">
        <v>249.74</v>
      </c>
      <c r="D1545" s="115">
        <v>245.44</v>
      </c>
      <c r="E1545" s="115">
        <v>247.22</v>
      </c>
      <c r="F1545" s="115">
        <v>1248.7</v>
      </c>
      <c r="G1545">
        <v>19973</v>
      </c>
      <c r="H1545" s="115"/>
      <c r="I1545" s="115"/>
      <c r="L1545" s="169">
        <v>44950</v>
      </c>
      <c r="M1545" s="115">
        <v>249.71</v>
      </c>
      <c r="N1545" s="115">
        <v>250.2</v>
      </c>
      <c r="O1545" s="115">
        <v>246.42</v>
      </c>
      <c r="P1545" s="115">
        <v>246.42</v>
      </c>
      <c r="Q1545" s="115">
        <v>1248.55</v>
      </c>
      <c r="R1545">
        <v>597985</v>
      </c>
    </row>
    <row r="1546" spans="1:18" x14ac:dyDescent="0.25">
      <c r="A1546" s="169">
        <v>44951</v>
      </c>
      <c r="B1546" s="115">
        <v>250</v>
      </c>
      <c r="C1546" s="115">
        <v>247.93</v>
      </c>
      <c r="D1546" s="115">
        <v>246.8</v>
      </c>
      <c r="E1546" s="115">
        <v>249</v>
      </c>
      <c r="F1546" s="115">
        <v>1239.6500000000001</v>
      </c>
      <c r="G1546">
        <v>54833</v>
      </c>
      <c r="H1546" s="115"/>
      <c r="I1546" s="115"/>
      <c r="L1546" s="169">
        <v>44951</v>
      </c>
      <c r="M1546" s="115">
        <v>247.93</v>
      </c>
      <c r="N1546" s="115">
        <v>250</v>
      </c>
      <c r="O1546" s="115">
        <v>246.2</v>
      </c>
      <c r="P1546" s="115">
        <v>248.92</v>
      </c>
      <c r="Q1546" s="115">
        <v>1239.6500000000001</v>
      </c>
      <c r="R1546">
        <v>428732</v>
      </c>
    </row>
    <row r="1547" spans="1:18" x14ac:dyDescent="0.25">
      <c r="A1547" s="169">
        <v>44953</v>
      </c>
      <c r="B1547" s="115">
        <v>251</v>
      </c>
      <c r="C1547" s="115">
        <v>248.3</v>
      </c>
      <c r="D1547" s="115">
        <v>238.47</v>
      </c>
      <c r="E1547" s="115">
        <v>248.01</v>
      </c>
      <c r="F1547" s="115">
        <v>1241.5</v>
      </c>
      <c r="G1547">
        <v>85198</v>
      </c>
      <c r="H1547" s="115"/>
      <c r="I1547" s="115"/>
      <c r="L1547" s="169">
        <v>44953</v>
      </c>
      <c r="M1547" s="115">
        <v>248.51</v>
      </c>
      <c r="N1547" s="115">
        <v>250.26</v>
      </c>
      <c r="O1547" s="115">
        <v>242.01</v>
      </c>
      <c r="P1547" s="115">
        <v>248.59</v>
      </c>
      <c r="Q1547" s="115">
        <v>1242.55</v>
      </c>
      <c r="R1547">
        <v>903154</v>
      </c>
    </row>
    <row r="1548" spans="1:18" x14ac:dyDescent="0.25">
      <c r="A1548" s="169">
        <v>44956</v>
      </c>
      <c r="B1548" s="115">
        <v>248.3</v>
      </c>
      <c r="C1548" s="115">
        <v>238.78</v>
      </c>
      <c r="D1548" s="115">
        <v>234.92</v>
      </c>
      <c r="E1548" s="115">
        <v>246.35</v>
      </c>
      <c r="F1548" s="115">
        <v>1193.9000000000001</v>
      </c>
      <c r="G1548">
        <v>42943</v>
      </c>
      <c r="H1548" s="115"/>
      <c r="I1548" s="115"/>
      <c r="L1548" s="169">
        <v>44956</v>
      </c>
      <c r="M1548" s="115">
        <v>238.91</v>
      </c>
      <c r="N1548" s="115">
        <v>249</v>
      </c>
      <c r="O1548" s="115">
        <v>235</v>
      </c>
      <c r="P1548" s="115">
        <v>249</v>
      </c>
      <c r="Q1548" s="115">
        <v>1194.55</v>
      </c>
      <c r="R1548">
        <v>1401997</v>
      </c>
    </row>
    <row r="1549" spans="1:18" x14ac:dyDescent="0.25">
      <c r="A1549" s="169">
        <v>44957</v>
      </c>
      <c r="B1549" s="115">
        <v>241.4</v>
      </c>
      <c r="C1549" s="115">
        <v>229.57</v>
      </c>
      <c r="D1549" s="115">
        <v>227.77</v>
      </c>
      <c r="E1549" s="115">
        <v>241.4</v>
      </c>
      <c r="F1549" s="115">
        <v>1147.8499999999999</v>
      </c>
      <c r="G1549">
        <v>63437</v>
      </c>
      <c r="H1549" s="115"/>
      <c r="I1549" s="115"/>
      <c r="L1549" s="169">
        <v>44957</v>
      </c>
      <c r="M1549" s="115">
        <v>229.25</v>
      </c>
      <c r="N1549" s="115">
        <v>241.3</v>
      </c>
      <c r="O1549" s="115">
        <v>228</v>
      </c>
      <c r="P1549" s="115">
        <v>241.3</v>
      </c>
      <c r="Q1549" s="115">
        <v>1146.25</v>
      </c>
      <c r="R1549">
        <v>2069289</v>
      </c>
    </row>
    <row r="1550" spans="1:18" x14ac:dyDescent="0.25">
      <c r="A1550" s="169">
        <v>44958</v>
      </c>
      <c r="B1550" s="115">
        <v>236.72</v>
      </c>
      <c r="C1550" s="115">
        <v>234.75</v>
      </c>
      <c r="D1550" s="115">
        <v>226.4</v>
      </c>
      <c r="E1550" s="115">
        <v>230.01</v>
      </c>
      <c r="F1550" s="115">
        <v>1173.75</v>
      </c>
      <c r="G1550">
        <v>107873</v>
      </c>
      <c r="H1550" s="115"/>
      <c r="I1550" s="115"/>
      <c r="L1550" s="169">
        <v>44958</v>
      </c>
      <c r="M1550" s="115">
        <v>234.57</v>
      </c>
      <c r="N1550" s="115">
        <v>236.8</v>
      </c>
      <c r="O1550" s="115">
        <v>226.3</v>
      </c>
      <c r="P1550" s="115">
        <v>231.89</v>
      </c>
      <c r="Q1550" s="115">
        <v>1172.8499999999999</v>
      </c>
      <c r="R1550">
        <v>2007980</v>
      </c>
    </row>
    <row r="1551" spans="1:18" x14ac:dyDescent="0.25">
      <c r="A1551" s="169">
        <v>44959</v>
      </c>
      <c r="B1551" s="115">
        <v>235.39</v>
      </c>
      <c r="C1551" s="115">
        <v>230.65</v>
      </c>
      <c r="D1551" s="115">
        <v>224.83</v>
      </c>
      <c r="E1551" s="115">
        <v>232.46</v>
      </c>
      <c r="F1551" s="115">
        <v>1153.25</v>
      </c>
      <c r="G1551">
        <v>73377</v>
      </c>
      <c r="H1551" s="115"/>
      <c r="I1551" s="115"/>
      <c r="L1551" s="169">
        <v>44959</v>
      </c>
      <c r="M1551" s="115">
        <v>230.79</v>
      </c>
      <c r="N1551" s="115">
        <v>235.39</v>
      </c>
      <c r="O1551" s="115">
        <v>224.86</v>
      </c>
      <c r="P1551" s="115">
        <v>233.97</v>
      </c>
      <c r="Q1551" s="115">
        <v>1153.95</v>
      </c>
      <c r="R1551">
        <v>1735600</v>
      </c>
    </row>
    <row r="1552" spans="1:18" x14ac:dyDescent="0.25">
      <c r="A1552" s="169">
        <v>44960</v>
      </c>
      <c r="B1552" s="115">
        <v>234.44</v>
      </c>
      <c r="C1552" s="115">
        <v>232.21</v>
      </c>
      <c r="D1552" s="115">
        <v>220</v>
      </c>
      <c r="E1552" s="115">
        <v>229.01</v>
      </c>
      <c r="F1552" s="115">
        <v>1161.05</v>
      </c>
      <c r="G1552">
        <v>72273</v>
      </c>
      <c r="H1552" s="115"/>
      <c r="I1552" s="115"/>
      <c r="L1552" s="169">
        <v>44960</v>
      </c>
      <c r="M1552" s="115">
        <v>230.98</v>
      </c>
      <c r="N1552" s="115">
        <v>234.8</v>
      </c>
      <c r="O1552" s="115">
        <v>220</v>
      </c>
      <c r="P1552" s="115">
        <v>230.78</v>
      </c>
      <c r="Q1552" s="115">
        <v>1154.9000000000001</v>
      </c>
      <c r="R1552">
        <v>2436799</v>
      </c>
    </row>
    <row r="1553" spans="1:18" x14ac:dyDescent="0.25">
      <c r="A1553" s="169">
        <v>44963</v>
      </c>
      <c r="B1553" s="115">
        <v>247.6</v>
      </c>
      <c r="C1553" s="115">
        <v>244.17</v>
      </c>
      <c r="D1553" s="115">
        <v>227.6</v>
      </c>
      <c r="E1553" s="115">
        <v>230.01</v>
      </c>
      <c r="F1553" s="115">
        <v>1220.8499999999999</v>
      </c>
      <c r="G1553">
        <v>262520</v>
      </c>
      <c r="H1553" s="115"/>
      <c r="I1553" s="115"/>
      <c r="L1553" s="169">
        <v>44963</v>
      </c>
      <c r="M1553" s="115">
        <v>244.37</v>
      </c>
      <c r="N1553" s="115">
        <v>247.76</v>
      </c>
      <c r="O1553" s="115">
        <v>228</v>
      </c>
      <c r="P1553" s="115">
        <v>230.69</v>
      </c>
      <c r="Q1553" s="115">
        <v>1221.8499999999999</v>
      </c>
      <c r="R1553">
        <v>3266668</v>
      </c>
    </row>
    <row r="1554" spans="1:18" x14ac:dyDescent="0.25">
      <c r="A1554" s="169">
        <v>44964</v>
      </c>
      <c r="B1554" s="115">
        <v>262.97000000000003</v>
      </c>
      <c r="C1554" s="115">
        <v>261.24</v>
      </c>
      <c r="D1554" s="115">
        <v>247.2</v>
      </c>
      <c r="E1554" s="115">
        <v>247.97</v>
      </c>
      <c r="F1554" s="115">
        <v>1306.2</v>
      </c>
      <c r="G1554">
        <v>93048</v>
      </c>
      <c r="H1554" s="115"/>
      <c r="I1554" s="115"/>
      <c r="L1554" s="169">
        <v>44964</v>
      </c>
      <c r="M1554" s="115">
        <v>260.82</v>
      </c>
      <c r="N1554" s="115">
        <v>262.97000000000003</v>
      </c>
      <c r="O1554" s="115">
        <v>247.02</v>
      </c>
      <c r="P1554" s="115">
        <v>247.02</v>
      </c>
      <c r="Q1554" s="115">
        <v>1304.0999999999999</v>
      </c>
      <c r="R1554">
        <v>3886822</v>
      </c>
    </row>
    <row r="1555" spans="1:18" x14ac:dyDescent="0.25">
      <c r="A1555" s="169">
        <v>44965</v>
      </c>
      <c r="B1555" s="115">
        <v>270.2</v>
      </c>
      <c r="C1555" s="115">
        <v>262.06</v>
      </c>
      <c r="D1555" s="115">
        <v>259.55</v>
      </c>
      <c r="E1555" s="115">
        <v>261.25</v>
      </c>
      <c r="F1555" s="115">
        <v>1310.3</v>
      </c>
      <c r="G1555">
        <v>147804</v>
      </c>
      <c r="H1555" s="115"/>
      <c r="I1555" s="115"/>
      <c r="L1555" s="169">
        <v>44965</v>
      </c>
      <c r="M1555" s="115">
        <v>262.10000000000002</v>
      </c>
      <c r="N1555" s="115">
        <v>270.2</v>
      </c>
      <c r="O1555" s="115">
        <v>259.51</v>
      </c>
      <c r="P1555" s="115">
        <v>261.60000000000002</v>
      </c>
      <c r="Q1555" s="115">
        <v>1310.5</v>
      </c>
      <c r="R1555">
        <v>2044056</v>
      </c>
    </row>
    <row r="1556" spans="1:18" x14ac:dyDescent="0.25">
      <c r="A1556" s="169">
        <v>44966</v>
      </c>
      <c r="B1556" s="115">
        <v>267.62</v>
      </c>
      <c r="C1556" s="115">
        <v>254.46</v>
      </c>
      <c r="D1556" s="115">
        <v>251.68</v>
      </c>
      <c r="E1556" s="115">
        <v>267.33999999999997</v>
      </c>
      <c r="F1556" s="115">
        <v>1272.3</v>
      </c>
      <c r="G1556">
        <v>61613</v>
      </c>
      <c r="H1556" s="115"/>
      <c r="I1556" s="115"/>
      <c r="L1556" s="169">
        <v>44966</v>
      </c>
      <c r="M1556" s="115">
        <v>254.74</v>
      </c>
      <c r="N1556" s="115">
        <v>268.99</v>
      </c>
      <c r="O1556" s="115">
        <v>252.05</v>
      </c>
      <c r="P1556" s="115">
        <v>268.99</v>
      </c>
      <c r="Q1556" s="115">
        <v>1273.7</v>
      </c>
      <c r="R1556">
        <v>1388222</v>
      </c>
    </row>
    <row r="1557" spans="1:18" x14ac:dyDescent="0.25">
      <c r="A1557" s="169">
        <v>44967</v>
      </c>
      <c r="B1557" s="115">
        <v>256.67</v>
      </c>
      <c r="C1557" s="115">
        <v>254.55</v>
      </c>
      <c r="D1557" s="115">
        <v>246.52</v>
      </c>
      <c r="E1557" s="115">
        <v>247.8</v>
      </c>
      <c r="F1557" s="115">
        <v>1272.75</v>
      </c>
      <c r="G1557">
        <v>56609</v>
      </c>
      <c r="H1557" s="115"/>
      <c r="I1557" s="115"/>
      <c r="L1557" s="169">
        <v>44967</v>
      </c>
      <c r="M1557" s="115">
        <v>254.36</v>
      </c>
      <c r="N1557" s="115">
        <v>257</v>
      </c>
      <c r="O1557" s="115">
        <v>245</v>
      </c>
      <c r="P1557" s="115">
        <v>247.8</v>
      </c>
      <c r="Q1557" s="115">
        <v>1271.8</v>
      </c>
      <c r="R1557">
        <v>1191468</v>
      </c>
    </row>
    <row r="1558" spans="1:18" x14ac:dyDescent="0.25">
      <c r="A1558" s="169">
        <v>44970</v>
      </c>
      <c r="B1558" s="115">
        <v>261.44</v>
      </c>
      <c r="C1558" s="115">
        <v>256.99</v>
      </c>
      <c r="D1558" s="115">
        <v>250.62</v>
      </c>
      <c r="E1558" s="115">
        <v>253.07</v>
      </c>
      <c r="F1558" s="115">
        <v>1284.95</v>
      </c>
      <c r="G1558">
        <v>98583</v>
      </c>
      <c r="H1558" s="115"/>
      <c r="I1558" s="115"/>
      <c r="L1558" s="169">
        <v>44970</v>
      </c>
      <c r="M1558" s="115">
        <v>256.81</v>
      </c>
      <c r="N1558" s="115">
        <v>261.44</v>
      </c>
      <c r="O1558" s="115">
        <v>250.8</v>
      </c>
      <c r="P1558" s="115">
        <v>254.36</v>
      </c>
      <c r="Q1558" s="115">
        <v>1284.05</v>
      </c>
      <c r="R1558">
        <v>1087945</v>
      </c>
    </row>
    <row r="1559" spans="1:18" x14ac:dyDescent="0.25">
      <c r="A1559" s="169">
        <v>44971</v>
      </c>
      <c r="B1559" s="115">
        <v>259.58</v>
      </c>
      <c r="C1559" s="115">
        <v>252.31</v>
      </c>
      <c r="D1559" s="115">
        <v>250.61</v>
      </c>
      <c r="E1559" s="115">
        <v>257.02</v>
      </c>
      <c r="F1559" s="115">
        <v>1261.55</v>
      </c>
      <c r="G1559">
        <v>51095</v>
      </c>
      <c r="H1559" s="115"/>
      <c r="I1559" s="115"/>
      <c r="L1559" s="169">
        <v>44971</v>
      </c>
      <c r="M1559" s="115">
        <v>252.26</v>
      </c>
      <c r="N1559" s="115">
        <v>259.67</v>
      </c>
      <c r="O1559" s="115">
        <v>250.4</v>
      </c>
      <c r="P1559" s="115">
        <v>257.57</v>
      </c>
      <c r="Q1559" s="115">
        <v>1261.3</v>
      </c>
      <c r="R1559">
        <v>910652</v>
      </c>
    </row>
    <row r="1560" spans="1:18" x14ac:dyDescent="0.25">
      <c r="A1560" s="169">
        <v>44972</v>
      </c>
      <c r="B1560" s="115">
        <v>257.64</v>
      </c>
      <c r="C1560" s="115">
        <v>255.75</v>
      </c>
      <c r="D1560" s="115">
        <v>249.21</v>
      </c>
      <c r="E1560" s="115">
        <v>249.21</v>
      </c>
      <c r="F1560" s="115">
        <v>1278.75</v>
      </c>
      <c r="G1560">
        <v>76632</v>
      </c>
      <c r="H1560" s="115"/>
      <c r="I1560" s="115"/>
      <c r="L1560" s="169">
        <v>44972</v>
      </c>
      <c r="M1560" s="115">
        <v>255.78</v>
      </c>
      <c r="N1560" s="115">
        <v>257.39999999999998</v>
      </c>
      <c r="O1560" s="115">
        <v>249.6</v>
      </c>
      <c r="P1560" s="115">
        <v>249.6</v>
      </c>
      <c r="Q1560" s="115">
        <v>1278.9000000000001</v>
      </c>
      <c r="R1560">
        <v>682935</v>
      </c>
    </row>
    <row r="1561" spans="1:18" x14ac:dyDescent="0.25">
      <c r="A1561" s="169">
        <v>44973</v>
      </c>
      <c r="B1561" s="115">
        <v>258.8</v>
      </c>
      <c r="C1561" s="115">
        <v>254.66</v>
      </c>
      <c r="D1561" s="115">
        <v>253.12</v>
      </c>
      <c r="E1561" s="115">
        <v>255.78</v>
      </c>
      <c r="F1561" s="115">
        <v>1273.3</v>
      </c>
      <c r="G1561">
        <v>18539</v>
      </c>
      <c r="H1561" s="115"/>
      <c r="I1561" s="115"/>
      <c r="L1561" s="169">
        <v>44973</v>
      </c>
      <c r="M1561" s="115">
        <v>254.92</v>
      </c>
      <c r="N1561" s="115">
        <v>258.8</v>
      </c>
      <c r="O1561" s="115">
        <v>253</v>
      </c>
      <c r="P1561" s="115">
        <v>257.72000000000003</v>
      </c>
      <c r="Q1561" s="115">
        <v>1274.5999999999999</v>
      </c>
      <c r="R1561">
        <v>628566</v>
      </c>
    </row>
    <row r="1562" spans="1:18" x14ac:dyDescent="0.25">
      <c r="A1562" s="169">
        <v>44974</v>
      </c>
      <c r="B1562" s="115">
        <v>258.41000000000003</v>
      </c>
      <c r="C1562" s="115">
        <v>256.66000000000003</v>
      </c>
      <c r="D1562" s="115">
        <v>250.53</v>
      </c>
      <c r="E1562" s="115">
        <v>253.4</v>
      </c>
      <c r="F1562" s="115">
        <v>1283.3</v>
      </c>
      <c r="G1562">
        <v>21916</v>
      </c>
      <c r="H1562" s="115"/>
      <c r="I1562" s="115"/>
      <c r="L1562" s="169">
        <v>44974</v>
      </c>
      <c r="M1562" s="115">
        <v>256.64</v>
      </c>
      <c r="N1562" s="115">
        <v>258.60000000000002</v>
      </c>
      <c r="O1562" s="115">
        <v>250.5</v>
      </c>
      <c r="P1562" s="115">
        <v>253.4</v>
      </c>
      <c r="Q1562" s="115">
        <v>1283.2</v>
      </c>
      <c r="R1562">
        <v>510280</v>
      </c>
    </row>
    <row r="1563" spans="1:18" x14ac:dyDescent="0.25">
      <c r="A1563" s="169">
        <v>44977</v>
      </c>
      <c r="B1563" s="115">
        <v>266.92</v>
      </c>
      <c r="C1563" s="115">
        <v>261.57</v>
      </c>
      <c r="D1563" s="115">
        <v>257.43</v>
      </c>
      <c r="E1563" s="115">
        <v>258.39999999999998</v>
      </c>
      <c r="F1563" s="115">
        <v>1307.8499999999999</v>
      </c>
      <c r="G1563">
        <v>140007</v>
      </c>
      <c r="H1563" s="115"/>
      <c r="I1563" s="115"/>
      <c r="L1563" s="169">
        <v>44977</v>
      </c>
      <c r="M1563" s="115">
        <v>261.5</v>
      </c>
      <c r="N1563" s="115">
        <v>266.97000000000003</v>
      </c>
      <c r="O1563" s="115">
        <v>257.41000000000003</v>
      </c>
      <c r="P1563" s="115">
        <v>257.98</v>
      </c>
      <c r="Q1563" s="115">
        <v>1307.5</v>
      </c>
      <c r="R1563">
        <v>1808117</v>
      </c>
    </row>
    <row r="1564" spans="1:18" x14ac:dyDescent="0.25">
      <c r="A1564" s="169">
        <v>44978</v>
      </c>
      <c r="B1564" s="115">
        <v>269.19</v>
      </c>
      <c r="C1564" s="115">
        <v>264.93</v>
      </c>
      <c r="D1564" s="115">
        <v>262.2</v>
      </c>
      <c r="E1564" s="115">
        <v>262.2</v>
      </c>
      <c r="F1564" s="115">
        <v>1324.65</v>
      </c>
      <c r="G1564">
        <v>139564</v>
      </c>
      <c r="H1564" s="115"/>
      <c r="I1564" s="115"/>
      <c r="L1564" s="169">
        <v>44978</v>
      </c>
      <c r="M1564" s="115">
        <v>264.89999999999998</v>
      </c>
      <c r="N1564" s="115">
        <v>269.2</v>
      </c>
      <c r="O1564" s="115">
        <v>262.8</v>
      </c>
      <c r="P1564" s="115">
        <v>262.95999999999998</v>
      </c>
      <c r="Q1564" s="115">
        <v>1324.5</v>
      </c>
      <c r="R1564">
        <v>1790721</v>
      </c>
    </row>
    <row r="1565" spans="1:18" x14ac:dyDescent="0.25">
      <c r="A1565" s="169">
        <v>44979</v>
      </c>
      <c r="B1565" s="115">
        <v>266.45999999999998</v>
      </c>
      <c r="C1565" s="115">
        <v>261.42</v>
      </c>
      <c r="D1565" s="115">
        <v>259.72000000000003</v>
      </c>
      <c r="E1565" s="115">
        <v>264</v>
      </c>
      <c r="F1565" s="115">
        <v>1307.0999999999999</v>
      </c>
      <c r="G1565">
        <v>72187</v>
      </c>
      <c r="H1565" s="115"/>
      <c r="I1565" s="115"/>
      <c r="L1565" s="169">
        <v>44979</v>
      </c>
      <c r="M1565" s="115">
        <v>261.35000000000002</v>
      </c>
      <c r="N1565" s="115">
        <v>266.56</v>
      </c>
      <c r="O1565" s="115">
        <v>259.60000000000002</v>
      </c>
      <c r="P1565" s="115">
        <v>264.39999999999998</v>
      </c>
      <c r="Q1565" s="115">
        <v>1306.75</v>
      </c>
      <c r="R1565">
        <v>831050</v>
      </c>
    </row>
    <row r="1566" spans="1:18" x14ac:dyDescent="0.25">
      <c r="A1566" s="169">
        <v>44980</v>
      </c>
      <c r="B1566" s="115">
        <v>262.94</v>
      </c>
      <c r="C1566" s="115">
        <v>260.32</v>
      </c>
      <c r="D1566" s="115">
        <v>255.86</v>
      </c>
      <c r="E1566" s="115">
        <v>261.5</v>
      </c>
      <c r="F1566" s="115">
        <v>1301.5999999999999</v>
      </c>
      <c r="G1566">
        <v>63964</v>
      </c>
      <c r="H1566" s="115"/>
      <c r="I1566" s="115"/>
      <c r="L1566" s="169">
        <v>44980</v>
      </c>
      <c r="M1566" s="115">
        <v>260.14</v>
      </c>
      <c r="N1566" s="115">
        <v>262.98</v>
      </c>
      <c r="O1566" s="115">
        <v>256.02</v>
      </c>
      <c r="P1566" s="115">
        <v>261.8</v>
      </c>
      <c r="Q1566" s="115">
        <v>1300.7</v>
      </c>
      <c r="R1566">
        <v>1506255</v>
      </c>
    </row>
    <row r="1567" spans="1:18" x14ac:dyDescent="0.25">
      <c r="A1567" s="169">
        <v>44981</v>
      </c>
      <c r="B1567" s="115">
        <v>264.99</v>
      </c>
      <c r="C1567" s="115">
        <v>258.33999999999997</v>
      </c>
      <c r="D1567" s="115">
        <v>257.16000000000003</v>
      </c>
      <c r="E1567" s="115">
        <v>261.60000000000002</v>
      </c>
      <c r="F1567" s="115">
        <v>1291.7</v>
      </c>
      <c r="G1567">
        <v>59501</v>
      </c>
      <c r="H1567" s="115"/>
      <c r="I1567" s="115"/>
      <c r="L1567" s="169">
        <v>44981</v>
      </c>
      <c r="M1567" s="115">
        <v>258.31</v>
      </c>
      <c r="N1567" s="115">
        <v>264.95999999999998</v>
      </c>
      <c r="O1567" s="115">
        <v>257.14999999999998</v>
      </c>
      <c r="P1567" s="115">
        <v>262</v>
      </c>
      <c r="Q1567" s="115">
        <v>1291.55</v>
      </c>
      <c r="R1567">
        <v>1284563</v>
      </c>
    </row>
    <row r="1568" spans="1:18" x14ac:dyDescent="0.25">
      <c r="A1568" s="169">
        <v>44984</v>
      </c>
      <c r="B1568" s="115">
        <v>260.36</v>
      </c>
      <c r="C1568" s="115">
        <v>257.27</v>
      </c>
      <c r="D1568" s="115">
        <v>256.60000000000002</v>
      </c>
      <c r="E1568" s="115">
        <v>258.72000000000003</v>
      </c>
      <c r="F1568" s="115">
        <v>1286.3499999999999</v>
      </c>
      <c r="G1568">
        <v>54555</v>
      </c>
      <c r="H1568" s="115"/>
      <c r="I1568" s="115"/>
      <c r="L1568" s="169">
        <v>44984</v>
      </c>
      <c r="M1568" s="115">
        <v>257.39</v>
      </c>
      <c r="N1568" s="115">
        <v>260.39</v>
      </c>
      <c r="O1568" s="115">
        <v>256.45</v>
      </c>
      <c r="P1568" s="115">
        <v>259.2</v>
      </c>
      <c r="Q1568" s="115">
        <v>1286.95</v>
      </c>
      <c r="R1568">
        <v>1105639</v>
      </c>
    </row>
    <row r="1569" spans="1:18" x14ac:dyDescent="0.25">
      <c r="A1569" s="169">
        <v>44985</v>
      </c>
      <c r="B1569" s="115">
        <v>266</v>
      </c>
      <c r="C1569" s="115">
        <v>260.55</v>
      </c>
      <c r="D1569" s="115">
        <v>256.5</v>
      </c>
      <c r="E1569" s="115">
        <v>256.52</v>
      </c>
      <c r="F1569" s="115">
        <v>1302.75</v>
      </c>
      <c r="G1569">
        <v>27040</v>
      </c>
      <c r="H1569" s="115"/>
      <c r="I1569" s="115"/>
      <c r="L1569" s="169">
        <v>44985</v>
      </c>
      <c r="M1569" s="115">
        <v>260.14999999999998</v>
      </c>
      <c r="N1569" s="115">
        <v>266</v>
      </c>
      <c r="O1569" s="115">
        <v>256.2</v>
      </c>
      <c r="P1569" s="115">
        <v>258</v>
      </c>
      <c r="Q1569" s="115">
        <v>1300.75</v>
      </c>
      <c r="R1569">
        <v>2191636</v>
      </c>
    </row>
    <row r="1570" spans="1:18" x14ac:dyDescent="0.25">
      <c r="A1570" s="169">
        <v>44986</v>
      </c>
      <c r="B1570" s="115">
        <v>270</v>
      </c>
      <c r="C1570" s="115">
        <v>269.17</v>
      </c>
      <c r="D1570" s="115">
        <v>261.95999999999998</v>
      </c>
      <c r="E1570" s="115">
        <v>262.39999999999998</v>
      </c>
      <c r="F1570" s="115">
        <v>1345.85</v>
      </c>
      <c r="G1570">
        <v>138756</v>
      </c>
      <c r="H1570" s="115"/>
      <c r="I1570" s="115"/>
      <c r="L1570" s="169">
        <v>44986</v>
      </c>
      <c r="M1570" s="115">
        <v>268.77999999999997</v>
      </c>
      <c r="N1570" s="115">
        <v>270</v>
      </c>
      <c r="O1570" s="115">
        <v>262.2</v>
      </c>
      <c r="P1570" s="115">
        <v>262.39999999999998</v>
      </c>
      <c r="Q1570" s="115">
        <v>1343.9</v>
      </c>
      <c r="R1570">
        <v>2149139</v>
      </c>
    </row>
    <row r="1571" spans="1:18" x14ac:dyDescent="0.25">
      <c r="A1571" s="169">
        <v>44987</v>
      </c>
      <c r="B1571" s="115">
        <v>270</v>
      </c>
      <c r="C1571" s="115">
        <v>268.43</v>
      </c>
      <c r="D1571" s="115">
        <v>266.39999999999998</v>
      </c>
      <c r="E1571" s="115">
        <v>269.23</v>
      </c>
      <c r="F1571" s="115">
        <v>1342.15</v>
      </c>
      <c r="G1571">
        <v>49892</v>
      </c>
      <c r="H1571" s="115"/>
      <c r="I1571" s="115"/>
      <c r="L1571" s="169">
        <v>44987</v>
      </c>
      <c r="M1571" s="115">
        <v>268.45</v>
      </c>
      <c r="N1571" s="115">
        <v>270.01</v>
      </c>
      <c r="O1571" s="115">
        <v>266.61</v>
      </c>
      <c r="P1571" s="115">
        <v>269.77</v>
      </c>
      <c r="Q1571" s="115">
        <v>1342.25</v>
      </c>
      <c r="R1571">
        <v>677083</v>
      </c>
    </row>
    <row r="1572" spans="1:18" x14ac:dyDescent="0.25">
      <c r="A1572" s="169">
        <v>44988</v>
      </c>
      <c r="B1572" s="115">
        <v>272.39999999999998</v>
      </c>
      <c r="C1572" s="115">
        <v>271.73</v>
      </c>
      <c r="D1572" s="115">
        <v>268.87</v>
      </c>
      <c r="E1572" s="115">
        <v>269</v>
      </c>
      <c r="F1572" s="115">
        <v>1358.65</v>
      </c>
      <c r="G1572">
        <v>32694</v>
      </c>
      <c r="H1572" s="115"/>
      <c r="I1572" s="115"/>
      <c r="L1572" s="169">
        <v>44988</v>
      </c>
      <c r="M1572" s="115">
        <v>271.7</v>
      </c>
      <c r="N1572" s="115">
        <v>272.39999999999998</v>
      </c>
      <c r="O1572" s="115">
        <v>268.64</v>
      </c>
      <c r="P1572" s="115">
        <v>269.2</v>
      </c>
      <c r="Q1572" s="115">
        <v>1358.5</v>
      </c>
      <c r="R1572">
        <v>1218910</v>
      </c>
    </row>
    <row r="1573" spans="1:18" x14ac:dyDescent="0.25">
      <c r="A1573" s="169">
        <v>44991</v>
      </c>
      <c r="B1573" s="115">
        <v>275.39999999999998</v>
      </c>
      <c r="C1573" s="115">
        <v>270.20999999999998</v>
      </c>
      <c r="D1573" s="115">
        <v>269.39999999999998</v>
      </c>
      <c r="E1573" s="115">
        <v>272</v>
      </c>
      <c r="F1573" s="115">
        <v>1351.05</v>
      </c>
      <c r="G1573">
        <v>69093</v>
      </c>
      <c r="H1573" s="115"/>
      <c r="I1573" s="115"/>
      <c r="L1573" s="169">
        <v>44991</v>
      </c>
      <c r="M1573" s="115">
        <v>270.22000000000003</v>
      </c>
      <c r="N1573" s="115">
        <v>275.39999999999998</v>
      </c>
      <c r="O1573" s="115">
        <v>269.58</v>
      </c>
      <c r="P1573" s="115">
        <v>272.60000000000002</v>
      </c>
      <c r="Q1573" s="115">
        <v>1351.1</v>
      </c>
      <c r="R1573">
        <v>1180704</v>
      </c>
    </row>
    <row r="1574" spans="1:18" x14ac:dyDescent="0.25">
      <c r="A1574" s="169">
        <v>44993</v>
      </c>
      <c r="B1574" s="115">
        <v>271.79000000000002</v>
      </c>
      <c r="C1574" s="115">
        <v>270</v>
      </c>
      <c r="D1574" s="115">
        <v>266.62</v>
      </c>
      <c r="E1574" s="115">
        <v>267.02</v>
      </c>
      <c r="F1574" s="115">
        <v>1350</v>
      </c>
      <c r="G1574">
        <v>21740</v>
      </c>
      <c r="H1574" s="115"/>
      <c r="I1574" s="115"/>
      <c r="L1574" s="169">
        <v>44993</v>
      </c>
      <c r="M1574" s="115">
        <v>270</v>
      </c>
      <c r="N1574" s="115">
        <v>271.97000000000003</v>
      </c>
      <c r="O1574" s="115">
        <v>266.2</v>
      </c>
      <c r="P1574" s="115">
        <v>266.89999999999998</v>
      </c>
      <c r="Q1574" s="115">
        <v>1350</v>
      </c>
      <c r="R1574">
        <v>1187179</v>
      </c>
    </row>
    <row r="1575" spans="1:18" x14ac:dyDescent="0.25">
      <c r="A1575" s="169">
        <v>44994</v>
      </c>
      <c r="B1575" s="115">
        <v>275.64</v>
      </c>
      <c r="C1575" s="115">
        <v>268.73</v>
      </c>
      <c r="D1575" s="115">
        <v>267.02</v>
      </c>
      <c r="E1575" s="115">
        <v>271.01</v>
      </c>
      <c r="F1575" s="115">
        <v>1343.65</v>
      </c>
      <c r="G1575">
        <v>52454</v>
      </c>
      <c r="H1575" s="115"/>
      <c r="I1575" s="115"/>
      <c r="L1575" s="169">
        <v>44994</v>
      </c>
      <c r="M1575" s="115">
        <v>269.14999999999998</v>
      </c>
      <c r="N1575" s="115">
        <v>275.66000000000003</v>
      </c>
      <c r="O1575" s="115">
        <v>267.02999999999997</v>
      </c>
      <c r="P1575" s="115">
        <v>271.8</v>
      </c>
      <c r="Q1575" s="115">
        <v>1345.75</v>
      </c>
      <c r="R1575">
        <v>1390394</v>
      </c>
    </row>
    <row r="1576" spans="1:18" x14ac:dyDescent="0.25">
      <c r="A1576" s="169">
        <v>44995</v>
      </c>
      <c r="B1576" s="115">
        <v>270.66000000000003</v>
      </c>
      <c r="C1576" s="115">
        <v>268.94</v>
      </c>
      <c r="D1576" s="115">
        <v>264.12</v>
      </c>
      <c r="E1576" s="115">
        <v>268.39999999999998</v>
      </c>
      <c r="F1576" s="115">
        <v>1344.7</v>
      </c>
      <c r="G1576">
        <v>28307</v>
      </c>
      <c r="H1576" s="115"/>
      <c r="I1576" s="115"/>
      <c r="L1576" s="169">
        <v>44995</v>
      </c>
      <c r="M1576" s="115">
        <v>268.76</v>
      </c>
      <c r="N1576" s="115">
        <v>270.77999999999997</v>
      </c>
      <c r="O1576" s="115">
        <v>264.04000000000002</v>
      </c>
      <c r="P1576" s="115">
        <v>267.60000000000002</v>
      </c>
      <c r="Q1576" s="115">
        <v>1343.8</v>
      </c>
      <c r="R1576">
        <v>650695</v>
      </c>
    </row>
    <row r="1577" spans="1:18" x14ac:dyDescent="0.25">
      <c r="A1577" s="169">
        <v>44998</v>
      </c>
      <c r="B1577" s="115">
        <v>270.81</v>
      </c>
      <c r="C1577" s="115">
        <v>262.51</v>
      </c>
      <c r="D1577" s="115">
        <v>261.05</v>
      </c>
      <c r="E1577" s="115">
        <v>267.01</v>
      </c>
      <c r="F1577" s="115">
        <v>1312.55</v>
      </c>
      <c r="G1577">
        <v>81038</v>
      </c>
      <c r="H1577" s="115"/>
      <c r="I1577" s="115"/>
      <c r="L1577" s="169">
        <v>44998</v>
      </c>
      <c r="M1577" s="115">
        <v>262.51</v>
      </c>
      <c r="N1577" s="115">
        <v>270.83999999999997</v>
      </c>
      <c r="O1577" s="115">
        <v>261</v>
      </c>
      <c r="P1577" s="115">
        <v>269</v>
      </c>
      <c r="Q1577" s="115">
        <v>1312.55</v>
      </c>
      <c r="R1577">
        <v>688145</v>
      </c>
    </row>
    <row r="1578" spans="1:18" x14ac:dyDescent="0.25">
      <c r="A1578" s="169">
        <v>44999</v>
      </c>
      <c r="B1578" s="115">
        <v>269</v>
      </c>
      <c r="C1578" s="115">
        <v>263.11</v>
      </c>
      <c r="D1578" s="115">
        <v>259.11</v>
      </c>
      <c r="E1578" s="115">
        <v>261.27999999999997</v>
      </c>
      <c r="F1578" s="115">
        <v>1315.55</v>
      </c>
      <c r="G1578">
        <v>91893</v>
      </c>
      <c r="H1578" s="115"/>
      <c r="I1578" s="115"/>
      <c r="L1578" s="169">
        <v>44999</v>
      </c>
      <c r="M1578" s="115">
        <v>262.5</v>
      </c>
      <c r="N1578" s="115">
        <v>269</v>
      </c>
      <c r="O1578" s="115">
        <v>259.02</v>
      </c>
      <c r="P1578" s="115">
        <v>262.99</v>
      </c>
      <c r="Q1578" s="115">
        <v>1312.5</v>
      </c>
      <c r="R1578">
        <v>1072336</v>
      </c>
    </row>
    <row r="1579" spans="1:18" x14ac:dyDescent="0.25">
      <c r="A1579" s="169">
        <v>45000</v>
      </c>
      <c r="B1579" s="115">
        <v>275.75</v>
      </c>
      <c r="C1579" s="115">
        <v>269.31</v>
      </c>
      <c r="D1579" s="115">
        <v>262.97000000000003</v>
      </c>
      <c r="E1579" s="115">
        <v>265.58</v>
      </c>
      <c r="F1579" s="115">
        <v>1346.55</v>
      </c>
      <c r="G1579">
        <v>135239</v>
      </c>
      <c r="H1579" s="115"/>
      <c r="I1579" s="115"/>
      <c r="L1579" s="169">
        <v>45000</v>
      </c>
      <c r="M1579" s="115">
        <v>269.13</v>
      </c>
      <c r="N1579" s="115">
        <v>275.7</v>
      </c>
      <c r="O1579" s="115">
        <v>263.3</v>
      </c>
      <c r="P1579" s="115">
        <v>264.19</v>
      </c>
      <c r="Q1579" s="115">
        <v>1345.65</v>
      </c>
      <c r="R1579">
        <v>1756431</v>
      </c>
    </row>
    <row r="1580" spans="1:18" x14ac:dyDescent="0.25">
      <c r="A1580" s="169">
        <v>45001</v>
      </c>
      <c r="B1580" s="115">
        <v>267</v>
      </c>
      <c r="C1580" s="115">
        <v>261.14999999999998</v>
      </c>
      <c r="D1580" s="115">
        <v>253.32</v>
      </c>
      <c r="E1580" s="115">
        <v>267</v>
      </c>
      <c r="F1580" s="115">
        <v>1305.75</v>
      </c>
      <c r="G1580">
        <v>132158</v>
      </c>
      <c r="H1580" s="115"/>
      <c r="I1580" s="115"/>
      <c r="L1580" s="169">
        <v>45001</v>
      </c>
      <c r="M1580" s="115">
        <v>261.23</v>
      </c>
      <c r="N1580" s="115">
        <v>266.16000000000003</v>
      </c>
      <c r="O1580" s="115">
        <v>253.37</v>
      </c>
      <c r="P1580" s="115">
        <v>265.52</v>
      </c>
      <c r="Q1580" s="115">
        <v>1306.1500000000001</v>
      </c>
      <c r="R1580">
        <v>3100233</v>
      </c>
    </row>
    <row r="1581" spans="1:18" x14ac:dyDescent="0.25">
      <c r="A1581" s="169">
        <v>45002</v>
      </c>
      <c r="B1581" s="115">
        <v>265.24</v>
      </c>
      <c r="C1581" s="115">
        <v>263.32</v>
      </c>
      <c r="D1581" s="115">
        <v>258</v>
      </c>
      <c r="E1581" s="115">
        <v>263.99</v>
      </c>
      <c r="F1581" s="115">
        <v>1316.6</v>
      </c>
      <c r="G1581">
        <v>38330</v>
      </c>
      <c r="H1581" s="115"/>
      <c r="I1581" s="115"/>
      <c r="L1581" s="169">
        <v>45002</v>
      </c>
      <c r="M1581" s="115">
        <v>263.24</v>
      </c>
      <c r="N1581" s="115">
        <v>265.99</v>
      </c>
      <c r="O1581" s="115">
        <v>257.89999999999998</v>
      </c>
      <c r="P1581" s="115">
        <v>263.39999999999998</v>
      </c>
      <c r="Q1581" s="115">
        <v>1316.2</v>
      </c>
      <c r="R1581">
        <v>1957056</v>
      </c>
    </row>
    <row r="1582" spans="1:18" x14ac:dyDescent="0.25">
      <c r="A1582" s="169">
        <v>45005</v>
      </c>
      <c r="B1582" s="115">
        <v>261.66000000000003</v>
      </c>
      <c r="C1582" s="115">
        <v>260.58999999999997</v>
      </c>
      <c r="D1582" s="115">
        <v>258.01</v>
      </c>
      <c r="E1582" s="115">
        <v>261.64999999999998</v>
      </c>
      <c r="F1582" s="115">
        <v>1302.95</v>
      </c>
      <c r="G1582">
        <v>39315</v>
      </c>
      <c r="H1582" s="115"/>
      <c r="I1582" s="115"/>
      <c r="L1582" s="169">
        <v>45005</v>
      </c>
      <c r="M1582" s="115">
        <v>260.58999999999997</v>
      </c>
      <c r="N1582" s="115">
        <v>263.08</v>
      </c>
      <c r="O1582" s="115">
        <v>258.3</v>
      </c>
      <c r="P1582" s="115">
        <v>263.08</v>
      </c>
      <c r="Q1582" s="115">
        <v>1302.95</v>
      </c>
      <c r="R1582">
        <v>563951</v>
      </c>
    </row>
    <row r="1583" spans="1:18" x14ac:dyDescent="0.25">
      <c r="A1583" s="169">
        <v>45006</v>
      </c>
      <c r="B1583" s="115">
        <v>269.94</v>
      </c>
      <c r="C1583" s="115">
        <v>268.61</v>
      </c>
      <c r="D1583" s="115">
        <v>260.58</v>
      </c>
      <c r="E1583" s="115">
        <v>260.74</v>
      </c>
      <c r="F1583" s="115">
        <v>1343.05</v>
      </c>
      <c r="G1583">
        <v>53852</v>
      </c>
      <c r="H1583" s="115"/>
      <c r="I1583" s="115"/>
      <c r="L1583" s="169">
        <v>45006</v>
      </c>
      <c r="M1583" s="115">
        <v>268.69</v>
      </c>
      <c r="N1583" s="115">
        <v>270</v>
      </c>
      <c r="O1583" s="115">
        <v>260.58999999999997</v>
      </c>
      <c r="P1583" s="115">
        <v>262.17</v>
      </c>
      <c r="Q1583" s="115">
        <v>1343.45</v>
      </c>
      <c r="R1583">
        <v>841871</v>
      </c>
    </row>
    <row r="1584" spans="1:18" x14ac:dyDescent="0.25">
      <c r="A1584" s="169">
        <v>45007</v>
      </c>
      <c r="B1584" s="115">
        <v>272.86</v>
      </c>
      <c r="C1584" s="115">
        <v>270.77</v>
      </c>
      <c r="D1584" s="115">
        <v>264.39</v>
      </c>
      <c r="E1584" s="115">
        <v>269.16000000000003</v>
      </c>
      <c r="F1584" s="115">
        <v>1353.85</v>
      </c>
      <c r="G1584">
        <v>21989</v>
      </c>
      <c r="H1584" s="115"/>
      <c r="I1584" s="115"/>
      <c r="L1584" s="169">
        <v>45007</v>
      </c>
      <c r="M1584" s="115">
        <v>270.91000000000003</v>
      </c>
      <c r="N1584" s="115">
        <v>273</v>
      </c>
      <c r="O1584" s="115">
        <v>264.14</v>
      </c>
      <c r="P1584" s="115">
        <v>269.8</v>
      </c>
      <c r="Q1584" s="115">
        <v>1354.55</v>
      </c>
      <c r="R1584">
        <v>872839</v>
      </c>
    </row>
    <row r="1585" spans="1:18" x14ac:dyDescent="0.25">
      <c r="A1585" s="169">
        <v>45008</v>
      </c>
      <c r="B1585" s="115">
        <v>273.2</v>
      </c>
      <c r="C1585" s="115">
        <v>270.74</v>
      </c>
      <c r="D1585" s="115">
        <v>267.54000000000002</v>
      </c>
      <c r="E1585" s="115">
        <v>270</v>
      </c>
      <c r="F1585" s="115">
        <v>1353.7</v>
      </c>
      <c r="G1585">
        <v>26300</v>
      </c>
      <c r="H1585" s="115"/>
      <c r="I1585" s="115"/>
      <c r="L1585" s="169">
        <v>45008</v>
      </c>
      <c r="M1585" s="115">
        <v>271.02</v>
      </c>
      <c r="N1585" s="115">
        <v>273.56</v>
      </c>
      <c r="O1585" s="115">
        <v>267.55</v>
      </c>
      <c r="P1585" s="115">
        <v>270</v>
      </c>
      <c r="Q1585" s="115">
        <v>1355.1</v>
      </c>
      <c r="R1585">
        <v>928510</v>
      </c>
    </row>
    <row r="1586" spans="1:18" x14ac:dyDescent="0.25">
      <c r="A1586" s="169">
        <v>45009</v>
      </c>
      <c r="B1586" s="115">
        <v>278.8</v>
      </c>
      <c r="C1586" s="115">
        <v>272.2</v>
      </c>
      <c r="D1586" s="115">
        <v>266.08999999999997</v>
      </c>
      <c r="E1586" s="115">
        <v>269.99</v>
      </c>
      <c r="F1586" s="115">
        <v>1361</v>
      </c>
      <c r="G1586">
        <v>34495</v>
      </c>
      <c r="H1586" s="115"/>
      <c r="I1586" s="115"/>
      <c r="L1586" s="169">
        <v>45009</v>
      </c>
      <c r="M1586" s="115">
        <v>270.39999999999998</v>
      </c>
      <c r="N1586" s="115">
        <v>278.8</v>
      </c>
      <c r="O1586" s="115">
        <v>266.02</v>
      </c>
      <c r="P1586" s="115">
        <v>269.27</v>
      </c>
      <c r="Q1586" s="115">
        <v>1352</v>
      </c>
      <c r="R1586">
        <v>2033540</v>
      </c>
    </row>
    <row r="1587" spans="1:18" x14ac:dyDescent="0.25">
      <c r="A1587" s="169">
        <v>45012</v>
      </c>
      <c r="B1587" s="115">
        <v>274.79000000000002</v>
      </c>
      <c r="C1587" s="115">
        <v>272.02</v>
      </c>
      <c r="D1587" s="115">
        <v>269.20999999999998</v>
      </c>
      <c r="E1587" s="115">
        <v>270.01</v>
      </c>
      <c r="F1587" s="115">
        <v>1360.1</v>
      </c>
      <c r="G1587">
        <v>48720</v>
      </c>
      <c r="H1587" s="115"/>
      <c r="I1587" s="115"/>
      <c r="L1587" s="169">
        <v>45012</v>
      </c>
      <c r="M1587" s="115">
        <v>271.76</v>
      </c>
      <c r="N1587" s="115">
        <v>275</v>
      </c>
      <c r="O1587" s="115">
        <v>269.43</v>
      </c>
      <c r="P1587" s="115">
        <v>271.39999999999998</v>
      </c>
      <c r="Q1587" s="115">
        <v>1358.8</v>
      </c>
      <c r="R1587">
        <v>781832</v>
      </c>
    </row>
    <row r="1588" spans="1:18" x14ac:dyDescent="0.25">
      <c r="A1588" s="169">
        <v>45013</v>
      </c>
      <c r="B1588" s="115">
        <v>274.39999999999998</v>
      </c>
      <c r="C1588" s="115">
        <v>270.72000000000003</v>
      </c>
      <c r="D1588" s="115">
        <v>269.52999999999997</v>
      </c>
      <c r="E1588" s="115">
        <v>273.79000000000002</v>
      </c>
      <c r="F1588" s="115">
        <v>1353.6</v>
      </c>
      <c r="G1588">
        <v>32245</v>
      </c>
      <c r="H1588" s="115"/>
      <c r="I1588" s="115"/>
      <c r="L1588" s="169">
        <v>45013</v>
      </c>
      <c r="M1588" s="115">
        <v>270.95999999999998</v>
      </c>
      <c r="N1588" s="115">
        <v>274.70999999999998</v>
      </c>
      <c r="O1588" s="115">
        <v>270</v>
      </c>
      <c r="P1588" s="115">
        <v>273.33</v>
      </c>
      <c r="Q1588" s="115">
        <v>1354.8</v>
      </c>
      <c r="R1588">
        <v>675360</v>
      </c>
    </row>
    <row r="1589" spans="1:18" x14ac:dyDescent="0.25">
      <c r="A1589" s="169">
        <v>45014</v>
      </c>
      <c r="B1589" s="115">
        <v>277.89999999999998</v>
      </c>
      <c r="C1589" s="115">
        <v>271.98</v>
      </c>
      <c r="D1589" s="115">
        <v>267.13</v>
      </c>
      <c r="E1589" s="115">
        <v>270</v>
      </c>
      <c r="F1589" s="115">
        <v>1359.9</v>
      </c>
      <c r="G1589">
        <v>89971</v>
      </c>
      <c r="H1589" s="115"/>
      <c r="I1589" s="115"/>
      <c r="L1589" s="169">
        <v>45014</v>
      </c>
      <c r="M1589" s="115">
        <v>271.49</v>
      </c>
      <c r="N1589" s="115">
        <v>277.95999999999998</v>
      </c>
      <c r="O1589" s="115">
        <v>267</v>
      </c>
      <c r="P1589" s="115">
        <v>270</v>
      </c>
      <c r="Q1589" s="115">
        <v>1357.45</v>
      </c>
      <c r="R1589">
        <v>3373797</v>
      </c>
    </row>
    <row r="1590" spans="1:18" x14ac:dyDescent="0.25">
      <c r="A1590" s="169">
        <v>45016</v>
      </c>
      <c r="B1590" s="115">
        <v>278.94</v>
      </c>
      <c r="C1590" s="115">
        <v>277.45</v>
      </c>
      <c r="D1590" s="115">
        <v>272.61</v>
      </c>
      <c r="E1590" s="115">
        <v>272.61</v>
      </c>
      <c r="F1590" s="115">
        <v>1387.25</v>
      </c>
      <c r="G1590">
        <v>50812</v>
      </c>
      <c r="H1590" s="115"/>
      <c r="I1590" s="115"/>
      <c r="L1590" s="169">
        <v>45016</v>
      </c>
      <c r="M1590" s="115">
        <v>277.39999999999998</v>
      </c>
      <c r="N1590" s="115">
        <v>278.99</v>
      </c>
      <c r="O1590" s="115">
        <v>273.07</v>
      </c>
      <c r="P1590" s="115">
        <v>274.02</v>
      </c>
      <c r="Q1590" s="115">
        <v>1387</v>
      </c>
      <c r="R1590">
        <v>1265168</v>
      </c>
    </row>
    <row r="1591" spans="1:18" x14ac:dyDescent="0.25">
      <c r="A1591" s="169">
        <v>45019</v>
      </c>
      <c r="B1591" s="115">
        <v>284.39999999999998</v>
      </c>
      <c r="C1591" s="115">
        <v>283.08</v>
      </c>
      <c r="D1591" s="115">
        <v>276.60000000000002</v>
      </c>
      <c r="E1591" s="115">
        <v>277.81</v>
      </c>
      <c r="F1591" s="115">
        <v>1415.4</v>
      </c>
      <c r="G1591">
        <v>81201</v>
      </c>
      <c r="H1591" s="115"/>
      <c r="I1591" s="115"/>
      <c r="L1591" s="169">
        <v>45019</v>
      </c>
      <c r="M1591" s="115">
        <v>282.89</v>
      </c>
      <c r="N1591" s="115">
        <v>284.2</v>
      </c>
      <c r="O1591" s="115">
        <v>276.43</v>
      </c>
      <c r="P1591" s="115">
        <v>279</v>
      </c>
      <c r="Q1591" s="115">
        <v>1414.45</v>
      </c>
      <c r="R1591">
        <v>1484084</v>
      </c>
    </row>
    <row r="1592" spans="1:18" x14ac:dyDescent="0.25">
      <c r="A1592" s="169">
        <v>45021</v>
      </c>
      <c r="B1592" s="115">
        <v>294.77</v>
      </c>
      <c r="C1592" s="115">
        <v>290.91000000000003</v>
      </c>
      <c r="D1592" s="115">
        <v>283.76</v>
      </c>
      <c r="E1592" s="115">
        <v>284</v>
      </c>
      <c r="F1592" s="115">
        <v>1454.55</v>
      </c>
      <c r="G1592">
        <v>103657</v>
      </c>
      <c r="H1592" s="115"/>
      <c r="I1592" s="115"/>
      <c r="L1592" s="169">
        <v>45021</v>
      </c>
      <c r="M1592" s="115">
        <v>290.8</v>
      </c>
      <c r="N1592" s="115">
        <v>294.8</v>
      </c>
      <c r="O1592" s="115">
        <v>283.75</v>
      </c>
      <c r="P1592" s="115">
        <v>284</v>
      </c>
      <c r="Q1592" s="115">
        <v>1454</v>
      </c>
      <c r="R1592">
        <v>3399871</v>
      </c>
    </row>
    <row r="1593" spans="1:18" x14ac:dyDescent="0.25">
      <c r="A1593" s="169">
        <v>45022</v>
      </c>
      <c r="B1593" s="115">
        <v>290.8</v>
      </c>
      <c r="C1593" s="115">
        <v>278.55</v>
      </c>
      <c r="D1593" s="115">
        <v>277</v>
      </c>
      <c r="E1593" s="115">
        <v>290.39999999999998</v>
      </c>
      <c r="F1593" s="115">
        <v>1392.75</v>
      </c>
      <c r="G1593">
        <v>89719</v>
      </c>
      <c r="H1593" s="115"/>
      <c r="I1593" s="115"/>
      <c r="L1593" s="169">
        <v>45022</v>
      </c>
      <c r="M1593" s="115">
        <v>278.7</v>
      </c>
      <c r="N1593" s="115">
        <v>291.19</v>
      </c>
      <c r="O1593" s="115">
        <v>277</v>
      </c>
      <c r="P1593" s="115">
        <v>290.79000000000002</v>
      </c>
      <c r="Q1593" s="115">
        <v>1393.5</v>
      </c>
      <c r="R1593">
        <v>2230254</v>
      </c>
    </row>
    <row r="1594" spans="1:18" x14ac:dyDescent="0.25">
      <c r="A1594" s="169">
        <v>45026</v>
      </c>
      <c r="B1594" s="115">
        <v>283.39999999999998</v>
      </c>
      <c r="C1594" s="115">
        <v>282.7</v>
      </c>
      <c r="D1594" s="115">
        <v>278.56</v>
      </c>
      <c r="E1594" s="115">
        <v>278.56</v>
      </c>
      <c r="F1594" s="115">
        <v>1413.5</v>
      </c>
      <c r="G1594">
        <v>23510</v>
      </c>
      <c r="H1594" s="115"/>
      <c r="I1594" s="115"/>
      <c r="L1594" s="169">
        <v>45026</v>
      </c>
      <c r="M1594" s="115">
        <v>282.74</v>
      </c>
      <c r="N1594" s="115">
        <v>283.39999999999998</v>
      </c>
      <c r="O1594" s="115">
        <v>279.29000000000002</v>
      </c>
      <c r="P1594" s="115">
        <v>279.8</v>
      </c>
      <c r="Q1594" s="115">
        <v>1413.7</v>
      </c>
      <c r="R1594">
        <v>817541</v>
      </c>
    </row>
    <row r="1595" spans="1:18" x14ac:dyDescent="0.25">
      <c r="A1595" s="169">
        <v>45027</v>
      </c>
      <c r="B1595" s="115">
        <v>289</v>
      </c>
      <c r="C1595" s="115">
        <v>287.81</v>
      </c>
      <c r="D1595" s="115">
        <v>282.7</v>
      </c>
      <c r="E1595" s="115">
        <v>283.43</v>
      </c>
      <c r="F1595" s="115">
        <v>1439.05</v>
      </c>
      <c r="G1595">
        <v>24910</v>
      </c>
      <c r="H1595" s="115"/>
      <c r="I1595" s="115"/>
      <c r="L1595" s="169">
        <v>45027</v>
      </c>
      <c r="M1595" s="115">
        <v>287.64999999999998</v>
      </c>
      <c r="N1595" s="115">
        <v>289</v>
      </c>
      <c r="O1595" s="115">
        <v>282.45999999999998</v>
      </c>
      <c r="P1595" s="115">
        <v>284.18</v>
      </c>
      <c r="Q1595" s="115">
        <v>1438.25</v>
      </c>
      <c r="R1595">
        <v>1146244</v>
      </c>
    </row>
    <row r="1596" spans="1:18" x14ac:dyDescent="0.25">
      <c r="A1596" s="169">
        <v>45028</v>
      </c>
      <c r="B1596" s="115">
        <v>290.72000000000003</v>
      </c>
      <c r="C1596" s="115">
        <v>289.24</v>
      </c>
      <c r="D1596" s="115">
        <v>285</v>
      </c>
      <c r="E1596" s="115">
        <v>287.38</v>
      </c>
      <c r="F1596" s="115">
        <v>1446.2</v>
      </c>
      <c r="G1596">
        <v>47980</v>
      </c>
      <c r="H1596" s="115"/>
      <c r="I1596" s="115"/>
      <c r="L1596" s="169">
        <v>45028</v>
      </c>
      <c r="M1596" s="115">
        <v>289.48</v>
      </c>
      <c r="N1596" s="115">
        <v>290.87</v>
      </c>
      <c r="O1596" s="115">
        <v>285.60000000000002</v>
      </c>
      <c r="P1596" s="115">
        <v>286.60000000000002</v>
      </c>
      <c r="Q1596" s="115">
        <v>1447.4</v>
      </c>
      <c r="R1596">
        <v>1135496</v>
      </c>
    </row>
    <row r="1597" spans="1:18" x14ac:dyDescent="0.25">
      <c r="A1597" s="169">
        <v>45029</v>
      </c>
      <c r="B1597" s="115">
        <v>292.19</v>
      </c>
      <c r="C1597" s="115">
        <v>286.08</v>
      </c>
      <c r="D1597" s="115">
        <v>285</v>
      </c>
      <c r="E1597" s="115">
        <v>291.39999999999998</v>
      </c>
      <c r="F1597" s="115">
        <v>1430.4</v>
      </c>
      <c r="G1597">
        <v>25757</v>
      </c>
      <c r="H1597" s="115"/>
      <c r="I1597" s="115"/>
      <c r="L1597" s="169">
        <v>45029</v>
      </c>
      <c r="M1597" s="115">
        <v>285.91000000000003</v>
      </c>
      <c r="N1597" s="115">
        <v>292.25</v>
      </c>
      <c r="O1597" s="115">
        <v>284.8</v>
      </c>
      <c r="P1597" s="115">
        <v>291.48</v>
      </c>
      <c r="Q1597" s="115">
        <v>1429.55</v>
      </c>
      <c r="R1597">
        <v>885874</v>
      </c>
    </row>
    <row r="1598" spans="1:18" x14ac:dyDescent="0.25">
      <c r="A1598" s="169">
        <v>45033</v>
      </c>
      <c r="B1598" s="115">
        <v>291.8</v>
      </c>
      <c r="C1598" s="115">
        <v>290.36</v>
      </c>
      <c r="D1598" s="115">
        <v>284.39999999999998</v>
      </c>
      <c r="E1598" s="115">
        <v>287.99</v>
      </c>
      <c r="F1598" s="115">
        <v>1451.8</v>
      </c>
      <c r="G1598">
        <v>500215</v>
      </c>
      <c r="H1598" s="115"/>
      <c r="I1598" s="115"/>
      <c r="L1598" s="169">
        <v>45033</v>
      </c>
      <c r="M1598" s="115">
        <v>290.42</v>
      </c>
      <c r="N1598" s="115">
        <v>291.89999999999998</v>
      </c>
      <c r="O1598" s="115">
        <v>284.52999999999997</v>
      </c>
      <c r="P1598" s="115">
        <v>287.18</v>
      </c>
      <c r="Q1598" s="115">
        <v>1452.1</v>
      </c>
      <c r="R1598">
        <v>2204715</v>
      </c>
    </row>
    <row r="1599" spans="1:18" x14ac:dyDescent="0.25">
      <c r="A1599" s="169">
        <v>45034</v>
      </c>
      <c r="B1599" s="115">
        <v>292</v>
      </c>
      <c r="C1599" s="115">
        <v>282.60000000000002</v>
      </c>
      <c r="D1599" s="115">
        <v>281.2</v>
      </c>
      <c r="E1599" s="115">
        <v>292</v>
      </c>
      <c r="F1599" s="115">
        <v>1413</v>
      </c>
      <c r="G1599">
        <v>3091544</v>
      </c>
      <c r="H1599" s="115"/>
      <c r="I1599" s="115"/>
      <c r="L1599" s="169">
        <v>45034</v>
      </c>
      <c r="M1599" s="115">
        <v>282.89999999999998</v>
      </c>
      <c r="N1599" s="115">
        <v>291.99</v>
      </c>
      <c r="O1599" s="115">
        <v>281.08</v>
      </c>
      <c r="P1599" s="115">
        <v>291.99</v>
      </c>
      <c r="Q1599" s="115">
        <v>1414.5</v>
      </c>
      <c r="R1599">
        <v>2220965</v>
      </c>
    </row>
    <row r="1600" spans="1:18" x14ac:dyDescent="0.25">
      <c r="A1600" s="169">
        <v>45035</v>
      </c>
      <c r="B1600" s="115">
        <v>289.12</v>
      </c>
      <c r="C1600" s="115">
        <v>288.25</v>
      </c>
      <c r="D1600" s="115">
        <v>283.39999999999998</v>
      </c>
      <c r="E1600" s="115">
        <v>283.39999999999998</v>
      </c>
      <c r="F1600" s="115">
        <v>1441.25</v>
      </c>
      <c r="G1600">
        <v>773757</v>
      </c>
      <c r="H1600" s="115"/>
      <c r="I1600" s="115"/>
      <c r="L1600" s="169">
        <v>45035</v>
      </c>
      <c r="M1600" s="115">
        <v>288.01</v>
      </c>
      <c r="N1600" s="115">
        <v>289.26</v>
      </c>
      <c r="O1600" s="115">
        <v>283.22000000000003</v>
      </c>
      <c r="P1600" s="115">
        <v>283.8</v>
      </c>
      <c r="Q1600" s="115">
        <v>1440.05</v>
      </c>
      <c r="R1600">
        <v>2645677</v>
      </c>
    </row>
    <row r="1601" spans="1:18" x14ac:dyDescent="0.25">
      <c r="A1601" s="169">
        <v>45036</v>
      </c>
      <c r="B1601" s="115">
        <v>288.39999999999998</v>
      </c>
      <c r="C1601" s="115">
        <v>276.35000000000002</v>
      </c>
      <c r="D1601" s="115">
        <v>275</v>
      </c>
      <c r="E1601" s="115">
        <v>288.39999999999998</v>
      </c>
      <c r="F1601" s="115">
        <v>1381.75</v>
      </c>
      <c r="G1601">
        <v>70592</v>
      </c>
      <c r="H1601" s="115"/>
      <c r="I1601" s="115"/>
      <c r="L1601" s="169">
        <v>45036</v>
      </c>
      <c r="M1601" s="115">
        <v>276.35000000000002</v>
      </c>
      <c r="N1601" s="115">
        <v>288</v>
      </c>
      <c r="O1601" s="115">
        <v>275</v>
      </c>
      <c r="P1601" s="115">
        <v>288</v>
      </c>
      <c r="Q1601" s="115">
        <v>1381.75</v>
      </c>
      <c r="R1601">
        <v>1468724</v>
      </c>
    </row>
    <row r="1602" spans="1:18" x14ac:dyDescent="0.25">
      <c r="A1602" s="169">
        <v>45037</v>
      </c>
      <c r="B1602" s="115">
        <v>280.77999999999997</v>
      </c>
      <c r="C1602" s="115">
        <v>279.41000000000003</v>
      </c>
      <c r="D1602" s="115">
        <v>276.83999999999997</v>
      </c>
      <c r="E1602" s="115">
        <v>277.77</v>
      </c>
      <c r="F1602" s="115">
        <v>1397.05</v>
      </c>
      <c r="G1602">
        <v>77652</v>
      </c>
      <c r="H1602" s="115"/>
      <c r="I1602" s="115"/>
      <c r="L1602" s="169">
        <v>45037</v>
      </c>
      <c r="M1602" s="115">
        <v>279.44</v>
      </c>
      <c r="N1602" s="115">
        <v>280.8</v>
      </c>
      <c r="O1602" s="115">
        <v>276.76</v>
      </c>
      <c r="P1602" s="115">
        <v>277.16000000000003</v>
      </c>
      <c r="Q1602" s="115">
        <v>1397.2</v>
      </c>
      <c r="R1602">
        <v>1807712</v>
      </c>
    </row>
    <row r="1603" spans="1:18" x14ac:dyDescent="0.25">
      <c r="A1603" s="169">
        <v>45040</v>
      </c>
      <c r="B1603" s="115">
        <v>290.39999999999998</v>
      </c>
      <c r="C1603" s="115">
        <v>289.95999999999998</v>
      </c>
      <c r="D1603" s="115">
        <v>279.79000000000002</v>
      </c>
      <c r="E1603" s="115">
        <v>280.01</v>
      </c>
      <c r="F1603" s="115">
        <v>1449.8</v>
      </c>
      <c r="G1603">
        <v>48786</v>
      </c>
      <c r="H1603" s="115"/>
      <c r="I1603" s="115"/>
      <c r="L1603" s="169">
        <v>45040</v>
      </c>
      <c r="M1603" s="115">
        <v>289.94</v>
      </c>
      <c r="N1603" s="115">
        <v>290.60000000000002</v>
      </c>
      <c r="O1603" s="115">
        <v>279.61</v>
      </c>
      <c r="P1603" s="115">
        <v>280.49</v>
      </c>
      <c r="Q1603" s="115">
        <v>1449.7</v>
      </c>
      <c r="R1603">
        <v>2011401</v>
      </c>
    </row>
    <row r="1604" spans="1:18" x14ac:dyDescent="0.25">
      <c r="A1604" s="169">
        <v>45041</v>
      </c>
      <c r="B1604" s="115">
        <v>292</v>
      </c>
      <c r="C1604" s="115">
        <v>287.39</v>
      </c>
      <c r="D1604" s="115">
        <v>284.2</v>
      </c>
      <c r="E1604" s="115">
        <v>289</v>
      </c>
      <c r="F1604" s="115">
        <v>1436.95</v>
      </c>
      <c r="G1604">
        <v>69972</v>
      </c>
      <c r="H1604" s="115"/>
      <c r="I1604" s="115"/>
      <c r="L1604" s="169">
        <v>45041</v>
      </c>
      <c r="M1604" s="115">
        <v>287.45</v>
      </c>
      <c r="N1604" s="115">
        <v>292</v>
      </c>
      <c r="O1604" s="115">
        <v>284.22000000000003</v>
      </c>
      <c r="P1604" s="115">
        <v>289.01</v>
      </c>
      <c r="Q1604" s="115">
        <v>1437.25</v>
      </c>
      <c r="R1604">
        <v>2020746</v>
      </c>
    </row>
    <row r="1605" spans="1:18" x14ac:dyDescent="0.25">
      <c r="A1605" s="169">
        <v>45042</v>
      </c>
      <c r="B1605" s="115">
        <v>290.72000000000003</v>
      </c>
      <c r="C1605" s="115">
        <v>289.75</v>
      </c>
      <c r="D1605" s="115">
        <v>287.08999999999997</v>
      </c>
      <c r="E1605" s="115">
        <v>287.39</v>
      </c>
      <c r="F1605" s="115">
        <v>1448.75</v>
      </c>
      <c r="G1605">
        <v>18157</v>
      </c>
      <c r="H1605" s="115"/>
      <c r="I1605" s="115"/>
      <c r="L1605" s="169">
        <v>45042</v>
      </c>
      <c r="M1605" s="115">
        <v>289.77</v>
      </c>
      <c r="N1605" s="115">
        <v>290.60000000000002</v>
      </c>
      <c r="O1605" s="115">
        <v>286.81</v>
      </c>
      <c r="P1605" s="115">
        <v>287.2</v>
      </c>
      <c r="Q1605" s="115">
        <v>1448.85</v>
      </c>
      <c r="R1605">
        <v>1456926</v>
      </c>
    </row>
    <row r="1606" spans="1:18" x14ac:dyDescent="0.25">
      <c r="A1606" s="169">
        <v>45043</v>
      </c>
      <c r="B1606" s="115">
        <v>293.27</v>
      </c>
      <c r="C1606" s="115">
        <v>292.74</v>
      </c>
      <c r="D1606" s="115">
        <v>287.27</v>
      </c>
      <c r="E1606" s="115">
        <v>288.02</v>
      </c>
      <c r="F1606" s="115">
        <v>1463.7</v>
      </c>
      <c r="G1606">
        <v>16757</v>
      </c>
      <c r="H1606" s="115"/>
      <c r="I1606" s="115"/>
      <c r="L1606" s="169">
        <v>45043</v>
      </c>
      <c r="M1606" s="115">
        <v>292.67</v>
      </c>
      <c r="N1606" s="115">
        <v>293</v>
      </c>
      <c r="O1606" s="115">
        <v>287.48</v>
      </c>
      <c r="P1606" s="115">
        <v>289.2</v>
      </c>
      <c r="Q1606" s="115">
        <v>1463.35</v>
      </c>
      <c r="R1606">
        <v>1144993</v>
      </c>
    </row>
    <row r="1607" spans="1:18" x14ac:dyDescent="0.25">
      <c r="A1607" s="169">
        <v>45044</v>
      </c>
      <c r="B1607" s="115">
        <v>293.60000000000002</v>
      </c>
      <c r="C1607" s="115">
        <v>288.76</v>
      </c>
      <c r="D1607" s="115">
        <v>286.2</v>
      </c>
      <c r="E1607" s="115">
        <v>292.8</v>
      </c>
      <c r="F1607" s="115">
        <v>1443.8</v>
      </c>
      <c r="G1607">
        <v>52507</v>
      </c>
      <c r="H1607" s="115"/>
      <c r="I1607" s="115"/>
      <c r="L1607" s="169">
        <v>45044</v>
      </c>
      <c r="M1607" s="115">
        <v>289.04000000000002</v>
      </c>
      <c r="N1607" s="115">
        <v>293.5</v>
      </c>
      <c r="O1607" s="115">
        <v>286.35000000000002</v>
      </c>
      <c r="P1607" s="115">
        <v>293.10000000000002</v>
      </c>
      <c r="Q1607" s="115">
        <v>1445.2</v>
      </c>
      <c r="R1607">
        <v>1656562</v>
      </c>
    </row>
    <row r="1608" spans="1:18" x14ac:dyDescent="0.25">
      <c r="A1608" s="169">
        <v>45048</v>
      </c>
      <c r="B1608" s="115">
        <v>296</v>
      </c>
      <c r="C1608" s="115">
        <v>283.39999999999998</v>
      </c>
      <c r="D1608" s="115">
        <v>280</v>
      </c>
      <c r="E1608" s="115">
        <v>292.79000000000002</v>
      </c>
      <c r="F1608" s="115">
        <v>1417</v>
      </c>
      <c r="G1608">
        <v>105755</v>
      </c>
      <c r="H1608" s="115"/>
      <c r="I1608" s="115"/>
      <c r="L1608" s="169">
        <v>45048</v>
      </c>
      <c r="M1608" s="115">
        <v>283.02</v>
      </c>
      <c r="N1608" s="115">
        <v>295.97000000000003</v>
      </c>
      <c r="O1608" s="115">
        <v>280</v>
      </c>
      <c r="P1608" s="115">
        <v>292</v>
      </c>
      <c r="Q1608" s="115">
        <v>1415.1</v>
      </c>
      <c r="R1608">
        <v>3986097</v>
      </c>
    </row>
    <row r="1609" spans="1:18" x14ac:dyDescent="0.25">
      <c r="A1609" s="169">
        <v>45049</v>
      </c>
      <c r="B1609" s="115">
        <v>291</v>
      </c>
      <c r="C1609" s="115">
        <v>285.88</v>
      </c>
      <c r="D1609" s="115">
        <v>284.99</v>
      </c>
      <c r="E1609" s="115">
        <v>285.01</v>
      </c>
      <c r="F1609" s="115">
        <v>1429.4</v>
      </c>
      <c r="G1609">
        <v>102799</v>
      </c>
      <c r="H1609" s="115"/>
      <c r="I1609" s="115"/>
      <c r="L1609" s="169">
        <v>45049</v>
      </c>
      <c r="M1609" s="115">
        <v>286.04000000000002</v>
      </c>
      <c r="N1609" s="115">
        <v>291</v>
      </c>
      <c r="O1609" s="115">
        <v>285</v>
      </c>
      <c r="P1609" s="115">
        <v>285.60000000000002</v>
      </c>
      <c r="Q1609" s="115">
        <v>1430.2</v>
      </c>
      <c r="R1609">
        <v>1943021</v>
      </c>
    </row>
    <row r="1610" spans="1:18" x14ac:dyDescent="0.25">
      <c r="A1610" s="169">
        <v>45050</v>
      </c>
      <c r="B1610" s="115">
        <v>289.13</v>
      </c>
      <c r="C1610" s="115">
        <v>288.33999999999997</v>
      </c>
      <c r="D1610" s="115">
        <v>286.2</v>
      </c>
      <c r="E1610" s="115">
        <v>286.2</v>
      </c>
      <c r="F1610" s="115">
        <v>1441.7</v>
      </c>
      <c r="G1610">
        <v>18104</v>
      </c>
      <c r="H1610" s="115"/>
      <c r="I1610" s="115"/>
      <c r="L1610" s="169">
        <v>45050</v>
      </c>
      <c r="M1610" s="115">
        <v>288.52</v>
      </c>
      <c r="N1610" s="115">
        <v>289.58999999999997</v>
      </c>
      <c r="O1610" s="115">
        <v>286.33999999999997</v>
      </c>
      <c r="P1610" s="115">
        <v>287</v>
      </c>
      <c r="Q1610" s="115">
        <v>1442.6</v>
      </c>
      <c r="R1610">
        <v>1305493</v>
      </c>
    </row>
    <row r="1611" spans="1:18" x14ac:dyDescent="0.25">
      <c r="A1611" s="169">
        <v>45051</v>
      </c>
      <c r="B1611" s="115">
        <v>291.81</v>
      </c>
      <c r="C1611" s="115">
        <v>290.64</v>
      </c>
      <c r="D1611" s="115">
        <v>286.93</v>
      </c>
      <c r="E1611" s="115">
        <v>287.98</v>
      </c>
      <c r="F1611" s="115">
        <v>1453.2</v>
      </c>
      <c r="G1611">
        <v>14938</v>
      </c>
      <c r="H1611" s="115"/>
      <c r="I1611" s="115"/>
      <c r="L1611" s="169">
        <v>45051</v>
      </c>
      <c r="M1611" s="115">
        <v>290.52</v>
      </c>
      <c r="N1611" s="115">
        <v>291.68</v>
      </c>
      <c r="O1611" s="115">
        <v>286.82</v>
      </c>
      <c r="P1611" s="115">
        <v>287.39999999999998</v>
      </c>
      <c r="Q1611" s="115">
        <v>1452.6</v>
      </c>
      <c r="R1611">
        <v>1323906</v>
      </c>
    </row>
    <row r="1612" spans="1:18" x14ac:dyDescent="0.25">
      <c r="A1612" s="169">
        <v>45054</v>
      </c>
      <c r="B1612" s="115">
        <v>292.58</v>
      </c>
      <c r="C1612" s="115">
        <v>291.27</v>
      </c>
      <c r="D1612" s="115">
        <v>290.33999999999997</v>
      </c>
      <c r="E1612" s="115">
        <v>291</v>
      </c>
      <c r="F1612" s="115">
        <v>1456.35</v>
      </c>
      <c r="G1612">
        <v>37146</v>
      </c>
      <c r="H1612" s="115"/>
      <c r="I1612" s="115"/>
      <c r="L1612" s="169">
        <v>45054</v>
      </c>
      <c r="M1612" s="115">
        <v>291.29000000000002</v>
      </c>
      <c r="N1612" s="115">
        <v>292.60000000000002</v>
      </c>
      <c r="O1612" s="115">
        <v>290.3</v>
      </c>
      <c r="P1612" s="115">
        <v>291</v>
      </c>
      <c r="Q1612" s="115">
        <v>1456.45</v>
      </c>
      <c r="R1612">
        <v>331574</v>
      </c>
    </row>
    <row r="1613" spans="1:18" x14ac:dyDescent="0.25">
      <c r="A1613" s="169">
        <v>45055</v>
      </c>
      <c r="B1613" s="115">
        <v>305.88</v>
      </c>
      <c r="C1613" s="115">
        <v>301.01</v>
      </c>
      <c r="D1613" s="115">
        <v>292</v>
      </c>
      <c r="E1613" s="115">
        <v>292</v>
      </c>
      <c r="F1613" s="115">
        <v>1505.05</v>
      </c>
      <c r="G1613">
        <v>55796</v>
      </c>
      <c r="H1613" s="115"/>
      <c r="I1613" s="115"/>
      <c r="L1613" s="169">
        <v>45055</v>
      </c>
      <c r="M1613" s="115">
        <v>301.08999999999997</v>
      </c>
      <c r="N1613" s="115">
        <v>305.86</v>
      </c>
      <c r="O1613" s="115">
        <v>292.02</v>
      </c>
      <c r="P1613" s="115">
        <v>293.25</v>
      </c>
      <c r="Q1613" s="115">
        <v>1505.45</v>
      </c>
      <c r="R1613">
        <v>2215622</v>
      </c>
    </row>
    <row r="1614" spans="1:18" x14ac:dyDescent="0.25">
      <c r="A1614" s="169">
        <v>45056</v>
      </c>
      <c r="B1614" s="115">
        <v>324</v>
      </c>
      <c r="C1614" s="115">
        <v>321.51</v>
      </c>
      <c r="D1614" s="115">
        <v>302.95999999999998</v>
      </c>
      <c r="E1614" s="115">
        <v>304.99</v>
      </c>
      <c r="F1614" s="115">
        <v>1607.55</v>
      </c>
      <c r="G1614">
        <v>78903</v>
      </c>
      <c r="H1614" s="115"/>
      <c r="I1614" s="115"/>
      <c r="L1614" s="169">
        <v>45056</v>
      </c>
      <c r="M1614" s="115">
        <v>321.27999999999997</v>
      </c>
      <c r="N1614" s="115">
        <v>324</v>
      </c>
      <c r="O1614" s="115">
        <v>302.93</v>
      </c>
      <c r="P1614" s="115">
        <v>302.95999999999998</v>
      </c>
      <c r="Q1614" s="115">
        <v>1606.4</v>
      </c>
      <c r="R1614">
        <v>3373907</v>
      </c>
    </row>
    <row r="1615" spans="1:18" x14ac:dyDescent="0.25">
      <c r="A1615" s="169">
        <v>45057</v>
      </c>
      <c r="B1615" s="115">
        <v>330.8</v>
      </c>
      <c r="C1615" s="115">
        <v>315.95</v>
      </c>
      <c r="D1615" s="115">
        <v>313.58999999999997</v>
      </c>
      <c r="E1615" s="115">
        <v>324</v>
      </c>
      <c r="F1615" s="115">
        <v>1579.75</v>
      </c>
      <c r="G1615">
        <v>420709</v>
      </c>
      <c r="H1615" s="115"/>
      <c r="I1615" s="115"/>
      <c r="L1615" s="169">
        <v>45057</v>
      </c>
      <c r="M1615" s="115">
        <v>315.92</v>
      </c>
      <c r="N1615" s="115">
        <v>330.8</v>
      </c>
      <c r="O1615" s="115">
        <v>313.61</v>
      </c>
      <c r="P1615" s="115">
        <v>324</v>
      </c>
      <c r="Q1615" s="115">
        <v>1579.6</v>
      </c>
      <c r="R1615">
        <v>1731909</v>
      </c>
    </row>
    <row r="1616" spans="1:18" x14ac:dyDescent="0.25">
      <c r="A1616" s="169">
        <v>45058</v>
      </c>
      <c r="B1616" s="115">
        <v>319.69</v>
      </c>
      <c r="C1616" s="115">
        <v>311.44</v>
      </c>
      <c r="D1616" s="115">
        <v>310</v>
      </c>
      <c r="E1616" s="115">
        <v>318.02</v>
      </c>
      <c r="F1616" s="115">
        <v>1557.2</v>
      </c>
      <c r="G1616">
        <v>63891</v>
      </c>
      <c r="H1616" s="115"/>
      <c r="I1616" s="115"/>
      <c r="L1616" s="169">
        <v>45058</v>
      </c>
      <c r="M1616" s="115">
        <v>311.19</v>
      </c>
      <c r="N1616" s="115">
        <v>319.08</v>
      </c>
      <c r="O1616" s="115">
        <v>310</v>
      </c>
      <c r="P1616" s="115">
        <v>319.08</v>
      </c>
      <c r="Q1616" s="115">
        <v>1555.95</v>
      </c>
      <c r="R1616">
        <v>805430</v>
      </c>
    </row>
    <row r="1617" spans="1:18" x14ac:dyDescent="0.25">
      <c r="A1617" s="169">
        <v>45061</v>
      </c>
      <c r="B1617" s="115">
        <v>319</v>
      </c>
      <c r="C1617" s="115">
        <v>311.83</v>
      </c>
      <c r="D1617" s="115">
        <v>310.10000000000002</v>
      </c>
      <c r="E1617" s="115">
        <v>311.2</v>
      </c>
      <c r="F1617" s="115">
        <v>1559.15</v>
      </c>
      <c r="G1617">
        <v>327102</v>
      </c>
      <c r="H1617" s="115"/>
      <c r="I1617" s="115"/>
      <c r="L1617" s="169">
        <v>45061</v>
      </c>
      <c r="M1617" s="115">
        <v>311.72000000000003</v>
      </c>
      <c r="N1617" s="115">
        <v>319.19</v>
      </c>
      <c r="O1617" s="115">
        <v>310.2</v>
      </c>
      <c r="P1617" s="115">
        <v>311.2</v>
      </c>
      <c r="Q1617" s="115">
        <v>1558.6</v>
      </c>
      <c r="R1617">
        <v>655413</v>
      </c>
    </row>
    <row r="1618" spans="1:18" x14ac:dyDescent="0.25">
      <c r="A1618" s="169">
        <v>45062</v>
      </c>
      <c r="B1618" s="115">
        <v>322</v>
      </c>
      <c r="C1618" s="115">
        <v>314.82</v>
      </c>
      <c r="D1618" s="115">
        <v>312.62</v>
      </c>
      <c r="E1618" s="115">
        <v>314</v>
      </c>
      <c r="F1618" s="115">
        <v>1574.1</v>
      </c>
      <c r="G1618">
        <v>58846</v>
      </c>
      <c r="H1618" s="115"/>
      <c r="I1618" s="115"/>
      <c r="L1618" s="169">
        <v>45062</v>
      </c>
      <c r="M1618" s="115">
        <v>314.81</v>
      </c>
      <c r="N1618" s="115">
        <v>322</v>
      </c>
      <c r="O1618" s="115">
        <v>312.41000000000003</v>
      </c>
      <c r="P1618" s="115">
        <v>313.27999999999997</v>
      </c>
      <c r="Q1618" s="115">
        <v>1574.05</v>
      </c>
      <c r="R1618">
        <v>798406</v>
      </c>
    </row>
    <row r="1619" spans="1:18" x14ac:dyDescent="0.25">
      <c r="A1619" s="169">
        <v>45063</v>
      </c>
      <c r="B1619" s="115">
        <v>324.86</v>
      </c>
      <c r="C1619" s="115">
        <v>317.64999999999998</v>
      </c>
      <c r="D1619" s="115">
        <v>315</v>
      </c>
      <c r="E1619" s="115">
        <v>315</v>
      </c>
      <c r="F1619" s="115">
        <v>1588.25</v>
      </c>
      <c r="G1619">
        <v>86571</v>
      </c>
      <c r="H1619" s="115"/>
      <c r="I1619" s="115"/>
      <c r="L1619" s="169">
        <v>45063</v>
      </c>
      <c r="M1619" s="115">
        <v>317.55</v>
      </c>
      <c r="N1619" s="115">
        <v>324.8</v>
      </c>
      <c r="O1619" s="115">
        <v>316</v>
      </c>
      <c r="P1619" s="115">
        <v>316.60000000000002</v>
      </c>
      <c r="Q1619" s="115">
        <v>1587.75</v>
      </c>
      <c r="R1619">
        <v>2154131</v>
      </c>
    </row>
    <row r="1620" spans="1:18" x14ac:dyDescent="0.25">
      <c r="A1620" s="169">
        <v>45064</v>
      </c>
      <c r="B1620" s="115">
        <v>322.89999999999998</v>
      </c>
      <c r="C1620" s="115">
        <v>315.16000000000003</v>
      </c>
      <c r="D1620" s="115">
        <v>313.77999999999997</v>
      </c>
      <c r="E1620" s="115">
        <v>320</v>
      </c>
      <c r="F1620" s="115">
        <v>1575.8</v>
      </c>
      <c r="G1620">
        <v>38479</v>
      </c>
      <c r="H1620" s="115"/>
      <c r="I1620" s="115"/>
      <c r="L1620" s="169">
        <v>45064</v>
      </c>
      <c r="M1620" s="115">
        <v>315.23</v>
      </c>
      <c r="N1620" s="115">
        <v>322.88</v>
      </c>
      <c r="O1620" s="115">
        <v>313.60000000000002</v>
      </c>
      <c r="P1620" s="115">
        <v>319.85000000000002</v>
      </c>
      <c r="Q1620" s="115">
        <v>1576.15</v>
      </c>
      <c r="R1620">
        <v>817331</v>
      </c>
    </row>
    <row r="1621" spans="1:18" x14ac:dyDescent="0.25">
      <c r="A1621" s="169">
        <v>45065</v>
      </c>
      <c r="B1621" s="115">
        <v>321.2</v>
      </c>
      <c r="C1621" s="115">
        <v>317.58999999999997</v>
      </c>
      <c r="D1621" s="115">
        <v>316</v>
      </c>
      <c r="E1621" s="115">
        <v>318.52999999999997</v>
      </c>
      <c r="F1621" s="115">
        <v>1587.95</v>
      </c>
      <c r="G1621">
        <v>293594</v>
      </c>
      <c r="H1621" s="115"/>
      <c r="I1621" s="115"/>
      <c r="L1621" s="169">
        <v>45065</v>
      </c>
      <c r="M1621" s="115">
        <v>317.51</v>
      </c>
      <c r="N1621" s="115">
        <v>321.39999999999998</v>
      </c>
      <c r="O1621" s="115">
        <v>316</v>
      </c>
      <c r="P1621" s="115">
        <v>316.36</v>
      </c>
      <c r="Q1621" s="115">
        <v>1587.55</v>
      </c>
      <c r="R1621">
        <v>665121</v>
      </c>
    </row>
    <row r="1622" spans="1:18" x14ac:dyDescent="0.25">
      <c r="A1622" s="169">
        <v>45068</v>
      </c>
      <c r="B1622" s="115">
        <v>320.27</v>
      </c>
      <c r="C1622" s="115">
        <v>316.8</v>
      </c>
      <c r="D1622" s="115">
        <v>315</v>
      </c>
      <c r="E1622" s="115">
        <v>317.01</v>
      </c>
      <c r="F1622" s="115">
        <v>1584</v>
      </c>
      <c r="G1622">
        <v>38694</v>
      </c>
      <c r="H1622" s="115"/>
      <c r="I1622" s="115"/>
      <c r="L1622" s="169">
        <v>45068</v>
      </c>
      <c r="M1622" s="115">
        <v>316.89999999999998</v>
      </c>
      <c r="N1622" s="115">
        <v>320.27999999999997</v>
      </c>
      <c r="O1622" s="115">
        <v>314.8</v>
      </c>
      <c r="P1622" s="115">
        <v>318.77</v>
      </c>
      <c r="Q1622" s="115">
        <v>1584.5</v>
      </c>
      <c r="R1622">
        <v>395693</v>
      </c>
    </row>
    <row r="1623" spans="1:18" x14ac:dyDescent="0.25">
      <c r="A1623" s="169">
        <v>45069</v>
      </c>
      <c r="B1623" s="115">
        <v>318.26</v>
      </c>
      <c r="C1623" s="115">
        <v>311.2</v>
      </c>
      <c r="D1623" s="115">
        <v>308.2</v>
      </c>
      <c r="E1623" s="115">
        <v>317.01</v>
      </c>
      <c r="F1623" s="115">
        <v>1556</v>
      </c>
      <c r="G1623">
        <v>24132</v>
      </c>
      <c r="H1623" s="115"/>
      <c r="I1623" s="115"/>
      <c r="L1623" s="169">
        <v>45069</v>
      </c>
      <c r="M1623" s="115">
        <v>311.17</v>
      </c>
      <c r="N1623" s="115">
        <v>318.44</v>
      </c>
      <c r="O1623" s="115">
        <v>308.2</v>
      </c>
      <c r="P1623" s="115">
        <v>317.75</v>
      </c>
      <c r="Q1623" s="115">
        <v>1555.85</v>
      </c>
      <c r="R1623">
        <v>688552</v>
      </c>
    </row>
    <row r="1624" spans="1:18" x14ac:dyDescent="0.25">
      <c r="A1624" s="169">
        <v>45070</v>
      </c>
      <c r="B1624" s="115">
        <v>325.02</v>
      </c>
      <c r="C1624" s="115">
        <v>322.89999999999998</v>
      </c>
      <c r="D1624" s="115">
        <v>311.8</v>
      </c>
      <c r="E1624" s="115">
        <v>311.8</v>
      </c>
      <c r="F1624" s="115">
        <v>1614.5</v>
      </c>
      <c r="G1624">
        <v>100017</v>
      </c>
      <c r="H1624" s="115"/>
      <c r="I1624" s="115"/>
      <c r="L1624" s="169">
        <v>45070</v>
      </c>
      <c r="M1624" s="115">
        <v>322.95999999999998</v>
      </c>
      <c r="N1624" s="115">
        <v>325.2</v>
      </c>
      <c r="O1624" s="115">
        <v>312.47000000000003</v>
      </c>
      <c r="P1624" s="115">
        <v>312.47000000000003</v>
      </c>
      <c r="Q1624" s="115">
        <v>1614.8</v>
      </c>
      <c r="R1624">
        <v>1125676</v>
      </c>
    </row>
    <row r="1625" spans="1:18" x14ac:dyDescent="0.25">
      <c r="A1625" s="169">
        <v>45071</v>
      </c>
      <c r="B1625" s="115">
        <v>326</v>
      </c>
      <c r="C1625" s="115">
        <v>324.91000000000003</v>
      </c>
      <c r="D1625" s="115">
        <v>318.89999999999998</v>
      </c>
      <c r="E1625" s="115">
        <v>323.01</v>
      </c>
      <c r="F1625" s="115">
        <v>1624.55</v>
      </c>
      <c r="G1625">
        <v>27277</v>
      </c>
      <c r="H1625" s="115"/>
      <c r="I1625" s="115"/>
      <c r="L1625" s="169">
        <v>45071</v>
      </c>
      <c r="M1625" s="115">
        <v>323.52999999999997</v>
      </c>
      <c r="N1625" s="115">
        <v>326</v>
      </c>
      <c r="O1625" s="115">
        <v>318.88</v>
      </c>
      <c r="P1625" s="115">
        <v>323.58999999999997</v>
      </c>
      <c r="Q1625" s="115">
        <v>1617.65</v>
      </c>
      <c r="R1625">
        <v>702883</v>
      </c>
    </row>
    <row r="1626" spans="1:18" x14ac:dyDescent="0.25">
      <c r="A1626" s="169">
        <v>45072</v>
      </c>
      <c r="B1626" s="115">
        <v>349.43</v>
      </c>
      <c r="C1626" s="115">
        <v>340.29</v>
      </c>
      <c r="D1626" s="115">
        <v>325.04000000000002</v>
      </c>
      <c r="E1626" s="115">
        <v>325.04000000000002</v>
      </c>
      <c r="F1626" s="115">
        <v>1701.45</v>
      </c>
      <c r="G1626">
        <v>147792</v>
      </c>
      <c r="H1626" s="115"/>
      <c r="I1626" s="115"/>
      <c r="L1626" s="169">
        <v>45072</v>
      </c>
      <c r="M1626" s="115">
        <v>340.39</v>
      </c>
      <c r="N1626" s="115">
        <v>349.4</v>
      </c>
      <c r="O1626" s="115">
        <v>325</v>
      </c>
      <c r="P1626" s="115">
        <v>326</v>
      </c>
      <c r="Q1626" s="115">
        <v>1701.95</v>
      </c>
      <c r="R1626">
        <v>2712827</v>
      </c>
    </row>
    <row r="1627" spans="1:18" x14ac:dyDescent="0.25">
      <c r="A1627" s="169">
        <v>45075</v>
      </c>
      <c r="B1627" s="115">
        <v>345</v>
      </c>
      <c r="C1627" s="115">
        <v>338.13</v>
      </c>
      <c r="D1627" s="115">
        <v>336.2</v>
      </c>
      <c r="E1627" s="115">
        <v>345</v>
      </c>
      <c r="F1627" s="115">
        <v>1690.65</v>
      </c>
      <c r="G1627">
        <v>35726</v>
      </c>
      <c r="H1627" s="115"/>
      <c r="I1627" s="115"/>
      <c r="L1627" s="169">
        <v>45075</v>
      </c>
      <c r="M1627" s="115">
        <v>338.35</v>
      </c>
      <c r="N1627" s="115">
        <v>344.8</v>
      </c>
      <c r="O1627" s="115">
        <v>336.02</v>
      </c>
      <c r="P1627" s="115">
        <v>344.8</v>
      </c>
      <c r="Q1627" s="115">
        <v>1691.75</v>
      </c>
      <c r="R1627">
        <v>1017630</v>
      </c>
    </row>
    <row r="1628" spans="1:18" x14ac:dyDescent="0.25">
      <c r="A1628" s="169">
        <v>45076</v>
      </c>
      <c r="B1628" s="115">
        <v>339.07</v>
      </c>
      <c r="C1628" s="115">
        <v>329.38</v>
      </c>
      <c r="D1628" s="115">
        <v>328.03</v>
      </c>
      <c r="E1628" s="115">
        <v>338.21</v>
      </c>
      <c r="F1628" s="115">
        <v>1646.9</v>
      </c>
      <c r="G1628">
        <v>20017</v>
      </c>
      <c r="H1628" s="115"/>
      <c r="I1628" s="115"/>
      <c r="L1628" s="169">
        <v>45076</v>
      </c>
      <c r="M1628" s="115">
        <v>329.66</v>
      </c>
      <c r="N1628" s="115">
        <v>339.59</v>
      </c>
      <c r="O1628" s="115">
        <v>328</v>
      </c>
      <c r="P1628" s="115">
        <v>339.36</v>
      </c>
      <c r="Q1628" s="115">
        <v>1648.3</v>
      </c>
      <c r="R1628">
        <v>1179431</v>
      </c>
    </row>
    <row r="1629" spans="1:18" x14ac:dyDescent="0.25">
      <c r="A1629" s="169">
        <v>45077</v>
      </c>
      <c r="B1629" s="115">
        <v>340.29</v>
      </c>
      <c r="C1629" s="115">
        <v>338.71</v>
      </c>
      <c r="D1629" s="115">
        <v>325.3</v>
      </c>
      <c r="E1629" s="115">
        <v>329.4</v>
      </c>
      <c r="F1629" s="115">
        <v>1693.55</v>
      </c>
      <c r="G1629">
        <v>50951</v>
      </c>
      <c r="H1629" s="115"/>
      <c r="I1629" s="115"/>
      <c r="L1629" s="169">
        <v>45077</v>
      </c>
      <c r="M1629" s="115">
        <v>338.89</v>
      </c>
      <c r="N1629" s="115">
        <v>340.36</v>
      </c>
      <c r="O1629" s="115">
        <v>325.2</v>
      </c>
      <c r="P1629" s="115">
        <v>330</v>
      </c>
      <c r="Q1629" s="115">
        <v>1694.45</v>
      </c>
      <c r="R1629">
        <v>2026705</v>
      </c>
    </row>
    <row r="1630" spans="1:18" x14ac:dyDescent="0.25">
      <c r="A1630" s="169">
        <v>45078</v>
      </c>
      <c r="B1630" s="115">
        <v>344.4</v>
      </c>
      <c r="C1630" s="115">
        <v>337.72</v>
      </c>
      <c r="D1630" s="115">
        <v>334.19</v>
      </c>
      <c r="E1630" s="115">
        <v>338</v>
      </c>
      <c r="F1630" s="115">
        <v>1688.6</v>
      </c>
      <c r="G1630">
        <v>28489</v>
      </c>
      <c r="H1630" s="115"/>
      <c r="I1630" s="115"/>
      <c r="L1630" s="169">
        <v>45078</v>
      </c>
      <c r="M1630" s="115">
        <v>337.8</v>
      </c>
      <c r="N1630" s="115">
        <v>344.58</v>
      </c>
      <c r="O1630" s="115">
        <v>334</v>
      </c>
      <c r="P1630" s="115">
        <v>338.16</v>
      </c>
      <c r="Q1630" s="115">
        <v>1689</v>
      </c>
      <c r="R1630">
        <v>861705</v>
      </c>
    </row>
    <row r="1631" spans="1:18" x14ac:dyDescent="0.25">
      <c r="A1631" s="169">
        <v>45079</v>
      </c>
      <c r="B1631" s="115">
        <v>342.75</v>
      </c>
      <c r="C1631" s="115">
        <v>340.29</v>
      </c>
      <c r="D1631" s="115">
        <v>336.99</v>
      </c>
      <c r="E1631" s="115">
        <v>339.61</v>
      </c>
      <c r="F1631" s="115">
        <v>1701.45</v>
      </c>
      <c r="G1631">
        <v>20554</v>
      </c>
      <c r="H1631" s="115"/>
      <c r="I1631" s="115"/>
      <c r="L1631" s="169">
        <v>45079</v>
      </c>
      <c r="M1631" s="115">
        <v>339.03</v>
      </c>
      <c r="N1631" s="115">
        <v>342.86</v>
      </c>
      <c r="O1631" s="115">
        <v>336.74</v>
      </c>
      <c r="P1631" s="115">
        <v>340.14</v>
      </c>
      <c r="Q1631" s="115">
        <v>1695.15</v>
      </c>
      <c r="R1631">
        <v>677338</v>
      </c>
    </row>
    <row r="1632" spans="1:18" x14ac:dyDescent="0.25">
      <c r="A1632" s="169">
        <v>45082</v>
      </c>
      <c r="B1632" s="115">
        <v>342.59</v>
      </c>
      <c r="C1632" s="115">
        <v>341.11</v>
      </c>
      <c r="D1632" s="115">
        <v>337.6</v>
      </c>
      <c r="E1632" s="115">
        <v>341.98</v>
      </c>
      <c r="F1632" s="115">
        <v>1705.55</v>
      </c>
      <c r="G1632">
        <v>59790</v>
      </c>
      <c r="H1632" s="115"/>
      <c r="I1632" s="115"/>
      <c r="L1632" s="169">
        <v>45082</v>
      </c>
      <c r="M1632" s="115">
        <v>341.02</v>
      </c>
      <c r="N1632" s="115">
        <v>342.6</v>
      </c>
      <c r="O1632" s="115">
        <v>337.68</v>
      </c>
      <c r="P1632" s="115">
        <v>341.12</v>
      </c>
      <c r="Q1632" s="115">
        <v>1705.1</v>
      </c>
      <c r="R1632">
        <v>676308</v>
      </c>
    </row>
    <row r="1633" spans="1:18" x14ac:dyDescent="0.25">
      <c r="A1633" s="169">
        <v>45083</v>
      </c>
      <c r="B1633" s="115">
        <v>348.13</v>
      </c>
      <c r="C1633" s="115">
        <v>337.35</v>
      </c>
      <c r="D1633" s="115">
        <v>336.41</v>
      </c>
      <c r="E1633" s="115">
        <v>342.96</v>
      </c>
      <c r="F1633" s="115">
        <v>1686.75</v>
      </c>
      <c r="G1633">
        <v>51782</v>
      </c>
      <c r="H1633" s="115"/>
      <c r="I1633" s="115"/>
      <c r="L1633" s="169">
        <v>45083</v>
      </c>
      <c r="M1633" s="115">
        <v>337.39</v>
      </c>
      <c r="N1633" s="115">
        <v>348.11</v>
      </c>
      <c r="O1633" s="115">
        <v>336.4</v>
      </c>
      <c r="P1633" s="115">
        <v>342.83</v>
      </c>
      <c r="Q1633" s="115">
        <v>1686.95</v>
      </c>
      <c r="R1633">
        <v>1532463</v>
      </c>
    </row>
    <row r="1634" spans="1:18" x14ac:dyDescent="0.25">
      <c r="A1634" s="169">
        <v>45084</v>
      </c>
      <c r="B1634" s="115">
        <v>339.59</v>
      </c>
      <c r="C1634" s="115">
        <v>329.39</v>
      </c>
      <c r="D1634" s="115">
        <v>328.2</v>
      </c>
      <c r="E1634" s="115">
        <v>339.59</v>
      </c>
      <c r="F1634" s="115">
        <v>1646.95</v>
      </c>
      <c r="G1634">
        <v>69852</v>
      </c>
      <c r="H1634" s="115"/>
      <c r="I1634" s="115"/>
      <c r="L1634" s="169">
        <v>45084</v>
      </c>
      <c r="M1634" s="115">
        <v>329.53</v>
      </c>
      <c r="N1634" s="115">
        <v>338.72</v>
      </c>
      <c r="O1634" s="115">
        <v>328.2</v>
      </c>
      <c r="P1634" s="115">
        <v>338.72</v>
      </c>
      <c r="Q1634" s="115">
        <v>1647.65</v>
      </c>
      <c r="R1634">
        <v>3252740</v>
      </c>
    </row>
    <row r="1635" spans="1:18" x14ac:dyDescent="0.25">
      <c r="A1635" s="169">
        <v>45085</v>
      </c>
      <c r="B1635" s="115">
        <v>331.55</v>
      </c>
      <c r="C1635" s="115">
        <v>316.47000000000003</v>
      </c>
      <c r="D1635" s="115">
        <v>315.02999999999997</v>
      </c>
      <c r="E1635" s="115">
        <v>331.19</v>
      </c>
      <c r="F1635" s="115">
        <v>1582.35</v>
      </c>
      <c r="G1635">
        <v>61859</v>
      </c>
      <c r="H1635" s="115"/>
      <c r="I1635" s="115"/>
      <c r="L1635" s="169">
        <v>45085</v>
      </c>
      <c r="M1635" s="115">
        <v>316.37</v>
      </c>
      <c r="N1635" s="115">
        <v>331.63</v>
      </c>
      <c r="O1635" s="115">
        <v>315</v>
      </c>
      <c r="P1635" s="115">
        <v>330.52</v>
      </c>
      <c r="Q1635" s="115">
        <v>1581.85</v>
      </c>
      <c r="R1635">
        <v>2000351</v>
      </c>
    </row>
    <row r="1636" spans="1:18" x14ac:dyDescent="0.25">
      <c r="A1636" s="169">
        <v>45086</v>
      </c>
      <c r="B1636" s="115">
        <v>325.45999999999998</v>
      </c>
      <c r="C1636" s="115">
        <v>318.68</v>
      </c>
      <c r="D1636" s="115">
        <v>316.2</v>
      </c>
      <c r="E1636" s="115">
        <v>317.08</v>
      </c>
      <c r="F1636" s="115">
        <v>1593.4</v>
      </c>
      <c r="G1636">
        <v>81512</v>
      </c>
      <c r="H1636" s="115"/>
      <c r="I1636" s="115"/>
      <c r="L1636" s="169">
        <v>45086</v>
      </c>
      <c r="M1636" s="115">
        <v>318.27999999999997</v>
      </c>
      <c r="N1636" s="115">
        <v>325.39</v>
      </c>
      <c r="O1636" s="115">
        <v>316.02</v>
      </c>
      <c r="P1636" s="115">
        <v>318</v>
      </c>
      <c r="Q1636" s="115">
        <v>1591.4</v>
      </c>
      <c r="R1636">
        <v>1201289</v>
      </c>
    </row>
    <row r="1637" spans="1:18" x14ac:dyDescent="0.25">
      <c r="A1637" s="169">
        <v>45089</v>
      </c>
      <c r="B1637" s="115">
        <v>322</v>
      </c>
      <c r="C1637" s="115">
        <v>319.13</v>
      </c>
      <c r="D1637" s="115">
        <v>310</v>
      </c>
      <c r="E1637" s="115">
        <v>317.55</v>
      </c>
      <c r="F1637" s="115">
        <v>1595.65</v>
      </c>
      <c r="G1637">
        <v>88720</v>
      </c>
      <c r="H1637" s="115"/>
      <c r="I1637" s="115"/>
      <c r="L1637" s="169">
        <v>45089</v>
      </c>
      <c r="M1637" s="115">
        <v>319.20999999999998</v>
      </c>
      <c r="N1637" s="115">
        <v>321.86</v>
      </c>
      <c r="O1637" s="115">
        <v>310.01</v>
      </c>
      <c r="P1637" s="115">
        <v>316.91000000000003</v>
      </c>
      <c r="Q1637" s="115">
        <v>1596.05</v>
      </c>
      <c r="R1637">
        <v>1072543</v>
      </c>
    </row>
    <row r="1638" spans="1:18" x14ac:dyDescent="0.25">
      <c r="A1638" s="169">
        <v>45090</v>
      </c>
      <c r="B1638" s="115">
        <v>327.14</v>
      </c>
      <c r="C1638" s="115">
        <v>323.31</v>
      </c>
      <c r="D1638" s="115">
        <v>319.85000000000002</v>
      </c>
      <c r="E1638" s="115">
        <v>322.97000000000003</v>
      </c>
      <c r="F1638" s="115">
        <v>1616.55</v>
      </c>
      <c r="G1638">
        <v>40741</v>
      </c>
      <c r="H1638" s="115"/>
      <c r="I1638" s="115"/>
      <c r="L1638" s="169">
        <v>45090</v>
      </c>
      <c r="M1638" s="115">
        <v>323</v>
      </c>
      <c r="N1638" s="115">
        <v>327.20999999999998</v>
      </c>
      <c r="O1638" s="115">
        <v>319.60000000000002</v>
      </c>
      <c r="P1638" s="115">
        <v>320.95999999999998</v>
      </c>
      <c r="Q1638" s="115">
        <v>1615</v>
      </c>
      <c r="R1638">
        <v>1563048</v>
      </c>
    </row>
    <row r="1639" spans="1:18" x14ac:dyDescent="0.25">
      <c r="A1639" s="169">
        <v>45091</v>
      </c>
      <c r="B1639" s="115">
        <v>331</v>
      </c>
      <c r="C1639" s="115">
        <v>322.89</v>
      </c>
      <c r="D1639" s="115">
        <v>320.39999999999998</v>
      </c>
      <c r="E1639" s="115">
        <v>323.41000000000003</v>
      </c>
      <c r="F1639" s="115">
        <v>1614.45</v>
      </c>
      <c r="G1639">
        <v>99094</v>
      </c>
      <c r="H1639" s="115"/>
      <c r="I1639" s="115"/>
      <c r="L1639" s="169">
        <v>45091</v>
      </c>
      <c r="M1639" s="115">
        <v>323</v>
      </c>
      <c r="N1639" s="115">
        <v>331.3</v>
      </c>
      <c r="O1639" s="115">
        <v>320.39999999999998</v>
      </c>
      <c r="P1639" s="115">
        <v>324</v>
      </c>
      <c r="Q1639" s="115">
        <v>1615</v>
      </c>
      <c r="R1639">
        <v>1636909</v>
      </c>
    </row>
    <row r="1640" spans="1:18" x14ac:dyDescent="0.25">
      <c r="A1640" s="169">
        <v>45092</v>
      </c>
      <c r="B1640" s="115">
        <v>345.16</v>
      </c>
      <c r="C1640" s="115">
        <v>331.06</v>
      </c>
      <c r="D1640" s="115">
        <v>327.88</v>
      </c>
      <c r="E1640" s="115">
        <v>328</v>
      </c>
      <c r="F1640" s="115">
        <v>827.65</v>
      </c>
      <c r="G1640">
        <v>168383</v>
      </c>
      <c r="H1640" s="115"/>
      <c r="I1640" s="115"/>
      <c r="L1640" s="169">
        <v>45092</v>
      </c>
      <c r="M1640" s="115">
        <v>330.88</v>
      </c>
      <c r="N1640" s="115">
        <v>344.8</v>
      </c>
      <c r="O1640" s="115">
        <v>326.74</v>
      </c>
      <c r="P1640" s="115">
        <v>327.92</v>
      </c>
      <c r="Q1640" s="115">
        <v>827.2</v>
      </c>
      <c r="R1640">
        <v>3020929</v>
      </c>
    </row>
    <row r="1641" spans="1:18" x14ac:dyDescent="0.25">
      <c r="A1641" s="169">
        <v>45093</v>
      </c>
      <c r="B1641" s="115">
        <v>335.56</v>
      </c>
      <c r="C1641" s="115">
        <v>328.36</v>
      </c>
      <c r="D1641" s="115">
        <v>322.45999999999998</v>
      </c>
      <c r="E1641" s="115">
        <v>335.56</v>
      </c>
      <c r="F1641" s="115">
        <v>820.9</v>
      </c>
      <c r="G1641">
        <v>334206</v>
      </c>
      <c r="H1641" s="115"/>
      <c r="I1641" s="115"/>
      <c r="L1641" s="169">
        <v>45093</v>
      </c>
      <c r="M1641" s="115">
        <v>328.5</v>
      </c>
      <c r="N1641" s="115">
        <v>335.5</v>
      </c>
      <c r="O1641" s="115">
        <v>322.39999999999998</v>
      </c>
      <c r="P1641" s="115">
        <v>334.26</v>
      </c>
      <c r="Q1641" s="115">
        <v>821.25</v>
      </c>
      <c r="R1641">
        <v>5484855</v>
      </c>
    </row>
    <row r="1642" spans="1:18" x14ac:dyDescent="0.25">
      <c r="A1642" s="169">
        <v>45096</v>
      </c>
      <c r="B1642" s="115">
        <v>328.78</v>
      </c>
      <c r="C1642" s="115">
        <v>320.64</v>
      </c>
      <c r="D1642" s="115">
        <v>318.45999999999998</v>
      </c>
      <c r="E1642" s="115">
        <v>328.36</v>
      </c>
      <c r="F1642" s="115">
        <v>801.6</v>
      </c>
      <c r="G1642">
        <v>80645</v>
      </c>
      <c r="H1642" s="115"/>
      <c r="I1642" s="115"/>
      <c r="L1642" s="169">
        <v>45096</v>
      </c>
      <c r="M1642" s="115">
        <v>320.54000000000002</v>
      </c>
      <c r="N1642" s="115">
        <v>329.16</v>
      </c>
      <c r="O1642" s="115">
        <v>318.39999999999998</v>
      </c>
      <c r="P1642" s="115">
        <v>328.5</v>
      </c>
      <c r="Q1642" s="115">
        <v>801.35</v>
      </c>
      <c r="R1642">
        <v>2013822</v>
      </c>
    </row>
    <row r="1643" spans="1:18" x14ac:dyDescent="0.25">
      <c r="A1643" s="169">
        <v>45097</v>
      </c>
      <c r="B1643" s="115">
        <v>328.6</v>
      </c>
      <c r="C1643" s="115">
        <v>325.45999999999998</v>
      </c>
      <c r="D1643" s="115">
        <v>320.82</v>
      </c>
      <c r="E1643" s="115">
        <v>320.82</v>
      </c>
      <c r="F1643" s="115">
        <v>813.65</v>
      </c>
      <c r="G1643">
        <v>148282</v>
      </c>
      <c r="H1643" s="115"/>
      <c r="I1643" s="115"/>
      <c r="L1643" s="169">
        <v>45097</v>
      </c>
      <c r="M1643" s="115">
        <v>325.33999999999997</v>
      </c>
      <c r="N1643" s="115">
        <v>328.62</v>
      </c>
      <c r="O1643" s="115">
        <v>321.36</v>
      </c>
      <c r="P1643" s="115">
        <v>321.66000000000003</v>
      </c>
      <c r="Q1643" s="115">
        <v>813.35</v>
      </c>
      <c r="R1643">
        <v>2465530</v>
      </c>
    </row>
    <row r="1644" spans="1:18" x14ac:dyDescent="0.25">
      <c r="A1644" s="169">
        <v>45098</v>
      </c>
      <c r="B1644" s="115">
        <v>329.54</v>
      </c>
      <c r="C1644" s="115">
        <v>328.04</v>
      </c>
      <c r="D1644" s="115">
        <v>324.52</v>
      </c>
      <c r="E1644" s="115">
        <v>324.92</v>
      </c>
      <c r="F1644" s="115">
        <v>820.1</v>
      </c>
      <c r="G1644">
        <v>148469</v>
      </c>
      <c r="H1644" s="115"/>
      <c r="I1644" s="115"/>
      <c r="L1644" s="169">
        <v>45098</v>
      </c>
      <c r="M1644" s="115">
        <v>327.88</v>
      </c>
      <c r="N1644" s="115">
        <v>329.6</v>
      </c>
      <c r="O1644" s="115">
        <v>324.94</v>
      </c>
      <c r="P1644" s="115">
        <v>326</v>
      </c>
      <c r="Q1644" s="115">
        <v>819.7</v>
      </c>
      <c r="R1644">
        <v>2411903</v>
      </c>
    </row>
    <row r="1645" spans="1:18" x14ac:dyDescent="0.25">
      <c r="A1645" s="169">
        <v>45099</v>
      </c>
      <c r="B1645" s="115">
        <v>328.26</v>
      </c>
      <c r="C1645" s="115">
        <v>321.54000000000002</v>
      </c>
      <c r="D1645" s="115">
        <v>320.3</v>
      </c>
      <c r="E1645" s="115">
        <v>328.26</v>
      </c>
      <c r="F1645" s="115">
        <v>803.85</v>
      </c>
      <c r="G1645">
        <v>106163</v>
      </c>
      <c r="H1645" s="115"/>
      <c r="I1645" s="115"/>
      <c r="L1645" s="169">
        <v>45099</v>
      </c>
      <c r="M1645" s="115">
        <v>321.42</v>
      </c>
      <c r="N1645" s="115">
        <v>328</v>
      </c>
      <c r="O1645" s="115">
        <v>320.32</v>
      </c>
      <c r="P1645" s="115">
        <v>327.88</v>
      </c>
      <c r="Q1645" s="115">
        <v>803.55</v>
      </c>
      <c r="R1645">
        <v>1296116</v>
      </c>
    </row>
    <row r="1646" spans="1:18" x14ac:dyDescent="0.25">
      <c r="A1646" s="169">
        <v>45100</v>
      </c>
      <c r="B1646" s="115">
        <v>323.06</v>
      </c>
      <c r="C1646" s="115">
        <v>306.48</v>
      </c>
      <c r="D1646" s="115">
        <v>305.60000000000002</v>
      </c>
      <c r="E1646" s="115">
        <v>321.62</v>
      </c>
      <c r="F1646" s="115">
        <v>766.2</v>
      </c>
      <c r="G1646">
        <v>391280</v>
      </c>
      <c r="H1646" s="115"/>
      <c r="I1646" s="115"/>
      <c r="L1646" s="169">
        <v>45100</v>
      </c>
      <c r="M1646" s="115">
        <v>306.44</v>
      </c>
      <c r="N1646" s="115">
        <v>322.32</v>
      </c>
      <c r="O1646" s="115">
        <v>305.44</v>
      </c>
      <c r="P1646" s="115">
        <v>322</v>
      </c>
      <c r="Q1646" s="115">
        <v>766.1</v>
      </c>
      <c r="R1646">
        <v>3998287</v>
      </c>
    </row>
    <row r="1647" spans="1:18" x14ac:dyDescent="0.25">
      <c r="A1647" s="169">
        <v>45103</v>
      </c>
      <c r="B1647" s="115">
        <v>320.12</v>
      </c>
      <c r="C1647" s="115">
        <v>319.76</v>
      </c>
      <c r="D1647" s="115">
        <v>301.74</v>
      </c>
      <c r="E1647" s="115">
        <v>306.62</v>
      </c>
      <c r="F1647" s="115">
        <v>799.4</v>
      </c>
      <c r="G1647">
        <v>234888</v>
      </c>
      <c r="H1647" s="115"/>
      <c r="I1647" s="115"/>
      <c r="L1647" s="169">
        <v>45103</v>
      </c>
      <c r="M1647" s="115">
        <v>319.68</v>
      </c>
      <c r="N1647" s="115">
        <v>320.39999999999998</v>
      </c>
      <c r="O1647" s="115">
        <v>302</v>
      </c>
      <c r="P1647" s="115">
        <v>307.54000000000002</v>
      </c>
      <c r="Q1647" s="115">
        <v>799.2</v>
      </c>
      <c r="R1647">
        <v>2481282</v>
      </c>
    </row>
    <row r="1648" spans="1:18" x14ac:dyDescent="0.25">
      <c r="A1648" s="169">
        <v>45104</v>
      </c>
      <c r="B1648" s="115">
        <v>324.8</v>
      </c>
      <c r="C1648" s="115">
        <v>319.76</v>
      </c>
      <c r="D1648" s="115">
        <v>318.52</v>
      </c>
      <c r="E1648" s="115">
        <v>321.22000000000003</v>
      </c>
      <c r="F1648" s="115">
        <v>799.4</v>
      </c>
      <c r="G1648">
        <v>159029</v>
      </c>
      <c r="H1648" s="115"/>
      <c r="I1648" s="115"/>
      <c r="L1648" s="169">
        <v>45104</v>
      </c>
      <c r="M1648" s="115">
        <v>319.76</v>
      </c>
      <c r="N1648" s="115">
        <v>324.98</v>
      </c>
      <c r="O1648" s="115">
        <v>318.39999999999998</v>
      </c>
      <c r="P1648" s="115">
        <v>322.76</v>
      </c>
      <c r="Q1648" s="115">
        <v>799.4</v>
      </c>
      <c r="R1648">
        <v>2183861</v>
      </c>
    </row>
    <row r="1649" spans="1:18" x14ac:dyDescent="0.25">
      <c r="A1649" s="169">
        <v>45105</v>
      </c>
      <c r="B1649" s="115">
        <v>322.68</v>
      </c>
      <c r="C1649" s="115">
        <v>317.32</v>
      </c>
      <c r="D1649" s="115">
        <v>315.60000000000002</v>
      </c>
      <c r="E1649" s="115">
        <v>321.22000000000003</v>
      </c>
      <c r="F1649" s="115">
        <v>793.3</v>
      </c>
      <c r="G1649">
        <v>94421</v>
      </c>
      <c r="H1649" s="115"/>
      <c r="I1649" s="115"/>
      <c r="L1649" s="169">
        <v>45105</v>
      </c>
      <c r="M1649" s="115">
        <v>317.42</v>
      </c>
      <c r="N1649" s="115">
        <v>322.48</v>
      </c>
      <c r="O1649" s="115">
        <v>315.60000000000002</v>
      </c>
      <c r="P1649" s="115">
        <v>322.32</v>
      </c>
      <c r="Q1649" s="115">
        <v>793.55</v>
      </c>
      <c r="R1649">
        <v>1896416</v>
      </c>
    </row>
    <row r="1650" spans="1:18" x14ac:dyDescent="0.25">
      <c r="A1650" s="169">
        <v>45107</v>
      </c>
      <c r="B1650" s="115">
        <v>322.98</v>
      </c>
      <c r="C1650" s="115">
        <v>320.2</v>
      </c>
      <c r="D1650" s="115">
        <v>312.45999999999998</v>
      </c>
      <c r="E1650" s="115">
        <v>318.24</v>
      </c>
      <c r="F1650" s="115">
        <v>800.5</v>
      </c>
      <c r="G1650">
        <v>67509</v>
      </c>
      <c r="H1650" s="115"/>
      <c r="I1650" s="115"/>
      <c r="L1650" s="169">
        <v>45107</v>
      </c>
      <c r="M1650" s="115">
        <v>321.02</v>
      </c>
      <c r="N1650" s="115">
        <v>323.16000000000003</v>
      </c>
      <c r="O1650" s="115">
        <v>312.42</v>
      </c>
      <c r="P1650" s="115">
        <v>318.8</v>
      </c>
      <c r="Q1650" s="115">
        <v>802.55</v>
      </c>
      <c r="R1650">
        <v>2768487</v>
      </c>
    </row>
    <row r="1651" spans="1:18" x14ac:dyDescent="0.25">
      <c r="A1651" s="169">
        <v>45110</v>
      </c>
      <c r="B1651" s="115">
        <v>329.54</v>
      </c>
      <c r="C1651" s="115">
        <v>327.26</v>
      </c>
      <c r="D1651" s="115">
        <v>317.89999999999998</v>
      </c>
      <c r="E1651" s="115">
        <v>320.44</v>
      </c>
      <c r="F1651" s="115">
        <v>818.15</v>
      </c>
      <c r="G1651">
        <v>68552</v>
      </c>
      <c r="H1651" s="115"/>
      <c r="I1651" s="115"/>
      <c r="L1651" s="169">
        <v>45110</v>
      </c>
      <c r="M1651" s="115">
        <v>327.33999999999997</v>
      </c>
      <c r="N1651" s="115">
        <v>329.44</v>
      </c>
      <c r="O1651" s="115">
        <v>317.42</v>
      </c>
      <c r="P1651" s="115">
        <v>321.02</v>
      </c>
      <c r="Q1651" s="115">
        <v>818.35</v>
      </c>
      <c r="R1651">
        <v>1933461</v>
      </c>
    </row>
    <row r="1652" spans="1:18" x14ac:dyDescent="0.25">
      <c r="A1652" s="169">
        <v>45111</v>
      </c>
      <c r="B1652" s="115">
        <v>328.32</v>
      </c>
      <c r="C1652" s="115">
        <v>321.83999999999997</v>
      </c>
      <c r="D1652" s="115">
        <v>320.92</v>
      </c>
      <c r="E1652" s="115">
        <v>328.32</v>
      </c>
      <c r="F1652" s="115">
        <v>804.6</v>
      </c>
      <c r="G1652">
        <v>27164</v>
      </c>
      <c r="H1652" s="115"/>
      <c r="I1652" s="115"/>
      <c r="L1652" s="169">
        <v>45111</v>
      </c>
      <c r="M1652" s="115">
        <v>321.62</v>
      </c>
      <c r="N1652" s="115">
        <v>328</v>
      </c>
      <c r="O1652" s="115">
        <v>320.8</v>
      </c>
      <c r="P1652" s="115">
        <v>328</v>
      </c>
      <c r="Q1652" s="115">
        <v>804.05</v>
      </c>
      <c r="R1652">
        <v>4681610</v>
      </c>
    </row>
    <row r="1653" spans="1:18" x14ac:dyDescent="0.25">
      <c r="A1653" s="169">
        <v>45112</v>
      </c>
      <c r="B1653" s="115">
        <v>331.6</v>
      </c>
      <c r="C1653" s="115">
        <v>330.28</v>
      </c>
      <c r="D1653" s="115">
        <v>320.58</v>
      </c>
      <c r="E1653" s="115">
        <v>322.42</v>
      </c>
      <c r="F1653" s="115">
        <v>825.7</v>
      </c>
      <c r="G1653">
        <v>275555</v>
      </c>
      <c r="H1653" s="115"/>
      <c r="I1653" s="115"/>
      <c r="L1653" s="169">
        <v>45112</v>
      </c>
      <c r="M1653" s="115">
        <v>330.26</v>
      </c>
      <c r="N1653" s="115">
        <v>331.8</v>
      </c>
      <c r="O1653" s="115">
        <v>321.26</v>
      </c>
      <c r="P1653" s="115">
        <v>323.92</v>
      </c>
      <c r="Q1653" s="115">
        <v>825.65</v>
      </c>
      <c r="R1653">
        <v>2773841</v>
      </c>
    </row>
    <row r="1654" spans="1:18" x14ac:dyDescent="0.25">
      <c r="A1654" s="169">
        <v>45113</v>
      </c>
      <c r="B1654" s="115">
        <v>334</v>
      </c>
      <c r="C1654" s="115">
        <v>325.60000000000002</v>
      </c>
      <c r="D1654" s="115">
        <v>324.39999999999998</v>
      </c>
      <c r="E1654" s="115">
        <v>331.26</v>
      </c>
      <c r="F1654" s="115">
        <v>814</v>
      </c>
      <c r="G1654">
        <v>98426</v>
      </c>
      <c r="H1654" s="115"/>
      <c r="I1654" s="115"/>
      <c r="L1654" s="169">
        <v>45113</v>
      </c>
      <c r="M1654" s="115">
        <v>325.54000000000002</v>
      </c>
      <c r="N1654" s="115">
        <v>334.28</v>
      </c>
      <c r="O1654" s="115">
        <v>324.44</v>
      </c>
      <c r="P1654" s="115">
        <v>332</v>
      </c>
      <c r="Q1654" s="115">
        <v>813.85</v>
      </c>
      <c r="R1654">
        <v>2335648</v>
      </c>
    </row>
    <row r="1655" spans="1:18" x14ac:dyDescent="0.25">
      <c r="A1655" s="169">
        <v>45114</v>
      </c>
      <c r="B1655" s="115">
        <v>331.92</v>
      </c>
      <c r="C1655" s="115">
        <v>328.36</v>
      </c>
      <c r="D1655" s="115">
        <v>324.94</v>
      </c>
      <c r="E1655" s="115">
        <v>327.56</v>
      </c>
      <c r="F1655" s="115">
        <v>820.9</v>
      </c>
      <c r="G1655">
        <v>140052</v>
      </c>
      <c r="H1655" s="115"/>
      <c r="I1655" s="115"/>
      <c r="L1655" s="169">
        <v>45114</v>
      </c>
      <c r="M1655" s="115">
        <v>328.46</v>
      </c>
      <c r="N1655" s="115">
        <v>331.9</v>
      </c>
      <c r="O1655" s="115">
        <v>325.14</v>
      </c>
      <c r="P1655" s="115">
        <v>327.88</v>
      </c>
      <c r="Q1655" s="115">
        <v>821.15</v>
      </c>
      <c r="R1655">
        <v>1394598</v>
      </c>
    </row>
    <row r="1656" spans="1:18" x14ac:dyDescent="0.25">
      <c r="A1656" s="169">
        <v>45117</v>
      </c>
      <c r="B1656" s="115">
        <v>330.78</v>
      </c>
      <c r="C1656" s="115">
        <v>324.74</v>
      </c>
      <c r="D1656" s="115">
        <v>322.8</v>
      </c>
      <c r="E1656" s="115">
        <v>328.54</v>
      </c>
      <c r="F1656" s="115">
        <v>811.85</v>
      </c>
      <c r="G1656">
        <v>58152</v>
      </c>
      <c r="H1656" s="115"/>
      <c r="I1656" s="115"/>
      <c r="L1656" s="169">
        <v>45117</v>
      </c>
      <c r="M1656" s="115">
        <v>324.89999999999998</v>
      </c>
      <c r="N1656" s="115">
        <v>330.82</v>
      </c>
      <c r="O1656" s="115">
        <v>322.8</v>
      </c>
      <c r="P1656" s="115">
        <v>329.2</v>
      </c>
      <c r="Q1656" s="115">
        <v>812.25</v>
      </c>
      <c r="R1656">
        <v>1168151</v>
      </c>
    </row>
    <row r="1657" spans="1:18" x14ac:dyDescent="0.25">
      <c r="A1657" s="169">
        <v>45118</v>
      </c>
      <c r="B1657" s="115">
        <v>330.78</v>
      </c>
      <c r="C1657" s="115">
        <v>330</v>
      </c>
      <c r="D1657" s="115">
        <v>322.8</v>
      </c>
      <c r="E1657" s="115">
        <v>325.02</v>
      </c>
      <c r="F1657" s="115">
        <v>825</v>
      </c>
      <c r="G1657">
        <v>32939</v>
      </c>
      <c r="H1657" s="115"/>
      <c r="I1657" s="115"/>
      <c r="L1657" s="169">
        <v>45118</v>
      </c>
      <c r="M1657" s="115">
        <v>330.1</v>
      </c>
      <c r="N1657" s="115">
        <v>330.98</v>
      </c>
      <c r="O1657" s="115">
        <v>322.76</v>
      </c>
      <c r="P1657" s="115">
        <v>326</v>
      </c>
      <c r="Q1657" s="115">
        <v>825.25</v>
      </c>
      <c r="R1657">
        <v>1263675</v>
      </c>
    </row>
    <row r="1658" spans="1:18" x14ac:dyDescent="0.25">
      <c r="A1658" s="169">
        <v>45119</v>
      </c>
      <c r="B1658" s="115">
        <v>339.48</v>
      </c>
      <c r="C1658" s="115">
        <v>336.68</v>
      </c>
      <c r="D1658" s="115">
        <v>331.02</v>
      </c>
      <c r="E1658" s="115">
        <v>331.92</v>
      </c>
      <c r="F1658" s="115">
        <v>841.7</v>
      </c>
      <c r="G1658">
        <v>54474</v>
      </c>
      <c r="H1658" s="115"/>
      <c r="I1658" s="115"/>
      <c r="L1658" s="169">
        <v>45119</v>
      </c>
      <c r="M1658" s="115">
        <v>336.7</v>
      </c>
      <c r="N1658" s="115">
        <v>339.6</v>
      </c>
      <c r="O1658" s="115">
        <v>331.22</v>
      </c>
      <c r="P1658" s="115">
        <v>331.6</v>
      </c>
      <c r="Q1658" s="115">
        <v>841.75</v>
      </c>
      <c r="R1658">
        <v>2108364</v>
      </c>
    </row>
    <row r="1659" spans="1:18" x14ac:dyDescent="0.25">
      <c r="A1659" s="169">
        <v>45120</v>
      </c>
      <c r="B1659" s="115">
        <v>338.86</v>
      </c>
      <c r="C1659" s="115">
        <v>333.08</v>
      </c>
      <c r="D1659" s="115">
        <v>329.5</v>
      </c>
      <c r="E1659" s="115">
        <v>337.22</v>
      </c>
      <c r="F1659" s="115">
        <v>832.7</v>
      </c>
      <c r="G1659">
        <v>25645</v>
      </c>
      <c r="H1659" s="115"/>
      <c r="I1659" s="115"/>
      <c r="L1659" s="169">
        <v>45120</v>
      </c>
      <c r="M1659" s="115">
        <v>333.14</v>
      </c>
      <c r="N1659" s="115">
        <v>338.78</v>
      </c>
      <c r="O1659" s="115">
        <v>329.2</v>
      </c>
      <c r="P1659" s="115">
        <v>338</v>
      </c>
      <c r="Q1659" s="115">
        <v>832.85</v>
      </c>
      <c r="R1659">
        <v>1999048</v>
      </c>
    </row>
    <row r="1660" spans="1:18" x14ac:dyDescent="0.25">
      <c r="A1660" s="169">
        <v>45121</v>
      </c>
      <c r="B1660" s="115">
        <v>338.86</v>
      </c>
      <c r="C1660" s="115">
        <v>333.32</v>
      </c>
      <c r="D1660" s="115">
        <v>327.48</v>
      </c>
      <c r="E1660" s="115">
        <v>336.4</v>
      </c>
      <c r="F1660" s="115">
        <v>833.3</v>
      </c>
      <c r="G1660">
        <v>50839</v>
      </c>
      <c r="H1660" s="115"/>
      <c r="I1660" s="115"/>
      <c r="L1660" s="169">
        <v>45121</v>
      </c>
      <c r="M1660" s="115">
        <v>333.14</v>
      </c>
      <c r="N1660" s="115">
        <v>339.02</v>
      </c>
      <c r="O1660" s="115">
        <v>327.44</v>
      </c>
      <c r="P1660" s="115">
        <v>337.2</v>
      </c>
      <c r="Q1660" s="115">
        <v>832.85</v>
      </c>
      <c r="R1660">
        <v>2867467</v>
      </c>
    </row>
    <row r="1661" spans="1:18" x14ac:dyDescent="0.25">
      <c r="A1661" s="169">
        <v>45124</v>
      </c>
      <c r="B1661" s="115">
        <v>334.88</v>
      </c>
      <c r="C1661" s="115">
        <v>331.5</v>
      </c>
      <c r="D1661" s="115">
        <v>329.98</v>
      </c>
      <c r="E1661" s="115">
        <v>333.32</v>
      </c>
      <c r="F1661" s="115">
        <v>828.75</v>
      </c>
      <c r="G1661">
        <v>84076</v>
      </c>
      <c r="H1661" s="115"/>
      <c r="I1661" s="115"/>
      <c r="L1661" s="169">
        <v>45124</v>
      </c>
      <c r="M1661" s="115">
        <v>331.56</v>
      </c>
      <c r="N1661" s="115">
        <v>336.88</v>
      </c>
      <c r="O1661" s="115">
        <v>329.8</v>
      </c>
      <c r="P1661" s="115">
        <v>333.76</v>
      </c>
      <c r="Q1661" s="115">
        <v>828.9</v>
      </c>
      <c r="R1661">
        <v>1014792</v>
      </c>
    </row>
    <row r="1662" spans="1:18" x14ac:dyDescent="0.25">
      <c r="A1662" s="169">
        <v>45125</v>
      </c>
      <c r="B1662" s="115">
        <v>333.68</v>
      </c>
      <c r="C1662" s="115">
        <v>329.66</v>
      </c>
      <c r="D1662" s="115">
        <v>325.72000000000003</v>
      </c>
      <c r="E1662" s="115">
        <v>331.5</v>
      </c>
      <c r="F1662" s="115">
        <v>824.15</v>
      </c>
      <c r="G1662">
        <v>20163</v>
      </c>
      <c r="H1662" s="115"/>
      <c r="I1662" s="115"/>
      <c r="L1662" s="169">
        <v>45125</v>
      </c>
      <c r="M1662" s="115">
        <v>329.64</v>
      </c>
      <c r="N1662" s="115">
        <v>333.6</v>
      </c>
      <c r="O1662" s="115">
        <v>325.68</v>
      </c>
      <c r="P1662" s="115">
        <v>331.56</v>
      </c>
      <c r="Q1662" s="115">
        <v>824.1</v>
      </c>
      <c r="R1662">
        <v>1190878</v>
      </c>
    </row>
    <row r="1663" spans="1:18" x14ac:dyDescent="0.25">
      <c r="A1663" s="169">
        <v>45126</v>
      </c>
      <c r="B1663" s="115">
        <v>332.32</v>
      </c>
      <c r="C1663" s="115">
        <v>327.94</v>
      </c>
      <c r="D1663" s="115">
        <v>327.24</v>
      </c>
      <c r="E1663" s="115">
        <v>329.04</v>
      </c>
      <c r="F1663" s="115">
        <v>819.85</v>
      </c>
      <c r="G1663">
        <v>58691</v>
      </c>
      <c r="H1663" s="115"/>
      <c r="I1663" s="115"/>
      <c r="L1663" s="169">
        <v>45126</v>
      </c>
      <c r="M1663" s="115">
        <v>327.94</v>
      </c>
      <c r="N1663" s="115">
        <v>332</v>
      </c>
      <c r="O1663" s="115">
        <v>326.52</v>
      </c>
      <c r="P1663" s="115">
        <v>326.52</v>
      </c>
      <c r="Q1663" s="115">
        <v>819.85</v>
      </c>
      <c r="R1663">
        <v>1152379</v>
      </c>
    </row>
    <row r="1664" spans="1:18" x14ac:dyDescent="0.25">
      <c r="A1664" s="169">
        <v>45127</v>
      </c>
      <c r="B1664" s="115">
        <v>329.42</v>
      </c>
      <c r="C1664" s="115">
        <v>325.04000000000002</v>
      </c>
      <c r="D1664" s="115">
        <v>323.06</v>
      </c>
      <c r="E1664" s="115">
        <v>328.26</v>
      </c>
      <c r="F1664" s="115">
        <v>812.6</v>
      </c>
      <c r="G1664">
        <v>82206</v>
      </c>
      <c r="H1664" s="115"/>
      <c r="I1664" s="115"/>
      <c r="L1664" s="169">
        <v>45127</v>
      </c>
      <c r="M1664" s="115">
        <v>325.04000000000002</v>
      </c>
      <c r="N1664" s="115">
        <v>329.6</v>
      </c>
      <c r="O1664" s="115">
        <v>323.44</v>
      </c>
      <c r="P1664" s="115">
        <v>328.78</v>
      </c>
      <c r="Q1664" s="115">
        <v>812.6</v>
      </c>
      <c r="R1664">
        <v>682293</v>
      </c>
    </row>
    <row r="1665" spans="1:18" x14ac:dyDescent="0.25">
      <c r="A1665" s="169">
        <v>45128</v>
      </c>
      <c r="B1665" s="115">
        <v>329.6</v>
      </c>
      <c r="C1665" s="115">
        <v>320.22000000000003</v>
      </c>
      <c r="D1665" s="115">
        <v>318.42</v>
      </c>
      <c r="E1665" s="115">
        <v>325.06</v>
      </c>
      <c r="F1665" s="115">
        <v>800.55</v>
      </c>
      <c r="G1665">
        <v>146572</v>
      </c>
      <c r="H1665" s="115"/>
      <c r="I1665" s="115"/>
      <c r="L1665" s="169">
        <v>45128</v>
      </c>
      <c r="M1665" s="115">
        <v>320.08</v>
      </c>
      <c r="N1665" s="115">
        <v>329.84</v>
      </c>
      <c r="O1665" s="115">
        <v>318</v>
      </c>
      <c r="P1665" s="115">
        <v>325.72000000000003</v>
      </c>
      <c r="Q1665" s="115">
        <v>800.2</v>
      </c>
      <c r="R1665">
        <v>1723154</v>
      </c>
    </row>
    <row r="1666" spans="1:18" x14ac:dyDescent="0.25">
      <c r="A1666" s="169">
        <v>45131</v>
      </c>
      <c r="B1666" s="115">
        <v>327.39999999999998</v>
      </c>
      <c r="C1666" s="115">
        <v>327.02</v>
      </c>
      <c r="D1666" s="115">
        <v>314</v>
      </c>
      <c r="E1666" s="115">
        <v>320.22000000000003</v>
      </c>
      <c r="F1666" s="115">
        <v>817.55</v>
      </c>
      <c r="G1666">
        <v>121789</v>
      </c>
      <c r="H1666" s="115"/>
      <c r="I1666" s="115"/>
      <c r="L1666" s="169">
        <v>45131</v>
      </c>
      <c r="M1666" s="115">
        <v>327.08</v>
      </c>
      <c r="N1666" s="115">
        <v>327.39999999999998</v>
      </c>
      <c r="O1666" s="115">
        <v>313.95999999999998</v>
      </c>
      <c r="P1666" s="115">
        <v>320.60000000000002</v>
      </c>
      <c r="Q1666" s="115">
        <v>817.7</v>
      </c>
      <c r="R1666">
        <v>1187664</v>
      </c>
    </row>
    <row r="1667" spans="1:18" x14ac:dyDescent="0.25">
      <c r="A1667" s="169">
        <v>45132</v>
      </c>
      <c r="B1667" s="115">
        <v>326.8</v>
      </c>
      <c r="C1667" s="115">
        <v>321.88</v>
      </c>
      <c r="D1667" s="115">
        <v>319.68</v>
      </c>
      <c r="E1667" s="115">
        <v>326.8</v>
      </c>
      <c r="F1667" s="115">
        <v>804.7</v>
      </c>
      <c r="G1667">
        <v>30042</v>
      </c>
      <c r="H1667" s="115"/>
      <c r="I1667" s="115"/>
      <c r="L1667" s="169">
        <v>45132</v>
      </c>
      <c r="M1667" s="115">
        <v>321.83999999999997</v>
      </c>
      <c r="N1667" s="115">
        <v>326.60000000000002</v>
      </c>
      <c r="O1667" s="115">
        <v>319.60000000000002</v>
      </c>
      <c r="P1667" s="115">
        <v>326.60000000000002</v>
      </c>
      <c r="Q1667" s="115">
        <v>804.6</v>
      </c>
      <c r="R1667">
        <v>1595429</v>
      </c>
    </row>
    <row r="1668" spans="1:18" x14ac:dyDescent="0.25">
      <c r="A1668" s="169">
        <v>45133</v>
      </c>
      <c r="B1668" s="115">
        <v>325.76</v>
      </c>
      <c r="C1668" s="115">
        <v>322.5</v>
      </c>
      <c r="D1668" s="115">
        <v>320.10000000000002</v>
      </c>
      <c r="E1668" s="115">
        <v>322.14</v>
      </c>
      <c r="F1668" s="115">
        <v>806.25</v>
      </c>
      <c r="G1668">
        <v>76841</v>
      </c>
      <c r="H1668" s="115"/>
      <c r="I1668" s="115"/>
      <c r="L1668" s="169">
        <v>45133</v>
      </c>
      <c r="M1668" s="115">
        <v>322.76</v>
      </c>
      <c r="N1668" s="115">
        <v>325.88</v>
      </c>
      <c r="O1668" s="115">
        <v>320.02</v>
      </c>
      <c r="P1668" s="115">
        <v>321.83999999999997</v>
      </c>
      <c r="Q1668" s="115">
        <v>806.9</v>
      </c>
      <c r="R1668">
        <v>1142539</v>
      </c>
    </row>
    <row r="1669" spans="1:18" x14ac:dyDescent="0.25">
      <c r="A1669" s="169">
        <v>45134</v>
      </c>
      <c r="B1669" s="115">
        <v>324.8</v>
      </c>
      <c r="C1669" s="115">
        <v>320.2</v>
      </c>
      <c r="D1669" s="115">
        <v>320</v>
      </c>
      <c r="E1669" s="115">
        <v>323.24</v>
      </c>
      <c r="F1669" s="115">
        <v>800.5</v>
      </c>
      <c r="G1669">
        <v>25693</v>
      </c>
      <c r="H1669" s="115"/>
      <c r="I1669" s="115"/>
      <c r="L1669" s="169">
        <v>45134</v>
      </c>
      <c r="M1669" s="115">
        <v>320.22000000000003</v>
      </c>
      <c r="N1669" s="115">
        <v>325.38</v>
      </c>
      <c r="O1669" s="115">
        <v>320</v>
      </c>
      <c r="P1669" s="115">
        <v>323.92</v>
      </c>
      <c r="Q1669" s="115">
        <v>800.55</v>
      </c>
      <c r="R1669">
        <v>1064361</v>
      </c>
    </row>
    <row r="1670" spans="1:18" x14ac:dyDescent="0.25">
      <c r="A1670" s="169">
        <v>45135</v>
      </c>
      <c r="B1670" s="115">
        <v>322.77999999999997</v>
      </c>
      <c r="C1670" s="115">
        <v>321.76</v>
      </c>
      <c r="D1670" s="115">
        <v>316.8</v>
      </c>
      <c r="E1670" s="115">
        <v>320.22000000000003</v>
      </c>
      <c r="F1670" s="115">
        <v>804.4</v>
      </c>
      <c r="G1670">
        <v>27841</v>
      </c>
      <c r="H1670" s="115"/>
      <c r="I1670" s="115"/>
      <c r="L1670" s="169">
        <v>45135</v>
      </c>
      <c r="M1670" s="115">
        <v>321.7</v>
      </c>
      <c r="N1670" s="115">
        <v>322.64</v>
      </c>
      <c r="O1670" s="115">
        <v>318.60000000000002</v>
      </c>
      <c r="P1670" s="115">
        <v>320</v>
      </c>
      <c r="Q1670" s="115">
        <v>804.25</v>
      </c>
      <c r="R1670">
        <v>872944</v>
      </c>
    </row>
    <row r="1671" spans="1:18" x14ac:dyDescent="0.25">
      <c r="A1671" s="169">
        <v>45138</v>
      </c>
      <c r="B1671" s="115">
        <v>322.92</v>
      </c>
      <c r="C1671" s="115">
        <v>321.72000000000003</v>
      </c>
      <c r="D1671" s="115">
        <v>318.39999999999998</v>
      </c>
      <c r="E1671" s="115">
        <v>321.92</v>
      </c>
      <c r="F1671" s="115">
        <v>804.3</v>
      </c>
      <c r="G1671">
        <v>74504</v>
      </c>
      <c r="H1671" s="115"/>
      <c r="I1671" s="115"/>
      <c r="L1671" s="169">
        <v>45138</v>
      </c>
      <c r="M1671" s="115">
        <v>321.76</v>
      </c>
      <c r="N1671" s="115">
        <v>323.02</v>
      </c>
      <c r="O1671" s="115">
        <v>318.2</v>
      </c>
      <c r="P1671" s="115">
        <v>321.7</v>
      </c>
      <c r="Q1671" s="115">
        <v>804.4</v>
      </c>
      <c r="R1671">
        <v>1243742</v>
      </c>
    </row>
    <row r="1672" spans="1:18" x14ac:dyDescent="0.25">
      <c r="A1672" s="169">
        <v>45139</v>
      </c>
      <c r="B1672" s="115">
        <v>325.86</v>
      </c>
      <c r="C1672" s="115">
        <v>320.24</v>
      </c>
      <c r="D1672" s="115">
        <v>319.76</v>
      </c>
      <c r="E1672" s="115">
        <v>323.22000000000003</v>
      </c>
      <c r="F1672" s="115">
        <v>800.6</v>
      </c>
      <c r="G1672">
        <v>38002</v>
      </c>
      <c r="H1672" s="115"/>
      <c r="I1672" s="115"/>
      <c r="L1672" s="169">
        <v>45139</v>
      </c>
      <c r="M1672" s="115">
        <v>320.27999999999997</v>
      </c>
      <c r="N1672" s="115">
        <v>325.94</v>
      </c>
      <c r="O1672" s="115">
        <v>319.58</v>
      </c>
      <c r="P1672" s="115">
        <v>323.95999999999998</v>
      </c>
      <c r="Q1672" s="115">
        <v>800.7</v>
      </c>
      <c r="R1672">
        <v>1619746</v>
      </c>
    </row>
    <row r="1673" spans="1:18" x14ac:dyDescent="0.25">
      <c r="A1673" s="169">
        <v>45140</v>
      </c>
      <c r="B1673" s="115">
        <v>324</v>
      </c>
      <c r="C1673" s="115">
        <v>323.22000000000003</v>
      </c>
      <c r="D1673" s="115">
        <v>320.02</v>
      </c>
      <c r="E1673" s="115">
        <v>321.04000000000002</v>
      </c>
      <c r="F1673" s="115">
        <v>808.05</v>
      </c>
      <c r="G1673">
        <v>23620</v>
      </c>
      <c r="H1673" s="115"/>
      <c r="I1673" s="115"/>
      <c r="L1673" s="169">
        <v>45140</v>
      </c>
      <c r="M1673" s="115">
        <v>323.24</v>
      </c>
      <c r="N1673" s="115">
        <v>323.94</v>
      </c>
      <c r="O1673" s="115">
        <v>320.02</v>
      </c>
      <c r="P1673" s="115">
        <v>321.52</v>
      </c>
      <c r="Q1673" s="115">
        <v>808.1</v>
      </c>
      <c r="R1673">
        <v>1302623</v>
      </c>
    </row>
    <row r="1674" spans="1:18" x14ac:dyDescent="0.25">
      <c r="A1674" s="169">
        <v>45141</v>
      </c>
      <c r="B1674" s="115">
        <v>332.84</v>
      </c>
      <c r="C1674" s="115">
        <v>328.82</v>
      </c>
      <c r="D1674" s="115">
        <v>322</v>
      </c>
      <c r="E1674" s="115">
        <v>323.26</v>
      </c>
      <c r="F1674" s="115">
        <v>822.05</v>
      </c>
      <c r="G1674">
        <v>113329</v>
      </c>
      <c r="H1674" s="115"/>
      <c r="I1674" s="115"/>
      <c r="L1674" s="169">
        <v>45141</v>
      </c>
      <c r="M1674" s="115">
        <v>329.04</v>
      </c>
      <c r="N1674" s="115">
        <v>332.8</v>
      </c>
      <c r="O1674" s="115">
        <v>321.22000000000003</v>
      </c>
      <c r="P1674" s="115">
        <v>324</v>
      </c>
      <c r="Q1674" s="115">
        <v>822.6</v>
      </c>
      <c r="R1674">
        <v>3626281</v>
      </c>
    </row>
    <row r="1675" spans="1:18" x14ac:dyDescent="0.25">
      <c r="A1675" s="169">
        <v>45142</v>
      </c>
      <c r="B1675" s="115">
        <v>335.2</v>
      </c>
      <c r="C1675" s="115">
        <v>329.9</v>
      </c>
      <c r="D1675" s="115">
        <v>326.36</v>
      </c>
      <c r="E1675" s="115">
        <v>335.18</v>
      </c>
      <c r="F1675" s="115">
        <v>824.75</v>
      </c>
      <c r="G1675">
        <v>55882</v>
      </c>
      <c r="H1675" s="115"/>
      <c r="I1675" s="115"/>
      <c r="L1675" s="169">
        <v>45142</v>
      </c>
      <c r="M1675" s="115">
        <v>330.12</v>
      </c>
      <c r="N1675" s="115">
        <v>335.62</v>
      </c>
      <c r="O1675" s="115">
        <v>328.78</v>
      </c>
      <c r="P1675" s="115">
        <v>333.96</v>
      </c>
      <c r="Q1675" s="115">
        <v>825.3</v>
      </c>
      <c r="R1675">
        <v>3281000</v>
      </c>
    </row>
    <row r="1676" spans="1:18" x14ac:dyDescent="0.25">
      <c r="A1676" s="169">
        <v>45145</v>
      </c>
      <c r="B1676" s="115">
        <v>333.56</v>
      </c>
      <c r="C1676" s="115">
        <v>329.42</v>
      </c>
      <c r="D1676" s="115">
        <v>328.1</v>
      </c>
      <c r="E1676" s="115">
        <v>332.78</v>
      </c>
      <c r="F1676" s="115">
        <v>823.55</v>
      </c>
      <c r="G1676">
        <v>29602</v>
      </c>
      <c r="H1676" s="115"/>
      <c r="I1676" s="115"/>
      <c r="L1676" s="169">
        <v>45145</v>
      </c>
      <c r="M1676" s="115">
        <v>329.64</v>
      </c>
      <c r="N1676" s="115">
        <v>333.6</v>
      </c>
      <c r="O1676" s="115">
        <v>328</v>
      </c>
      <c r="P1676" s="115">
        <v>332</v>
      </c>
      <c r="Q1676" s="115">
        <v>824.1</v>
      </c>
      <c r="R1676">
        <v>1564872</v>
      </c>
    </row>
    <row r="1677" spans="1:18" x14ac:dyDescent="0.25">
      <c r="A1677" s="169">
        <v>45146</v>
      </c>
      <c r="B1677" s="115">
        <v>332.38</v>
      </c>
      <c r="C1677" s="115">
        <v>328.02</v>
      </c>
      <c r="D1677" s="115">
        <v>325.82</v>
      </c>
      <c r="E1677" s="115">
        <v>328.02</v>
      </c>
      <c r="F1677" s="115">
        <v>820.05</v>
      </c>
      <c r="G1677">
        <v>29495</v>
      </c>
      <c r="H1677" s="115"/>
      <c r="I1677" s="115"/>
      <c r="L1677" s="169">
        <v>45146</v>
      </c>
      <c r="M1677" s="115">
        <v>328.1</v>
      </c>
      <c r="N1677" s="115">
        <v>332.4</v>
      </c>
      <c r="O1677" s="115">
        <v>325.60000000000002</v>
      </c>
      <c r="P1677" s="115">
        <v>330.32</v>
      </c>
      <c r="Q1677" s="115">
        <v>820.25</v>
      </c>
      <c r="R1677">
        <v>1260415</v>
      </c>
    </row>
    <row r="1678" spans="1:18" x14ac:dyDescent="0.25">
      <c r="A1678" s="169">
        <v>45147</v>
      </c>
      <c r="B1678" s="115">
        <v>332.56</v>
      </c>
      <c r="C1678" s="115">
        <v>329</v>
      </c>
      <c r="D1678" s="115">
        <v>320.8</v>
      </c>
      <c r="E1678" s="115">
        <v>328.38</v>
      </c>
      <c r="F1678" s="115">
        <v>822.5</v>
      </c>
      <c r="G1678">
        <v>7048503</v>
      </c>
      <c r="H1678" s="115"/>
      <c r="I1678" s="115"/>
      <c r="L1678" s="169">
        <v>45147</v>
      </c>
      <c r="M1678" s="115">
        <v>329.28</v>
      </c>
      <c r="N1678" s="115">
        <v>332.72</v>
      </c>
      <c r="O1678" s="115">
        <v>321.06</v>
      </c>
      <c r="P1678" s="115">
        <v>328.2</v>
      </c>
      <c r="Q1678" s="115">
        <v>823.2</v>
      </c>
      <c r="R1678">
        <v>2779124</v>
      </c>
    </row>
    <row r="1679" spans="1:18" x14ac:dyDescent="0.25">
      <c r="A1679" s="169">
        <v>45148</v>
      </c>
      <c r="B1679" s="115">
        <v>331.02</v>
      </c>
      <c r="C1679" s="115">
        <v>327.04000000000002</v>
      </c>
      <c r="D1679" s="115">
        <v>326.33999999999997</v>
      </c>
      <c r="E1679" s="115">
        <v>330.4</v>
      </c>
      <c r="F1679" s="115">
        <v>817.6</v>
      </c>
      <c r="G1679">
        <v>56956</v>
      </c>
      <c r="H1679" s="115"/>
      <c r="I1679" s="115"/>
      <c r="L1679" s="169">
        <v>45148</v>
      </c>
      <c r="M1679" s="115">
        <v>327.39999999999998</v>
      </c>
      <c r="N1679" s="115">
        <v>331.2</v>
      </c>
      <c r="O1679" s="115">
        <v>326.04000000000002</v>
      </c>
      <c r="P1679" s="115">
        <v>330.36</v>
      </c>
      <c r="Q1679" s="115">
        <v>818.5</v>
      </c>
      <c r="R1679">
        <v>1384548</v>
      </c>
    </row>
    <row r="1680" spans="1:18" x14ac:dyDescent="0.25">
      <c r="A1680" s="169">
        <v>45149</v>
      </c>
      <c r="B1680" s="115">
        <v>342</v>
      </c>
      <c r="C1680" s="115">
        <v>339.7</v>
      </c>
      <c r="D1680" s="115">
        <v>326.08</v>
      </c>
      <c r="E1680" s="115">
        <v>326.08</v>
      </c>
      <c r="F1680" s="115">
        <v>849.25</v>
      </c>
      <c r="G1680">
        <v>73523</v>
      </c>
      <c r="H1680" s="115"/>
      <c r="I1680" s="115"/>
      <c r="L1680" s="169">
        <v>45149</v>
      </c>
      <c r="M1680" s="115">
        <v>339.76</v>
      </c>
      <c r="N1680" s="115">
        <v>342</v>
      </c>
      <c r="O1680" s="115">
        <v>328.32</v>
      </c>
      <c r="P1680" s="115">
        <v>328.32</v>
      </c>
      <c r="Q1680" s="115">
        <v>849.4</v>
      </c>
      <c r="R1680">
        <v>3306996</v>
      </c>
    </row>
    <row r="1681" spans="1:18" x14ac:dyDescent="0.25">
      <c r="A1681" s="169">
        <v>45152</v>
      </c>
      <c r="B1681" s="115">
        <v>348.76</v>
      </c>
      <c r="C1681" s="115">
        <v>346.96</v>
      </c>
      <c r="D1681" s="115">
        <v>333.72</v>
      </c>
      <c r="E1681" s="115">
        <v>340</v>
      </c>
      <c r="F1681" s="115">
        <v>867.4</v>
      </c>
      <c r="G1681">
        <v>75373</v>
      </c>
      <c r="H1681" s="115"/>
      <c r="I1681" s="115"/>
      <c r="L1681" s="169">
        <v>45152</v>
      </c>
      <c r="M1681" s="115">
        <v>347.26</v>
      </c>
      <c r="N1681" s="115">
        <v>348.8</v>
      </c>
      <c r="O1681" s="115">
        <v>333.52</v>
      </c>
      <c r="P1681" s="115">
        <v>340.02</v>
      </c>
      <c r="Q1681" s="115">
        <v>868.15</v>
      </c>
      <c r="R1681">
        <v>2376829</v>
      </c>
    </row>
    <row r="1682" spans="1:18" x14ac:dyDescent="0.25">
      <c r="A1682" s="169">
        <v>45154</v>
      </c>
      <c r="B1682" s="115">
        <v>361.36</v>
      </c>
      <c r="C1682" s="115">
        <v>356.18</v>
      </c>
      <c r="D1682" s="115">
        <v>341.68</v>
      </c>
      <c r="E1682" s="115">
        <v>346.4</v>
      </c>
      <c r="F1682" s="115">
        <v>890.45</v>
      </c>
      <c r="G1682">
        <v>67296</v>
      </c>
      <c r="H1682" s="115"/>
      <c r="I1682" s="115"/>
      <c r="L1682" s="169">
        <v>45154</v>
      </c>
      <c r="M1682" s="115">
        <v>356.14</v>
      </c>
      <c r="N1682" s="115">
        <v>361.2</v>
      </c>
      <c r="O1682" s="115">
        <v>342.5</v>
      </c>
      <c r="P1682" s="115">
        <v>347.16</v>
      </c>
      <c r="Q1682" s="115">
        <v>890.35</v>
      </c>
      <c r="R1682">
        <v>3032284</v>
      </c>
    </row>
    <row r="1683" spans="1:18" x14ac:dyDescent="0.25">
      <c r="A1683" s="169">
        <v>45155</v>
      </c>
      <c r="B1683" s="115">
        <v>373.8</v>
      </c>
      <c r="C1683" s="115">
        <v>356.66</v>
      </c>
      <c r="D1683" s="115">
        <v>349.64</v>
      </c>
      <c r="E1683" s="115">
        <v>358.42</v>
      </c>
      <c r="F1683" s="115">
        <v>891.65</v>
      </c>
      <c r="G1683">
        <v>306624</v>
      </c>
      <c r="H1683" s="115"/>
      <c r="I1683" s="115"/>
      <c r="L1683" s="169">
        <v>45155</v>
      </c>
      <c r="M1683" s="115">
        <v>357.46</v>
      </c>
      <c r="N1683" s="115">
        <v>373.86</v>
      </c>
      <c r="O1683" s="115">
        <v>349.88</v>
      </c>
      <c r="P1683" s="115">
        <v>359.52</v>
      </c>
      <c r="Q1683" s="115">
        <v>893.65</v>
      </c>
      <c r="R1683">
        <v>4035945</v>
      </c>
    </row>
    <row r="1684" spans="1:18" x14ac:dyDescent="0.25">
      <c r="A1684" s="169">
        <v>45156</v>
      </c>
      <c r="B1684" s="115">
        <v>366</v>
      </c>
      <c r="C1684" s="115">
        <v>359.64</v>
      </c>
      <c r="D1684" s="115">
        <v>355.52</v>
      </c>
      <c r="E1684" s="115">
        <v>357.86</v>
      </c>
      <c r="F1684" s="115">
        <v>899.1</v>
      </c>
      <c r="G1684">
        <v>61372</v>
      </c>
      <c r="H1684" s="115"/>
      <c r="I1684" s="115"/>
      <c r="L1684" s="169">
        <v>45156</v>
      </c>
      <c r="M1684" s="115">
        <v>359.7</v>
      </c>
      <c r="N1684" s="115">
        <v>366</v>
      </c>
      <c r="O1684" s="115">
        <v>354.84</v>
      </c>
      <c r="P1684" s="115">
        <v>356</v>
      </c>
      <c r="Q1684" s="115">
        <v>899.25</v>
      </c>
      <c r="R1684">
        <v>2529422</v>
      </c>
    </row>
    <row r="1685" spans="1:18" x14ac:dyDescent="0.25">
      <c r="A1685" s="169">
        <v>45159</v>
      </c>
      <c r="B1685" s="115">
        <v>364.78</v>
      </c>
      <c r="C1685" s="115">
        <v>359.4</v>
      </c>
      <c r="D1685" s="115">
        <v>356.4</v>
      </c>
      <c r="E1685" s="115">
        <v>360.26</v>
      </c>
      <c r="F1685" s="115">
        <v>898.5</v>
      </c>
      <c r="G1685">
        <v>29871</v>
      </c>
      <c r="H1685" s="115"/>
      <c r="I1685" s="115"/>
      <c r="L1685" s="169">
        <v>45159</v>
      </c>
      <c r="M1685" s="115">
        <v>359.72</v>
      </c>
      <c r="N1685" s="115">
        <v>364.8</v>
      </c>
      <c r="O1685" s="115">
        <v>356.08</v>
      </c>
      <c r="P1685" s="115">
        <v>359.84</v>
      </c>
      <c r="Q1685" s="115">
        <v>899.3</v>
      </c>
      <c r="R1685">
        <v>1211362</v>
      </c>
    </row>
    <row r="1686" spans="1:18" x14ac:dyDescent="0.25">
      <c r="A1686" s="169">
        <v>45160</v>
      </c>
      <c r="B1686" s="115">
        <v>367.98</v>
      </c>
      <c r="C1686" s="115">
        <v>362.5</v>
      </c>
      <c r="D1686" s="115">
        <v>359.8</v>
      </c>
      <c r="E1686" s="115">
        <v>361.58</v>
      </c>
      <c r="F1686" s="115">
        <v>906.25</v>
      </c>
      <c r="G1686">
        <v>41111</v>
      </c>
      <c r="H1686" s="115"/>
      <c r="I1686" s="115"/>
      <c r="L1686" s="169">
        <v>45160</v>
      </c>
      <c r="M1686" s="115">
        <v>362.4</v>
      </c>
      <c r="N1686" s="115">
        <v>368</v>
      </c>
      <c r="O1686" s="115">
        <v>359.72</v>
      </c>
      <c r="P1686" s="115">
        <v>360</v>
      </c>
      <c r="Q1686" s="115">
        <v>906</v>
      </c>
      <c r="R1686">
        <v>1428858</v>
      </c>
    </row>
    <row r="1687" spans="1:18" x14ac:dyDescent="0.25">
      <c r="A1687" s="169">
        <v>45161</v>
      </c>
      <c r="B1687" s="115">
        <v>366.78</v>
      </c>
      <c r="C1687" s="115">
        <v>354.62</v>
      </c>
      <c r="D1687" s="115">
        <v>352.22</v>
      </c>
      <c r="E1687" s="115">
        <v>366.78</v>
      </c>
      <c r="F1687" s="115">
        <v>886.55</v>
      </c>
      <c r="G1687">
        <v>125133</v>
      </c>
      <c r="H1687" s="115"/>
      <c r="I1687" s="115"/>
      <c r="L1687" s="169">
        <v>45161</v>
      </c>
      <c r="M1687" s="115">
        <v>354.9</v>
      </c>
      <c r="N1687" s="115">
        <v>364.68</v>
      </c>
      <c r="O1687" s="115">
        <v>352.08</v>
      </c>
      <c r="P1687" s="115">
        <v>363.56</v>
      </c>
      <c r="Q1687" s="115">
        <v>887.25</v>
      </c>
      <c r="R1687">
        <v>1478508</v>
      </c>
    </row>
    <row r="1688" spans="1:18" x14ac:dyDescent="0.25">
      <c r="A1688" s="169">
        <v>45162</v>
      </c>
      <c r="B1688" s="115">
        <v>357.16</v>
      </c>
      <c r="C1688" s="115">
        <v>353.46</v>
      </c>
      <c r="D1688" s="115">
        <v>350.32</v>
      </c>
      <c r="E1688" s="115">
        <v>355.6</v>
      </c>
      <c r="F1688" s="115">
        <v>883.65</v>
      </c>
      <c r="G1688">
        <v>64979</v>
      </c>
      <c r="H1688" s="115"/>
      <c r="I1688" s="115"/>
      <c r="L1688" s="169">
        <v>45162</v>
      </c>
      <c r="M1688" s="115">
        <v>353.92</v>
      </c>
      <c r="N1688" s="115">
        <v>357.26</v>
      </c>
      <c r="O1688" s="115">
        <v>350.12</v>
      </c>
      <c r="P1688" s="115">
        <v>355.2</v>
      </c>
      <c r="Q1688" s="115">
        <v>884.8</v>
      </c>
      <c r="R1688">
        <v>1334248</v>
      </c>
    </row>
    <row r="1689" spans="1:18" x14ac:dyDescent="0.25">
      <c r="A1689" s="169">
        <v>45163</v>
      </c>
      <c r="B1689" s="115">
        <v>355.98</v>
      </c>
      <c r="C1689" s="115">
        <v>350.16</v>
      </c>
      <c r="D1689" s="115">
        <v>346.02</v>
      </c>
      <c r="E1689" s="115">
        <v>355.98</v>
      </c>
      <c r="F1689" s="115">
        <v>875.4</v>
      </c>
      <c r="G1689">
        <v>57680</v>
      </c>
      <c r="H1689" s="115"/>
      <c r="I1689" s="115"/>
      <c r="L1689" s="169">
        <v>45163</v>
      </c>
      <c r="M1689" s="115">
        <v>349.54</v>
      </c>
      <c r="N1689" s="115">
        <v>353.92</v>
      </c>
      <c r="O1689" s="115">
        <v>346.1</v>
      </c>
      <c r="P1689" s="115">
        <v>353.7</v>
      </c>
      <c r="Q1689" s="115">
        <v>873.85</v>
      </c>
      <c r="R1689">
        <v>1301554</v>
      </c>
    </row>
    <row r="1690" spans="1:18" x14ac:dyDescent="0.25">
      <c r="A1690" s="169">
        <v>45166</v>
      </c>
      <c r="B1690" s="115">
        <v>350.74</v>
      </c>
      <c r="C1690" s="115">
        <v>349.84</v>
      </c>
      <c r="D1690" s="115">
        <v>341</v>
      </c>
      <c r="E1690" s="115">
        <v>350</v>
      </c>
      <c r="F1690" s="115">
        <v>874.6</v>
      </c>
      <c r="G1690">
        <v>1917636</v>
      </c>
      <c r="H1690" s="115"/>
      <c r="I1690" s="115"/>
      <c r="L1690" s="169">
        <v>45166</v>
      </c>
      <c r="M1690" s="115">
        <v>349.8</v>
      </c>
      <c r="N1690" s="115">
        <v>350.96</v>
      </c>
      <c r="O1690" s="115">
        <v>343.62</v>
      </c>
      <c r="P1690" s="115">
        <v>349.94</v>
      </c>
      <c r="Q1690" s="115">
        <v>874.5</v>
      </c>
      <c r="R1690">
        <v>1054338</v>
      </c>
    </row>
    <row r="1691" spans="1:18" x14ac:dyDescent="0.25">
      <c r="A1691" s="169">
        <v>45167</v>
      </c>
      <c r="B1691" s="115">
        <v>357.6</v>
      </c>
      <c r="C1691" s="115">
        <v>355.36</v>
      </c>
      <c r="D1691" s="115">
        <v>350.22</v>
      </c>
      <c r="E1691" s="115">
        <v>350.8</v>
      </c>
      <c r="F1691" s="115">
        <v>888.4</v>
      </c>
      <c r="G1691">
        <v>81445</v>
      </c>
      <c r="H1691" s="115"/>
      <c r="I1691" s="115"/>
      <c r="L1691" s="169">
        <v>45167</v>
      </c>
      <c r="M1691" s="115">
        <v>355.58</v>
      </c>
      <c r="N1691" s="115">
        <v>357.6</v>
      </c>
      <c r="O1691" s="115">
        <v>350.02</v>
      </c>
      <c r="P1691" s="115">
        <v>351.18</v>
      </c>
      <c r="Q1691" s="115">
        <v>888.95</v>
      </c>
      <c r="R1691">
        <v>1133167</v>
      </c>
    </row>
    <row r="1692" spans="1:18" x14ac:dyDescent="0.25">
      <c r="A1692" s="169">
        <v>45168</v>
      </c>
      <c r="B1692" s="115">
        <v>361.36</v>
      </c>
      <c r="C1692" s="115">
        <v>360.2</v>
      </c>
      <c r="D1692" s="115">
        <v>353.54</v>
      </c>
      <c r="E1692" s="115">
        <v>355.22</v>
      </c>
      <c r="F1692" s="115">
        <v>900.5</v>
      </c>
      <c r="G1692">
        <v>45174</v>
      </c>
      <c r="H1692" s="115"/>
      <c r="I1692" s="115"/>
      <c r="L1692" s="169">
        <v>45168</v>
      </c>
      <c r="M1692" s="115">
        <v>360.22</v>
      </c>
      <c r="N1692" s="115">
        <v>361.32</v>
      </c>
      <c r="O1692" s="115">
        <v>353.3</v>
      </c>
      <c r="P1692" s="115">
        <v>356.4</v>
      </c>
      <c r="Q1692" s="115">
        <v>900.55</v>
      </c>
      <c r="R1692">
        <v>1073236</v>
      </c>
    </row>
    <row r="1693" spans="1:18" x14ac:dyDescent="0.25">
      <c r="A1693" s="169">
        <v>45169</v>
      </c>
      <c r="B1693" s="115">
        <v>363.5</v>
      </c>
      <c r="C1693" s="115">
        <v>359.9</v>
      </c>
      <c r="D1693" s="115">
        <v>355.32</v>
      </c>
      <c r="E1693" s="115">
        <v>360.02</v>
      </c>
      <c r="F1693" s="115">
        <v>899.75</v>
      </c>
      <c r="G1693">
        <v>48889</v>
      </c>
      <c r="H1693" s="115"/>
      <c r="I1693" s="115"/>
      <c r="L1693" s="169">
        <v>45169</v>
      </c>
      <c r="M1693" s="115">
        <v>359.8</v>
      </c>
      <c r="N1693" s="115">
        <v>363.6</v>
      </c>
      <c r="O1693" s="115">
        <v>355.34</v>
      </c>
      <c r="P1693" s="115">
        <v>361.54</v>
      </c>
      <c r="Q1693" s="115">
        <v>899.5</v>
      </c>
      <c r="R1693">
        <v>2172164</v>
      </c>
    </row>
    <row r="1694" spans="1:18" x14ac:dyDescent="0.25">
      <c r="A1694" s="169">
        <v>45170</v>
      </c>
      <c r="B1694" s="115">
        <v>365.2</v>
      </c>
      <c r="C1694" s="115">
        <v>364.14</v>
      </c>
      <c r="D1694" s="115">
        <v>359.2</v>
      </c>
      <c r="E1694" s="115">
        <v>363.24</v>
      </c>
      <c r="F1694" s="115">
        <v>910.35</v>
      </c>
      <c r="G1694">
        <v>160035</v>
      </c>
      <c r="H1694" s="115"/>
      <c r="I1694" s="115"/>
      <c r="L1694" s="169">
        <v>45170</v>
      </c>
      <c r="M1694" s="115">
        <v>364.18</v>
      </c>
      <c r="N1694" s="115">
        <v>365.28</v>
      </c>
      <c r="O1694" s="115">
        <v>359.04</v>
      </c>
      <c r="P1694" s="115">
        <v>360.8</v>
      </c>
      <c r="Q1694" s="115">
        <v>910.45</v>
      </c>
      <c r="R1694">
        <v>973530</v>
      </c>
    </row>
    <row r="1695" spans="1:18" x14ac:dyDescent="0.25">
      <c r="A1695" s="169">
        <v>45173</v>
      </c>
      <c r="B1695" s="115">
        <v>370.28</v>
      </c>
      <c r="C1695" s="115">
        <v>368.98</v>
      </c>
      <c r="D1695" s="115">
        <v>365.14</v>
      </c>
      <c r="E1695" s="115">
        <v>365.14</v>
      </c>
      <c r="F1695" s="115">
        <v>922.45</v>
      </c>
      <c r="G1695">
        <v>32198</v>
      </c>
      <c r="H1695" s="115"/>
      <c r="I1695" s="115"/>
      <c r="L1695" s="169">
        <v>45173</v>
      </c>
      <c r="M1695" s="115">
        <v>369.22</v>
      </c>
      <c r="N1695" s="115">
        <v>370.4</v>
      </c>
      <c r="O1695" s="115">
        <v>365.22</v>
      </c>
      <c r="P1695" s="115">
        <v>367.18</v>
      </c>
      <c r="Q1695" s="115">
        <v>923.05</v>
      </c>
      <c r="R1695">
        <v>1713949</v>
      </c>
    </row>
    <row r="1696" spans="1:18" x14ac:dyDescent="0.25">
      <c r="A1696" s="169">
        <v>45174</v>
      </c>
      <c r="B1696" s="115">
        <v>376.64</v>
      </c>
      <c r="C1696" s="115">
        <v>374.42</v>
      </c>
      <c r="D1696" s="115">
        <v>367.46</v>
      </c>
      <c r="E1696" s="115">
        <v>371.98</v>
      </c>
      <c r="F1696" s="115">
        <v>936.05</v>
      </c>
      <c r="G1696">
        <v>33598</v>
      </c>
      <c r="H1696" s="115"/>
      <c r="I1696" s="115"/>
      <c r="L1696" s="169">
        <v>45174</v>
      </c>
      <c r="M1696" s="115">
        <v>374.32</v>
      </c>
      <c r="N1696" s="115">
        <v>376.8</v>
      </c>
      <c r="O1696" s="115">
        <v>367.32</v>
      </c>
      <c r="P1696" s="115">
        <v>370.98</v>
      </c>
      <c r="Q1696" s="115">
        <v>935.8</v>
      </c>
      <c r="R1696">
        <v>1412612</v>
      </c>
    </row>
    <row r="1697" spans="1:18" x14ac:dyDescent="0.25">
      <c r="A1697" s="169">
        <v>45175</v>
      </c>
      <c r="B1697" s="115">
        <v>374.78</v>
      </c>
      <c r="C1697" s="115">
        <v>370.14</v>
      </c>
      <c r="D1697" s="115">
        <v>363.56</v>
      </c>
      <c r="E1697" s="115">
        <v>374.78</v>
      </c>
      <c r="F1697" s="115">
        <v>925.35</v>
      </c>
      <c r="G1697">
        <v>93778</v>
      </c>
      <c r="H1697" s="115"/>
      <c r="I1697" s="115"/>
      <c r="L1697" s="169">
        <v>45175</v>
      </c>
      <c r="M1697" s="115">
        <v>370.2</v>
      </c>
      <c r="N1697" s="115">
        <v>374.9</v>
      </c>
      <c r="O1697" s="115">
        <v>362.82</v>
      </c>
      <c r="P1697" s="115">
        <v>374.32</v>
      </c>
      <c r="Q1697" s="115">
        <v>925.5</v>
      </c>
      <c r="R1697">
        <v>1148148</v>
      </c>
    </row>
    <row r="1698" spans="1:18" x14ac:dyDescent="0.25">
      <c r="A1698" s="169">
        <v>45176</v>
      </c>
      <c r="B1698" s="115">
        <v>375.6</v>
      </c>
      <c r="C1698" s="115">
        <v>368.1</v>
      </c>
      <c r="D1698" s="115">
        <v>367.2</v>
      </c>
      <c r="E1698" s="115">
        <v>370.2</v>
      </c>
      <c r="F1698" s="115">
        <v>920.25</v>
      </c>
      <c r="G1698">
        <v>31555</v>
      </c>
      <c r="H1698" s="115"/>
      <c r="I1698" s="115"/>
      <c r="L1698" s="169">
        <v>45176</v>
      </c>
      <c r="M1698" s="115">
        <v>368.2</v>
      </c>
      <c r="N1698" s="115">
        <v>375.98</v>
      </c>
      <c r="O1698" s="115">
        <v>366.8</v>
      </c>
      <c r="P1698" s="115">
        <v>370.16</v>
      </c>
      <c r="Q1698" s="115">
        <v>920.5</v>
      </c>
      <c r="R1698">
        <v>1207135</v>
      </c>
    </row>
    <row r="1699" spans="1:18" x14ac:dyDescent="0.25">
      <c r="A1699" s="169">
        <v>45177</v>
      </c>
      <c r="B1699" s="115">
        <v>369.1</v>
      </c>
      <c r="C1699" s="115">
        <v>363.94</v>
      </c>
      <c r="D1699" s="115">
        <v>362.08</v>
      </c>
      <c r="E1699" s="115">
        <v>367.4</v>
      </c>
      <c r="F1699" s="115">
        <v>909.85</v>
      </c>
      <c r="G1699">
        <v>45467</v>
      </c>
      <c r="H1699" s="115"/>
      <c r="I1699" s="115"/>
      <c r="L1699" s="169">
        <v>45177</v>
      </c>
      <c r="M1699" s="115">
        <v>363.96</v>
      </c>
      <c r="N1699" s="115">
        <v>369.44</v>
      </c>
      <c r="O1699" s="115">
        <v>362.02</v>
      </c>
      <c r="P1699" s="115">
        <v>368.2</v>
      </c>
      <c r="Q1699" s="115">
        <v>909.9</v>
      </c>
      <c r="R1699">
        <v>1788138</v>
      </c>
    </row>
    <row r="1700" spans="1:18" x14ac:dyDescent="0.25">
      <c r="A1700" s="169">
        <v>45180</v>
      </c>
      <c r="B1700" s="115">
        <v>368.6</v>
      </c>
      <c r="C1700" s="115">
        <v>367.62</v>
      </c>
      <c r="D1700" s="115">
        <v>362.4</v>
      </c>
      <c r="E1700" s="115">
        <v>366.02</v>
      </c>
      <c r="F1700" s="115">
        <v>919.05</v>
      </c>
      <c r="G1700">
        <v>45653</v>
      </c>
      <c r="H1700" s="115"/>
      <c r="I1700" s="115"/>
      <c r="L1700" s="169">
        <v>45180</v>
      </c>
      <c r="M1700" s="115">
        <v>367.84</v>
      </c>
      <c r="N1700" s="115">
        <v>368.8</v>
      </c>
      <c r="O1700" s="115">
        <v>362.36</v>
      </c>
      <c r="P1700" s="115">
        <v>367.18</v>
      </c>
      <c r="Q1700" s="115">
        <v>919.6</v>
      </c>
      <c r="R1700">
        <v>1015039</v>
      </c>
    </row>
    <row r="1701" spans="1:18" x14ac:dyDescent="0.25">
      <c r="A1701" s="169">
        <v>45181</v>
      </c>
      <c r="B1701" s="115">
        <v>372.32</v>
      </c>
      <c r="C1701" s="115">
        <v>367.6</v>
      </c>
      <c r="D1701" s="115">
        <v>362.46</v>
      </c>
      <c r="E1701" s="115">
        <v>370.28</v>
      </c>
      <c r="F1701" s="115">
        <v>919</v>
      </c>
      <c r="G1701">
        <v>47226</v>
      </c>
      <c r="H1701" s="115"/>
      <c r="I1701" s="115"/>
      <c r="L1701" s="169">
        <v>45181</v>
      </c>
      <c r="M1701" s="115">
        <v>367.98</v>
      </c>
      <c r="N1701" s="115">
        <v>372.4</v>
      </c>
      <c r="O1701" s="115">
        <v>362.62</v>
      </c>
      <c r="P1701" s="115">
        <v>370.72</v>
      </c>
      <c r="Q1701" s="115">
        <v>919.95</v>
      </c>
      <c r="R1701">
        <v>2431229</v>
      </c>
    </row>
    <row r="1702" spans="1:18" x14ac:dyDescent="0.25">
      <c r="A1702" s="169">
        <v>45182</v>
      </c>
      <c r="B1702" s="115">
        <v>368.9</v>
      </c>
      <c r="C1702" s="115">
        <v>364.94</v>
      </c>
      <c r="D1702" s="115">
        <v>361.36</v>
      </c>
      <c r="E1702" s="115">
        <v>365.24</v>
      </c>
      <c r="F1702" s="115">
        <v>912.35</v>
      </c>
      <c r="G1702">
        <v>27290</v>
      </c>
      <c r="H1702" s="115"/>
      <c r="I1702" s="115"/>
      <c r="L1702" s="169">
        <v>45182</v>
      </c>
      <c r="M1702" s="115">
        <v>365.32</v>
      </c>
      <c r="N1702" s="115">
        <v>369.38</v>
      </c>
      <c r="O1702" s="115">
        <v>361.22</v>
      </c>
      <c r="P1702" s="115">
        <v>367.98</v>
      </c>
      <c r="Q1702" s="115">
        <v>913.3</v>
      </c>
      <c r="R1702">
        <v>1148032</v>
      </c>
    </row>
    <row r="1703" spans="1:18" x14ac:dyDescent="0.25">
      <c r="A1703" s="169">
        <v>45183</v>
      </c>
      <c r="B1703" s="115">
        <v>369.08</v>
      </c>
      <c r="C1703" s="115">
        <v>365.82</v>
      </c>
      <c r="D1703" s="115">
        <v>364.66</v>
      </c>
      <c r="E1703" s="115">
        <v>369.08</v>
      </c>
      <c r="F1703" s="115">
        <v>914.55</v>
      </c>
      <c r="G1703">
        <v>16056</v>
      </c>
      <c r="H1703" s="115"/>
      <c r="I1703" s="115"/>
      <c r="L1703" s="169">
        <v>45183</v>
      </c>
      <c r="M1703" s="115">
        <v>365.76</v>
      </c>
      <c r="N1703" s="115">
        <v>368.38</v>
      </c>
      <c r="O1703" s="115">
        <v>364.28</v>
      </c>
      <c r="P1703" s="115">
        <v>366.8</v>
      </c>
      <c r="Q1703" s="115">
        <v>914.4</v>
      </c>
      <c r="R1703">
        <v>788084</v>
      </c>
    </row>
    <row r="1704" spans="1:18" x14ac:dyDescent="0.25">
      <c r="A1704" s="169">
        <v>45184</v>
      </c>
      <c r="B1704" s="115">
        <v>370.76</v>
      </c>
      <c r="C1704" s="115">
        <v>366.46</v>
      </c>
      <c r="D1704" s="115">
        <v>365.2</v>
      </c>
      <c r="E1704" s="115">
        <v>366.02</v>
      </c>
      <c r="F1704" s="115">
        <v>916.15</v>
      </c>
      <c r="G1704">
        <v>49220</v>
      </c>
      <c r="H1704" s="115"/>
      <c r="I1704" s="115"/>
      <c r="L1704" s="169">
        <v>45184</v>
      </c>
      <c r="M1704" s="115">
        <v>366.26</v>
      </c>
      <c r="N1704" s="115">
        <v>370.76</v>
      </c>
      <c r="O1704" s="115">
        <v>365.76</v>
      </c>
      <c r="P1704" s="115">
        <v>366.5</v>
      </c>
      <c r="Q1704" s="115">
        <v>915.65</v>
      </c>
      <c r="R1704">
        <v>779234</v>
      </c>
    </row>
    <row r="1705" spans="1:18" x14ac:dyDescent="0.25">
      <c r="A1705" s="169">
        <v>45187</v>
      </c>
      <c r="B1705" s="115">
        <v>368</v>
      </c>
      <c r="C1705" s="115">
        <v>364.88</v>
      </c>
      <c r="D1705" s="115">
        <v>363.2</v>
      </c>
      <c r="E1705" s="115">
        <v>365.22</v>
      </c>
      <c r="F1705" s="115">
        <v>912.2</v>
      </c>
      <c r="G1705">
        <v>45718</v>
      </c>
      <c r="H1705" s="115"/>
      <c r="I1705" s="115"/>
      <c r="L1705" s="169">
        <v>45187</v>
      </c>
      <c r="M1705" s="115">
        <v>364.84</v>
      </c>
      <c r="N1705" s="115">
        <v>368</v>
      </c>
      <c r="O1705" s="115">
        <v>363.22</v>
      </c>
      <c r="P1705" s="115">
        <v>366.86</v>
      </c>
      <c r="Q1705" s="115">
        <v>912.1</v>
      </c>
      <c r="R1705">
        <v>1172282</v>
      </c>
    </row>
    <row r="1706" spans="1:18" x14ac:dyDescent="0.25">
      <c r="A1706" s="169">
        <v>45189</v>
      </c>
      <c r="B1706" s="115">
        <v>366.38</v>
      </c>
      <c r="C1706" s="115">
        <v>362</v>
      </c>
      <c r="D1706" s="115">
        <v>360.02</v>
      </c>
      <c r="E1706" s="115">
        <v>364</v>
      </c>
      <c r="F1706" s="115">
        <v>905</v>
      </c>
      <c r="G1706">
        <v>86714</v>
      </c>
      <c r="H1706" s="115"/>
      <c r="I1706" s="115"/>
      <c r="L1706" s="169">
        <v>45189</v>
      </c>
      <c r="M1706" s="115">
        <v>361.86</v>
      </c>
      <c r="N1706" s="115">
        <v>366.4</v>
      </c>
      <c r="O1706" s="115">
        <v>360.14</v>
      </c>
      <c r="P1706" s="115">
        <v>363.94</v>
      </c>
      <c r="Q1706" s="115">
        <v>904.65</v>
      </c>
      <c r="R1706">
        <v>1283808</v>
      </c>
    </row>
    <row r="1707" spans="1:18" x14ac:dyDescent="0.25">
      <c r="A1707" s="169">
        <v>45190</v>
      </c>
      <c r="B1707" s="115">
        <v>366.8</v>
      </c>
      <c r="C1707" s="115">
        <v>365.88</v>
      </c>
      <c r="D1707" s="115">
        <v>356.48</v>
      </c>
      <c r="E1707" s="115">
        <v>361.22</v>
      </c>
      <c r="F1707" s="115">
        <v>914.7</v>
      </c>
      <c r="G1707">
        <v>85454</v>
      </c>
      <c r="H1707" s="115"/>
      <c r="I1707" s="115"/>
      <c r="L1707" s="169">
        <v>45190</v>
      </c>
      <c r="M1707" s="115">
        <v>365.8</v>
      </c>
      <c r="N1707" s="115">
        <v>366.8</v>
      </c>
      <c r="O1707" s="115">
        <v>356.72</v>
      </c>
      <c r="P1707" s="115">
        <v>362.46</v>
      </c>
      <c r="Q1707" s="115">
        <v>914.5</v>
      </c>
      <c r="R1707">
        <v>1114688</v>
      </c>
    </row>
    <row r="1708" spans="1:18" x14ac:dyDescent="0.25">
      <c r="A1708" s="169">
        <v>45191</v>
      </c>
      <c r="B1708" s="115">
        <v>368.02</v>
      </c>
      <c r="C1708" s="115">
        <v>367.24</v>
      </c>
      <c r="D1708" s="115">
        <v>362.62</v>
      </c>
      <c r="E1708" s="115">
        <v>364.44</v>
      </c>
      <c r="F1708" s="115">
        <v>918.1</v>
      </c>
      <c r="G1708">
        <v>69666</v>
      </c>
      <c r="H1708" s="115"/>
      <c r="I1708" s="115"/>
      <c r="L1708" s="169">
        <v>45191</v>
      </c>
      <c r="M1708" s="115">
        <v>367.3</v>
      </c>
      <c r="N1708" s="115">
        <v>368.22</v>
      </c>
      <c r="O1708" s="115">
        <v>362.54</v>
      </c>
      <c r="P1708" s="115">
        <v>365.8</v>
      </c>
      <c r="Q1708" s="115">
        <v>918.25</v>
      </c>
      <c r="R1708">
        <v>1478798</v>
      </c>
    </row>
    <row r="1709" spans="1:18" x14ac:dyDescent="0.25">
      <c r="A1709" s="169">
        <v>45194</v>
      </c>
      <c r="B1709" s="115">
        <v>371.84</v>
      </c>
      <c r="C1709" s="115">
        <v>369.7</v>
      </c>
      <c r="D1709" s="115">
        <v>364.06</v>
      </c>
      <c r="E1709" s="115">
        <v>367.18</v>
      </c>
      <c r="F1709" s="115">
        <v>924.25</v>
      </c>
      <c r="G1709">
        <v>25462</v>
      </c>
      <c r="H1709" s="115"/>
      <c r="I1709" s="115"/>
      <c r="L1709" s="169">
        <v>45194</v>
      </c>
      <c r="M1709" s="115">
        <v>370.4</v>
      </c>
      <c r="N1709" s="115">
        <v>371.8</v>
      </c>
      <c r="O1709" s="115">
        <v>364.08</v>
      </c>
      <c r="P1709" s="115">
        <v>366.8</v>
      </c>
      <c r="Q1709" s="115">
        <v>926</v>
      </c>
      <c r="R1709">
        <v>1190495</v>
      </c>
    </row>
    <row r="1710" spans="1:18" x14ac:dyDescent="0.25">
      <c r="A1710" s="169">
        <v>45195</v>
      </c>
      <c r="B1710" s="115">
        <v>390</v>
      </c>
      <c r="C1710" s="115">
        <v>386.84</v>
      </c>
      <c r="D1710" s="115">
        <v>371.08</v>
      </c>
      <c r="E1710" s="115">
        <v>373.98</v>
      </c>
      <c r="F1710" s="115">
        <v>967.1</v>
      </c>
      <c r="G1710">
        <v>95550</v>
      </c>
      <c r="H1710" s="115"/>
      <c r="I1710" s="115"/>
      <c r="L1710" s="169">
        <v>45195</v>
      </c>
      <c r="M1710" s="115">
        <v>387.02</v>
      </c>
      <c r="N1710" s="115">
        <v>389.96</v>
      </c>
      <c r="O1710" s="115">
        <v>370.86</v>
      </c>
      <c r="P1710" s="115">
        <v>372.92</v>
      </c>
      <c r="Q1710" s="115">
        <v>967.55</v>
      </c>
      <c r="R1710">
        <v>4971977</v>
      </c>
    </row>
    <row r="1711" spans="1:18" x14ac:dyDescent="0.25">
      <c r="A1711" s="169">
        <v>45196</v>
      </c>
      <c r="B1711" s="115">
        <v>389.82</v>
      </c>
      <c r="C1711" s="115">
        <v>386.84</v>
      </c>
      <c r="D1711" s="115">
        <v>383.46</v>
      </c>
      <c r="E1711" s="115">
        <v>389.04</v>
      </c>
      <c r="F1711" s="115">
        <v>967.1</v>
      </c>
      <c r="G1711">
        <v>42258</v>
      </c>
      <c r="H1711" s="115"/>
      <c r="I1711" s="115"/>
      <c r="L1711" s="169">
        <v>45196</v>
      </c>
      <c r="M1711" s="115">
        <v>386.84</v>
      </c>
      <c r="N1711" s="115">
        <v>389.78</v>
      </c>
      <c r="O1711" s="115">
        <v>383.26</v>
      </c>
      <c r="P1711" s="115">
        <v>387.44</v>
      </c>
      <c r="Q1711" s="115">
        <v>967.1</v>
      </c>
      <c r="R1711">
        <v>1927748</v>
      </c>
    </row>
    <row r="1712" spans="1:18" x14ac:dyDescent="0.25">
      <c r="A1712" s="169">
        <v>45197</v>
      </c>
      <c r="B1712" s="115">
        <v>389.98</v>
      </c>
      <c r="C1712" s="115">
        <v>378.34</v>
      </c>
      <c r="D1712" s="115">
        <v>376.9</v>
      </c>
      <c r="E1712" s="115">
        <v>389.58</v>
      </c>
      <c r="F1712" s="115">
        <v>945.85</v>
      </c>
      <c r="G1712">
        <v>90479</v>
      </c>
      <c r="H1712" s="115"/>
      <c r="I1712" s="115"/>
      <c r="L1712" s="169">
        <v>45197</v>
      </c>
      <c r="M1712" s="115">
        <v>378.36</v>
      </c>
      <c r="N1712" s="115">
        <v>389.9</v>
      </c>
      <c r="O1712" s="115">
        <v>376.94</v>
      </c>
      <c r="P1712" s="115">
        <v>389.12</v>
      </c>
      <c r="Q1712" s="115">
        <v>945.9</v>
      </c>
      <c r="R1712">
        <v>1086819</v>
      </c>
    </row>
    <row r="1713" spans="1:18" x14ac:dyDescent="0.25">
      <c r="A1713" s="169">
        <v>45198</v>
      </c>
      <c r="B1713" s="115">
        <v>391.66</v>
      </c>
      <c r="C1713" s="115">
        <v>378.44</v>
      </c>
      <c r="D1713" s="115">
        <v>375.22</v>
      </c>
      <c r="E1713" s="115">
        <v>379.58</v>
      </c>
      <c r="F1713" s="115">
        <v>946.1</v>
      </c>
      <c r="G1713">
        <v>87781</v>
      </c>
      <c r="H1713" s="115"/>
      <c r="I1713" s="115"/>
      <c r="L1713" s="169">
        <v>45198</v>
      </c>
      <c r="M1713" s="115">
        <v>378.28</v>
      </c>
      <c r="N1713" s="115">
        <v>391.6</v>
      </c>
      <c r="O1713" s="115">
        <v>375.22</v>
      </c>
      <c r="P1713" s="115">
        <v>378.64</v>
      </c>
      <c r="Q1713" s="115">
        <v>945.7</v>
      </c>
      <c r="R1713">
        <v>2440479</v>
      </c>
    </row>
    <row r="1714" spans="1:18" x14ac:dyDescent="0.25">
      <c r="A1714" s="169">
        <v>45202</v>
      </c>
      <c r="B1714" s="115">
        <v>379.98</v>
      </c>
      <c r="C1714" s="115">
        <v>371.5</v>
      </c>
      <c r="D1714" s="115">
        <v>363.2</v>
      </c>
      <c r="E1714" s="115">
        <v>379.98</v>
      </c>
      <c r="F1714" s="115">
        <v>928.75</v>
      </c>
      <c r="G1714">
        <v>113287</v>
      </c>
      <c r="H1714" s="115"/>
      <c r="I1714" s="115"/>
      <c r="L1714" s="169">
        <v>45202</v>
      </c>
      <c r="M1714" s="115">
        <v>371.32</v>
      </c>
      <c r="N1714" s="115">
        <v>378.78</v>
      </c>
      <c r="O1714" s="115">
        <v>363.22</v>
      </c>
      <c r="P1714" s="115">
        <v>378.72</v>
      </c>
      <c r="Q1714" s="115">
        <v>928.3</v>
      </c>
      <c r="R1714">
        <v>2331492</v>
      </c>
    </row>
    <row r="1715" spans="1:18" x14ac:dyDescent="0.25">
      <c r="A1715" s="169">
        <v>45203</v>
      </c>
      <c r="B1715" s="115">
        <v>371.48</v>
      </c>
      <c r="C1715" s="115">
        <v>367.96</v>
      </c>
      <c r="D1715" s="115">
        <v>363.62</v>
      </c>
      <c r="E1715" s="115">
        <v>371.48</v>
      </c>
      <c r="F1715" s="115">
        <v>919.9</v>
      </c>
      <c r="G1715">
        <v>100361</v>
      </c>
      <c r="H1715" s="115"/>
      <c r="I1715" s="115"/>
      <c r="L1715" s="169">
        <v>45203</v>
      </c>
      <c r="M1715" s="115">
        <v>368.18</v>
      </c>
      <c r="N1715" s="115">
        <v>371.18</v>
      </c>
      <c r="O1715" s="115">
        <v>363.6</v>
      </c>
      <c r="P1715" s="115">
        <v>371.18</v>
      </c>
      <c r="Q1715" s="115">
        <v>920.45</v>
      </c>
      <c r="R1715">
        <v>2472796</v>
      </c>
    </row>
    <row r="1716" spans="1:18" x14ac:dyDescent="0.25">
      <c r="A1716" s="169">
        <v>45204</v>
      </c>
      <c r="B1716" s="115">
        <v>373.98</v>
      </c>
      <c r="C1716" s="115">
        <v>368.22</v>
      </c>
      <c r="D1716" s="115">
        <v>367.38</v>
      </c>
      <c r="E1716" s="115">
        <v>373.98</v>
      </c>
      <c r="F1716" s="115">
        <v>920.55</v>
      </c>
      <c r="G1716">
        <v>30658</v>
      </c>
      <c r="H1716" s="115"/>
      <c r="I1716" s="115"/>
      <c r="L1716" s="169">
        <v>45204</v>
      </c>
      <c r="M1716" s="115">
        <v>368.44</v>
      </c>
      <c r="N1716" s="115">
        <v>371.52</v>
      </c>
      <c r="O1716" s="115">
        <v>368</v>
      </c>
      <c r="P1716" s="115">
        <v>369.38</v>
      </c>
      <c r="Q1716" s="115">
        <v>921.1</v>
      </c>
      <c r="R1716">
        <v>1918273</v>
      </c>
    </row>
    <row r="1717" spans="1:18" x14ac:dyDescent="0.25">
      <c r="A1717" s="169">
        <v>45205</v>
      </c>
      <c r="B1717" s="115">
        <v>373.9</v>
      </c>
      <c r="C1717" s="115">
        <v>371.28</v>
      </c>
      <c r="D1717" s="115">
        <v>368.82</v>
      </c>
      <c r="E1717" s="115">
        <v>369.98</v>
      </c>
      <c r="F1717" s="115">
        <v>928.2</v>
      </c>
      <c r="G1717">
        <v>17277</v>
      </c>
      <c r="H1717" s="115"/>
      <c r="I1717" s="115"/>
      <c r="L1717" s="169">
        <v>45205</v>
      </c>
      <c r="M1717" s="115">
        <v>370.82</v>
      </c>
      <c r="N1717" s="115">
        <v>372.8</v>
      </c>
      <c r="O1717" s="115">
        <v>368.84</v>
      </c>
      <c r="P1717" s="115">
        <v>368.9</v>
      </c>
      <c r="Q1717" s="115">
        <v>927.05</v>
      </c>
      <c r="R1717">
        <v>1438968</v>
      </c>
    </row>
    <row r="1718" spans="1:18" x14ac:dyDescent="0.25">
      <c r="A1718" s="169">
        <v>45208</v>
      </c>
      <c r="B1718" s="115">
        <v>372.78</v>
      </c>
      <c r="C1718" s="115">
        <v>370.58</v>
      </c>
      <c r="D1718" s="115">
        <v>362.84</v>
      </c>
      <c r="E1718" s="115">
        <v>367.68</v>
      </c>
      <c r="F1718" s="115">
        <v>926.45</v>
      </c>
      <c r="G1718">
        <v>88631</v>
      </c>
      <c r="H1718" s="115"/>
      <c r="I1718" s="115"/>
      <c r="L1718" s="169">
        <v>45208</v>
      </c>
      <c r="M1718" s="115">
        <v>371.58</v>
      </c>
      <c r="N1718" s="115">
        <v>372.8</v>
      </c>
      <c r="O1718" s="115">
        <v>364.44</v>
      </c>
      <c r="P1718" s="115">
        <v>367.2</v>
      </c>
      <c r="Q1718" s="115">
        <v>928.95</v>
      </c>
      <c r="R1718">
        <v>858676</v>
      </c>
    </row>
    <row r="1719" spans="1:18" x14ac:dyDescent="0.25">
      <c r="A1719" s="169">
        <v>45209</v>
      </c>
      <c r="B1719" s="115">
        <v>372.3</v>
      </c>
      <c r="C1719" s="115">
        <v>371.12</v>
      </c>
      <c r="D1719" s="115">
        <v>368.72</v>
      </c>
      <c r="E1719" s="115">
        <v>371.44</v>
      </c>
      <c r="F1719" s="115">
        <v>927.8</v>
      </c>
      <c r="G1719">
        <v>32219</v>
      </c>
      <c r="H1719" s="115"/>
      <c r="I1719" s="115"/>
      <c r="L1719" s="169">
        <v>45209</v>
      </c>
      <c r="M1719" s="115">
        <v>371.18</v>
      </c>
      <c r="N1719" s="115">
        <v>372.4</v>
      </c>
      <c r="O1719" s="115">
        <v>368.8</v>
      </c>
      <c r="P1719" s="115">
        <v>372.04</v>
      </c>
      <c r="Q1719" s="115">
        <v>927.95</v>
      </c>
      <c r="R1719">
        <v>1392621</v>
      </c>
    </row>
    <row r="1720" spans="1:18" x14ac:dyDescent="0.25">
      <c r="A1720" s="169">
        <v>45210</v>
      </c>
      <c r="B1720" s="115">
        <v>380.2</v>
      </c>
      <c r="C1720" s="115">
        <v>367.12</v>
      </c>
      <c r="D1720" s="115">
        <v>366.06</v>
      </c>
      <c r="E1720" s="115">
        <v>377.9</v>
      </c>
      <c r="F1720" s="115">
        <v>917.8</v>
      </c>
      <c r="G1720">
        <v>69445</v>
      </c>
      <c r="H1720" s="115"/>
      <c r="I1720" s="115"/>
      <c r="L1720" s="169">
        <v>45210</v>
      </c>
      <c r="M1720" s="115">
        <v>367.06</v>
      </c>
      <c r="N1720" s="115">
        <v>380.4</v>
      </c>
      <c r="O1720" s="115">
        <v>365.6</v>
      </c>
      <c r="P1720" s="115">
        <v>377.2</v>
      </c>
      <c r="Q1720" s="115">
        <v>917.65</v>
      </c>
      <c r="R1720">
        <v>2740385</v>
      </c>
    </row>
    <row r="1721" spans="1:18" x14ac:dyDescent="0.25">
      <c r="A1721" s="169">
        <v>45211</v>
      </c>
      <c r="B1721" s="115">
        <v>371.94</v>
      </c>
      <c r="C1721" s="115">
        <v>370</v>
      </c>
      <c r="D1721" s="115">
        <v>364.06</v>
      </c>
      <c r="E1721" s="115">
        <v>370.78</v>
      </c>
      <c r="F1721" s="115">
        <v>925</v>
      </c>
      <c r="G1721">
        <v>92171</v>
      </c>
      <c r="H1721" s="115"/>
      <c r="I1721" s="115"/>
      <c r="L1721" s="169">
        <v>45211</v>
      </c>
      <c r="M1721" s="115">
        <v>369.88</v>
      </c>
      <c r="N1721" s="115">
        <v>371.98</v>
      </c>
      <c r="O1721" s="115">
        <v>364.02</v>
      </c>
      <c r="P1721" s="115">
        <v>369</v>
      </c>
      <c r="Q1721" s="115">
        <v>924.7</v>
      </c>
      <c r="R1721">
        <v>1749190</v>
      </c>
    </row>
    <row r="1722" spans="1:18" x14ac:dyDescent="0.25">
      <c r="A1722" s="169">
        <v>45212</v>
      </c>
      <c r="B1722" s="115">
        <v>372.8</v>
      </c>
      <c r="C1722" s="115">
        <v>371.54</v>
      </c>
      <c r="D1722" s="115">
        <v>364.8</v>
      </c>
      <c r="E1722" s="115">
        <v>365.58</v>
      </c>
      <c r="F1722" s="115">
        <v>928.85</v>
      </c>
      <c r="G1722">
        <v>88838</v>
      </c>
      <c r="H1722" s="115"/>
      <c r="I1722" s="115"/>
      <c r="L1722" s="169">
        <v>45212</v>
      </c>
      <c r="M1722" s="115">
        <v>371.8</v>
      </c>
      <c r="N1722" s="115">
        <v>372.8</v>
      </c>
      <c r="O1722" s="115">
        <v>364.4</v>
      </c>
      <c r="P1722" s="115">
        <v>364.4</v>
      </c>
      <c r="Q1722" s="115">
        <v>929.5</v>
      </c>
      <c r="R1722">
        <v>1345837</v>
      </c>
    </row>
    <row r="1723" spans="1:18" x14ac:dyDescent="0.25">
      <c r="A1723" s="169">
        <v>45215</v>
      </c>
      <c r="B1723" s="115">
        <v>373.2</v>
      </c>
      <c r="C1723" s="115">
        <v>368.64</v>
      </c>
      <c r="D1723" s="115">
        <v>367.36</v>
      </c>
      <c r="E1723" s="115">
        <v>371.54</v>
      </c>
      <c r="F1723" s="115">
        <v>921.6</v>
      </c>
      <c r="G1723">
        <v>31863</v>
      </c>
      <c r="H1723" s="115"/>
      <c r="I1723" s="115"/>
      <c r="L1723" s="169">
        <v>45215</v>
      </c>
      <c r="M1723" s="115">
        <v>369.06</v>
      </c>
      <c r="N1723" s="115">
        <v>371.8</v>
      </c>
      <c r="O1723" s="115">
        <v>367.12</v>
      </c>
      <c r="P1723" s="115">
        <v>371.76</v>
      </c>
      <c r="Q1723" s="115">
        <v>922.65</v>
      </c>
      <c r="R1723">
        <v>1820084</v>
      </c>
    </row>
    <row r="1724" spans="1:18" x14ac:dyDescent="0.25">
      <c r="A1724" s="169">
        <v>45216</v>
      </c>
      <c r="B1724" s="115">
        <v>373.36</v>
      </c>
      <c r="C1724" s="115">
        <v>371.82</v>
      </c>
      <c r="D1724" s="115">
        <v>367.2</v>
      </c>
      <c r="E1724" s="115">
        <v>370.46</v>
      </c>
      <c r="F1724" s="115">
        <v>929.55</v>
      </c>
      <c r="G1724">
        <v>33236</v>
      </c>
      <c r="H1724" s="115"/>
      <c r="I1724" s="115"/>
      <c r="L1724" s="169">
        <v>45216</v>
      </c>
      <c r="M1724" s="115">
        <v>372.04</v>
      </c>
      <c r="N1724" s="115">
        <v>373.56</v>
      </c>
      <c r="O1724" s="115">
        <v>367.2</v>
      </c>
      <c r="P1724" s="115">
        <v>371.2</v>
      </c>
      <c r="Q1724" s="115">
        <v>930.1</v>
      </c>
      <c r="R1724">
        <v>1841031</v>
      </c>
    </row>
    <row r="1725" spans="1:18" x14ac:dyDescent="0.25">
      <c r="A1725" s="169">
        <v>45217</v>
      </c>
      <c r="B1725" s="115">
        <v>371.56</v>
      </c>
      <c r="C1725" s="115">
        <v>370.22</v>
      </c>
      <c r="D1725" s="115">
        <v>366.06</v>
      </c>
      <c r="E1725" s="115">
        <v>371.56</v>
      </c>
      <c r="F1725" s="115">
        <v>925.55</v>
      </c>
      <c r="G1725">
        <v>44279</v>
      </c>
      <c r="H1725" s="115"/>
      <c r="I1725" s="115"/>
      <c r="L1725" s="169">
        <v>45217</v>
      </c>
      <c r="M1725" s="115">
        <v>370.14</v>
      </c>
      <c r="N1725" s="115">
        <v>370.6</v>
      </c>
      <c r="O1725" s="115">
        <v>366</v>
      </c>
      <c r="P1725" s="115">
        <v>370.6</v>
      </c>
      <c r="Q1725" s="115">
        <v>925.35</v>
      </c>
      <c r="R1725">
        <v>2589087</v>
      </c>
    </row>
    <row r="1726" spans="1:18" x14ac:dyDescent="0.25">
      <c r="A1726" s="169">
        <v>45218</v>
      </c>
      <c r="B1726" s="115">
        <v>377.62</v>
      </c>
      <c r="C1726" s="115">
        <v>373.68</v>
      </c>
      <c r="D1726" s="115">
        <v>364.16</v>
      </c>
      <c r="E1726" s="115">
        <v>366.62</v>
      </c>
      <c r="F1726" s="115">
        <v>934.2</v>
      </c>
      <c r="G1726">
        <v>140716</v>
      </c>
      <c r="H1726" s="115"/>
      <c r="I1726" s="115"/>
      <c r="L1726" s="169">
        <v>45218</v>
      </c>
      <c r="M1726" s="115">
        <v>373.84</v>
      </c>
      <c r="N1726" s="115">
        <v>377.6</v>
      </c>
      <c r="O1726" s="115">
        <v>364.02</v>
      </c>
      <c r="P1726" s="115">
        <v>367.2</v>
      </c>
      <c r="Q1726" s="115">
        <v>934.6</v>
      </c>
      <c r="R1726">
        <v>2419958</v>
      </c>
    </row>
    <row r="1727" spans="1:18" x14ac:dyDescent="0.25">
      <c r="A1727" s="169">
        <v>45219</v>
      </c>
      <c r="B1727" s="115">
        <v>372.14</v>
      </c>
      <c r="C1727" s="115">
        <v>370.54</v>
      </c>
      <c r="D1727" s="115">
        <v>367.2</v>
      </c>
      <c r="E1727" s="115">
        <v>369.18</v>
      </c>
      <c r="F1727" s="115">
        <v>926.35</v>
      </c>
      <c r="G1727">
        <v>40394</v>
      </c>
      <c r="H1727" s="115"/>
      <c r="I1727" s="115"/>
      <c r="L1727" s="169">
        <v>45219</v>
      </c>
      <c r="M1727" s="115">
        <v>370.48</v>
      </c>
      <c r="N1727" s="115">
        <v>373.24</v>
      </c>
      <c r="O1727" s="115">
        <v>366.96</v>
      </c>
      <c r="P1727" s="115">
        <v>373.24</v>
      </c>
      <c r="Q1727" s="115">
        <v>926.2</v>
      </c>
      <c r="R1727">
        <v>1706260</v>
      </c>
    </row>
    <row r="1728" spans="1:18" x14ac:dyDescent="0.25">
      <c r="A1728" s="169">
        <v>45222</v>
      </c>
      <c r="B1728" s="115">
        <v>370.98</v>
      </c>
      <c r="C1728" s="115">
        <v>369</v>
      </c>
      <c r="D1728" s="115">
        <v>366.8</v>
      </c>
      <c r="E1728" s="115">
        <v>367.9</v>
      </c>
      <c r="F1728" s="115">
        <v>922.5</v>
      </c>
      <c r="G1728">
        <v>124039</v>
      </c>
      <c r="H1728" s="115"/>
      <c r="I1728" s="115"/>
      <c r="L1728" s="169">
        <v>45222</v>
      </c>
      <c r="M1728" s="115">
        <v>369.1</v>
      </c>
      <c r="N1728" s="115">
        <v>370.94</v>
      </c>
      <c r="O1728" s="115">
        <v>366.4</v>
      </c>
      <c r="P1728" s="115">
        <v>366.8</v>
      </c>
      <c r="Q1728" s="115">
        <v>922.75</v>
      </c>
      <c r="R1728">
        <v>1297542</v>
      </c>
    </row>
    <row r="1729" spans="1:18" x14ac:dyDescent="0.25">
      <c r="A1729" s="169">
        <v>45224</v>
      </c>
      <c r="B1729" s="115">
        <v>368.4</v>
      </c>
      <c r="C1729" s="115">
        <v>353.5</v>
      </c>
      <c r="D1729" s="115">
        <v>350.64</v>
      </c>
      <c r="E1729" s="115">
        <v>368.02</v>
      </c>
      <c r="F1729" s="115">
        <v>883.75</v>
      </c>
      <c r="G1729">
        <v>101664</v>
      </c>
      <c r="H1729" s="115"/>
      <c r="I1729" s="115"/>
      <c r="L1729" s="169">
        <v>45224</v>
      </c>
      <c r="M1729" s="115">
        <v>353.68</v>
      </c>
      <c r="N1729" s="115">
        <v>368.8</v>
      </c>
      <c r="O1729" s="115">
        <v>350.5</v>
      </c>
      <c r="P1729" s="115">
        <v>368.4</v>
      </c>
      <c r="Q1729" s="115">
        <v>884.2</v>
      </c>
      <c r="R1729">
        <v>3644050</v>
      </c>
    </row>
    <row r="1730" spans="1:18" x14ac:dyDescent="0.25">
      <c r="A1730" s="169">
        <v>45225</v>
      </c>
      <c r="B1730" s="115">
        <v>351.82</v>
      </c>
      <c r="C1730" s="115">
        <v>349.26</v>
      </c>
      <c r="D1730" s="115">
        <v>331.28</v>
      </c>
      <c r="E1730" s="115">
        <v>351.24</v>
      </c>
      <c r="F1730" s="115">
        <v>873.15</v>
      </c>
      <c r="G1730">
        <v>89685</v>
      </c>
      <c r="H1730" s="115"/>
      <c r="I1730" s="115"/>
      <c r="L1730" s="169">
        <v>45225</v>
      </c>
      <c r="M1730" s="115">
        <v>348.98</v>
      </c>
      <c r="N1730" s="115">
        <v>352</v>
      </c>
      <c r="O1730" s="115">
        <v>331.26</v>
      </c>
      <c r="P1730" s="115">
        <v>351.92</v>
      </c>
      <c r="Q1730" s="115">
        <v>872.45</v>
      </c>
      <c r="R1730">
        <v>4594411</v>
      </c>
    </row>
    <row r="1731" spans="1:18" x14ac:dyDescent="0.25">
      <c r="A1731" s="169">
        <v>45226</v>
      </c>
      <c r="B1731" s="115">
        <v>370.38</v>
      </c>
      <c r="C1731" s="115">
        <v>368.72</v>
      </c>
      <c r="D1731" s="115">
        <v>350.86</v>
      </c>
      <c r="E1731" s="115">
        <v>351.8</v>
      </c>
      <c r="F1731" s="115">
        <v>921.8</v>
      </c>
      <c r="G1731">
        <v>200439</v>
      </c>
      <c r="H1731" s="115"/>
      <c r="I1731" s="115"/>
      <c r="L1731" s="169">
        <v>45226</v>
      </c>
      <c r="M1731" s="115">
        <v>368.58</v>
      </c>
      <c r="N1731" s="115">
        <v>370.4</v>
      </c>
      <c r="O1731" s="115">
        <v>350.8</v>
      </c>
      <c r="P1731" s="115">
        <v>351.96</v>
      </c>
      <c r="Q1731" s="115">
        <v>921.45</v>
      </c>
      <c r="R1731">
        <v>2410663</v>
      </c>
    </row>
    <row r="1732" spans="1:18" x14ac:dyDescent="0.25">
      <c r="A1732" s="169">
        <v>45229</v>
      </c>
      <c r="B1732" s="115">
        <v>372</v>
      </c>
      <c r="C1732" s="115">
        <v>366.24</v>
      </c>
      <c r="D1732" s="115">
        <v>364.06</v>
      </c>
      <c r="E1732" s="115">
        <v>368.58</v>
      </c>
      <c r="F1732" s="115">
        <v>915.6</v>
      </c>
      <c r="G1732">
        <v>124041</v>
      </c>
      <c r="H1732" s="115"/>
      <c r="I1732" s="115"/>
      <c r="L1732" s="169">
        <v>45229</v>
      </c>
      <c r="M1732" s="115">
        <v>366.58</v>
      </c>
      <c r="N1732" s="115">
        <v>372.4</v>
      </c>
      <c r="O1732" s="115">
        <v>364.3</v>
      </c>
      <c r="P1732" s="115">
        <v>368.56</v>
      </c>
      <c r="Q1732" s="115">
        <v>916.45</v>
      </c>
      <c r="R1732">
        <v>1778116</v>
      </c>
    </row>
    <row r="1733" spans="1:18" x14ac:dyDescent="0.25">
      <c r="A1733" s="169">
        <v>45230</v>
      </c>
      <c r="B1733" s="115">
        <v>369.26</v>
      </c>
      <c r="C1733" s="115">
        <v>363.82</v>
      </c>
      <c r="D1733" s="115">
        <v>361.58</v>
      </c>
      <c r="E1733" s="115">
        <v>368.78</v>
      </c>
      <c r="F1733" s="115">
        <v>909.55</v>
      </c>
      <c r="G1733">
        <v>57637</v>
      </c>
      <c r="H1733" s="115"/>
      <c r="I1733" s="115"/>
      <c r="L1733" s="169">
        <v>45230</v>
      </c>
      <c r="M1733" s="115">
        <v>363.52</v>
      </c>
      <c r="N1733" s="115">
        <v>369.56</v>
      </c>
      <c r="O1733" s="115">
        <v>361.32</v>
      </c>
      <c r="P1733" s="115">
        <v>368.16</v>
      </c>
      <c r="Q1733" s="115">
        <v>908.8</v>
      </c>
      <c r="R1733">
        <v>2231765</v>
      </c>
    </row>
    <row r="1734" spans="1:18" x14ac:dyDescent="0.25">
      <c r="A1734" s="169">
        <v>45231</v>
      </c>
      <c r="B1734" s="115">
        <v>370.8</v>
      </c>
      <c r="C1734" s="115">
        <v>367.42</v>
      </c>
      <c r="D1734" s="115">
        <v>364.4</v>
      </c>
      <c r="E1734" s="115">
        <v>368.88</v>
      </c>
      <c r="F1734" s="115">
        <v>918.55</v>
      </c>
      <c r="G1734">
        <v>76609</v>
      </c>
      <c r="H1734" s="115"/>
      <c r="I1734" s="115"/>
      <c r="L1734" s="169">
        <v>45231</v>
      </c>
      <c r="M1734" s="115">
        <v>367.3</v>
      </c>
      <c r="N1734" s="115">
        <v>371.04</v>
      </c>
      <c r="O1734" s="115">
        <v>364.48</v>
      </c>
      <c r="P1734" s="115">
        <v>365.12</v>
      </c>
      <c r="Q1734" s="115">
        <v>918.25</v>
      </c>
      <c r="R1734">
        <v>1697834</v>
      </c>
    </row>
    <row r="1735" spans="1:18" x14ac:dyDescent="0.25">
      <c r="A1735" s="169">
        <v>45232</v>
      </c>
      <c r="B1735" s="115">
        <v>375.02</v>
      </c>
      <c r="C1735" s="115">
        <v>370.42</v>
      </c>
      <c r="D1735" s="115">
        <v>368.04</v>
      </c>
      <c r="E1735" s="115">
        <v>370.38</v>
      </c>
      <c r="F1735" s="115">
        <v>926.05</v>
      </c>
      <c r="G1735">
        <v>67896</v>
      </c>
      <c r="H1735" s="115"/>
      <c r="I1735" s="115"/>
      <c r="L1735" s="169">
        <v>45232</v>
      </c>
      <c r="M1735" s="115">
        <v>370.46</v>
      </c>
      <c r="N1735" s="115">
        <v>375</v>
      </c>
      <c r="O1735" s="115">
        <v>368.02</v>
      </c>
      <c r="P1735" s="115">
        <v>370</v>
      </c>
      <c r="Q1735" s="115">
        <v>926.15</v>
      </c>
      <c r="R1735">
        <v>1070165</v>
      </c>
    </row>
    <row r="1736" spans="1:18" x14ac:dyDescent="0.25">
      <c r="A1736" s="169">
        <v>45233</v>
      </c>
      <c r="B1736" s="115">
        <v>382</v>
      </c>
      <c r="C1736" s="115">
        <v>380.68</v>
      </c>
      <c r="D1736" s="115">
        <v>370.46</v>
      </c>
      <c r="E1736" s="115">
        <v>374</v>
      </c>
      <c r="F1736" s="115">
        <v>951.7</v>
      </c>
      <c r="G1736">
        <v>69257</v>
      </c>
      <c r="H1736" s="115"/>
      <c r="I1736" s="115"/>
      <c r="L1736" s="169">
        <v>45233</v>
      </c>
      <c r="M1736" s="115">
        <v>380.74</v>
      </c>
      <c r="N1736" s="115">
        <v>382.36</v>
      </c>
      <c r="O1736" s="115">
        <v>370.46</v>
      </c>
      <c r="P1736" s="115">
        <v>373.92</v>
      </c>
      <c r="Q1736" s="115">
        <v>951.85</v>
      </c>
      <c r="R1736">
        <v>1888793</v>
      </c>
    </row>
    <row r="1737" spans="1:18" x14ac:dyDescent="0.25">
      <c r="A1737" s="169">
        <v>45236</v>
      </c>
      <c r="B1737" s="115">
        <v>386.06</v>
      </c>
      <c r="C1737" s="115">
        <v>378.04</v>
      </c>
      <c r="D1737" s="115">
        <v>375.2</v>
      </c>
      <c r="E1737" s="115">
        <v>383.98</v>
      </c>
      <c r="F1737" s="115">
        <v>945.1</v>
      </c>
      <c r="G1737">
        <v>115001</v>
      </c>
      <c r="H1737" s="115"/>
      <c r="I1737" s="115"/>
      <c r="L1737" s="169">
        <v>45236</v>
      </c>
      <c r="M1737" s="115">
        <v>378.26</v>
      </c>
      <c r="N1737" s="115">
        <v>386.28</v>
      </c>
      <c r="O1737" s="115">
        <v>375.04</v>
      </c>
      <c r="P1737" s="115">
        <v>383.52</v>
      </c>
      <c r="Q1737" s="115">
        <v>945.65</v>
      </c>
      <c r="R1737">
        <v>3596930</v>
      </c>
    </row>
    <row r="1738" spans="1:18" x14ac:dyDescent="0.25">
      <c r="A1738" s="169">
        <v>45237</v>
      </c>
      <c r="B1738" s="115">
        <v>399.62</v>
      </c>
      <c r="C1738" s="115">
        <v>396.96</v>
      </c>
      <c r="D1738" s="115">
        <v>378.84</v>
      </c>
      <c r="E1738" s="115">
        <v>380</v>
      </c>
      <c r="F1738" s="115">
        <v>992.4</v>
      </c>
      <c r="G1738">
        <v>122462</v>
      </c>
      <c r="H1738" s="115"/>
      <c r="I1738" s="115"/>
      <c r="L1738" s="169">
        <v>45237</v>
      </c>
      <c r="M1738" s="115">
        <v>396.48</v>
      </c>
      <c r="N1738" s="115">
        <v>399.4</v>
      </c>
      <c r="O1738" s="115">
        <v>378.96</v>
      </c>
      <c r="P1738" s="115">
        <v>379.96</v>
      </c>
      <c r="Q1738" s="115">
        <v>991.2</v>
      </c>
      <c r="R1738">
        <v>4915974</v>
      </c>
    </row>
    <row r="1739" spans="1:18" x14ac:dyDescent="0.25">
      <c r="A1739" s="169">
        <v>45238</v>
      </c>
      <c r="B1739" s="115">
        <v>409.92</v>
      </c>
      <c r="C1739" s="115">
        <v>403.56</v>
      </c>
      <c r="D1739" s="115">
        <v>398.72</v>
      </c>
      <c r="E1739" s="115">
        <v>402.2</v>
      </c>
      <c r="F1739" s="115">
        <v>1008.9</v>
      </c>
      <c r="G1739">
        <v>241642</v>
      </c>
      <c r="H1739" s="115"/>
      <c r="I1739" s="115"/>
      <c r="L1739" s="169">
        <v>45238</v>
      </c>
      <c r="M1739" s="115">
        <v>403.54</v>
      </c>
      <c r="N1739" s="115">
        <v>409.6</v>
      </c>
      <c r="O1739" s="115">
        <v>398.84</v>
      </c>
      <c r="P1739" s="115">
        <v>403.4</v>
      </c>
      <c r="Q1739" s="115">
        <v>1008.85</v>
      </c>
      <c r="R1739">
        <v>2631091</v>
      </c>
    </row>
    <row r="1740" spans="1:18" x14ac:dyDescent="0.25">
      <c r="A1740" s="169">
        <v>45239</v>
      </c>
      <c r="B1740" s="115">
        <v>406.26</v>
      </c>
      <c r="C1740" s="115">
        <v>400.8</v>
      </c>
      <c r="D1740" s="115">
        <v>398.4</v>
      </c>
      <c r="E1740" s="115">
        <v>405.22</v>
      </c>
      <c r="F1740" s="115">
        <v>1002</v>
      </c>
      <c r="G1740">
        <v>83168</v>
      </c>
      <c r="H1740" s="115"/>
      <c r="I1740" s="115"/>
      <c r="L1740" s="169">
        <v>45239</v>
      </c>
      <c r="M1740" s="115">
        <v>401.02</v>
      </c>
      <c r="N1740" s="115">
        <v>406</v>
      </c>
      <c r="O1740" s="115">
        <v>398.68</v>
      </c>
      <c r="P1740" s="115">
        <v>406</v>
      </c>
      <c r="Q1740" s="115">
        <v>1002.55</v>
      </c>
      <c r="R1740">
        <v>1256722</v>
      </c>
    </row>
    <row r="1741" spans="1:18" x14ac:dyDescent="0.25">
      <c r="A1741" s="169">
        <v>45240</v>
      </c>
      <c r="B1741" s="115">
        <v>405.6</v>
      </c>
      <c r="C1741" s="115">
        <v>403.56</v>
      </c>
      <c r="D1741" s="115">
        <v>397.56</v>
      </c>
      <c r="E1741" s="115">
        <v>401.98</v>
      </c>
      <c r="F1741" s="115">
        <v>1008.9</v>
      </c>
      <c r="G1741">
        <v>24549</v>
      </c>
      <c r="H1741" s="115"/>
      <c r="I1741" s="115"/>
      <c r="L1741" s="169">
        <v>45240</v>
      </c>
      <c r="M1741" s="115">
        <v>403.62</v>
      </c>
      <c r="N1741" s="115">
        <v>405.7</v>
      </c>
      <c r="O1741" s="115">
        <v>397.48</v>
      </c>
      <c r="P1741" s="115">
        <v>401.52</v>
      </c>
      <c r="Q1741" s="115">
        <v>1009.05</v>
      </c>
      <c r="R1741">
        <v>1218861</v>
      </c>
    </row>
    <row r="1742" spans="1:18" x14ac:dyDescent="0.25">
      <c r="A1742" s="169">
        <v>45242</v>
      </c>
      <c r="B1742" s="115">
        <v>409.98</v>
      </c>
      <c r="C1742" s="115">
        <v>404.82</v>
      </c>
      <c r="D1742" s="115">
        <v>402.8</v>
      </c>
      <c r="E1742" s="115">
        <v>409.98</v>
      </c>
      <c r="F1742" s="115">
        <v>1012.05</v>
      </c>
      <c r="G1742">
        <v>12745</v>
      </c>
      <c r="H1742" s="115"/>
      <c r="I1742" s="115"/>
      <c r="L1742" s="169">
        <v>45242</v>
      </c>
      <c r="M1742" s="115">
        <v>404.84</v>
      </c>
      <c r="N1742" s="115">
        <v>409.2</v>
      </c>
      <c r="O1742" s="115">
        <v>402.2</v>
      </c>
      <c r="P1742" s="115">
        <v>408.64</v>
      </c>
      <c r="Q1742" s="115">
        <v>1012.1</v>
      </c>
      <c r="R1742">
        <v>286132</v>
      </c>
    </row>
    <row r="1743" spans="1:18" x14ac:dyDescent="0.25">
      <c r="A1743" s="169">
        <v>45243</v>
      </c>
      <c r="B1743" s="115">
        <v>406.4</v>
      </c>
      <c r="C1743" s="115">
        <v>403.44</v>
      </c>
      <c r="D1743" s="115">
        <v>401.32</v>
      </c>
      <c r="E1743" s="115">
        <v>404.34</v>
      </c>
      <c r="F1743" s="115">
        <v>1008.6</v>
      </c>
      <c r="G1743">
        <v>43914</v>
      </c>
      <c r="H1743" s="115"/>
      <c r="I1743" s="115"/>
      <c r="L1743" s="169">
        <v>45243</v>
      </c>
      <c r="M1743" s="115">
        <v>403.5</v>
      </c>
      <c r="N1743" s="115">
        <v>406.5</v>
      </c>
      <c r="O1743" s="115">
        <v>400.94</v>
      </c>
      <c r="P1743" s="115">
        <v>404.8</v>
      </c>
      <c r="Q1743" s="115">
        <v>1008.75</v>
      </c>
      <c r="R1743">
        <v>1299695</v>
      </c>
    </row>
    <row r="1744" spans="1:18" x14ac:dyDescent="0.25">
      <c r="A1744" s="169">
        <v>45245</v>
      </c>
      <c r="B1744" s="115">
        <v>407.6</v>
      </c>
      <c r="C1744" s="115">
        <v>405.7</v>
      </c>
      <c r="D1744" s="115">
        <v>399.44</v>
      </c>
      <c r="E1744" s="115">
        <v>404.32</v>
      </c>
      <c r="F1744" s="115">
        <v>1014.25</v>
      </c>
      <c r="G1744">
        <v>27980</v>
      </c>
      <c r="H1744" s="115"/>
      <c r="I1744" s="115"/>
      <c r="L1744" s="169">
        <v>45245</v>
      </c>
      <c r="M1744" s="115">
        <v>405.68</v>
      </c>
      <c r="N1744" s="115">
        <v>407.6</v>
      </c>
      <c r="O1744" s="115">
        <v>399.2</v>
      </c>
      <c r="P1744" s="115">
        <v>405.2</v>
      </c>
      <c r="Q1744" s="115">
        <v>1014.2</v>
      </c>
      <c r="R1744">
        <v>2353248</v>
      </c>
    </row>
    <row r="1745" spans="1:18" x14ac:dyDescent="0.25">
      <c r="A1745" s="169">
        <v>45246</v>
      </c>
      <c r="B1745" s="115">
        <v>420.26</v>
      </c>
      <c r="C1745" s="115">
        <v>417.72</v>
      </c>
      <c r="D1745" s="115">
        <v>405.92</v>
      </c>
      <c r="E1745" s="115">
        <v>407.58</v>
      </c>
      <c r="F1745" s="115">
        <v>1044.3</v>
      </c>
      <c r="G1745">
        <v>199430</v>
      </c>
      <c r="H1745" s="115"/>
      <c r="I1745" s="115"/>
      <c r="L1745" s="169">
        <v>45246</v>
      </c>
      <c r="M1745" s="115">
        <v>417.82</v>
      </c>
      <c r="N1745" s="115">
        <v>420.4</v>
      </c>
      <c r="O1745" s="115">
        <v>406.24</v>
      </c>
      <c r="P1745" s="115">
        <v>406.6</v>
      </c>
      <c r="Q1745" s="115">
        <v>1044.55</v>
      </c>
      <c r="R1745">
        <v>3074266</v>
      </c>
    </row>
    <row r="1746" spans="1:18" x14ac:dyDescent="0.25">
      <c r="A1746" s="169">
        <v>45247</v>
      </c>
      <c r="B1746" s="115">
        <v>418.62</v>
      </c>
      <c r="C1746" s="115">
        <v>417.52</v>
      </c>
      <c r="D1746" s="115">
        <v>408.58</v>
      </c>
      <c r="E1746" s="115">
        <v>417.7</v>
      </c>
      <c r="F1746" s="115">
        <v>1043.8</v>
      </c>
      <c r="G1746">
        <v>31743</v>
      </c>
      <c r="H1746" s="115"/>
      <c r="I1746" s="115"/>
      <c r="L1746" s="169">
        <v>45247</v>
      </c>
      <c r="M1746" s="115">
        <v>417.38</v>
      </c>
      <c r="N1746" s="115">
        <v>418.92</v>
      </c>
      <c r="O1746" s="115">
        <v>408.62</v>
      </c>
      <c r="P1746" s="115">
        <v>417.82</v>
      </c>
      <c r="Q1746" s="115">
        <v>1043.45</v>
      </c>
      <c r="R1746">
        <v>1843610</v>
      </c>
    </row>
    <row r="1747" spans="1:18" x14ac:dyDescent="0.25">
      <c r="A1747" s="169">
        <v>45250</v>
      </c>
      <c r="B1747" s="115">
        <v>423.98</v>
      </c>
      <c r="C1747" s="115">
        <v>418.56</v>
      </c>
      <c r="D1747" s="115">
        <v>411.26</v>
      </c>
      <c r="E1747" s="115">
        <v>415.98</v>
      </c>
      <c r="F1747" s="115">
        <v>1046.4000000000001</v>
      </c>
      <c r="G1747">
        <v>99097</v>
      </c>
      <c r="H1747" s="115"/>
      <c r="I1747" s="115"/>
      <c r="L1747" s="169">
        <v>45250</v>
      </c>
      <c r="M1747" s="115">
        <v>418.94</v>
      </c>
      <c r="N1747" s="115">
        <v>424.14</v>
      </c>
      <c r="O1747" s="115">
        <v>411.2</v>
      </c>
      <c r="P1747" s="115">
        <v>416.8</v>
      </c>
      <c r="Q1747" s="115">
        <v>1047.3499999999999</v>
      </c>
      <c r="R1747">
        <v>1052356</v>
      </c>
    </row>
    <row r="1748" spans="1:18" x14ac:dyDescent="0.25">
      <c r="A1748" s="169">
        <v>45251</v>
      </c>
      <c r="B1748" s="115">
        <v>421.54</v>
      </c>
      <c r="C1748" s="115">
        <v>415.16</v>
      </c>
      <c r="D1748" s="115">
        <v>409.52</v>
      </c>
      <c r="E1748" s="115">
        <v>420.02</v>
      </c>
      <c r="F1748" s="115">
        <v>1037.9000000000001</v>
      </c>
      <c r="G1748">
        <v>65758</v>
      </c>
      <c r="H1748" s="115"/>
      <c r="I1748" s="115"/>
      <c r="L1748" s="169">
        <v>45251</v>
      </c>
      <c r="M1748" s="115">
        <v>415.12</v>
      </c>
      <c r="N1748" s="115">
        <v>422.92</v>
      </c>
      <c r="O1748" s="115">
        <v>409.1</v>
      </c>
      <c r="P1748" s="115">
        <v>421.98</v>
      </c>
      <c r="Q1748" s="115">
        <v>1037.8</v>
      </c>
      <c r="R1748">
        <v>2046220</v>
      </c>
    </row>
    <row r="1749" spans="1:18" x14ac:dyDescent="0.25">
      <c r="A1749" s="169">
        <v>45252</v>
      </c>
      <c r="B1749" s="115">
        <v>419.98</v>
      </c>
      <c r="C1749" s="115">
        <v>412.74</v>
      </c>
      <c r="D1749" s="115">
        <v>406.32</v>
      </c>
      <c r="E1749" s="115">
        <v>419.98</v>
      </c>
      <c r="F1749" s="115">
        <v>1031.8499999999999</v>
      </c>
      <c r="G1749">
        <v>115369</v>
      </c>
      <c r="H1749" s="115"/>
      <c r="I1749" s="115"/>
      <c r="L1749" s="169">
        <v>45252</v>
      </c>
      <c r="M1749" s="115">
        <v>412.54</v>
      </c>
      <c r="N1749" s="115">
        <v>416.4</v>
      </c>
      <c r="O1749" s="115">
        <v>406.5</v>
      </c>
      <c r="P1749" s="115">
        <v>416.14</v>
      </c>
      <c r="Q1749" s="115">
        <v>1031.3499999999999</v>
      </c>
      <c r="R1749">
        <v>1370191</v>
      </c>
    </row>
    <row r="1750" spans="1:18" x14ac:dyDescent="0.25">
      <c r="A1750" s="169">
        <v>45253</v>
      </c>
      <c r="B1750" s="115">
        <v>429.98</v>
      </c>
      <c r="C1750" s="115">
        <v>421.56</v>
      </c>
      <c r="D1750" s="115">
        <v>412.44</v>
      </c>
      <c r="E1750" s="115">
        <v>412.44</v>
      </c>
      <c r="F1750" s="115">
        <v>1053.9000000000001</v>
      </c>
      <c r="G1750">
        <v>183952</v>
      </c>
      <c r="H1750" s="115"/>
      <c r="I1750" s="115"/>
      <c r="L1750" s="169">
        <v>45253</v>
      </c>
      <c r="M1750" s="115">
        <v>421.84</v>
      </c>
      <c r="N1750" s="115">
        <v>430</v>
      </c>
      <c r="O1750" s="115">
        <v>410</v>
      </c>
      <c r="P1750" s="115">
        <v>414.06</v>
      </c>
      <c r="Q1750" s="115">
        <v>1054.5999999999999</v>
      </c>
      <c r="R1750">
        <v>2439087</v>
      </c>
    </row>
    <row r="1751" spans="1:18" x14ac:dyDescent="0.25">
      <c r="A1751" s="169">
        <v>45254</v>
      </c>
      <c r="B1751" s="115">
        <v>429.24</v>
      </c>
      <c r="C1751" s="115">
        <v>427.02</v>
      </c>
      <c r="D1751" s="115">
        <v>422.42</v>
      </c>
      <c r="E1751" s="115">
        <v>422.42</v>
      </c>
      <c r="F1751" s="115">
        <v>1067.55</v>
      </c>
      <c r="G1751">
        <v>34550</v>
      </c>
      <c r="H1751" s="115"/>
      <c r="I1751" s="115"/>
      <c r="L1751" s="169">
        <v>45254</v>
      </c>
      <c r="M1751" s="115">
        <v>427.26</v>
      </c>
      <c r="N1751" s="115">
        <v>429.08</v>
      </c>
      <c r="O1751" s="115">
        <v>422.92</v>
      </c>
      <c r="P1751" s="115">
        <v>424</v>
      </c>
      <c r="Q1751" s="115">
        <v>1068.1500000000001</v>
      </c>
      <c r="R1751">
        <v>1515670</v>
      </c>
    </row>
    <row r="1752" spans="1:18" x14ac:dyDescent="0.25">
      <c r="A1752" s="169">
        <v>45258</v>
      </c>
      <c r="B1752" s="115">
        <v>430</v>
      </c>
      <c r="C1752" s="115">
        <v>423.16</v>
      </c>
      <c r="D1752" s="115">
        <v>418.98</v>
      </c>
      <c r="E1752" s="115">
        <v>430</v>
      </c>
      <c r="F1752" s="115">
        <v>1057.9000000000001</v>
      </c>
      <c r="G1752">
        <v>50409</v>
      </c>
      <c r="H1752" s="115"/>
      <c r="I1752" s="115"/>
      <c r="L1752" s="169">
        <v>45258</v>
      </c>
      <c r="M1752" s="115">
        <v>423.98</v>
      </c>
      <c r="N1752" s="115">
        <v>430</v>
      </c>
      <c r="O1752" s="115">
        <v>421.56</v>
      </c>
      <c r="P1752" s="115">
        <v>430</v>
      </c>
      <c r="Q1752" s="115">
        <v>1059.95</v>
      </c>
      <c r="R1752">
        <v>1563201</v>
      </c>
    </row>
    <row r="1753" spans="1:18" x14ac:dyDescent="0.25">
      <c r="A1753" s="169">
        <v>45259</v>
      </c>
      <c r="B1753" s="115">
        <v>429.4</v>
      </c>
      <c r="C1753" s="115">
        <v>422.56</v>
      </c>
      <c r="D1753" s="115">
        <v>418.78</v>
      </c>
      <c r="E1753" s="115">
        <v>426.8</v>
      </c>
      <c r="F1753" s="115">
        <v>1056.4000000000001</v>
      </c>
      <c r="G1753">
        <v>35704</v>
      </c>
      <c r="H1753" s="115"/>
      <c r="I1753" s="115"/>
      <c r="L1753" s="169">
        <v>45259</v>
      </c>
      <c r="M1753" s="115">
        <v>424.34</v>
      </c>
      <c r="N1753" s="115">
        <v>429.84</v>
      </c>
      <c r="O1753" s="115">
        <v>421.82</v>
      </c>
      <c r="P1753" s="115">
        <v>428</v>
      </c>
      <c r="Q1753" s="115">
        <v>1060.8499999999999</v>
      </c>
      <c r="R1753">
        <v>734545</v>
      </c>
    </row>
    <row r="1754" spans="1:18" x14ac:dyDescent="0.25">
      <c r="A1754" s="169">
        <v>45260</v>
      </c>
      <c r="B1754" s="115">
        <v>452.06</v>
      </c>
      <c r="C1754" s="115">
        <v>442.14</v>
      </c>
      <c r="D1754" s="115">
        <v>423.48</v>
      </c>
      <c r="E1754" s="115">
        <v>425.22</v>
      </c>
      <c r="F1754" s="115">
        <v>1105.3499999999999</v>
      </c>
      <c r="G1754">
        <v>130669</v>
      </c>
      <c r="H1754" s="115"/>
      <c r="I1754" s="115"/>
      <c r="L1754" s="169">
        <v>45260</v>
      </c>
      <c r="M1754" s="115">
        <v>442</v>
      </c>
      <c r="N1754" s="115">
        <v>451.88</v>
      </c>
      <c r="O1754" s="115">
        <v>423.76</v>
      </c>
      <c r="P1754" s="115">
        <v>426.4</v>
      </c>
      <c r="Q1754" s="115">
        <v>1105</v>
      </c>
      <c r="R1754">
        <v>5190698</v>
      </c>
    </row>
    <row r="1755" spans="1:18" x14ac:dyDescent="0.25">
      <c r="A1755" s="169">
        <v>45261</v>
      </c>
      <c r="B1755" s="115">
        <v>448</v>
      </c>
      <c r="C1755" s="115">
        <v>435.42</v>
      </c>
      <c r="D1755" s="115">
        <v>434</v>
      </c>
      <c r="E1755" s="115">
        <v>445.98</v>
      </c>
      <c r="F1755" s="115">
        <v>1088.55</v>
      </c>
      <c r="G1755">
        <v>113180</v>
      </c>
      <c r="H1755" s="115"/>
      <c r="I1755" s="115"/>
      <c r="L1755" s="169">
        <v>45261</v>
      </c>
      <c r="M1755" s="115">
        <v>435.62</v>
      </c>
      <c r="N1755" s="115">
        <v>450.4</v>
      </c>
      <c r="O1755" s="115">
        <v>434.26</v>
      </c>
      <c r="P1755" s="115">
        <v>444</v>
      </c>
      <c r="Q1755" s="115">
        <v>1089.05</v>
      </c>
      <c r="R1755">
        <v>1371021</v>
      </c>
    </row>
    <row r="1756" spans="1:18" x14ac:dyDescent="0.25">
      <c r="A1756" s="169">
        <v>45264</v>
      </c>
      <c r="B1756" s="115">
        <v>445.58</v>
      </c>
      <c r="C1756" s="115">
        <v>428.64</v>
      </c>
      <c r="D1756" s="115">
        <v>426.18</v>
      </c>
      <c r="E1756" s="115">
        <v>445.58</v>
      </c>
      <c r="F1756" s="115">
        <v>1071.5999999999999</v>
      </c>
      <c r="G1756">
        <v>74782</v>
      </c>
      <c r="H1756" s="115"/>
      <c r="I1756" s="115"/>
      <c r="L1756" s="169">
        <v>45264</v>
      </c>
      <c r="M1756" s="115">
        <v>428.18</v>
      </c>
      <c r="N1756" s="115">
        <v>445</v>
      </c>
      <c r="O1756" s="115">
        <v>426</v>
      </c>
      <c r="P1756" s="115">
        <v>444.4</v>
      </c>
      <c r="Q1756" s="115">
        <v>1070.45</v>
      </c>
      <c r="R1756">
        <v>1900286</v>
      </c>
    </row>
    <row r="1757" spans="1:18" x14ac:dyDescent="0.25">
      <c r="A1757" s="169">
        <v>45265</v>
      </c>
      <c r="B1757" s="115">
        <v>434</v>
      </c>
      <c r="C1757" s="115">
        <v>424.64</v>
      </c>
      <c r="D1757" s="115">
        <v>422.16</v>
      </c>
      <c r="E1757" s="115">
        <v>432.4</v>
      </c>
      <c r="F1757" s="115">
        <v>1061.5999999999999</v>
      </c>
      <c r="G1757">
        <v>95984</v>
      </c>
      <c r="H1757" s="115"/>
      <c r="I1757" s="115"/>
      <c r="L1757" s="169">
        <v>45265</v>
      </c>
      <c r="M1757" s="115">
        <v>424.74</v>
      </c>
      <c r="N1757" s="115">
        <v>433.94</v>
      </c>
      <c r="O1757" s="115">
        <v>422.2</v>
      </c>
      <c r="P1757" s="115">
        <v>431.98</v>
      </c>
      <c r="Q1757" s="115">
        <v>1061.8499999999999</v>
      </c>
      <c r="R1757">
        <v>1129042</v>
      </c>
    </row>
    <row r="1758" spans="1:18" x14ac:dyDescent="0.25">
      <c r="A1758" s="169">
        <v>45266</v>
      </c>
      <c r="B1758" s="115">
        <v>431.24</v>
      </c>
      <c r="C1758" s="115">
        <v>429.38</v>
      </c>
      <c r="D1758" s="115">
        <v>422.62</v>
      </c>
      <c r="E1758" s="115">
        <v>424.4</v>
      </c>
      <c r="F1758" s="115">
        <v>1073.45</v>
      </c>
      <c r="G1758">
        <v>25712</v>
      </c>
      <c r="H1758" s="115"/>
      <c r="I1758" s="115"/>
      <c r="L1758" s="169">
        <v>45266</v>
      </c>
      <c r="M1758" s="115">
        <v>429.42</v>
      </c>
      <c r="N1758" s="115">
        <v>431.16</v>
      </c>
      <c r="O1758" s="115">
        <v>422.5</v>
      </c>
      <c r="P1758" s="115">
        <v>424</v>
      </c>
      <c r="Q1758" s="115">
        <v>1073.55</v>
      </c>
      <c r="R1758">
        <v>1100798</v>
      </c>
    </row>
    <row r="1759" spans="1:18" x14ac:dyDescent="0.25">
      <c r="A1759" s="169">
        <v>45267</v>
      </c>
      <c r="B1759" s="115">
        <v>432.8</v>
      </c>
      <c r="C1759" s="115">
        <v>430.54</v>
      </c>
      <c r="D1759" s="115">
        <v>427.2</v>
      </c>
      <c r="E1759" s="115">
        <v>431.16</v>
      </c>
      <c r="F1759" s="115">
        <v>1076.3499999999999</v>
      </c>
      <c r="G1759">
        <v>20795</v>
      </c>
      <c r="H1759" s="115"/>
      <c r="I1759" s="115"/>
      <c r="L1759" s="169">
        <v>45267</v>
      </c>
      <c r="M1759" s="115">
        <v>430.8</v>
      </c>
      <c r="N1759" s="115">
        <v>432.8</v>
      </c>
      <c r="O1759" s="115">
        <v>426.96</v>
      </c>
      <c r="P1759" s="115">
        <v>432</v>
      </c>
      <c r="Q1759" s="115">
        <v>1077</v>
      </c>
      <c r="R1759">
        <v>758520</v>
      </c>
    </row>
    <row r="1760" spans="1:18" x14ac:dyDescent="0.25">
      <c r="A1760" s="169">
        <v>45268</v>
      </c>
      <c r="B1760" s="115">
        <v>432.48</v>
      </c>
      <c r="C1760" s="115">
        <v>427.18</v>
      </c>
      <c r="D1760" s="115">
        <v>424.3</v>
      </c>
      <c r="E1760" s="115">
        <v>431.66</v>
      </c>
      <c r="F1760" s="115">
        <v>1067.95</v>
      </c>
      <c r="G1760">
        <v>23351</v>
      </c>
      <c r="H1760" s="115"/>
      <c r="I1760" s="115"/>
      <c r="L1760" s="169">
        <v>45268</v>
      </c>
      <c r="M1760" s="115">
        <v>426.78</v>
      </c>
      <c r="N1760" s="115">
        <v>433.06</v>
      </c>
      <c r="O1760" s="115">
        <v>424</v>
      </c>
      <c r="P1760" s="115">
        <v>431.32</v>
      </c>
      <c r="Q1760" s="115">
        <v>1066.95</v>
      </c>
      <c r="R1760">
        <v>1260433</v>
      </c>
    </row>
    <row r="1761" spans="1:18" x14ac:dyDescent="0.25">
      <c r="A1761" s="169">
        <v>45271</v>
      </c>
      <c r="B1761" s="115">
        <v>443.58</v>
      </c>
      <c r="C1761" s="115">
        <v>441.76</v>
      </c>
      <c r="D1761" s="115">
        <v>428.16</v>
      </c>
      <c r="E1761" s="115">
        <v>428.16</v>
      </c>
      <c r="F1761" s="115">
        <v>1104.4000000000001</v>
      </c>
      <c r="G1761">
        <v>190187</v>
      </c>
      <c r="H1761" s="115"/>
      <c r="I1761" s="115"/>
      <c r="L1761" s="169">
        <v>45271</v>
      </c>
      <c r="M1761" s="115">
        <v>441.7</v>
      </c>
      <c r="N1761" s="115">
        <v>443.6</v>
      </c>
      <c r="O1761" s="115">
        <v>428.4</v>
      </c>
      <c r="P1761" s="115">
        <v>429.56</v>
      </c>
      <c r="Q1761" s="115">
        <v>1104.25</v>
      </c>
      <c r="R1761">
        <v>2160526</v>
      </c>
    </row>
    <row r="1762" spans="1:18" x14ac:dyDescent="0.25">
      <c r="A1762" s="169">
        <v>45272</v>
      </c>
      <c r="B1762" s="115">
        <v>442.8</v>
      </c>
      <c r="C1762" s="115">
        <v>432.14</v>
      </c>
      <c r="D1762" s="115">
        <v>430.32</v>
      </c>
      <c r="E1762" s="115">
        <v>442.4</v>
      </c>
      <c r="F1762" s="115">
        <v>1080.3499999999999</v>
      </c>
      <c r="G1762">
        <v>84681</v>
      </c>
      <c r="H1762" s="115"/>
      <c r="I1762" s="115"/>
      <c r="L1762" s="169">
        <v>45272</v>
      </c>
      <c r="M1762" s="115">
        <v>432.04</v>
      </c>
      <c r="N1762" s="115">
        <v>443.2</v>
      </c>
      <c r="O1762" s="115">
        <v>430.4</v>
      </c>
      <c r="P1762" s="115">
        <v>441.7</v>
      </c>
      <c r="Q1762" s="115">
        <v>1080.0999999999999</v>
      </c>
      <c r="R1762">
        <v>1579857</v>
      </c>
    </row>
    <row r="1763" spans="1:18" x14ac:dyDescent="0.25">
      <c r="A1763" s="169">
        <v>45273</v>
      </c>
      <c r="B1763" s="115">
        <v>438</v>
      </c>
      <c r="C1763" s="115">
        <v>436.98</v>
      </c>
      <c r="D1763" s="115">
        <v>429.08</v>
      </c>
      <c r="E1763" s="115">
        <v>435.72</v>
      </c>
      <c r="F1763" s="115">
        <v>1092.45</v>
      </c>
      <c r="G1763">
        <v>84525</v>
      </c>
      <c r="H1763" s="115"/>
      <c r="I1763" s="115"/>
      <c r="L1763" s="169">
        <v>45273</v>
      </c>
      <c r="M1763" s="115">
        <v>437.1</v>
      </c>
      <c r="N1763" s="115">
        <v>438</v>
      </c>
      <c r="O1763" s="115">
        <v>429.08</v>
      </c>
      <c r="P1763" s="115">
        <v>434.7</v>
      </c>
      <c r="Q1763" s="115">
        <v>1092.75</v>
      </c>
      <c r="R1763">
        <v>1155820</v>
      </c>
    </row>
    <row r="1764" spans="1:18" x14ac:dyDescent="0.25">
      <c r="A1764" s="169">
        <v>45274</v>
      </c>
      <c r="B1764" s="115">
        <v>445.52</v>
      </c>
      <c r="C1764" s="115">
        <v>441.52</v>
      </c>
      <c r="D1764" s="115">
        <v>437.62</v>
      </c>
      <c r="E1764" s="115">
        <v>439.5</v>
      </c>
      <c r="F1764" s="115">
        <v>1103.8</v>
      </c>
      <c r="G1764">
        <v>27699</v>
      </c>
      <c r="H1764" s="115"/>
      <c r="I1764" s="115"/>
      <c r="L1764" s="169">
        <v>45274</v>
      </c>
      <c r="M1764" s="115">
        <v>441.68</v>
      </c>
      <c r="N1764" s="115">
        <v>445.8</v>
      </c>
      <c r="O1764" s="115">
        <v>437.72</v>
      </c>
      <c r="P1764" s="115">
        <v>441.6</v>
      </c>
      <c r="Q1764" s="115">
        <v>1104.2</v>
      </c>
      <c r="R1764">
        <v>1232073</v>
      </c>
    </row>
    <row r="1765" spans="1:18" x14ac:dyDescent="0.25">
      <c r="A1765" s="169">
        <v>45275</v>
      </c>
      <c r="B1765" s="115">
        <v>447.98</v>
      </c>
      <c r="C1765" s="115">
        <v>439.08</v>
      </c>
      <c r="D1765" s="115">
        <v>437.94</v>
      </c>
      <c r="E1765" s="115">
        <v>445.56</v>
      </c>
      <c r="F1765" s="115">
        <v>1097.7</v>
      </c>
      <c r="G1765">
        <v>23559</v>
      </c>
      <c r="H1765" s="115"/>
      <c r="I1765" s="115"/>
      <c r="L1765" s="169">
        <v>45275</v>
      </c>
      <c r="M1765" s="115">
        <v>439.6</v>
      </c>
      <c r="N1765" s="115">
        <v>447.92</v>
      </c>
      <c r="O1765" s="115">
        <v>438</v>
      </c>
      <c r="P1765" s="115">
        <v>443.52</v>
      </c>
      <c r="Q1765" s="115">
        <v>1099</v>
      </c>
      <c r="R1765">
        <v>1160389</v>
      </c>
    </row>
    <row r="1766" spans="1:18" x14ac:dyDescent="0.25">
      <c r="A1766" s="169">
        <v>45278</v>
      </c>
      <c r="B1766" s="115">
        <v>457.12</v>
      </c>
      <c r="C1766" s="115">
        <v>453.16</v>
      </c>
      <c r="D1766" s="115">
        <v>438</v>
      </c>
      <c r="E1766" s="115">
        <v>443.18</v>
      </c>
      <c r="F1766" s="115">
        <v>1132.9000000000001</v>
      </c>
      <c r="G1766">
        <v>32054</v>
      </c>
      <c r="H1766" s="115"/>
      <c r="I1766" s="115"/>
      <c r="L1766" s="169">
        <v>45278</v>
      </c>
      <c r="M1766" s="115">
        <v>452.8</v>
      </c>
      <c r="N1766" s="115">
        <v>457.6</v>
      </c>
      <c r="O1766" s="115">
        <v>437.62</v>
      </c>
      <c r="P1766" s="115">
        <v>439.6</v>
      </c>
      <c r="Q1766" s="115">
        <v>1132</v>
      </c>
      <c r="R1766">
        <v>1830640</v>
      </c>
    </row>
    <row r="1767" spans="1:18" x14ac:dyDescent="0.25">
      <c r="A1767" s="169">
        <v>45279</v>
      </c>
      <c r="B1767" s="115">
        <v>471.2</v>
      </c>
      <c r="C1767" s="115">
        <v>468.8</v>
      </c>
      <c r="D1767" s="115">
        <v>454.6</v>
      </c>
      <c r="E1767" s="115">
        <v>456.44</v>
      </c>
      <c r="F1767" s="115">
        <v>1172</v>
      </c>
      <c r="G1767">
        <v>195940</v>
      </c>
      <c r="H1767" s="115"/>
      <c r="I1767" s="115"/>
      <c r="L1767" s="169">
        <v>45279</v>
      </c>
      <c r="M1767" s="115">
        <v>468.66</v>
      </c>
      <c r="N1767" s="115">
        <v>471.2</v>
      </c>
      <c r="O1767" s="115">
        <v>454.22</v>
      </c>
      <c r="P1767" s="115">
        <v>457.28</v>
      </c>
      <c r="Q1767" s="115">
        <v>1171.6500000000001</v>
      </c>
      <c r="R1767">
        <v>2653390</v>
      </c>
    </row>
    <row r="1768" spans="1:18" x14ac:dyDescent="0.25">
      <c r="A1768" s="169">
        <v>45280</v>
      </c>
      <c r="B1768" s="115">
        <v>552.17999999999995</v>
      </c>
      <c r="C1768" s="115">
        <v>501.82</v>
      </c>
      <c r="D1768" s="115">
        <v>495.2</v>
      </c>
      <c r="E1768" s="115">
        <v>540</v>
      </c>
      <c r="F1768" s="115">
        <v>1254.55</v>
      </c>
      <c r="G1768">
        <v>879574</v>
      </c>
      <c r="H1768" s="115"/>
      <c r="I1768" s="115"/>
      <c r="L1768" s="169">
        <v>45280</v>
      </c>
      <c r="M1768" s="115">
        <v>501.36</v>
      </c>
      <c r="N1768" s="115">
        <v>552</v>
      </c>
      <c r="O1768" s="115">
        <v>494.26</v>
      </c>
      <c r="P1768" s="115">
        <v>538</v>
      </c>
      <c r="Q1768" s="115">
        <v>1253.4000000000001</v>
      </c>
      <c r="R1768">
        <v>13090036</v>
      </c>
    </row>
    <row r="1769" spans="1:18" x14ac:dyDescent="0.25">
      <c r="A1769" s="169">
        <v>45281</v>
      </c>
      <c r="B1769" s="115">
        <v>520</v>
      </c>
      <c r="C1769" s="115">
        <v>516.44000000000005</v>
      </c>
      <c r="D1769" s="115">
        <v>472</v>
      </c>
      <c r="E1769" s="115">
        <v>498.52</v>
      </c>
      <c r="F1769" s="115">
        <v>1291.0999999999999</v>
      </c>
      <c r="G1769">
        <v>365138</v>
      </c>
      <c r="H1769" s="115"/>
      <c r="I1769" s="115"/>
      <c r="L1769" s="169">
        <v>45281</v>
      </c>
      <c r="M1769" s="115">
        <v>516.52</v>
      </c>
      <c r="N1769" s="115">
        <v>520</v>
      </c>
      <c r="O1769" s="115">
        <v>472.78</v>
      </c>
      <c r="P1769" s="115">
        <v>498.02</v>
      </c>
      <c r="Q1769" s="115">
        <v>1291.3</v>
      </c>
      <c r="R1769">
        <v>4779722</v>
      </c>
    </row>
    <row r="1770" spans="1:18" x14ac:dyDescent="0.25">
      <c r="A1770" s="169">
        <v>45282</v>
      </c>
      <c r="B1770" s="115">
        <v>519.02</v>
      </c>
      <c r="C1770" s="115">
        <v>494.86</v>
      </c>
      <c r="D1770" s="115">
        <v>490.6</v>
      </c>
      <c r="E1770" s="115">
        <v>519.02</v>
      </c>
      <c r="F1770" s="115">
        <v>1237.1500000000001</v>
      </c>
      <c r="G1770">
        <v>220743</v>
      </c>
      <c r="H1770" s="115"/>
      <c r="I1770" s="115"/>
      <c r="L1770" s="169">
        <v>45282</v>
      </c>
      <c r="M1770" s="115">
        <v>495.44</v>
      </c>
      <c r="N1770" s="115">
        <v>516.52</v>
      </c>
      <c r="O1770" s="115">
        <v>490.22</v>
      </c>
      <c r="P1770" s="115">
        <v>516.52</v>
      </c>
      <c r="Q1770" s="115">
        <v>1238.5999999999999</v>
      </c>
      <c r="R1770">
        <v>6445595</v>
      </c>
    </row>
    <row r="1771" spans="1:18" x14ac:dyDescent="0.25">
      <c r="A1771" s="169">
        <v>45286</v>
      </c>
      <c r="B1771" s="115">
        <v>503.6</v>
      </c>
      <c r="C1771" s="115">
        <v>500.08</v>
      </c>
      <c r="D1771" s="115">
        <v>493.46</v>
      </c>
      <c r="E1771" s="115">
        <v>503.6</v>
      </c>
      <c r="F1771" s="115">
        <v>1250.2</v>
      </c>
      <c r="G1771">
        <v>67286</v>
      </c>
      <c r="H1771" s="115"/>
      <c r="I1771" s="115"/>
      <c r="L1771" s="169">
        <v>45286</v>
      </c>
      <c r="M1771" s="115">
        <v>500.02</v>
      </c>
      <c r="N1771" s="115">
        <v>503.12</v>
      </c>
      <c r="O1771" s="115">
        <v>493.2</v>
      </c>
      <c r="P1771" s="115">
        <v>502.8</v>
      </c>
      <c r="Q1771" s="115">
        <v>1250.05</v>
      </c>
      <c r="R1771">
        <v>1695813</v>
      </c>
    </row>
    <row r="1772" spans="1:18" x14ac:dyDescent="0.25">
      <c r="A1772" s="169">
        <v>45287</v>
      </c>
      <c r="B1772" s="115">
        <v>500.28</v>
      </c>
      <c r="C1772" s="115">
        <v>494.62</v>
      </c>
      <c r="D1772" s="115">
        <v>494</v>
      </c>
      <c r="E1772" s="115">
        <v>499.98</v>
      </c>
      <c r="F1772" s="115">
        <v>1236.55</v>
      </c>
      <c r="G1772">
        <v>105195</v>
      </c>
      <c r="H1772" s="115"/>
      <c r="I1772" s="115"/>
      <c r="L1772" s="169">
        <v>45287</v>
      </c>
      <c r="M1772" s="115">
        <v>494.82</v>
      </c>
      <c r="N1772" s="115">
        <v>500.8</v>
      </c>
      <c r="O1772" s="115">
        <v>494</v>
      </c>
      <c r="P1772" s="115">
        <v>498.42</v>
      </c>
      <c r="Q1772" s="115">
        <v>1237.05</v>
      </c>
      <c r="R1772">
        <v>2397414</v>
      </c>
    </row>
    <row r="1773" spans="1:18" x14ac:dyDescent="0.25">
      <c r="A1773" s="169">
        <v>45288</v>
      </c>
      <c r="B1773" s="115">
        <v>499.12</v>
      </c>
      <c r="C1773" s="115">
        <v>494.86</v>
      </c>
      <c r="D1773" s="115">
        <v>489</v>
      </c>
      <c r="E1773" s="115">
        <v>495.94</v>
      </c>
      <c r="F1773" s="115">
        <v>1237.1500000000001</v>
      </c>
      <c r="G1773">
        <v>40377</v>
      </c>
      <c r="H1773" s="115"/>
      <c r="I1773" s="115"/>
      <c r="L1773" s="169">
        <v>45288</v>
      </c>
      <c r="M1773" s="115">
        <v>495.12</v>
      </c>
      <c r="N1773" s="115">
        <v>499</v>
      </c>
      <c r="O1773" s="115">
        <v>488.8</v>
      </c>
      <c r="P1773" s="115">
        <v>495.22</v>
      </c>
      <c r="Q1773" s="115">
        <v>1237.8</v>
      </c>
      <c r="R1773">
        <v>1480983</v>
      </c>
    </row>
    <row r="1774" spans="1:18" x14ac:dyDescent="0.25">
      <c r="A1774" s="169">
        <v>45289</v>
      </c>
      <c r="B1774" s="115">
        <v>497.2</v>
      </c>
      <c r="C1774" s="115">
        <v>494.62</v>
      </c>
      <c r="D1774" s="115">
        <v>490.18</v>
      </c>
      <c r="E1774" s="115">
        <v>497.18</v>
      </c>
      <c r="F1774" s="115">
        <v>1236.55</v>
      </c>
      <c r="G1774">
        <v>24724</v>
      </c>
      <c r="H1774" s="115"/>
      <c r="I1774" s="115"/>
      <c r="L1774" s="169">
        <v>45289</v>
      </c>
      <c r="M1774" s="115">
        <v>494.76</v>
      </c>
      <c r="N1774" s="115">
        <v>497.52</v>
      </c>
      <c r="O1774" s="115">
        <v>490.24</v>
      </c>
      <c r="P1774" s="115">
        <v>497.52</v>
      </c>
      <c r="Q1774" s="115">
        <v>1236.9000000000001</v>
      </c>
      <c r="R1774">
        <v>1149608</v>
      </c>
    </row>
    <row r="1775" spans="1:18" x14ac:dyDescent="0.25">
      <c r="A1775" s="169">
        <v>45292</v>
      </c>
      <c r="B1775" s="115">
        <v>501.56</v>
      </c>
      <c r="C1775" s="115">
        <v>496.8</v>
      </c>
      <c r="D1775" s="115">
        <v>495.02</v>
      </c>
      <c r="E1775" s="115">
        <v>495.02</v>
      </c>
      <c r="F1775" s="115">
        <v>1242</v>
      </c>
      <c r="G1775">
        <v>30388</v>
      </c>
      <c r="H1775" s="115"/>
      <c r="I1775" s="115"/>
      <c r="L1775" s="169">
        <v>45292</v>
      </c>
      <c r="M1775" s="115">
        <v>497</v>
      </c>
      <c r="N1775" s="115">
        <v>501.6</v>
      </c>
      <c r="O1775" s="115">
        <v>494.8</v>
      </c>
      <c r="P1775" s="115">
        <v>496.72</v>
      </c>
      <c r="Q1775" s="115">
        <v>1242.5</v>
      </c>
      <c r="R1775">
        <v>789487</v>
      </c>
    </row>
    <row r="1776" spans="1:18" x14ac:dyDescent="0.25">
      <c r="A1776" s="169">
        <v>45293</v>
      </c>
      <c r="B1776" s="115">
        <v>500.74</v>
      </c>
      <c r="C1776" s="115">
        <v>494.3</v>
      </c>
      <c r="D1776" s="115">
        <v>493.52</v>
      </c>
      <c r="E1776" s="115">
        <v>500.74</v>
      </c>
      <c r="F1776" s="115">
        <v>1235.75</v>
      </c>
      <c r="G1776">
        <v>30294</v>
      </c>
      <c r="H1776" s="115"/>
      <c r="I1776" s="115"/>
      <c r="L1776" s="169">
        <v>45293</v>
      </c>
      <c r="M1776" s="115">
        <v>494.46</v>
      </c>
      <c r="N1776" s="115">
        <v>500</v>
      </c>
      <c r="O1776" s="115">
        <v>492.9</v>
      </c>
      <c r="P1776" s="115">
        <v>500</v>
      </c>
      <c r="Q1776" s="115">
        <v>1236.1500000000001</v>
      </c>
      <c r="R1776">
        <v>982195</v>
      </c>
    </row>
    <row r="1777" spans="1:18" x14ac:dyDescent="0.25">
      <c r="A1777" s="169">
        <v>45294</v>
      </c>
      <c r="B1777" s="115">
        <v>495.84</v>
      </c>
      <c r="C1777" s="115">
        <v>490.22</v>
      </c>
      <c r="D1777" s="115">
        <v>482.72</v>
      </c>
      <c r="E1777" s="115">
        <v>491.14</v>
      </c>
      <c r="F1777" s="115">
        <v>1225.55</v>
      </c>
      <c r="G1777">
        <v>30907</v>
      </c>
      <c r="H1777" s="115"/>
      <c r="I1777" s="115"/>
      <c r="L1777" s="169">
        <v>45294</v>
      </c>
      <c r="M1777" s="115">
        <v>490.32</v>
      </c>
      <c r="N1777" s="115">
        <v>495.9</v>
      </c>
      <c r="O1777" s="115">
        <v>482.46</v>
      </c>
      <c r="P1777" s="115">
        <v>490.04</v>
      </c>
      <c r="Q1777" s="115">
        <v>1225.8</v>
      </c>
      <c r="R1777">
        <v>1631101</v>
      </c>
    </row>
    <row r="1778" spans="1:18" x14ac:dyDescent="0.25">
      <c r="A1778" s="169">
        <v>45295</v>
      </c>
      <c r="B1778" s="115">
        <v>511.02</v>
      </c>
      <c r="C1778" s="115">
        <v>503.94</v>
      </c>
      <c r="D1778" s="115">
        <v>493.72</v>
      </c>
      <c r="E1778" s="115">
        <v>499.06</v>
      </c>
      <c r="F1778" s="115">
        <v>1259.8499999999999</v>
      </c>
      <c r="G1778">
        <v>59267</v>
      </c>
      <c r="H1778" s="115"/>
      <c r="I1778" s="115"/>
      <c r="L1778" s="169">
        <v>45295</v>
      </c>
      <c r="M1778" s="115">
        <v>504</v>
      </c>
      <c r="N1778" s="115">
        <v>510.96</v>
      </c>
      <c r="O1778" s="115">
        <v>493.6</v>
      </c>
      <c r="P1778" s="115">
        <v>498.4</v>
      </c>
      <c r="Q1778" s="115">
        <v>1260</v>
      </c>
      <c r="R1778">
        <v>2387192</v>
      </c>
    </row>
    <row r="1779" spans="1:18" x14ac:dyDescent="0.25">
      <c r="A1779" s="169">
        <v>45296</v>
      </c>
      <c r="B1779" s="115">
        <v>513</v>
      </c>
      <c r="C1779" s="115">
        <v>511.44</v>
      </c>
      <c r="D1779" s="115">
        <v>498</v>
      </c>
      <c r="E1779" s="115">
        <v>507.16</v>
      </c>
      <c r="F1779" s="115">
        <v>1278.5999999999999</v>
      </c>
      <c r="G1779">
        <v>435848</v>
      </c>
      <c r="H1779" s="115"/>
      <c r="I1779" s="115"/>
      <c r="L1779" s="169">
        <v>45296</v>
      </c>
      <c r="M1779" s="115">
        <v>511.66</v>
      </c>
      <c r="N1779" s="115">
        <v>513.20000000000005</v>
      </c>
      <c r="O1779" s="115">
        <v>497.7</v>
      </c>
      <c r="P1779" s="115">
        <v>504</v>
      </c>
      <c r="Q1779" s="115">
        <v>1279.1500000000001</v>
      </c>
      <c r="R1779">
        <v>2029763</v>
      </c>
    </row>
    <row r="1780" spans="1:18" x14ac:dyDescent="0.25">
      <c r="A1780" s="169">
        <v>45299</v>
      </c>
      <c r="B1780" s="115">
        <v>516.74</v>
      </c>
      <c r="C1780" s="115">
        <v>507.84</v>
      </c>
      <c r="D1780" s="115">
        <v>504.08</v>
      </c>
      <c r="E1780" s="115">
        <v>512.02</v>
      </c>
      <c r="F1780" s="115">
        <v>1269.5999999999999</v>
      </c>
      <c r="G1780">
        <v>44793</v>
      </c>
      <c r="H1780" s="115"/>
      <c r="I1780" s="115"/>
      <c r="L1780" s="169">
        <v>45299</v>
      </c>
      <c r="M1780" s="115">
        <v>507.8</v>
      </c>
      <c r="N1780" s="115">
        <v>517.58000000000004</v>
      </c>
      <c r="O1780" s="115">
        <v>504</v>
      </c>
      <c r="P1780" s="115">
        <v>511.66</v>
      </c>
      <c r="Q1780" s="115">
        <v>1269.5</v>
      </c>
      <c r="R1780">
        <v>1654957</v>
      </c>
    </row>
    <row r="1781" spans="1:18" x14ac:dyDescent="0.25">
      <c r="A1781" s="169">
        <v>45300</v>
      </c>
      <c r="B1781" s="115">
        <v>523.6</v>
      </c>
      <c r="C1781" s="115">
        <v>518.24</v>
      </c>
      <c r="D1781" s="115">
        <v>508.06</v>
      </c>
      <c r="E1781" s="115">
        <v>508.06</v>
      </c>
      <c r="F1781" s="115">
        <v>1295.5999999999999</v>
      </c>
      <c r="G1781">
        <v>149570</v>
      </c>
      <c r="H1781" s="115"/>
      <c r="I1781" s="115"/>
      <c r="L1781" s="169">
        <v>45300</v>
      </c>
      <c r="M1781" s="115">
        <v>519.02</v>
      </c>
      <c r="N1781" s="115">
        <v>523.98</v>
      </c>
      <c r="O1781" s="115">
        <v>508.42</v>
      </c>
      <c r="P1781" s="115">
        <v>509.12</v>
      </c>
      <c r="Q1781" s="115">
        <v>1297.55</v>
      </c>
      <c r="R1781">
        <v>1773125</v>
      </c>
    </row>
    <row r="1782" spans="1:18" x14ac:dyDescent="0.25">
      <c r="A1782" s="169">
        <v>45301</v>
      </c>
      <c r="B1782" s="115">
        <v>521.38</v>
      </c>
      <c r="C1782" s="115">
        <v>507.92</v>
      </c>
      <c r="D1782" s="115">
        <v>504.82</v>
      </c>
      <c r="E1782" s="115">
        <v>519.58000000000004</v>
      </c>
      <c r="F1782" s="115">
        <v>1269.8</v>
      </c>
      <c r="G1782">
        <v>34990</v>
      </c>
      <c r="H1782" s="115"/>
      <c r="I1782" s="115"/>
      <c r="L1782" s="169">
        <v>45301</v>
      </c>
      <c r="M1782" s="115">
        <v>507.48</v>
      </c>
      <c r="N1782" s="115">
        <v>521.98</v>
      </c>
      <c r="O1782" s="115">
        <v>504.02</v>
      </c>
      <c r="P1782" s="115">
        <v>518.79999999999995</v>
      </c>
      <c r="Q1782" s="115">
        <v>1268.7</v>
      </c>
      <c r="R1782">
        <v>1530973</v>
      </c>
    </row>
    <row r="1783" spans="1:18" x14ac:dyDescent="0.25">
      <c r="A1783" s="169">
        <v>45302</v>
      </c>
      <c r="B1783" s="115">
        <v>516.02</v>
      </c>
      <c r="C1783" s="115">
        <v>511.14</v>
      </c>
      <c r="D1783" s="115">
        <v>506.82</v>
      </c>
      <c r="E1783" s="115">
        <v>516.02</v>
      </c>
      <c r="F1783" s="115">
        <v>1277.8499999999999</v>
      </c>
      <c r="G1783">
        <v>65170</v>
      </c>
      <c r="H1783" s="115"/>
      <c r="I1783" s="115"/>
      <c r="L1783" s="169">
        <v>45302</v>
      </c>
      <c r="M1783" s="115">
        <v>511.24</v>
      </c>
      <c r="N1783" s="115">
        <v>514.9</v>
      </c>
      <c r="O1783" s="115">
        <v>506.82</v>
      </c>
      <c r="P1783" s="115">
        <v>512.94000000000005</v>
      </c>
      <c r="Q1783" s="115">
        <v>1278.0999999999999</v>
      </c>
      <c r="R1783">
        <v>923775</v>
      </c>
    </row>
    <row r="1784" spans="1:18" x14ac:dyDescent="0.25">
      <c r="A1784" s="169">
        <v>45303</v>
      </c>
      <c r="B1784" s="115">
        <v>509.6</v>
      </c>
      <c r="C1784" s="115">
        <v>506.06</v>
      </c>
      <c r="D1784" s="115">
        <v>503.58</v>
      </c>
      <c r="E1784" s="115">
        <v>508.56</v>
      </c>
      <c r="F1784" s="115">
        <v>1265.1500000000001</v>
      </c>
      <c r="G1784">
        <v>25834</v>
      </c>
      <c r="H1784" s="115"/>
      <c r="I1784" s="115"/>
      <c r="L1784" s="169">
        <v>45303</v>
      </c>
      <c r="M1784" s="115">
        <v>506.02</v>
      </c>
      <c r="N1784" s="115">
        <v>511.18</v>
      </c>
      <c r="O1784" s="115">
        <v>503.4</v>
      </c>
      <c r="P1784" s="115">
        <v>508.44</v>
      </c>
      <c r="Q1784" s="115">
        <v>1265.05</v>
      </c>
      <c r="R1784">
        <v>2631987</v>
      </c>
    </row>
    <row r="1785" spans="1:18" x14ac:dyDescent="0.25">
      <c r="A1785" s="169">
        <v>45306</v>
      </c>
      <c r="B1785" s="115">
        <v>512</v>
      </c>
      <c r="C1785" s="115">
        <v>508.88</v>
      </c>
      <c r="D1785" s="115">
        <v>504.54</v>
      </c>
      <c r="E1785" s="115">
        <v>506.48</v>
      </c>
      <c r="F1785" s="115">
        <v>1272.2</v>
      </c>
      <c r="G1785">
        <v>195565</v>
      </c>
      <c r="H1785" s="115"/>
      <c r="I1785" s="115"/>
      <c r="L1785" s="169">
        <v>45306</v>
      </c>
      <c r="M1785" s="115">
        <v>508.68</v>
      </c>
      <c r="N1785" s="115">
        <v>512</v>
      </c>
      <c r="O1785" s="115">
        <v>504.56</v>
      </c>
      <c r="P1785" s="115">
        <v>510.4</v>
      </c>
      <c r="Q1785" s="115">
        <v>1271.7</v>
      </c>
      <c r="R1785">
        <v>1502401</v>
      </c>
    </row>
    <row r="1786" spans="1:18" x14ac:dyDescent="0.25">
      <c r="A1786" s="169">
        <v>45307</v>
      </c>
      <c r="B1786" s="115">
        <v>510</v>
      </c>
      <c r="C1786" s="115">
        <v>505.98</v>
      </c>
      <c r="D1786" s="115">
        <v>502.4</v>
      </c>
      <c r="E1786" s="115">
        <v>509.38</v>
      </c>
      <c r="F1786" s="115">
        <v>1264.95</v>
      </c>
      <c r="G1786">
        <v>64363</v>
      </c>
      <c r="H1786" s="115"/>
      <c r="I1786" s="115"/>
      <c r="L1786" s="169">
        <v>45307</v>
      </c>
      <c r="M1786" s="115">
        <v>506.44</v>
      </c>
      <c r="N1786" s="115">
        <v>510.4</v>
      </c>
      <c r="O1786" s="115">
        <v>502.42</v>
      </c>
      <c r="P1786" s="115">
        <v>509.52</v>
      </c>
      <c r="Q1786" s="115">
        <v>1266.0999999999999</v>
      </c>
      <c r="R1786">
        <v>1320740</v>
      </c>
    </row>
    <row r="1787" spans="1:18" x14ac:dyDescent="0.25">
      <c r="A1787" s="169">
        <v>45308</v>
      </c>
      <c r="B1787" s="115">
        <v>504.74</v>
      </c>
      <c r="C1787" s="115">
        <v>499.56</v>
      </c>
      <c r="D1787" s="115">
        <v>492.32</v>
      </c>
      <c r="E1787" s="115">
        <v>503.48</v>
      </c>
      <c r="F1787" s="115">
        <v>1248.9000000000001</v>
      </c>
      <c r="G1787">
        <v>34988</v>
      </c>
      <c r="H1787" s="115"/>
      <c r="I1787" s="115"/>
      <c r="L1787" s="169">
        <v>45308</v>
      </c>
      <c r="M1787" s="115">
        <v>499.4</v>
      </c>
      <c r="N1787" s="115">
        <v>505.44</v>
      </c>
      <c r="O1787" s="115">
        <v>492.04</v>
      </c>
      <c r="P1787" s="115">
        <v>502.4</v>
      </c>
      <c r="Q1787" s="115">
        <v>1248.5</v>
      </c>
      <c r="R1787">
        <v>2159125</v>
      </c>
    </row>
    <row r="1788" spans="1:18" x14ac:dyDescent="0.25">
      <c r="A1788" s="169">
        <v>45309</v>
      </c>
      <c r="B1788" s="115">
        <v>499.96</v>
      </c>
      <c r="C1788" s="115">
        <v>492.36</v>
      </c>
      <c r="D1788" s="115">
        <v>478.48</v>
      </c>
      <c r="E1788" s="115">
        <v>499.96</v>
      </c>
      <c r="F1788" s="115">
        <v>1230.9000000000001</v>
      </c>
      <c r="G1788">
        <v>132784</v>
      </c>
      <c r="H1788" s="115"/>
      <c r="I1788" s="115"/>
      <c r="L1788" s="169">
        <v>45309</v>
      </c>
      <c r="M1788" s="115">
        <v>492.06</v>
      </c>
      <c r="N1788" s="115">
        <v>499.82</v>
      </c>
      <c r="O1788" s="115">
        <v>478.56</v>
      </c>
      <c r="P1788" s="115">
        <v>497.6</v>
      </c>
      <c r="Q1788" s="115">
        <v>1230.1500000000001</v>
      </c>
      <c r="R1788">
        <v>1854390</v>
      </c>
    </row>
    <row r="1789" spans="1:18" x14ac:dyDescent="0.25">
      <c r="A1789" s="169">
        <v>45310</v>
      </c>
      <c r="B1789" s="115">
        <v>512.79999999999995</v>
      </c>
      <c r="C1789" s="115">
        <v>507.18</v>
      </c>
      <c r="D1789" s="115">
        <v>491.22</v>
      </c>
      <c r="E1789" s="115">
        <v>494.96</v>
      </c>
      <c r="F1789" s="115">
        <v>1267.95</v>
      </c>
      <c r="G1789">
        <v>2470318</v>
      </c>
      <c r="H1789" s="115"/>
      <c r="I1789" s="115"/>
      <c r="L1789" s="169">
        <v>45310</v>
      </c>
      <c r="M1789" s="115">
        <v>506.94</v>
      </c>
      <c r="N1789" s="115">
        <v>512.96</v>
      </c>
      <c r="O1789" s="115">
        <v>491.2</v>
      </c>
      <c r="P1789" s="115">
        <v>495.56</v>
      </c>
      <c r="Q1789" s="115">
        <v>1267.3499999999999</v>
      </c>
      <c r="R1789">
        <v>2841357</v>
      </c>
    </row>
    <row r="1790" spans="1:18" x14ac:dyDescent="0.25">
      <c r="A1790" s="169">
        <v>45311</v>
      </c>
      <c r="B1790" s="115">
        <v>514</v>
      </c>
      <c r="C1790" s="115">
        <v>503.64</v>
      </c>
      <c r="D1790" s="115">
        <v>502.4</v>
      </c>
      <c r="E1790" s="115">
        <v>510.18</v>
      </c>
      <c r="F1790" s="115">
        <v>1259.0999999999999</v>
      </c>
      <c r="G1790">
        <v>70079</v>
      </c>
      <c r="H1790" s="115"/>
      <c r="I1790" s="115"/>
      <c r="L1790" s="169">
        <v>45311</v>
      </c>
      <c r="M1790" s="115">
        <v>504.16</v>
      </c>
      <c r="N1790" s="115">
        <v>514.16</v>
      </c>
      <c r="O1790" s="115">
        <v>503.2</v>
      </c>
      <c r="P1790" s="115">
        <v>514</v>
      </c>
      <c r="Q1790" s="115">
        <v>1260.4000000000001</v>
      </c>
      <c r="R1790">
        <v>370668</v>
      </c>
    </row>
    <row r="1791" spans="1:18" x14ac:dyDescent="0.25">
      <c r="A1791" s="169">
        <v>45314</v>
      </c>
      <c r="B1791" s="115">
        <v>511.36</v>
      </c>
      <c r="C1791" s="115">
        <v>508.32</v>
      </c>
      <c r="D1791" s="115">
        <v>497.9</v>
      </c>
      <c r="E1791" s="115">
        <v>505.14</v>
      </c>
      <c r="F1791" s="115">
        <v>1270.8</v>
      </c>
      <c r="G1791">
        <v>43529</v>
      </c>
      <c r="H1791" s="115"/>
      <c r="I1791" s="115"/>
      <c r="L1791" s="169">
        <v>45314</v>
      </c>
      <c r="M1791" s="115">
        <v>508.7</v>
      </c>
      <c r="N1791" s="115">
        <v>511.9</v>
      </c>
      <c r="O1791" s="115">
        <v>497.28</v>
      </c>
      <c r="P1791" s="115">
        <v>504.4</v>
      </c>
      <c r="Q1791" s="115">
        <v>1271.75</v>
      </c>
      <c r="R1791">
        <v>1907173</v>
      </c>
    </row>
    <row r="1792" spans="1:18" x14ac:dyDescent="0.25">
      <c r="A1792" s="169">
        <v>45315</v>
      </c>
      <c r="B1792" s="115">
        <v>508.8</v>
      </c>
      <c r="C1792" s="115">
        <v>506.62</v>
      </c>
      <c r="D1792" s="115">
        <v>501.5</v>
      </c>
      <c r="E1792" s="115">
        <v>502</v>
      </c>
      <c r="F1792" s="115">
        <v>1266.55</v>
      </c>
      <c r="G1792">
        <v>100131</v>
      </c>
      <c r="H1792" s="115"/>
      <c r="I1792" s="115"/>
      <c r="L1792" s="169">
        <v>45315</v>
      </c>
      <c r="M1792" s="115">
        <v>506.54</v>
      </c>
      <c r="N1792" s="115">
        <v>509.92</v>
      </c>
      <c r="O1792" s="115">
        <v>501.2</v>
      </c>
      <c r="P1792" s="115">
        <v>504.4</v>
      </c>
      <c r="Q1792" s="115">
        <v>1266.3499999999999</v>
      </c>
      <c r="R1792">
        <v>3071911</v>
      </c>
    </row>
    <row r="1793" spans="1:18" x14ac:dyDescent="0.25">
      <c r="A1793" s="169">
        <v>45316</v>
      </c>
      <c r="B1793" s="115">
        <v>506.38</v>
      </c>
      <c r="C1793" s="115">
        <v>503.54</v>
      </c>
      <c r="D1793" s="115">
        <v>488.4</v>
      </c>
      <c r="E1793" s="115">
        <v>506.38</v>
      </c>
      <c r="F1793" s="115">
        <v>1258.8499999999999</v>
      </c>
      <c r="G1793">
        <v>145191</v>
      </c>
      <c r="H1793" s="115"/>
      <c r="I1793" s="115"/>
      <c r="L1793" s="169">
        <v>45316</v>
      </c>
      <c r="M1793" s="115">
        <v>502.96</v>
      </c>
      <c r="N1793" s="115">
        <v>506</v>
      </c>
      <c r="O1793" s="115">
        <v>488.4</v>
      </c>
      <c r="P1793" s="115">
        <v>505.42</v>
      </c>
      <c r="Q1793" s="115">
        <v>1257.4000000000001</v>
      </c>
      <c r="R1793">
        <v>3331395</v>
      </c>
    </row>
    <row r="1794" spans="1:18" x14ac:dyDescent="0.25">
      <c r="A1794" s="169">
        <v>45320</v>
      </c>
      <c r="B1794" s="115">
        <v>510.8</v>
      </c>
      <c r="C1794" s="115">
        <v>507.88</v>
      </c>
      <c r="D1794" s="115">
        <v>500</v>
      </c>
      <c r="E1794" s="115">
        <v>500</v>
      </c>
      <c r="F1794" s="115">
        <v>1269.7</v>
      </c>
      <c r="G1794">
        <v>251761</v>
      </c>
      <c r="H1794" s="115"/>
      <c r="I1794" s="115"/>
      <c r="L1794" s="169">
        <v>45320</v>
      </c>
      <c r="M1794" s="115">
        <v>507.82</v>
      </c>
      <c r="N1794" s="115">
        <v>511.14</v>
      </c>
      <c r="O1794" s="115">
        <v>499.6</v>
      </c>
      <c r="P1794" s="115">
        <v>500</v>
      </c>
      <c r="Q1794" s="115">
        <v>1269.55</v>
      </c>
      <c r="R1794">
        <v>1829987</v>
      </c>
    </row>
    <row r="1795" spans="1:18" x14ac:dyDescent="0.25">
      <c r="A1795" s="169">
        <v>45321</v>
      </c>
      <c r="B1795" s="115">
        <v>513.04</v>
      </c>
      <c r="C1795" s="115">
        <v>500.34</v>
      </c>
      <c r="D1795" s="115">
        <v>496.56</v>
      </c>
      <c r="E1795" s="115">
        <v>510.74</v>
      </c>
      <c r="F1795" s="115">
        <v>1250.8499999999999</v>
      </c>
      <c r="G1795">
        <v>119012</v>
      </c>
      <c r="H1795" s="115"/>
      <c r="I1795" s="115"/>
      <c r="L1795" s="169">
        <v>45321</v>
      </c>
      <c r="M1795" s="115">
        <v>500.48</v>
      </c>
      <c r="N1795" s="115">
        <v>513.5</v>
      </c>
      <c r="O1795" s="115">
        <v>496.48</v>
      </c>
      <c r="P1795" s="115">
        <v>510.02</v>
      </c>
      <c r="Q1795" s="115">
        <v>1251.2</v>
      </c>
      <c r="R1795">
        <v>2786643</v>
      </c>
    </row>
    <row r="1796" spans="1:18" x14ac:dyDescent="0.25">
      <c r="A1796" s="169">
        <v>45322</v>
      </c>
      <c r="B1796" s="115">
        <v>513.96</v>
      </c>
      <c r="C1796" s="115">
        <v>512.04</v>
      </c>
      <c r="D1796" s="115">
        <v>492.6</v>
      </c>
      <c r="E1796" s="115">
        <v>493.94</v>
      </c>
      <c r="F1796" s="115">
        <v>1280.0999999999999</v>
      </c>
      <c r="G1796">
        <v>44926</v>
      </c>
      <c r="H1796" s="115"/>
      <c r="I1796" s="115"/>
      <c r="L1796" s="169">
        <v>45322</v>
      </c>
      <c r="M1796" s="115">
        <v>512.16</v>
      </c>
      <c r="N1796" s="115">
        <v>514</v>
      </c>
      <c r="O1796" s="115">
        <v>492.4</v>
      </c>
      <c r="P1796" s="115">
        <v>492.4</v>
      </c>
      <c r="Q1796" s="115">
        <v>1280.4000000000001</v>
      </c>
      <c r="R1796">
        <v>2199936</v>
      </c>
    </row>
    <row r="1797" spans="1:18" x14ac:dyDescent="0.25">
      <c r="A1797" s="169">
        <v>45323</v>
      </c>
      <c r="B1797" s="115">
        <v>515.46</v>
      </c>
      <c r="C1797" s="115">
        <v>513.84</v>
      </c>
      <c r="D1797" s="115">
        <v>507.26</v>
      </c>
      <c r="E1797" s="115">
        <v>512.46</v>
      </c>
      <c r="F1797" s="115">
        <v>1284.5999999999999</v>
      </c>
      <c r="G1797">
        <v>55388</v>
      </c>
      <c r="H1797" s="115"/>
      <c r="I1797" s="115"/>
      <c r="L1797" s="169">
        <v>45323</v>
      </c>
      <c r="M1797" s="115">
        <v>513.79999999999995</v>
      </c>
      <c r="N1797" s="115">
        <v>515.55999999999995</v>
      </c>
      <c r="O1797" s="115">
        <v>506.56</v>
      </c>
      <c r="P1797" s="115">
        <v>513.12</v>
      </c>
      <c r="Q1797" s="115">
        <v>1284.5</v>
      </c>
      <c r="R1797">
        <v>1228164</v>
      </c>
    </row>
    <row r="1798" spans="1:18" x14ac:dyDescent="0.25">
      <c r="A1798" s="169">
        <v>45324</v>
      </c>
      <c r="B1798" s="115">
        <v>521.20000000000005</v>
      </c>
      <c r="C1798" s="115">
        <v>514.26</v>
      </c>
      <c r="D1798" s="115">
        <v>508.38</v>
      </c>
      <c r="E1798" s="115">
        <v>511.96</v>
      </c>
      <c r="F1798" s="115">
        <v>1285.6500000000001</v>
      </c>
      <c r="G1798">
        <v>129869</v>
      </c>
      <c r="H1798" s="115"/>
      <c r="I1798" s="115"/>
      <c r="L1798" s="169">
        <v>45324</v>
      </c>
      <c r="M1798" s="115">
        <v>514.29999999999995</v>
      </c>
      <c r="N1798" s="115">
        <v>521.38</v>
      </c>
      <c r="O1798" s="115">
        <v>508.4</v>
      </c>
      <c r="P1798" s="115">
        <v>508.44</v>
      </c>
      <c r="Q1798" s="115">
        <v>1285.75</v>
      </c>
      <c r="R1798">
        <v>2161744</v>
      </c>
    </row>
    <row r="1799" spans="1:18" x14ac:dyDescent="0.25">
      <c r="A1799" s="169">
        <v>45327</v>
      </c>
      <c r="B1799" s="115">
        <v>528.14</v>
      </c>
      <c r="C1799" s="115">
        <v>520.86</v>
      </c>
      <c r="D1799" s="115">
        <v>504.26</v>
      </c>
      <c r="E1799" s="115">
        <v>517.48</v>
      </c>
      <c r="F1799" s="115">
        <v>1302.1500000000001</v>
      </c>
      <c r="G1799">
        <v>100219</v>
      </c>
      <c r="H1799" s="115"/>
      <c r="I1799" s="115"/>
      <c r="L1799" s="169">
        <v>45327</v>
      </c>
      <c r="M1799" s="115">
        <v>521</v>
      </c>
      <c r="N1799" s="115">
        <v>528</v>
      </c>
      <c r="O1799" s="115">
        <v>504</v>
      </c>
      <c r="P1799" s="115">
        <v>515.79999999999995</v>
      </c>
      <c r="Q1799" s="115">
        <v>1302.5</v>
      </c>
      <c r="R1799">
        <v>4202812</v>
      </c>
    </row>
    <row r="1800" spans="1:18" x14ac:dyDescent="0.25">
      <c r="A1800" s="169">
        <v>45328</v>
      </c>
      <c r="B1800" s="115">
        <v>540</v>
      </c>
      <c r="C1800" s="115">
        <v>538.98</v>
      </c>
      <c r="D1800" s="115">
        <v>523.38</v>
      </c>
      <c r="E1800" s="115">
        <v>529.94000000000005</v>
      </c>
      <c r="F1800" s="115">
        <v>1347.45</v>
      </c>
      <c r="G1800">
        <v>94626</v>
      </c>
      <c r="H1800" s="115"/>
      <c r="I1800" s="115"/>
      <c r="L1800" s="169">
        <v>45328</v>
      </c>
      <c r="M1800" s="115">
        <v>538.86</v>
      </c>
      <c r="N1800" s="115">
        <v>540</v>
      </c>
      <c r="O1800" s="115">
        <v>523.28</v>
      </c>
      <c r="P1800" s="115">
        <v>528.4</v>
      </c>
      <c r="Q1800" s="115">
        <v>1347.15</v>
      </c>
      <c r="R1800">
        <v>4157457</v>
      </c>
    </row>
    <row r="1801" spans="1:18" x14ac:dyDescent="0.25">
      <c r="A1801" s="169">
        <v>45329</v>
      </c>
      <c r="B1801" s="115">
        <v>545.67999999999995</v>
      </c>
      <c r="C1801" s="115">
        <v>536.9</v>
      </c>
      <c r="D1801" s="115">
        <v>531.4</v>
      </c>
      <c r="E1801" s="115">
        <v>543.91999999999996</v>
      </c>
      <c r="F1801" s="115">
        <v>1342.25</v>
      </c>
      <c r="G1801">
        <v>112831</v>
      </c>
      <c r="H1801" s="115"/>
      <c r="I1801" s="115"/>
      <c r="L1801" s="169">
        <v>45329</v>
      </c>
      <c r="M1801" s="115">
        <v>538.08000000000004</v>
      </c>
      <c r="N1801" s="115">
        <v>545.79999999999995</v>
      </c>
      <c r="O1801" s="115">
        <v>531.41999999999996</v>
      </c>
      <c r="P1801" s="115">
        <v>542.4</v>
      </c>
      <c r="Q1801" s="115">
        <v>1345.2</v>
      </c>
      <c r="R1801">
        <v>1802321</v>
      </c>
    </row>
    <row r="1802" spans="1:18" x14ac:dyDescent="0.25">
      <c r="A1802" s="169">
        <v>45330</v>
      </c>
      <c r="B1802" s="115">
        <v>564.9</v>
      </c>
      <c r="C1802" s="115">
        <v>549.86</v>
      </c>
      <c r="D1802" s="115">
        <v>538.1</v>
      </c>
      <c r="E1802" s="115">
        <v>538.1</v>
      </c>
      <c r="F1802" s="115">
        <v>1374.65</v>
      </c>
      <c r="G1802">
        <v>79644</v>
      </c>
      <c r="H1802" s="115"/>
      <c r="I1802" s="115"/>
      <c r="L1802" s="169">
        <v>45330</v>
      </c>
      <c r="M1802" s="115">
        <v>550.14</v>
      </c>
      <c r="N1802" s="115">
        <v>565.44000000000005</v>
      </c>
      <c r="O1802" s="115">
        <v>538</v>
      </c>
      <c r="P1802" s="115">
        <v>539.79999999999995</v>
      </c>
      <c r="Q1802" s="115">
        <v>1375.35</v>
      </c>
      <c r="R1802">
        <v>3303671</v>
      </c>
    </row>
    <row r="1803" spans="1:18" x14ac:dyDescent="0.25">
      <c r="A1803" s="169">
        <v>45331</v>
      </c>
      <c r="B1803" s="115">
        <v>563.79999999999995</v>
      </c>
      <c r="C1803" s="115">
        <v>548.24</v>
      </c>
      <c r="D1803" s="115">
        <v>544.88</v>
      </c>
      <c r="E1803" s="115">
        <v>552.29999999999995</v>
      </c>
      <c r="F1803" s="115">
        <v>1370.6</v>
      </c>
      <c r="G1803">
        <v>45348</v>
      </c>
      <c r="H1803" s="115"/>
      <c r="I1803" s="115"/>
      <c r="L1803" s="169">
        <v>45331</v>
      </c>
      <c r="M1803" s="115">
        <v>548</v>
      </c>
      <c r="N1803" s="115">
        <v>563.96</v>
      </c>
      <c r="O1803" s="115">
        <v>544.02</v>
      </c>
      <c r="P1803" s="115">
        <v>551.62</v>
      </c>
      <c r="Q1803" s="115">
        <v>1370</v>
      </c>
      <c r="R1803">
        <v>2525432</v>
      </c>
    </row>
    <row r="1804" spans="1:18" x14ac:dyDescent="0.25">
      <c r="A1804" s="169">
        <v>45334</v>
      </c>
      <c r="B1804" s="115">
        <v>557.70000000000005</v>
      </c>
      <c r="C1804" s="115">
        <v>555.6</v>
      </c>
      <c r="D1804" s="115">
        <v>545.79999999999995</v>
      </c>
      <c r="E1804" s="115">
        <v>555.58000000000004</v>
      </c>
      <c r="F1804" s="115">
        <v>1389</v>
      </c>
      <c r="G1804">
        <v>125480</v>
      </c>
      <c r="H1804" s="115"/>
      <c r="I1804" s="115"/>
      <c r="L1804" s="169">
        <v>45334</v>
      </c>
      <c r="M1804" s="115">
        <v>555.74</v>
      </c>
      <c r="N1804" s="115">
        <v>557.88</v>
      </c>
      <c r="O1804" s="115">
        <v>546.82000000000005</v>
      </c>
      <c r="P1804" s="115">
        <v>551.6</v>
      </c>
      <c r="Q1804" s="115">
        <v>1389.35</v>
      </c>
      <c r="R1804">
        <v>1289333</v>
      </c>
    </row>
    <row r="1805" spans="1:18" x14ac:dyDescent="0.25">
      <c r="A1805" s="169">
        <v>45335</v>
      </c>
      <c r="B1805" s="115">
        <v>563.6</v>
      </c>
      <c r="C1805" s="115">
        <v>557.91999999999996</v>
      </c>
      <c r="D1805" s="115">
        <v>552</v>
      </c>
      <c r="E1805" s="115">
        <v>557.82000000000005</v>
      </c>
      <c r="F1805" s="115">
        <v>1394.8</v>
      </c>
      <c r="G1805">
        <v>61137</v>
      </c>
      <c r="H1805" s="115"/>
      <c r="I1805" s="115"/>
      <c r="L1805" s="169">
        <v>45335</v>
      </c>
      <c r="M1805" s="115">
        <v>557.79999999999995</v>
      </c>
      <c r="N1805" s="115">
        <v>563.6</v>
      </c>
      <c r="O1805" s="115">
        <v>551.6</v>
      </c>
      <c r="P1805" s="115">
        <v>556.02</v>
      </c>
      <c r="Q1805" s="115">
        <v>1394.5</v>
      </c>
      <c r="R1805">
        <v>1277737</v>
      </c>
    </row>
    <row r="1806" spans="1:18" x14ac:dyDescent="0.25">
      <c r="A1806" s="169">
        <v>45336</v>
      </c>
      <c r="B1806" s="115">
        <v>576.78</v>
      </c>
      <c r="C1806" s="115">
        <v>572.76</v>
      </c>
      <c r="D1806" s="115">
        <v>553.55999999999995</v>
      </c>
      <c r="E1806" s="115">
        <v>556.17999999999995</v>
      </c>
      <c r="F1806" s="115">
        <v>1431.9</v>
      </c>
      <c r="G1806">
        <v>110913</v>
      </c>
      <c r="H1806" s="115"/>
      <c r="I1806" s="115"/>
      <c r="L1806" s="169">
        <v>45336</v>
      </c>
      <c r="M1806" s="115">
        <v>572.28</v>
      </c>
      <c r="N1806" s="115">
        <v>576.79999999999995</v>
      </c>
      <c r="O1806" s="115">
        <v>553.6</v>
      </c>
      <c r="P1806" s="115">
        <v>557.86</v>
      </c>
      <c r="Q1806" s="115">
        <v>1430.7</v>
      </c>
      <c r="R1806">
        <v>1372833</v>
      </c>
    </row>
    <row r="1807" spans="1:18" x14ac:dyDescent="0.25">
      <c r="A1807" s="169">
        <v>45337</v>
      </c>
      <c r="B1807" s="115">
        <v>582.38</v>
      </c>
      <c r="C1807" s="115">
        <v>570.02</v>
      </c>
      <c r="D1807" s="115">
        <v>568</v>
      </c>
      <c r="E1807" s="115">
        <v>576.4</v>
      </c>
      <c r="F1807" s="115">
        <v>1425.05</v>
      </c>
      <c r="G1807">
        <v>133769</v>
      </c>
      <c r="H1807" s="115"/>
      <c r="I1807" s="115"/>
      <c r="L1807" s="169">
        <v>45337</v>
      </c>
      <c r="M1807" s="115">
        <v>570.12</v>
      </c>
      <c r="N1807" s="115">
        <v>582.4</v>
      </c>
      <c r="O1807" s="115">
        <v>568.02</v>
      </c>
      <c r="P1807" s="115">
        <v>576</v>
      </c>
      <c r="Q1807" s="115">
        <v>1425.3</v>
      </c>
      <c r="R1807">
        <v>1957092</v>
      </c>
    </row>
    <row r="1808" spans="1:18" x14ac:dyDescent="0.25">
      <c r="A1808" s="169">
        <v>45338</v>
      </c>
      <c r="B1808" s="115">
        <v>573.54</v>
      </c>
      <c r="C1808" s="115">
        <v>568.64</v>
      </c>
      <c r="D1808" s="115">
        <v>560.86</v>
      </c>
      <c r="E1808" s="115">
        <v>566</v>
      </c>
      <c r="F1808" s="115">
        <v>1421.6</v>
      </c>
      <c r="G1808">
        <v>34417</v>
      </c>
      <c r="H1808" s="115"/>
      <c r="I1808" s="115"/>
      <c r="L1808" s="169">
        <v>45338</v>
      </c>
      <c r="M1808" s="115">
        <v>569.22</v>
      </c>
      <c r="N1808" s="115">
        <v>573.6</v>
      </c>
      <c r="O1808" s="115">
        <v>560.79999999999995</v>
      </c>
      <c r="P1808" s="115">
        <v>568</v>
      </c>
      <c r="Q1808" s="115">
        <v>1423.05</v>
      </c>
      <c r="R1808">
        <v>1531369</v>
      </c>
    </row>
    <row r="1809" spans="1:18" x14ac:dyDescent="0.25">
      <c r="A1809" s="169">
        <v>45341</v>
      </c>
      <c r="B1809" s="115">
        <v>576.91999999999996</v>
      </c>
      <c r="C1809" s="115">
        <v>575.41999999999996</v>
      </c>
      <c r="D1809" s="115">
        <v>568.74</v>
      </c>
      <c r="E1809" s="115">
        <v>572.22</v>
      </c>
      <c r="F1809" s="115">
        <v>1438.55</v>
      </c>
      <c r="G1809">
        <v>22462</v>
      </c>
      <c r="H1809" s="115"/>
      <c r="I1809" s="115"/>
      <c r="L1809" s="169">
        <v>45341</v>
      </c>
      <c r="M1809" s="115">
        <v>575.32000000000005</v>
      </c>
      <c r="N1809" s="115">
        <v>576.98</v>
      </c>
      <c r="O1809" s="115">
        <v>568.82000000000005</v>
      </c>
      <c r="P1809" s="115">
        <v>571.52</v>
      </c>
      <c r="Q1809" s="115">
        <v>1438.3</v>
      </c>
      <c r="R1809">
        <v>498288</v>
      </c>
    </row>
    <row r="1810" spans="1:18" x14ac:dyDescent="0.25">
      <c r="A1810" s="169">
        <v>45342</v>
      </c>
      <c r="B1810" s="115">
        <v>580.41999999999996</v>
      </c>
      <c r="C1810" s="115">
        <v>575.1</v>
      </c>
      <c r="D1810" s="115">
        <v>572.34</v>
      </c>
      <c r="E1810" s="115">
        <v>580.4</v>
      </c>
      <c r="F1810" s="115">
        <v>1437.75</v>
      </c>
      <c r="G1810">
        <v>38504</v>
      </c>
      <c r="H1810" s="115"/>
      <c r="I1810" s="115"/>
      <c r="L1810" s="169">
        <v>45342</v>
      </c>
      <c r="M1810" s="115">
        <v>575</v>
      </c>
      <c r="N1810" s="115">
        <v>580.96</v>
      </c>
      <c r="O1810" s="115">
        <v>572</v>
      </c>
      <c r="P1810" s="115">
        <v>580.96</v>
      </c>
      <c r="Q1810" s="115">
        <v>1437.5</v>
      </c>
      <c r="R1810">
        <v>1158305</v>
      </c>
    </row>
    <row r="1811" spans="1:18" x14ac:dyDescent="0.25">
      <c r="A1811" s="169">
        <v>45343</v>
      </c>
      <c r="B1811" s="115">
        <v>589.5</v>
      </c>
      <c r="C1811" s="115">
        <v>585.48</v>
      </c>
      <c r="D1811" s="115">
        <v>577.84</v>
      </c>
      <c r="E1811" s="115">
        <v>579.6</v>
      </c>
      <c r="F1811" s="115">
        <v>1463.7</v>
      </c>
      <c r="G1811">
        <v>83475</v>
      </c>
      <c r="H1811" s="115"/>
      <c r="I1811" s="115"/>
      <c r="L1811" s="169">
        <v>45343</v>
      </c>
      <c r="M1811" s="115">
        <v>585.67999999999995</v>
      </c>
      <c r="N1811" s="115">
        <v>589.41999999999996</v>
      </c>
      <c r="O1811" s="115">
        <v>577.1</v>
      </c>
      <c r="P1811" s="115">
        <v>580.76</v>
      </c>
      <c r="Q1811" s="115">
        <v>1464.2</v>
      </c>
      <c r="R1811">
        <v>955888</v>
      </c>
    </row>
    <row r="1812" spans="1:18" x14ac:dyDescent="0.25">
      <c r="A1812" s="169">
        <v>45344</v>
      </c>
      <c r="B1812" s="115">
        <v>600</v>
      </c>
      <c r="C1812" s="115">
        <v>598.86</v>
      </c>
      <c r="D1812" s="115">
        <v>584.82000000000005</v>
      </c>
      <c r="E1812" s="115">
        <v>591.74</v>
      </c>
      <c r="F1812" s="115">
        <v>1497.15</v>
      </c>
      <c r="G1812">
        <v>40462</v>
      </c>
      <c r="H1812" s="115"/>
      <c r="I1812" s="115"/>
      <c r="L1812" s="169">
        <v>45344</v>
      </c>
      <c r="M1812" s="115">
        <v>598.88</v>
      </c>
      <c r="N1812" s="115">
        <v>600</v>
      </c>
      <c r="O1812" s="115">
        <v>585</v>
      </c>
      <c r="P1812" s="115">
        <v>589.79999999999995</v>
      </c>
      <c r="Q1812" s="115">
        <v>1497.2</v>
      </c>
      <c r="R1812">
        <v>1061910</v>
      </c>
    </row>
    <row r="1813" spans="1:18" x14ac:dyDescent="0.25">
      <c r="A1813" s="169">
        <v>45345</v>
      </c>
      <c r="B1813" s="115">
        <v>608.98</v>
      </c>
      <c r="C1813" s="115">
        <v>605.88</v>
      </c>
      <c r="D1813" s="115">
        <v>596.48</v>
      </c>
      <c r="E1813" s="115">
        <v>607.82000000000005</v>
      </c>
      <c r="F1813" s="115">
        <v>1514.7</v>
      </c>
      <c r="G1813">
        <v>36886</v>
      </c>
      <c r="H1813" s="115"/>
      <c r="I1813" s="115"/>
      <c r="L1813" s="169">
        <v>45345</v>
      </c>
      <c r="M1813" s="115">
        <v>605.79999999999995</v>
      </c>
      <c r="N1813" s="115">
        <v>610</v>
      </c>
      <c r="O1813" s="115">
        <v>596.66</v>
      </c>
      <c r="P1813" s="115">
        <v>604.98</v>
      </c>
      <c r="Q1813" s="115">
        <v>1514.5</v>
      </c>
      <c r="R1813">
        <v>1154934</v>
      </c>
    </row>
    <row r="1814" spans="1:18" x14ac:dyDescent="0.25">
      <c r="A1814" s="169">
        <v>45348</v>
      </c>
      <c r="B1814" s="115">
        <v>624.12</v>
      </c>
      <c r="C1814" s="115">
        <v>614.78</v>
      </c>
      <c r="D1814" s="115">
        <v>601.22</v>
      </c>
      <c r="E1814" s="115">
        <v>607.05999999999995</v>
      </c>
      <c r="F1814" s="115">
        <v>1536.95</v>
      </c>
      <c r="G1814">
        <v>115663</v>
      </c>
      <c r="H1814" s="115"/>
      <c r="I1814" s="115"/>
      <c r="L1814" s="169">
        <v>45348</v>
      </c>
      <c r="M1814" s="115">
        <v>614.5</v>
      </c>
      <c r="N1814" s="115">
        <v>624.78</v>
      </c>
      <c r="O1814" s="115">
        <v>602.88</v>
      </c>
      <c r="P1814" s="115">
        <v>605.82000000000005</v>
      </c>
      <c r="Q1814" s="115">
        <v>1536.25</v>
      </c>
      <c r="R1814">
        <v>1267312</v>
      </c>
    </row>
    <row r="1815" spans="1:18" x14ac:dyDescent="0.25">
      <c r="A1815" s="169">
        <v>45349</v>
      </c>
      <c r="B1815" s="115">
        <v>613.17999999999995</v>
      </c>
      <c r="C1815" s="115">
        <v>586.58000000000004</v>
      </c>
      <c r="D1815" s="115">
        <v>580.88</v>
      </c>
      <c r="E1815" s="115">
        <v>613.12</v>
      </c>
      <c r="F1815" s="115">
        <v>1466.45</v>
      </c>
      <c r="G1815">
        <v>438810</v>
      </c>
      <c r="H1815" s="115"/>
      <c r="I1815" s="115"/>
      <c r="L1815" s="169">
        <v>45349</v>
      </c>
      <c r="M1815" s="115">
        <v>586.79999999999995</v>
      </c>
      <c r="N1815" s="115">
        <v>612.54</v>
      </c>
      <c r="O1815" s="115">
        <v>581.20000000000005</v>
      </c>
      <c r="P1815" s="115">
        <v>612</v>
      </c>
      <c r="Q1815" s="115">
        <v>1467</v>
      </c>
      <c r="R1815">
        <v>2480974</v>
      </c>
    </row>
    <row r="1816" spans="1:18" x14ac:dyDescent="0.25">
      <c r="A1816" s="169">
        <v>45350</v>
      </c>
      <c r="B1816" s="115">
        <v>590.79999999999995</v>
      </c>
      <c r="C1816" s="115">
        <v>558.52</v>
      </c>
      <c r="D1816" s="115">
        <v>554.6</v>
      </c>
      <c r="E1816" s="115">
        <v>590.05999999999995</v>
      </c>
      <c r="F1816" s="115">
        <v>1396.3</v>
      </c>
      <c r="G1816">
        <v>81783</v>
      </c>
      <c r="H1816" s="115"/>
      <c r="I1816" s="115"/>
      <c r="L1816" s="169">
        <v>45350</v>
      </c>
      <c r="M1816" s="115">
        <v>559.14</v>
      </c>
      <c r="N1816" s="115">
        <v>591.04</v>
      </c>
      <c r="O1816" s="115">
        <v>556</v>
      </c>
      <c r="P1816" s="115">
        <v>590.78</v>
      </c>
      <c r="Q1816" s="115">
        <v>1397.85</v>
      </c>
      <c r="R1816">
        <v>5032223</v>
      </c>
    </row>
    <row r="1817" spans="1:18" x14ac:dyDescent="0.25">
      <c r="A1817" s="169">
        <v>45351</v>
      </c>
      <c r="B1817" s="115">
        <v>567.9</v>
      </c>
      <c r="C1817" s="115">
        <v>563.44000000000005</v>
      </c>
      <c r="D1817" s="115">
        <v>538.64</v>
      </c>
      <c r="E1817" s="115">
        <v>556</v>
      </c>
      <c r="F1817" s="115">
        <v>1408.6</v>
      </c>
      <c r="G1817">
        <v>103713</v>
      </c>
      <c r="H1817" s="115"/>
      <c r="I1817" s="115"/>
      <c r="L1817" s="169">
        <v>45351</v>
      </c>
      <c r="M1817" s="115">
        <v>563.4</v>
      </c>
      <c r="N1817" s="115">
        <v>567.86</v>
      </c>
      <c r="O1817" s="115">
        <v>538</v>
      </c>
      <c r="P1817" s="115">
        <v>556</v>
      </c>
      <c r="Q1817" s="115">
        <v>1408.5</v>
      </c>
      <c r="R1817">
        <v>5574977</v>
      </c>
    </row>
    <row r="1818" spans="1:18" x14ac:dyDescent="0.25">
      <c r="A1818" s="169">
        <v>45352</v>
      </c>
      <c r="B1818" s="115">
        <v>571.17999999999995</v>
      </c>
      <c r="C1818" s="115">
        <v>567.38</v>
      </c>
      <c r="D1818" s="115">
        <v>557.1</v>
      </c>
      <c r="E1818" s="115">
        <v>571.17999999999995</v>
      </c>
      <c r="F1818" s="115">
        <v>1418.45</v>
      </c>
      <c r="G1818">
        <v>158233</v>
      </c>
      <c r="H1818" s="115"/>
      <c r="I1818" s="115"/>
      <c r="L1818" s="169">
        <v>45352</v>
      </c>
      <c r="M1818" s="115">
        <v>567.14</v>
      </c>
      <c r="N1818" s="115">
        <v>571.29999999999995</v>
      </c>
      <c r="O1818" s="115">
        <v>557</v>
      </c>
      <c r="P1818" s="115">
        <v>571.22</v>
      </c>
      <c r="Q1818" s="115">
        <v>1417.85</v>
      </c>
      <c r="R1818">
        <v>2094046</v>
      </c>
    </row>
    <row r="1819" spans="1:18" x14ac:dyDescent="0.25">
      <c r="A1819" s="169">
        <v>45353</v>
      </c>
      <c r="B1819" s="115">
        <v>582.79999999999995</v>
      </c>
      <c r="C1819" s="115">
        <v>579.44000000000005</v>
      </c>
      <c r="D1819" s="115">
        <v>568.74</v>
      </c>
      <c r="E1819" s="115">
        <v>569.38</v>
      </c>
      <c r="F1819" s="115">
        <v>1448.6</v>
      </c>
      <c r="G1819">
        <v>33325</v>
      </c>
      <c r="H1819" s="115"/>
      <c r="I1819" s="115"/>
      <c r="L1819" s="169">
        <v>45353</v>
      </c>
      <c r="M1819" s="115">
        <v>579.5</v>
      </c>
      <c r="N1819" s="115">
        <v>582.38</v>
      </c>
      <c r="O1819" s="115">
        <v>568.91999999999996</v>
      </c>
      <c r="P1819" s="115">
        <v>570</v>
      </c>
      <c r="Q1819" s="115">
        <v>1448.75</v>
      </c>
      <c r="R1819">
        <v>188373</v>
      </c>
    </row>
    <row r="1820" spans="1:18" x14ac:dyDescent="0.25">
      <c r="A1820" s="169">
        <v>45355</v>
      </c>
      <c r="B1820" s="115">
        <v>585.82000000000005</v>
      </c>
      <c r="C1820" s="115">
        <v>570.62</v>
      </c>
      <c r="D1820" s="115">
        <v>561.64</v>
      </c>
      <c r="E1820" s="115">
        <v>585.82000000000005</v>
      </c>
      <c r="F1820" s="115">
        <v>1426.55</v>
      </c>
      <c r="G1820">
        <v>73058</v>
      </c>
      <c r="H1820" s="115"/>
      <c r="I1820" s="115"/>
      <c r="L1820" s="169">
        <v>45355</v>
      </c>
      <c r="M1820" s="115">
        <v>573.66</v>
      </c>
      <c r="N1820" s="115">
        <v>580.72</v>
      </c>
      <c r="O1820" s="115">
        <v>561.46</v>
      </c>
      <c r="P1820" s="115">
        <v>580.02</v>
      </c>
      <c r="Q1820" s="115">
        <v>1434.15</v>
      </c>
      <c r="R1820">
        <v>1802706</v>
      </c>
    </row>
    <row r="1821" spans="1:18" x14ac:dyDescent="0.25">
      <c r="A1821" s="169">
        <v>45356</v>
      </c>
      <c r="B1821" s="115">
        <v>579.02</v>
      </c>
      <c r="C1821" s="115">
        <v>551.88</v>
      </c>
      <c r="D1821" s="115">
        <v>548.26</v>
      </c>
      <c r="E1821" s="115">
        <v>579.02</v>
      </c>
      <c r="F1821" s="115">
        <v>1379.7</v>
      </c>
      <c r="G1821">
        <v>1313870</v>
      </c>
      <c r="H1821" s="115"/>
      <c r="I1821" s="115"/>
      <c r="L1821" s="169">
        <v>45356</v>
      </c>
      <c r="M1821" s="115">
        <v>551.82000000000005</v>
      </c>
      <c r="N1821" s="115">
        <v>578</v>
      </c>
      <c r="O1821" s="115">
        <v>548.14</v>
      </c>
      <c r="P1821" s="115">
        <v>578</v>
      </c>
      <c r="Q1821" s="115">
        <v>1379.55</v>
      </c>
      <c r="R1821">
        <v>4441898</v>
      </c>
    </row>
    <row r="1822" spans="1:18" x14ac:dyDescent="0.25">
      <c r="A1822" s="169">
        <v>45357</v>
      </c>
      <c r="B1822" s="115">
        <v>578.78</v>
      </c>
      <c r="C1822" s="115">
        <v>573.44000000000005</v>
      </c>
      <c r="D1822" s="115">
        <v>544.52</v>
      </c>
      <c r="E1822" s="115">
        <v>550.36</v>
      </c>
      <c r="F1822" s="115">
        <v>1433.6</v>
      </c>
      <c r="G1822">
        <v>207024</v>
      </c>
      <c r="H1822" s="115"/>
      <c r="I1822" s="115"/>
      <c r="L1822" s="169">
        <v>45357</v>
      </c>
      <c r="M1822" s="115">
        <v>573.54</v>
      </c>
      <c r="N1822" s="115">
        <v>579.08000000000004</v>
      </c>
      <c r="O1822" s="115">
        <v>544.79999999999995</v>
      </c>
      <c r="P1822" s="115">
        <v>548.4</v>
      </c>
      <c r="Q1822" s="115">
        <v>1433.85</v>
      </c>
      <c r="R1822">
        <v>2948329</v>
      </c>
    </row>
    <row r="1823" spans="1:18" x14ac:dyDescent="0.25">
      <c r="A1823" s="169">
        <v>45358</v>
      </c>
      <c r="B1823" s="115">
        <v>578.4</v>
      </c>
      <c r="C1823" s="115">
        <v>568.94000000000005</v>
      </c>
      <c r="D1823" s="115">
        <v>565.52</v>
      </c>
      <c r="E1823" s="115">
        <v>577.98</v>
      </c>
      <c r="F1823" s="115">
        <v>1422.35</v>
      </c>
      <c r="G1823">
        <v>103117</v>
      </c>
      <c r="H1823" s="115"/>
      <c r="I1823" s="115"/>
      <c r="L1823" s="169">
        <v>45358</v>
      </c>
      <c r="M1823" s="115">
        <v>569.34</v>
      </c>
      <c r="N1823" s="115">
        <v>578.6</v>
      </c>
      <c r="O1823" s="115">
        <v>565.26</v>
      </c>
      <c r="P1823" s="115">
        <v>575.20000000000005</v>
      </c>
      <c r="Q1823" s="115">
        <v>1423.35</v>
      </c>
      <c r="R1823">
        <v>1540650</v>
      </c>
    </row>
    <row r="1824" spans="1:18" x14ac:dyDescent="0.25">
      <c r="A1824" s="169">
        <v>45362</v>
      </c>
      <c r="B1824" s="115">
        <v>597.98</v>
      </c>
      <c r="C1824" s="115">
        <v>565.28</v>
      </c>
      <c r="D1824" s="115">
        <v>558.9</v>
      </c>
      <c r="E1824" s="115">
        <v>572.12</v>
      </c>
      <c r="F1824" s="115">
        <v>1413.2</v>
      </c>
      <c r="G1824">
        <v>86725</v>
      </c>
      <c r="H1824" s="115"/>
      <c r="I1824" s="115"/>
      <c r="L1824" s="169">
        <v>45362</v>
      </c>
      <c r="M1824" s="115">
        <v>565.70000000000005</v>
      </c>
      <c r="N1824" s="115">
        <v>598</v>
      </c>
      <c r="O1824" s="115">
        <v>558.84</v>
      </c>
      <c r="P1824" s="115">
        <v>573.29999999999995</v>
      </c>
      <c r="Q1824" s="115">
        <v>1414.25</v>
      </c>
      <c r="R1824">
        <v>3298145</v>
      </c>
    </row>
    <row r="1825" spans="1:18" x14ac:dyDescent="0.25">
      <c r="A1825" s="169">
        <v>45363</v>
      </c>
      <c r="B1825" s="115">
        <v>572.94000000000005</v>
      </c>
      <c r="C1825" s="115">
        <v>568.44000000000005</v>
      </c>
      <c r="D1825" s="115">
        <v>559.79999999999995</v>
      </c>
      <c r="E1825" s="115">
        <v>566.55999999999995</v>
      </c>
      <c r="F1825" s="115">
        <v>1421.1</v>
      </c>
      <c r="G1825">
        <v>31242</v>
      </c>
      <c r="H1825" s="115"/>
      <c r="I1825" s="115"/>
      <c r="L1825" s="169">
        <v>45363</v>
      </c>
      <c r="M1825" s="115">
        <v>569.02</v>
      </c>
      <c r="N1825" s="115">
        <v>573.20000000000005</v>
      </c>
      <c r="O1825" s="115">
        <v>559.6</v>
      </c>
      <c r="P1825" s="115">
        <v>566.72</v>
      </c>
      <c r="Q1825" s="115">
        <v>1422.55</v>
      </c>
      <c r="R1825">
        <v>1755415</v>
      </c>
    </row>
    <row r="1826" spans="1:18" x14ac:dyDescent="0.25">
      <c r="A1826" s="169">
        <v>45364</v>
      </c>
      <c r="B1826" s="115">
        <v>569.46</v>
      </c>
      <c r="C1826" s="115">
        <v>557</v>
      </c>
      <c r="D1826" s="115">
        <v>546.91999999999996</v>
      </c>
      <c r="E1826" s="115">
        <v>569.46</v>
      </c>
      <c r="F1826" s="115">
        <v>1392.5</v>
      </c>
      <c r="G1826">
        <v>74647</v>
      </c>
      <c r="H1826" s="115"/>
      <c r="I1826" s="115"/>
      <c r="L1826" s="169">
        <v>45364</v>
      </c>
      <c r="M1826" s="115">
        <v>557.55999999999995</v>
      </c>
      <c r="N1826" s="115">
        <v>568.4</v>
      </c>
      <c r="O1826" s="115">
        <v>546.79999999999995</v>
      </c>
      <c r="P1826" s="115">
        <v>567.55999999999995</v>
      </c>
      <c r="Q1826" s="115">
        <v>1393.9</v>
      </c>
      <c r="R1826">
        <v>2872749</v>
      </c>
    </row>
    <row r="1827" spans="1:18" x14ac:dyDescent="0.25">
      <c r="A1827" s="169">
        <v>45365</v>
      </c>
      <c r="B1827" s="115">
        <v>569.67999999999995</v>
      </c>
      <c r="C1827" s="115">
        <v>565.76</v>
      </c>
      <c r="D1827" s="115">
        <v>541.79999999999995</v>
      </c>
      <c r="E1827" s="115">
        <v>554.04</v>
      </c>
      <c r="F1827" s="115">
        <v>1414.4</v>
      </c>
      <c r="G1827">
        <v>131042</v>
      </c>
      <c r="H1827" s="115"/>
      <c r="I1827" s="115"/>
      <c r="L1827" s="169">
        <v>45365</v>
      </c>
      <c r="M1827" s="115">
        <v>567.08000000000004</v>
      </c>
      <c r="N1827" s="115">
        <v>570</v>
      </c>
      <c r="O1827" s="115">
        <v>541.67999999999995</v>
      </c>
      <c r="P1827" s="115">
        <v>555.54</v>
      </c>
      <c r="Q1827" s="115">
        <v>1417.7</v>
      </c>
      <c r="R1827">
        <v>1754638</v>
      </c>
    </row>
    <row r="1828" spans="1:18" x14ac:dyDescent="0.25">
      <c r="A1828" s="169">
        <v>45366</v>
      </c>
      <c r="B1828" s="115">
        <v>576</v>
      </c>
      <c r="C1828" s="115">
        <v>573.14</v>
      </c>
      <c r="D1828" s="115">
        <v>561.24</v>
      </c>
      <c r="E1828" s="115">
        <v>569.14</v>
      </c>
      <c r="F1828" s="115">
        <v>1432.85</v>
      </c>
      <c r="G1828">
        <v>43823</v>
      </c>
      <c r="H1828" s="115"/>
      <c r="I1828" s="115"/>
      <c r="L1828" s="169">
        <v>45366</v>
      </c>
      <c r="M1828" s="115">
        <v>573.67999999999995</v>
      </c>
      <c r="N1828" s="115">
        <v>576</v>
      </c>
      <c r="O1828" s="115">
        <v>561.20000000000005</v>
      </c>
      <c r="P1828" s="115">
        <v>568</v>
      </c>
      <c r="Q1828" s="115">
        <v>1434.2</v>
      </c>
      <c r="R1828">
        <v>1887874</v>
      </c>
    </row>
    <row r="1829" spans="1:18" x14ac:dyDescent="0.25">
      <c r="A1829" s="169">
        <v>45369</v>
      </c>
      <c r="B1829" s="115">
        <v>578.88</v>
      </c>
      <c r="C1829" s="115">
        <v>574.76</v>
      </c>
      <c r="D1829" s="115">
        <v>569.17999999999995</v>
      </c>
      <c r="E1829" s="115">
        <v>575.78</v>
      </c>
      <c r="F1829" s="115">
        <v>1436.9</v>
      </c>
      <c r="G1829">
        <v>36223</v>
      </c>
      <c r="H1829" s="115"/>
      <c r="I1829" s="115"/>
      <c r="L1829" s="169">
        <v>45369</v>
      </c>
      <c r="M1829" s="115">
        <v>574.58000000000004</v>
      </c>
      <c r="N1829" s="115">
        <v>579.14</v>
      </c>
      <c r="O1829" s="115">
        <v>568.66</v>
      </c>
      <c r="P1829" s="115">
        <v>575.20000000000005</v>
      </c>
      <c r="Q1829" s="115">
        <v>1436.45</v>
      </c>
      <c r="R1829">
        <v>1540490</v>
      </c>
    </row>
    <row r="1830" spans="1:18" x14ac:dyDescent="0.25">
      <c r="A1830" s="169">
        <v>45370</v>
      </c>
      <c r="B1830" s="115">
        <v>577.70000000000005</v>
      </c>
      <c r="C1830" s="115">
        <v>558.62</v>
      </c>
      <c r="D1830" s="115">
        <v>555.64</v>
      </c>
      <c r="E1830" s="115">
        <v>577.70000000000005</v>
      </c>
      <c r="F1830" s="115">
        <v>1396.55</v>
      </c>
      <c r="G1830">
        <v>94376</v>
      </c>
      <c r="H1830" s="115"/>
      <c r="I1830" s="115"/>
      <c r="L1830" s="169">
        <v>45370</v>
      </c>
      <c r="M1830" s="115">
        <v>559.5</v>
      </c>
      <c r="N1830" s="115">
        <v>575.20000000000005</v>
      </c>
      <c r="O1830" s="115">
        <v>558</v>
      </c>
      <c r="P1830" s="115">
        <v>575.20000000000005</v>
      </c>
      <c r="Q1830" s="115">
        <v>1398.75</v>
      </c>
      <c r="R1830">
        <v>1067733</v>
      </c>
    </row>
    <row r="1831" spans="1:18" x14ac:dyDescent="0.25">
      <c r="A1831" s="169">
        <v>45371</v>
      </c>
      <c r="B1831" s="115">
        <v>564.08000000000004</v>
      </c>
      <c r="C1831" s="115">
        <v>559.86</v>
      </c>
      <c r="D1831" s="115">
        <v>556.79999999999995</v>
      </c>
      <c r="E1831" s="115">
        <v>558.82000000000005</v>
      </c>
      <c r="F1831" s="115">
        <v>1399.65</v>
      </c>
      <c r="G1831">
        <v>26855</v>
      </c>
      <c r="H1831" s="115"/>
      <c r="I1831" s="115"/>
      <c r="L1831" s="169">
        <v>45371</v>
      </c>
      <c r="M1831" s="115">
        <v>560.05999999999995</v>
      </c>
      <c r="N1831" s="115">
        <v>564</v>
      </c>
      <c r="O1831" s="115">
        <v>556.22</v>
      </c>
      <c r="P1831" s="115">
        <v>559.5</v>
      </c>
      <c r="Q1831" s="115">
        <v>1400.15</v>
      </c>
      <c r="R1831">
        <v>1595619</v>
      </c>
    </row>
    <row r="1832" spans="1:18" x14ac:dyDescent="0.25">
      <c r="A1832" s="169">
        <v>45372</v>
      </c>
      <c r="B1832" s="115">
        <v>568.22</v>
      </c>
      <c r="C1832" s="115">
        <v>560.12</v>
      </c>
      <c r="D1832" s="115">
        <v>559.05999999999995</v>
      </c>
      <c r="E1832" s="115">
        <v>568.22</v>
      </c>
      <c r="F1832" s="115">
        <v>1400.3</v>
      </c>
      <c r="G1832">
        <v>20868</v>
      </c>
      <c r="H1832" s="115"/>
      <c r="I1832" s="115"/>
      <c r="L1832" s="169">
        <v>45372</v>
      </c>
      <c r="M1832" s="115">
        <v>560.1</v>
      </c>
      <c r="N1832" s="115">
        <v>569.94000000000005</v>
      </c>
      <c r="O1832" s="115">
        <v>558.66</v>
      </c>
      <c r="P1832" s="115">
        <v>569.94000000000005</v>
      </c>
      <c r="Q1832" s="115">
        <v>1400.25</v>
      </c>
      <c r="R1832">
        <v>1445414</v>
      </c>
    </row>
    <row r="1833" spans="1:18" x14ac:dyDescent="0.25">
      <c r="A1833" s="169">
        <v>45373</v>
      </c>
      <c r="B1833" s="115">
        <v>562.78</v>
      </c>
      <c r="C1833" s="115">
        <v>561.08000000000004</v>
      </c>
      <c r="D1833" s="115">
        <v>552.76</v>
      </c>
      <c r="E1833" s="115">
        <v>560.78</v>
      </c>
      <c r="F1833" s="115">
        <v>1402.7</v>
      </c>
      <c r="G1833">
        <v>79638</v>
      </c>
      <c r="H1833" s="115"/>
      <c r="I1833" s="115"/>
      <c r="L1833" s="169">
        <v>45373</v>
      </c>
      <c r="M1833" s="115">
        <v>560.96</v>
      </c>
      <c r="N1833" s="115">
        <v>563.04</v>
      </c>
      <c r="O1833" s="115">
        <v>552.82000000000005</v>
      </c>
      <c r="P1833" s="115">
        <v>560</v>
      </c>
      <c r="Q1833" s="115">
        <v>1402.4</v>
      </c>
      <c r="R1833">
        <v>1269431</v>
      </c>
    </row>
    <row r="1834" spans="1:18" x14ac:dyDescent="0.25">
      <c r="A1834" s="169">
        <v>45377</v>
      </c>
      <c r="B1834" s="115">
        <v>567.08000000000004</v>
      </c>
      <c r="C1834" s="115">
        <v>560.64</v>
      </c>
      <c r="D1834" s="115">
        <v>559.22</v>
      </c>
      <c r="E1834" s="115">
        <v>567.08000000000004</v>
      </c>
      <c r="F1834" s="115">
        <v>1401.6</v>
      </c>
      <c r="G1834">
        <v>52515</v>
      </c>
      <c r="H1834" s="115"/>
      <c r="I1834" s="115"/>
      <c r="L1834" s="169">
        <v>45377</v>
      </c>
      <c r="M1834" s="115">
        <v>560.67999999999995</v>
      </c>
      <c r="N1834" s="115">
        <v>564</v>
      </c>
      <c r="O1834" s="115">
        <v>559.14</v>
      </c>
      <c r="P1834" s="115">
        <v>563.91999999999996</v>
      </c>
      <c r="Q1834" s="115">
        <v>1401.7</v>
      </c>
      <c r="R1834">
        <v>1783800</v>
      </c>
    </row>
    <row r="1835" spans="1:18" x14ac:dyDescent="0.25">
      <c r="A1835" s="169">
        <v>45378</v>
      </c>
      <c r="B1835" s="115">
        <v>563.58000000000004</v>
      </c>
      <c r="C1835" s="115">
        <v>552.96</v>
      </c>
      <c r="D1835" s="115">
        <v>551.6</v>
      </c>
      <c r="E1835" s="115">
        <v>563.58000000000004</v>
      </c>
      <c r="F1835" s="115">
        <v>1382.4</v>
      </c>
      <c r="G1835">
        <v>65647</v>
      </c>
      <c r="H1835" s="115"/>
      <c r="I1835" s="115"/>
      <c r="L1835" s="169">
        <v>45378</v>
      </c>
      <c r="M1835" s="115">
        <v>553.6</v>
      </c>
      <c r="N1835" s="115">
        <v>562.4</v>
      </c>
      <c r="O1835" s="115">
        <v>551.34</v>
      </c>
      <c r="P1835" s="115">
        <v>561.22</v>
      </c>
      <c r="Q1835" s="115">
        <v>1384</v>
      </c>
      <c r="R1835">
        <v>2342009</v>
      </c>
    </row>
    <row r="1836" spans="1:18" x14ac:dyDescent="0.25">
      <c r="A1836" s="169">
        <v>45379</v>
      </c>
      <c r="B1836" s="115">
        <v>562</v>
      </c>
      <c r="C1836" s="115">
        <v>559.24</v>
      </c>
      <c r="D1836" s="115">
        <v>548</v>
      </c>
      <c r="E1836" s="115">
        <v>555.02</v>
      </c>
      <c r="F1836" s="115">
        <v>1398.1</v>
      </c>
      <c r="G1836">
        <v>41930</v>
      </c>
      <c r="H1836" s="115"/>
      <c r="I1836" s="115"/>
      <c r="L1836" s="169">
        <v>45379</v>
      </c>
      <c r="M1836" s="115">
        <v>559.44000000000005</v>
      </c>
      <c r="N1836" s="115">
        <v>562</v>
      </c>
      <c r="O1836" s="115">
        <v>548</v>
      </c>
      <c r="P1836" s="115">
        <v>559.20000000000005</v>
      </c>
      <c r="Q1836" s="115">
        <v>1398.6</v>
      </c>
      <c r="R1836">
        <v>2019059</v>
      </c>
    </row>
    <row r="1837" spans="1:18" x14ac:dyDescent="0.25">
      <c r="A1837" s="169">
        <v>45383</v>
      </c>
      <c r="B1837" s="115">
        <v>574</v>
      </c>
      <c r="C1837" s="115">
        <v>558.91999999999996</v>
      </c>
      <c r="D1837" s="115">
        <v>557.22</v>
      </c>
      <c r="E1837" s="115">
        <v>560.62</v>
      </c>
      <c r="F1837" s="115">
        <v>1397.3</v>
      </c>
      <c r="G1837">
        <v>41979</v>
      </c>
      <c r="H1837" s="115"/>
      <c r="I1837" s="115"/>
      <c r="L1837" s="169">
        <v>45383</v>
      </c>
      <c r="M1837" s="115">
        <v>558.88</v>
      </c>
      <c r="N1837" s="115">
        <v>574.24</v>
      </c>
      <c r="O1837" s="115">
        <v>556.96</v>
      </c>
      <c r="P1837" s="115">
        <v>563.20000000000005</v>
      </c>
      <c r="Q1837" s="115">
        <v>1397.2</v>
      </c>
      <c r="R1837">
        <v>1620712</v>
      </c>
    </row>
    <row r="1838" spans="1:18" x14ac:dyDescent="0.25">
      <c r="A1838" s="169">
        <v>45384</v>
      </c>
      <c r="B1838" s="115">
        <v>568.4</v>
      </c>
      <c r="C1838" s="115">
        <v>562.41999999999996</v>
      </c>
      <c r="D1838" s="115">
        <v>556</v>
      </c>
      <c r="E1838" s="115">
        <v>568</v>
      </c>
      <c r="F1838" s="115">
        <v>1406.05</v>
      </c>
      <c r="G1838">
        <v>97375</v>
      </c>
      <c r="H1838" s="115"/>
      <c r="I1838" s="115"/>
      <c r="L1838" s="169">
        <v>45384</v>
      </c>
      <c r="M1838" s="115">
        <v>563.78</v>
      </c>
      <c r="N1838" s="115">
        <v>569.58000000000004</v>
      </c>
      <c r="O1838" s="115">
        <v>559.44000000000005</v>
      </c>
      <c r="P1838" s="115">
        <v>568.79999999999995</v>
      </c>
      <c r="Q1838" s="115">
        <v>1409.45</v>
      </c>
      <c r="R1838">
        <v>1060665</v>
      </c>
    </row>
    <row r="1839" spans="1:18" x14ac:dyDescent="0.25">
      <c r="A1839" s="169">
        <v>45385</v>
      </c>
      <c r="B1839" s="115">
        <v>595.48</v>
      </c>
      <c r="C1839" s="115">
        <v>590.5</v>
      </c>
      <c r="D1839" s="115">
        <v>555.20000000000005</v>
      </c>
      <c r="E1839" s="115">
        <v>562.78</v>
      </c>
      <c r="F1839" s="115">
        <v>1476.25</v>
      </c>
      <c r="G1839">
        <v>119457</v>
      </c>
      <c r="H1839" s="115"/>
      <c r="I1839" s="115"/>
      <c r="L1839" s="169">
        <v>45385</v>
      </c>
      <c r="M1839" s="115">
        <v>590.36</v>
      </c>
      <c r="N1839" s="115">
        <v>595.20000000000005</v>
      </c>
      <c r="O1839" s="115">
        <v>554.6</v>
      </c>
      <c r="P1839" s="115">
        <v>562.82000000000005</v>
      </c>
      <c r="Q1839" s="115">
        <v>1475.9</v>
      </c>
      <c r="R1839">
        <v>3670605</v>
      </c>
    </row>
    <row r="1840" spans="1:18" x14ac:dyDescent="0.25">
      <c r="A1840" s="169">
        <v>45386</v>
      </c>
      <c r="B1840" s="115">
        <v>617.6</v>
      </c>
      <c r="C1840" s="115">
        <v>606.22</v>
      </c>
      <c r="D1840" s="115">
        <v>592.79999999999995</v>
      </c>
      <c r="E1840" s="115">
        <v>596.02</v>
      </c>
      <c r="F1840" s="115">
        <v>1515.55</v>
      </c>
      <c r="G1840">
        <v>270741</v>
      </c>
      <c r="H1840" s="115"/>
      <c r="I1840" s="115"/>
      <c r="L1840" s="169">
        <v>45386</v>
      </c>
      <c r="M1840" s="115">
        <v>605.82000000000005</v>
      </c>
      <c r="N1840" s="115">
        <v>617.98</v>
      </c>
      <c r="O1840" s="115">
        <v>592.82000000000005</v>
      </c>
      <c r="P1840" s="115">
        <v>598.4</v>
      </c>
      <c r="Q1840" s="115">
        <v>1514.55</v>
      </c>
      <c r="R1840">
        <v>3325760</v>
      </c>
    </row>
    <row r="1841" spans="1:18" x14ac:dyDescent="0.25">
      <c r="A1841" s="169">
        <v>45387</v>
      </c>
      <c r="B1841" s="115">
        <v>613.79999999999995</v>
      </c>
      <c r="C1841" s="115">
        <v>597.34</v>
      </c>
      <c r="D1841" s="115">
        <v>594.26</v>
      </c>
      <c r="E1841" s="115">
        <v>608.4</v>
      </c>
      <c r="F1841" s="115">
        <v>1493.35</v>
      </c>
      <c r="G1841">
        <v>137308</v>
      </c>
      <c r="H1841" s="115"/>
      <c r="I1841" s="115"/>
      <c r="L1841" s="169">
        <v>45387</v>
      </c>
      <c r="M1841" s="115">
        <v>597.5</v>
      </c>
      <c r="N1841" s="115">
        <v>614</v>
      </c>
      <c r="O1841" s="115">
        <v>594.55999999999995</v>
      </c>
      <c r="P1841" s="115">
        <v>607.6</v>
      </c>
      <c r="Q1841" s="115">
        <v>1493.75</v>
      </c>
      <c r="R1841">
        <v>1362586</v>
      </c>
    </row>
    <row r="1842" spans="1:18" x14ac:dyDescent="0.25">
      <c r="A1842" s="169">
        <v>45390</v>
      </c>
      <c r="B1842" s="115">
        <v>600</v>
      </c>
      <c r="C1842" s="115">
        <v>579.88</v>
      </c>
      <c r="D1842" s="115">
        <v>576.02</v>
      </c>
      <c r="E1842" s="115">
        <v>600</v>
      </c>
      <c r="F1842" s="115">
        <v>1449.7</v>
      </c>
      <c r="G1842">
        <v>66299</v>
      </c>
      <c r="H1842" s="115"/>
      <c r="I1842" s="115"/>
      <c r="L1842" s="169">
        <v>45390</v>
      </c>
      <c r="M1842" s="115">
        <v>580.04</v>
      </c>
      <c r="N1842" s="115">
        <v>600.72</v>
      </c>
      <c r="O1842" s="115">
        <v>576</v>
      </c>
      <c r="P1842" s="115">
        <v>600.72</v>
      </c>
      <c r="Q1842" s="115">
        <v>1450.1</v>
      </c>
      <c r="R1842">
        <v>2918958</v>
      </c>
    </row>
    <row r="1843" spans="1:18" x14ac:dyDescent="0.25">
      <c r="A1843" s="169">
        <v>45391</v>
      </c>
      <c r="B1843" s="115">
        <v>580.58000000000004</v>
      </c>
      <c r="C1843" s="115">
        <v>573.96</v>
      </c>
      <c r="D1843" s="115">
        <v>568.6</v>
      </c>
      <c r="E1843" s="115">
        <v>580.4</v>
      </c>
      <c r="F1843" s="115">
        <v>1434.9</v>
      </c>
      <c r="G1843">
        <v>37718</v>
      </c>
      <c r="H1843" s="115"/>
      <c r="I1843" s="115"/>
      <c r="L1843" s="169">
        <v>45391</v>
      </c>
      <c r="M1843" s="115">
        <v>573.91999999999996</v>
      </c>
      <c r="N1843" s="115">
        <v>580.5</v>
      </c>
      <c r="O1843" s="115">
        <v>568.4</v>
      </c>
      <c r="P1843" s="115">
        <v>580</v>
      </c>
      <c r="Q1843" s="115">
        <v>1434.8</v>
      </c>
      <c r="R1843">
        <v>1779071</v>
      </c>
    </row>
    <row r="1844" spans="1:18" x14ac:dyDescent="0.25">
      <c r="A1844" s="169">
        <v>45392</v>
      </c>
      <c r="B1844" s="115">
        <v>578.4</v>
      </c>
      <c r="C1844" s="115">
        <v>569.46</v>
      </c>
      <c r="D1844" s="115">
        <v>568</v>
      </c>
      <c r="E1844" s="115">
        <v>578</v>
      </c>
      <c r="F1844" s="115">
        <v>1423.65</v>
      </c>
      <c r="G1844">
        <v>111615</v>
      </c>
      <c r="H1844" s="115"/>
      <c r="I1844" s="115"/>
      <c r="L1844" s="169">
        <v>45392</v>
      </c>
      <c r="M1844" s="115">
        <v>569.41999999999996</v>
      </c>
      <c r="N1844" s="115">
        <v>578.76</v>
      </c>
      <c r="O1844" s="115">
        <v>568</v>
      </c>
      <c r="P1844" s="115">
        <v>577.55999999999995</v>
      </c>
      <c r="Q1844" s="115">
        <v>1423.55</v>
      </c>
      <c r="R1844">
        <v>1202485</v>
      </c>
    </row>
    <row r="1845" spans="1:18" x14ac:dyDescent="0.25">
      <c r="A1845" s="169">
        <v>45394</v>
      </c>
      <c r="B1845" s="115">
        <v>570.79999999999995</v>
      </c>
      <c r="C1845" s="115">
        <v>554.58000000000004</v>
      </c>
      <c r="D1845" s="115">
        <v>552.20000000000005</v>
      </c>
      <c r="E1845" s="115">
        <v>569.41999999999996</v>
      </c>
      <c r="F1845" s="115">
        <v>1386.45</v>
      </c>
      <c r="G1845">
        <v>250544</v>
      </c>
      <c r="H1845" s="115"/>
      <c r="I1845" s="115"/>
      <c r="L1845" s="169">
        <v>45394</v>
      </c>
      <c r="M1845" s="115">
        <v>554.34</v>
      </c>
      <c r="N1845" s="115">
        <v>571.94000000000005</v>
      </c>
      <c r="O1845" s="115">
        <v>552</v>
      </c>
      <c r="P1845" s="115">
        <v>570</v>
      </c>
      <c r="Q1845" s="115">
        <v>1385.85</v>
      </c>
      <c r="R1845">
        <v>3100705</v>
      </c>
    </row>
    <row r="1846" spans="1:18" x14ac:dyDescent="0.25">
      <c r="A1846" s="169">
        <v>45397</v>
      </c>
      <c r="B1846" s="115">
        <v>561.29999999999995</v>
      </c>
      <c r="C1846" s="115">
        <v>552.55999999999995</v>
      </c>
      <c r="D1846" s="115">
        <v>528.82000000000005</v>
      </c>
      <c r="E1846" s="115">
        <v>528.82000000000005</v>
      </c>
      <c r="F1846" s="115">
        <v>1381.4</v>
      </c>
      <c r="G1846">
        <v>237714</v>
      </c>
      <c r="H1846" s="115"/>
      <c r="I1846" s="115"/>
      <c r="L1846" s="169">
        <v>45397</v>
      </c>
      <c r="M1846" s="115">
        <v>552.44000000000005</v>
      </c>
      <c r="N1846" s="115">
        <v>561.46</v>
      </c>
      <c r="O1846" s="115">
        <v>539.88</v>
      </c>
      <c r="P1846" s="115">
        <v>544.02</v>
      </c>
      <c r="Q1846" s="115">
        <v>1381.1</v>
      </c>
      <c r="R1846">
        <v>2853581</v>
      </c>
    </row>
    <row r="1847" spans="1:18" x14ac:dyDescent="0.25">
      <c r="A1847" s="169">
        <v>45398</v>
      </c>
      <c r="B1847" s="115">
        <v>567.6</v>
      </c>
      <c r="C1847" s="115">
        <v>562</v>
      </c>
      <c r="D1847" s="115">
        <v>550.08000000000004</v>
      </c>
      <c r="E1847" s="115">
        <v>560.22</v>
      </c>
      <c r="F1847" s="115">
        <v>1405</v>
      </c>
      <c r="G1847">
        <v>182590</v>
      </c>
      <c r="H1847" s="115"/>
      <c r="I1847" s="115"/>
      <c r="L1847" s="169">
        <v>45398</v>
      </c>
      <c r="M1847" s="115">
        <v>561.58000000000004</v>
      </c>
      <c r="N1847" s="115">
        <v>567.96</v>
      </c>
      <c r="O1847" s="115">
        <v>550.24</v>
      </c>
      <c r="P1847" s="115">
        <v>560.79999999999995</v>
      </c>
      <c r="Q1847" s="115">
        <v>1403.95</v>
      </c>
      <c r="R1847">
        <v>3873479</v>
      </c>
    </row>
    <row r="1848" spans="1:18" x14ac:dyDescent="0.25">
      <c r="A1848" s="169">
        <v>45400</v>
      </c>
      <c r="B1848" s="115">
        <v>569.55999999999995</v>
      </c>
      <c r="C1848" s="115">
        <v>558.94000000000005</v>
      </c>
      <c r="D1848" s="115">
        <v>556.1</v>
      </c>
      <c r="E1848" s="115">
        <v>568.16</v>
      </c>
      <c r="F1848" s="115">
        <v>1397.35</v>
      </c>
      <c r="G1848">
        <v>146994</v>
      </c>
      <c r="H1848" s="115"/>
      <c r="I1848" s="115"/>
      <c r="L1848" s="169">
        <v>45400</v>
      </c>
      <c r="M1848" s="115">
        <v>559.17999999999995</v>
      </c>
      <c r="N1848" s="115">
        <v>569.12</v>
      </c>
      <c r="O1848" s="115">
        <v>556.05999999999995</v>
      </c>
      <c r="P1848" s="115">
        <v>569.12</v>
      </c>
      <c r="Q1848" s="115">
        <v>1397.95</v>
      </c>
      <c r="R1848">
        <v>2310493</v>
      </c>
    </row>
    <row r="1849" spans="1:18" x14ac:dyDescent="0.25">
      <c r="A1849" s="169">
        <v>45401</v>
      </c>
      <c r="B1849" s="115">
        <v>561.17999999999995</v>
      </c>
      <c r="C1849" s="115">
        <v>558.24</v>
      </c>
      <c r="D1849" s="115">
        <v>544.98</v>
      </c>
      <c r="E1849" s="115">
        <v>550.52</v>
      </c>
      <c r="F1849" s="115">
        <v>1395.6</v>
      </c>
      <c r="G1849">
        <v>38714</v>
      </c>
      <c r="H1849" s="115"/>
      <c r="I1849" s="115"/>
      <c r="L1849" s="169">
        <v>45401</v>
      </c>
      <c r="M1849" s="115">
        <v>558.44000000000005</v>
      </c>
      <c r="N1849" s="115">
        <v>561.17999999999995</v>
      </c>
      <c r="O1849" s="115">
        <v>545.20000000000005</v>
      </c>
      <c r="P1849" s="115">
        <v>547.9</v>
      </c>
      <c r="Q1849" s="115">
        <v>1396.1</v>
      </c>
      <c r="R1849">
        <v>1565029</v>
      </c>
    </row>
    <row r="1850" spans="1:18" x14ac:dyDescent="0.25">
      <c r="A1850" s="169">
        <v>45404</v>
      </c>
      <c r="B1850" s="115">
        <v>573.70000000000005</v>
      </c>
      <c r="C1850" s="115">
        <v>572.34</v>
      </c>
      <c r="D1850" s="115">
        <v>560.86</v>
      </c>
      <c r="E1850" s="115">
        <v>563.58000000000004</v>
      </c>
      <c r="F1850" s="115">
        <v>1430.85</v>
      </c>
      <c r="G1850">
        <v>51786</v>
      </c>
      <c r="H1850" s="115"/>
      <c r="I1850" s="115"/>
      <c r="L1850" s="169">
        <v>45404</v>
      </c>
      <c r="M1850" s="115">
        <v>572.12</v>
      </c>
      <c r="N1850" s="115">
        <v>573.6</v>
      </c>
      <c r="O1850" s="115">
        <v>560.55999999999995</v>
      </c>
      <c r="P1850" s="115">
        <v>562.16</v>
      </c>
      <c r="Q1850" s="115">
        <v>1430.3</v>
      </c>
      <c r="R1850">
        <v>1534596</v>
      </c>
    </row>
    <row r="1851" spans="1:18" x14ac:dyDescent="0.25">
      <c r="A1851" s="169">
        <v>45405</v>
      </c>
      <c r="B1851" s="115">
        <v>580.16</v>
      </c>
      <c r="C1851" s="115">
        <v>572.4</v>
      </c>
      <c r="D1851" s="115">
        <v>571.6</v>
      </c>
      <c r="E1851" s="115">
        <v>580.16</v>
      </c>
      <c r="F1851" s="115">
        <v>1431</v>
      </c>
      <c r="G1851">
        <v>111731</v>
      </c>
      <c r="H1851" s="115"/>
      <c r="I1851" s="115"/>
      <c r="L1851" s="169">
        <v>45405</v>
      </c>
      <c r="M1851" s="115">
        <v>572.38</v>
      </c>
      <c r="N1851" s="115">
        <v>580</v>
      </c>
      <c r="O1851" s="115">
        <v>572</v>
      </c>
      <c r="P1851" s="115">
        <v>580</v>
      </c>
      <c r="Q1851" s="115">
        <v>1430.95</v>
      </c>
      <c r="R1851">
        <v>1554237</v>
      </c>
    </row>
    <row r="1852" spans="1:18" x14ac:dyDescent="0.25">
      <c r="A1852" s="169">
        <v>45406</v>
      </c>
      <c r="B1852" s="115">
        <v>578.38</v>
      </c>
      <c r="C1852" s="115">
        <v>577.91999999999996</v>
      </c>
      <c r="D1852" s="115">
        <v>573.20000000000005</v>
      </c>
      <c r="E1852" s="115">
        <v>574</v>
      </c>
      <c r="F1852" s="115">
        <v>1444.8</v>
      </c>
      <c r="G1852">
        <v>82637</v>
      </c>
      <c r="H1852" s="115"/>
      <c r="I1852" s="115"/>
      <c r="L1852" s="169">
        <v>45406</v>
      </c>
      <c r="M1852" s="115">
        <v>578.04</v>
      </c>
      <c r="N1852" s="115">
        <v>578.4</v>
      </c>
      <c r="O1852" s="115">
        <v>572.88</v>
      </c>
      <c r="P1852" s="115">
        <v>573.98</v>
      </c>
      <c r="Q1852" s="115">
        <v>1445.1</v>
      </c>
      <c r="R1852">
        <v>846681</v>
      </c>
    </row>
    <row r="1853" spans="1:18" x14ac:dyDescent="0.25">
      <c r="A1853" s="169">
        <v>45407</v>
      </c>
      <c r="B1853" s="115">
        <v>580</v>
      </c>
      <c r="C1853" s="115">
        <v>576.86</v>
      </c>
      <c r="D1853" s="115">
        <v>574</v>
      </c>
      <c r="E1853" s="115">
        <v>578.74</v>
      </c>
      <c r="F1853" s="115">
        <v>1442.15</v>
      </c>
      <c r="G1853">
        <v>22356</v>
      </c>
      <c r="H1853" s="115"/>
      <c r="I1853" s="115"/>
      <c r="L1853" s="169">
        <v>45407</v>
      </c>
      <c r="M1853" s="115">
        <v>576.78</v>
      </c>
      <c r="N1853" s="115">
        <v>580</v>
      </c>
      <c r="O1853" s="115">
        <v>573.58000000000004</v>
      </c>
      <c r="P1853" s="115">
        <v>580</v>
      </c>
      <c r="Q1853" s="115">
        <v>1441.95</v>
      </c>
      <c r="R1853">
        <v>803258</v>
      </c>
    </row>
    <row r="1854" spans="1:18" x14ac:dyDescent="0.25">
      <c r="A1854" s="169">
        <v>45408</v>
      </c>
      <c r="B1854" s="115">
        <v>587.6</v>
      </c>
      <c r="C1854" s="115">
        <v>583.12</v>
      </c>
      <c r="D1854" s="115">
        <v>569.08000000000004</v>
      </c>
      <c r="E1854" s="115">
        <v>574.02</v>
      </c>
      <c r="F1854" s="115">
        <v>1457.8</v>
      </c>
      <c r="G1854">
        <v>140835</v>
      </c>
      <c r="H1854" s="115"/>
      <c r="I1854" s="115"/>
      <c r="L1854" s="169">
        <v>45408</v>
      </c>
      <c r="M1854" s="115">
        <v>583.88</v>
      </c>
      <c r="N1854" s="115">
        <v>588</v>
      </c>
      <c r="O1854" s="115">
        <v>569.22</v>
      </c>
      <c r="P1854" s="115">
        <v>575.12</v>
      </c>
      <c r="Q1854" s="115">
        <v>1459.7</v>
      </c>
      <c r="R1854">
        <v>1239091</v>
      </c>
    </row>
    <row r="1855" spans="1:18" x14ac:dyDescent="0.25">
      <c r="A1855" s="169">
        <v>45411</v>
      </c>
      <c r="B1855" s="115">
        <v>596.24</v>
      </c>
      <c r="C1855" s="115">
        <v>594.29999999999995</v>
      </c>
      <c r="D1855" s="115">
        <v>577.6</v>
      </c>
      <c r="E1855" s="115">
        <v>582.82000000000005</v>
      </c>
      <c r="F1855" s="115">
        <v>1485.75</v>
      </c>
      <c r="G1855">
        <v>37973</v>
      </c>
      <c r="H1855" s="115"/>
      <c r="I1855" s="115"/>
      <c r="L1855" s="169">
        <v>45411</v>
      </c>
      <c r="M1855" s="115">
        <v>594.46</v>
      </c>
      <c r="N1855" s="115">
        <v>596.32000000000005</v>
      </c>
      <c r="O1855" s="115">
        <v>577.1</v>
      </c>
      <c r="P1855" s="115">
        <v>582</v>
      </c>
      <c r="Q1855" s="115">
        <v>1486.15</v>
      </c>
      <c r="R1855">
        <v>1762609</v>
      </c>
    </row>
    <row r="1856" spans="1:18" x14ac:dyDescent="0.25">
      <c r="A1856" s="169">
        <v>45412</v>
      </c>
      <c r="B1856" s="115">
        <v>606</v>
      </c>
      <c r="C1856" s="115">
        <v>591.6</v>
      </c>
      <c r="D1856" s="115">
        <v>589.96</v>
      </c>
      <c r="E1856" s="115">
        <v>598</v>
      </c>
      <c r="F1856" s="115">
        <v>1479</v>
      </c>
      <c r="G1856">
        <v>48975</v>
      </c>
      <c r="H1856" s="115"/>
      <c r="I1856" s="115"/>
      <c r="L1856" s="169">
        <v>45412</v>
      </c>
      <c r="M1856" s="115">
        <v>591.78</v>
      </c>
      <c r="N1856" s="115">
        <v>606.08000000000004</v>
      </c>
      <c r="O1856" s="115">
        <v>589.62</v>
      </c>
      <c r="P1856" s="115">
        <v>598</v>
      </c>
      <c r="Q1856" s="115">
        <v>1479.45</v>
      </c>
      <c r="R1856">
        <v>2136107</v>
      </c>
    </row>
    <row r="1857" spans="1:18" x14ac:dyDescent="0.25">
      <c r="A1857" s="169">
        <v>45414</v>
      </c>
      <c r="B1857" s="115">
        <v>610.70000000000005</v>
      </c>
      <c r="C1857" s="115">
        <v>606.32000000000005</v>
      </c>
      <c r="D1857" s="115">
        <v>589.29999999999995</v>
      </c>
      <c r="E1857" s="115">
        <v>590.64</v>
      </c>
      <c r="F1857" s="115">
        <v>1515.8</v>
      </c>
      <c r="G1857">
        <v>41563</v>
      </c>
      <c r="H1857" s="115"/>
      <c r="I1857" s="115"/>
      <c r="L1857" s="169">
        <v>45414</v>
      </c>
      <c r="M1857" s="115">
        <v>606.72</v>
      </c>
      <c r="N1857" s="115">
        <v>610.67999999999995</v>
      </c>
      <c r="O1857" s="115">
        <v>589.6</v>
      </c>
      <c r="P1857" s="115">
        <v>590.04</v>
      </c>
      <c r="Q1857" s="115">
        <v>1516.8</v>
      </c>
      <c r="R1857">
        <v>2525901</v>
      </c>
    </row>
    <row r="1858" spans="1:18" x14ac:dyDescent="0.25">
      <c r="A1858" s="169">
        <v>45415</v>
      </c>
      <c r="B1858" s="115">
        <v>613.04</v>
      </c>
      <c r="C1858" s="115">
        <v>602.64</v>
      </c>
      <c r="D1858" s="115">
        <v>601.41999999999996</v>
      </c>
      <c r="E1858" s="115">
        <v>610</v>
      </c>
      <c r="F1858" s="115">
        <v>1506.6</v>
      </c>
      <c r="G1858">
        <v>35781</v>
      </c>
      <c r="H1858" s="115"/>
      <c r="I1858" s="115"/>
      <c r="L1858" s="169">
        <v>45415</v>
      </c>
      <c r="M1858" s="115">
        <v>602.67999999999995</v>
      </c>
      <c r="N1858" s="115">
        <v>610.98</v>
      </c>
      <c r="O1858" s="115">
        <v>601.20000000000005</v>
      </c>
      <c r="P1858" s="115">
        <v>610</v>
      </c>
      <c r="Q1858" s="115">
        <v>1506.7</v>
      </c>
      <c r="R1858">
        <v>1766168</v>
      </c>
    </row>
    <row r="1859" spans="1:18" x14ac:dyDescent="0.25">
      <c r="A1859" s="169">
        <v>45418</v>
      </c>
      <c r="B1859" s="115">
        <v>604.79999999999995</v>
      </c>
      <c r="C1859" s="115">
        <v>602.14</v>
      </c>
      <c r="D1859" s="115">
        <v>586</v>
      </c>
      <c r="E1859" s="115">
        <v>603.58000000000004</v>
      </c>
      <c r="F1859" s="115">
        <v>1505.35</v>
      </c>
      <c r="G1859">
        <v>57675</v>
      </c>
      <c r="H1859" s="115"/>
      <c r="I1859" s="115"/>
      <c r="L1859" s="169">
        <v>45418</v>
      </c>
      <c r="M1859" s="115">
        <v>602.86</v>
      </c>
      <c r="N1859" s="115">
        <v>605.08000000000004</v>
      </c>
      <c r="O1859" s="115">
        <v>586.20000000000005</v>
      </c>
      <c r="P1859" s="115">
        <v>602.79999999999995</v>
      </c>
      <c r="Q1859" s="115">
        <v>1507.15</v>
      </c>
      <c r="R1859">
        <v>1655998</v>
      </c>
    </row>
    <row r="1860" spans="1:18" x14ac:dyDescent="0.25">
      <c r="A1860" s="169">
        <v>45419</v>
      </c>
      <c r="B1860" s="115">
        <v>600</v>
      </c>
      <c r="C1860" s="115">
        <v>576.9</v>
      </c>
      <c r="D1860" s="115">
        <v>575.26</v>
      </c>
      <c r="E1860" s="115">
        <v>600</v>
      </c>
      <c r="F1860" s="115">
        <v>1442.25</v>
      </c>
      <c r="G1860">
        <v>55255</v>
      </c>
      <c r="H1860" s="115"/>
      <c r="I1860" s="115"/>
      <c r="L1860" s="169">
        <v>45419</v>
      </c>
      <c r="M1860" s="115">
        <v>577.12</v>
      </c>
      <c r="N1860" s="115">
        <v>600</v>
      </c>
      <c r="O1860" s="115">
        <v>575.20000000000005</v>
      </c>
      <c r="P1860" s="115">
        <v>600</v>
      </c>
      <c r="Q1860" s="115">
        <v>1442.8</v>
      </c>
      <c r="R1860">
        <v>2886335</v>
      </c>
    </row>
    <row r="1861" spans="1:18" x14ac:dyDescent="0.25">
      <c r="A1861" s="169">
        <v>45420</v>
      </c>
      <c r="B1861" s="115">
        <v>604</v>
      </c>
      <c r="C1861" s="115">
        <v>601.74</v>
      </c>
      <c r="D1861" s="115">
        <v>574.74</v>
      </c>
      <c r="E1861" s="115">
        <v>576.17999999999995</v>
      </c>
      <c r="F1861" s="115">
        <v>1504.35</v>
      </c>
      <c r="G1861">
        <v>61934</v>
      </c>
      <c r="H1861" s="115"/>
      <c r="I1861" s="115"/>
      <c r="L1861" s="169">
        <v>45420</v>
      </c>
      <c r="M1861" s="115">
        <v>601.32000000000005</v>
      </c>
      <c r="N1861" s="115">
        <v>603.91999999999996</v>
      </c>
      <c r="O1861" s="115">
        <v>575.20000000000005</v>
      </c>
      <c r="P1861" s="115">
        <v>576.79999999999995</v>
      </c>
      <c r="Q1861" s="115">
        <v>1503.3</v>
      </c>
      <c r="R1861">
        <v>2257424</v>
      </c>
    </row>
    <row r="1862" spans="1:18" x14ac:dyDescent="0.25">
      <c r="A1862" s="169">
        <v>45421</v>
      </c>
      <c r="B1862" s="115">
        <v>599.46</v>
      </c>
      <c r="C1862" s="115">
        <v>577.86</v>
      </c>
      <c r="D1862" s="115">
        <v>572.6</v>
      </c>
      <c r="E1862" s="115">
        <v>598</v>
      </c>
      <c r="F1862" s="115">
        <v>1444.65</v>
      </c>
      <c r="G1862">
        <v>131995</v>
      </c>
      <c r="H1862" s="115"/>
      <c r="I1862" s="115"/>
      <c r="L1862" s="169">
        <v>45421</v>
      </c>
      <c r="M1862" s="115">
        <v>578.02</v>
      </c>
      <c r="N1862" s="115">
        <v>599.91999999999996</v>
      </c>
      <c r="O1862" s="115">
        <v>573.20000000000005</v>
      </c>
      <c r="P1862" s="115">
        <v>598.02</v>
      </c>
      <c r="Q1862" s="115">
        <v>1445.05</v>
      </c>
      <c r="R1862">
        <v>1653606</v>
      </c>
    </row>
    <row r="1863" spans="1:18" x14ac:dyDescent="0.25">
      <c r="A1863" s="169">
        <v>45422</v>
      </c>
      <c r="B1863" s="115">
        <v>587.74</v>
      </c>
      <c r="C1863" s="115">
        <v>585.32000000000005</v>
      </c>
      <c r="D1863" s="115">
        <v>576</v>
      </c>
      <c r="E1863" s="115">
        <v>586</v>
      </c>
      <c r="F1863" s="115">
        <v>1463.3</v>
      </c>
      <c r="G1863">
        <v>320527</v>
      </c>
      <c r="H1863" s="115"/>
      <c r="I1863" s="115"/>
      <c r="L1863" s="169">
        <v>45422</v>
      </c>
      <c r="M1863" s="115">
        <v>585.32000000000005</v>
      </c>
      <c r="N1863" s="115">
        <v>588</v>
      </c>
      <c r="O1863" s="115">
        <v>575.82000000000005</v>
      </c>
      <c r="P1863" s="115">
        <v>585.55999999999995</v>
      </c>
      <c r="Q1863" s="115">
        <v>1463.3</v>
      </c>
      <c r="R1863">
        <v>901500</v>
      </c>
    </row>
    <row r="1864" spans="1:18" x14ac:dyDescent="0.25">
      <c r="A1864" s="169">
        <v>45425</v>
      </c>
      <c r="B1864" s="115">
        <v>598.4</v>
      </c>
      <c r="C1864" s="115">
        <v>591.12</v>
      </c>
      <c r="D1864" s="115">
        <v>561.98</v>
      </c>
      <c r="E1864" s="115">
        <v>594.1</v>
      </c>
      <c r="F1864" s="115">
        <v>1477.8</v>
      </c>
      <c r="G1864">
        <v>370557</v>
      </c>
      <c r="H1864" s="115"/>
      <c r="I1864" s="115"/>
      <c r="L1864" s="169">
        <v>45425</v>
      </c>
      <c r="M1864" s="115">
        <v>590.91999999999996</v>
      </c>
      <c r="N1864" s="115">
        <v>598.48</v>
      </c>
      <c r="O1864" s="115">
        <v>562.04</v>
      </c>
      <c r="P1864" s="115">
        <v>594.70000000000005</v>
      </c>
      <c r="Q1864" s="115">
        <v>1477.3</v>
      </c>
      <c r="R1864">
        <v>6545232</v>
      </c>
    </row>
    <row r="1865" spans="1:18" x14ac:dyDescent="0.25">
      <c r="A1865" s="169">
        <v>45426</v>
      </c>
      <c r="B1865" s="115">
        <v>623.38</v>
      </c>
      <c r="C1865" s="115">
        <v>596.08000000000004</v>
      </c>
      <c r="D1865" s="115">
        <v>593.32000000000005</v>
      </c>
      <c r="E1865" s="115">
        <v>599.26</v>
      </c>
      <c r="F1865" s="115">
        <v>1490.2</v>
      </c>
      <c r="G1865">
        <v>306850</v>
      </c>
      <c r="H1865" s="115"/>
      <c r="I1865" s="115"/>
      <c r="L1865" s="169">
        <v>45426</v>
      </c>
      <c r="M1865" s="115">
        <v>595.62</v>
      </c>
      <c r="N1865" s="115">
        <v>623.6</v>
      </c>
      <c r="O1865" s="115">
        <v>592.98</v>
      </c>
      <c r="P1865" s="115">
        <v>600</v>
      </c>
      <c r="Q1865" s="115">
        <v>1489.05</v>
      </c>
      <c r="R1865">
        <v>6860537</v>
      </c>
    </row>
    <row r="1866" spans="1:18" x14ac:dyDescent="0.25">
      <c r="A1866" s="169">
        <v>45427</v>
      </c>
      <c r="B1866" s="115">
        <v>606.34</v>
      </c>
      <c r="C1866" s="115">
        <v>599.48</v>
      </c>
      <c r="D1866" s="115">
        <v>594.41999999999996</v>
      </c>
      <c r="E1866" s="115">
        <v>598.82000000000005</v>
      </c>
      <c r="F1866" s="115">
        <v>1498.7</v>
      </c>
      <c r="G1866">
        <v>90928</v>
      </c>
      <c r="H1866" s="115"/>
      <c r="I1866" s="115"/>
      <c r="L1866" s="169">
        <v>45427</v>
      </c>
      <c r="M1866" s="115">
        <v>599.76</v>
      </c>
      <c r="N1866" s="115">
        <v>606.78</v>
      </c>
      <c r="O1866" s="115">
        <v>594.4</v>
      </c>
      <c r="P1866" s="115">
        <v>600.08000000000004</v>
      </c>
      <c r="Q1866" s="115">
        <v>1499.4</v>
      </c>
      <c r="R1866">
        <v>2094910</v>
      </c>
    </row>
    <row r="1867" spans="1:18" x14ac:dyDescent="0.25">
      <c r="A1867" s="169">
        <v>45428</v>
      </c>
      <c r="B1867" s="115">
        <v>599.78</v>
      </c>
      <c r="C1867" s="115">
        <v>597.34</v>
      </c>
      <c r="D1867" s="115">
        <v>589.36</v>
      </c>
      <c r="E1867" s="115">
        <v>597.58000000000004</v>
      </c>
      <c r="F1867" s="115">
        <v>1493.35</v>
      </c>
      <c r="G1867">
        <v>33721</v>
      </c>
      <c r="H1867" s="115"/>
      <c r="I1867" s="115"/>
      <c r="L1867" s="169">
        <v>45428</v>
      </c>
      <c r="M1867" s="115">
        <v>597.29999999999995</v>
      </c>
      <c r="N1867" s="115">
        <v>599.72</v>
      </c>
      <c r="O1867" s="115">
        <v>589.20000000000005</v>
      </c>
      <c r="P1867" s="115">
        <v>596.79999999999995</v>
      </c>
      <c r="Q1867" s="115">
        <v>1493.25</v>
      </c>
      <c r="R1867">
        <v>1685986</v>
      </c>
    </row>
    <row r="1868" spans="1:18" x14ac:dyDescent="0.25">
      <c r="A1868" s="169">
        <v>45429</v>
      </c>
      <c r="B1868" s="115">
        <v>607.79999999999995</v>
      </c>
      <c r="C1868" s="115">
        <v>605.82000000000005</v>
      </c>
      <c r="D1868" s="115">
        <v>597.34</v>
      </c>
      <c r="E1868" s="115">
        <v>597.4</v>
      </c>
      <c r="F1868" s="115">
        <v>1514.55</v>
      </c>
      <c r="G1868">
        <v>130898</v>
      </c>
      <c r="H1868" s="115"/>
      <c r="I1868" s="115"/>
      <c r="L1868" s="169">
        <v>45429</v>
      </c>
      <c r="M1868" s="115">
        <v>606.20000000000005</v>
      </c>
      <c r="N1868" s="115">
        <v>607.96</v>
      </c>
      <c r="O1868" s="115">
        <v>598</v>
      </c>
      <c r="P1868" s="115">
        <v>600</v>
      </c>
      <c r="Q1868" s="115">
        <v>1515.5</v>
      </c>
      <c r="R1868">
        <v>1150803</v>
      </c>
    </row>
    <row r="1869" spans="1:18" x14ac:dyDescent="0.25">
      <c r="A1869" s="169">
        <v>45430</v>
      </c>
      <c r="B1869" s="115">
        <v>608.38</v>
      </c>
      <c r="C1869" s="115">
        <v>602.58000000000004</v>
      </c>
      <c r="D1869" s="115">
        <v>601.66</v>
      </c>
      <c r="E1869" s="115">
        <v>608.12</v>
      </c>
      <c r="F1869" s="115">
        <v>1506.45</v>
      </c>
      <c r="G1869">
        <v>5378</v>
      </c>
      <c r="H1869" s="115"/>
      <c r="I1869" s="115"/>
      <c r="L1869" s="169">
        <v>45430</v>
      </c>
      <c r="M1869" s="115">
        <v>602.9</v>
      </c>
      <c r="N1869" s="115">
        <v>608</v>
      </c>
      <c r="O1869" s="115">
        <v>602</v>
      </c>
      <c r="P1869" s="115">
        <v>608</v>
      </c>
      <c r="Q1869" s="115">
        <v>1507.25</v>
      </c>
      <c r="R1869">
        <v>176390</v>
      </c>
    </row>
    <row r="1870" spans="1:18" x14ac:dyDescent="0.25">
      <c r="A1870" s="169">
        <v>45433</v>
      </c>
      <c r="B1870" s="115">
        <v>608</v>
      </c>
      <c r="C1870" s="115">
        <v>604.34</v>
      </c>
      <c r="D1870" s="115">
        <v>597.58000000000004</v>
      </c>
      <c r="E1870" s="115">
        <v>604.02</v>
      </c>
      <c r="F1870" s="115">
        <v>1510.85</v>
      </c>
      <c r="G1870">
        <v>31006</v>
      </c>
      <c r="H1870" s="115"/>
      <c r="I1870" s="115"/>
      <c r="L1870" s="169">
        <v>45433</v>
      </c>
      <c r="M1870" s="115">
        <v>604.6</v>
      </c>
      <c r="N1870" s="115">
        <v>608</v>
      </c>
      <c r="O1870" s="115">
        <v>597.79999999999995</v>
      </c>
      <c r="P1870" s="115">
        <v>608</v>
      </c>
      <c r="Q1870" s="115">
        <v>1511.5</v>
      </c>
      <c r="R1870">
        <v>1559272</v>
      </c>
    </row>
    <row r="1871" spans="1:18" x14ac:dyDescent="0.25">
      <c r="A1871" s="169">
        <v>45434</v>
      </c>
      <c r="B1871" s="115">
        <v>609</v>
      </c>
      <c r="C1871" s="115">
        <v>605.64</v>
      </c>
      <c r="D1871" s="115">
        <v>603.22</v>
      </c>
      <c r="E1871" s="115">
        <v>605.26</v>
      </c>
      <c r="F1871" s="115">
        <v>1514.1</v>
      </c>
      <c r="G1871">
        <v>28391</v>
      </c>
      <c r="H1871" s="115"/>
      <c r="I1871" s="115"/>
      <c r="L1871" s="169">
        <v>45434</v>
      </c>
      <c r="M1871" s="115">
        <v>605.64</v>
      </c>
      <c r="N1871" s="115">
        <v>609.36</v>
      </c>
      <c r="O1871" s="115">
        <v>603.20000000000005</v>
      </c>
      <c r="P1871" s="115">
        <v>605.78</v>
      </c>
      <c r="Q1871" s="115">
        <v>1514.1</v>
      </c>
      <c r="R1871">
        <v>1020058</v>
      </c>
    </row>
    <row r="1872" spans="1:18" x14ac:dyDescent="0.25">
      <c r="A1872" s="169">
        <v>45435</v>
      </c>
      <c r="B1872" s="115">
        <v>608.34</v>
      </c>
      <c r="C1872" s="115">
        <v>600.79999999999995</v>
      </c>
      <c r="D1872" s="115">
        <v>599.6</v>
      </c>
      <c r="E1872" s="115">
        <v>608.34</v>
      </c>
      <c r="F1872" s="115">
        <v>1502</v>
      </c>
      <c r="G1872">
        <v>63859</v>
      </c>
      <c r="H1872" s="115"/>
      <c r="I1872" s="115"/>
      <c r="L1872" s="169">
        <v>45435</v>
      </c>
      <c r="M1872" s="115">
        <v>600.94000000000005</v>
      </c>
      <c r="N1872" s="115">
        <v>608</v>
      </c>
      <c r="O1872" s="115">
        <v>599.24</v>
      </c>
      <c r="P1872" s="115">
        <v>607.20000000000005</v>
      </c>
      <c r="Q1872" s="115">
        <v>1502.35</v>
      </c>
      <c r="R1872">
        <v>1031039</v>
      </c>
    </row>
    <row r="1873" spans="1:18" x14ac:dyDescent="0.25">
      <c r="A1873" s="169">
        <v>45436</v>
      </c>
      <c r="B1873" s="115">
        <v>603.76</v>
      </c>
      <c r="C1873" s="115">
        <v>599</v>
      </c>
      <c r="D1873" s="115">
        <v>594</v>
      </c>
      <c r="E1873" s="115">
        <v>600.05999999999995</v>
      </c>
      <c r="F1873" s="115">
        <v>1497.5</v>
      </c>
      <c r="G1873">
        <v>34016</v>
      </c>
      <c r="H1873" s="115"/>
      <c r="I1873" s="115"/>
      <c r="L1873" s="169">
        <v>45436</v>
      </c>
      <c r="M1873" s="115">
        <v>599.32000000000005</v>
      </c>
      <c r="N1873" s="115">
        <v>603.62</v>
      </c>
      <c r="O1873" s="115">
        <v>594</v>
      </c>
      <c r="P1873" s="115">
        <v>600.94000000000005</v>
      </c>
      <c r="Q1873" s="115">
        <v>1498.3</v>
      </c>
      <c r="R1873">
        <v>1679209</v>
      </c>
    </row>
    <row r="1874" spans="1:18" x14ac:dyDescent="0.25">
      <c r="A1874" s="169">
        <v>45439</v>
      </c>
      <c r="B1874" s="115">
        <v>600.46</v>
      </c>
      <c r="C1874" s="115">
        <v>598.66</v>
      </c>
      <c r="D1874" s="115">
        <v>590.38</v>
      </c>
      <c r="E1874" s="115">
        <v>600</v>
      </c>
      <c r="F1874" s="115">
        <v>1496.65</v>
      </c>
      <c r="G1874">
        <v>71847</v>
      </c>
      <c r="H1874" s="115"/>
      <c r="I1874" s="115"/>
      <c r="L1874" s="169">
        <v>45439</v>
      </c>
      <c r="M1874" s="115">
        <v>598.62</v>
      </c>
      <c r="N1874" s="115">
        <v>600.36</v>
      </c>
      <c r="O1874" s="115">
        <v>590.4</v>
      </c>
      <c r="P1874" s="115">
        <v>600.36</v>
      </c>
      <c r="Q1874" s="115">
        <v>1496.55</v>
      </c>
      <c r="R1874">
        <v>1320964</v>
      </c>
    </row>
    <row r="1875" spans="1:18" x14ac:dyDescent="0.25">
      <c r="A1875" s="169">
        <v>45440</v>
      </c>
      <c r="B1875" s="115">
        <v>599.44000000000005</v>
      </c>
      <c r="C1875" s="115">
        <v>587.98</v>
      </c>
      <c r="D1875" s="115">
        <v>586.04</v>
      </c>
      <c r="E1875" s="115">
        <v>592.02</v>
      </c>
      <c r="F1875" s="115">
        <v>1469.95</v>
      </c>
      <c r="G1875">
        <v>122721</v>
      </c>
      <c r="H1875" s="115"/>
      <c r="I1875" s="115"/>
      <c r="L1875" s="169">
        <v>45440</v>
      </c>
      <c r="M1875" s="115">
        <v>588.02</v>
      </c>
      <c r="N1875" s="115">
        <v>599.4</v>
      </c>
      <c r="O1875" s="115">
        <v>586.05999999999995</v>
      </c>
      <c r="P1875" s="115">
        <v>593.20000000000005</v>
      </c>
      <c r="Q1875" s="115">
        <v>1470.05</v>
      </c>
      <c r="R1875">
        <v>1607062</v>
      </c>
    </row>
    <row r="1876" spans="1:18" x14ac:dyDescent="0.25">
      <c r="A1876" s="169">
        <v>45441</v>
      </c>
      <c r="B1876" s="115">
        <v>587.41999999999996</v>
      </c>
      <c r="C1876" s="115">
        <v>572.46</v>
      </c>
      <c r="D1876" s="115">
        <v>571.22</v>
      </c>
      <c r="E1876" s="115">
        <v>586.4</v>
      </c>
      <c r="F1876" s="115">
        <v>1431.15</v>
      </c>
      <c r="G1876">
        <v>42873</v>
      </c>
      <c r="H1876" s="115"/>
      <c r="I1876" s="115"/>
      <c r="L1876" s="169">
        <v>45441</v>
      </c>
      <c r="M1876" s="115">
        <v>572.12</v>
      </c>
      <c r="N1876" s="115">
        <v>587.70000000000005</v>
      </c>
      <c r="O1876" s="115">
        <v>571.24</v>
      </c>
      <c r="P1876" s="115">
        <v>583.9</v>
      </c>
      <c r="Q1876" s="115">
        <v>1430.3</v>
      </c>
      <c r="R1876">
        <v>1857015</v>
      </c>
    </row>
    <row r="1877" spans="1:18" x14ac:dyDescent="0.25">
      <c r="A1877" s="169">
        <v>45442</v>
      </c>
      <c r="B1877" s="115">
        <v>585.6</v>
      </c>
      <c r="C1877" s="115">
        <v>575.84</v>
      </c>
      <c r="D1877" s="115">
        <v>572.32000000000005</v>
      </c>
      <c r="E1877" s="115">
        <v>575.17999999999995</v>
      </c>
      <c r="F1877" s="115">
        <v>1439.6</v>
      </c>
      <c r="G1877">
        <v>113305</v>
      </c>
      <c r="H1877" s="115"/>
      <c r="I1877" s="115"/>
      <c r="L1877" s="169">
        <v>45442</v>
      </c>
      <c r="M1877" s="115">
        <v>575.52</v>
      </c>
      <c r="N1877" s="115">
        <v>585.9</v>
      </c>
      <c r="O1877" s="115">
        <v>572.12</v>
      </c>
      <c r="P1877" s="115">
        <v>572.72</v>
      </c>
      <c r="Q1877" s="115">
        <v>1438.8</v>
      </c>
      <c r="R1877">
        <v>1382912</v>
      </c>
    </row>
    <row r="1878" spans="1:18" x14ac:dyDescent="0.25">
      <c r="A1878" s="169">
        <v>45443</v>
      </c>
      <c r="B1878" s="115">
        <v>578</v>
      </c>
      <c r="C1878" s="115">
        <v>570.22</v>
      </c>
      <c r="D1878" s="115">
        <v>556.08000000000004</v>
      </c>
      <c r="E1878" s="115">
        <v>573.41999999999996</v>
      </c>
      <c r="F1878" s="115">
        <v>1425.55</v>
      </c>
      <c r="G1878">
        <v>238214</v>
      </c>
      <c r="H1878" s="115"/>
      <c r="I1878" s="115"/>
      <c r="L1878" s="169">
        <v>45443</v>
      </c>
      <c r="M1878" s="115">
        <v>570.72</v>
      </c>
      <c r="N1878" s="115">
        <v>578.17999999999995</v>
      </c>
      <c r="O1878" s="115">
        <v>556.1</v>
      </c>
      <c r="P1878" s="115">
        <v>575.5</v>
      </c>
      <c r="Q1878" s="115">
        <v>1426.8</v>
      </c>
      <c r="R1878">
        <v>4637480</v>
      </c>
    </row>
    <row r="1879" spans="1:18" x14ac:dyDescent="0.25">
      <c r="A1879" s="169">
        <v>45446</v>
      </c>
      <c r="B1879" s="115">
        <v>594.76</v>
      </c>
      <c r="C1879" s="115">
        <v>585.54</v>
      </c>
      <c r="D1879" s="115">
        <v>572.94000000000005</v>
      </c>
      <c r="E1879" s="115">
        <v>594.76</v>
      </c>
      <c r="F1879" s="115">
        <v>1463.85</v>
      </c>
      <c r="G1879">
        <v>58587</v>
      </c>
      <c r="H1879" s="115"/>
      <c r="I1879" s="115"/>
      <c r="L1879" s="169">
        <v>45446</v>
      </c>
      <c r="M1879" s="115">
        <v>585.62</v>
      </c>
      <c r="N1879" s="115">
        <v>590</v>
      </c>
      <c r="O1879" s="115">
        <v>572.98</v>
      </c>
      <c r="P1879" s="115">
        <v>589.6</v>
      </c>
      <c r="Q1879" s="115">
        <v>1464.05</v>
      </c>
      <c r="R1879">
        <v>1726623</v>
      </c>
    </row>
    <row r="1880" spans="1:18" x14ac:dyDescent="0.25">
      <c r="A1880" s="169">
        <v>45447</v>
      </c>
      <c r="B1880" s="115">
        <v>583.58000000000004</v>
      </c>
      <c r="C1880" s="115">
        <v>564.79999999999995</v>
      </c>
      <c r="D1880" s="115">
        <v>528.4</v>
      </c>
      <c r="E1880" s="115">
        <v>583.58000000000004</v>
      </c>
      <c r="F1880" s="115">
        <v>1412</v>
      </c>
      <c r="G1880">
        <v>118490</v>
      </c>
      <c r="H1880" s="115"/>
      <c r="I1880" s="115"/>
      <c r="L1880" s="169">
        <v>45447</v>
      </c>
      <c r="M1880" s="115">
        <v>565.36</v>
      </c>
      <c r="N1880" s="115">
        <v>582.14</v>
      </c>
      <c r="O1880" s="115">
        <v>528.02</v>
      </c>
      <c r="P1880" s="115">
        <v>580</v>
      </c>
      <c r="Q1880" s="115">
        <v>1413.4</v>
      </c>
      <c r="R1880">
        <v>2579466</v>
      </c>
    </row>
    <row r="1881" spans="1:18" x14ac:dyDescent="0.25">
      <c r="A1881" s="169">
        <v>45448</v>
      </c>
      <c r="B1881" s="115">
        <v>608.36</v>
      </c>
      <c r="C1881" s="115">
        <v>597.20000000000005</v>
      </c>
      <c r="D1881" s="115">
        <v>554.70000000000005</v>
      </c>
      <c r="E1881" s="115">
        <v>564.78</v>
      </c>
      <c r="F1881" s="115">
        <v>1493</v>
      </c>
      <c r="G1881">
        <v>113657</v>
      </c>
      <c r="H1881" s="115"/>
      <c r="I1881" s="115"/>
      <c r="L1881" s="169">
        <v>45448</v>
      </c>
      <c r="M1881" s="115">
        <v>597.6</v>
      </c>
      <c r="N1881" s="115">
        <v>608.4</v>
      </c>
      <c r="O1881" s="115">
        <v>554.4</v>
      </c>
      <c r="P1881" s="115">
        <v>562.5</v>
      </c>
      <c r="Q1881" s="115">
        <v>1494</v>
      </c>
      <c r="R1881">
        <v>4244537</v>
      </c>
    </row>
    <row r="1882" spans="1:18" x14ac:dyDescent="0.25">
      <c r="A1882" s="169">
        <v>45449</v>
      </c>
      <c r="B1882" s="115">
        <v>604.79999999999995</v>
      </c>
      <c r="C1882" s="115">
        <v>599.88</v>
      </c>
      <c r="D1882" s="115">
        <v>598.5</v>
      </c>
      <c r="E1882" s="115">
        <v>598.5</v>
      </c>
      <c r="F1882" s="115">
        <v>1499.7</v>
      </c>
      <c r="G1882">
        <v>66597</v>
      </c>
      <c r="H1882" s="115"/>
      <c r="I1882" s="115"/>
      <c r="L1882" s="169">
        <v>45449</v>
      </c>
      <c r="M1882" s="115">
        <v>599.76</v>
      </c>
      <c r="N1882" s="115">
        <v>604.91999999999996</v>
      </c>
      <c r="O1882" s="115">
        <v>598.4</v>
      </c>
      <c r="P1882" s="115">
        <v>600</v>
      </c>
      <c r="Q1882" s="115">
        <v>1499.4</v>
      </c>
      <c r="R1882">
        <v>1794242</v>
      </c>
    </row>
    <row r="1883" spans="1:18" x14ac:dyDescent="0.25">
      <c r="A1883" s="169">
        <v>45450</v>
      </c>
      <c r="B1883" s="115">
        <v>611.1</v>
      </c>
      <c r="C1883" s="115">
        <v>607.24</v>
      </c>
      <c r="D1883" s="115">
        <v>599.20000000000005</v>
      </c>
      <c r="E1883" s="115">
        <v>602.36</v>
      </c>
      <c r="F1883" s="115">
        <v>1518.1</v>
      </c>
      <c r="G1883">
        <v>145018</v>
      </c>
      <c r="H1883" s="115"/>
      <c r="I1883" s="115"/>
      <c r="L1883" s="169">
        <v>45450</v>
      </c>
      <c r="M1883" s="115">
        <v>607.44000000000005</v>
      </c>
      <c r="N1883" s="115">
        <v>611.20000000000005</v>
      </c>
      <c r="O1883" s="115">
        <v>599.20000000000005</v>
      </c>
      <c r="P1883" s="115">
        <v>603.98</v>
      </c>
      <c r="Q1883" s="115">
        <v>1518.6</v>
      </c>
      <c r="R1883">
        <v>2098282</v>
      </c>
    </row>
    <row r="1884" spans="1:18" x14ac:dyDescent="0.25">
      <c r="A1884" s="169">
        <v>45453</v>
      </c>
      <c r="B1884" s="115">
        <v>637.48</v>
      </c>
      <c r="C1884" s="115">
        <v>618.20000000000005</v>
      </c>
      <c r="D1884" s="115">
        <v>607.70000000000005</v>
      </c>
      <c r="E1884" s="115">
        <v>610</v>
      </c>
      <c r="F1884" s="115">
        <v>1545.5</v>
      </c>
      <c r="G1884">
        <v>102966</v>
      </c>
      <c r="H1884" s="115"/>
      <c r="I1884" s="115"/>
      <c r="L1884" s="169">
        <v>45453</v>
      </c>
      <c r="M1884" s="115">
        <v>618.41999999999996</v>
      </c>
      <c r="N1884" s="115">
        <v>637.48</v>
      </c>
      <c r="O1884" s="115">
        <v>609.20000000000005</v>
      </c>
      <c r="P1884" s="115">
        <v>610</v>
      </c>
      <c r="Q1884" s="115">
        <v>1546.05</v>
      </c>
      <c r="R1884">
        <v>3396123</v>
      </c>
    </row>
    <row r="1885" spans="1:18" x14ac:dyDescent="0.25">
      <c r="A1885" s="169">
        <v>45454</v>
      </c>
      <c r="B1885" s="115">
        <v>629.82000000000005</v>
      </c>
      <c r="C1885" s="115">
        <v>618.78</v>
      </c>
      <c r="D1885" s="115">
        <v>617.1</v>
      </c>
      <c r="E1885" s="115">
        <v>629.82000000000005</v>
      </c>
      <c r="F1885" s="115">
        <v>1546.95</v>
      </c>
      <c r="G1885">
        <v>53233</v>
      </c>
      <c r="H1885" s="115"/>
      <c r="I1885" s="115"/>
      <c r="L1885" s="169">
        <v>45454</v>
      </c>
      <c r="M1885" s="115">
        <v>618.9</v>
      </c>
      <c r="N1885" s="115">
        <v>628.76</v>
      </c>
      <c r="O1885" s="115">
        <v>616.82000000000005</v>
      </c>
      <c r="P1885" s="115">
        <v>624.4</v>
      </c>
      <c r="Q1885" s="115">
        <v>1547.25</v>
      </c>
      <c r="R1885">
        <v>1921109</v>
      </c>
    </row>
    <row r="1886" spans="1:18" x14ac:dyDescent="0.25">
      <c r="A1886" s="169">
        <v>45455</v>
      </c>
      <c r="B1886" s="115">
        <v>627.88</v>
      </c>
      <c r="C1886" s="115">
        <v>623</v>
      </c>
      <c r="D1886" s="115">
        <v>621.52</v>
      </c>
      <c r="E1886" s="115">
        <v>624.48</v>
      </c>
      <c r="F1886" s="115">
        <v>1557.5</v>
      </c>
      <c r="G1886">
        <v>20129</v>
      </c>
      <c r="H1886" s="115"/>
      <c r="I1886" s="115"/>
      <c r="L1886" s="169">
        <v>45455</v>
      </c>
      <c r="M1886" s="115">
        <v>623.1</v>
      </c>
      <c r="N1886" s="115">
        <v>627.6</v>
      </c>
      <c r="O1886" s="115">
        <v>621.6</v>
      </c>
      <c r="P1886" s="115">
        <v>625.16</v>
      </c>
      <c r="Q1886" s="115">
        <v>1557.75</v>
      </c>
      <c r="R1886">
        <v>1314160</v>
      </c>
    </row>
    <row r="1887" spans="1:18" x14ac:dyDescent="0.25">
      <c r="A1887" s="169">
        <v>45456</v>
      </c>
      <c r="B1887" s="115">
        <v>638.54</v>
      </c>
      <c r="C1887" s="115">
        <v>631.52</v>
      </c>
      <c r="D1887" s="115">
        <v>622.9</v>
      </c>
      <c r="E1887" s="115">
        <v>638.54</v>
      </c>
      <c r="F1887" s="115">
        <v>1578.8</v>
      </c>
      <c r="G1887">
        <v>38150</v>
      </c>
      <c r="H1887" s="115"/>
      <c r="I1887" s="115"/>
      <c r="L1887" s="169">
        <v>45456</v>
      </c>
      <c r="M1887" s="115">
        <v>631.41999999999996</v>
      </c>
      <c r="N1887" s="115">
        <v>639.34</v>
      </c>
      <c r="O1887" s="115">
        <v>623.08000000000004</v>
      </c>
      <c r="P1887" s="115">
        <v>639.34</v>
      </c>
      <c r="Q1887" s="115">
        <v>1578.55</v>
      </c>
      <c r="R1887">
        <v>1986195</v>
      </c>
    </row>
    <row r="1888" spans="1:18" x14ac:dyDescent="0.25">
      <c r="A1888" s="169">
        <v>45457</v>
      </c>
      <c r="B1888" s="115">
        <v>660</v>
      </c>
      <c r="C1888" s="115">
        <v>655.20000000000005</v>
      </c>
      <c r="D1888" s="115">
        <v>629.05999999999995</v>
      </c>
      <c r="E1888" s="115">
        <v>632</v>
      </c>
      <c r="F1888" s="115">
        <v>1638</v>
      </c>
      <c r="G1888">
        <v>275372</v>
      </c>
      <c r="H1888" s="115"/>
      <c r="I1888" s="115"/>
      <c r="L1888" s="169">
        <v>45457</v>
      </c>
      <c r="M1888" s="115">
        <v>655.7</v>
      </c>
      <c r="N1888" s="115">
        <v>660</v>
      </c>
      <c r="O1888" s="115">
        <v>629.82000000000005</v>
      </c>
      <c r="P1888" s="115">
        <v>631.91999999999996</v>
      </c>
      <c r="Q1888" s="115">
        <v>1639.25</v>
      </c>
      <c r="R1888">
        <v>3257768</v>
      </c>
    </row>
    <row r="1889" spans="1:18" x14ac:dyDescent="0.25">
      <c r="A1889" s="169">
        <v>45461</v>
      </c>
      <c r="B1889" s="115">
        <v>668.34</v>
      </c>
      <c r="C1889" s="115">
        <v>650.58000000000004</v>
      </c>
      <c r="D1889" s="115">
        <v>648.04</v>
      </c>
      <c r="E1889" s="115">
        <v>660.1</v>
      </c>
      <c r="F1889" s="115">
        <v>1626.45</v>
      </c>
      <c r="G1889">
        <v>79822</v>
      </c>
      <c r="H1889" s="115"/>
      <c r="I1889" s="115"/>
      <c r="L1889" s="169">
        <v>45461</v>
      </c>
      <c r="M1889" s="115">
        <v>649.96</v>
      </c>
      <c r="N1889" s="115">
        <v>668.4</v>
      </c>
      <c r="O1889" s="115">
        <v>648</v>
      </c>
      <c r="P1889" s="115">
        <v>658</v>
      </c>
      <c r="Q1889" s="115">
        <v>1624.9</v>
      </c>
      <c r="R1889">
        <v>2046723</v>
      </c>
    </row>
    <row r="1890" spans="1:18" x14ac:dyDescent="0.25">
      <c r="A1890" s="169">
        <v>45462</v>
      </c>
      <c r="B1890" s="115">
        <v>669.48</v>
      </c>
      <c r="C1890" s="115">
        <v>648.94000000000005</v>
      </c>
      <c r="D1890" s="115">
        <v>645.14</v>
      </c>
      <c r="E1890" s="115">
        <v>655.6</v>
      </c>
      <c r="F1890" s="115">
        <v>1622.35</v>
      </c>
      <c r="G1890">
        <v>186688</v>
      </c>
      <c r="H1890" s="115"/>
      <c r="I1890" s="115"/>
      <c r="L1890" s="169">
        <v>45462</v>
      </c>
      <c r="M1890" s="115">
        <v>649.20000000000005</v>
      </c>
      <c r="N1890" s="115">
        <v>668.8</v>
      </c>
      <c r="O1890" s="115">
        <v>645.14</v>
      </c>
      <c r="P1890" s="115">
        <v>656</v>
      </c>
      <c r="Q1890" s="115">
        <v>1623</v>
      </c>
      <c r="R1890">
        <v>4380628</v>
      </c>
    </row>
    <row r="1891" spans="1:18" x14ac:dyDescent="0.25">
      <c r="A1891" s="169">
        <v>45463</v>
      </c>
      <c r="B1891" s="115">
        <v>659.28</v>
      </c>
      <c r="C1891" s="115">
        <v>645.4</v>
      </c>
      <c r="D1891" s="115">
        <v>644.5</v>
      </c>
      <c r="E1891" s="115">
        <v>659.28</v>
      </c>
      <c r="F1891" s="115">
        <v>1613.5</v>
      </c>
      <c r="G1891">
        <v>40959</v>
      </c>
      <c r="H1891" s="115"/>
      <c r="I1891" s="115"/>
      <c r="L1891" s="169">
        <v>45463</v>
      </c>
      <c r="M1891" s="115">
        <v>645.5</v>
      </c>
      <c r="N1891" s="115">
        <v>657.2</v>
      </c>
      <c r="O1891" s="115">
        <v>644.4</v>
      </c>
      <c r="P1891" s="115">
        <v>651.91999999999996</v>
      </c>
      <c r="Q1891" s="115">
        <v>1613.75</v>
      </c>
      <c r="R1891">
        <v>1902426</v>
      </c>
    </row>
    <row r="1892" spans="1:18" x14ac:dyDescent="0.25">
      <c r="A1892" s="169">
        <v>45464</v>
      </c>
      <c r="B1892" s="115">
        <v>650.14</v>
      </c>
      <c r="C1892" s="115">
        <v>636.9</v>
      </c>
      <c r="D1892" s="115">
        <v>634</v>
      </c>
      <c r="E1892" s="115">
        <v>648</v>
      </c>
      <c r="F1892" s="115">
        <v>1592.25</v>
      </c>
      <c r="G1892">
        <v>32242</v>
      </c>
      <c r="H1892" s="115"/>
      <c r="I1892" s="115"/>
      <c r="L1892" s="169">
        <v>45464</v>
      </c>
      <c r="M1892" s="115">
        <v>637.41999999999996</v>
      </c>
      <c r="N1892" s="115">
        <v>650.46</v>
      </c>
      <c r="O1892" s="115">
        <v>634</v>
      </c>
      <c r="P1892" s="115">
        <v>647.52</v>
      </c>
      <c r="Q1892" s="115">
        <v>1593.55</v>
      </c>
      <c r="R1892">
        <v>2019552</v>
      </c>
    </row>
    <row r="1893" spans="1:18" x14ac:dyDescent="0.25">
      <c r="A1893" s="169">
        <v>45467</v>
      </c>
      <c r="B1893" s="115">
        <v>637.98</v>
      </c>
      <c r="C1893" s="115">
        <v>631.66</v>
      </c>
      <c r="D1893" s="115">
        <v>628.29999999999995</v>
      </c>
      <c r="E1893" s="115">
        <v>637.98</v>
      </c>
      <c r="F1893" s="115">
        <v>1579.15</v>
      </c>
      <c r="G1893">
        <v>19140</v>
      </c>
      <c r="H1893" s="115"/>
      <c r="I1893" s="115"/>
      <c r="L1893" s="169">
        <v>45467</v>
      </c>
      <c r="M1893" s="115">
        <v>631.29999999999995</v>
      </c>
      <c r="N1893" s="115">
        <v>637.4</v>
      </c>
      <c r="O1893" s="115">
        <v>628.12</v>
      </c>
      <c r="P1893" s="115">
        <v>637.02</v>
      </c>
      <c r="Q1893" s="115">
        <v>1578.25</v>
      </c>
      <c r="R1893">
        <v>1212536</v>
      </c>
    </row>
    <row r="1894" spans="1:18" x14ac:dyDescent="0.25">
      <c r="A1894" s="169">
        <v>45468</v>
      </c>
      <c r="B1894" s="115">
        <v>639.98</v>
      </c>
      <c r="C1894" s="115">
        <v>635.34</v>
      </c>
      <c r="D1894" s="115">
        <v>624.55999999999995</v>
      </c>
      <c r="E1894" s="115">
        <v>631.6</v>
      </c>
      <c r="F1894" s="115">
        <v>1588.35</v>
      </c>
      <c r="G1894">
        <v>428784</v>
      </c>
      <c r="H1894" s="115"/>
      <c r="I1894" s="115"/>
      <c r="L1894" s="169">
        <v>45468</v>
      </c>
      <c r="M1894" s="115">
        <v>635.54</v>
      </c>
      <c r="N1894" s="115">
        <v>640.32000000000005</v>
      </c>
      <c r="O1894" s="115">
        <v>624.54</v>
      </c>
      <c r="P1894" s="115">
        <v>632</v>
      </c>
      <c r="Q1894" s="115">
        <v>1588.85</v>
      </c>
      <c r="R1894">
        <v>1943202</v>
      </c>
    </row>
    <row r="1895" spans="1:18" x14ac:dyDescent="0.25">
      <c r="A1895" s="169">
        <v>45469</v>
      </c>
      <c r="B1895" s="115">
        <v>646.91999999999996</v>
      </c>
      <c r="C1895" s="115">
        <v>642.17999999999995</v>
      </c>
      <c r="D1895" s="115">
        <v>627.52</v>
      </c>
      <c r="E1895" s="115">
        <v>635.20000000000005</v>
      </c>
      <c r="F1895" s="115">
        <v>1605.45</v>
      </c>
      <c r="G1895">
        <v>38667</v>
      </c>
      <c r="H1895" s="115"/>
      <c r="I1895" s="115"/>
      <c r="L1895" s="169">
        <v>45469</v>
      </c>
      <c r="M1895" s="115">
        <v>643.02</v>
      </c>
      <c r="N1895" s="115">
        <v>646.79999999999995</v>
      </c>
      <c r="O1895" s="115">
        <v>627.24</v>
      </c>
      <c r="P1895" s="115">
        <v>634.76</v>
      </c>
      <c r="Q1895" s="115">
        <v>1607.55</v>
      </c>
      <c r="R1895">
        <v>1330531</v>
      </c>
    </row>
    <row r="1896" spans="1:18" x14ac:dyDescent="0.25">
      <c r="A1896" s="169">
        <v>45470</v>
      </c>
      <c r="B1896" s="115">
        <v>659.6</v>
      </c>
      <c r="C1896" s="115">
        <v>655.68</v>
      </c>
      <c r="D1896" s="115">
        <v>640</v>
      </c>
      <c r="E1896" s="115">
        <v>643.20000000000005</v>
      </c>
      <c r="F1896" s="115">
        <v>1639.2</v>
      </c>
      <c r="G1896">
        <v>48701</v>
      </c>
      <c r="H1896" s="115"/>
      <c r="I1896" s="115"/>
      <c r="L1896" s="169">
        <v>45470</v>
      </c>
      <c r="M1896" s="115">
        <v>655.78</v>
      </c>
      <c r="N1896" s="115">
        <v>659.8</v>
      </c>
      <c r="O1896" s="115">
        <v>639.62</v>
      </c>
      <c r="P1896" s="115">
        <v>642.79999999999995</v>
      </c>
      <c r="Q1896" s="115">
        <v>1639.45</v>
      </c>
      <c r="R1896">
        <v>2105818</v>
      </c>
    </row>
    <row r="1897" spans="1:18" x14ac:dyDescent="0.25">
      <c r="A1897" s="169">
        <v>45471</v>
      </c>
      <c r="B1897" s="115">
        <v>659</v>
      </c>
      <c r="C1897" s="115">
        <v>651.9</v>
      </c>
      <c r="D1897" s="115">
        <v>643.6</v>
      </c>
      <c r="E1897" s="115">
        <v>659</v>
      </c>
      <c r="F1897" s="115">
        <v>1629.75</v>
      </c>
      <c r="G1897">
        <v>26867</v>
      </c>
      <c r="H1897" s="115"/>
      <c r="I1897" s="115"/>
      <c r="L1897" s="169">
        <v>45471</v>
      </c>
      <c r="M1897" s="115">
        <v>651.79999999999995</v>
      </c>
      <c r="N1897" s="115">
        <v>658.46</v>
      </c>
      <c r="O1897" s="115">
        <v>643.32000000000005</v>
      </c>
      <c r="P1897" s="115">
        <v>655.78</v>
      </c>
      <c r="Q1897" s="115">
        <v>1629.5</v>
      </c>
      <c r="R1897">
        <v>1674666</v>
      </c>
    </row>
    <row r="1898" spans="1:18" x14ac:dyDescent="0.25">
      <c r="A1898" s="169">
        <v>45474</v>
      </c>
      <c r="B1898" s="115">
        <v>653.79999999999995</v>
      </c>
      <c r="C1898" s="115">
        <v>642.88</v>
      </c>
      <c r="D1898" s="115">
        <v>637.82000000000005</v>
      </c>
      <c r="E1898" s="115">
        <v>651.9</v>
      </c>
      <c r="F1898" s="115">
        <v>1607.2</v>
      </c>
      <c r="G1898">
        <v>96676</v>
      </c>
      <c r="H1898" s="115"/>
      <c r="I1898" s="115"/>
      <c r="L1898" s="169">
        <v>45474</v>
      </c>
      <c r="M1898" s="115">
        <v>643.14</v>
      </c>
      <c r="N1898" s="115">
        <v>653.6</v>
      </c>
      <c r="O1898" s="115">
        <v>638.4</v>
      </c>
      <c r="P1898" s="115">
        <v>652</v>
      </c>
      <c r="Q1898" s="115">
        <v>1607.85</v>
      </c>
      <c r="R1898">
        <v>1134733</v>
      </c>
    </row>
    <row r="1899" spans="1:18" x14ac:dyDescent="0.25">
      <c r="A1899" s="169">
        <v>45475</v>
      </c>
      <c r="B1899" s="115">
        <v>643</v>
      </c>
      <c r="C1899" s="115">
        <v>631.02</v>
      </c>
      <c r="D1899" s="115">
        <v>630</v>
      </c>
      <c r="E1899" s="115">
        <v>642.86</v>
      </c>
      <c r="F1899" s="115">
        <v>1577.55</v>
      </c>
      <c r="G1899">
        <v>26294</v>
      </c>
      <c r="H1899" s="115"/>
      <c r="I1899" s="115"/>
      <c r="L1899" s="169">
        <v>45475</v>
      </c>
      <c r="M1899" s="115">
        <v>630.86</v>
      </c>
      <c r="N1899" s="115">
        <v>643.17999999999995</v>
      </c>
      <c r="O1899" s="115">
        <v>630</v>
      </c>
      <c r="P1899" s="115">
        <v>639.20000000000005</v>
      </c>
      <c r="Q1899" s="115">
        <v>1577.15</v>
      </c>
      <c r="R1899">
        <v>1628150</v>
      </c>
    </row>
    <row r="1900" spans="1:18" x14ac:dyDescent="0.25">
      <c r="A1900" s="169">
        <v>45476</v>
      </c>
      <c r="B1900" s="115">
        <v>647.6</v>
      </c>
      <c r="C1900" s="115">
        <v>645.12</v>
      </c>
      <c r="D1900" s="115">
        <v>631.79999999999995</v>
      </c>
      <c r="E1900" s="115">
        <v>635.58000000000004</v>
      </c>
      <c r="F1900" s="115">
        <v>1612.8</v>
      </c>
      <c r="G1900">
        <v>76397</v>
      </c>
      <c r="H1900" s="115"/>
      <c r="I1900" s="115"/>
      <c r="L1900" s="169">
        <v>45476</v>
      </c>
      <c r="M1900" s="115">
        <v>645.38</v>
      </c>
      <c r="N1900" s="115">
        <v>647.36</v>
      </c>
      <c r="O1900" s="115">
        <v>631.82000000000005</v>
      </c>
      <c r="P1900" s="115">
        <v>634.4</v>
      </c>
      <c r="Q1900" s="115">
        <v>1613.45</v>
      </c>
      <c r="R1900">
        <v>1013630</v>
      </c>
    </row>
    <row r="1901" spans="1:18" x14ac:dyDescent="0.25">
      <c r="A1901" s="169">
        <v>45477</v>
      </c>
      <c r="B1901" s="115">
        <v>649.88</v>
      </c>
      <c r="C1901" s="115">
        <v>647.64</v>
      </c>
      <c r="D1901" s="115">
        <v>642.66</v>
      </c>
      <c r="E1901" s="115">
        <v>646</v>
      </c>
      <c r="F1901" s="115">
        <v>1619.1</v>
      </c>
      <c r="G1901">
        <v>27084</v>
      </c>
      <c r="H1901" s="115"/>
      <c r="I1901" s="115"/>
      <c r="L1901" s="169">
        <v>45477</v>
      </c>
      <c r="M1901" s="115">
        <v>647.44000000000005</v>
      </c>
      <c r="N1901" s="115">
        <v>650</v>
      </c>
      <c r="O1901" s="115">
        <v>642.22</v>
      </c>
      <c r="P1901" s="115">
        <v>645.6</v>
      </c>
      <c r="Q1901" s="115">
        <v>1618.6</v>
      </c>
      <c r="R1901">
        <v>969338</v>
      </c>
    </row>
    <row r="1902" spans="1:18" x14ac:dyDescent="0.25">
      <c r="A1902" s="169">
        <v>45478</v>
      </c>
      <c r="B1902" s="115">
        <v>650.02</v>
      </c>
      <c r="C1902" s="115">
        <v>645.26</v>
      </c>
      <c r="D1902" s="115">
        <v>640.20000000000005</v>
      </c>
      <c r="E1902" s="115">
        <v>646.88</v>
      </c>
      <c r="F1902" s="115">
        <v>1613.15</v>
      </c>
      <c r="G1902">
        <v>70235</v>
      </c>
      <c r="H1902" s="115"/>
      <c r="I1902" s="115"/>
      <c r="L1902" s="169">
        <v>45478</v>
      </c>
      <c r="M1902" s="115">
        <v>645.66</v>
      </c>
      <c r="N1902" s="115">
        <v>650.34</v>
      </c>
      <c r="O1902" s="115">
        <v>640.44000000000005</v>
      </c>
      <c r="P1902" s="115">
        <v>650.1</v>
      </c>
      <c r="Q1902" s="115">
        <v>1614.15</v>
      </c>
      <c r="R1902">
        <v>664580</v>
      </c>
    </row>
    <row r="1903" spans="1:18" x14ac:dyDescent="0.25">
      <c r="A1903" s="169">
        <v>45481</v>
      </c>
      <c r="B1903" s="115">
        <v>655.8</v>
      </c>
      <c r="C1903" s="115">
        <v>638.96</v>
      </c>
      <c r="D1903" s="115">
        <v>636.36</v>
      </c>
      <c r="E1903" s="115">
        <v>640.05999999999995</v>
      </c>
      <c r="F1903" s="115">
        <v>1597.4</v>
      </c>
      <c r="G1903">
        <v>24880</v>
      </c>
      <c r="H1903" s="115"/>
      <c r="I1903" s="115"/>
      <c r="L1903" s="169">
        <v>45481</v>
      </c>
      <c r="M1903" s="115">
        <v>638.91999999999996</v>
      </c>
      <c r="N1903" s="115">
        <v>655.98</v>
      </c>
      <c r="O1903" s="115">
        <v>636.4</v>
      </c>
      <c r="P1903" s="115">
        <v>645.96</v>
      </c>
      <c r="Q1903" s="115">
        <v>1597.3</v>
      </c>
      <c r="R1903">
        <v>1459852</v>
      </c>
    </row>
    <row r="1904" spans="1:18" x14ac:dyDescent="0.25">
      <c r="A1904" s="169">
        <v>45482</v>
      </c>
      <c r="B1904" s="115">
        <v>662.68</v>
      </c>
      <c r="C1904" s="115">
        <v>644.62</v>
      </c>
      <c r="D1904" s="115">
        <v>642.02</v>
      </c>
      <c r="E1904" s="115">
        <v>642.02</v>
      </c>
      <c r="F1904" s="115">
        <v>1611.55</v>
      </c>
      <c r="G1904">
        <v>134345</v>
      </c>
      <c r="H1904" s="115"/>
      <c r="I1904" s="115"/>
      <c r="L1904" s="169">
        <v>45482</v>
      </c>
      <c r="M1904" s="115">
        <v>644.6</v>
      </c>
      <c r="N1904" s="115">
        <v>663.1</v>
      </c>
      <c r="O1904" s="115">
        <v>642.55999999999995</v>
      </c>
      <c r="P1904" s="115">
        <v>644.79999999999995</v>
      </c>
      <c r="Q1904" s="115">
        <v>1611.5</v>
      </c>
      <c r="R1904">
        <v>1475031</v>
      </c>
    </row>
    <row r="1905" spans="1:18" x14ac:dyDescent="0.25">
      <c r="A1905" s="169">
        <v>45483</v>
      </c>
      <c r="B1905" s="115">
        <v>651.4</v>
      </c>
      <c r="C1905" s="115">
        <v>639.64</v>
      </c>
      <c r="D1905" s="115">
        <v>636.79999999999995</v>
      </c>
      <c r="E1905" s="115">
        <v>645.82000000000005</v>
      </c>
      <c r="F1905" s="115">
        <v>1599.1</v>
      </c>
      <c r="G1905">
        <v>112278</v>
      </c>
      <c r="H1905" s="115"/>
      <c r="I1905" s="115"/>
      <c r="L1905" s="169">
        <v>45483</v>
      </c>
      <c r="M1905" s="115">
        <v>639.74</v>
      </c>
      <c r="N1905" s="115">
        <v>651.5</v>
      </c>
      <c r="O1905" s="115">
        <v>636.22</v>
      </c>
      <c r="P1905" s="115">
        <v>650</v>
      </c>
      <c r="Q1905" s="115">
        <v>1599.35</v>
      </c>
      <c r="R1905">
        <v>1300758</v>
      </c>
    </row>
    <row r="1906" spans="1:18" x14ac:dyDescent="0.25">
      <c r="A1906" s="169">
        <v>45484</v>
      </c>
      <c r="B1906" s="115">
        <v>643.16</v>
      </c>
      <c r="C1906" s="115">
        <v>637.6</v>
      </c>
      <c r="D1906" s="115">
        <v>634.05999999999995</v>
      </c>
      <c r="E1906" s="115">
        <v>643.16</v>
      </c>
      <c r="F1906" s="115">
        <v>1594</v>
      </c>
      <c r="G1906">
        <v>110992</v>
      </c>
      <c r="H1906" s="115"/>
      <c r="I1906" s="115"/>
      <c r="L1906" s="169">
        <v>45484</v>
      </c>
      <c r="M1906" s="115">
        <v>636.98</v>
      </c>
      <c r="N1906" s="115">
        <v>643</v>
      </c>
      <c r="O1906" s="115">
        <v>634</v>
      </c>
      <c r="P1906" s="115">
        <v>640</v>
      </c>
      <c r="Q1906" s="115">
        <v>1592.45</v>
      </c>
      <c r="R1906">
        <v>1429658</v>
      </c>
    </row>
    <row r="1907" spans="1:18" x14ac:dyDescent="0.25">
      <c r="A1907" s="169">
        <v>45485</v>
      </c>
      <c r="B1907" s="115">
        <v>640</v>
      </c>
      <c r="C1907" s="115">
        <v>633.44000000000005</v>
      </c>
      <c r="D1907" s="115">
        <v>625.82000000000005</v>
      </c>
      <c r="E1907" s="115">
        <v>638.9</v>
      </c>
      <c r="F1907" s="115">
        <v>1583.6</v>
      </c>
      <c r="G1907">
        <v>112062</v>
      </c>
      <c r="H1907" s="115"/>
      <c r="I1907" s="115"/>
      <c r="L1907" s="169">
        <v>45485</v>
      </c>
      <c r="M1907" s="115">
        <v>633.79999999999995</v>
      </c>
      <c r="N1907" s="115">
        <v>640.54</v>
      </c>
      <c r="O1907" s="115">
        <v>626.05999999999995</v>
      </c>
      <c r="P1907" s="115">
        <v>638.79999999999995</v>
      </c>
      <c r="Q1907" s="115">
        <v>1584.5</v>
      </c>
      <c r="R1907">
        <v>1445909</v>
      </c>
    </row>
    <row r="1908" spans="1:18" x14ac:dyDescent="0.25">
      <c r="A1908" s="169">
        <v>45488</v>
      </c>
      <c r="B1908" s="115">
        <v>653.20000000000005</v>
      </c>
      <c r="C1908" s="115">
        <v>651.04</v>
      </c>
      <c r="D1908" s="115">
        <v>629.02</v>
      </c>
      <c r="E1908" s="115">
        <v>633.20000000000005</v>
      </c>
      <c r="F1908" s="115">
        <v>1627.6</v>
      </c>
      <c r="G1908">
        <v>49915</v>
      </c>
      <c r="H1908" s="115"/>
      <c r="I1908" s="115"/>
      <c r="L1908" s="169">
        <v>45488</v>
      </c>
      <c r="M1908" s="115">
        <v>651.14</v>
      </c>
      <c r="N1908" s="115">
        <v>653.20000000000005</v>
      </c>
      <c r="O1908" s="115">
        <v>628.79999999999995</v>
      </c>
      <c r="P1908" s="115">
        <v>632</v>
      </c>
      <c r="Q1908" s="115">
        <v>1627.85</v>
      </c>
      <c r="R1908">
        <v>1728465</v>
      </c>
    </row>
    <row r="1909" spans="1:18" x14ac:dyDescent="0.25">
      <c r="A1909" s="169">
        <v>45489</v>
      </c>
      <c r="B1909" s="115">
        <v>658.42</v>
      </c>
      <c r="C1909" s="115">
        <v>638.62</v>
      </c>
      <c r="D1909" s="115">
        <v>636.88</v>
      </c>
      <c r="E1909" s="115">
        <v>656</v>
      </c>
      <c r="F1909" s="115">
        <v>1596.55</v>
      </c>
      <c r="G1909">
        <v>51534</v>
      </c>
      <c r="H1909" s="115"/>
      <c r="I1909" s="115"/>
      <c r="L1909" s="169">
        <v>45489</v>
      </c>
      <c r="M1909" s="115">
        <v>639.6</v>
      </c>
      <c r="N1909" s="115">
        <v>657.88</v>
      </c>
      <c r="O1909" s="115">
        <v>636.84</v>
      </c>
      <c r="P1909" s="115">
        <v>655.88</v>
      </c>
      <c r="Q1909" s="115">
        <v>1599</v>
      </c>
      <c r="R1909">
        <v>1740193</v>
      </c>
    </row>
    <row r="1910" spans="1:18" x14ac:dyDescent="0.25">
      <c r="A1910" s="169">
        <v>45491</v>
      </c>
      <c r="B1910" s="115">
        <v>643.17999999999995</v>
      </c>
      <c r="C1910" s="115">
        <v>636.29999999999995</v>
      </c>
      <c r="D1910" s="115">
        <v>634.55999999999995</v>
      </c>
      <c r="E1910" s="115">
        <v>640</v>
      </c>
      <c r="F1910" s="115">
        <v>1590.75</v>
      </c>
      <c r="G1910">
        <v>61901</v>
      </c>
      <c r="H1910" s="115"/>
      <c r="I1910" s="115"/>
      <c r="L1910" s="169">
        <v>45491</v>
      </c>
      <c r="M1910" s="115">
        <v>636.26</v>
      </c>
      <c r="N1910" s="115">
        <v>643.20000000000005</v>
      </c>
      <c r="O1910" s="115">
        <v>634.44000000000005</v>
      </c>
      <c r="P1910" s="115">
        <v>640</v>
      </c>
      <c r="Q1910" s="115">
        <v>1590.65</v>
      </c>
      <c r="R1910">
        <v>1997411</v>
      </c>
    </row>
    <row r="1911" spans="1:18" x14ac:dyDescent="0.25">
      <c r="A1911" s="169">
        <v>45492</v>
      </c>
      <c r="B1911" s="115">
        <v>635.98</v>
      </c>
      <c r="C1911" s="115">
        <v>623.82000000000005</v>
      </c>
      <c r="D1911" s="115">
        <v>615.70000000000005</v>
      </c>
      <c r="E1911" s="115">
        <v>632.29999999999995</v>
      </c>
      <c r="F1911" s="115">
        <v>1559.55</v>
      </c>
      <c r="G1911">
        <v>138683</v>
      </c>
      <c r="H1911" s="115"/>
      <c r="I1911" s="115"/>
      <c r="L1911" s="169">
        <v>45492</v>
      </c>
      <c r="M1911" s="115">
        <v>623.88</v>
      </c>
      <c r="N1911" s="115">
        <v>635.72</v>
      </c>
      <c r="O1911" s="115">
        <v>615.6</v>
      </c>
      <c r="P1911" s="115">
        <v>633.6</v>
      </c>
      <c r="Q1911" s="115">
        <v>1559.7</v>
      </c>
      <c r="R1911">
        <v>1899757</v>
      </c>
    </row>
    <row r="1912" spans="1:18" x14ac:dyDescent="0.25">
      <c r="A1912" s="169">
        <v>45495</v>
      </c>
      <c r="B1912" s="115">
        <v>628.46</v>
      </c>
      <c r="C1912" s="115">
        <v>625.12</v>
      </c>
      <c r="D1912" s="115">
        <v>621.17999999999995</v>
      </c>
      <c r="E1912" s="115">
        <v>624.02</v>
      </c>
      <c r="F1912" s="115">
        <v>1562.8</v>
      </c>
      <c r="G1912">
        <v>29524</v>
      </c>
      <c r="H1912" s="115"/>
      <c r="I1912" s="115"/>
      <c r="L1912" s="169">
        <v>45495</v>
      </c>
      <c r="M1912" s="115">
        <v>625.02</v>
      </c>
      <c r="N1912" s="115">
        <v>628.6</v>
      </c>
      <c r="O1912" s="115">
        <v>621.20000000000005</v>
      </c>
      <c r="P1912" s="115">
        <v>624</v>
      </c>
      <c r="Q1912" s="115">
        <v>1562.55</v>
      </c>
      <c r="R1912">
        <v>1258859</v>
      </c>
    </row>
    <row r="1913" spans="1:18" x14ac:dyDescent="0.25">
      <c r="A1913" s="169">
        <v>45496</v>
      </c>
      <c r="B1913" s="115">
        <v>629.58000000000004</v>
      </c>
      <c r="C1913" s="115">
        <v>619.55999999999995</v>
      </c>
      <c r="D1913" s="115">
        <v>602.79999999999995</v>
      </c>
      <c r="E1913" s="115">
        <v>625.14</v>
      </c>
      <c r="F1913" s="115">
        <v>1548.9</v>
      </c>
      <c r="G1913">
        <v>156852</v>
      </c>
      <c r="H1913" s="115"/>
      <c r="I1913" s="115"/>
      <c r="L1913" s="169">
        <v>45496</v>
      </c>
      <c r="M1913" s="115">
        <v>619.52</v>
      </c>
      <c r="N1913" s="115">
        <v>629.34</v>
      </c>
      <c r="O1913" s="115">
        <v>603.1</v>
      </c>
      <c r="P1913" s="115">
        <v>629.05999999999995</v>
      </c>
      <c r="Q1913" s="115">
        <v>1548.8</v>
      </c>
      <c r="R1913">
        <v>1447732</v>
      </c>
    </row>
    <row r="1914" spans="1:18" x14ac:dyDescent="0.25">
      <c r="A1914" s="169">
        <v>45497</v>
      </c>
      <c r="B1914" s="115">
        <v>648.1</v>
      </c>
      <c r="C1914" s="115">
        <v>645.1</v>
      </c>
      <c r="D1914" s="115">
        <v>612.66</v>
      </c>
      <c r="E1914" s="115">
        <v>619.58000000000004</v>
      </c>
      <c r="F1914" s="115">
        <v>1612.75</v>
      </c>
      <c r="G1914">
        <v>147176</v>
      </c>
      <c r="H1914" s="115"/>
      <c r="I1914" s="115"/>
      <c r="L1914" s="169">
        <v>45497</v>
      </c>
      <c r="M1914" s="115">
        <v>644.79999999999995</v>
      </c>
      <c r="N1914" s="115">
        <v>648.05999999999995</v>
      </c>
      <c r="O1914" s="115">
        <v>612.62</v>
      </c>
      <c r="P1914" s="115">
        <v>619.52</v>
      </c>
      <c r="Q1914" s="115">
        <v>1612</v>
      </c>
      <c r="R1914">
        <v>2513511</v>
      </c>
    </row>
    <row r="1915" spans="1:18" x14ac:dyDescent="0.25">
      <c r="A1915" s="169">
        <v>45498</v>
      </c>
      <c r="B1915" s="115">
        <v>663.2</v>
      </c>
      <c r="C1915" s="115">
        <v>660.52</v>
      </c>
      <c r="D1915" s="115">
        <v>640.36</v>
      </c>
      <c r="E1915" s="115">
        <v>645.08000000000004</v>
      </c>
      <c r="F1915" s="115">
        <v>1651.3</v>
      </c>
      <c r="G1915">
        <v>236314</v>
      </c>
      <c r="H1915" s="115"/>
      <c r="I1915" s="115"/>
      <c r="L1915" s="169">
        <v>45498</v>
      </c>
      <c r="M1915" s="115">
        <v>660.84</v>
      </c>
      <c r="N1915" s="115">
        <v>663.6</v>
      </c>
      <c r="O1915" s="115">
        <v>640.4</v>
      </c>
      <c r="P1915" s="115">
        <v>644</v>
      </c>
      <c r="Q1915" s="115">
        <v>1652.1</v>
      </c>
      <c r="R1915">
        <v>2521637</v>
      </c>
    </row>
    <row r="1916" spans="1:18" x14ac:dyDescent="0.25">
      <c r="A1916" s="169">
        <v>45499</v>
      </c>
      <c r="B1916" s="115">
        <v>677.16</v>
      </c>
      <c r="C1916" s="115">
        <v>670.34</v>
      </c>
      <c r="D1916" s="115">
        <v>661.2</v>
      </c>
      <c r="E1916" s="115">
        <v>669.4</v>
      </c>
      <c r="F1916" s="115">
        <v>1675.85</v>
      </c>
      <c r="G1916">
        <v>138198</v>
      </c>
      <c r="H1916" s="115"/>
      <c r="I1916" s="115"/>
      <c r="L1916" s="169">
        <v>45499</v>
      </c>
      <c r="M1916" s="115">
        <v>670.66</v>
      </c>
      <c r="N1916" s="115">
        <v>677.2</v>
      </c>
      <c r="O1916" s="115">
        <v>661.02</v>
      </c>
      <c r="P1916" s="115">
        <v>666.44</v>
      </c>
      <c r="Q1916" s="115">
        <v>1676.65</v>
      </c>
      <c r="R1916">
        <v>2855109</v>
      </c>
    </row>
    <row r="1917" spans="1:18" x14ac:dyDescent="0.25">
      <c r="A1917" s="169">
        <v>45502</v>
      </c>
      <c r="B1917" s="115">
        <v>682.84</v>
      </c>
      <c r="C1917" s="115">
        <v>673.52</v>
      </c>
      <c r="D1917" s="115">
        <v>670.34</v>
      </c>
      <c r="E1917" s="115">
        <v>679.98</v>
      </c>
      <c r="F1917" s="115">
        <v>1683.8</v>
      </c>
      <c r="G1917">
        <v>73035</v>
      </c>
      <c r="H1917" s="115"/>
      <c r="I1917" s="115"/>
      <c r="L1917" s="169">
        <v>45502</v>
      </c>
      <c r="M1917" s="115">
        <v>674.12</v>
      </c>
      <c r="N1917" s="115">
        <v>681.12</v>
      </c>
      <c r="O1917" s="115">
        <v>670.02</v>
      </c>
      <c r="P1917" s="115">
        <v>679.2</v>
      </c>
      <c r="Q1917" s="115">
        <v>1685.3</v>
      </c>
      <c r="R1917">
        <v>1880560</v>
      </c>
    </row>
    <row r="1918" spans="1:18" x14ac:dyDescent="0.25">
      <c r="A1918" s="169">
        <v>45503</v>
      </c>
      <c r="B1918" s="115">
        <v>680.28</v>
      </c>
      <c r="C1918" s="115">
        <v>630.58000000000004</v>
      </c>
      <c r="D1918" s="115">
        <v>626.74</v>
      </c>
      <c r="E1918" s="115">
        <v>679.18</v>
      </c>
      <c r="F1918" s="115">
        <v>1576.45</v>
      </c>
      <c r="G1918">
        <v>477505</v>
      </c>
      <c r="H1918" s="115"/>
      <c r="I1918" s="115"/>
      <c r="L1918" s="169">
        <v>45503</v>
      </c>
      <c r="M1918" s="115">
        <v>630.96</v>
      </c>
      <c r="N1918" s="115">
        <v>679.92</v>
      </c>
      <c r="O1918" s="115">
        <v>626.70000000000005</v>
      </c>
      <c r="P1918" s="115">
        <v>678.04</v>
      </c>
      <c r="Q1918" s="115">
        <v>1577.4</v>
      </c>
      <c r="R1918">
        <v>12768233</v>
      </c>
    </row>
    <row r="1919" spans="1:18" x14ac:dyDescent="0.25">
      <c r="A1919" s="169">
        <v>45504</v>
      </c>
      <c r="B1919" s="115">
        <v>648.29999999999995</v>
      </c>
      <c r="C1919" s="115">
        <v>631.08000000000004</v>
      </c>
      <c r="D1919" s="115">
        <v>630</v>
      </c>
      <c r="E1919" s="115">
        <v>641.52</v>
      </c>
      <c r="F1919" s="115">
        <v>1577.7</v>
      </c>
      <c r="G1919">
        <v>161858</v>
      </c>
      <c r="H1919" s="115"/>
      <c r="I1919" s="115"/>
      <c r="L1919" s="169">
        <v>45504</v>
      </c>
      <c r="M1919" s="115">
        <v>630.96</v>
      </c>
      <c r="N1919" s="115">
        <v>647.98</v>
      </c>
      <c r="O1919" s="115">
        <v>630</v>
      </c>
      <c r="P1919" s="115">
        <v>639.6</v>
      </c>
      <c r="Q1919" s="115">
        <v>1577.4</v>
      </c>
      <c r="R1919">
        <v>3918888</v>
      </c>
    </row>
    <row r="1920" spans="1:18" x14ac:dyDescent="0.25">
      <c r="A1920" s="169">
        <v>45505</v>
      </c>
      <c r="B1920" s="115">
        <v>637.74</v>
      </c>
      <c r="C1920" s="115">
        <v>630.22</v>
      </c>
      <c r="D1920" s="115">
        <v>625.34</v>
      </c>
      <c r="E1920" s="115">
        <v>637.74</v>
      </c>
      <c r="F1920" s="115">
        <v>1575.55</v>
      </c>
      <c r="G1920">
        <v>162732</v>
      </c>
      <c r="H1920" s="115"/>
      <c r="I1920" s="115"/>
      <c r="L1920" s="169">
        <v>45505</v>
      </c>
      <c r="M1920" s="115">
        <v>630.29999999999995</v>
      </c>
      <c r="N1920" s="115">
        <v>637.20000000000005</v>
      </c>
      <c r="O1920" s="115">
        <v>625.22</v>
      </c>
      <c r="P1920" s="115">
        <v>636.41999999999996</v>
      </c>
      <c r="Q1920" s="115">
        <v>1575.75</v>
      </c>
      <c r="R1920">
        <v>1660177</v>
      </c>
    </row>
    <row r="1921" spans="1:18" x14ac:dyDescent="0.25">
      <c r="A1921" s="169">
        <v>45506</v>
      </c>
      <c r="B1921" s="115">
        <v>632.64</v>
      </c>
      <c r="C1921" s="115">
        <v>628.96</v>
      </c>
      <c r="D1921" s="115">
        <v>620.78</v>
      </c>
      <c r="E1921" s="115">
        <v>628.76</v>
      </c>
      <c r="F1921" s="115">
        <v>1572.4</v>
      </c>
      <c r="G1921">
        <v>41824</v>
      </c>
      <c r="H1921" s="115"/>
      <c r="I1921" s="115"/>
      <c r="L1921" s="169">
        <v>45506</v>
      </c>
      <c r="M1921" s="115">
        <v>628.94000000000005</v>
      </c>
      <c r="N1921" s="115">
        <v>632.20000000000005</v>
      </c>
      <c r="O1921" s="115">
        <v>620.98</v>
      </c>
      <c r="P1921" s="115">
        <v>626.4</v>
      </c>
      <c r="Q1921" s="115">
        <v>1572.35</v>
      </c>
      <c r="R1921">
        <v>1260817</v>
      </c>
    </row>
    <row r="1922" spans="1:18" x14ac:dyDescent="0.25">
      <c r="A1922" s="169">
        <v>45509</v>
      </c>
      <c r="B1922" s="115">
        <v>619.79999999999995</v>
      </c>
      <c r="C1922" s="115">
        <v>602.02</v>
      </c>
      <c r="D1922" s="115">
        <v>600</v>
      </c>
      <c r="E1922" s="115">
        <v>608.4</v>
      </c>
      <c r="F1922" s="115">
        <v>1505.05</v>
      </c>
      <c r="G1922">
        <v>368997</v>
      </c>
      <c r="H1922" s="115"/>
      <c r="I1922" s="115"/>
      <c r="L1922" s="169">
        <v>45509</v>
      </c>
      <c r="M1922" s="115">
        <v>601.9</v>
      </c>
      <c r="N1922" s="115">
        <v>619.79999999999995</v>
      </c>
      <c r="O1922" s="115">
        <v>600</v>
      </c>
      <c r="P1922" s="115">
        <v>615.79999999999995</v>
      </c>
      <c r="Q1922" s="115">
        <v>1504.75</v>
      </c>
      <c r="R1922">
        <v>2255123</v>
      </c>
    </row>
    <row r="1923" spans="1:18" x14ac:dyDescent="0.25">
      <c r="A1923" s="169">
        <v>45510</v>
      </c>
      <c r="B1923" s="115">
        <v>617.62</v>
      </c>
      <c r="C1923" s="115">
        <v>584.74</v>
      </c>
      <c r="D1923" s="115">
        <v>582.32000000000005</v>
      </c>
      <c r="E1923" s="115">
        <v>602.1</v>
      </c>
      <c r="F1923" s="115">
        <v>1461.85</v>
      </c>
      <c r="G1923">
        <v>269348</v>
      </c>
      <c r="H1923" s="115"/>
      <c r="I1923" s="115"/>
      <c r="L1923" s="169">
        <v>45510</v>
      </c>
      <c r="M1923" s="115">
        <v>584.78</v>
      </c>
      <c r="N1923" s="115">
        <v>617.76</v>
      </c>
      <c r="O1923" s="115">
        <v>582</v>
      </c>
      <c r="P1923" s="115">
        <v>604</v>
      </c>
      <c r="Q1923" s="115">
        <v>1461.95</v>
      </c>
      <c r="R1923">
        <v>2406820</v>
      </c>
    </row>
    <row r="1924" spans="1:18" x14ac:dyDescent="0.25">
      <c r="A1924" s="169">
        <v>45511</v>
      </c>
      <c r="B1924" s="115">
        <v>614.24</v>
      </c>
      <c r="C1924" s="115">
        <v>607.44000000000005</v>
      </c>
      <c r="D1924" s="115">
        <v>593.96</v>
      </c>
      <c r="E1924" s="115">
        <v>603.58000000000004</v>
      </c>
      <c r="F1924" s="115">
        <v>1518.6</v>
      </c>
      <c r="G1924">
        <v>105494</v>
      </c>
      <c r="H1924" s="115"/>
      <c r="I1924" s="115"/>
      <c r="L1924" s="169">
        <v>45511</v>
      </c>
      <c r="M1924" s="115">
        <v>607.94000000000005</v>
      </c>
      <c r="N1924" s="115">
        <v>614</v>
      </c>
      <c r="O1924" s="115">
        <v>592.4</v>
      </c>
      <c r="P1924" s="115">
        <v>599.6</v>
      </c>
      <c r="Q1924" s="115">
        <v>1519.85</v>
      </c>
      <c r="R1924">
        <v>2389000</v>
      </c>
    </row>
    <row r="1925" spans="1:18" x14ac:dyDescent="0.25">
      <c r="A1925" s="169">
        <v>45512</v>
      </c>
      <c r="B1925" s="115">
        <v>611.98</v>
      </c>
      <c r="C1925" s="115">
        <v>595</v>
      </c>
      <c r="D1925" s="115">
        <v>591.94000000000005</v>
      </c>
      <c r="E1925" s="115">
        <v>611.98</v>
      </c>
      <c r="F1925" s="115">
        <v>1487.5</v>
      </c>
      <c r="G1925">
        <v>47400</v>
      </c>
      <c r="H1925" s="115"/>
      <c r="I1925" s="115"/>
      <c r="L1925" s="169">
        <v>45512</v>
      </c>
      <c r="M1925" s="115">
        <v>595.82000000000005</v>
      </c>
      <c r="N1925" s="115">
        <v>609.5</v>
      </c>
      <c r="O1925" s="115">
        <v>594.14</v>
      </c>
      <c r="P1925" s="115">
        <v>609.5</v>
      </c>
      <c r="Q1925" s="115">
        <v>1489.55</v>
      </c>
      <c r="R1925">
        <v>1821165</v>
      </c>
    </row>
    <row r="1926" spans="1:18" x14ac:dyDescent="0.25">
      <c r="A1926" s="169">
        <v>45513</v>
      </c>
      <c r="B1926" s="115">
        <v>611.02</v>
      </c>
      <c r="C1926" s="115">
        <v>603.1</v>
      </c>
      <c r="D1926" s="115">
        <v>600.74</v>
      </c>
      <c r="E1926" s="115">
        <v>605.84</v>
      </c>
      <c r="F1926" s="115">
        <v>1507.75</v>
      </c>
      <c r="G1926">
        <v>30758</v>
      </c>
      <c r="H1926" s="115"/>
      <c r="I1926" s="115"/>
      <c r="L1926" s="169">
        <v>45513</v>
      </c>
      <c r="M1926" s="115">
        <v>603.44000000000005</v>
      </c>
      <c r="N1926" s="115">
        <v>611</v>
      </c>
      <c r="O1926" s="115">
        <v>600.02</v>
      </c>
      <c r="P1926" s="115">
        <v>604.02</v>
      </c>
      <c r="Q1926" s="115">
        <v>1508.6</v>
      </c>
      <c r="R1926">
        <v>1192358</v>
      </c>
    </row>
    <row r="1927" spans="1:18" x14ac:dyDescent="0.25">
      <c r="A1927" s="169">
        <v>45516</v>
      </c>
      <c r="B1927" s="115">
        <v>601.91999999999996</v>
      </c>
      <c r="C1927" s="115">
        <v>589.66</v>
      </c>
      <c r="D1927" s="115">
        <v>588.44000000000005</v>
      </c>
      <c r="E1927" s="115">
        <v>601.91999999999996</v>
      </c>
      <c r="F1927" s="115">
        <v>1474.15</v>
      </c>
      <c r="G1927">
        <v>48784</v>
      </c>
      <c r="H1927" s="115"/>
      <c r="I1927" s="115"/>
      <c r="L1927" s="169">
        <v>45516</v>
      </c>
      <c r="M1927" s="115">
        <v>589.29999999999995</v>
      </c>
      <c r="N1927" s="115">
        <v>601.17999999999995</v>
      </c>
      <c r="O1927" s="115">
        <v>588</v>
      </c>
      <c r="P1927" s="115">
        <v>598</v>
      </c>
      <c r="Q1927" s="115">
        <v>1473.25</v>
      </c>
      <c r="R1927">
        <v>1912520</v>
      </c>
    </row>
    <row r="1928" spans="1:18" x14ac:dyDescent="0.25">
      <c r="A1928" s="169">
        <v>45517</v>
      </c>
      <c r="B1928" s="115">
        <v>601.17999999999995</v>
      </c>
      <c r="C1928" s="115">
        <v>596.44000000000005</v>
      </c>
      <c r="D1928" s="115">
        <v>581.38</v>
      </c>
      <c r="E1928" s="115">
        <v>591.98</v>
      </c>
      <c r="F1928" s="115">
        <v>1491.1</v>
      </c>
      <c r="G1928">
        <v>145183</v>
      </c>
      <c r="H1928" s="115"/>
      <c r="I1928" s="115"/>
      <c r="L1928" s="169">
        <v>45517</v>
      </c>
      <c r="M1928" s="115">
        <v>595.79999999999995</v>
      </c>
      <c r="N1928" s="115">
        <v>600</v>
      </c>
      <c r="O1928" s="115">
        <v>582.04</v>
      </c>
      <c r="P1928" s="115">
        <v>589.6</v>
      </c>
      <c r="Q1928" s="115">
        <v>1489.5</v>
      </c>
      <c r="R1928">
        <v>1893174</v>
      </c>
    </row>
    <row r="1929" spans="1:18" x14ac:dyDescent="0.25">
      <c r="A1929" s="169">
        <v>45518</v>
      </c>
      <c r="B1929" s="115">
        <v>597.98</v>
      </c>
      <c r="C1929" s="115">
        <v>584.88</v>
      </c>
      <c r="D1929" s="115">
        <v>583.16</v>
      </c>
      <c r="E1929" s="115">
        <v>597.98</v>
      </c>
      <c r="F1929" s="115">
        <v>1462.2</v>
      </c>
      <c r="G1929">
        <v>109637</v>
      </c>
      <c r="H1929" s="115"/>
      <c r="I1929" s="115"/>
      <c r="L1929" s="169">
        <v>45518</v>
      </c>
      <c r="M1929" s="115">
        <v>584.84</v>
      </c>
      <c r="N1929" s="115">
        <v>595.20000000000005</v>
      </c>
      <c r="O1929" s="115">
        <v>582.82000000000005</v>
      </c>
      <c r="P1929" s="115">
        <v>595.20000000000005</v>
      </c>
      <c r="Q1929" s="115">
        <v>1462.1</v>
      </c>
      <c r="R1929">
        <v>1657308</v>
      </c>
    </row>
    <row r="1930" spans="1:18" x14ac:dyDescent="0.25">
      <c r="A1930" s="169">
        <v>45520</v>
      </c>
      <c r="B1930" s="115">
        <v>582.38</v>
      </c>
      <c r="C1930" s="115">
        <v>568.94000000000005</v>
      </c>
      <c r="D1930" s="115">
        <v>565.20000000000005</v>
      </c>
      <c r="E1930" s="115">
        <v>579.98</v>
      </c>
      <c r="F1930" s="115">
        <v>1422.35</v>
      </c>
      <c r="G1930">
        <v>314745</v>
      </c>
      <c r="H1930" s="115"/>
      <c r="I1930" s="115"/>
      <c r="L1930" s="169">
        <v>45520</v>
      </c>
      <c r="M1930" s="115">
        <v>568.74</v>
      </c>
      <c r="N1930" s="115">
        <v>582</v>
      </c>
      <c r="O1930" s="115">
        <v>565</v>
      </c>
      <c r="P1930" s="115">
        <v>571.22</v>
      </c>
      <c r="Q1930" s="115">
        <v>1421.85</v>
      </c>
      <c r="R1930">
        <v>4605210</v>
      </c>
    </row>
    <row r="1931" spans="1:18" x14ac:dyDescent="0.25">
      <c r="A1931" s="169">
        <v>45523</v>
      </c>
      <c r="B1931" s="115">
        <v>606</v>
      </c>
      <c r="C1931" s="115">
        <v>603.54</v>
      </c>
      <c r="D1931" s="115">
        <v>566.29999999999995</v>
      </c>
      <c r="E1931" s="115">
        <v>570.94000000000005</v>
      </c>
      <c r="F1931" s="115">
        <v>1508.85</v>
      </c>
      <c r="G1931">
        <v>334512</v>
      </c>
      <c r="H1931" s="115"/>
      <c r="I1931" s="115"/>
      <c r="L1931" s="169">
        <v>45523</v>
      </c>
      <c r="M1931" s="115">
        <v>603.36</v>
      </c>
      <c r="N1931" s="115">
        <v>606.4</v>
      </c>
      <c r="O1931" s="115">
        <v>567.17999999999995</v>
      </c>
      <c r="P1931" s="115">
        <v>571.6</v>
      </c>
      <c r="Q1931" s="115">
        <v>1508.4</v>
      </c>
      <c r="R1931">
        <v>4075400</v>
      </c>
    </row>
    <row r="1932" spans="1:18" x14ac:dyDescent="0.25">
      <c r="A1932" s="169">
        <v>45524</v>
      </c>
      <c r="B1932" s="115">
        <v>606.76</v>
      </c>
      <c r="C1932" s="115">
        <v>596.96</v>
      </c>
      <c r="D1932" s="115">
        <v>590.54</v>
      </c>
      <c r="E1932" s="115">
        <v>606.76</v>
      </c>
      <c r="F1932" s="115">
        <v>1492.4</v>
      </c>
      <c r="G1932">
        <v>115518</v>
      </c>
      <c r="H1932" s="115"/>
      <c r="I1932" s="115"/>
      <c r="L1932" s="169">
        <v>45524</v>
      </c>
      <c r="M1932" s="115">
        <v>596.64</v>
      </c>
      <c r="N1932" s="115">
        <v>605.88</v>
      </c>
      <c r="O1932" s="115">
        <v>590.44000000000005</v>
      </c>
      <c r="P1932" s="115">
        <v>605.88</v>
      </c>
      <c r="Q1932" s="115">
        <v>1491.6</v>
      </c>
      <c r="R1932">
        <v>1954891</v>
      </c>
    </row>
    <row r="1933" spans="1:18" x14ac:dyDescent="0.25">
      <c r="A1933" s="169">
        <v>45525</v>
      </c>
      <c r="B1933" s="115">
        <v>621.20000000000005</v>
      </c>
      <c r="C1933" s="115">
        <v>617.82000000000005</v>
      </c>
      <c r="D1933" s="115">
        <v>603.6</v>
      </c>
      <c r="E1933" s="115">
        <v>605.17999999999995</v>
      </c>
      <c r="F1933" s="115">
        <v>1544.55</v>
      </c>
      <c r="G1933">
        <v>232906</v>
      </c>
      <c r="H1933" s="115"/>
      <c r="I1933" s="115"/>
      <c r="L1933" s="169">
        <v>45525</v>
      </c>
      <c r="M1933" s="115">
        <v>618.44000000000005</v>
      </c>
      <c r="N1933" s="115">
        <v>621.36</v>
      </c>
      <c r="O1933" s="115">
        <v>603.9</v>
      </c>
      <c r="P1933" s="115">
        <v>604</v>
      </c>
      <c r="Q1933" s="115">
        <v>1546.1</v>
      </c>
      <c r="R1933">
        <v>2720568</v>
      </c>
    </row>
    <row r="1934" spans="1:18" x14ac:dyDescent="0.25">
      <c r="A1934" s="169">
        <v>45526</v>
      </c>
      <c r="B1934" s="115">
        <v>644</v>
      </c>
      <c r="C1934" s="115">
        <v>637.5</v>
      </c>
      <c r="D1934" s="115">
        <v>621.36</v>
      </c>
      <c r="E1934" s="115">
        <v>626.4</v>
      </c>
      <c r="F1934" s="115">
        <v>1593.75</v>
      </c>
      <c r="G1934">
        <v>115406</v>
      </c>
      <c r="H1934" s="115"/>
      <c r="I1934" s="115"/>
      <c r="L1934" s="169">
        <v>45526</v>
      </c>
      <c r="M1934" s="115">
        <v>637.67999999999995</v>
      </c>
      <c r="N1934" s="115">
        <v>643.78</v>
      </c>
      <c r="O1934" s="115">
        <v>621.34</v>
      </c>
      <c r="P1934" s="115">
        <v>626</v>
      </c>
      <c r="Q1934" s="115">
        <v>1594.2</v>
      </c>
      <c r="R1934">
        <v>3690534</v>
      </c>
    </row>
    <row r="1935" spans="1:18" x14ac:dyDescent="0.25">
      <c r="A1935" s="169">
        <v>45527</v>
      </c>
      <c r="B1935" s="115">
        <v>640.64</v>
      </c>
      <c r="C1935" s="115">
        <v>633.16</v>
      </c>
      <c r="D1935" s="115">
        <v>630.58000000000004</v>
      </c>
      <c r="E1935" s="115">
        <v>640.64</v>
      </c>
      <c r="F1935" s="115">
        <v>1582.9</v>
      </c>
      <c r="G1935">
        <v>54412</v>
      </c>
      <c r="H1935" s="115"/>
      <c r="I1935" s="115"/>
      <c r="L1935" s="169">
        <v>45527</v>
      </c>
      <c r="M1935" s="115">
        <v>632.84</v>
      </c>
      <c r="N1935" s="115">
        <v>639</v>
      </c>
      <c r="O1935" s="115">
        <v>630.44000000000005</v>
      </c>
      <c r="P1935" s="115">
        <v>637.78</v>
      </c>
      <c r="Q1935" s="115">
        <v>1582.1</v>
      </c>
      <c r="R1935">
        <v>1051593</v>
      </c>
    </row>
    <row r="1936" spans="1:18" x14ac:dyDescent="0.25">
      <c r="A1936" s="169">
        <v>45530</v>
      </c>
      <c r="B1936" s="115">
        <v>633.16</v>
      </c>
      <c r="C1936" s="115">
        <v>630.17999999999995</v>
      </c>
      <c r="D1936" s="115">
        <v>616</v>
      </c>
      <c r="E1936" s="115">
        <v>633.14</v>
      </c>
      <c r="F1936" s="115">
        <v>1575.45</v>
      </c>
      <c r="G1936">
        <v>129626</v>
      </c>
      <c r="H1936" s="115"/>
      <c r="I1936" s="115"/>
      <c r="L1936" s="169">
        <v>45530</v>
      </c>
      <c r="M1936" s="115">
        <v>630.4</v>
      </c>
      <c r="N1936" s="115">
        <v>633.36</v>
      </c>
      <c r="O1936" s="115">
        <v>616</v>
      </c>
      <c r="P1936" s="115">
        <v>630</v>
      </c>
      <c r="Q1936" s="115">
        <v>1576</v>
      </c>
      <c r="R1936">
        <v>1410902</v>
      </c>
    </row>
    <row r="1937" spans="1:18" x14ac:dyDescent="0.25">
      <c r="A1937" s="169">
        <v>45531</v>
      </c>
      <c r="B1937" s="115">
        <v>635.64</v>
      </c>
      <c r="C1937" s="115">
        <v>626.22</v>
      </c>
      <c r="D1937" s="115">
        <v>621.20000000000005</v>
      </c>
      <c r="E1937" s="115">
        <v>632</v>
      </c>
      <c r="F1937" s="115">
        <v>1565.55</v>
      </c>
      <c r="G1937">
        <v>33026</v>
      </c>
      <c r="H1937" s="115"/>
      <c r="I1937" s="115"/>
      <c r="L1937" s="169">
        <v>45531</v>
      </c>
      <c r="M1937" s="115">
        <v>625.9</v>
      </c>
      <c r="N1937" s="115">
        <v>635.94000000000005</v>
      </c>
      <c r="O1937" s="115">
        <v>621.20000000000005</v>
      </c>
      <c r="P1937" s="115">
        <v>632</v>
      </c>
      <c r="Q1937" s="115">
        <v>1564.75</v>
      </c>
      <c r="R1937">
        <v>889359</v>
      </c>
    </row>
    <row r="1938" spans="1:18" x14ac:dyDescent="0.25">
      <c r="A1938" s="169">
        <v>45532</v>
      </c>
      <c r="B1938" s="115">
        <v>630.79999999999995</v>
      </c>
      <c r="C1938" s="115">
        <v>611.08000000000004</v>
      </c>
      <c r="D1938" s="115">
        <v>609.6</v>
      </c>
      <c r="E1938" s="115">
        <v>626.4</v>
      </c>
      <c r="F1938" s="115">
        <v>1527.7</v>
      </c>
      <c r="G1938">
        <v>133753</v>
      </c>
      <c r="H1938" s="115"/>
      <c r="I1938" s="115"/>
      <c r="L1938" s="169">
        <v>45532</v>
      </c>
      <c r="M1938" s="115">
        <v>611.20000000000005</v>
      </c>
      <c r="N1938" s="115">
        <v>631.17999999999995</v>
      </c>
      <c r="O1938" s="115">
        <v>609.78</v>
      </c>
      <c r="P1938" s="115">
        <v>625.86</v>
      </c>
      <c r="Q1938" s="115">
        <v>1528</v>
      </c>
      <c r="R1938">
        <v>1801694</v>
      </c>
    </row>
    <row r="1939" spans="1:18" x14ac:dyDescent="0.25">
      <c r="A1939" s="169">
        <v>45533</v>
      </c>
      <c r="B1939" s="115">
        <v>619.58000000000004</v>
      </c>
      <c r="C1939" s="115">
        <v>603.82000000000005</v>
      </c>
      <c r="D1939" s="115">
        <v>597.79999999999995</v>
      </c>
      <c r="E1939" s="115">
        <v>619.58000000000004</v>
      </c>
      <c r="F1939" s="115">
        <v>1509.55</v>
      </c>
      <c r="G1939">
        <v>44758</v>
      </c>
      <c r="H1939" s="115"/>
      <c r="I1939" s="115"/>
      <c r="L1939" s="169">
        <v>45533</v>
      </c>
      <c r="M1939" s="115">
        <v>603.62</v>
      </c>
      <c r="N1939" s="115">
        <v>617.6</v>
      </c>
      <c r="O1939" s="115">
        <v>597.6</v>
      </c>
      <c r="P1939" s="115">
        <v>614.02</v>
      </c>
      <c r="Q1939" s="115">
        <v>1509.05</v>
      </c>
      <c r="R1939">
        <v>1967381</v>
      </c>
    </row>
    <row r="1940" spans="1:18" x14ac:dyDescent="0.25">
      <c r="A1940" s="169">
        <v>45534</v>
      </c>
      <c r="B1940" s="115">
        <v>614.88</v>
      </c>
      <c r="C1940" s="115">
        <v>600.38</v>
      </c>
      <c r="D1940" s="115">
        <v>598</v>
      </c>
      <c r="E1940" s="115">
        <v>611.55999999999995</v>
      </c>
      <c r="F1940" s="115">
        <v>1500.95</v>
      </c>
      <c r="G1940">
        <v>102360</v>
      </c>
      <c r="H1940" s="115"/>
      <c r="I1940" s="115"/>
      <c r="L1940" s="169">
        <v>45534</v>
      </c>
      <c r="M1940" s="115">
        <v>600.36</v>
      </c>
      <c r="N1940" s="115">
        <v>614.70000000000005</v>
      </c>
      <c r="O1940" s="115">
        <v>599.62</v>
      </c>
      <c r="P1940" s="115">
        <v>610.72</v>
      </c>
      <c r="Q1940" s="115">
        <v>1500.9</v>
      </c>
      <c r="R1940">
        <v>2295322</v>
      </c>
    </row>
    <row r="1941" spans="1:18" x14ac:dyDescent="0.25">
      <c r="A1941" s="169">
        <v>45537</v>
      </c>
      <c r="B1941" s="115">
        <v>613.58000000000004</v>
      </c>
      <c r="C1941" s="115">
        <v>608.88</v>
      </c>
      <c r="D1941" s="115">
        <v>598.02</v>
      </c>
      <c r="E1941" s="115">
        <v>598.02</v>
      </c>
      <c r="F1941" s="115">
        <v>1522.2</v>
      </c>
      <c r="G1941">
        <v>175500</v>
      </c>
      <c r="H1941" s="115"/>
      <c r="I1941" s="115"/>
      <c r="L1941" s="169">
        <v>45537</v>
      </c>
      <c r="M1941" s="115">
        <v>608.58000000000004</v>
      </c>
      <c r="N1941" s="115">
        <v>613.6</v>
      </c>
      <c r="O1941" s="115">
        <v>599.66</v>
      </c>
      <c r="P1941" s="115">
        <v>600.34</v>
      </c>
      <c r="Q1941" s="115">
        <v>1521.45</v>
      </c>
      <c r="R1941">
        <v>1578787</v>
      </c>
    </row>
    <row r="1942" spans="1:18" x14ac:dyDescent="0.25">
      <c r="A1942" s="169">
        <v>45538</v>
      </c>
      <c r="B1942" s="115">
        <v>618</v>
      </c>
      <c r="C1942" s="115">
        <v>600.1</v>
      </c>
      <c r="D1942" s="115">
        <v>599.20000000000005</v>
      </c>
      <c r="E1942" s="115">
        <v>616.02</v>
      </c>
      <c r="F1942" s="115">
        <v>1500.25</v>
      </c>
      <c r="G1942">
        <v>116353</v>
      </c>
      <c r="H1942" s="115"/>
      <c r="I1942" s="115"/>
      <c r="L1942" s="169">
        <v>45538</v>
      </c>
      <c r="M1942" s="115">
        <v>599.94000000000005</v>
      </c>
      <c r="N1942" s="115">
        <v>617.6</v>
      </c>
      <c r="O1942" s="115">
        <v>598.79999999999995</v>
      </c>
      <c r="P1942" s="115">
        <v>616</v>
      </c>
      <c r="Q1942" s="115">
        <v>1499.85</v>
      </c>
      <c r="R1942">
        <v>1910090</v>
      </c>
    </row>
    <row r="1943" spans="1:18" x14ac:dyDescent="0.25">
      <c r="A1943" s="169">
        <v>45539</v>
      </c>
      <c r="B1943" s="115">
        <v>611</v>
      </c>
      <c r="C1943" s="115">
        <v>608.94000000000005</v>
      </c>
      <c r="D1943" s="115">
        <v>591.64</v>
      </c>
      <c r="E1943" s="115">
        <v>599.20000000000005</v>
      </c>
      <c r="F1943" s="115">
        <v>1522.35</v>
      </c>
      <c r="G1943">
        <v>130622</v>
      </c>
      <c r="H1943" s="115"/>
      <c r="I1943" s="115"/>
      <c r="L1943" s="169">
        <v>45539</v>
      </c>
      <c r="M1943" s="115">
        <v>609</v>
      </c>
      <c r="N1943" s="115">
        <v>611.20000000000005</v>
      </c>
      <c r="O1943" s="115">
        <v>592.02</v>
      </c>
      <c r="P1943" s="115">
        <v>599.20000000000005</v>
      </c>
      <c r="Q1943" s="115">
        <v>1522.5</v>
      </c>
      <c r="R1943">
        <v>2089457</v>
      </c>
    </row>
    <row r="1944" spans="1:18" x14ac:dyDescent="0.25">
      <c r="A1944" s="169">
        <v>45540</v>
      </c>
      <c r="B1944" s="115">
        <v>612.98</v>
      </c>
      <c r="C1944" s="115">
        <v>602.08000000000004</v>
      </c>
      <c r="D1944" s="115">
        <v>600.82000000000005</v>
      </c>
      <c r="E1944" s="115">
        <v>608</v>
      </c>
      <c r="F1944" s="115">
        <v>1505.2</v>
      </c>
      <c r="G1944">
        <v>38112</v>
      </c>
      <c r="H1944" s="115"/>
      <c r="I1944" s="115"/>
      <c r="L1944" s="169">
        <v>45540</v>
      </c>
      <c r="M1944" s="115">
        <v>602.17999999999995</v>
      </c>
      <c r="N1944" s="115">
        <v>613.16</v>
      </c>
      <c r="O1944" s="115">
        <v>600.62</v>
      </c>
      <c r="P1944" s="115">
        <v>607.20000000000005</v>
      </c>
      <c r="Q1944" s="115">
        <v>1505.45</v>
      </c>
      <c r="R1944">
        <v>2131589</v>
      </c>
    </row>
    <row r="1945" spans="1:18" x14ac:dyDescent="0.25">
      <c r="A1945" s="169">
        <v>45541</v>
      </c>
      <c r="B1945" s="115">
        <v>607.34</v>
      </c>
      <c r="C1945" s="115">
        <v>597.22</v>
      </c>
      <c r="D1945" s="115">
        <v>592</v>
      </c>
      <c r="E1945" s="115">
        <v>605.98</v>
      </c>
      <c r="F1945" s="115">
        <v>1493.05</v>
      </c>
      <c r="G1945">
        <v>31470</v>
      </c>
      <c r="H1945" s="115"/>
      <c r="I1945" s="115"/>
      <c r="L1945" s="169">
        <v>45541</v>
      </c>
      <c r="M1945" s="115">
        <v>597.29999999999995</v>
      </c>
      <c r="N1945" s="115">
        <v>606.79999999999995</v>
      </c>
      <c r="O1945" s="115">
        <v>591.67999999999995</v>
      </c>
      <c r="P1945" s="115">
        <v>601.6</v>
      </c>
      <c r="Q1945" s="115">
        <v>1493.25</v>
      </c>
      <c r="R1945">
        <v>1816221</v>
      </c>
    </row>
    <row r="1946" spans="1:18" x14ac:dyDescent="0.25">
      <c r="A1946" s="169">
        <v>45544</v>
      </c>
      <c r="B1946" s="115">
        <v>611.74</v>
      </c>
      <c r="C1946" s="115">
        <v>610.34</v>
      </c>
      <c r="D1946" s="115">
        <v>596</v>
      </c>
      <c r="E1946" s="115">
        <v>605.17999999999995</v>
      </c>
      <c r="F1946" s="115">
        <v>1525.85</v>
      </c>
      <c r="G1946">
        <v>31819</v>
      </c>
      <c r="H1946" s="115"/>
      <c r="I1946" s="115"/>
      <c r="L1946" s="169">
        <v>45544</v>
      </c>
      <c r="M1946" s="115">
        <v>610.34</v>
      </c>
      <c r="N1946" s="115">
        <v>611.74</v>
      </c>
      <c r="O1946" s="115">
        <v>595.76</v>
      </c>
      <c r="P1946" s="115">
        <v>600</v>
      </c>
      <c r="Q1946" s="115">
        <v>1525.85</v>
      </c>
      <c r="R1946">
        <v>1554069</v>
      </c>
    </row>
    <row r="1947" spans="1:18" x14ac:dyDescent="0.25">
      <c r="A1947" s="169">
        <v>45545</v>
      </c>
      <c r="B1947" s="115">
        <v>618.17999999999995</v>
      </c>
      <c r="C1947" s="115">
        <v>607.58000000000004</v>
      </c>
      <c r="D1947" s="115">
        <v>549.6</v>
      </c>
      <c r="E1947" s="115">
        <v>614</v>
      </c>
      <c r="F1947" s="115">
        <v>1518.95</v>
      </c>
      <c r="G1947">
        <v>160015</v>
      </c>
      <c r="H1947" s="115"/>
      <c r="I1947" s="115"/>
      <c r="L1947" s="169">
        <v>45545</v>
      </c>
      <c r="M1947" s="115">
        <v>608</v>
      </c>
      <c r="N1947" s="115">
        <v>618.38</v>
      </c>
      <c r="O1947" s="115">
        <v>549.22</v>
      </c>
      <c r="P1947" s="115">
        <v>615.70000000000005</v>
      </c>
      <c r="Q1947" s="115">
        <v>1520</v>
      </c>
      <c r="R1947">
        <v>2343604</v>
      </c>
    </row>
    <row r="1948" spans="1:18" x14ac:dyDescent="0.25">
      <c r="A1948" s="169">
        <v>45546</v>
      </c>
      <c r="B1948" s="115">
        <v>635.44000000000005</v>
      </c>
      <c r="C1948" s="115">
        <v>627.6</v>
      </c>
      <c r="D1948" s="115">
        <v>602.79999999999995</v>
      </c>
      <c r="E1948" s="115">
        <v>607.17999999999995</v>
      </c>
      <c r="F1948" s="115">
        <v>1569</v>
      </c>
      <c r="G1948">
        <v>113764</v>
      </c>
      <c r="H1948" s="115"/>
      <c r="I1948" s="115"/>
      <c r="L1948" s="169">
        <v>45546</v>
      </c>
      <c r="M1948" s="115">
        <v>627.66</v>
      </c>
      <c r="N1948" s="115">
        <v>635.72</v>
      </c>
      <c r="O1948" s="115">
        <v>600.44000000000005</v>
      </c>
      <c r="P1948" s="115">
        <v>606</v>
      </c>
      <c r="Q1948" s="115">
        <v>1569.15</v>
      </c>
      <c r="R1948">
        <v>4324732</v>
      </c>
    </row>
    <row r="1949" spans="1:18" x14ac:dyDescent="0.25">
      <c r="A1949" s="169">
        <v>45547</v>
      </c>
      <c r="B1949" s="115">
        <v>665.65</v>
      </c>
      <c r="C1949" s="115">
        <v>645.70000000000005</v>
      </c>
      <c r="D1949" s="115">
        <v>636.15</v>
      </c>
      <c r="E1949" s="115">
        <v>640.15</v>
      </c>
      <c r="F1949" s="115">
        <v>645.70000000000005</v>
      </c>
      <c r="G1949">
        <v>341909</v>
      </c>
      <c r="H1949" s="115"/>
      <c r="I1949" s="115"/>
      <c r="L1949" s="169">
        <v>45547</v>
      </c>
      <c r="M1949" s="115">
        <v>645.6</v>
      </c>
      <c r="N1949" s="115">
        <v>665</v>
      </c>
      <c r="O1949" s="115">
        <v>635.25</v>
      </c>
      <c r="P1949" s="115">
        <v>635.5</v>
      </c>
      <c r="Q1949" s="115">
        <v>645.6</v>
      </c>
      <c r="R1949">
        <v>7254715</v>
      </c>
    </row>
    <row r="1950" spans="1:18" x14ac:dyDescent="0.25">
      <c r="A1950" s="169">
        <v>45548</v>
      </c>
      <c r="B1950" s="115">
        <v>668.05</v>
      </c>
      <c r="C1950" s="115">
        <v>646.29999999999995</v>
      </c>
      <c r="D1950" s="115">
        <v>643.6</v>
      </c>
      <c r="E1950" s="115">
        <v>647.35</v>
      </c>
      <c r="F1950" s="115">
        <v>646.29999999999995</v>
      </c>
      <c r="G1950">
        <v>888633</v>
      </c>
      <c r="H1950" s="115"/>
      <c r="I1950" s="115"/>
      <c r="L1950" s="169">
        <v>45548</v>
      </c>
      <c r="M1950" s="115">
        <v>646.65</v>
      </c>
      <c r="N1950" s="115">
        <v>668</v>
      </c>
      <c r="O1950" s="115">
        <v>645</v>
      </c>
      <c r="P1950" s="115">
        <v>650</v>
      </c>
      <c r="Q1950" s="115">
        <v>646.65</v>
      </c>
      <c r="R1950">
        <v>7145096</v>
      </c>
    </row>
    <row r="1951" spans="1:18" x14ac:dyDescent="0.25">
      <c r="A1951" s="169">
        <v>45551</v>
      </c>
      <c r="B1951" s="115">
        <v>648.75</v>
      </c>
      <c r="C1951" s="115">
        <v>621.1</v>
      </c>
      <c r="D1951" s="115">
        <v>616.54999999999995</v>
      </c>
      <c r="E1951" s="115">
        <v>648.75</v>
      </c>
      <c r="F1951" s="115">
        <v>621.1</v>
      </c>
      <c r="G1951">
        <v>258630</v>
      </c>
      <c r="H1951" s="115"/>
      <c r="I1951" s="115"/>
      <c r="L1951" s="169">
        <v>45551</v>
      </c>
      <c r="M1951" s="115">
        <v>621.04999999999995</v>
      </c>
      <c r="N1951" s="115">
        <v>648.65</v>
      </c>
      <c r="O1951" s="115">
        <v>616.25</v>
      </c>
      <c r="P1951" s="115">
        <v>648</v>
      </c>
      <c r="Q1951" s="115">
        <v>621.04999999999995</v>
      </c>
      <c r="R1951">
        <v>6982693</v>
      </c>
    </row>
    <row r="1952" spans="1:18" x14ac:dyDescent="0.25">
      <c r="A1952" s="169">
        <v>45552</v>
      </c>
      <c r="B1952" s="115">
        <v>652</v>
      </c>
      <c r="C1952" s="115">
        <v>649.4</v>
      </c>
      <c r="D1952" s="115">
        <v>616.25</v>
      </c>
      <c r="E1952" s="115">
        <v>624.6</v>
      </c>
      <c r="F1952" s="115">
        <v>649.4</v>
      </c>
      <c r="G1952">
        <v>758686</v>
      </c>
      <c r="H1952" s="115"/>
      <c r="I1952" s="115"/>
      <c r="L1952" s="169">
        <v>45552</v>
      </c>
      <c r="M1952" s="115">
        <v>649.65</v>
      </c>
      <c r="N1952" s="115">
        <v>652.95000000000005</v>
      </c>
      <c r="O1952" s="115">
        <v>616.70000000000005</v>
      </c>
      <c r="P1952" s="115">
        <v>621.04999999999995</v>
      </c>
      <c r="Q1952" s="115">
        <v>649.65</v>
      </c>
      <c r="R1952">
        <v>8725231</v>
      </c>
    </row>
    <row r="1953" spans="1:18" x14ac:dyDescent="0.25">
      <c r="A1953" s="169">
        <v>45553</v>
      </c>
      <c r="B1953" s="115">
        <v>651.45000000000005</v>
      </c>
      <c r="C1953" s="115">
        <v>646.45000000000005</v>
      </c>
      <c r="D1953" s="115">
        <v>639.04999999999995</v>
      </c>
      <c r="E1953" s="115">
        <v>647</v>
      </c>
      <c r="F1953" s="115">
        <v>646.45000000000005</v>
      </c>
      <c r="G1953">
        <v>107120</v>
      </c>
      <c r="H1953" s="115"/>
      <c r="I1953" s="115"/>
      <c r="L1953" s="169">
        <v>45553</v>
      </c>
      <c r="M1953" s="115">
        <v>646.70000000000005</v>
      </c>
      <c r="N1953" s="115">
        <v>651.9</v>
      </c>
      <c r="O1953" s="115">
        <v>639</v>
      </c>
      <c r="P1953" s="115">
        <v>647.9</v>
      </c>
      <c r="Q1953" s="115">
        <v>646.70000000000005</v>
      </c>
      <c r="R1953">
        <v>3641775</v>
      </c>
    </row>
    <row r="1954" spans="1:18" x14ac:dyDescent="0.25">
      <c r="A1954" s="169">
        <v>45554</v>
      </c>
      <c r="B1954" s="115">
        <v>661</v>
      </c>
      <c r="C1954" s="115">
        <v>651.65</v>
      </c>
      <c r="D1954" s="115">
        <v>631.79999999999995</v>
      </c>
      <c r="E1954" s="115">
        <v>644.75</v>
      </c>
      <c r="F1954" s="115">
        <v>651.65</v>
      </c>
      <c r="G1954">
        <v>195614</v>
      </c>
      <c r="H1954" s="115"/>
      <c r="I1954" s="115"/>
      <c r="L1954" s="169">
        <v>45554</v>
      </c>
      <c r="M1954" s="115">
        <v>652.15</v>
      </c>
      <c r="N1954" s="115">
        <v>661.45</v>
      </c>
      <c r="O1954" s="115">
        <v>631.79999999999995</v>
      </c>
      <c r="P1954" s="115">
        <v>641</v>
      </c>
      <c r="Q1954" s="115">
        <v>652.15</v>
      </c>
      <c r="R1954">
        <v>6235971</v>
      </c>
    </row>
    <row r="1955" spans="1:18" x14ac:dyDescent="0.25">
      <c r="A1955" s="169">
        <v>45555</v>
      </c>
      <c r="B1955" s="115">
        <v>655.8</v>
      </c>
      <c r="C1955" s="115">
        <v>654.54999999999995</v>
      </c>
      <c r="D1955" s="115">
        <v>636.85</v>
      </c>
      <c r="E1955" s="115">
        <v>648</v>
      </c>
      <c r="F1955" s="115">
        <v>654.54999999999995</v>
      </c>
      <c r="G1955">
        <v>130829</v>
      </c>
      <c r="H1955" s="115"/>
      <c r="I1955" s="115"/>
      <c r="L1955" s="169">
        <v>45555</v>
      </c>
      <c r="M1955" s="115">
        <v>654.45000000000005</v>
      </c>
      <c r="N1955" s="115">
        <v>656</v>
      </c>
      <c r="O1955" s="115">
        <v>636</v>
      </c>
      <c r="P1955" s="115">
        <v>643</v>
      </c>
      <c r="Q1955" s="115">
        <v>654.45000000000005</v>
      </c>
      <c r="R1955">
        <v>7292526</v>
      </c>
    </row>
    <row r="1956" spans="1:18" x14ac:dyDescent="0.25">
      <c r="A1956" s="169">
        <v>45558</v>
      </c>
      <c r="B1956" s="115">
        <v>657.6</v>
      </c>
      <c r="C1956" s="115">
        <v>653.75</v>
      </c>
      <c r="D1956" s="115">
        <v>648.29999999999995</v>
      </c>
      <c r="E1956" s="115">
        <v>651.04999999999995</v>
      </c>
      <c r="F1956" s="115">
        <v>653.75</v>
      </c>
      <c r="G1956">
        <v>331474</v>
      </c>
      <c r="H1956" s="115"/>
      <c r="I1956" s="115"/>
      <c r="L1956" s="169">
        <v>45558</v>
      </c>
      <c r="M1956" s="115">
        <v>654.1</v>
      </c>
      <c r="N1956" s="115">
        <v>657.5</v>
      </c>
      <c r="O1956" s="115">
        <v>648.54999999999995</v>
      </c>
      <c r="P1956" s="115">
        <v>654.45000000000005</v>
      </c>
      <c r="Q1956" s="115">
        <v>654.1</v>
      </c>
      <c r="R1956">
        <v>2822389</v>
      </c>
    </row>
    <row r="1957" spans="1:18" x14ac:dyDescent="0.25">
      <c r="A1957" s="169">
        <v>45559</v>
      </c>
      <c r="B1957" s="115">
        <v>662.75</v>
      </c>
      <c r="C1957" s="115">
        <v>647</v>
      </c>
      <c r="D1957" s="115">
        <v>641.15</v>
      </c>
      <c r="E1957" s="115">
        <v>654.25</v>
      </c>
      <c r="F1957" s="115">
        <v>647</v>
      </c>
      <c r="G1957">
        <v>132029</v>
      </c>
      <c r="H1957" s="115"/>
      <c r="I1957" s="115"/>
      <c r="L1957" s="169">
        <v>45559</v>
      </c>
      <c r="M1957" s="115">
        <v>646.85</v>
      </c>
      <c r="N1957" s="115">
        <v>663</v>
      </c>
      <c r="O1957" s="115">
        <v>641</v>
      </c>
      <c r="P1957" s="115">
        <v>654.95000000000005</v>
      </c>
      <c r="Q1957" s="115">
        <v>646.85</v>
      </c>
      <c r="R1957">
        <v>4960677</v>
      </c>
    </row>
    <row r="1958" spans="1:18" x14ac:dyDescent="0.25">
      <c r="A1958" s="169">
        <v>45560</v>
      </c>
      <c r="B1958" s="115">
        <v>649.9</v>
      </c>
      <c r="C1958" s="115">
        <v>633.15</v>
      </c>
      <c r="D1958" s="115">
        <v>629.5</v>
      </c>
      <c r="E1958" s="115">
        <v>649.04999999999995</v>
      </c>
      <c r="F1958" s="115">
        <v>633.15</v>
      </c>
      <c r="G1958">
        <v>254800</v>
      </c>
      <c r="H1958" s="115"/>
      <c r="I1958" s="115"/>
      <c r="L1958" s="169">
        <v>45560</v>
      </c>
      <c r="M1958" s="115">
        <v>633.29999999999995</v>
      </c>
      <c r="N1958" s="115">
        <v>650</v>
      </c>
      <c r="O1958" s="115">
        <v>629.5</v>
      </c>
      <c r="P1958" s="115">
        <v>650</v>
      </c>
      <c r="Q1958" s="115">
        <v>633.29999999999995</v>
      </c>
      <c r="R1958">
        <v>3749146</v>
      </c>
    </row>
    <row r="1959" spans="1:18" x14ac:dyDescent="0.25">
      <c r="A1959" s="169">
        <v>45561</v>
      </c>
      <c r="B1959" s="115">
        <v>634.9</v>
      </c>
      <c r="C1959" s="115">
        <v>626.6</v>
      </c>
      <c r="D1959" s="115">
        <v>621.75</v>
      </c>
      <c r="E1959" s="115">
        <v>634.9</v>
      </c>
      <c r="F1959" s="115">
        <v>626.6</v>
      </c>
      <c r="G1959">
        <v>87144</v>
      </c>
      <c r="H1959" s="115"/>
      <c r="I1959" s="115"/>
      <c r="L1959" s="169">
        <v>45561</v>
      </c>
      <c r="M1959" s="115">
        <v>626.85</v>
      </c>
      <c r="N1959" s="115">
        <v>635</v>
      </c>
      <c r="O1959" s="115">
        <v>622</v>
      </c>
      <c r="P1959" s="115">
        <v>633.29999999999995</v>
      </c>
      <c r="Q1959" s="115">
        <v>626.85</v>
      </c>
      <c r="R1959">
        <v>3307212</v>
      </c>
    </row>
    <row r="1960" spans="1:18" x14ac:dyDescent="0.25">
      <c r="A1960" s="169">
        <v>45562</v>
      </c>
      <c r="B1960" s="115">
        <v>625.95000000000005</v>
      </c>
      <c r="C1960" s="115">
        <v>609.25</v>
      </c>
      <c r="D1960" s="115">
        <v>606.25</v>
      </c>
      <c r="E1960" s="115">
        <v>623.85</v>
      </c>
      <c r="F1960" s="115">
        <v>609.25</v>
      </c>
      <c r="G1960">
        <v>131844</v>
      </c>
      <c r="H1960" s="115"/>
      <c r="I1960" s="115"/>
      <c r="L1960" s="169">
        <v>45562</v>
      </c>
      <c r="M1960" s="115">
        <v>608.54999999999995</v>
      </c>
      <c r="N1960" s="115">
        <v>625.9</v>
      </c>
      <c r="O1960" s="115">
        <v>606</v>
      </c>
      <c r="P1960" s="115">
        <v>623</v>
      </c>
      <c r="Q1960" s="115">
        <v>608.54999999999995</v>
      </c>
      <c r="R1960">
        <v>6229241</v>
      </c>
    </row>
    <row r="1961" spans="1:18" x14ac:dyDescent="0.25">
      <c r="A1961" s="169">
        <v>45565</v>
      </c>
      <c r="B1961" s="115">
        <v>624.5</v>
      </c>
      <c r="C1961" s="115">
        <v>606.20000000000005</v>
      </c>
      <c r="D1961" s="115">
        <v>602.29999999999995</v>
      </c>
      <c r="E1961" s="115">
        <v>623.29999999999995</v>
      </c>
      <c r="F1961" s="115">
        <v>606.20000000000005</v>
      </c>
      <c r="G1961">
        <v>361194</v>
      </c>
      <c r="H1961" s="115"/>
      <c r="I1961" s="115"/>
      <c r="L1961" s="169">
        <v>45565</v>
      </c>
      <c r="M1961" s="115">
        <v>606.29999999999995</v>
      </c>
      <c r="N1961" s="115">
        <v>624</v>
      </c>
      <c r="O1961" s="115">
        <v>602.25</v>
      </c>
      <c r="P1961" s="115">
        <v>624</v>
      </c>
      <c r="Q1961" s="115">
        <v>606.29999999999995</v>
      </c>
      <c r="R1961">
        <v>6713774</v>
      </c>
    </row>
    <row r="1962" spans="1:18" x14ac:dyDescent="0.25">
      <c r="A1962" s="169">
        <v>45566</v>
      </c>
      <c r="B1962" s="115">
        <v>618</v>
      </c>
      <c r="C1962" s="115">
        <v>612.4</v>
      </c>
      <c r="D1962" s="115">
        <v>605.4</v>
      </c>
      <c r="E1962" s="115">
        <v>609.75</v>
      </c>
      <c r="F1962" s="115">
        <v>612.4</v>
      </c>
      <c r="G1962">
        <v>201513</v>
      </c>
      <c r="H1962" s="115"/>
      <c r="I1962" s="115"/>
      <c r="L1962" s="169">
        <v>45566</v>
      </c>
      <c r="M1962" s="115">
        <v>612.25</v>
      </c>
      <c r="N1962" s="115">
        <v>618</v>
      </c>
      <c r="O1962" s="115">
        <v>605.5</v>
      </c>
      <c r="P1962" s="115">
        <v>608</v>
      </c>
      <c r="Q1962" s="115">
        <v>612.25</v>
      </c>
      <c r="R1962">
        <v>5050652</v>
      </c>
    </row>
    <row r="1963" spans="1:18" x14ac:dyDescent="0.25">
      <c r="A1963" s="169">
        <v>45568</v>
      </c>
      <c r="B1963" s="115">
        <v>602.1</v>
      </c>
      <c r="C1963" s="115">
        <v>588.04999999999995</v>
      </c>
      <c r="D1963" s="115">
        <v>585.85</v>
      </c>
      <c r="E1963" s="115">
        <v>586.65</v>
      </c>
      <c r="F1963" s="115">
        <v>588.04999999999995</v>
      </c>
      <c r="G1963">
        <v>658243</v>
      </c>
      <c r="H1963" s="115"/>
      <c r="I1963" s="115"/>
      <c r="L1963" s="169">
        <v>45568</v>
      </c>
      <c r="M1963" s="115">
        <v>587.75</v>
      </c>
      <c r="N1963" s="115">
        <v>602</v>
      </c>
      <c r="O1963" s="115">
        <v>585.75</v>
      </c>
      <c r="P1963" s="115">
        <v>599.9</v>
      </c>
      <c r="Q1963" s="115">
        <v>587.75</v>
      </c>
      <c r="R1963">
        <v>7488377</v>
      </c>
    </row>
    <row r="1964" spans="1:18" x14ac:dyDescent="0.25">
      <c r="A1964" s="169">
        <v>45569</v>
      </c>
      <c r="B1964" s="115">
        <v>599.9</v>
      </c>
      <c r="C1964" s="115">
        <v>578.95000000000005</v>
      </c>
      <c r="D1964" s="115">
        <v>570.6</v>
      </c>
      <c r="E1964" s="115">
        <v>593.04999999999995</v>
      </c>
      <c r="F1964" s="115">
        <v>578.95000000000005</v>
      </c>
      <c r="G1964">
        <v>709569</v>
      </c>
      <c r="H1964" s="115"/>
      <c r="I1964" s="115"/>
      <c r="L1964" s="169">
        <v>45569</v>
      </c>
      <c r="M1964" s="115">
        <v>578.9</v>
      </c>
      <c r="N1964" s="115">
        <v>600</v>
      </c>
      <c r="O1964" s="115">
        <v>570.5</v>
      </c>
      <c r="P1964" s="115">
        <v>594.95000000000005</v>
      </c>
      <c r="Q1964" s="115">
        <v>578.9</v>
      </c>
      <c r="R1964">
        <v>11147666</v>
      </c>
    </row>
    <row r="1965" spans="1:18" x14ac:dyDescent="0.25">
      <c r="A1965" s="169">
        <v>45572</v>
      </c>
      <c r="B1965" s="115">
        <v>578.9</v>
      </c>
      <c r="C1965" s="115">
        <v>541.79999999999995</v>
      </c>
      <c r="D1965" s="115">
        <v>538.20000000000005</v>
      </c>
      <c r="E1965" s="115">
        <v>578.9</v>
      </c>
      <c r="F1965" s="115">
        <v>541.79999999999995</v>
      </c>
      <c r="G1965">
        <v>1270499</v>
      </c>
      <c r="H1965" s="115"/>
      <c r="I1965" s="115"/>
      <c r="L1965" s="169">
        <v>45572</v>
      </c>
      <c r="M1965" s="115">
        <v>542.04999999999995</v>
      </c>
      <c r="N1965" s="115">
        <v>578.20000000000005</v>
      </c>
      <c r="O1965" s="115">
        <v>538</v>
      </c>
      <c r="P1965" s="115">
        <v>574.9</v>
      </c>
      <c r="Q1965" s="115">
        <v>542.04999999999995</v>
      </c>
      <c r="R1965">
        <v>16517348</v>
      </c>
    </row>
    <row r="1966" spans="1:18" x14ac:dyDescent="0.25">
      <c r="A1966" s="169">
        <v>45573</v>
      </c>
      <c r="B1966" s="115">
        <v>595</v>
      </c>
      <c r="C1966" s="115">
        <v>589.9</v>
      </c>
      <c r="D1966" s="115">
        <v>537.79999999999995</v>
      </c>
      <c r="E1966" s="115">
        <v>540</v>
      </c>
      <c r="F1966" s="115">
        <v>589.9</v>
      </c>
      <c r="G1966">
        <v>543889</v>
      </c>
      <c r="H1966" s="115"/>
      <c r="I1966" s="115"/>
      <c r="L1966" s="169">
        <v>45573</v>
      </c>
      <c r="M1966" s="115">
        <v>590</v>
      </c>
      <c r="N1966" s="115">
        <v>594.95000000000005</v>
      </c>
      <c r="O1966" s="115">
        <v>536.85</v>
      </c>
      <c r="P1966" s="115">
        <v>540.29999999999995</v>
      </c>
      <c r="Q1966" s="115">
        <v>590</v>
      </c>
      <c r="R1966">
        <v>19393475</v>
      </c>
    </row>
    <row r="1967" spans="1:18" x14ac:dyDescent="0.25">
      <c r="A1967" s="169">
        <v>45574</v>
      </c>
      <c r="B1967" s="115">
        <v>605.85</v>
      </c>
      <c r="C1967" s="115">
        <v>592.5</v>
      </c>
      <c r="D1967" s="115">
        <v>589.45000000000005</v>
      </c>
      <c r="E1967" s="115">
        <v>599.95000000000005</v>
      </c>
      <c r="F1967" s="115">
        <v>592.5</v>
      </c>
      <c r="G1967">
        <v>168436</v>
      </c>
      <c r="H1967" s="115"/>
      <c r="I1967" s="115"/>
      <c r="L1967" s="169">
        <v>45574</v>
      </c>
      <c r="M1967" s="115">
        <v>592.4</v>
      </c>
      <c r="N1967" s="115">
        <v>606.20000000000005</v>
      </c>
      <c r="O1967" s="115">
        <v>589.1</v>
      </c>
      <c r="P1967" s="115">
        <v>599</v>
      </c>
      <c r="Q1967" s="115">
        <v>592.4</v>
      </c>
      <c r="R1967">
        <v>6884033</v>
      </c>
    </row>
    <row r="1968" spans="1:18" x14ac:dyDescent="0.25">
      <c r="A1968" s="169">
        <v>45575</v>
      </c>
      <c r="B1968" s="115">
        <v>601</v>
      </c>
      <c r="C1968" s="115">
        <v>588.65</v>
      </c>
      <c r="D1968" s="115">
        <v>578.1</v>
      </c>
      <c r="E1968" s="115">
        <v>597.35</v>
      </c>
      <c r="F1968" s="115">
        <v>588.65</v>
      </c>
      <c r="G1968">
        <v>362318</v>
      </c>
      <c r="H1968" s="115"/>
      <c r="I1968" s="115"/>
      <c r="L1968" s="169">
        <v>45575</v>
      </c>
      <c r="M1968" s="115">
        <v>588.65</v>
      </c>
      <c r="N1968" s="115">
        <v>601.9</v>
      </c>
      <c r="O1968" s="115">
        <v>578</v>
      </c>
      <c r="P1968" s="115">
        <v>598.95000000000005</v>
      </c>
      <c r="Q1968" s="115">
        <v>588.65</v>
      </c>
      <c r="R1968">
        <v>5167165</v>
      </c>
    </row>
    <row r="1969" spans="1:18" x14ac:dyDescent="0.25">
      <c r="A1969" s="169">
        <v>45576</v>
      </c>
      <c r="B1969" s="115">
        <v>595.85</v>
      </c>
      <c r="C1969" s="115">
        <v>592.15</v>
      </c>
      <c r="D1969" s="115">
        <v>586</v>
      </c>
      <c r="E1969" s="115">
        <v>591.1</v>
      </c>
      <c r="F1969" s="115">
        <v>592.15</v>
      </c>
      <c r="G1969">
        <v>168077</v>
      </c>
      <c r="H1969" s="115"/>
      <c r="I1969" s="115"/>
      <c r="L1969" s="169">
        <v>45576</v>
      </c>
      <c r="M1969" s="115">
        <v>592.35</v>
      </c>
      <c r="N1969" s="115">
        <v>595.9</v>
      </c>
      <c r="O1969" s="115">
        <v>586.04999999999995</v>
      </c>
      <c r="P1969" s="115">
        <v>591.95000000000005</v>
      </c>
      <c r="Q1969" s="115">
        <v>592.35</v>
      </c>
      <c r="R1969">
        <v>2001553</v>
      </c>
    </row>
    <row r="1970" spans="1:18" x14ac:dyDescent="0.25">
      <c r="A1970" s="169">
        <v>45579</v>
      </c>
      <c r="B1970" s="115">
        <v>599.65</v>
      </c>
      <c r="C1970" s="115">
        <v>592.1</v>
      </c>
      <c r="D1970" s="115">
        <v>583.95000000000005</v>
      </c>
      <c r="E1970" s="115">
        <v>596</v>
      </c>
      <c r="F1970" s="115">
        <v>592.1</v>
      </c>
      <c r="G1970">
        <v>76964</v>
      </c>
      <c r="H1970" s="115"/>
      <c r="I1970" s="115"/>
      <c r="L1970" s="169">
        <v>45579</v>
      </c>
      <c r="M1970" s="115">
        <v>591.65</v>
      </c>
      <c r="N1970" s="115">
        <v>599.6</v>
      </c>
      <c r="O1970" s="115">
        <v>583.54999999999995</v>
      </c>
      <c r="P1970" s="115">
        <v>596.79999999999995</v>
      </c>
      <c r="Q1970" s="115">
        <v>591.65</v>
      </c>
      <c r="R1970">
        <v>2952265</v>
      </c>
    </row>
    <row r="1971" spans="1:18" x14ac:dyDescent="0.25">
      <c r="A1971" s="169">
        <v>45580</v>
      </c>
      <c r="B1971" s="115">
        <v>613.65</v>
      </c>
      <c r="C1971" s="115">
        <v>610.70000000000005</v>
      </c>
      <c r="D1971" s="115">
        <v>587.29999999999995</v>
      </c>
      <c r="E1971" s="115">
        <v>595</v>
      </c>
      <c r="F1971" s="115">
        <v>610.70000000000005</v>
      </c>
      <c r="G1971">
        <v>427276</v>
      </c>
      <c r="H1971" s="115"/>
      <c r="I1971" s="115"/>
      <c r="L1971" s="169">
        <v>45580</v>
      </c>
      <c r="M1971" s="115">
        <v>611.04999999999995</v>
      </c>
      <c r="N1971" s="115">
        <v>613.9</v>
      </c>
      <c r="O1971" s="115">
        <v>587.1</v>
      </c>
      <c r="P1971" s="115">
        <v>594.9</v>
      </c>
      <c r="Q1971" s="115">
        <v>611.04999999999995</v>
      </c>
      <c r="R1971">
        <v>5781487</v>
      </c>
    </row>
    <row r="1972" spans="1:18" x14ac:dyDescent="0.25">
      <c r="A1972" s="169">
        <v>45581</v>
      </c>
      <c r="B1972" s="115">
        <v>616.4</v>
      </c>
      <c r="C1972" s="115">
        <v>608.5</v>
      </c>
      <c r="D1972" s="115">
        <v>601</v>
      </c>
      <c r="E1972" s="115">
        <v>616.4</v>
      </c>
      <c r="F1972" s="115">
        <v>608.5</v>
      </c>
      <c r="G1972">
        <v>91621</v>
      </c>
      <c r="H1972" s="115"/>
      <c r="I1972" s="115"/>
      <c r="L1972" s="169">
        <v>45581</v>
      </c>
      <c r="M1972" s="115">
        <v>608.29999999999995</v>
      </c>
      <c r="N1972" s="115">
        <v>613</v>
      </c>
      <c r="O1972" s="115">
        <v>601.5</v>
      </c>
      <c r="P1972" s="115">
        <v>613</v>
      </c>
      <c r="Q1972" s="115">
        <v>608.29999999999995</v>
      </c>
      <c r="R1972">
        <v>3043963</v>
      </c>
    </row>
    <row r="1973" spans="1:18" x14ac:dyDescent="0.25">
      <c r="A1973" s="169">
        <v>45582</v>
      </c>
      <c r="B1973" s="115">
        <v>601</v>
      </c>
      <c r="C1973" s="115">
        <v>587.79999999999995</v>
      </c>
      <c r="D1973" s="115">
        <v>585</v>
      </c>
      <c r="E1973" s="115">
        <v>599.95000000000005</v>
      </c>
      <c r="F1973" s="115">
        <v>587.79999999999995</v>
      </c>
      <c r="G1973">
        <v>330052</v>
      </c>
      <c r="H1973" s="115"/>
      <c r="I1973" s="115"/>
      <c r="L1973" s="169">
        <v>45582</v>
      </c>
      <c r="M1973" s="115">
        <v>588.4</v>
      </c>
      <c r="N1973" s="115">
        <v>600.85</v>
      </c>
      <c r="O1973" s="115">
        <v>585</v>
      </c>
      <c r="P1973" s="115">
        <v>598</v>
      </c>
      <c r="Q1973" s="115">
        <v>588.4</v>
      </c>
      <c r="R1973">
        <v>4225188</v>
      </c>
    </row>
    <row r="1974" spans="1:18" x14ac:dyDescent="0.25">
      <c r="A1974" s="169">
        <v>45583</v>
      </c>
      <c r="B1974" s="115">
        <v>599.5</v>
      </c>
      <c r="C1974" s="115">
        <v>588.35</v>
      </c>
      <c r="D1974" s="115">
        <v>579</v>
      </c>
      <c r="E1974" s="115">
        <v>590.04999999999995</v>
      </c>
      <c r="F1974" s="115">
        <v>588.35</v>
      </c>
      <c r="G1974">
        <v>155435</v>
      </c>
      <c r="H1974" s="115"/>
      <c r="I1974" s="115"/>
      <c r="L1974" s="169">
        <v>45583</v>
      </c>
      <c r="M1974" s="115">
        <v>588.75</v>
      </c>
      <c r="N1974" s="115">
        <v>599.4</v>
      </c>
      <c r="O1974" s="115">
        <v>578.70000000000005</v>
      </c>
      <c r="P1974" s="115">
        <v>594</v>
      </c>
      <c r="Q1974" s="115">
        <v>588.75</v>
      </c>
      <c r="R1974">
        <v>4908521</v>
      </c>
    </row>
    <row r="1975" spans="1:18" x14ac:dyDescent="0.25">
      <c r="A1975" s="169">
        <v>45586</v>
      </c>
      <c r="B1975" s="115">
        <v>595.95000000000005</v>
      </c>
      <c r="C1975" s="115">
        <v>578.20000000000005</v>
      </c>
      <c r="D1975" s="115">
        <v>572.79999999999995</v>
      </c>
      <c r="E1975" s="115">
        <v>595.6</v>
      </c>
      <c r="F1975" s="115">
        <v>578.20000000000005</v>
      </c>
      <c r="G1975">
        <v>105590</v>
      </c>
      <c r="H1975" s="115"/>
      <c r="I1975" s="115"/>
      <c r="L1975" s="169">
        <v>45586</v>
      </c>
      <c r="M1975" s="115">
        <v>578.45000000000005</v>
      </c>
      <c r="N1975" s="115">
        <v>597.6</v>
      </c>
      <c r="O1975" s="115">
        <v>572.4</v>
      </c>
      <c r="P1975" s="115">
        <v>597.6</v>
      </c>
      <c r="Q1975" s="115">
        <v>578.45000000000005</v>
      </c>
      <c r="R1975">
        <v>3411037</v>
      </c>
    </row>
    <row r="1976" spans="1:18" x14ac:dyDescent="0.25">
      <c r="A1976" s="169">
        <v>45587</v>
      </c>
      <c r="B1976" s="115">
        <v>598.6</v>
      </c>
      <c r="C1976" s="115">
        <v>594.29999999999995</v>
      </c>
      <c r="D1976" s="115">
        <v>567</v>
      </c>
      <c r="E1976" s="115">
        <v>583</v>
      </c>
      <c r="F1976" s="115">
        <v>594.29999999999995</v>
      </c>
      <c r="G1976">
        <v>408884</v>
      </c>
      <c r="H1976" s="115"/>
      <c r="I1976" s="115"/>
      <c r="L1976" s="169">
        <v>45587</v>
      </c>
      <c r="M1976" s="115">
        <v>594.54999999999995</v>
      </c>
      <c r="N1976" s="115">
        <v>598.70000000000005</v>
      </c>
      <c r="O1976" s="115">
        <v>566.70000000000005</v>
      </c>
      <c r="P1976" s="115">
        <v>584.20000000000005</v>
      </c>
      <c r="Q1976" s="115">
        <v>594.54999999999995</v>
      </c>
      <c r="R1976">
        <v>11533313</v>
      </c>
    </row>
    <row r="1977" spans="1:18" x14ac:dyDescent="0.25">
      <c r="A1977" s="169">
        <v>45588</v>
      </c>
      <c r="B1977" s="115">
        <v>631</v>
      </c>
      <c r="C1977" s="115">
        <v>628.79999999999995</v>
      </c>
      <c r="D1977" s="115">
        <v>598</v>
      </c>
      <c r="E1977" s="115">
        <v>599</v>
      </c>
      <c r="F1977" s="115">
        <v>628.79999999999995</v>
      </c>
      <c r="G1977">
        <v>347884</v>
      </c>
      <c r="H1977" s="115"/>
      <c r="I1977" s="115"/>
      <c r="L1977" s="169">
        <v>45588</v>
      </c>
      <c r="M1977" s="115">
        <v>628.75</v>
      </c>
      <c r="N1977" s="115">
        <v>630.95000000000005</v>
      </c>
      <c r="O1977" s="115">
        <v>598</v>
      </c>
      <c r="P1977" s="115">
        <v>600</v>
      </c>
      <c r="Q1977" s="115">
        <v>628.75</v>
      </c>
      <c r="R1977">
        <v>14909803</v>
      </c>
    </row>
    <row r="1978" spans="1:18" x14ac:dyDescent="0.25">
      <c r="A1978" s="169">
        <v>45589</v>
      </c>
      <c r="B1978" s="115">
        <v>632</v>
      </c>
      <c r="C1978" s="115">
        <v>609.25</v>
      </c>
      <c r="D1978" s="115">
        <v>604.45000000000005</v>
      </c>
      <c r="E1978" s="115">
        <v>629.04999999999995</v>
      </c>
      <c r="F1978" s="115">
        <v>609.25</v>
      </c>
      <c r="G1978">
        <v>399521</v>
      </c>
      <c r="H1978" s="115"/>
      <c r="I1978" s="115"/>
      <c r="L1978" s="169">
        <v>45589</v>
      </c>
      <c r="M1978" s="115">
        <v>609.29999999999995</v>
      </c>
      <c r="N1978" s="115">
        <v>631.20000000000005</v>
      </c>
      <c r="O1978" s="115">
        <v>604.20000000000005</v>
      </c>
      <c r="P1978" s="115">
        <v>629.70000000000005</v>
      </c>
      <c r="Q1978" s="115">
        <v>609.29999999999995</v>
      </c>
      <c r="R1978">
        <v>6518797</v>
      </c>
    </row>
    <row r="1979" spans="1:18" x14ac:dyDescent="0.25">
      <c r="A1979" s="169">
        <v>45590</v>
      </c>
      <c r="B1979" s="115">
        <v>616.95000000000005</v>
      </c>
      <c r="C1979" s="115">
        <v>611</v>
      </c>
      <c r="D1979" s="115">
        <v>593.75</v>
      </c>
      <c r="E1979" s="115">
        <v>610.04999999999995</v>
      </c>
      <c r="F1979" s="115">
        <v>611</v>
      </c>
      <c r="G1979">
        <v>190758</v>
      </c>
      <c r="H1979" s="115"/>
      <c r="I1979" s="115"/>
      <c r="L1979" s="169">
        <v>45590</v>
      </c>
      <c r="M1979" s="115">
        <v>611.20000000000005</v>
      </c>
      <c r="N1979" s="115">
        <v>616.9</v>
      </c>
      <c r="O1979" s="115">
        <v>593.4</v>
      </c>
      <c r="P1979" s="115">
        <v>613</v>
      </c>
      <c r="Q1979" s="115">
        <v>611.20000000000005</v>
      </c>
      <c r="R1979">
        <v>4545839</v>
      </c>
    </row>
    <row r="1980" spans="1:18" x14ac:dyDescent="0.25">
      <c r="A1980" s="169">
        <v>45593</v>
      </c>
      <c r="B1980" s="115">
        <v>615.29999999999995</v>
      </c>
      <c r="C1980" s="115">
        <v>603.5</v>
      </c>
      <c r="D1980" s="115">
        <v>600.54999999999995</v>
      </c>
      <c r="E1980" s="115">
        <v>609.95000000000005</v>
      </c>
      <c r="F1980" s="115">
        <v>603.5</v>
      </c>
      <c r="G1980">
        <v>71053</v>
      </c>
      <c r="H1980" s="115"/>
      <c r="I1980" s="115"/>
      <c r="L1980" s="169">
        <v>45593</v>
      </c>
      <c r="M1980" s="115">
        <v>603.79999999999995</v>
      </c>
      <c r="N1980" s="115">
        <v>615.54999999999995</v>
      </c>
      <c r="O1980" s="115">
        <v>600.45000000000005</v>
      </c>
      <c r="P1980" s="115">
        <v>608.25</v>
      </c>
      <c r="Q1980" s="115">
        <v>603.79999999999995</v>
      </c>
      <c r="R1980">
        <v>2827494</v>
      </c>
    </row>
    <row r="1981" spans="1:18" x14ac:dyDescent="0.25">
      <c r="A1981" s="169">
        <v>45594</v>
      </c>
      <c r="B1981" s="115">
        <v>613.95000000000005</v>
      </c>
      <c r="C1981" s="115">
        <v>609.1</v>
      </c>
      <c r="D1981" s="115">
        <v>589.6</v>
      </c>
      <c r="E1981" s="115">
        <v>601.95000000000005</v>
      </c>
      <c r="F1981" s="115">
        <v>609.1</v>
      </c>
      <c r="G1981">
        <v>95107</v>
      </c>
      <c r="H1981" s="115"/>
      <c r="I1981" s="115"/>
      <c r="L1981" s="169">
        <v>45594</v>
      </c>
      <c r="M1981" s="115">
        <v>609.29999999999995</v>
      </c>
      <c r="N1981" s="115">
        <v>613.79999999999995</v>
      </c>
      <c r="O1981" s="115">
        <v>589.4</v>
      </c>
      <c r="P1981" s="115">
        <v>600</v>
      </c>
      <c r="Q1981" s="115">
        <v>609.29999999999995</v>
      </c>
      <c r="R1981">
        <v>3846083</v>
      </c>
    </row>
    <row r="1982" spans="1:18" x14ac:dyDescent="0.25">
      <c r="A1982" s="169">
        <v>45595</v>
      </c>
      <c r="B1982" s="115">
        <v>615.15</v>
      </c>
      <c r="C1982" s="115">
        <v>605.4</v>
      </c>
      <c r="D1982" s="115">
        <v>595</v>
      </c>
      <c r="E1982" s="115">
        <v>600</v>
      </c>
      <c r="F1982" s="115">
        <v>605.4</v>
      </c>
      <c r="G1982">
        <v>109003</v>
      </c>
      <c r="H1982" s="115"/>
      <c r="I1982" s="115"/>
      <c r="L1982" s="169">
        <v>45595</v>
      </c>
      <c r="M1982" s="115">
        <v>605.54999999999995</v>
      </c>
      <c r="N1982" s="115">
        <v>615.45000000000005</v>
      </c>
      <c r="O1982" s="115">
        <v>592</v>
      </c>
      <c r="P1982" s="115">
        <v>592</v>
      </c>
      <c r="Q1982" s="115">
        <v>605.54999999999995</v>
      </c>
      <c r="R1982">
        <v>4378178</v>
      </c>
    </row>
    <row r="1983" spans="1:18" x14ac:dyDescent="0.25">
      <c r="A1983" s="169">
        <v>45596</v>
      </c>
      <c r="B1983" s="115">
        <v>606.15</v>
      </c>
      <c r="C1983" s="115">
        <v>598.15</v>
      </c>
      <c r="D1983" s="115">
        <v>592.45000000000005</v>
      </c>
      <c r="E1983" s="115">
        <v>606</v>
      </c>
      <c r="F1983" s="115">
        <v>598.15</v>
      </c>
      <c r="G1983">
        <v>82908</v>
      </c>
      <c r="H1983" s="115"/>
      <c r="I1983" s="115"/>
      <c r="L1983" s="169">
        <v>45596</v>
      </c>
      <c r="M1983" s="115">
        <v>597.75</v>
      </c>
      <c r="N1983" s="115">
        <v>608.35</v>
      </c>
      <c r="O1983" s="115">
        <v>592.1</v>
      </c>
      <c r="P1983" s="115">
        <v>605.54999999999995</v>
      </c>
      <c r="Q1983" s="115">
        <v>597.75</v>
      </c>
      <c r="R1983">
        <v>5151305</v>
      </c>
    </row>
    <row r="1984" spans="1:18" x14ac:dyDescent="0.25">
      <c r="A1984" s="169">
        <v>45597</v>
      </c>
      <c r="B1984" s="115">
        <v>609.5</v>
      </c>
      <c r="C1984" s="115">
        <v>608.04999999999995</v>
      </c>
      <c r="D1984" s="115">
        <v>599.75</v>
      </c>
      <c r="E1984" s="115">
        <v>599.75</v>
      </c>
      <c r="F1984" s="115">
        <v>608.04999999999995</v>
      </c>
      <c r="G1984">
        <v>109074</v>
      </c>
      <c r="H1984" s="115"/>
      <c r="I1984" s="115"/>
      <c r="L1984" s="169">
        <v>45597</v>
      </c>
      <c r="M1984" s="115">
        <v>608.5</v>
      </c>
      <c r="N1984" s="115">
        <v>610</v>
      </c>
      <c r="O1984" s="115">
        <v>600</v>
      </c>
      <c r="P1984" s="115">
        <v>600</v>
      </c>
      <c r="Q1984" s="115">
        <v>608.5</v>
      </c>
      <c r="R1984">
        <v>653210</v>
      </c>
    </row>
    <row r="1985" spans="1:18" x14ac:dyDescent="0.25">
      <c r="A1985" s="169">
        <v>45600</v>
      </c>
      <c r="B1985" s="115">
        <v>615.6</v>
      </c>
      <c r="C1985" s="115">
        <v>593.45000000000005</v>
      </c>
      <c r="D1985" s="115">
        <v>588.45000000000005</v>
      </c>
      <c r="E1985" s="115">
        <v>611</v>
      </c>
      <c r="F1985" s="115">
        <v>593.45000000000005</v>
      </c>
      <c r="G1985">
        <v>177730</v>
      </c>
      <c r="H1985" s="115"/>
      <c r="I1985" s="115"/>
      <c r="L1985" s="169">
        <v>45600</v>
      </c>
      <c r="M1985" s="115">
        <v>593.5</v>
      </c>
      <c r="N1985" s="115">
        <v>615.95000000000005</v>
      </c>
      <c r="O1985" s="115">
        <v>588</v>
      </c>
      <c r="P1985" s="115">
        <v>611</v>
      </c>
      <c r="Q1985" s="115">
        <v>593.5</v>
      </c>
      <c r="R1985">
        <v>7612446</v>
      </c>
    </row>
    <row r="1986" spans="1:18" x14ac:dyDescent="0.25">
      <c r="A1986" s="169">
        <v>45601</v>
      </c>
      <c r="B1986" s="115">
        <v>593.5</v>
      </c>
      <c r="C1986" s="115">
        <v>585.75</v>
      </c>
      <c r="D1986" s="115">
        <v>580.79999999999995</v>
      </c>
      <c r="E1986" s="115">
        <v>590</v>
      </c>
      <c r="F1986" s="115">
        <v>585.75</v>
      </c>
      <c r="G1986">
        <v>161233</v>
      </c>
      <c r="H1986" s="115"/>
      <c r="I1986" s="115"/>
      <c r="L1986" s="169">
        <v>45601</v>
      </c>
      <c r="M1986" s="115">
        <v>586.25</v>
      </c>
      <c r="N1986" s="115">
        <v>593.79999999999995</v>
      </c>
      <c r="O1986" s="115">
        <v>580.45000000000005</v>
      </c>
      <c r="P1986" s="115">
        <v>588</v>
      </c>
      <c r="Q1986" s="115">
        <v>586.25</v>
      </c>
      <c r="R1986">
        <v>5732587</v>
      </c>
    </row>
    <row r="1987" spans="1:18" x14ac:dyDescent="0.25">
      <c r="A1987" s="169">
        <v>45602</v>
      </c>
      <c r="B1987" s="115">
        <v>600.9</v>
      </c>
      <c r="C1987" s="115">
        <v>598.54999999999995</v>
      </c>
      <c r="D1987" s="115">
        <v>582.79999999999995</v>
      </c>
      <c r="E1987" s="115">
        <v>592.79999999999995</v>
      </c>
      <c r="F1987" s="115">
        <v>598.54999999999995</v>
      </c>
      <c r="G1987">
        <v>106045</v>
      </c>
      <c r="H1987" s="115"/>
      <c r="I1987" s="115"/>
      <c r="L1987" s="169">
        <v>45602</v>
      </c>
      <c r="M1987" s="115">
        <v>599.20000000000005</v>
      </c>
      <c r="N1987" s="115">
        <v>601</v>
      </c>
      <c r="O1987" s="115">
        <v>582.29999999999995</v>
      </c>
      <c r="P1987" s="115">
        <v>592</v>
      </c>
      <c r="Q1987" s="115">
        <v>599.20000000000005</v>
      </c>
      <c r="R1987">
        <v>6149844</v>
      </c>
    </row>
    <row r="1988" spans="1:18" x14ac:dyDescent="0.25">
      <c r="A1988" s="169">
        <v>45603</v>
      </c>
      <c r="B1988" s="115">
        <v>608.25</v>
      </c>
      <c r="C1988" s="115">
        <v>596.45000000000005</v>
      </c>
      <c r="D1988" s="115">
        <v>592.25</v>
      </c>
      <c r="E1988" s="115">
        <v>602.79999999999995</v>
      </c>
      <c r="F1988" s="115">
        <v>596.45000000000005</v>
      </c>
      <c r="G1988">
        <v>74884</v>
      </c>
      <c r="H1988" s="115"/>
      <c r="I1988" s="115"/>
      <c r="L1988" s="169">
        <v>45603</v>
      </c>
      <c r="M1988" s="115">
        <v>597.25</v>
      </c>
      <c r="N1988" s="115">
        <v>608.5</v>
      </c>
      <c r="O1988" s="115">
        <v>592.4</v>
      </c>
      <c r="P1988" s="115">
        <v>602.04999999999995</v>
      </c>
      <c r="Q1988" s="115">
        <v>597.25</v>
      </c>
      <c r="R1988">
        <v>2893375</v>
      </c>
    </row>
    <row r="1989" spans="1:18" x14ac:dyDescent="0.25">
      <c r="A1989" s="169">
        <v>45604</v>
      </c>
      <c r="B1989" s="115">
        <v>598.29999999999995</v>
      </c>
      <c r="C1989" s="115">
        <v>591.20000000000005</v>
      </c>
      <c r="D1989" s="115">
        <v>588</v>
      </c>
      <c r="E1989" s="115">
        <v>597.35</v>
      </c>
      <c r="F1989" s="115">
        <v>591.20000000000005</v>
      </c>
      <c r="G1989">
        <v>47224</v>
      </c>
      <c r="H1989" s="115"/>
      <c r="I1989" s="115"/>
      <c r="L1989" s="169">
        <v>45604</v>
      </c>
      <c r="M1989" s="115">
        <v>591.54999999999995</v>
      </c>
      <c r="N1989" s="115">
        <v>598.9</v>
      </c>
      <c r="O1989" s="115">
        <v>587.1</v>
      </c>
      <c r="P1989" s="115">
        <v>595.25</v>
      </c>
      <c r="Q1989" s="115">
        <v>591.54999999999995</v>
      </c>
      <c r="R1989">
        <v>1793816</v>
      </c>
    </row>
    <row r="1990" spans="1:18" x14ac:dyDescent="0.25">
      <c r="A1990" s="169">
        <v>45607</v>
      </c>
      <c r="B1990" s="115">
        <v>607.54999999999995</v>
      </c>
      <c r="C1990" s="115">
        <v>591.70000000000005</v>
      </c>
      <c r="D1990" s="115">
        <v>582.5</v>
      </c>
      <c r="E1990" s="115">
        <v>590</v>
      </c>
      <c r="F1990" s="115">
        <v>591.70000000000005</v>
      </c>
      <c r="G1990">
        <v>96639</v>
      </c>
      <c r="H1990" s="115"/>
      <c r="I1990" s="115"/>
      <c r="L1990" s="169">
        <v>45607</v>
      </c>
      <c r="M1990" s="115">
        <v>590.79999999999995</v>
      </c>
      <c r="N1990" s="115">
        <v>607.95000000000005</v>
      </c>
      <c r="O1990" s="115">
        <v>582.25</v>
      </c>
      <c r="P1990" s="115">
        <v>588</v>
      </c>
      <c r="Q1990" s="115">
        <v>590.79999999999995</v>
      </c>
      <c r="R1990">
        <v>2578471</v>
      </c>
    </row>
    <row r="1991" spans="1:18" x14ac:dyDescent="0.25">
      <c r="A1991" s="169">
        <v>45608</v>
      </c>
      <c r="B1991" s="115">
        <v>599</v>
      </c>
      <c r="C1991" s="115">
        <v>584.15</v>
      </c>
      <c r="D1991" s="115">
        <v>583</v>
      </c>
      <c r="E1991" s="115">
        <v>592.20000000000005</v>
      </c>
      <c r="F1991" s="115">
        <v>584.15</v>
      </c>
      <c r="G1991">
        <v>162676</v>
      </c>
      <c r="H1991" s="115"/>
      <c r="I1991" s="115"/>
      <c r="L1991" s="169">
        <v>45608</v>
      </c>
      <c r="M1991" s="115">
        <v>584.29999999999995</v>
      </c>
      <c r="N1991" s="115">
        <v>599</v>
      </c>
      <c r="O1991" s="115">
        <v>583</v>
      </c>
      <c r="P1991" s="115">
        <v>594.54999999999995</v>
      </c>
      <c r="Q1991" s="115">
        <v>584.29999999999995</v>
      </c>
      <c r="R1991">
        <v>2680480</v>
      </c>
    </row>
    <row r="1992" spans="1:18" x14ac:dyDescent="0.25">
      <c r="A1992" s="169">
        <v>45609</v>
      </c>
      <c r="B1992" s="115">
        <v>595.20000000000005</v>
      </c>
      <c r="C1992" s="115">
        <v>567.79999999999995</v>
      </c>
      <c r="D1992" s="115">
        <v>565</v>
      </c>
      <c r="E1992" s="115">
        <v>589.6</v>
      </c>
      <c r="F1992" s="115">
        <v>567.79999999999995</v>
      </c>
      <c r="G1992">
        <v>285475</v>
      </c>
      <c r="H1992" s="115"/>
      <c r="I1992" s="115"/>
      <c r="L1992" s="169">
        <v>45609</v>
      </c>
      <c r="M1992" s="115">
        <v>568.1</v>
      </c>
      <c r="N1992" s="115">
        <v>594.95000000000005</v>
      </c>
      <c r="O1992" s="115">
        <v>565</v>
      </c>
      <c r="P1992" s="115">
        <v>591.1</v>
      </c>
      <c r="Q1992" s="115">
        <v>568.1</v>
      </c>
      <c r="R1992">
        <v>6817240</v>
      </c>
    </row>
    <row r="1993" spans="1:18" x14ac:dyDescent="0.25">
      <c r="A1993" s="169">
        <v>45610</v>
      </c>
      <c r="B1993" s="115">
        <v>595.65</v>
      </c>
      <c r="C1993" s="115">
        <v>576.25</v>
      </c>
      <c r="D1993" s="115">
        <v>570.79999999999995</v>
      </c>
      <c r="E1993" s="115">
        <v>575.15</v>
      </c>
      <c r="F1993" s="115">
        <v>576.25</v>
      </c>
      <c r="G1993">
        <v>146216</v>
      </c>
      <c r="H1993" s="115"/>
      <c r="I1993" s="115"/>
      <c r="L1993" s="169">
        <v>45610</v>
      </c>
      <c r="M1993" s="115">
        <v>575.65</v>
      </c>
      <c r="N1993" s="115">
        <v>596</v>
      </c>
      <c r="O1993" s="115">
        <v>570.29999999999995</v>
      </c>
      <c r="P1993" s="115">
        <v>575</v>
      </c>
      <c r="Q1993" s="115">
        <v>575.65</v>
      </c>
      <c r="R1993">
        <v>6805711</v>
      </c>
    </row>
    <row r="1994" spans="1:18" x14ac:dyDescent="0.25">
      <c r="A1994" s="169">
        <v>45614</v>
      </c>
      <c r="B1994" s="115">
        <v>617.5</v>
      </c>
      <c r="C1994" s="115">
        <v>610.35</v>
      </c>
      <c r="D1994" s="115">
        <v>581.95000000000005</v>
      </c>
      <c r="E1994" s="115">
        <v>590.1</v>
      </c>
      <c r="F1994" s="115">
        <v>610.35</v>
      </c>
      <c r="G1994">
        <v>793650</v>
      </c>
      <c r="H1994" s="115"/>
      <c r="I1994" s="115"/>
      <c r="L1994" s="169">
        <v>45614</v>
      </c>
      <c r="M1994" s="115">
        <v>609.85</v>
      </c>
      <c r="N1994" s="115">
        <v>617.6</v>
      </c>
      <c r="O1994" s="115">
        <v>582.85</v>
      </c>
      <c r="P1994" s="115">
        <v>593</v>
      </c>
      <c r="Q1994" s="115">
        <v>609.85</v>
      </c>
      <c r="R1994">
        <v>8284043</v>
      </c>
    </row>
    <row r="1995" spans="1:18" x14ac:dyDescent="0.25">
      <c r="A1995" s="169">
        <v>45615</v>
      </c>
      <c r="B1995" s="115">
        <v>639.54999999999995</v>
      </c>
      <c r="C1995" s="115">
        <v>630.5</v>
      </c>
      <c r="D1995" s="115">
        <v>615.5</v>
      </c>
      <c r="E1995" s="115">
        <v>617</v>
      </c>
      <c r="F1995" s="115">
        <v>630.5</v>
      </c>
      <c r="G1995">
        <v>1033905</v>
      </c>
      <c r="H1995" s="115"/>
      <c r="I1995" s="115"/>
      <c r="L1995" s="169">
        <v>45615</v>
      </c>
      <c r="M1995" s="115">
        <v>630.35</v>
      </c>
      <c r="N1995" s="115">
        <v>639.6</v>
      </c>
      <c r="O1995" s="115">
        <v>614.4</v>
      </c>
      <c r="P1995" s="115">
        <v>616</v>
      </c>
      <c r="Q1995" s="115">
        <v>630.35</v>
      </c>
      <c r="R1995">
        <v>11261723</v>
      </c>
    </row>
    <row r="1996" spans="1:18" x14ac:dyDescent="0.25">
      <c r="A1996" s="169">
        <v>45617</v>
      </c>
      <c r="B1996" s="115">
        <v>629.95000000000005</v>
      </c>
      <c r="C1996" s="115">
        <v>626.85</v>
      </c>
      <c r="D1996" s="115">
        <v>610</v>
      </c>
      <c r="E1996" s="115">
        <v>629.95000000000005</v>
      </c>
      <c r="F1996" s="115">
        <v>626.85</v>
      </c>
      <c r="G1996">
        <v>381580</v>
      </c>
      <c r="H1996" s="115"/>
      <c r="I1996" s="115"/>
      <c r="L1996" s="169">
        <v>45617</v>
      </c>
      <c r="M1996" s="115">
        <v>626.75</v>
      </c>
      <c r="N1996" s="115">
        <v>630</v>
      </c>
      <c r="O1996" s="115">
        <v>610</v>
      </c>
      <c r="P1996" s="115">
        <v>630</v>
      </c>
      <c r="Q1996" s="115">
        <v>626.75</v>
      </c>
      <c r="R1996">
        <v>5734432</v>
      </c>
    </row>
    <row r="1997" spans="1:18" x14ac:dyDescent="0.25">
      <c r="A1997" s="169">
        <v>45618</v>
      </c>
      <c r="B1997" s="115">
        <v>627</v>
      </c>
      <c r="C1997" s="115">
        <v>616.65</v>
      </c>
      <c r="D1997" s="115">
        <v>612.85</v>
      </c>
      <c r="E1997" s="115">
        <v>625.25</v>
      </c>
      <c r="F1997" s="115">
        <v>616.65</v>
      </c>
      <c r="G1997">
        <v>471060</v>
      </c>
      <c r="H1997" s="115"/>
      <c r="I1997" s="115"/>
      <c r="L1997" s="169">
        <v>45618</v>
      </c>
      <c r="M1997" s="115">
        <v>616.4</v>
      </c>
      <c r="N1997" s="115">
        <v>627.15</v>
      </c>
      <c r="O1997" s="115">
        <v>612.65</v>
      </c>
      <c r="P1997" s="115">
        <v>626</v>
      </c>
      <c r="Q1997" s="115">
        <v>616.4</v>
      </c>
      <c r="R1997">
        <v>8080741</v>
      </c>
    </row>
    <row r="1998" spans="1:18" x14ac:dyDescent="0.25">
      <c r="A1998" s="169">
        <v>45621</v>
      </c>
      <c r="B1998" s="115">
        <v>632.25</v>
      </c>
      <c r="C1998" s="115">
        <v>602</v>
      </c>
      <c r="D1998" s="115">
        <v>595.04999999999995</v>
      </c>
      <c r="E1998" s="115">
        <v>624.45000000000005</v>
      </c>
      <c r="F1998" s="115">
        <v>602</v>
      </c>
      <c r="G1998">
        <v>491374</v>
      </c>
      <c r="H1998" s="115"/>
      <c r="I1998" s="115"/>
      <c r="L1998" s="169">
        <v>45621</v>
      </c>
      <c r="M1998" s="115">
        <v>601.1</v>
      </c>
      <c r="N1998" s="115">
        <v>632.29999999999995</v>
      </c>
      <c r="O1998" s="115">
        <v>595</v>
      </c>
      <c r="P1998" s="115">
        <v>622</v>
      </c>
      <c r="Q1998" s="115">
        <v>601.1</v>
      </c>
      <c r="R1998">
        <v>10896519</v>
      </c>
    </row>
    <row r="1999" spans="1:18" x14ac:dyDescent="0.25">
      <c r="A1999" s="169">
        <v>45622</v>
      </c>
      <c r="B1999" s="115">
        <v>620.6</v>
      </c>
      <c r="C1999" s="115">
        <v>614</v>
      </c>
      <c r="D1999" s="115">
        <v>607.29999999999995</v>
      </c>
      <c r="E1999" s="115">
        <v>607.85</v>
      </c>
      <c r="F1999" s="115">
        <v>614</v>
      </c>
      <c r="G1999">
        <v>286659</v>
      </c>
      <c r="H1999" s="115"/>
      <c r="I1999" s="115"/>
      <c r="L1999" s="169">
        <v>45622</v>
      </c>
      <c r="M1999" s="115">
        <v>614.25</v>
      </c>
      <c r="N1999" s="115">
        <v>620.6</v>
      </c>
      <c r="O1999" s="115">
        <v>606.95000000000005</v>
      </c>
      <c r="P1999" s="115">
        <v>607.25</v>
      </c>
      <c r="Q1999" s="115">
        <v>614.25</v>
      </c>
      <c r="R1999">
        <v>5018604</v>
      </c>
    </row>
    <row r="2000" spans="1:18" x14ac:dyDescent="0.25">
      <c r="A2000" s="169">
        <v>45623</v>
      </c>
      <c r="B2000" s="115">
        <v>619.6</v>
      </c>
      <c r="C2000" s="115">
        <v>613.20000000000005</v>
      </c>
      <c r="D2000" s="115">
        <v>608</v>
      </c>
      <c r="E2000" s="115">
        <v>615.65</v>
      </c>
      <c r="F2000" s="115">
        <v>613.20000000000005</v>
      </c>
      <c r="G2000">
        <v>48937</v>
      </c>
      <c r="H2000" s="115"/>
      <c r="I2000" s="115"/>
      <c r="L2000" s="169">
        <v>45623</v>
      </c>
      <c r="M2000" s="115">
        <v>613</v>
      </c>
      <c r="N2000" s="115">
        <v>620</v>
      </c>
      <c r="O2000" s="115">
        <v>608</v>
      </c>
      <c r="P2000" s="115">
        <v>620</v>
      </c>
      <c r="Q2000" s="115">
        <v>613</v>
      </c>
      <c r="R2000">
        <v>1855103</v>
      </c>
    </row>
    <row r="2001" spans="1:18" x14ac:dyDescent="0.25">
      <c r="A2001" s="169">
        <v>45624</v>
      </c>
      <c r="B2001" s="115">
        <v>638.5</v>
      </c>
      <c r="C2001" s="115">
        <v>630.20000000000005</v>
      </c>
      <c r="D2001" s="115">
        <v>605.65</v>
      </c>
      <c r="E2001" s="115">
        <v>610.35</v>
      </c>
      <c r="F2001" s="115">
        <v>630.20000000000005</v>
      </c>
      <c r="G2001">
        <v>566811</v>
      </c>
      <c r="H2001" s="115"/>
      <c r="I2001" s="115"/>
      <c r="L2001" s="169">
        <v>45624</v>
      </c>
      <c r="M2001" s="115">
        <v>630.70000000000005</v>
      </c>
      <c r="N2001" s="115">
        <v>638.6</v>
      </c>
      <c r="O2001" s="115">
        <v>605.15</v>
      </c>
      <c r="P2001" s="115">
        <v>612.9</v>
      </c>
      <c r="Q2001" s="115">
        <v>630.70000000000005</v>
      </c>
      <c r="R2001">
        <v>6829753</v>
      </c>
    </row>
    <row r="2002" spans="1:18" x14ac:dyDescent="0.25">
      <c r="A2002" s="169">
        <v>45625</v>
      </c>
      <c r="B2002" s="115">
        <v>629.29999999999995</v>
      </c>
      <c r="C2002" s="115">
        <v>621</v>
      </c>
      <c r="D2002" s="115">
        <v>615.29999999999995</v>
      </c>
      <c r="E2002" s="115">
        <v>629</v>
      </c>
      <c r="F2002" s="115">
        <v>621</v>
      </c>
      <c r="G2002">
        <v>306593</v>
      </c>
      <c r="H2002" s="115"/>
      <c r="I2002" s="115"/>
      <c r="L2002" s="169">
        <v>45625</v>
      </c>
      <c r="M2002" s="115">
        <v>621.20000000000005</v>
      </c>
      <c r="N2002" s="115">
        <v>629.20000000000005</v>
      </c>
      <c r="O2002" s="115">
        <v>615.29999999999995</v>
      </c>
      <c r="P2002" s="115">
        <v>627</v>
      </c>
      <c r="Q2002" s="115">
        <v>621.20000000000005</v>
      </c>
      <c r="R2002">
        <v>5480591</v>
      </c>
    </row>
    <row r="2003" spans="1:18" x14ac:dyDescent="0.25">
      <c r="A2003" s="169">
        <v>45628</v>
      </c>
      <c r="B2003" s="115">
        <v>644.20000000000005</v>
      </c>
      <c r="C2003" s="115">
        <v>632.79999999999995</v>
      </c>
      <c r="D2003" s="115">
        <v>622.25</v>
      </c>
      <c r="E2003" s="115">
        <v>624.95000000000005</v>
      </c>
      <c r="F2003" s="115">
        <v>632.79999999999995</v>
      </c>
      <c r="G2003">
        <v>161617</v>
      </c>
      <c r="H2003" s="115"/>
      <c r="I2003" s="115"/>
      <c r="L2003" s="169">
        <v>45628</v>
      </c>
      <c r="M2003" s="115">
        <v>632.25</v>
      </c>
      <c r="N2003" s="115">
        <v>644</v>
      </c>
      <c r="O2003" s="115">
        <v>622.25</v>
      </c>
      <c r="P2003" s="115">
        <v>625</v>
      </c>
      <c r="Q2003" s="115">
        <v>632.25</v>
      </c>
      <c r="R2003">
        <v>8977574</v>
      </c>
    </row>
    <row r="2004" spans="1:18" x14ac:dyDescent="0.25">
      <c r="A2004" s="169">
        <v>45629</v>
      </c>
      <c r="B2004" s="115">
        <v>628.5</v>
      </c>
      <c r="C2004" s="115">
        <v>621</v>
      </c>
      <c r="D2004" s="115">
        <v>600</v>
      </c>
      <c r="E2004" s="115">
        <v>605.95000000000005</v>
      </c>
      <c r="F2004" s="115">
        <v>621</v>
      </c>
      <c r="G2004">
        <v>534068</v>
      </c>
      <c r="H2004" s="115"/>
      <c r="I2004" s="115"/>
      <c r="L2004" s="169">
        <v>45629</v>
      </c>
      <c r="M2004" s="115">
        <v>621.1</v>
      </c>
      <c r="N2004" s="115">
        <v>628.70000000000005</v>
      </c>
      <c r="O2004" s="115">
        <v>598.79999999999995</v>
      </c>
      <c r="P2004" s="115">
        <v>600</v>
      </c>
      <c r="Q2004" s="115">
        <v>621.1</v>
      </c>
      <c r="R2004">
        <v>12550494</v>
      </c>
    </row>
    <row r="2005" spans="1:18" x14ac:dyDescent="0.25">
      <c r="A2005" s="169">
        <v>45630</v>
      </c>
      <c r="B2005" s="115">
        <v>630</v>
      </c>
      <c r="C2005" s="115">
        <v>618.54999999999995</v>
      </c>
      <c r="D2005" s="115">
        <v>612.85</v>
      </c>
      <c r="E2005" s="115">
        <v>625.6</v>
      </c>
      <c r="F2005" s="115">
        <v>618.54999999999995</v>
      </c>
      <c r="G2005">
        <v>108143</v>
      </c>
      <c r="H2005" s="115"/>
      <c r="I2005" s="115"/>
      <c r="L2005" s="169">
        <v>45630</v>
      </c>
      <c r="M2005" s="115">
        <v>618.9</v>
      </c>
      <c r="N2005" s="115">
        <v>630</v>
      </c>
      <c r="O2005" s="115">
        <v>613.15</v>
      </c>
      <c r="P2005" s="115">
        <v>626</v>
      </c>
      <c r="Q2005" s="115">
        <v>618.9</v>
      </c>
      <c r="R2005">
        <v>6578102</v>
      </c>
    </row>
    <row r="2006" spans="1:18" x14ac:dyDescent="0.25">
      <c r="A2006" s="169">
        <v>45631</v>
      </c>
      <c r="B2006" s="115">
        <v>640.29999999999995</v>
      </c>
      <c r="C2006" s="115">
        <v>633.45000000000005</v>
      </c>
      <c r="D2006" s="115">
        <v>615.65</v>
      </c>
      <c r="E2006" s="115">
        <v>618.35</v>
      </c>
      <c r="F2006" s="115">
        <v>633.45000000000005</v>
      </c>
      <c r="G2006">
        <v>121613</v>
      </c>
      <c r="H2006" s="115"/>
      <c r="I2006" s="115"/>
      <c r="L2006" s="169">
        <v>45631</v>
      </c>
      <c r="M2006" s="115">
        <v>633.5</v>
      </c>
      <c r="N2006" s="115">
        <v>640</v>
      </c>
      <c r="O2006" s="115">
        <v>615.5</v>
      </c>
      <c r="P2006" s="115">
        <v>619</v>
      </c>
      <c r="Q2006" s="115">
        <v>633.5</v>
      </c>
      <c r="R2006">
        <v>7101348</v>
      </c>
    </row>
    <row r="2007" spans="1:18" x14ac:dyDescent="0.25">
      <c r="A2007" s="169">
        <v>45632</v>
      </c>
      <c r="B2007" s="115">
        <v>645.20000000000005</v>
      </c>
      <c r="C2007" s="115">
        <v>644.04999999999995</v>
      </c>
      <c r="D2007" s="115">
        <v>626.45000000000005</v>
      </c>
      <c r="E2007" s="115">
        <v>631</v>
      </c>
      <c r="F2007" s="115">
        <v>644.04999999999995</v>
      </c>
      <c r="G2007">
        <v>94291</v>
      </c>
      <c r="H2007" s="115"/>
      <c r="I2007" s="115"/>
      <c r="L2007" s="169">
        <v>45632</v>
      </c>
      <c r="M2007" s="115">
        <v>644.04999999999995</v>
      </c>
      <c r="N2007" s="115">
        <v>645</v>
      </c>
      <c r="O2007" s="115">
        <v>626.20000000000005</v>
      </c>
      <c r="P2007" s="115">
        <v>631</v>
      </c>
      <c r="Q2007" s="115">
        <v>644.04999999999995</v>
      </c>
      <c r="R2007">
        <v>5645687</v>
      </c>
    </row>
    <row r="2008" spans="1:18" x14ac:dyDescent="0.25">
      <c r="A2008" s="169">
        <v>45635</v>
      </c>
      <c r="B2008" s="115">
        <v>650</v>
      </c>
      <c r="C2008" s="115">
        <v>641.4</v>
      </c>
      <c r="D2008" s="115">
        <v>638.95000000000005</v>
      </c>
      <c r="E2008" s="115">
        <v>644</v>
      </c>
      <c r="F2008" s="115">
        <v>641.4</v>
      </c>
      <c r="G2008">
        <v>235137</v>
      </c>
      <c r="H2008" s="115"/>
      <c r="I2008" s="115"/>
      <c r="L2008" s="169">
        <v>45635</v>
      </c>
      <c r="M2008" s="115">
        <v>641.6</v>
      </c>
      <c r="N2008" s="115">
        <v>650</v>
      </c>
      <c r="O2008" s="115">
        <v>639.20000000000005</v>
      </c>
      <c r="P2008" s="115">
        <v>644</v>
      </c>
      <c r="Q2008" s="115">
        <v>641.6</v>
      </c>
      <c r="R2008">
        <v>6600185</v>
      </c>
    </row>
    <row r="2009" spans="1:18" x14ac:dyDescent="0.25">
      <c r="A2009" s="169">
        <v>45636</v>
      </c>
      <c r="B2009" s="115">
        <v>653.5</v>
      </c>
      <c r="C2009" s="115">
        <v>645.25</v>
      </c>
      <c r="D2009" s="115">
        <v>641.6</v>
      </c>
      <c r="E2009" s="115">
        <v>645</v>
      </c>
      <c r="F2009" s="115">
        <v>645.25</v>
      </c>
      <c r="G2009">
        <v>129457</v>
      </c>
      <c r="H2009" s="115"/>
      <c r="I2009" s="115"/>
      <c r="L2009" s="169">
        <v>45636</v>
      </c>
      <c r="M2009" s="115">
        <v>645.35</v>
      </c>
      <c r="N2009" s="115">
        <v>653</v>
      </c>
      <c r="O2009" s="115">
        <v>641.5</v>
      </c>
      <c r="P2009" s="115">
        <v>645</v>
      </c>
      <c r="Q2009" s="115">
        <v>645.35</v>
      </c>
      <c r="R2009">
        <v>6504136</v>
      </c>
    </row>
    <row r="2010" spans="1:18" x14ac:dyDescent="0.25">
      <c r="A2010" s="169">
        <v>45637</v>
      </c>
      <c r="B2010" s="115">
        <v>648.85</v>
      </c>
      <c r="C2010" s="115">
        <v>644.04999999999995</v>
      </c>
      <c r="D2010" s="115">
        <v>642.25</v>
      </c>
      <c r="E2010" s="115">
        <v>646</v>
      </c>
      <c r="F2010" s="115">
        <v>644.04999999999995</v>
      </c>
      <c r="G2010">
        <v>39187</v>
      </c>
      <c r="H2010" s="115"/>
      <c r="I2010" s="115"/>
      <c r="L2010" s="169">
        <v>45637</v>
      </c>
      <c r="M2010" s="115">
        <v>643.95000000000005</v>
      </c>
      <c r="N2010" s="115">
        <v>648.1</v>
      </c>
      <c r="O2010" s="115">
        <v>642.20000000000005</v>
      </c>
      <c r="P2010" s="115">
        <v>645.75</v>
      </c>
      <c r="Q2010" s="115">
        <v>643.95000000000005</v>
      </c>
      <c r="R2010">
        <v>1943407</v>
      </c>
    </row>
    <row r="2011" spans="1:18" x14ac:dyDescent="0.25">
      <c r="A2011" s="169">
        <v>45638</v>
      </c>
      <c r="B2011" s="115">
        <v>649</v>
      </c>
      <c r="C2011" s="115">
        <v>647.1</v>
      </c>
      <c r="D2011" s="115">
        <v>635.54999999999995</v>
      </c>
      <c r="E2011" s="115">
        <v>642.95000000000005</v>
      </c>
      <c r="F2011" s="115">
        <v>647.1</v>
      </c>
      <c r="G2011">
        <v>229561</v>
      </c>
      <c r="H2011" s="115"/>
      <c r="I2011" s="115"/>
      <c r="L2011" s="169">
        <v>45638</v>
      </c>
      <c r="M2011" s="115">
        <v>646.25</v>
      </c>
      <c r="N2011" s="115">
        <v>649</v>
      </c>
      <c r="O2011" s="115">
        <v>635.5</v>
      </c>
      <c r="P2011" s="115">
        <v>642</v>
      </c>
      <c r="Q2011" s="115">
        <v>646.25</v>
      </c>
      <c r="R2011">
        <v>5018381</v>
      </c>
    </row>
    <row r="2012" spans="1:18" x14ac:dyDescent="0.25">
      <c r="A2012" s="169">
        <v>45639</v>
      </c>
      <c r="B2012" s="115">
        <v>649.70000000000005</v>
      </c>
      <c r="C2012" s="115">
        <v>645.5</v>
      </c>
      <c r="D2012" s="115">
        <v>636</v>
      </c>
      <c r="E2012" s="115">
        <v>646.95000000000005</v>
      </c>
      <c r="F2012" s="115">
        <v>645.5</v>
      </c>
      <c r="G2012">
        <v>258828</v>
      </c>
      <c r="H2012" s="115"/>
      <c r="I2012" s="115"/>
      <c r="L2012" s="169">
        <v>45639</v>
      </c>
      <c r="M2012" s="115">
        <v>645.65</v>
      </c>
      <c r="N2012" s="115">
        <v>649.79999999999995</v>
      </c>
      <c r="O2012" s="115">
        <v>636</v>
      </c>
      <c r="P2012" s="115">
        <v>645.04999999999995</v>
      </c>
      <c r="Q2012" s="115">
        <v>645.65</v>
      </c>
      <c r="R2012">
        <v>3853671</v>
      </c>
    </row>
    <row r="2013" spans="1:18" x14ac:dyDescent="0.25">
      <c r="A2013" s="169">
        <v>45642</v>
      </c>
      <c r="B2013" s="115">
        <v>653.54999999999995</v>
      </c>
      <c r="C2013" s="115">
        <v>645.6</v>
      </c>
      <c r="D2013" s="115">
        <v>642.5</v>
      </c>
      <c r="E2013" s="115">
        <v>646.54999999999995</v>
      </c>
      <c r="F2013" s="115">
        <v>645.6</v>
      </c>
      <c r="G2013">
        <v>86235</v>
      </c>
      <c r="H2013" s="115"/>
      <c r="I2013" s="115"/>
      <c r="L2013" s="169">
        <v>45642</v>
      </c>
      <c r="M2013" s="115">
        <v>645.4</v>
      </c>
      <c r="N2013" s="115">
        <v>653.70000000000005</v>
      </c>
      <c r="O2013" s="115">
        <v>642.5</v>
      </c>
      <c r="P2013" s="115">
        <v>648.95000000000005</v>
      </c>
      <c r="Q2013" s="115">
        <v>645.4</v>
      </c>
      <c r="R2013">
        <v>4944360</v>
      </c>
    </row>
    <row r="2014" spans="1:18" x14ac:dyDescent="0.25">
      <c r="A2014" s="169">
        <v>45643</v>
      </c>
      <c r="B2014" s="115">
        <v>657</v>
      </c>
      <c r="C2014" s="115">
        <v>647.85</v>
      </c>
      <c r="D2014" s="115">
        <v>643.4</v>
      </c>
      <c r="E2014" s="115">
        <v>646</v>
      </c>
      <c r="F2014" s="115">
        <v>647.85</v>
      </c>
      <c r="G2014">
        <v>233662</v>
      </c>
      <c r="H2014" s="115"/>
      <c r="I2014" s="115"/>
      <c r="L2014" s="169">
        <v>45643</v>
      </c>
      <c r="M2014" s="115">
        <v>647.85</v>
      </c>
      <c r="N2014" s="115">
        <v>657.2</v>
      </c>
      <c r="O2014" s="115">
        <v>643.5</v>
      </c>
      <c r="P2014" s="115">
        <v>645.4</v>
      </c>
      <c r="Q2014" s="115">
        <v>647.85</v>
      </c>
      <c r="R2014">
        <v>6455231</v>
      </c>
    </row>
    <row r="2015" spans="1:18" x14ac:dyDescent="0.25">
      <c r="A2015" s="169">
        <v>45644</v>
      </c>
      <c r="B2015" s="115">
        <v>647.9</v>
      </c>
      <c r="C2015" s="115">
        <v>632.95000000000005</v>
      </c>
      <c r="D2015" s="115">
        <v>623.4</v>
      </c>
      <c r="E2015" s="115">
        <v>647.9</v>
      </c>
      <c r="F2015" s="115">
        <v>632.95000000000005</v>
      </c>
      <c r="G2015">
        <v>309838</v>
      </c>
      <c r="H2015" s="115"/>
      <c r="I2015" s="115"/>
      <c r="L2015" s="169">
        <v>45644</v>
      </c>
      <c r="M2015" s="115">
        <v>633.45000000000005</v>
      </c>
      <c r="N2015" s="115">
        <v>647</v>
      </c>
      <c r="O2015" s="115">
        <v>623.45000000000005</v>
      </c>
      <c r="P2015" s="115">
        <v>647</v>
      </c>
      <c r="Q2015" s="115">
        <v>633.45000000000005</v>
      </c>
      <c r="R2015">
        <v>8210090</v>
      </c>
    </row>
    <row r="2016" spans="1:18" x14ac:dyDescent="0.25">
      <c r="A2016" s="169">
        <v>45645</v>
      </c>
      <c r="B2016" s="115">
        <v>633.70000000000005</v>
      </c>
      <c r="C2016" s="115">
        <v>628.20000000000005</v>
      </c>
      <c r="D2016" s="115">
        <v>616.9</v>
      </c>
      <c r="E2016" s="115">
        <v>620</v>
      </c>
      <c r="F2016" s="115">
        <v>628.20000000000005</v>
      </c>
      <c r="G2016">
        <v>65215</v>
      </c>
      <c r="H2016" s="115"/>
      <c r="I2016" s="115"/>
      <c r="L2016" s="169">
        <v>45645</v>
      </c>
      <c r="M2016" s="115">
        <v>628</v>
      </c>
      <c r="N2016" s="115">
        <v>633.95000000000005</v>
      </c>
      <c r="O2016" s="115">
        <v>615.79999999999995</v>
      </c>
      <c r="P2016" s="115">
        <v>619</v>
      </c>
      <c r="Q2016" s="115">
        <v>628</v>
      </c>
      <c r="R2016">
        <v>3412324</v>
      </c>
    </row>
    <row r="2017" spans="1:18" x14ac:dyDescent="0.25">
      <c r="A2017" s="169">
        <v>45646</v>
      </c>
      <c r="B2017" s="115">
        <v>632.85</v>
      </c>
      <c r="C2017" s="115">
        <v>612.20000000000005</v>
      </c>
      <c r="D2017" s="115">
        <v>608.75</v>
      </c>
      <c r="E2017" s="115">
        <v>627.25</v>
      </c>
      <c r="F2017" s="115">
        <v>612.20000000000005</v>
      </c>
      <c r="G2017">
        <v>174127</v>
      </c>
      <c r="H2017" s="115"/>
      <c r="I2017" s="115"/>
      <c r="L2017" s="169">
        <v>45646</v>
      </c>
      <c r="M2017" s="115">
        <v>612.54999999999995</v>
      </c>
      <c r="N2017" s="115">
        <v>633</v>
      </c>
      <c r="O2017" s="115">
        <v>609.15</v>
      </c>
      <c r="P2017" s="115">
        <v>628</v>
      </c>
      <c r="Q2017" s="115">
        <v>612.54999999999995</v>
      </c>
      <c r="R2017">
        <v>4016697</v>
      </c>
    </row>
    <row r="2018" spans="1:18" x14ac:dyDescent="0.25">
      <c r="A2018" s="169">
        <v>45649</v>
      </c>
      <c r="B2018" s="115">
        <v>629.5</v>
      </c>
      <c r="C2018" s="115">
        <v>626.20000000000005</v>
      </c>
      <c r="D2018" s="115">
        <v>620.70000000000005</v>
      </c>
      <c r="E2018" s="115">
        <v>624.29999999999995</v>
      </c>
      <c r="F2018" s="115">
        <v>626.20000000000005</v>
      </c>
      <c r="G2018">
        <v>73239</v>
      </c>
      <c r="H2018" s="115"/>
      <c r="I2018" s="115"/>
      <c r="L2018" s="169">
        <v>45649</v>
      </c>
      <c r="M2018" s="115">
        <v>626.54999999999995</v>
      </c>
      <c r="N2018" s="115">
        <v>629.9</v>
      </c>
      <c r="O2018" s="115">
        <v>620.04999999999995</v>
      </c>
      <c r="P2018" s="115">
        <v>621.29999999999995</v>
      </c>
      <c r="Q2018" s="115">
        <v>626.54999999999995</v>
      </c>
      <c r="R2018">
        <v>3593389</v>
      </c>
    </row>
    <row r="2019" spans="1:18" x14ac:dyDescent="0.25">
      <c r="A2019" s="169">
        <v>45650</v>
      </c>
      <c r="B2019" s="115">
        <v>629.4</v>
      </c>
      <c r="C2019" s="115">
        <v>627.25</v>
      </c>
      <c r="D2019" s="115">
        <v>620.54999999999995</v>
      </c>
      <c r="E2019" s="115">
        <v>627</v>
      </c>
      <c r="F2019" s="115">
        <v>627.25</v>
      </c>
      <c r="G2019">
        <v>98223</v>
      </c>
      <c r="H2019" s="115"/>
      <c r="I2019" s="115"/>
      <c r="L2019" s="169">
        <v>45650</v>
      </c>
      <c r="M2019" s="115">
        <v>627.29999999999995</v>
      </c>
      <c r="N2019" s="115">
        <v>629.5</v>
      </c>
      <c r="O2019" s="115">
        <v>620</v>
      </c>
      <c r="P2019" s="115">
        <v>626</v>
      </c>
      <c r="Q2019" s="115">
        <v>627.29999999999995</v>
      </c>
      <c r="R2019">
        <v>2492843</v>
      </c>
    </row>
    <row r="2020" spans="1:18" x14ac:dyDescent="0.25">
      <c r="A2020" s="169">
        <v>45652</v>
      </c>
      <c r="B2020" s="115">
        <v>628.25</v>
      </c>
      <c r="C2020" s="115">
        <v>624</v>
      </c>
      <c r="D2020" s="115">
        <v>621.79999999999995</v>
      </c>
      <c r="E2020" s="115">
        <v>627.70000000000005</v>
      </c>
      <c r="F2020" s="115">
        <v>624</v>
      </c>
      <c r="G2020">
        <v>29075</v>
      </c>
      <c r="H2020" s="115"/>
      <c r="I2020" s="115"/>
      <c r="L2020" s="169">
        <v>45652</v>
      </c>
      <c r="M2020" s="115">
        <v>624.1</v>
      </c>
      <c r="N2020" s="115">
        <v>628.25</v>
      </c>
      <c r="O2020" s="115">
        <v>621.95000000000005</v>
      </c>
      <c r="P2020" s="115">
        <v>625</v>
      </c>
      <c r="Q2020" s="115">
        <v>624.1</v>
      </c>
      <c r="R2020">
        <v>1499003</v>
      </c>
    </row>
    <row r="2021" spans="1:18" x14ac:dyDescent="0.25">
      <c r="A2021" s="169">
        <v>45653</v>
      </c>
      <c r="B2021" s="115">
        <v>628.79999999999995</v>
      </c>
      <c r="C2021" s="115">
        <v>624.79999999999995</v>
      </c>
      <c r="D2021" s="115">
        <v>621</v>
      </c>
      <c r="E2021" s="115">
        <v>624</v>
      </c>
      <c r="F2021" s="115">
        <v>624.79999999999995</v>
      </c>
      <c r="G2021">
        <v>52014</v>
      </c>
      <c r="H2021" s="115"/>
      <c r="I2021" s="115"/>
      <c r="L2021" s="169">
        <v>45653</v>
      </c>
      <c r="M2021" s="115">
        <v>624.29999999999995</v>
      </c>
      <c r="N2021" s="115">
        <v>629</v>
      </c>
      <c r="O2021" s="115">
        <v>620.65</v>
      </c>
      <c r="P2021" s="115">
        <v>621</v>
      </c>
      <c r="Q2021" s="115">
        <v>624.29999999999995</v>
      </c>
      <c r="R2021">
        <v>1852119</v>
      </c>
    </row>
    <row r="2022" spans="1:18" x14ac:dyDescent="0.25">
      <c r="A2022" s="169">
        <v>45656</v>
      </c>
      <c r="B2022" s="115">
        <v>661.7</v>
      </c>
      <c r="C2022" s="115">
        <v>646.45000000000005</v>
      </c>
      <c r="D2022" s="115">
        <v>619.45000000000005</v>
      </c>
      <c r="E2022" s="115">
        <v>619.45000000000005</v>
      </c>
      <c r="F2022" s="115">
        <v>646.45000000000005</v>
      </c>
      <c r="G2022">
        <v>514163</v>
      </c>
      <c r="H2022" s="115"/>
      <c r="I2022" s="115"/>
      <c r="L2022" s="169">
        <v>45656</v>
      </c>
      <c r="M2022" s="115">
        <v>643.45000000000005</v>
      </c>
      <c r="N2022" s="115">
        <v>662</v>
      </c>
      <c r="O2022" s="115">
        <v>621</v>
      </c>
      <c r="P2022" s="115">
        <v>621.15</v>
      </c>
      <c r="Q2022" s="115">
        <v>643.45000000000005</v>
      </c>
      <c r="R2022">
        <v>17624561</v>
      </c>
    </row>
    <row r="2023" spans="1:18" x14ac:dyDescent="0.25">
      <c r="A2023" s="169">
        <v>45657</v>
      </c>
      <c r="B2023" s="115">
        <v>642.95000000000005</v>
      </c>
      <c r="C2023" s="115">
        <v>638.45000000000005</v>
      </c>
      <c r="D2023" s="115">
        <v>632</v>
      </c>
      <c r="E2023" s="115">
        <v>635.04999999999995</v>
      </c>
      <c r="F2023" s="115">
        <v>638.45000000000005</v>
      </c>
      <c r="G2023">
        <v>163829</v>
      </c>
      <c r="H2023" s="115"/>
      <c r="I2023" s="115"/>
      <c r="L2023" s="169">
        <v>45657</v>
      </c>
      <c r="M2023" s="115">
        <v>638.5</v>
      </c>
      <c r="N2023" s="115">
        <v>643.25</v>
      </c>
      <c r="O2023" s="115">
        <v>631.9</v>
      </c>
      <c r="P2023" s="115">
        <v>637.9</v>
      </c>
      <c r="Q2023" s="115">
        <v>638.5</v>
      </c>
      <c r="R2023">
        <v>3444309</v>
      </c>
    </row>
    <row r="2024" spans="1:18" x14ac:dyDescent="0.25">
      <c r="A2024" s="169">
        <v>45658</v>
      </c>
      <c r="B2024" s="115">
        <v>653.15</v>
      </c>
      <c r="C2024" s="115">
        <v>650.54999999999995</v>
      </c>
      <c r="D2024" s="115">
        <v>637.25</v>
      </c>
      <c r="E2024" s="115">
        <v>640</v>
      </c>
      <c r="F2024" s="115">
        <v>650.54999999999995</v>
      </c>
      <c r="G2024">
        <v>71212</v>
      </c>
      <c r="H2024" s="115"/>
      <c r="I2024" s="115"/>
      <c r="L2024" s="169">
        <v>45658</v>
      </c>
      <c r="M2024" s="115">
        <v>650.85</v>
      </c>
      <c r="N2024" s="115">
        <v>653.65</v>
      </c>
      <c r="O2024" s="115">
        <v>637.5</v>
      </c>
      <c r="P2024" s="115">
        <v>638.5</v>
      </c>
      <c r="Q2024" s="115">
        <v>650.85</v>
      </c>
      <c r="R2024">
        <v>2625048</v>
      </c>
    </row>
    <row r="2025" spans="1:18" x14ac:dyDescent="0.25">
      <c r="A2025" s="169">
        <v>45659</v>
      </c>
      <c r="B2025" s="115">
        <v>663.7</v>
      </c>
      <c r="C2025" s="115">
        <v>648.4</v>
      </c>
      <c r="D2025" s="115">
        <v>644.15</v>
      </c>
      <c r="E2025" s="115">
        <v>651.79999999999995</v>
      </c>
      <c r="F2025" s="115">
        <v>648.4</v>
      </c>
      <c r="G2025">
        <v>72754</v>
      </c>
      <c r="H2025" s="115"/>
      <c r="I2025" s="115"/>
      <c r="L2025" s="169">
        <v>45659</v>
      </c>
      <c r="M2025" s="115">
        <v>648.70000000000005</v>
      </c>
      <c r="N2025" s="115">
        <v>663.6</v>
      </c>
      <c r="O2025" s="115">
        <v>644.35</v>
      </c>
      <c r="P2025" s="115">
        <v>654</v>
      </c>
      <c r="Q2025" s="115">
        <v>648.70000000000005</v>
      </c>
      <c r="R2025">
        <v>5382698</v>
      </c>
    </row>
    <row r="2026" spans="1:18" x14ac:dyDescent="0.25">
      <c r="A2026" s="169">
        <v>45660</v>
      </c>
      <c r="B2026" s="115">
        <v>655</v>
      </c>
      <c r="C2026" s="115">
        <v>652.29999999999995</v>
      </c>
      <c r="D2026" s="115">
        <v>641.25</v>
      </c>
      <c r="E2026" s="115">
        <v>653</v>
      </c>
      <c r="F2026" s="115">
        <v>652.29999999999995</v>
      </c>
      <c r="G2026">
        <v>54311</v>
      </c>
      <c r="H2026" s="115"/>
      <c r="I2026" s="115"/>
      <c r="L2026" s="169">
        <v>45660</v>
      </c>
      <c r="M2026" s="115">
        <v>652.20000000000005</v>
      </c>
      <c r="N2026" s="115">
        <v>654</v>
      </c>
      <c r="O2026" s="115">
        <v>640.79999999999995</v>
      </c>
      <c r="P2026" s="115">
        <v>654</v>
      </c>
      <c r="Q2026" s="115">
        <v>652.20000000000005</v>
      </c>
      <c r="R2026">
        <v>3615541</v>
      </c>
    </row>
    <row r="2027" spans="1:18" x14ac:dyDescent="0.25">
      <c r="A2027" s="169">
        <v>45663</v>
      </c>
      <c r="B2027" s="115">
        <v>645.85</v>
      </c>
      <c r="C2027" s="115">
        <v>630.54999999999995</v>
      </c>
      <c r="D2027" s="115">
        <v>625.1</v>
      </c>
      <c r="E2027" s="115">
        <v>645</v>
      </c>
      <c r="F2027" s="115">
        <v>630.54999999999995</v>
      </c>
      <c r="G2027">
        <v>316460</v>
      </c>
      <c r="H2027" s="115"/>
      <c r="I2027" s="115"/>
      <c r="L2027" s="169">
        <v>45663</v>
      </c>
      <c r="M2027" s="115">
        <v>630.70000000000005</v>
      </c>
      <c r="N2027" s="115">
        <v>645.95000000000005</v>
      </c>
      <c r="O2027" s="115">
        <v>625.35</v>
      </c>
      <c r="P2027" s="115">
        <v>645</v>
      </c>
      <c r="Q2027" s="115">
        <v>630.70000000000005</v>
      </c>
      <c r="R2027">
        <v>4395831</v>
      </c>
    </row>
    <row r="2028" spans="1:18" x14ac:dyDescent="0.25">
      <c r="A2028" s="169">
        <v>45664</v>
      </c>
      <c r="B2028" s="115">
        <v>635.20000000000005</v>
      </c>
      <c r="C2028" s="115">
        <v>617.95000000000005</v>
      </c>
      <c r="D2028" s="115">
        <v>615.04999999999995</v>
      </c>
      <c r="E2028" s="115">
        <v>625.25</v>
      </c>
      <c r="F2028" s="115">
        <v>617.95000000000005</v>
      </c>
      <c r="G2028">
        <v>93416</v>
      </c>
      <c r="H2028" s="115"/>
      <c r="I2028" s="115"/>
      <c r="L2028" s="169">
        <v>45664</v>
      </c>
      <c r="M2028" s="115">
        <v>618.20000000000005</v>
      </c>
      <c r="N2028" s="115">
        <v>636.9</v>
      </c>
      <c r="O2028" s="115">
        <v>615.04999999999995</v>
      </c>
      <c r="P2028" s="115">
        <v>630.65</v>
      </c>
      <c r="Q2028" s="115">
        <v>618.20000000000005</v>
      </c>
      <c r="R2028">
        <v>3524547</v>
      </c>
    </row>
    <row r="2029" spans="1:18" x14ac:dyDescent="0.25">
      <c r="A2029" s="169">
        <v>45665</v>
      </c>
      <c r="B2029" s="115">
        <v>625</v>
      </c>
      <c r="C2029" s="115">
        <v>606.79999999999995</v>
      </c>
      <c r="D2029" s="115">
        <v>603.6</v>
      </c>
      <c r="E2029" s="115">
        <v>620.85</v>
      </c>
      <c r="F2029" s="115">
        <v>606.79999999999995</v>
      </c>
      <c r="G2029">
        <v>80381</v>
      </c>
      <c r="H2029" s="115"/>
      <c r="I2029" s="115"/>
      <c r="L2029" s="169">
        <v>45665</v>
      </c>
      <c r="M2029" s="115">
        <v>606.95000000000005</v>
      </c>
      <c r="N2029" s="115">
        <v>626.35</v>
      </c>
      <c r="O2029" s="115">
        <v>603.45000000000005</v>
      </c>
      <c r="P2029" s="115">
        <v>621.5</v>
      </c>
      <c r="Q2029" s="115">
        <v>606.95000000000005</v>
      </c>
      <c r="R2029">
        <v>5003681</v>
      </c>
    </row>
    <row r="2030" spans="1:18" x14ac:dyDescent="0.25">
      <c r="A2030" s="169">
        <v>45666</v>
      </c>
      <c r="B2030" s="115">
        <v>608.54999999999995</v>
      </c>
      <c r="C2030" s="115">
        <v>605.20000000000005</v>
      </c>
      <c r="D2030" s="115">
        <v>600</v>
      </c>
      <c r="E2030" s="115">
        <v>607.45000000000005</v>
      </c>
      <c r="F2030" s="115">
        <v>605.20000000000005</v>
      </c>
      <c r="G2030">
        <v>51050</v>
      </c>
      <c r="H2030" s="115"/>
      <c r="I2030" s="115"/>
      <c r="L2030" s="169">
        <v>45666</v>
      </c>
      <c r="M2030" s="115">
        <v>605.45000000000005</v>
      </c>
      <c r="N2030" s="115">
        <v>608.75</v>
      </c>
      <c r="O2030" s="115">
        <v>599.85</v>
      </c>
      <c r="P2030" s="115">
        <v>608.5</v>
      </c>
      <c r="Q2030" s="115">
        <v>605.45000000000005</v>
      </c>
      <c r="R2030">
        <v>3645958</v>
      </c>
    </row>
    <row r="2031" spans="1:18" x14ac:dyDescent="0.25">
      <c r="A2031" s="169">
        <v>45667</v>
      </c>
      <c r="B2031" s="115">
        <v>602.15</v>
      </c>
      <c r="C2031" s="115">
        <v>596</v>
      </c>
      <c r="D2031" s="115">
        <v>590.5</v>
      </c>
      <c r="E2031" s="115">
        <v>602</v>
      </c>
      <c r="F2031" s="115">
        <v>596</v>
      </c>
      <c r="G2031">
        <v>52046</v>
      </c>
      <c r="H2031" s="115"/>
      <c r="I2031" s="115"/>
      <c r="L2031" s="169">
        <v>45667</v>
      </c>
      <c r="M2031" s="115">
        <v>596.54999999999995</v>
      </c>
      <c r="N2031" s="115">
        <v>602.75</v>
      </c>
      <c r="O2031" s="115">
        <v>590.4</v>
      </c>
      <c r="P2031" s="115">
        <v>600</v>
      </c>
      <c r="Q2031" s="115">
        <v>596.54999999999995</v>
      </c>
      <c r="R2031">
        <v>3654621</v>
      </c>
    </row>
    <row r="2032" spans="1:18" x14ac:dyDescent="0.25">
      <c r="A2032" s="169">
        <v>45670</v>
      </c>
      <c r="B2032" s="115">
        <v>591</v>
      </c>
      <c r="C2032" s="115">
        <v>574.70000000000005</v>
      </c>
      <c r="D2032" s="115">
        <v>572</v>
      </c>
      <c r="E2032" s="115">
        <v>584.4</v>
      </c>
      <c r="F2032" s="115">
        <v>574.70000000000005</v>
      </c>
      <c r="G2032">
        <v>72188</v>
      </c>
      <c r="H2032" s="115"/>
      <c r="I2032" s="115"/>
      <c r="L2032" s="169">
        <v>45670</v>
      </c>
      <c r="M2032" s="115">
        <v>574.75</v>
      </c>
      <c r="N2032" s="115">
        <v>591.35</v>
      </c>
      <c r="O2032" s="115">
        <v>571.25</v>
      </c>
      <c r="P2032" s="115">
        <v>585</v>
      </c>
      <c r="Q2032" s="115">
        <v>574.75</v>
      </c>
      <c r="R2032">
        <v>3860607</v>
      </c>
    </row>
    <row r="2033" spans="1:18" x14ac:dyDescent="0.25">
      <c r="A2033" s="169">
        <v>45671</v>
      </c>
      <c r="B2033" s="115">
        <v>580</v>
      </c>
      <c r="C2033" s="115">
        <v>566.95000000000005</v>
      </c>
      <c r="D2033" s="115">
        <v>557</v>
      </c>
      <c r="E2033" s="115">
        <v>574.04999999999995</v>
      </c>
      <c r="F2033" s="115">
        <v>566.95000000000005</v>
      </c>
      <c r="G2033">
        <v>104357</v>
      </c>
      <c r="H2033" s="115"/>
      <c r="I2033" s="115"/>
      <c r="L2033" s="169">
        <v>45671</v>
      </c>
      <c r="M2033" s="115">
        <v>566.29999999999995</v>
      </c>
      <c r="N2033" s="115">
        <v>579.85</v>
      </c>
      <c r="O2033" s="115">
        <v>556.85</v>
      </c>
      <c r="P2033" s="115">
        <v>575</v>
      </c>
      <c r="Q2033" s="115">
        <v>566.29999999999995</v>
      </c>
      <c r="R2033">
        <v>7824105</v>
      </c>
    </row>
    <row r="2034" spans="1:18" x14ac:dyDescent="0.25">
      <c r="A2034" s="169">
        <v>45672</v>
      </c>
      <c r="B2034" s="115">
        <v>577.65</v>
      </c>
      <c r="C2034" s="115">
        <v>560.5</v>
      </c>
      <c r="D2034" s="115">
        <v>558</v>
      </c>
      <c r="E2034" s="115">
        <v>577.65</v>
      </c>
      <c r="F2034" s="115">
        <v>560.5</v>
      </c>
      <c r="G2034">
        <v>260941</v>
      </c>
      <c r="H2034" s="115"/>
      <c r="I2034" s="115"/>
      <c r="L2034" s="169">
        <v>45672</v>
      </c>
      <c r="M2034" s="115">
        <v>560.5</v>
      </c>
      <c r="N2034" s="115">
        <v>575.4</v>
      </c>
      <c r="O2034" s="115">
        <v>558.95000000000005</v>
      </c>
      <c r="P2034" s="115">
        <v>574.9</v>
      </c>
      <c r="Q2034" s="115">
        <v>560.5</v>
      </c>
      <c r="R2034">
        <v>4952149</v>
      </c>
    </row>
    <row r="2035" spans="1:18" x14ac:dyDescent="0.25">
      <c r="A2035" s="169">
        <v>45673</v>
      </c>
      <c r="B2035" s="115">
        <v>580.45000000000005</v>
      </c>
      <c r="C2035" s="115">
        <v>574.4</v>
      </c>
      <c r="D2035" s="115">
        <v>565.25</v>
      </c>
      <c r="E2035" s="115">
        <v>568.29999999999995</v>
      </c>
      <c r="F2035" s="115">
        <v>574.4</v>
      </c>
      <c r="G2035">
        <v>164856</v>
      </c>
      <c r="H2035" s="115"/>
      <c r="I2035" s="115"/>
      <c r="L2035" s="169">
        <v>45673</v>
      </c>
      <c r="M2035" s="115">
        <v>574.70000000000005</v>
      </c>
      <c r="N2035" s="115">
        <v>580.6</v>
      </c>
      <c r="O2035" s="115">
        <v>565.1</v>
      </c>
      <c r="P2035" s="115">
        <v>568.95000000000005</v>
      </c>
      <c r="Q2035" s="115">
        <v>574.70000000000005</v>
      </c>
      <c r="R2035">
        <v>5203997</v>
      </c>
    </row>
    <row r="2036" spans="1:18" x14ac:dyDescent="0.25">
      <c r="A2036" s="169">
        <v>45674</v>
      </c>
      <c r="B2036" s="115">
        <v>580.75</v>
      </c>
      <c r="C2036" s="115">
        <v>556.95000000000005</v>
      </c>
      <c r="D2036" s="115">
        <v>545.4</v>
      </c>
      <c r="E2036" s="115">
        <v>580.75</v>
      </c>
      <c r="F2036" s="115">
        <v>556.95000000000005</v>
      </c>
      <c r="G2036">
        <v>186917</v>
      </c>
      <c r="H2036" s="115"/>
      <c r="I2036" s="115"/>
      <c r="L2036" s="169">
        <v>45674</v>
      </c>
      <c r="M2036" s="115">
        <v>556.35</v>
      </c>
      <c r="N2036" s="115">
        <v>578</v>
      </c>
      <c r="O2036" s="115">
        <v>545.54999999999995</v>
      </c>
      <c r="P2036" s="115">
        <v>578</v>
      </c>
      <c r="Q2036" s="115">
        <v>556.35</v>
      </c>
      <c r="R2036">
        <v>9710175</v>
      </c>
    </row>
    <row r="2037" spans="1:18" x14ac:dyDescent="0.25">
      <c r="A2037" s="169">
        <v>45677</v>
      </c>
      <c r="B2037" s="115">
        <v>557.95000000000005</v>
      </c>
      <c r="C2037" s="115">
        <v>553.20000000000005</v>
      </c>
      <c r="D2037" s="115">
        <v>544.45000000000005</v>
      </c>
      <c r="E2037" s="115">
        <v>557.95000000000005</v>
      </c>
      <c r="F2037" s="115">
        <v>553.20000000000005</v>
      </c>
      <c r="G2037">
        <v>281354</v>
      </c>
      <c r="H2037" s="115"/>
      <c r="I2037" s="115"/>
      <c r="L2037" s="169">
        <v>45677</v>
      </c>
      <c r="M2037" s="115">
        <v>552.9</v>
      </c>
      <c r="N2037" s="115">
        <v>557</v>
      </c>
      <c r="O2037" s="115">
        <v>544.35</v>
      </c>
      <c r="P2037" s="115">
        <v>557</v>
      </c>
      <c r="Q2037" s="115">
        <v>552.9</v>
      </c>
      <c r="R2037">
        <v>5206204</v>
      </c>
    </row>
    <row r="2038" spans="1:18" x14ac:dyDescent="0.25">
      <c r="A2038" s="169">
        <v>45678</v>
      </c>
      <c r="B2038" s="115">
        <v>562</v>
      </c>
      <c r="C2038" s="115">
        <v>541.25</v>
      </c>
      <c r="D2038" s="115">
        <v>539.4</v>
      </c>
      <c r="E2038" s="115">
        <v>559</v>
      </c>
      <c r="F2038" s="115">
        <v>541.25</v>
      </c>
      <c r="G2038">
        <v>293213</v>
      </c>
      <c r="H2038" s="115"/>
      <c r="I2038" s="115"/>
      <c r="L2038" s="169">
        <v>45678</v>
      </c>
      <c r="M2038" s="115">
        <v>541.5</v>
      </c>
      <c r="N2038" s="115">
        <v>563</v>
      </c>
      <c r="O2038" s="115">
        <v>539.25</v>
      </c>
      <c r="P2038" s="115">
        <v>562.04999999999995</v>
      </c>
      <c r="Q2038" s="115">
        <v>541.5</v>
      </c>
      <c r="R2038">
        <v>7011598</v>
      </c>
    </row>
    <row r="2039" spans="1:18" x14ac:dyDescent="0.25">
      <c r="A2039" s="169">
        <v>45679</v>
      </c>
      <c r="B2039" s="115">
        <v>547</v>
      </c>
      <c r="C2039" s="115">
        <v>534.54999999999995</v>
      </c>
      <c r="D2039" s="115">
        <v>525.6</v>
      </c>
      <c r="E2039" s="115">
        <v>543.04999999999995</v>
      </c>
      <c r="F2039" s="115">
        <v>534.54999999999995</v>
      </c>
      <c r="G2039">
        <v>96715</v>
      </c>
      <c r="H2039" s="115"/>
      <c r="I2039" s="115"/>
      <c r="L2039" s="169">
        <v>45679</v>
      </c>
      <c r="M2039" s="115">
        <v>534.6</v>
      </c>
      <c r="N2039" s="115">
        <v>546.79999999999995</v>
      </c>
      <c r="O2039" s="115">
        <v>524.75</v>
      </c>
      <c r="P2039" s="115">
        <v>543.45000000000005</v>
      </c>
      <c r="Q2039" s="115">
        <v>534.6</v>
      </c>
      <c r="R2039">
        <v>4481872</v>
      </c>
    </row>
    <row r="2040" spans="1:18" x14ac:dyDescent="0.25">
      <c r="A2040" s="169">
        <v>45680</v>
      </c>
      <c r="B2040" s="115">
        <v>546</v>
      </c>
      <c r="C2040" s="115">
        <v>540.5</v>
      </c>
      <c r="D2040" s="115">
        <v>520.85</v>
      </c>
      <c r="E2040" s="115">
        <v>532.95000000000005</v>
      </c>
      <c r="F2040" s="115">
        <v>540.5</v>
      </c>
      <c r="G2040">
        <v>120519</v>
      </c>
      <c r="H2040" s="115"/>
      <c r="I2040" s="115"/>
      <c r="L2040" s="169">
        <v>45680</v>
      </c>
      <c r="M2040" s="115">
        <v>540.4</v>
      </c>
      <c r="N2040" s="115">
        <v>546</v>
      </c>
      <c r="O2040" s="115">
        <v>520</v>
      </c>
      <c r="P2040" s="115">
        <v>530</v>
      </c>
      <c r="Q2040" s="115">
        <v>540.4</v>
      </c>
      <c r="R2040">
        <v>8855673</v>
      </c>
    </row>
    <row r="2041" spans="1:18" x14ac:dyDescent="0.25">
      <c r="A2041" s="169">
        <v>45681</v>
      </c>
      <c r="B2041" s="115">
        <v>547.85</v>
      </c>
      <c r="C2041" s="115">
        <v>541.54999999999995</v>
      </c>
      <c r="D2041" s="115">
        <v>537.45000000000005</v>
      </c>
      <c r="E2041" s="115">
        <v>539.95000000000005</v>
      </c>
      <c r="F2041" s="115">
        <v>541.54999999999995</v>
      </c>
      <c r="G2041">
        <v>51383</v>
      </c>
      <c r="H2041" s="115"/>
      <c r="I2041" s="115"/>
      <c r="L2041" s="169">
        <v>45681</v>
      </c>
      <c r="M2041" s="115">
        <v>541.70000000000005</v>
      </c>
      <c r="N2041" s="115">
        <v>548.70000000000005</v>
      </c>
      <c r="O2041" s="115">
        <v>536.9</v>
      </c>
      <c r="P2041" s="115">
        <v>539</v>
      </c>
      <c r="Q2041" s="115">
        <v>541.70000000000005</v>
      </c>
      <c r="R2041">
        <v>3064139</v>
      </c>
    </row>
    <row r="2042" spans="1:18" x14ac:dyDescent="0.25">
      <c r="A2042" s="169">
        <v>45684</v>
      </c>
      <c r="B2042" s="115">
        <v>538.35</v>
      </c>
      <c r="C2042" s="115">
        <v>524.95000000000005</v>
      </c>
      <c r="D2042" s="115">
        <v>522.45000000000005</v>
      </c>
      <c r="E2042" s="115">
        <v>535.35</v>
      </c>
      <c r="F2042" s="115">
        <v>524.95000000000005</v>
      </c>
      <c r="G2042">
        <v>80757</v>
      </c>
      <c r="H2042" s="115"/>
      <c r="I2042" s="115"/>
      <c r="L2042" s="169">
        <v>45684</v>
      </c>
      <c r="M2042" s="115">
        <v>525.20000000000005</v>
      </c>
      <c r="N2042" s="115">
        <v>538.9</v>
      </c>
      <c r="O2042" s="115">
        <v>522.35</v>
      </c>
      <c r="P2042" s="115">
        <v>538.9</v>
      </c>
      <c r="Q2042" s="115">
        <v>525.20000000000005</v>
      </c>
      <c r="R2042">
        <v>3331754</v>
      </c>
    </row>
    <row r="2043" spans="1:18" x14ac:dyDescent="0.25">
      <c r="A2043" s="169">
        <v>45685</v>
      </c>
      <c r="B2043" s="115">
        <v>541.9</v>
      </c>
      <c r="C2043" s="115">
        <v>539.4</v>
      </c>
      <c r="D2043" s="115">
        <v>516.95000000000005</v>
      </c>
      <c r="E2043" s="115">
        <v>524.04999999999995</v>
      </c>
      <c r="F2043" s="115">
        <v>539.4</v>
      </c>
      <c r="G2043">
        <v>84226</v>
      </c>
      <c r="H2043" s="115"/>
      <c r="I2043" s="115"/>
      <c r="L2043" s="169">
        <v>45685</v>
      </c>
      <c r="M2043" s="115">
        <v>539.35</v>
      </c>
      <c r="N2043" s="115">
        <v>542</v>
      </c>
      <c r="O2043" s="115">
        <v>516.95000000000005</v>
      </c>
      <c r="P2043" s="115">
        <v>525.20000000000005</v>
      </c>
      <c r="Q2043" s="115">
        <v>539.35</v>
      </c>
      <c r="R2043">
        <v>6377272</v>
      </c>
    </row>
    <row r="2044" spans="1:18" x14ac:dyDescent="0.25">
      <c r="A2044" s="169">
        <v>45686</v>
      </c>
      <c r="B2044" s="115">
        <v>546</v>
      </c>
      <c r="C2044" s="115">
        <v>541.45000000000005</v>
      </c>
      <c r="D2044" s="115">
        <v>537.45000000000005</v>
      </c>
      <c r="E2044" s="115">
        <v>539.45000000000005</v>
      </c>
      <c r="F2044" s="115">
        <v>541.45000000000005</v>
      </c>
      <c r="G2044">
        <v>137644</v>
      </c>
      <c r="H2044" s="115"/>
      <c r="I2044" s="115"/>
      <c r="L2044" s="169">
        <v>45686</v>
      </c>
      <c r="M2044" s="115">
        <v>541.54999999999995</v>
      </c>
      <c r="N2044" s="115">
        <v>545.5</v>
      </c>
      <c r="O2044" s="115">
        <v>537.04999999999995</v>
      </c>
      <c r="P2044" s="115">
        <v>540</v>
      </c>
      <c r="Q2044" s="115">
        <v>541.54999999999995</v>
      </c>
      <c r="R2044">
        <v>2099560</v>
      </c>
    </row>
    <row r="2045" spans="1:18" x14ac:dyDescent="0.25">
      <c r="A2045" s="169">
        <v>45687</v>
      </c>
      <c r="B2045" s="115">
        <v>548.1</v>
      </c>
      <c r="C2045" s="115">
        <v>541</v>
      </c>
      <c r="D2045" s="115">
        <v>538.5</v>
      </c>
      <c r="E2045" s="115">
        <v>545.85</v>
      </c>
      <c r="F2045" s="115">
        <v>541</v>
      </c>
      <c r="G2045">
        <v>53785</v>
      </c>
      <c r="H2045" s="115"/>
      <c r="I2045" s="115"/>
      <c r="L2045" s="169">
        <v>45687</v>
      </c>
      <c r="M2045" s="115">
        <v>540.6</v>
      </c>
      <c r="N2045" s="115">
        <v>547.79999999999995</v>
      </c>
      <c r="O2045" s="115">
        <v>538.25</v>
      </c>
      <c r="P2045" s="115">
        <v>544.9</v>
      </c>
      <c r="Q2045" s="115">
        <v>540.6</v>
      </c>
      <c r="R2045">
        <v>2914821</v>
      </c>
    </row>
    <row r="2046" spans="1:18" x14ac:dyDescent="0.25">
      <c r="A2046" s="169">
        <v>45688</v>
      </c>
      <c r="B2046" s="115">
        <v>543.9</v>
      </c>
      <c r="C2046" s="115">
        <v>536.70000000000005</v>
      </c>
      <c r="D2046" s="115">
        <v>536</v>
      </c>
      <c r="E2046" s="115">
        <v>543.9</v>
      </c>
      <c r="F2046" s="115">
        <v>536.70000000000005</v>
      </c>
      <c r="G2046">
        <v>142470</v>
      </c>
      <c r="H2046" s="115"/>
      <c r="I2046" s="115"/>
      <c r="L2046" s="169">
        <v>45688</v>
      </c>
      <c r="M2046" s="115">
        <v>536.75</v>
      </c>
      <c r="N2046" s="115">
        <v>544</v>
      </c>
      <c r="O2046" s="115">
        <v>536</v>
      </c>
      <c r="P2046" s="115">
        <v>544</v>
      </c>
      <c r="Q2046" s="115">
        <v>536.75</v>
      </c>
      <c r="R2046">
        <v>3544551</v>
      </c>
    </row>
    <row r="2047" spans="1:18" x14ac:dyDescent="0.25">
      <c r="A2047" s="169">
        <v>45689</v>
      </c>
      <c r="B2047" s="115">
        <v>582.70000000000005</v>
      </c>
      <c r="C2047" s="115">
        <v>561.25</v>
      </c>
      <c r="D2047" s="115">
        <v>539.1</v>
      </c>
      <c r="E2047" s="115">
        <v>539.85</v>
      </c>
      <c r="F2047" s="115">
        <v>561.25</v>
      </c>
      <c r="G2047">
        <v>217366</v>
      </c>
      <c r="H2047" s="115"/>
      <c r="I2047" s="115"/>
      <c r="L2047" s="169">
        <v>45689</v>
      </c>
      <c r="M2047" s="115">
        <v>561.4</v>
      </c>
      <c r="N2047" s="115">
        <v>582.9</v>
      </c>
      <c r="O2047" s="115">
        <v>539.04999999999995</v>
      </c>
      <c r="P2047" s="115">
        <v>539.04999999999995</v>
      </c>
      <c r="Q2047" s="115">
        <v>561.4</v>
      </c>
      <c r="R2047">
        <v>6432166</v>
      </c>
    </row>
    <row r="2048" spans="1:18" x14ac:dyDescent="0.25">
      <c r="A2048" s="169">
        <v>45691</v>
      </c>
      <c r="B2048" s="115">
        <v>585.45000000000005</v>
      </c>
      <c r="C2048" s="115">
        <v>582.85</v>
      </c>
      <c r="D2048" s="115">
        <v>548.65</v>
      </c>
      <c r="E2048" s="115">
        <v>563.15</v>
      </c>
      <c r="F2048" s="115">
        <v>582.85</v>
      </c>
      <c r="G2048">
        <v>133253</v>
      </c>
      <c r="H2048" s="115"/>
      <c r="I2048" s="115"/>
      <c r="L2048" s="169">
        <v>45691</v>
      </c>
      <c r="M2048" s="115">
        <v>582.5</v>
      </c>
      <c r="N2048" s="115">
        <v>585.65</v>
      </c>
      <c r="O2048" s="115">
        <v>548.70000000000005</v>
      </c>
      <c r="P2048" s="115">
        <v>560</v>
      </c>
      <c r="Q2048" s="115">
        <v>582.5</v>
      </c>
      <c r="R2048">
        <v>6595246</v>
      </c>
    </row>
    <row r="2049" spans="1:18" x14ac:dyDescent="0.25">
      <c r="A2049" s="169">
        <v>45692</v>
      </c>
      <c r="B2049" s="115">
        <v>589</v>
      </c>
      <c r="C2049" s="115">
        <v>586.75</v>
      </c>
      <c r="D2049" s="115">
        <v>576.79999999999995</v>
      </c>
      <c r="E2049" s="115">
        <v>584.85</v>
      </c>
      <c r="F2049" s="115">
        <v>586.75</v>
      </c>
      <c r="G2049">
        <v>188060</v>
      </c>
      <c r="H2049" s="115"/>
      <c r="I2049" s="115"/>
      <c r="L2049" s="169">
        <v>45692</v>
      </c>
      <c r="M2049" s="115">
        <v>586.54999999999995</v>
      </c>
      <c r="N2049" s="115">
        <v>589.29999999999995</v>
      </c>
      <c r="O2049" s="115">
        <v>577.5</v>
      </c>
      <c r="P2049" s="115">
        <v>583.65</v>
      </c>
      <c r="Q2049" s="115">
        <v>586.54999999999995</v>
      </c>
      <c r="R2049">
        <v>4407907</v>
      </c>
    </row>
    <row r="2050" spans="1:18" x14ac:dyDescent="0.25">
      <c r="A2050" s="169">
        <v>45693</v>
      </c>
      <c r="B2050" s="115">
        <v>593</v>
      </c>
      <c r="C2050" s="115">
        <v>583.6</v>
      </c>
      <c r="D2050" s="115">
        <v>581.35</v>
      </c>
      <c r="E2050" s="115">
        <v>588.20000000000005</v>
      </c>
      <c r="F2050" s="115">
        <v>583.6</v>
      </c>
      <c r="G2050">
        <v>163920</v>
      </c>
      <c r="H2050" s="115"/>
      <c r="I2050" s="115"/>
      <c r="L2050" s="169">
        <v>45693</v>
      </c>
      <c r="M2050" s="115">
        <v>583.65</v>
      </c>
      <c r="N2050" s="115">
        <v>592.95000000000005</v>
      </c>
      <c r="O2050" s="115">
        <v>581.65</v>
      </c>
      <c r="P2050" s="115">
        <v>589.15</v>
      </c>
      <c r="Q2050" s="115">
        <v>583.65</v>
      </c>
      <c r="R2050">
        <v>2146717</v>
      </c>
    </row>
    <row r="2051" spans="1:18" x14ac:dyDescent="0.25">
      <c r="A2051" s="169">
        <v>45694</v>
      </c>
      <c r="B2051" s="115">
        <v>586</v>
      </c>
      <c r="C2051" s="115">
        <v>568.04999999999995</v>
      </c>
      <c r="D2051" s="115">
        <v>565.45000000000005</v>
      </c>
      <c r="E2051" s="115">
        <v>585.9</v>
      </c>
      <c r="F2051" s="115">
        <v>568.04999999999995</v>
      </c>
      <c r="G2051">
        <v>109076</v>
      </c>
      <c r="H2051" s="115"/>
      <c r="I2051" s="115"/>
      <c r="L2051" s="169">
        <v>45694</v>
      </c>
      <c r="M2051" s="115">
        <v>568.6</v>
      </c>
      <c r="N2051" s="115">
        <v>585.85</v>
      </c>
      <c r="O2051" s="115">
        <v>565.5</v>
      </c>
      <c r="P2051" s="115">
        <v>585</v>
      </c>
      <c r="Q2051" s="115">
        <v>568.6</v>
      </c>
      <c r="R2051">
        <v>3085740</v>
      </c>
    </row>
    <row r="2052" spans="1:18" x14ac:dyDescent="0.25">
      <c r="A2052" s="169">
        <v>45695</v>
      </c>
      <c r="B2052" s="115">
        <v>569.85</v>
      </c>
      <c r="C2052" s="115">
        <v>554</v>
      </c>
      <c r="D2052" s="115">
        <v>548.70000000000005</v>
      </c>
      <c r="E2052" s="115">
        <v>569.85</v>
      </c>
      <c r="F2052" s="115">
        <v>554</v>
      </c>
      <c r="G2052">
        <v>106263</v>
      </c>
      <c r="H2052" s="115"/>
      <c r="I2052" s="115"/>
      <c r="L2052" s="169">
        <v>45695</v>
      </c>
      <c r="M2052" s="115">
        <v>553.70000000000005</v>
      </c>
      <c r="N2052" s="115">
        <v>570</v>
      </c>
      <c r="O2052" s="115">
        <v>548.54999999999995</v>
      </c>
      <c r="P2052" s="115">
        <v>568.6</v>
      </c>
      <c r="Q2052" s="115">
        <v>553.70000000000005</v>
      </c>
      <c r="R2052">
        <v>6361141</v>
      </c>
    </row>
    <row r="2053" spans="1:18" x14ac:dyDescent="0.25">
      <c r="A2053" s="169">
        <v>45698</v>
      </c>
      <c r="B2053" s="115">
        <v>561</v>
      </c>
      <c r="C2053" s="115">
        <v>548.54999999999995</v>
      </c>
      <c r="D2053" s="115">
        <v>532.5</v>
      </c>
      <c r="E2053" s="115">
        <v>558.04999999999995</v>
      </c>
      <c r="F2053" s="115">
        <v>548.54999999999995</v>
      </c>
      <c r="G2053">
        <v>479019</v>
      </c>
      <c r="H2053" s="115"/>
      <c r="I2053" s="115"/>
      <c r="L2053" s="169">
        <v>45698</v>
      </c>
      <c r="M2053" s="115">
        <v>548.45000000000005</v>
      </c>
      <c r="N2053" s="115">
        <v>561.1</v>
      </c>
      <c r="O2053" s="115">
        <v>532.70000000000005</v>
      </c>
      <c r="P2053" s="115">
        <v>558.4</v>
      </c>
      <c r="Q2053" s="115">
        <v>548.45000000000005</v>
      </c>
      <c r="R2053">
        <v>14670575</v>
      </c>
    </row>
    <row r="2054" spans="1:18" x14ac:dyDescent="0.25">
      <c r="A2054" s="169">
        <v>45699</v>
      </c>
      <c r="B2054" s="115">
        <v>555.9</v>
      </c>
      <c r="C2054" s="115">
        <v>520.20000000000005</v>
      </c>
      <c r="D2054" s="115">
        <v>511.45</v>
      </c>
      <c r="E2054" s="115">
        <v>553</v>
      </c>
      <c r="F2054" s="115">
        <v>520.20000000000005</v>
      </c>
      <c r="G2054">
        <v>798720</v>
      </c>
      <c r="H2054" s="115"/>
      <c r="I2054" s="115"/>
      <c r="L2054" s="169">
        <v>45699</v>
      </c>
      <c r="M2054" s="115">
        <v>520.35</v>
      </c>
      <c r="N2054" s="115">
        <v>556</v>
      </c>
      <c r="O2054" s="115">
        <v>511.15</v>
      </c>
      <c r="P2054" s="115">
        <v>555</v>
      </c>
      <c r="Q2054" s="115">
        <v>520.35</v>
      </c>
      <c r="R2054">
        <v>12273792</v>
      </c>
    </row>
    <row r="2055" spans="1:18" x14ac:dyDescent="0.25">
      <c r="A2055" s="169">
        <v>45700</v>
      </c>
      <c r="B2055" s="115">
        <v>536.6</v>
      </c>
      <c r="C2055" s="115">
        <v>534.6</v>
      </c>
      <c r="D2055" s="115">
        <v>517.04999999999995</v>
      </c>
      <c r="E2055" s="115">
        <v>522.04999999999995</v>
      </c>
      <c r="F2055" s="115">
        <v>534.6</v>
      </c>
      <c r="G2055">
        <v>173875</v>
      </c>
      <c r="H2055" s="115"/>
      <c r="I2055" s="115"/>
      <c r="L2055" s="169">
        <v>45700</v>
      </c>
      <c r="M2055" s="115">
        <v>534.5</v>
      </c>
      <c r="N2055" s="115">
        <v>536.79999999999995</v>
      </c>
      <c r="O2055" s="115">
        <v>517.1</v>
      </c>
      <c r="P2055" s="115">
        <v>525</v>
      </c>
      <c r="Q2055" s="115">
        <v>534.5</v>
      </c>
      <c r="R2055">
        <v>8581416</v>
      </c>
    </row>
    <row r="2056" spans="1:18" x14ac:dyDescent="0.25">
      <c r="A2056" s="169">
        <v>45701</v>
      </c>
      <c r="B2056" s="115">
        <v>537.79999999999995</v>
      </c>
      <c r="C2056" s="115">
        <v>513.1</v>
      </c>
      <c r="D2056" s="115">
        <v>511.15</v>
      </c>
      <c r="E2056" s="115">
        <v>534.65</v>
      </c>
      <c r="F2056" s="115">
        <v>513.1</v>
      </c>
      <c r="G2056">
        <v>438589</v>
      </c>
      <c r="H2056" s="115"/>
      <c r="I2056" s="115"/>
      <c r="L2056" s="169">
        <v>45701</v>
      </c>
      <c r="M2056" s="115">
        <v>513.4</v>
      </c>
      <c r="N2056" s="115">
        <v>538.15</v>
      </c>
      <c r="O2056" s="115">
        <v>511.2</v>
      </c>
      <c r="P2056" s="115">
        <v>535.20000000000005</v>
      </c>
      <c r="Q2056" s="115">
        <v>513.4</v>
      </c>
      <c r="R2056">
        <v>9467636</v>
      </c>
    </row>
    <row r="2057" spans="1:18" x14ac:dyDescent="0.25">
      <c r="A2057" s="169">
        <v>45702</v>
      </c>
      <c r="B2057" s="115">
        <v>517.35</v>
      </c>
      <c r="C2057" s="115">
        <v>488.15</v>
      </c>
      <c r="D2057" s="115">
        <v>485</v>
      </c>
      <c r="E2057" s="115">
        <v>514</v>
      </c>
      <c r="F2057" s="115">
        <v>488.15</v>
      </c>
      <c r="G2057">
        <v>621798</v>
      </c>
      <c r="H2057" s="115"/>
      <c r="I2057" s="115"/>
      <c r="L2057" s="169">
        <v>45702</v>
      </c>
      <c r="M2057" s="115">
        <v>488.55</v>
      </c>
      <c r="N2057" s="115">
        <v>517</v>
      </c>
      <c r="O2057" s="115">
        <v>485</v>
      </c>
      <c r="P2057" s="115">
        <v>513.75</v>
      </c>
      <c r="Q2057" s="115">
        <v>488.55</v>
      </c>
      <c r="R2057">
        <v>14027216</v>
      </c>
    </row>
    <row r="2058" spans="1:18" x14ac:dyDescent="0.25">
      <c r="A2058" s="169">
        <v>45705</v>
      </c>
      <c r="B2058" s="115">
        <v>489.85</v>
      </c>
      <c r="C2058" s="115">
        <v>474.45</v>
      </c>
      <c r="D2058" s="115">
        <v>470.25</v>
      </c>
      <c r="E2058" s="115">
        <v>489.85</v>
      </c>
      <c r="F2058" s="115">
        <v>474.45</v>
      </c>
      <c r="G2058">
        <v>155889</v>
      </c>
      <c r="H2058" s="115"/>
      <c r="I2058" s="115"/>
      <c r="L2058" s="169">
        <v>45705</v>
      </c>
      <c r="M2058" s="115">
        <v>474.55</v>
      </c>
      <c r="N2058" s="115">
        <v>489.4</v>
      </c>
      <c r="O2058" s="115">
        <v>470.05</v>
      </c>
      <c r="P2058" s="115">
        <v>488.75</v>
      </c>
      <c r="Q2058" s="115">
        <v>474.55</v>
      </c>
      <c r="R2058">
        <v>12706214</v>
      </c>
    </row>
    <row r="2059" spans="1:18" x14ac:dyDescent="0.25">
      <c r="A2059" s="169">
        <v>45706</v>
      </c>
      <c r="B2059" s="115">
        <v>483</v>
      </c>
      <c r="C2059" s="115">
        <v>468.8</v>
      </c>
      <c r="D2059" s="115">
        <v>466</v>
      </c>
      <c r="E2059" s="115">
        <v>479.95</v>
      </c>
      <c r="F2059" s="115">
        <v>468.8</v>
      </c>
      <c r="G2059">
        <v>143985</v>
      </c>
      <c r="H2059" s="115"/>
      <c r="I2059" s="115"/>
      <c r="L2059" s="169">
        <v>45706</v>
      </c>
      <c r="M2059" s="115">
        <v>469.1</v>
      </c>
      <c r="N2059" s="115">
        <v>483</v>
      </c>
      <c r="O2059" s="115">
        <v>465.65</v>
      </c>
      <c r="P2059" s="115">
        <v>476</v>
      </c>
      <c r="Q2059" s="115">
        <v>469.1</v>
      </c>
      <c r="R2059">
        <v>8968551</v>
      </c>
    </row>
    <row r="2060" spans="1:18" x14ac:dyDescent="0.25">
      <c r="A2060" s="169">
        <v>45707</v>
      </c>
      <c r="B2060" s="115">
        <v>480.4</v>
      </c>
      <c r="C2060" s="115">
        <v>475.9</v>
      </c>
      <c r="D2060" s="115">
        <v>454.2</v>
      </c>
      <c r="E2060" s="115">
        <v>463.9</v>
      </c>
      <c r="F2060" s="115">
        <v>475.9</v>
      </c>
      <c r="G2060">
        <v>191322</v>
      </c>
      <c r="H2060" s="115"/>
      <c r="I2060" s="115"/>
      <c r="L2060" s="169">
        <v>45707</v>
      </c>
      <c r="M2060" s="115">
        <v>475.9</v>
      </c>
      <c r="N2060" s="115">
        <v>480.4</v>
      </c>
      <c r="O2060" s="115">
        <v>454.1</v>
      </c>
      <c r="P2060" s="115">
        <v>461.05</v>
      </c>
      <c r="Q2060" s="115">
        <v>475.9</v>
      </c>
      <c r="R2060">
        <v>10307513</v>
      </c>
    </row>
    <row r="2061" spans="1:18" x14ac:dyDescent="0.25">
      <c r="A2061" s="169">
        <v>45708</v>
      </c>
      <c r="B2061" s="115">
        <v>474.3</v>
      </c>
      <c r="C2061" s="115">
        <v>469.15</v>
      </c>
      <c r="D2061" s="115">
        <v>464</v>
      </c>
      <c r="E2061" s="115">
        <v>472.5</v>
      </c>
      <c r="F2061" s="115">
        <v>469.15</v>
      </c>
      <c r="G2061">
        <v>274333</v>
      </c>
      <c r="H2061" s="115"/>
      <c r="I2061" s="115"/>
      <c r="L2061" s="169">
        <v>45708</v>
      </c>
      <c r="M2061" s="115">
        <v>468.4</v>
      </c>
      <c r="N2061" s="115">
        <v>474.75</v>
      </c>
      <c r="O2061" s="115">
        <v>463.75</v>
      </c>
      <c r="P2061" s="115">
        <v>472.4</v>
      </c>
      <c r="Q2061" s="115">
        <v>468.4</v>
      </c>
      <c r="R2061">
        <v>11542401</v>
      </c>
    </row>
    <row r="2062" spans="1:18" x14ac:dyDescent="0.25">
      <c r="A2062" s="169">
        <v>45709</v>
      </c>
      <c r="B2062" s="115">
        <v>480.8</v>
      </c>
      <c r="C2062" s="115">
        <v>477.55</v>
      </c>
      <c r="D2062" s="115">
        <v>461.3</v>
      </c>
      <c r="E2062" s="115">
        <v>471.55</v>
      </c>
      <c r="F2062" s="115">
        <v>477.55</v>
      </c>
      <c r="G2062">
        <v>397857</v>
      </c>
      <c r="H2062" s="115"/>
      <c r="I2062" s="115"/>
      <c r="L2062" s="169">
        <v>45709</v>
      </c>
      <c r="M2062" s="115">
        <v>477.65</v>
      </c>
      <c r="N2062" s="115">
        <v>480.8</v>
      </c>
      <c r="O2062" s="115">
        <v>461.1</v>
      </c>
      <c r="P2062" s="115">
        <v>470.55</v>
      </c>
      <c r="Q2062" s="115">
        <v>477.65</v>
      </c>
      <c r="R2062">
        <v>12871051</v>
      </c>
    </row>
    <row r="2063" spans="1:18" x14ac:dyDescent="0.25">
      <c r="A2063" s="169">
        <v>45712</v>
      </c>
      <c r="B2063" s="115">
        <v>501.8</v>
      </c>
      <c r="C2063" s="115">
        <v>499.9</v>
      </c>
      <c r="D2063" s="115">
        <v>468.45</v>
      </c>
      <c r="E2063" s="115">
        <v>472</v>
      </c>
      <c r="F2063" s="115">
        <v>499.9</v>
      </c>
      <c r="G2063">
        <v>352165</v>
      </c>
      <c r="H2063" s="115"/>
      <c r="I2063" s="115"/>
      <c r="L2063" s="169">
        <v>45712</v>
      </c>
      <c r="M2063" s="115">
        <v>499.95</v>
      </c>
      <c r="N2063" s="115">
        <v>501.75</v>
      </c>
      <c r="O2063" s="115">
        <v>468.75</v>
      </c>
      <c r="P2063" s="115">
        <v>472</v>
      </c>
      <c r="Q2063" s="115">
        <v>499.95</v>
      </c>
      <c r="R2063">
        <v>15905230</v>
      </c>
    </row>
    <row r="2064" spans="1:18" x14ac:dyDescent="0.25">
      <c r="A2064" s="169">
        <v>45713</v>
      </c>
      <c r="B2064" s="115">
        <v>504.8</v>
      </c>
      <c r="C2064" s="115">
        <v>476.4</v>
      </c>
      <c r="D2064" s="115">
        <v>475.05</v>
      </c>
      <c r="E2064" s="115">
        <v>504.8</v>
      </c>
      <c r="F2064" s="115">
        <v>476.4</v>
      </c>
      <c r="G2064">
        <v>223477</v>
      </c>
      <c r="H2064" s="115"/>
      <c r="I2064" s="115"/>
      <c r="L2064" s="169">
        <v>45713</v>
      </c>
      <c r="M2064" s="115">
        <v>476.5</v>
      </c>
      <c r="N2064" s="115">
        <v>497.9</v>
      </c>
      <c r="O2064" s="115">
        <v>475.1</v>
      </c>
      <c r="P2064" s="115">
        <v>497.9</v>
      </c>
      <c r="Q2064" s="115">
        <v>476.5</v>
      </c>
      <c r="R2064">
        <v>10593112</v>
      </c>
    </row>
    <row r="2065" spans="1:18" x14ac:dyDescent="0.25">
      <c r="A2065" s="169">
        <v>45715</v>
      </c>
      <c r="B2065" s="115">
        <v>475.7</v>
      </c>
      <c r="C2065" s="115">
        <v>448.15</v>
      </c>
      <c r="D2065" s="115">
        <v>439.95</v>
      </c>
      <c r="E2065" s="115">
        <v>475</v>
      </c>
      <c r="F2065" s="115">
        <v>448.15</v>
      </c>
      <c r="G2065">
        <v>374969</v>
      </c>
      <c r="H2065" s="115"/>
      <c r="I2065" s="115"/>
      <c r="L2065" s="169">
        <v>45715</v>
      </c>
      <c r="M2065" s="115">
        <v>448.3</v>
      </c>
      <c r="N2065" s="115">
        <v>476.5</v>
      </c>
      <c r="O2065" s="115">
        <v>439.9</v>
      </c>
      <c r="P2065" s="115">
        <v>475.5</v>
      </c>
      <c r="Q2065" s="115">
        <v>448.3</v>
      </c>
      <c r="R2065">
        <v>19975636</v>
      </c>
    </row>
    <row r="2066" spans="1:18" x14ac:dyDescent="0.25">
      <c r="A2066" s="169">
        <v>45716</v>
      </c>
      <c r="B2066" s="115">
        <v>456.55</v>
      </c>
      <c r="C2066" s="115">
        <v>435.45</v>
      </c>
      <c r="D2066" s="115">
        <v>429.7</v>
      </c>
      <c r="E2066" s="115">
        <v>447.1</v>
      </c>
      <c r="F2066" s="115">
        <v>435.45</v>
      </c>
      <c r="G2066">
        <v>484083</v>
      </c>
      <c r="H2066" s="115"/>
      <c r="I2066" s="115"/>
      <c r="L2066" s="169">
        <v>45716</v>
      </c>
      <c r="M2066" s="115">
        <v>436.05</v>
      </c>
      <c r="N2066" s="115">
        <v>456.6</v>
      </c>
      <c r="O2066" s="115">
        <v>429.65</v>
      </c>
      <c r="P2066" s="115">
        <v>448</v>
      </c>
      <c r="Q2066" s="115">
        <v>436.05</v>
      </c>
      <c r="R2066">
        <v>48247867</v>
      </c>
    </row>
    <row r="2067" spans="1:18" x14ac:dyDescent="0.25">
      <c r="A2067" s="169">
        <v>45719</v>
      </c>
      <c r="B2067" s="115">
        <v>460.6</v>
      </c>
      <c r="C2067" s="115">
        <v>456.95</v>
      </c>
      <c r="D2067" s="115">
        <v>419.4</v>
      </c>
      <c r="E2067" s="115">
        <v>436</v>
      </c>
      <c r="F2067" s="115">
        <v>456.95</v>
      </c>
      <c r="G2067">
        <v>591463</v>
      </c>
      <c r="H2067" s="115"/>
      <c r="I2067" s="115"/>
      <c r="L2067" s="169">
        <v>45719</v>
      </c>
      <c r="M2067" s="115">
        <v>456.95</v>
      </c>
      <c r="N2067" s="115">
        <v>461.05</v>
      </c>
      <c r="O2067" s="115">
        <v>419.55</v>
      </c>
      <c r="P2067" s="115">
        <v>436</v>
      </c>
      <c r="Q2067" s="115">
        <v>456.95</v>
      </c>
      <c r="R2067">
        <v>27472740</v>
      </c>
    </row>
    <row r="2068" spans="1:18" x14ac:dyDescent="0.25">
      <c r="A2068" s="169">
        <v>45720</v>
      </c>
      <c r="B2068" s="115">
        <v>480.05</v>
      </c>
      <c r="C2068" s="115">
        <v>477.1</v>
      </c>
      <c r="D2068" s="115">
        <v>448.6</v>
      </c>
      <c r="E2068" s="115">
        <v>456.15</v>
      </c>
      <c r="F2068" s="115">
        <v>477.1</v>
      </c>
      <c r="G2068">
        <v>634271</v>
      </c>
      <c r="H2068" s="115"/>
      <c r="I2068" s="115"/>
      <c r="L2068" s="169">
        <v>45720</v>
      </c>
      <c r="M2068" s="115">
        <v>477.3</v>
      </c>
      <c r="N2068" s="115">
        <v>480.3</v>
      </c>
      <c r="O2068" s="115">
        <v>448</v>
      </c>
      <c r="P2068" s="115">
        <v>456.95</v>
      </c>
      <c r="Q2068" s="115">
        <v>477.3</v>
      </c>
      <c r="R2068">
        <v>16010754</v>
      </c>
    </row>
    <row r="2069" spans="1:18" x14ac:dyDescent="0.25">
      <c r="A2069" s="169">
        <v>45721</v>
      </c>
      <c r="B2069" s="115">
        <v>486.3</v>
      </c>
      <c r="C2069" s="115">
        <v>475.6</v>
      </c>
      <c r="D2069" s="115">
        <v>471.45</v>
      </c>
      <c r="E2069" s="115">
        <v>483.6</v>
      </c>
      <c r="F2069" s="115">
        <v>475.6</v>
      </c>
      <c r="G2069">
        <v>306041</v>
      </c>
      <c r="H2069" s="115"/>
      <c r="I2069" s="115"/>
      <c r="L2069" s="169">
        <v>45721</v>
      </c>
      <c r="M2069" s="115">
        <v>476</v>
      </c>
      <c r="N2069" s="115">
        <v>486.2</v>
      </c>
      <c r="O2069" s="115">
        <v>471.4</v>
      </c>
      <c r="P2069" s="115">
        <v>480.2</v>
      </c>
      <c r="Q2069" s="115">
        <v>476</v>
      </c>
      <c r="R2069">
        <v>14097135</v>
      </c>
    </row>
    <row r="2070" spans="1:18" x14ac:dyDescent="0.25">
      <c r="A2070" s="169">
        <v>45722</v>
      </c>
      <c r="B2070" s="115">
        <v>494.75</v>
      </c>
      <c r="C2070" s="115">
        <v>491.5</v>
      </c>
      <c r="D2070" s="115">
        <v>477.95</v>
      </c>
      <c r="E2070" s="115">
        <v>484.95</v>
      </c>
      <c r="F2070" s="115">
        <v>491.5</v>
      </c>
      <c r="G2070">
        <v>239968</v>
      </c>
      <c r="H2070" s="115"/>
      <c r="I2070" s="115"/>
      <c r="L2070" s="169">
        <v>45722</v>
      </c>
      <c r="M2070" s="115">
        <v>491.35</v>
      </c>
      <c r="N2070" s="115">
        <v>494.95</v>
      </c>
      <c r="O2070" s="115">
        <v>477.85</v>
      </c>
      <c r="P2070" s="115">
        <v>482.5</v>
      </c>
      <c r="Q2070" s="115">
        <v>491.35</v>
      </c>
      <c r="R2070">
        <v>12690927</v>
      </c>
    </row>
    <row r="2071" spans="1:18" x14ac:dyDescent="0.25">
      <c r="A2071" s="169">
        <v>45723</v>
      </c>
      <c r="B2071" s="115">
        <v>490.85</v>
      </c>
      <c r="C2071" s="115">
        <v>487.9</v>
      </c>
      <c r="D2071" s="115">
        <v>479.05</v>
      </c>
      <c r="E2071" s="115">
        <v>490.85</v>
      </c>
      <c r="F2071" s="115">
        <v>487.9</v>
      </c>
      <c r="G2071">
        <v>360111</v>
      </c>
      <c r="H2071" s="115"/>
      <c r="I2071" s="115"/>
      <c r="L2071" s="169">
        <v>45723</v>
      </c>
      <c r="M2071" s="115">
        <v>487.75</v>
      </c>
      <c r="N2071" s="115">
        <v>490.65</v>
      </c>
      <c r="O2071" s="115">
        <v>479</v>
      </c>
      <c r="P2071" s="115">
        <v>490</v>
      </c>
      <c r="Q2071" s="115">
        <v>487.75</v>
      </c>
      <c r="R2071">
        <v>10433984</v>
      </c>
    </row>
    <row r="2072" spans="1:18" x14ac:dyDescent="0.25">
      <c r="A2072" s="169">
        <v>45726</v>
      </c>
      <c r="B2072" s="115">
        <v>492.4</v>
      </c>
      <c r="C2072" s="115">
        <v>481.9</v>
      </c>
      <c r="D2072" s="115">
        <v>480.15</v>
      </c>
      <c r="E2072" s="115">
        <v>488</v>
      </c>
      <c r="F2072" s="115">
        <v>481.9</v>
      </c>
      <c r="G2072">
        <v>336568</v>
      </c>
      <c r="H2072" s="115"/>
      <c r="I2072" s="115"/>
      <c r="L2072" s="169">
        <v>45726</v>
      </c>
      <c r="M2072" s="115">
        <v>481.9</v>
      </c>
      <c r="N2072" s="115">
        <v>492.35</v>
      </c>
      <c r="O2072" s="115">
        <v>480</v>
      </c>
      <c r="P2072" s="115">
        <v>487.8</v>
      </c>
      <c r="Q2072" s="115">
        <v>481.9</v>
      </c>
      <c r="R2072">
        <v>11965662</v>
      </c>
    </row>
    <row r="2073" spans="1:18" x14ac:dyDescent="0.25">
      <c r="A2073" s="169">
        <v>45727</v>
      </c>
      <c r="B2073" s="115">
        <v>487.35</v>
      </c>
      <c r="C2073" s="115">
        <v>485.15</v>
      </c>
      <c r="D2073" s="115">
        <v>470.45</v>
      </c>
      <c r="E2073" s="115">
        <v>477.4</v>
      </c>
      <c r="F2073" s="115">
        <v>485.15</v>
      </c>
      <c r="G2073">
        <v>334129</v>
      </c>
      <c r="H2073" s="115"/>
      <c r="I2073" s="115"/>
      <c r="L2073" s="169">
        <v>45727</v>
      </c>
      <c r="M2073" s="115">
        <v>485.2</v>
      </c>
      <c r="N2073" s="115">
        <v>487.6</v>
      </c>
      <c r="O2073" s="115">
        <v>470.5</v>
      </c>
      <c r="P2073" s="115">
        <v>477.8</v>
      </c>
      <c r="Q2073" s="115">
        <v>485.2</v>
      </c>
      <c r="R2073">
        <v>5774624</v>
      </c>
    </row>
    <row r="2074" spans="1:18" x14ac:dyDescent="0.25">
      <c r="A2074" s="169">
        <v>45728</v>
      </c>
      <c r="B2074" s="115">
        <v>490.2</v>
      </c>
      <c r="C2074" s="115">
        <v>478.35</v>
      </c>
      <c r="D2074" s="115">
        <v>476.1</v>
      </c>
      <c r="E2074" s="115">
        <v>486.25</v>
      </c>
      <c r="F2074" s="115">
        <v>478.35</v>
      </c>
      <c r="G2074">
        <v>117331</v>
      </c>
      <c r="H2074" s="115"/>
      <c r="I2074" s="115"/>
      <c r="L2074" s="169">
        <v>45728</v>
      </c>
      <c r="M2074" s="115">
        <v>478.35</v>
      </c>
      <c r="N2074" s="115">
        <v>490.35</v>
      </c>
      <c r="O2074" s="115">
        <v>475.9</v>
      </c>
      <c r="P2074" s="115">
        <v>487.5</v>
      </c>
      <c r="Q2074" s="115">
        <v>478.35</v>
      </c>
      <c r="R2074">
        <v>9109922</v>
      </c>
    </row>
    <row r="2075" spans="1:18" x14ac:dyDescent="0.25">
      <c r="A2075" s="169">
        <v>45729</v>
      </c>
      <c r="B2075" s="115">
        <v>497.5</v>
      </c>
      <c r="C2075" s="115">
        <v>487.9</v>
      </c>
      <c r="D2075" s="115">
        <v>481.15</v>
      </c>
      <c r="E2075" s="115">
        <v>484.7</v>
      </c>
      <c r="F2075" s="115">
        <v>487.9</v>
      </c>
      <c r="G2075">
        <v>324283</v>
      </c>
      <c r="H2075" s="115"/>
      <c r="I2075" s="115"/>
      <c r="L2075" s="169">
        <v>45729</v>
      </c>
      <c r="M2075" s="115">
        <v>488.15</v>
      </c>
      <c r="N2075" s="115">
        <v>497.5</v>
      </c>
      <c r="O2075" s="115">
        <v>480.85</v>
      </c>
      <c r="P2075" s="115">
        <v>484</v>
      </c>
      <c r="Q2075" s="115">
        <v>488.15</v>
      </c>
      <c r="R2075">
        <v>7798554</v>
      </c>
    </row>
    <row r="2076" spans="1:18" x14ac:dyDescent="0.25">
      <c r="A2076" s="169">
        <v>45733</v>
      </c>
      <c r="B2076" s="115">
        <v>508.95</v>
      </c>
      <c r="C2076" s="115">
        <v>507.4</v>
      </c>
      <c r="D2076" s="115">
        <v>491.6</v>
      </c>
      <c r="E2076" s="115">
        <v>492.4</v>
      </c>
      <c r="F2076" s="115">
        <v>507.4</v>
      </c>
      <c r="G2076">
        <v>259719</v>
      </c>
      <c r="H2076" s="115"/>
      <c r="I2076" s="115"/>
      <c r="L2076" s="169">
        <v>45733</v>
      </c>
      <c r="M2076" s="115">
        <v>507.25</v>
      </c>
      <c r="N2076" s="115">
        <v>509.85</v>
      </c>
      <c r="O2076" s="115">
        <v>491.55</v>
      </c>
      <c r="P2076" s="115">
        <v>492.6</v>
      </c>
      <c r="Q2076" s="115">
        <v>507.25</v>
      </c>
      <c r="R2076">
        <v>10136340</v>
      </c>
    </row>
    <row r="2077" spans="1:18" x14ac:dyDescent="0.25">
      <c r="A2077" s="169">
        <v>45734</v>
      </c>
      <c r="B2077" s="115">
        <v>536</v>
      </c>
      <c r="C2077" s="115">
        <v>532.5</v>
      </c>
      <c r="D2077" s="115">
        <v>512.75</v>
      </c>
      <c r="E2077" s="115">
        <v>514.9</v>
      </c>
      <c r="F2077" s="115">
        <v>532.5</v>
      </c>
      <c r="G2077">
        <v>667689</v>
      </c>
      <c r="H2077" s="115"/>
      <c r="I2077" s="115"/>
      <c r="L2077" s="169">
        <v>45734</v>
      </c>
      <c r="M2077" s="115">
        <v>532.5</v>
      </c>
      <c r="N2077" s="115">
        <v>536</v>
      </c>
      <c r="O2077" s="115">
        <v>512.75</v>
      </c>
      <c r="P2077" s="115">
        <v>514.25</v>
      </c>
      <c r="Q2077" s="115">
        <v>532.5</v>
      </c>
      <c r="R2077">
        <v>14460723</v>
      </c>
    </row>
    <row r="2078" spans="1:18" x14ac:dyDescent="0.25">
      <c r="A2078" s="169">
        <v>45735</v>
      </c>
      <c r="B2078" s="115">
        <v>547.85</v>
      </c>
      <c r="C2078" s="115">
        <v>540.9</v>
      </c>
      <c r="D2078" s="115">
        <v>530.1</v>
      </c>
      <c r="E2078" s="115">
        <v>535.4</v>
      </c>
      <c r="F2078" s="115">
        <v>540.9</v>
      </c>
      <c r="G2078">
        <v>473959</v>
      </c>
      <c r="H2078" s="115"/>
      <c r="I2078" s="115"/>
      <c r="L2078" s="169">
        <v>45735</v>
      </c>
      <c r="M2078" s="115">
        <v>540.9</v>
      </c>
      <c r="N2078" s="115">
        <v>548.04999999999995</v>
      </c>
      <c r="O2078" s="115">
        <v>530.04999999999995</v>
      </c>
      <c r="P2078" s="115">
        <v>533.85</v>
      </c>
      <c r="Q2078" s="115">
        <v>540.9</v>
      </c>
      <c r="R2078">
        <v>9383855</v>
      </c>
    </row>
    <row r="2079" spans="1:18" x14ac:dyDescent="0.25">
      <c r="A2079" s="169">
        <v>45736</v>
      </c>
      <c r="B2079" s="115">
        <v>558.65</v>
      </c>
      <c r="C2079" s="115">
        <v>548.70000000000005</v>
      </c>
      <c r="D2079" s="115">
        <v>539.9</v>
      </c>
      <c r="E2079" s="115">
        <v>546.75</v>
      </c>
      <c r="F2079" s="115">
        <v>548.70000000000005</v>
      </c>
      <c r="G2079">
        <v>583407</v>
      </c>
      <c r="H2079" s="115"/>
      <c r="I2079" s="115"/>
      <c r="L2079" s="169">
        <v>45736</v>
      </c>
      <c r="M2079" s="115">
        <v>548.75</v>
      </c>
      <c r="N2079" s="115">
        <v>558.6</v>
      </c>
      <c r="O2079" s="115">
        <v>540.04999999999995</v>
      </c>
      <c r="P2079" s="115">
        <v>546.20000000000005</v>
      </c>
      <c r="Q2079" s="115">
        <v>548.75</v>
      </c>
      <c r="R2079">
        <v>12121424</v>
      </c>
    </row>
    <row r="2080" spans="1:18" x14ac:dyDescent="0.25">
      <c r="A2080" s="169">
        <v>45737</v>
      </c>
      <c r="B2080" s="115">
        <v>552.04999999999995</v>
      </c>
      <c r="C2080" s="115">
        <v>538.4</v>
      </c>
      <c r="D2080" s="115">
        <v>533.20000000000005</v>
      </c>
      <c r="E2080" s="115">
        <v>548</v>
      </c>
      <c r="F2080" s="115">
        <v>538.4</v>
      </c>
      <c r="G2080">
        <v>233708</v>
      </c>
      <c r="H2080" s="115"/>
      <c r="I2080" s="115"/>
      <c r="L2080" s="169">
        <v>45737</v>
      </c>
      <c r="M2080" s="115">
        <v>537.95000000000005</v>
      </c>
      <c r="N2080" s="115">
        <v>552</v>
      </c>
      <c r="O2080" s="115">
        <v>533</v>
      </c>
      <c r="P2080" s="115">
        <v>547</v>
      </c>
      <c r="Q2080" s="115">
        <v>537.95000000000005</v>
      </c>
      <c r="R2080">
        <v>10054240</v>
      </c>
    </row>
    <row r="2081" spans="1:18" x14ac:dyDescent="0.25">
      <c r="A2081" s="169">
        <v>45740</v>
      </c>
      <c r="B2081" s="115">
        <v>552.75</v>
      </c>
      <c r="C2081" s="115">
        <v>531.1</v>
      </c>
      <c r="D2081" s="115">
        <v>529.4</v>
      </c>
      <c r="E2081" s="115">
        <v>545.95000000000005</v>
      </c>
      <c r="F2081" s="115">
        <v>531.1</v>
      </c>
      <c r="G2081">
        <v>377682</v>
      </c>
      <c r="H2081" s="115"/>
      <c r="I2081" s="115"/>
      <c r="L2081" s="169">
        <v>45740</v>
      </c>
      <c r="M2081" s="115">
        <v>531.1</v>
      </c>
      <c r="N2081" s="115">
        <v>547.75</v>
      </c>
      <c r="O2081" s="115">
        <v>529.65</v>
      </c>
      <c r="P2081" s="115">
        <v>545</v>
      </c>
      <c r="Q2081" s="115">
        <v>531.1</v>
      </c>
      <c r="R2081">
        <v>5386711</v>
      </c>
    </row>
    <row r="2082" spans="1:18" x14ac:dyDescent="0.25">
      <c r="A2082" s="169">
        <v>45741</v>
      </c>
      <c r="B2082" s="115">
        <v>534.79999999999995</v>
      </c>
      <c r="C2082" s="115">
        <v>517.25</v>
      </c>
      <c r="D2082" s="115">
        <v>511.75</v>
      </c>
      <c r="E2082" s="115">
        <v>534</v>
      </c>
      <c r="F2082" s="115">
        <v>517.25</v>
      </c>
      <c r="G2082">
        <v>437760</v>
      </c>
      <c r="H2082" s="115"/>
      <c r="I2082" s="115"/>
      <c r="L2082" s="169">
        <v>45741</v>
      </c>
      <c r="M2082" s="115">
        <v>517.15</v>
      </c>
      <c r="N2082" s="115">
        <v>535</v>
      </c>
      <c r="O2082" s="115">
        <v>511.65</v>
      </c>
      <c r="P2082" s="115">
        <v>534.5</v>
      </c>
      <c r="Q2082" s="115">
        <v>517.15</v>
      </c>
      <c r="R2082">
        <v>6675687</v>
      </c>
    </row>
    <row r="2083" spans="1:18" x14ac:dyDescent="0.25">
      <c r="A2083" s="169">
        <v>45742</v>
      </c>
      <c r="B2083" s="115">
        <v>535.45000000000005</v>
      </c>
      <c r="C2083" s="115">
        <v>527.95000000000005</v>
      </c>
      <c r="D2083" s="115">
        <v>516.45000000000005</v>
      </c>
      <c r="E2083" s="115">
        <v>520.04999999999995</v>
      </c>
      <c r="F2083" s="115">
        <v>527.95000000000005</v>
      </c>
      <c r="G2083">
        <v>370027</v>
      </c>
      <c r="H2083" s="115"/>
      <c r="I2083" s="115"/>
      <c r="L2083" s="169">
        <v>45742</v>
      </c>
      <c r="M2083" s="115">
        <v>527.9</v>
      </c>
      <c r="N2083" s="115">
        <v>535.5</v>
      </c>
      <c r="O2083" s="115">
        <v>516.54999999999995</v>
      </c>
      <c r="P2083" s="115">
        <v>521</v>
      </c>
      <c r="Q2083" s="115">
        <v>527.9</v>
      </c>
      <c r="R2083">
        <v>6576567</v>
      </c>
    </row>
    <row r="2084" spans="1:18" x14ac:dyDescent="0.25">
      <c r="A2084" s="169">
        <v>45743</v>
      </c>
      <c r="B2084" s="115">
        <v>539.4</v>
      </c>
      <c r="C2084" s="115">
        <v>536.75</v>
      </c>
      <c r="D2084" s="115">
        <v>524.85</v>
      </c>
      <c r="E2084" s="115">
        <v>528.45000000000005</v>
      </c>
      <c r="F2084" s="115">
        <v>536.75</v>
      </c>
      <c r="G2084">
        <v>382049</v>
      </c>
      <c r="H2084" s="115"/>
      <c r="I2084" s="115"/>
      <c r="L2084" s="169">
        <v>45743</v>
      </c>
      <c r="M2084" s="115">
        <v>536.29999999999995</v>
      </c>
      <c r="N2084" s="115">
        <v>540</v>
      </c>
      <c r="O2084" s="115">
        <v>515</v>
      </c>
      <c r="P2084" s="115">
        <v>527</v>
      </c>
      <c r="Q2084" s="115">
        <v>536.29999999999995</v>
      </c>
      <c r="R2084">
        <v>7748386</v>
      </c>
    </row>
    <row r="2085" spans="1:18" x14ac:dyDescent="0.25">
      <c r="A2085" s="169">
        <v>45744</v>
      </c>
      <c r="B2085" s="115">
        <v>544.6</v>
      </c>
      <c r="C2085" s="115">
        <v>539.6</v>
      </c>
      <c r="D2085" s="115">
        <v>536.5</v>
      </c>
      <c r="E2085" s="115">
        <v>538</v>
      </c>
      <c r="F2085" s="115">
        <v>539.6</v>
      </c>
      <c r="G2085">
        <v>346602</v>
      </c>
      <c r="H2085" s="115"/>
      <c r="I2085" s="115"/>
      <c r="L2085" s="169">
        <v>45744</v>
      </c>
      <c r="M2085" s="115">
        <v>539.65</v>
      </c>
      <c r="N2085" s="115">
        <v>544.75</v>
      </c>
      <c r="O2085" s="115">
        <v>536.75</v>
      </c>
      <c r="P2085" s="115">
        <v>537.79999999999995</v>
      </c>
      <c r="Q2085" s="115">
        <v>539.65</v>
      </c>
      <c r="R2085">
        <v>5075723</v>
      </c>
    </row>
    <row r="2086" spans="1:18" x14ac:dyDescent="0.25">
      <c r="A2086" s="169">
        <v>45748</v>
      </c>
      <c r="B2086" s="115">
        <v>548.54999999999995</v>
      </c>
      <c r="C2086" s="115">
        <v>538.95000000000005</v>
      </c>
      <c r="D2086" s="115">
        <v>528.9</v>
      </c>
      <c r="E2086" s="115">
        <v>546.1</v>
      </c>
      <c r="F2086" s="115">
        <v>538.95000000000005</v>
      </c>
      <c r="G2086">
        <v>197541</v>
      </c>
      <c r="H2086" s="115"/>
      <c r="I2086" s="115"/>
      <c r="L2086" s="169">
        <v>45748</v>
      </c>
      <c r="M2086" s="115">
        <v>538.75</v>
      </c>
      <c r="N2086" s="115">
        <v>550</v>
      </c>
      <c r="O2086" s="115">
        <v>529.15</v>
      </c>
      <c r="P2086" s="115">
        <v>550</v>
      </c>
      <c r="Q2086" s="115">
        <v>538.75</v>
      </c>
      <c r="R2086">
        <v>5144301</v>
      </c>
    </row>
    <row r="2087" spans="1:18" x14ac:dyDescent="0.25">
      <c r="A2087" s="169">
        <v>45749</v>
      </c>
      <c r="B2087" s="115">
        <v>548</v>
      </c>
      <c r="C2087" s="115">
        <v>546.9</v>
      </c>
      <c r="D2087" s="115">
        <v>535.5</v>
      </c>
      <c r="E2087" s="115">
        <v>540</v>
      </c>
      <c r="F2087" s="115">
        <v>546.9</v>
      </c>
      <c r="G2087">
        <v>251436</v>
      </c>
      <c r="H2087" s="115"/>
      <c r="I2087" s="115"/>
      <c r="L2087" s="169">
        <v>45749</v>
      </c>
      <c r="M2087" s="115">
        <v>546.9</v>
      </c>
      <c r="N2087" s="115">
        <v>548</v>
      </c>
      <c r="O2087" s="115">
        <v>535.45000000000005</v>
      </c>
      <c r="P2087" s="115">
        <v>540</v>
      </c>
      <c r="Q2087" s="115">
        <v>546.9</v>
      </c>
      <c r="R2087">
        <v>3535699</v>
      </c>
    </row>
    <row r="2088" spans="1:18" x14ac:dyDescent="0.25">
      <c r="A2088" s="169">
        <v>45750</v>
      </c>
      <c r="B2088" s="115">
        <v>552.5</v>
      </c>
      <c r="C2088" s="115">
        <v>544.45000000000005</v>
      </c>
      <c r="D2088" s="115">
        <v>538.4</v>
      </c>
      <c r="E2088" s="115">
        <v>544</v>
      </c>
      <c r="F2088" s="115">
        <v>544.45000000000005</v>
      </c>
      <c r="G2088">
        <v>272894</v>
      </c>
      <c r="H2088" s="115"/>
      <c r="I2088" s="115"/>
      <c r="L2088" s="169">
        <v>45750</v>
      </c>
      <c r="M2088" s="115">
        <v>544.5</v>
      </c>
      <c r="N2088" s="115">
        <v>552.5</v>
      </c>
      <c r="O2088" s="115">
        <v>538.1</v>
      </c>
      <c r="P2088" s="115">
        <v>544.95000000000005</v>
      </c>
      <c r="Q2088" s="115">
        <v>544.5</v>
      </c>
      <c r="R2088">
        <v>4789352</v>
      </c>
    </row>
    <row r="2089" spans="1:18" x14ac:dyDescent="0.25">
      <c r="A2089" s="169">
        <v>45751</v>
      </c>
      <c r="B2089" s="115">
        <v>544.4</v>
      </c>
      <c r="C2089" s="115">
        <v>535</v>
      </c>
      <c r="D2089" s="115">
        <v>530.79999999999995</v>
      </c>
      <c r="E2089" s="115">
        <v>544</v>
      </c>
      <c r="F2089" s="115">
        <v>535</v>
      </c>
      <c r="G2089">
        <v>113800</v>
      </c>
      <c r="H2089" s="115"/>
      <c r="I2089" s="115"/>
      <c r="L2089" s="169">
        <v>45751</v>
      </c>
      <c r="M2089" s="115">
        <v>535.45000000000005</v>
      </c>
      <c r="N2089" s="115">
        <v>545</v>
      </c>
      <c r="O2089" s="115">
        <v>530.65</v>
      </c>
      <c r="P2089" s="115">
        <v>544</v>
      </c>
      <c r="Q2089" s="115">
        <v>535.45000000000005</v>
      </c>
      <c r="R2089">
        <v>3148688</v>
      </c>
    </row>
    <row r="2090" spans="1:18" x14ac:dyDescent="0.25">
      <c r="A2090" s="169">
        <v>45754</v>
      </c>
      <c r="B2090" s="115">
        <v>524.65</v>
      </c>
      <c r="C2090" s="115">
        <v>519.6</v>
      </c>
      <c r="D2090" s="115">
        <v>488</v>
      </c>
      <c r="E2090" s="115">
        <v>490</v>
      </c>
      <c r="F2090" s="115">
        <v>519.6</v>
      </c>
      <c r="G2090">
        <v>265085</v>
      </c>
      <c r="H2090" s="115"/>
      <c r="I2090" s="115"/>
      <c r="L2090" s="169">
        <v>45754</v>
      </c>
      <c r="M2090" s="115">
        <v>519.6</v>
      </c>
      <c r="N2090" s="115">
        <v>524</v>
      </c>
      <c r="O2090" s="115">
        <v>482.35</v>
      </c>
      <c r="P2090" s="115">
        <v>485</v>
      </c>
      <c r="Q2090" s="115">
        <v>519.6</v>
      </c>
      <c r="R2090">
        <v>6892589</v>
      </c>
    </row>
    <row r="2091" spans="1:18" x14ac:dyDescent="0.25">
      <c r="A2091" s="169">
        <v>45755</v>
      </c>
      <c r="B2091" s="115">
        <v>542</v>
      </c>
      <c r="C2091" s="115">
        <v>540.54999999999995</v>
      </c>
      <c r="D2091" s="115">
        <v>528.6</v>
      </c>
      <c r="E2091" s="115">
        <v>530.6</v>
      </c>
      <c r="F2091" s="115">
        <v>540.54999999999995</v>
      </c>
      <c r="G2091">
        <v>303442</v>
      </c>
      <c r="H2091" s="115"/>
      <c r="I2091" s="115"/>
      <c r="L2091" s="169">
        <v>45755</v>
      </c>
      <c r="M2091" s="115">
        <v>540.4</v>
      </c>
      <c r="N2091" s="115">
        <v>541.9</v>
      </c>
      <c r="O2091" s="115">
        <v>529.1</v>
      </c>
      <c r="P2091" s="115">
        <v>530</v>
      </c>
      <c r="Q2091" s="115">
        <v>540.4</v>
      </c>
      <c r="R2091">
        <v>3768369</v>
      </c>
    </row>
    <row r="2092" spans="1:18" x14ac:dyDescent="0.25">
      <c r="A2092" s="169">
        <v>45756</v>
      </c>
      <c r="B2092" s="115">
        <v>549.6</v>
      </c>
      <c r="C2092" s="115">
        <v>540.1</v>
      </c>
      <c r="D2092" s="115">
        <v>537.25</v>
      </c>
      <c r="E2092" s="115">
        <v>543.04999999999995</v>
      </c>
      <c r="F2092" s="115">
        <v>540.1</v>
      </c>
      <c r="G2092">
        <v>297689</v>
      </c>
      <c r="H2092" s="115"/>
      <c r="I2092" s="115"/>
      <c r="L2092" s="169">
        <v>45756</v>
      </c>
      <c r="M2092" s="115">
        <v>540.20000000000005</v>
      </c>
      <c r="N2092" s="115">
        <v>549.65</v>
      </c>
      <c r="O2092" s="115">
        <v>537.15</v>
      </c>
      <c r="P2092" s="115">
        <v>545.95000000000005</v>
      </c>
      <c r="Q2092" s="115">
        <v>540.20000000000005</v>
      </c>
      <c r="R2092">
        <v>4722939</v>
      </c>
    </row>
    <row r="2093" spans="1:18" x14ac:dyDescent="0.25">
      <c r="A2093" s="169">
        <v>45758</v>
      </c>
      <c r="B2093" s="115">
        <v>548.45000000000005</v>
      </c>
      <c r="C2093" s="115">
        <v>545.5</v>
      </c>
      <c r="D2093" s="115">
        <v>535.35</v>
      </c>
      <c r="E2093" s="115">
        <v>548.45000000000005</v>
      </c>
      <c r="F2093" s="115">
        <v>545.5</v>
      </c>
      <c r="G2093">
        <v>157737</v>
      </c>
      <c r="H2093" s="115"/>
      <c r="I2093" s="115"/>
      <c r="L2093" s="169">
        <v>45758</v>
      </c>
      <c r="M2093" s="115">
        <v>545.75</v>
      </c>
      <c r="N2093" s="115">
        <v>547</v>
      </c>
      <c r="O2093" s="115">
        <v>535.35</v>
      </c>
      <c r="P2093" s="115">
        <v>540.20000000000005</v>
      </c>
      <c r="Q2093" s="115">
        <v>545.75</v>
      </c>
      <c r="R2093">
        <v>5318824</v>
      </c>
    </row>
    <row r="2094" spans="1:18" x14ac:dyDescent="0.25">
      <c r="A2094" s="169">
        <v>45762</v>
      </c>
      <c r="B2094" s="115">
        <v>555</v>
      </c>
      <c r="C2094" s="115">
        <v>550.65</v>
      </c>
      <c r="D2094" s="115">
        <v>544.29999999999995</v>
      </c>
      <c r="E2094" s="115">
        <v>553.1</v>
      </c>
      <c r="F2094" s="115">
        <v>550.65</v>
      </c>
      <c r="G2094">
        <v>91909</v>
      </c>
      <c r="H2094" s="115"/>
      <c r="I2094" s="115"/>
      <c r="L2094" s="169">
        <v>45762</v>
      </c>
      <c r="M2094" s="115">
        <v>550.6</v>
      </c>
      <c r="N2094" s="115">
        <v>556</v>
      </c>
      <c r="O2094" s="115">
        <v>544.04999999999995</v>
      </c>
      <c r="P2094" s="115">
        <v>556</v>
      </c>
      <c r="Q2094" s="115">
        <v>550.6</v>
      </c>
      <c r="R2094">
        <v>5151065</v>
      </c>
    </row>
    <row r="2095" spans="1:18" x14ac:dyDescent="0.25">
      <c r="A2095" s="169">
        <v>45763</v>
      </c>
      <c r="B2095" s="115">
        <v>553.79999999999995</v>
      </c>
      <c r="C2095" s="115">
        <v>549.25</v>
      </c>
      <c r="D2095" s="115">
        <v>543.5</v>
      </c>
      <c r="E2095" s="115">
        <v>551.1</v>
      </c>
      <c r="F2095" s="115">
        <v>549.25</v>
      </c>
      <c r="G2095">
        <v>232858</v>
      </c>
      <c r="H2095" s="115"/>
      <c r="I2095" s="115"/>
      <c r="L2095" s="169">
        <v>45763</v>
      </c>
      <c r="M2095" s="115">
        <v>549.20000000000005</v>
      </c>
      <c r="N2095" s="115">
        <v>553.79999999999995</v>
      </c>
      <c r="O2095" s="115">
        <v>543.54999999999995</v>
      </c>
      <c r="P2095" s="115">
        <v>550.6</v>
      </c>
      <c r="Q2095" s="115">
        <v>549.20000000000005</v>
      </c>
      <c r="R2095">
        <v>3702521</v>
      </c>
    </row>
    <row r="2096" spans="1:18" x14ac:dyDescent="0.25">
      <c r="A2096" s="169">
        <v>45764</v>
      </c>
      <c r="B2096" s="115">
        <v>568.5</v>
      </c>
      <c r="C2096" s="115">
        <v>556.9</v>
      </c>
      <c r="D2096" s="115">
        <v>547.04999999999995</v>
      </c>
      <c r="E2096" s="115">
        <v>547.04999999999995</v>
      </c>
      <c r="F2096" s="115">
        <v>556.9</v>
      </c>
      <c r="G2096">
        <v>628065</v>
      </c>
      <c r="H2096" s="115"/>
      <c r="I2096" s="115"/>
      <c r="L2096" s="169">
        <v>45764</v>
      </c>
      <c r="M2096" s="115">
        <v>556.75</v>
      </c>
      <c r="N2096" s="115">
        <v>568.5</v>
      </c>
      <c r="O2096" s="115">
        <v>549.25</v>
      </c>
      <c r="P2096" s="115">
        <v>550</v>
      </c>
      <c r="Q2096" s="115">
        <v>556.75</v>
      </c>
      <c r="R2096">
        <v>8481820</v>
      </c>
    </row>
    <row r="2097" spans="1:18" x14ac:dyDescent="0.25">
      <c r="A2097" s="169">
        <v>45768</v>
      </c>
      <c r="B2097" s="115">
        <v>563.6</v>
      </c>
      <c r="C2097" s="115">
        <v>546.6</v>
      </c>
      <c r="D2097" s="115">
        <v>543.5</v>
      </c>
      <c r="E2097" s="115">
        <v>563.6</v>
      </c>
      <c r="F2097" s="115">
        <v>546.6</v>
      </c>
      <c r="G2097">
        <v>414008</v>
      </c>
      <c r="H2097" s="115"/>
      <c r="I2097" s="115"/>
      <c r="L2097" s="169">
        <v>45768</v>
      </c>
      <c r="M2097" s="115">
        <v>546.79999999999995</v>
      </c>
      <c r="N2097" s="115">
        <v>562</v>
      </c>
      <c r="O2097" s="115">
        <v>543.29999999999995</v>
      </c>
      <c r="P2097" s="115">
        <v>562</v>
      </c>
      <c r="Q2097" s="115">
        <v>546.79999999999995</v>
      </c>
      <c r="R2097">
        <v>5680586</v>
      </c>
    </row>
    <row r="2098" spans="1:18" x14ac:dyDescent="0.25">
      <c r="A2098" s="169">
        <v>45769</v>
      </c>
      <c r="B2098" s="115">
        <v>557.04999999999995</v>
      </c>
      <c r="C2098" s="115">
        <v>549.29999999999995</v>
      </c>
      <c r="D2098" s="115">
        <v>548.04999999999995</v>
      </c>
      <c r="E2098" s="115">
        <v>550.6</v>
      </c>
      <c r="F2098" s="115">
        <v>549.29999999999995</v>
      </c>
      <c r="G2098">
        <v>152633</v>
      </c>
      <c r="H2098" s="115"/>
      <c r="I2098" s="115"/>
      <c r="L2098" s="169">
        <v>45769</v>
      </c>
      <c r="M2098" s="115">
        <v>549.45000000000005</v>
      </c>
      <c r="N2098" s="115">
        <v>557.4</v>
      </c>
      <c r="O2098" s="115">
        <v>548</v>
      </c>
      <c r="P2098" s="115">
        <v>549.5</v>
      </c>
      <c r="Q2098" s="115">
        <v>549.45000000000005</v>
      </c>
      <c r="R2098">
        <v>4384225</v>
      </c>
    </row>
    <row r="2099" spans="1:18" x14ac:dyDescent="0.25">
      <c r="A2099" s="169">
        <v>45770</v>
      </c>
      <c r="B2099" s="115">
        <v>557.5</v>
      </c>
      <c r="C2099" s="115">
        <v>548.95000000000005</v>
      </c>
      <c r="D2099" s="115">
        <v>545.35</v>
      </c>
      <c r="E2099" s="115">
        <v>554.45000000000005</v>
      </c>
      <c r="F2099" s="115">
        <v>548.95000000000005</v>
      </c>
      <c r="G2099">
        <v>95607</v>
      </c>
      <c r="H2099" s="115"/>
      <c r="I2099" s="115"/>
      <c r="L2099" s="169">
        <v>45770</v>
      </c>
      <c r="M2099" s="115">
        <v>549.15</v>
      </c>
      <c r="N2099" s="115">
        <v>557.79999999999995</v>
      </c>
      <c r="O2099" s="115">
        <v>545.1</v>
      </c>
      <c r="P2099" s="115">
        <v>552</v>
      </c>
      <c r="Q2099" s="115">
        <v>549.15</v>
      </c>
      <c r="R2099">
        <v>5172584</v>
      </c>
    </row>
    <row r="2100" spans="1:18" x14ac:dyDescent="0.25">
      <c r="A2100" s="169">
        <v>45771</v>
      </c>
      <c r="B2100" s="115">
        <v>552.5</v>
      </c>
      <c r="C2100" s="115">
        <v>532.29999999999995</v>
      </c>
      <c r="D2100" s="115">
        <v>531.20000000000005</v>
      </c>
      <c r="E2100" s="115">
        <v>550.25</v>
      </c>
      <c r="F2100" s="115">
        <v>532.29999999999995</v>
      </c>
      <c r="G2100">
        <v>205708</v>
      </c>
      <c r="H2100" s="115"/>
      <c r="I2100" s="115"/>
      <c r="L2100" s="169">
        <v>45771</v>
      </c>
      <c r="M2100" s="115">
        <v>532.35</v>
      </c>
      <c r="N2100" s="115">
        <v>553.20000000000005</v>
      </c>
      <c r="O2100" s="115">
        <v>531</v>
      </c>
      <c r="P2100" s="115">
        <v>550.85</v>
      </c>
      <c r="Q2100" s="115">
        <v>532.35</v>
      </c>
      <c r="R2100">
        <v>8356371</v>
      </c>
    </row>
    <row r="2101" spans="1:18" x14ac:dyDescent="0.25">
      <c r="A2101" s="169">
        <v>45772</v>
      </c>
      <c r="B2101" s="115">
        <v>537.5</v>
      </c>
      <c r="C2101" s="115">
        <v>522.1</v>
      </c>
      <c r="D2101" s="115">
        <v>516.5</v>
      </c>
      <c r="E2101" s="115">
        <v>533.65</v>
      </c>
      <c r="F2101" s="115">
        <v>522.1</v>
      </c>
      <c r="G2101">
        <v>164346</v>
      </c>
      <c r="H2101" s="115"/>
      <c r="I2101" s="115"/>
      <c r="L2101" s="169">
        <v>45772</v>
      </c>
      <c r="M2101" s="115">
        <v>521.95000000000005</v>
      </c>
      <c r="N2101" s="115">
        <v>537.6</v>
      </c>
      <c r="O2101" s="115">
        <v>516.1</v>
      </c>
      <c r="P2101" s="115">
        <v>534.1</v>
      </c>
      <c r="Q2101" s="115">
        <v>521.95000000000005</v>
      </c>
      <c r="R2101">
        <v>8422092</v>
      </c>
    </row>
    <row r="2102" spans="1:18" x14ac:dyDescent="0.25">
      <c r="A2102" s="169">
        <v>45775</v>
      </c>
      <c r="B2102" s="115">
        <v>540.35</v>
      </c>
      <c r="C2102" s="115">
        <v>533.04999999999995</v>
      </c>
      <c r="D2102" s="115">
        <v>520</v>
      </c>
      <c r="E2102" s="115">
        <v>520</v>
      </c>
      <c r="F2102" s="115">
        <v>533.04999999999995</v>
      </c>
      <c r="G2102">
        <v>388353</v>
      </c>
      <c r="H2102" s="115"/>
      <c r="I2102" s="115"/>
      <c r="L2102" s="169">
        <v>45775</v>
      </c>
      <c r="M2102" s="115">
        <v>533.20000000000005</v>
      </c>
      <c r="N2102" s="115">
        <v>540.45000000000005</v>
      </c>
      <c r="O2102" s="115">
        <v>520</v>
      </c>
      <c r="P2102" s="115">
        <v>520</v>
      </c>
      <c r="Q2102" s="115">
        <v>533.20000000000005</v>
      </c>
      <c r="R2102">
        <v>5207203</v>
      </c>
    </row>
    <row r="2103" spans="1:18" x14ac:dyDescent="0.25">
      <c r="A2103" s="169">
        <v>45776</v>
      </c>
      <c r="B2103" s="115">
        <v>538.54999999999995</v>
      </c>
      <c r="C2103" s="115">
        <v>528.95000000000005</v>
      </c>
      <c r="D2103" s="115">
        <v>523.70000000000005</v>
      </c>
      <c r="E2103" s="115">
        <v>536</v>
      </c>
      <c r="F2103" s="115">
        <v>528.95000000000005</v>
      </c>
      <c r="G2103">
        <v>145760</v>
      </c>
      <c r="H2103" s="115"/>
      <c r="I2103" s="115"/>
      <c r="L2103" s="169">
        <v>45776</v>
      </c>
      <c r="M2103" s="115">
        <v>529.15</v>
      </c>
      <c r="N2103" s="115">
        <v>539</v>
      </c>
      <c r="O2103" s="115">
        <v>523.45000000000005</v>
      </c>
      <c r="P2103" s="115">
        <v>535</v>
      </c>
      <c r="Q2103" s="115">
        <v>529.15</v>
      </c>
      <c r="R2103">
        <v>5188740</v>
      </c>
    </row>
    <row r="2104" spans="1:18" x14ac:dyDescent="0.25">
      <c r="A2104" s="169">
        <v>45777</v>
      </c>
      <c r="B2104" s="115">
        <v>537.25</v>
      </c>
      <c r="C2104" s="115">
        <v>521</v>
      </c>
      <c r="D2104" s="115">
        <v>507.45</v>
      </c>
      <c r="E2104" s="115">
        <v>528.65</v>
      </c>
      <c r="F2104" s="115">
        <v>521</v>
      </c>
      <c r="G2104">
        <v>1210477</v>
      </c>
      <c r="H2104" s="115"/>
      <c r="I2104" s="115"/>
      <c r="L2104" s="169">
        <v>45777</v>
      </c>
      <c r="M2104" s="115">
        <v>522.35</v>
      </c>
      <c r="N2104" s="115">
        <v>537</v>
      </c>
      <c r="O2104" s="115">
        <v>507.1</v>
      </c>
      <c r="P2104" s="115">
        <v>529</v>
      </c>
      <c r="Q2104" s="115">
        <v>522.35</v>
      </c>
      <c r="R2104">
        <v>22672997</v>
      </c>
    </row>
    <row r="2105" spans="1:18" x14ac:dyDescent="0.25">
      <c r="A2105" s="169">
        <v>45779</v>
      </c>
      <c r="B2105" s="115">
        <v>528.15</v>
      </c>
      <c r="C2105" s="115">
        <v>524.15</v>
      </c>
      <c r="D2105" s="115">
        <v>514.25</v>
      </c>
      <c r="E2105" s="115">
        <v>528.15</v>
      </c>
      <c r="F2105" s="115">
        <v>524.15</v>
      </c>
      <c r="G2105">
        <v>149990</v>
      </c>
      <c r="H2105" s="115"/>
      <c r="I2105" s="115"/>
      <c r="L2105" s="169">
        <v>45779</v>
      </c>
      <c r="M2105" s="115">
        <v>524.45000000000005</v>
      </c>
      <c r="N2105" s="115">
        <v>527.29999999999995</v>
      </c>
      <c r="O2105" s="115">
        <v>514</v>
      </c>
      <c r="P2105" s="115">
        <v>526.85</v>
      </c>
      <c r="Q2105" s="115">
        <v>524.45000000000005</v>
      </c>
      <c r="R2105">
        <v>10571150</v>
      </c>
    </row>
    <row r="2106" spans="1:18" x14ac:dyDescent="0.25">
      <c r="A2106" s="169">
        <v>45782</v>
      </c>
      <c r="B2106" s="115">
        <v>541.20000000000005</v>
      </c>
      <c r="C2106" s="115">
        <v>539.15</v>
      </c>
      <c r="D2106" s="115">
        <v>529.79999999999995</v>
      </c>
      <c r="E2106" s="115">
        <v>534.54999999999995</v>
      </c>
      <c r="F2106" s="115">
        <v>539.15</v>
      </c>
      <c r="G2106">
        <v>118634</v>
      </c>
      <c r="H2106" s="115"/>
      <c r="I2106" s="115"/>
      <c r="L2106" s="169">
        <v>45782</v>
      </c>
      <c r="M2106" s="115">
        <v>538.75</v>
      </c>
      <c r="N2106" s="115">
        <v>541.29999999999995</v>
      </c>
      <c r="O2106" s="115">
        <v>530</v>
      </c>
      <c r="P2106" s="115">
        <v>533.1</v>
      </c>
      <c r="Q2106" s="115">
        <v>538.75</v>
      </c>
      <c r="R2106">
        <v>8452993</v>
      </c>
    </row>
    <row r="2107" spans="1:18" x14ac:dyDescent="0.25">
      <c r="A2107" s="169">
        <v>45783</v>
      </c>
      <c r="B2107" s="115">
        <v>543.5</v>
      </c>
      <c r="C2107" s="115">
        <v>514.04999999999995</v>
      </c>
      <c r="D2107" s="115">
        <v>510.55</v>
      </c>
      <c r="E2107" s="115">
        <v>538.45000000000005</v>
      </c>
      <c r="F2107" s="115">
        <v>514.04999999999995</v>
      </c>
      <c r="G2107">
        <v>504118</v>
      </c>
      <c r="H2107" s="115"/>
      <c r="I2107" s="115"/>
      <c r="L2107" s="169">
        <v>45783</v>
      </c>
      <c r="M2107" s="115">
        <v>514.29999999999995</v>
      </c>
      <c r="N2107" s="115">
        <v>543.70000000000005</v>
      </c>
      <c r="O2107" s="115">
        <v>510.5</v>
      </c>
      <c r="P2107" s="115">
        <v>540</v>
      </c>
      <c r="Q2107" s="115">
        <v>514.29999999999995</v>
      </c>
      <c r="R2107">
        <v>7404521</v>
      </c>
    </row>
    <row r="2108" spans="1:18" x14ac:dyDescent="0.25">
      <c r="A2108" s="169">
        <v>45784</v>
      </c>
      <c r="B2108" s="115">
        <v>517.25</v>
      </c>
      <c r="C2108" s="115">
        <v>512.29999999999995</v>
      </c>
      <c r="D2108" s="115">
        <v>501.8</v>
      </c>
      <c r="E2108" s="115">
        <v>501.8</v>
      </c>
      <c r="F2108" s="115">
        <v>512.29999999999995</v>
      </c>
      <c r="G2108">
        <v>208436</v>
      </c>
      <c r="H2108" s="115"/>
      <c r="I2108" s="115"/>
      <c r="L2108" s="169">
        <v>45784</v>
      </c>
      <c r="M2108" s="115">
        <v>512.1</v>
      </c>
      <c r="N2108" s="115">
        <v>517.25</v>
      </c>
      <c r="O2108" s="115">
        <v>503.75</v>
      </c>
      <c r="P2108" s="115">
        <v>506</v>
      </c>
      <c r="Q2108" s="115">
        <v>512.1</v>
      </c>
      <c r="R2108">
        <v>7509344</v>
      </c>
    </row>
    <row r="2109" spans="1:18" x14ac:dyDescent="0.25">
      <c r="A2109" s="169">
        <v>45785</v>
      </c>
      <c r="B2109" s="115">
        <v>517.95000000000005</v>
      </c>
      <c r="C2109" s="115">
        <v>488.85</v>
      </c>
      <c r="D2109" s="115">
        <v>485.1</v>
      </c>
      <c r="E2109" s="115">
        <v>514.20000000000005</v>
      </c>
      <c r="F2109" s="115">
        <v>488.85</v>
      </c>
      <c r="G2109">
        <v>538834</v>
      </c>
      <c r="H2109" s="115"/>
      <c r="I2109" s="115"/>
      <c r="L2109" s="169">
        <v>45785</v>
      </c>
      <c r="M2109" s="115">
        <v>488.75</v>
      </c>
      <c r="N2109" s="115">
        <v>517.75</v>
      </c>
      <c r="O2109" s="115">
        <v>485</v>
      </c>
      <c r="P2109" s="115">
        <v>515</v>
      </c>
      <c r="Q2109" s="115">
        <v>488.75</v>
      </c>
      <c r="R2109">
        <v>13165058</v>
      </c>
    </row>
    <row r="2110" spans="1:18" x14ac:dyDescent="0.25">
      <c r="A2110" s="169">
        <v>45786</v>
      </c>
      <c r="B2110" s="115">
        <v>498.75</v>
      </c>
      <c r="C2110" s="115">
        <v>496.3</v>
      </c>
      <c r="D2110" s="115">
        <v>470.35</v>
      </c>
      <c r="E2110" s="115">
        <v>470.35</v>
      </c>
      <c r="F2110" s="115">
        <v>496.3</v>
      </c>
      <c r="G2110">
        <v>607144</v>
      </c>
      <c r="H2110" s="115"/>
      <c r="I2110" s="115"/>
      <c r="L2110" s="169">
        <v>45786</v>
      </c>
      <c r="M2110" s="115">
        <v>496.25</v>
      </c>
      <c r="N2110" s="115">
        <v>498.6</v>
      </c>
      <c r="O2110" s="115">
        <v>472.35</v>
      </c>
      <c r="P2110" s="115">
        <v>473</v>
      </c>
      <c r="Q2110" s="115">
        <v>496.25</v>
      </c>
      <c r="R2110">
        <v>12371720</v>
      </c>
    </row>
    <row r="2111" spans="1:18" x14ac:dyDescent="0.25">
      <c r="A2111" s="169">
        <v>45789</v>
      </c>
      <c r="B2111" s="115">
        <v>515.65</v>
      </c>
      <c r="C2111" s="115">
        <v>513.70000000000005</v>
      </c>
      <c r="D2111" s="115">
        <v>505.5</v>
      </c>
      <c r="E2111" s="115">
        <v>511.2</v>
      </c>
      <c r="F2111" s="115">
        <v>513.70000000000005</v>
      </c>
      <c r="G2111">
        <v>370973</v>
      </c>
      <c r="H2111" s="115"/>
      <c r="I2111" s="115"/>
      <c r="L2111" s="169">
        <v>45789</v>
      </c>
      <c r="M2111" s="115">
        <v>513.85</v>
      </c>
      <c r="N2111" s="115">
        <v>515.95000000000005</v>
      </c>
      <c r="O2111" s="115">
        <v>505.6</v>
      </c>
      <c r="P2111" s="115">
        <v>511.85</v>
      </c>
      <c r="Q2111" s="115">
        <v>513.85</v>
      </c>
      <c r="R2111">
        <v>4982466</v>
      </c>
    </row>
    <row r="2112" spans="1:18" x14ac:dyDescent="0.25">
      <c r="A2112" s="169">
        <v>45790</v>
      </c>
      <c r="B2112" s="115">
        <v>518</v>
      </c>
      <c r="C2112" s="115">
        <v>508.2</v>
      </c>
      <c r="D2112" s="115">
        <v>507.55</v>
      </c>
      <c r="E2112" s="115">
        <v>515.9</v>
      </c>
      <c r="F2112" s="115">
        <v>508.2</v>
      </c>
      <c r="G2112">
        <v>290550</v>
      </c>
      <c r="H2112" s="115"/>
      <c r="I2112" s="115"/>
      <c r="L2112" s="169">
        <v>45790</v>
      </c>
      <c r="M2112" s="115">
        <v>508.75</v>
      </c>
      <c r="N2112" s="115">
        <v>518</v>
      </c>
      <c r="O2112" s="115">
        <v>507.6</v>
      </c>
      <c r="P2112" s="115">
        <v>515</v>
      </c>
      <c r="Q2112" s="115">
        <v>508.75</v>
      </c>
      <c r="R2112">
        <v>5612532</v>
      </c>
    </row>
    <row r="2113" spans="1:18" x14ac:dyDescent="0.25">
      <c r="A2113" s="169">
        <v>45791</v>
      </c>
      <c r="B2113" s="115">
        <v>515.25</v>
      </c>
      <c r="C2113" s="115">
        <v>510.05</v>
      </c>
      <c r="D2113" s="115">
        <v>506.5</v>
      </c>
      <c r="E2113" s="115">
        <v>513</v>
      </c>
      <c r="F2113" s="115">
        <v>510.05</v>
      </c>
      <c r="G2113">
        <v>163509</v>
      </c>
      <c r="H2113" s="115"/>
      <c r="I2113" s="115"/>
      <c r="L2113" s="169">
        <v>45791</v>
      </c>
      <c r="M2113" s="115">
        <v>510.1</v>
      </c>
      <c r="N2113" s="115">
        <v>515.5</v>
      </c>
      <c r="O2113" s="115">
        <v>506.45</v>
      </c>
      <c r="P2113" s="115">
        <v>512</v>
      </c>
      <c r="Q2113" s="115">
        <v>510.1</v>
      </c>
      <c r="R2113">
        <v>8226540</v>
      </c>
    </row>
    <row r="2114" spans="1:18" x14ac:dyDescent="0.25">
      <c r="A2114" s="169">
        <v>45792</v>
      </c>
      <c r="B2114" s="115">
        <v>517.35</v>
      </c>
      <c r="C2114" s="115">
        <v>506.5</v>
      </c>
      <c r="D2114" s="115">
        <v>504.35</v>
      </c>
      <c r="E2114" s="115">
        <v>512.5</v>
      </c>
      <c r="F2114" s="115">
        <v>506.5</v>
      </c>
      <c r="G2114">
        <v>468591</v>
      </c>
      <c r="H2114" s="115"/>
      <c r="I2114" s="115"/>
      <c r="L2114" s="169">
        <v>45792</v>
      </c>
      <c r="M2114" s="115">
        <v>506.6</v>
      </c>
      <c r="N2114" s="115">
        <v>517.20000000000005</v>
      </c>
      <c r="O2114" s="115">
        <v>504.3</v>
      </c>
      <c r="P2114" s="115">
        <v>513.9</v>
      </c>
      <c r="Q2114" s="115">
        <v>506.6</v>
      </c>
      <c r="R2114">
        <v>9548436</v>
      </c>
    </row>
    <row r="2115" spans="1:18" x14ac:dyDescent="0.25">
      <c r="A2115" s="169">
        <v>45793</v>
      </c>
      <c r="B2115" s="115">
        <v>510.55</v>
      </c>
      <c r="C2115" s="115">
        <v>501.7</v>
      </c>
      <c r="D2115" s="115">
        <v>498.2</v>
      </c>
      <c r="E2115" s="115">
        <v>510.55</v>
      </c>
      <c r="F2115" s="115">
        <v>501.7</v>
      </c>
      <c r="G2115">
        <v>195367</v>
      </c>
      <c r="H2115" s="115"/>
      <c r="I2115" s="115"/>
      <c r="L2115" s="169">
        <v>45793</v>
      </c>
      <c r="M2115" s="115">
        <v>501.65</v>
      </c>
      <c r="N2115" s="115">
        <v>507.3</v>
      </c>
      <c r="O2115" s="115">
        <v>498</v>
      </c>
      <c r="P2115" s="115">
        <v>506.65</v>
      </c>
      <c r="Q2115" s="115">
        <v>501.65</v>
      </c>
      <c r="R2115">
        <v>9603273</v>
      </c>
    </row>
    <row r="2116" spans="1:18" x14ac:dyDescent="0.25">
      <c r="A2116" s="169">
        <v>45796</v>
      </c>
      <c r="B2116" s="115">
        <v>506.6</v>
      </c>
      <c r="C2116" s="115">
        <v>494.65</v>
      </c>
      <c r="D2116" s="115">
        <v>494</v>
      </c>
      <c r="E2116" s="115">
        <v>501.45</v>
      </c>
      <c r="F2116" s="115">
        <v>494.65</v>
      </c>
      <c r="G2116">
        <v>513773</v>
      </c>
      <c r="H2116" s="115"/>
      <c r="I2116" s="115"/>
      <c r="L2116" s="169">
        <v>45796</v>
      </c>
      <c r="M2116" s="115">
        <v>494.8</v>
      </c>
      <c r="N2116" s="115">
        <v>506.65</v>
      </c>
      <c r="O2116" s="115">
        <v>493.75</v>
      </c>
      <c r="P2116" s="115">
        <v>502</v>
      </c>
      <c r="Q2116" s="115">
        <v>494.8</v>
      </c>
      <c r="R2116">
        <v>6822744</v>
      </c>
    </row>
    <row r="2117" spans="1:18" x14ac:dyDescent="0.25">
      <c r="A2117" s="169">
        <v>45797</v>
      </c>
      <c r="B2117" s="115">
        <v>501</v>
      </c>
      <c r="C2117" s="115">
        <v>480.45</v>
      </c>
      <c r="D2117" s="115">
        <v>479</v>
      </c>
      <c r="E2117" s="115">
        <v>500</v>
      </c>
      <c r="F2117" s="115">
        <v>480.45</v>
      </c>
      <c r="G2117">
        <v>296675</v>
      </c>
      <c r="H2117" s="115"/>
      <c r="I2117" s="115"/>
      <c r="L2117" s="169">
        <v>45797</v>
      </c>
      <c r="M2117" s="115">
        <v>480.3</v>
      </c>
      <c r="N2117" s="115">
        <v>501.65</v>
      </c>
      <c r="O2117" s="115">
        <v>479</v>
      </c>
      <c r="P2117" s="115">
        <v>500</v>
      </c>
      <c r="Q2117" s="115">
        <v>480.3</v>
      </c>
      <c r="R2117">
        <v>10517145</v>
      </c>
    </row>
    <row r="2118" spans="1:18" x14ac:dyDescent="0.25">
      <c r="A2118" s="169">
        <v>45798</v>
      </c>
      <c r="B2118" s="115">
        <v>486.55</v>
      </c>
      <c r="C2118" s="115">
        <v>479.45</v>
      </c>
      <c r="D2118" s="115">
        <v>476.15</v>
      </c>
      <c r="E2118" s="115">
        <v>486.4</v>
      </c>
      <c r="F2118" s="115">
        <v>479.45</v>
      </c>
      <c r="G2118">
        <v>1082500</v>
      </c>
      <c r="H2118" s="115"/>
      <c r="I2118" s="115"/>
      <c r="L2118" s="169">
        <v>45798</v>
      </c>
      <c r="M2118" s="115">
        <v>479.15</v>
      </c>
      <c r="N2118" s="115">
        <v>486.8</v>
      </c>
      <c r="O2118" s="115">
        <v>476.1</v>
      </c>
      <c r="P2118" s="115">
        <v>483.95</v>
      </c>
      <c r="Q2118" s="115">
        <v>479.15</v>
      </c>
      <c r="R2118">
        <v>6741531</v>
      </c>
    </row>
    <row r="2119" spans="1:18" x14ac:dyDescent="0.25">
      <c r="A2119" s="169">
        <v>45799</v>
      </c>
      <c r="B2119" s="115">
        <v>480</v>
      </c>
      <c r="C2119" s="115">
        <v>470.35</v>
      </c>
      <c r="D2119" s="115">
        <v>467.45</v>
      </c>
      <c r="E2119" s="115">
        <v>479</v>
      </c>
      <c r="F2119" s="115">
        <v>470.35</v>
      </c>
      <c r="G2119">
        <v>659524</v>
      </c>
      <c r="H2119" s="115"/>
      <c r="I2119" s="115"/>
      <c r="L2119" s="169">
        <v>45799</v>
      </c>
      <c r="M2119" s="115">
        <v>469.55</v>
      </c>
      <c r="N2119" s="115">
        <v>479.95</v>
      </c>
      <c r="O2119" s="115">
        <v>467.4</v>
      </c>
      <c r="P2119" s="115">
        <v>479</v>
      </c>
      <c r="Q2119" s="115">
        <v>469.55</v>
      </c>
      <c r="R2119">
        <v>11871047</v>
      </c>
    </row>
    <row r="2120" spans="1:18" x14ac:dyDescent="0.25">
      <c r="A2120" s="169">
        <v>45800</v>
      </c>
      <c r="B2120" s="115">
        <v>491</v>
      </c>
      <c r="C2120" s="115">
        <v>488.65</v>
      </c>
      <c r="D2120" s="115">
        <v>474</v>
      </c>
      <c r="E2120" s="115">
        <v>474</v>
      </c>
      <c r="F2120" s="115">
        <v>488.65</v>
      </c>
      <c r="G2120">
        <v>972558</v>
      </c>
      <c r="H2120" s="115"/>
      <c r="I2120" s="115"/>
      <c r="L2120" s="169">
        <v>45800</v>
      </c>
      <c r="M2120" s="115">
        <v>488.75</v>
      </c>
      <c r="N2120" s="115">
        <v>490.9</v>
      </c>
      <c r="O2120" s="115">
        <v>474.5</v>
      </c>
      <c r="P2120" s="115">
        <v>475</v>
      </c>
      <c r="Q2120" s="115">
        <v>488.75</v>
      </c>
      <c r="R2120">
        <v>12851371</v>
      </c>
    </row>
    <row r="2121" spans="1:18" x14ac:dyDescent="0.25">
      <c r="A2121" s="169">
        <v>45803</v>
      </c>
      <c r="B2121" s="115">
        <v>493.25</v>
      </c>
      <c r="C2121" s="115">
        <v>482.75</v>
      </c>
      <c r="D2121" s="115">
        <v>479.05</v>
      </c>
      <c r="E2121" s="115">
        <v>492.6</v>
      </c>
      <c r="F2121" s="115">
        <v>482.75</v>
      </c>
      <c r="G2121">
        <v>192066</v>
      </c>
      <c r="H2121" s="115"/>
      <c r="I2121" s="115"/>
      <c r="L2121" s="169">
        <v>45803</v>
      </c>
      <c r="M2121" s="115">
        <v>482.7</v>
      </c>
      <c r="N2121" s="115">
        <v>493.4</v>
      </c>
      <c r="O2121" s="115">
        <v>479</v>
      </c>
      <c r="P2121" s="115">
        <v>493</v>
      </c>
      <c r="Q2121" s="115">
        <v>482.7</v>
      </c>
      <c r="R2121">
        <v>5213331</v>
      </c>
    </row>
    <row r="2122" spans="1:18" x14ac:dyDescent="0.25">
      <c r="A2122" s="169">
        <v>45804</v>
      </c>
      <c r="B2122" s="115">
        <v>491.75</v>
      </c>
      <c r="C2122" s="115">
        <v>485.3</v>
      </c>
      <c r="D2122" s="115">
        <v>479</v>
      </c>
      <c r="E2122" s="115">
        <v>490.1</v>
      </c>
      <c r="F2122" s="115">
        <v>485.3</v>
      </c>
      <c r="G2122">
        <v>709553</v>
      </c>
      <c r="H2122" s="115"/>
      <c r="I2122" s="115"/>
      <c r="L2122" s="169">
        <v>45804</v>
      </c>
      <c r="M2122" s="115">
        <v>485.55</v>
      </c>
      <c r="N2122" s="115">
        <v>491.6</v>
      </c>
      <c r="O2122" s="115">
        <v>479</v>
      </c>
      <c r="P2122" s="115">
        <v>491</v>
      </c>
      <c r="Q2122" s="115">
        <v>485.55</v>
      </c>
      <c r="R2122">
        <v>12868629</v>
      </c>
    </row>
    <row r="2123" spans="1:18" x14ac:dyDescent="0.25">
      <c r="A2123" s="169">
        <v>45805</v>
      </c>
      <c r="B2123" s="115">
        <v>487.75</v>
      </c>
      <c r="C2123" s="115">
        <v>483.45</v>
      </c>
      <c r="D2123" s="115">
        <v>482.3</v>
      </c>
      <c r="E2123" s="115">
        <v>486</v>
      </c>
      <c r="F2123" s="115">
        <v>483.45</v>
      </c>
      <c r="G2123">
        <v>138487</v>
      </c>
      <c r="H2123" s="115"/>
      <c r="I2123" s="115"/>
      <c r="L2123" s="169">
        <v>45805</v>
      </c>
      <c r="M2123" s="115">
        <v>483.9</v>
      </c>
      <c r="N2123" s="115">
        <v>487.85</v>
      </c>
      <c r="O2123" s="115">
        <v>482.35</v>
      </c>
      <c r="P2123" s="115">
        <v>486</v>
      </c>
      <c r="Q2123" s="115">
        <v>483.9</v>
      </c>
      <c r="R2123">
        <v>4402044</v>
      </c>
    </row>
    <row r="2124" spans="1:18" x14ac:dyDescent="0.25">
      <c r="A2124" s="169">
        <v>45806</v>
      </c>
      <c r="B2124" s="115">
        <v>487.4</v>
      </c>
      <c r="C2124" s="115">
        <v>482.85</v>
      </c>
      <c r="D2124" s="115">
        <v>479.5</v>
      </c>
      <c r="E2124" s="115">
        <v>487.4</v>
      </c>
      <c r="F2124" s="115">
        <v>482.85</v>
      </c>
      <c r="G2124">
        <v>89858</v>
      </c>
      <c r="H2124" s="115"/>
      <c r="I2124" s="115"/>
      <c r="L2124" s="169">
        <v>45806</v>
      </c>
      <c r="M2124" s="115">
        <v>483.05</v>
      </c>
      <c r="N2124" s="115">
        <v>485.75</v>
      </c>
      <c r="O2124" s="115">
        <v>479.25</v>
      </c>
      <c r="P2124" s="115">
        <v>485</v>
      </c>
      <c r="Q2124" s="115">
        <v>483.05</v>
      </c>
      <c r="R2124">
        <v>3848181</v>
      </c>
    </row>
    <row r="2125" spans="1:18" x14ac:dyDescent="0.25">
      <c r="A2125" s="169">
        <v>45807</v>
      </c>
      <c r="B2125" s="115">
        <v>484.55</v>
      </c>
      <c r="C2125" s="115">
        <v>475.9</v>
      </c>
      <c r="D2125" s="115">
        <v>474.75</v>
      </c>
      <c r="E2125" s="115">
        <v>482.5</v>
      </c>
      <c r="F2125" s="115">
        <v>475.9</v>
      </c>
      <c r="G2125">
        <v>218875</v>
      </c>
      <c r="H2125" s="115"/>
      <c r="I2125" s="115"/>
      <c r="L2125" s="169">
        <v>45807</v>
      </c>
      <c r="M2125" s="115">
        <v>475.95</v>
      </c>
      <c r="N2125" s="115">
        <v>484.95</v>
      </c>
      <c r="O2125" s="115">
        <v>475</v>
      </c>
      <c r="P2125" s="115">
        <v>483</v>
      </c>
      <c r="Q2125" s="115">
        <v>475.95</v>
      </c>
      <c r="R2125">
        <v>8745176</v>
      </c>
    </row>
    <row r="2126" spans="1:18" x14ac:dyDescent="0.25">
      <c r="A2126" s="169">
        <v>45810</v>
      </c>
      <c r="B2126" s="115">
        <v>484.4</v>
      </c>
      <c r="C2126" s="115">
        <v>482.1</v>
      </c>
      <c r="D2126" s="115">
        <v>475.2</v>
      </c>
      <c r="E2126" s="115">
        <v>477.85</v>
      </c>
      <c r="F2126" s="115">
        <v>482.1</v>
      </c>
      <c r="G2126">
        <v>118408</v>
      </c>
      <c r="H2126" s="115"/>
      <c r="I2126" s="115"/>
      <c r="L2126" s="169">
        <v>45810</v>
      </c>
      <c r="M2126" s="115">
        <v>481.65</v>
      </c>
      <c r="N2126" s="115">
        <v>484.8</v>
      </c>
      <c r="O2126" s="115">
        <v>475.2</v>
      </c>
      <c r="P2126" s="115">
        <v>476</v>
      </c>
      <c r="Q2126" s="115">
        <v>481.65</v>
      </c>
      <c r="R2126">
        <v>4888453</v>
      </c>
    </row>
    <row r="2127" spans="1:18" x14ac:dyDescent="0.25">
      <c r="A2127" s="169">
        <v>45811</v>
      </c>
      <c r="B2127" s="115">
        <v>485</v>
      </c>
      <c r="C2127" s="115">
        <v>474.3</v>
      </c>
      <c r="D2127" s="115">
        <v>470</v>
      </c>
      <c r="E2127" s="115">
        <v>483.05</v>
      </c>
      <c r="F2127" s="115">
        <v>474.3</v>
      </c>
      <c r="G2127">
        <v>393908</v>
      </c>
      <c r="H2127" s="115"/>
      <c r="I2127" s="115"/>
      <c r="L2127" s="169">
        <v>45811</v>
      </c>
      <c r="M2127" s="115">
        <v>474.4</v>
      </c>
      <c r="N2127" s="115">
        <v>484.8</v>
      </c>
      <c r="O2127" s="115">
        <v>469.7</v>
      </c>
      <c r="P2127" s="115">
        <v>484.5</v>
      </c>
      <c r="Q2127" s="115">
        <v>474.4</v>
      </c>
      <c r="R2127">
        <v>6727880</v>
      </c>
    </row>
    <row r="2128" spans="1:18" x14ac:dyDescent="0.25">
      <c r="A2128" s="169">
        <v>45812</v>
      </c>
      <c r="B2128" s="115">
        <v>477.25</v>
      </c>
      <c r="C2128" s="115">
        <v>467.85</v>
      </c>
      <c r="D2128" s="115">
        <v>465.6</v>
      </c>
      <c r="E2128" s="115">
        <v>475.7</v>
      </c>
      <c r="F2128" s="115">
        <v>467.85</v>
      </c>
      <c r="G2128">
        <v>168334</v>
      </c>
      <c r="H2128" s="115"/>
      <c r="I2128" s="115"/>
      <c r="L2128" s="169">
        <v>45812</v>
      </c>
      <c r="M2128" s="115">
        <v>467.8</v>
      </c>
      <c r="N2128" s="115">
        <v>477</v>
      </c>
      <c r="O2128" s="115">
        <v>465.55</v>
      </c>
      <c r="P2128" s="115">
        <v>475.9</v>
      </c>
      <c r="Q2128" s="115">
        <v>467.8</v>
      </c>
      <c r="R2128">
        <v>6368562</v>
      </c>
    </row>
    <row r="2129" spans="1:18" x14ac:dyDescent="0.25">
      <c r="A2129" s="169">
        <v>45813</v>
      </c>
      <c r="B2129" s="115">
        <v>472.8</v>
      </c>
      <c r="C2129" s="115">
        <v>468.45</v>
      </c>
      <c r="D2129" s="115">
        <v>466.8</v>
      </c>
      <c r="E2129" s="115">
        <v>470.1</v>
      </c>
      <c r="F2129" s="115">
        <v>468.45</v>
      </c>
      <c r="G2129">
        <v>345013</v>
      </c>
      <c r="H2129" s="115"/>
      <c r="I2129" s="115"/>
      <c r="L2129" s="169">
        <v>45813</v>
      </c>
      <c r="M2129" s="115">
        <v>468.1</v>
      </c>
      <c r="N2129" s="115">
        <v>472.7</v>
      </c>
      <c r="O2129" s="115">
        <v>466.6</v>
      </c>
      <c r="P2129" s="115">
        <v>469.75</v>
      </c>
      <c r="Q2129" s="115">
        <v>468.1</v>
      </c>
      <c r="R2129">
        <v>14463672</v>
      </c>
    </row>
    <row r="2130" spans="1:18" x14ac:dyDescent="0.25">
      <c r="A2130" s="169">
        <v>45814</v>
      </c>
      <c r="B2130" s="115">
        <v>478.75</v>
      </c>
      <c r="C2130" s="115">
        <v>477.1</v>
      </c>
      <c r="D2130" s="115">
        <v>469</v>
      </c>
      <c r="E2130" s="115">
        <v>469.5</v>
      </c>
      <c r="F2130" s="115">
        <v>477.1</v>
      </c>
      <c r="G2130">
        <v>499086</v>
      </c>
      <c r="H2130" s="115"/>
      <c r="I2130" s="115"/>
      <c r="L2130" s="169">
        <v>45814</v>
      </c>
      <c r="M2130" s="115">
        <v>477</v>
      </c>
      <c r="N2130" s="115">
        <v>478.65</v>
      </c>
      <c r="O2130" s="115">
        <v>468.25</v>
      </c>
      <c r="P2130" s="115">
        <v>470</v>
      </c>
      <c r="Q2130" s="115">
        <v>477</v>
      </c>
      <c r="R2130">
        <v>4357360</v>
      </c>
    </row>
    <row r="2131" spans="1:18" x14ac:dyDescent="0.25">
      <c r="A2131" s="169">
        <v>45817</v>
      </c>
      <c r="B2131" s="115">
        <v>480.45</v>
      </c>
      <c r="C2131" s="115">
        <v>476.45</v>
      </c>
      <c r="D2131" s="115">
        <v>474.5</v>
      </c>
      <c r="E2131" s="115">
        <v>479.5</v>
      </c>
      <c r="F2131" s="115">
        <v>476.45</v>
      </c>
      <c r="G2131">
        <v>342931</v>
      </c>
      <c r="H2131" s="115"/>
      <c r="I2131" s="115"/>
      <c r="L2131" s="169">
        <v>45817</v>
      </c>
      <c r="M2131" s="115">
        <v>476.6</v>
      </c>
      <c r="N2131" s="115">
        <v>480.5</v>
      </c>
      <c r="O2131" s="115">
        <v>474.55</v>
      </c>
      <c r="P2131" s="115">
        <v>479.3</v>
      </c>
      <c r="Q2131" s="115">
        <v>476.6</v>
      </c>
      <c r="R2131">
        <v>5449423</v>
      </c>
    </row>
    <row r="2132" spans="1:18" x14ac:dyDescent="0.25">
      <c r="A2132" s="169">
        <v>45818</v>
      </c>
      <c r="B2132" s="115">
        <v>483.9</v>
      </c>
      <c r="C2132" s="115">
        <v>476.25</v>
      </c>
      <c r="D2132" s="115">
        <v>475.6</v>
      </c>
      <c r="E2132" s="115">
        <v>478.25</v>
      </c>
      <c r="F2132" s="115">
        <v>476.25</v>
      </c>
      <c r="G2132">
        <v>363583</v>
      </c>
      <c r="H2132" s="115"/>
      <c r="I2132" s="115"/>
      <c r="L2132" s="169">
        <v>45818</v>
      </c>
      <c r="M2132" s="115">
        <v>476.25</v>
      </c>
      <c r="N2132" s="115">
        <v>484</v>
      </c>
      <c r="O2132" s="115">
        <v>475.65</v>
      </c>
      <c r="P2132" s="115">
        <v>479.2</v>
      </c>
      <c r="Q2132" s="115">
        <v>476.25</v>
      </c>
      <c r="R2132">
        <v>9766215</v>
      </c>
    </row>
    <row r="2133" spans="1:18" x14ac:dyDescent="0.25">
      <c r="A2133" s="169">
        <v>45819</v>
      </c>
      <c r="B2133" s="115">
        <v>479.4</v>
      </c>
      <c r="C2133" s="115">
        <v>475.15</v>
      </c>
      <c r="D2133" s="115">
        <v>470.05</v>
      </c>
      <c r="E2133" s="115">
        <v>478.25</v>
      </c>
      <c r="F2133" s="115">
        <v>475.15</v>
      </c>
      <c r="G2133">
        <v>531429</v>
      </c>
      <c r="H2133" s="115"/>
      <c r="I2133" s="115"/>
      <c r="L2133" s="169">
        <v>45819</v>
      </c>
      <c r="M2133" s="115">
        <v>475.1</v>
      </c>
      <c r="N2133" s="115">
        <v>479.35</v>
      </c>
      <c r="O2133" s="115">
        <v>470</v>
      </c>
      <c r="P2133" s="115">
        <v>478.05</v>
      </c>
      <c r="Q2133" s="115">
        <v>475.1</v>
      </c>
      <c r="R2133">
        <v>10243554</v>
      </c>
    </row>
    <row r="2134" spans="1:18" x14ac:dyDescent="0.25">
      <c r="A2134" s="169">
        <v>45820</v>
      </c>
      <c r="B2134" s="115">
        <v>484.15</v>
      </c>
      <c r="C2134" s="115">
        <v>476.3</v>
      </c>
      <c r="D2134" s="115">
        <v>474.2</v>
      </c>
      <c r="E2134" s="115">
        <v>479</v>
      </c>
      <c r="F2134" s="115">
        <v>476.3</v>
      </c>
      <c r="G2134">
        <v>3899454</v>
      </c>
      <c r="H2134" s="115"/>
      <c r="I2134" s="115"/>
      <c r="L2134" s="169">
        <v>45820</v>
      </c>
      <c r="M2134" s="115">
        <v>476.6</v>
      </c>
      <c r="N2134" s="115">
        <v>484.45</v>
      </c>
      <c r="O2134" s="115">
        <v>474.1</v>
      </c>
      <c r="P2134" s="115">
        <v>478.5</v>
      </c>
      <c r="Q2134" s="115">
        <v>476.6</v>
      </c>
      <c r="R2134">
        <v>10054611</v>
      </c>
    </row>
    <row r="2135" spans="1:18" x14ac:dyDescent="0.25">
      <c r="A2135" s="169">
        <v>45821</v>
      </c>
      <c r="B2135" s="115">
        <v>472.5</v>
      </c>
      <c r="C2135" s="115">
        <v>469.85</v>
      </c>
      <c r="D2135" s="115">
        <v>465.2</v>
      </c>
      <c r="E2135" s="115">
        <v>470</v>
      </c>
      <c r="F2135" s="115">
        <v>469.85</v>
      </c>
      <c r="G2135">
        <v>216169</v>
      </c>
      <c r="H2135" s="115"/>
      <c r="I2135" s="115"/>
      <c r="L2135" s="169">
        <v>45821</v>
      </c>
      <c r="M2135" s="115">
        <v>469.9</v>
      </c>
      <c r="N2135" s="115">
        <v>472.6</v>
      </c>
      <c r="O2135" s="115">
        <v>465</v>
      </c>
      <c r="P2135" s="115">
        <v>469.95</v>
      </c>
      <c r="Q2135" s="115">
        <v>469.9</v>
      </c>
      <c r="R2135">
        <v>5251917</v>
      </c>
    </row>
    <row r="2136" spans="1:18" x14ac:dyDescent="0.25">
      <c r="A2136" s="169">
        <v>45824</v>
      </c>
      <c r="B2136" s="115">
        <v>475.45</v>
      </c>
      <c r="C2136" s="115">
        <v>473.25</v>
      </c>
      <c r="D2136" s="115">
        <v>458.5</v>
      </c>
      <c r="E2136" s="115">
        <v>467.9</v>
      </c>
      <c r="F2136" s="115">
        <v>473.25</v>
      </c>
      <c r="G2136">
        <v>471899</v>
      </c>
      <c r="H2136" s="115"/>
      <c r="I2136" s="115"/>
      <c r="L2136" s="169">
        <v>45824</v>
      </c>
      <c r="M2136" s="115">
        <v>473.15</v>
      </c>
      <c r="N2136" s="115">
        <v>475.45</v>
      </c>
      <c r="O2136" s="115">
        <v>458.55</v>
      </c>
      <c r="P2136" s="115">
        <v>469</v>
      </c>
      <c r="Q2136" s="115">
        <v>473.15</v>
      </c>
      <c r="R2136">
        <v>7686376</v>
      </c>
    </row>
    <row r="2137" spans="1:18" x14ac:dyDescent="0.25">
      <c r="A2137" s="169">
        <v>45825</v>
      </c>
      <c r="B2137" s="115">
        <v>479.35</v>
      </c>
      <c r="C2137" s="115">
        <v>470.35</v>
      </c>
      <c r="D2137" s="115">
        <v>469.5</v>
      </c>
      <c r="E2137" s="115">
        <v>475.1</v>
      </c>
      <c r="F2137" s="115">
        <v>470.35</v>
      </c>
      <c r="G2137">
        <v>4591826</v>
      </c>
      <c r="H2137" s="115"/>
      <c r="I2137" s="115"/>
      <c r="L2137" s="169">
        <v>45825</v>
      </c>
      <c r="M2137" s="115">
        <v>470.35</v>
      </c>
      <c r="N2137" s="115">
        <v>479</v>
      </c>
      <c r="O2137" s="115">
        <v>469.3</v>
      </c>
      <c r="P2137" s="115">
        <v>474</v>
      </c>
      <c r="Q2137" s="115">
        <v>470.35</v>
      </c>
      <c r="R2137">
        <v>7390960</v>
      </c>
    </row>
    <row r="2138" spans="1:18" x14ac:dyDescent="0.25">
      <c r="A2138" s="169">
        <v>45826</v>
      </c>
      <c r="B2138" s="115">
        <v>471</v>
      </c>
      <c r="C2138" s="115">
        <v>469.45</v>
      </c>
      <c r="D2138" s="115">
        <v>465.3</v>
      </c>
      <c r="E2138" s="115">
        <v>468</v>
      </c>
      <c r="F2138" s="115">
        <v>469.45</v>
      </c>
      <c r="G2138">
        <v>91770</v>
      </c>
      <c r="H2138" s="115"/>
      <c r="I2138" s="115"/>
      <c r="L2138" s="169">
        <v>45826</v>
      </c>
      <c r="M2138" s="115">
        <v>469.4</v>
      </c>
      <c r="N2138" s="115">
        <v>471.2</v>
      </c>
      <c r="O2138" s="115">
        <v>465.2</v>
      </c>
      <c r="P2138" s="115">
        <v>467</v>
      </c>
      <c r="Q2138" s="115">
        <v>469.4</v>
      </c>
      <c r="R2138">
        <v>4768336</v>
      </c>
    </row>
    <row r="2139" spans="1:18" x14ac:dyDescent="0.25">
      <c r="A2139" s="169">
        <v>45827</v>
      </c>
      <c r="B2139" s="115">
        <v>464</v>
      </c>
      <c r="C2139" s="115">
        <v>448.3</v>
      </c>
      <c r="D2139" s="115">
        <v>445.6</v>
      </c>
      <c r="E2139" s="115">
        <v>457.95</v>
      </c>
      <c r="F2139" s="115">
        <v>448.3</v>
      </c>
      <c r="G2139">
        <v>821966</v>
      </c>
      <c r="H2139" s="115"/>
      <c r="I2139" s="115"/>
      <c r="L2139" s="169">
        <v>45827</v>
      </c>
      <c r="M2139" s="115">
        <v>448.65</v>
      </c>
      <c r="N2139" s="115">
        <v>463.15</v>
      </c>
      <c r="O2139" s="115">
        <v>446.15</v>
      </c>
      <c r="P2139" s="115">
        <v>460</v>
      </c>
      <c r="Q2139" s="115">
        <v>448.65</v>
      </c>
      <c r="R2139">
        <v>14815320</v>
      </c>
    </row>
    <row r="2140" spans="1:18" x14ac:dyDescent="0.25">
      <c r="A2140" s="169">
        <v>45828</v>
      </c>
      <c r="B2140" s="115">
        <v>461.95</v>
      </c>
      <c r="C2140" s="115">
        <v>458.9</v>
      </c>
      <c r="D2140" s="115">
        <v>447.9</v>
      </c>
      <c r="E2140" s="115">
        <v>448.5</v>
      </c>
      <c r="F2140" s="115">
        <v>458.9</v>
      </c>
      <c r="G2140">
        <v>367376</v>
      </c>
      <c r="H2140" s="115"/>
      <c r="I2140" s="115"/>
      <c r="L2140" s="169">
        <v>45828</v>
      </c>
      <c r="M2140" s="115">
        <v>459.6</v>
      </c>
      <c r="N2140" s="115">
        <v>462</v>
      </c>
      <c r="O2140" s="115">
        <v>447.65</v>
      </c>
      <c r="P2140" s="115">
        <v>448</v>
      </c>
      <c r="Q2140" s="115">
        <v>459.6</v>
      </c>
      <c r="R2140">
        <v>22583949</v>
      </c>
    </row>
    <row r="2141" spans="1:18" x14ac:dyDescent="0.25">
      <c r="A2141" s="169">
        <v>45831</v>
      </c>
      <c r="B2141" s="115">
        <v>468.4</v>
      </c>
      <c r="C2141" s="115">
        <v>461.55</v>
      </c>
      <c r="D2141" s="115">
        <v>455.6</v>
      </c>
      <c r="E2141" s="115">
        <v>458.8</v>
      </c>
      <c r="F2141" s="115">
        <v>461.55</v>
      </c>
      <c r="G2141">
        <v>160280</v>
      </c>
      <c r="H2141" s="115"/>
      <c r="I2141" s="115"/>
      <c r="L2141" s="169">
        <v>45831</v>
      </c>
      <c r="M2141" s="115">
        <v>461.8</v>
      </c>
      <c r="N2141" s="115">
        <v>468.4</v>
      </c>
      <c r="O2141" s="115">
        <v>454.75</v>
      </c>
      <c r="P2141" s="115">
        <v>457.45</v>
      </c>
      <c r="Q2141" s="115">
        <v>461.8</v>
      </c>
      <c r="R2141">
        <v>8576051</v>
      </c>
    </row>
    <row r="2142" spans="1:18" x14ac:dyDescent="0.25">
      <c r="A2142" s="169">
        <v>45832</v>
      </c>
      <c r="B2142" s="115">
        <v>466</v>
      </c>
      <c r="C2142" s="115">
        <v>462.65</v>
      </c>
      <c r="D2142" s="115">
        <v>459.55</v>
      </c>
      <c r="E2142" s="115">
        <v>464.95</v>
      </c>
      <c r="F2142" s="115">
        <v>462.65</v>
      </c>
      <c r="G2142">
        <v>169100</v>
      </c>
      <c r="H2142" s="115"/>
      <c r="I2142" s="115"/>
      <c r="L2142" s="169">
        <v>45832</v>
      </c>
      <c r="M2142" s="115">
        <v>462.75</v>
      </c>
      <c r="N2142" s="115">
        <v>465.75</v>
      </c>
      <c r="O2142" s="115">
        <v>459.55</v>
      </c>
      <c r="P2142" s="115">
        <v>464.05</v>
      </c>
      <c r="Q2142" s="115">
        <v>462.75</v>
      </c>
      <c r="R2142">
        <v>6439004</v>
      </c>
    </row>
    <row r="2143" spans="1:18" x14ac:dyDescent="0.25">
      <c r="A2143" s="169">
        <v>45833</v>
      </c>
      <c r="B2143" s="115">
        <v>465.8</v>
      </c>
      <c r="C2143" s="115">
        <v>460.45</v>
      </c>
      <c r="D2143" s="115">
        <v>458.9</v>
      </c>
      <c r="E2143" s="115">
        <v>464</v>
      </c>
      <c r="F2143" s="115">
        <v>460.45</v>
      </c>
      <c r="G2143">
        <v>137784</v>
      </c>
      <c r="H2143" s="115"/>
      <c r="I2143" s="115"/>
      <c r="L2143" s="169">
        <v>45833</v>
      </c>
      <c r="M2143" s="115">
        <v>460.3</v>
      </c>
      <c r="N2143" s="115">
        <v>465.85</v>
      </c>
      <c r="O2143" s="115">
        <v>458.75</v>
      </c>
      <c r="P2143" s="115">
        <v>464</v>
      </c>
      <c r="Q2143" s="115">
        <v>460.3</v>
      </c>
      <c r="R2143">
        <v>6769539</v>
      </c>
    </row>
    <row r="2144" spans="1:18" x14ac:dyDescent="0.25">
      <c r="A2144" s="169">
        <v>45834</v>
      </c>
      <c r="B2144" s="115">
        <v>462.2</v>
      </c>
      <c r="C2144" s="115">
        <v>458.5</v>
      </c>
      <c r="D2144" s="115">
        <v>454.6</v>
      </c>
      <c r="E2144" s="115">
        <v>461.05</v>
      </c>
      <c r="F2144" s="115">
        <v>458.5</v>
      </c>
      <c r="G2144">
        <v>406182</v>
      </c>
      <c r="H2144" s="115"/>
      <c r="I2144" s="115"/>
      <c r="L2144" s="169">
        <v>45834</v>
      </c>
      <c r="M2144" s="115">
        <v>458.4</v>
      </c>
      <c r="N2144" s="115">
        <v>462.3</v>
      </c>
      <c r="O2144" s="115">
        <v>454.5</v>
      </c>
      <c r="P2144" s="115">
        <v>461.8</v>
      </c>
      <c r="Q2144" s="115">
        <v>458.4</v>
      </c>
      <c r="R2144">
        <v>8390695</v>
      </c>
    </row>
    <row r="2145" spans="1:18" x14ac:dyDescent="0.25">
      <c r="A2145" s="169">
        <v>45835</v>
      </c>
      <c r="B2145" s="115">
        <v>465.75</v>
      </c>
      <c r="C2145" s="115">
        <v>461.8</v>
      </c>
      <c r="D2145" s="115">
        <v>459.85</v>
      </c>
      <c r="E2145" s="115">
        <v>461.05</v>
      </c>
      <c r="F2145" s="115">
        <v>461.8</v>
      </c>
      <c r="G2145">
        <v>396347</v>
      </c>
      <c r="H2145" s="115"/>
      <c r="I2145" s="115"/>
      <c r="L2145" s="169">
        <v>45835</v>
      </c>
      <c r="M2145" s="115">
        <v>461.6</v>
      </c>
      <c r="N2145" s="115">
        <v>465.8</v>
      </c>
      <c r="O2145" s="115">
        <v>459.9</v>
      </c>
      <c r="P2145" s="115">
        <v>462</v>
      </c>
      <c r="Q2145" s="115">
        <v>461.6</v>
      </c>
      <c r="R2145">
        <v>7460924</v>
      </c>
    </row>
    <row r="2146" spans="1:18" x14ac:dyDescent="0.25">
      <c r="A2146" s="169">
        <v>45838</v>
      </c>
      <c r="B2146" s="115">
        <v>464.95</v>
      </c>
      <c r="C2146" s="115">
        <v>457.55</v>
      </c>
      <c r="D2146" s="115">
        <v>454.9</v>
      </c>
      <c r="E2146" s="115">
        <v>461.85</v>
      </c>
      <c r="F2146" s="115">
        <v>457.55</v>
      </c>
      <c r="G2146">
        <v>410584</v>
      </c>
      <c r="H2146" s="115"/>
      <c r="I2146" s="115"/>
      <c r="L2146" s="169">
        <v>45838</v>
      </c>
      <c r="M2146" s="115">
        <v>457.55</v>
      </c>
      <c r="N2146" s="115">
        <v>464.8</v>
      </c>
      <c r="O2146" s="115">
        <v>454.75</v>
      </c>
      <c r="P2146" s="115">
        <v>464.8</v>
      </c>
      <c r="Q2146" s="115">
        <v>457.55</v>
      </c>
      <c r="R2146">
        <v>7221867</v>
      </c>
    </row>
    <row r="2147" spans="1:18" x14ac:dyDescent="0.25">
      <c r="A2147" s="169">
        <v>45839</v>
      </c>
      <c r="B2147" s="115">
        <v>460.45</v>
      </c>
      <c r="C2147" s="115">
        <v>451.6</v>
      </c>
      <c r="D2147" s="115">
        <v>450.55</v>
      </c>
      <c r="E2147" s="115">
        <v>460.45</v>
      </c>
      <c r="F2147" s="115">
        <v>451.6</v>
      </c>
      <c r="G2147">
        <v>1697587</v>
      </c>
      <c r="H2147" s="115"/>
      <c r="I2147" s="115"/>
      <c r="L2147" s="169">
        <v>45839</v>
      </c>
      <c r="M2147" s="115">
        <v>451.6</v>
      </c>
      <c r="N2147" s="115">
        <v>459.85</v>
      </c>
      <c r="O2147" s="115">
        <v>450.55</v>
      </c>
      <c r="P2147" s="115">
        <v>459</v>
      </c>
      <c r="Q2147" s="115">
        <v>451.6</v>
      </c>
      <c r="R2147">
        <v>6674529</v>
      </c>
    </row>
    <row r="2148" spans="1:18" x14ac:dyDescent="0.25">
      <c r="A2148" s="169">
        <v>45840</v>
      </c>
      <c r="B2148" s="115">
        <v>459.5</v>
      </c>
      <c r="C2148" s="115">
        <v>452.95</v>
      </c>
      <c r="D2148" s="115">
        <v>450.3</v>
      </c>
      <c r="E2148" s="115">
        <v>453</v>
      </c>
      <c r="F2148" s="115">
        <v>452.95</v>
      </c>
      <c r="G2148">
        <v>483377</v>
      </c>
      <c r="H2148" s="115"/>
      <c r="I2148" s="115"/>
      <c r="L2148" s="169">
        <v>45840</v>
      </c>
      <c r="M2148" s="115">
        <v>453.05</v>
      </c>
      <c r="N2148" s="115">
        <v>459.5</v>
      </c>
      <c r="O2148" s="115">
        <v>450.25</v>
      </c>
      <c r="P2148" s="115">
        <v>453</v>
      </c>
      <c r="Q2148" s="115">
        <v>453.05</v>
      </c>
      <c r="R2148">
        <v>6457381</v>
      </c>
    </row>
    <row r="2149" spans="1:18" x14ac:dyDescent="0.25">
      <c r="A2149" s="169">
        <v>45841</v>
      </c>
      <c r="B2149" s="115">
        <v>457.75</v>
      </c>
      <c r="C2149" s="115">
        <v>450.6</v>
      </c>
      <c r="D2149" s="115">
        <v>450.2</v>
      </c>
      <c r="E2149" s="115">
        <v>455</v>
      </c>
      <c r="F2149" s="115">
        <v>450.6</v>
      </c>
      <c r="G2149">
        <v>133966</v>
      </c>
      <c r="H2149" s="115"/>
      <c r="I2149" s="115"/>
      <c r="L2149" s="169">
        <v>45841</v>
      </c>
      <c r="M2149" s="115">
        <v>450.7</v>
      </c>
      <c r="N2149" s="115">
        <v>457.6</v>
      </c>
      <c r="O2149" s="115">
        <v>450.1</v>
      </c>
      <c r="P2149" s="115">
        <v>454.9</v>
      </c>
      <c r="Q2149" s="115">
        <v>450.7</v>
      </c>
      <c r="R2149">
        <v>3844728</v>
      </c>
    </row>
    <row r="2150" spans="1:18" x14ac:dyDescent="0.25">
      <c r="A2150" s="169">
        <v>45842</v>
      </c>
      <c r="B2150" s="115">
        <v>456.65</v>
      </c>
      <c r="C2150" s="115">
        <v>456.2</v>
      </c>
      <c r="D2150" s="115">
        <v>449.6</v>
      </c>
      <c r="E2150" s="115">
        <v>452.95</v>
      </c>
      <c r="F2150" s="115">
        <v>456.2</v>
      </c>
      <c r="G2150">
        <v>140549</v>
      </c>
      <c r="H2150" s="115"/>
      <c r="I2150" s="115"/>
      <c r="L2150" s="169">
        <v>45842</v>
      </c>
      <c r="M2150" s="115">
        <v>456.15</v>
      </c>
      <c r="N2150" s="115">
        <v>456.7</v>
      </c>
      <c r="O2150" s="115">
        <v>449.3</v>
      </c>
      <c r="P2150" s="115">
        <v>451.85</v>
      </c>
      <c r="Q2150" s="115">
        <v>456.15</v>
      </c>
      <c r="R2150">
        <v>4123037</v>
      </c>
    </row>
    <row r="2151" spans="1:18" x14ac:dyDescent="0.25">
      <c r="A2151" s="169">
        <v>45845</v>
      </c>
      <c r="B2151" s="115">
        <v>464.9</v>
      </c>
      <c r="C2151" s="115">
        <v>464.05</v>
      </c>
      <c r="D2151" s="115">
        <v>452.15</v>
      </c>
      <c r="E2151" s="115">
        <v>455.2</v>
      </c>
      <c r="F2151" s="115">
        <v>464.05</v>
      </c>
      <c r="G2151">
        <v>569272</v>
      </c>
      <c r="H2151" s="115"/>
      <c r="I2151" s="115"/>
      <c r="L2151" s="169">
        <v>45845</v>
      </c>
      <c r="M2151" s="115">
        <v>464.05</v>
      </c>
      <c r="N2151" s="115">
        <v>464.9</v>
      </c>
      <c r="O2151" s="115">
        <v>452</v>
      </c>
      <c r="P2151" s="115">
        <v>456.6</v>
      </c>
      <c r="Q2151" s="115">
        <v>464.05</v>
      </c>
      <c r="R2151">
        <v>5985198</v>
      </c>
    </row>
    <row r="2152" spans="1:18" x14ac:dyDescent="0.25">
      <c r="A2152" s="169">
        <v>45846</v>
      </c>
      <c r="B2152" s="115">
        <v>466.35</v>
      </c>
      <c r="C2152" s="115">
        <v>458.15</v>
      </c>
      <c r="D2152" s="115">
        <v>457.1</v>
      </c>
      <c r="E2152" s="115">
        <v>465.55</v>
      </c>
      <c r="F2152" s="115">
        <v>458.15</v>
      </c>
      <c r="G2152">
        <v>296937</v>
      </c>
      <c r="H2152" s="115"/>
      <c r="I2152" s="115"/>
      <c r="L2152" s="169">
        <v>45846</v>
      </c>
      <c r="M2152" s="115">
        <v>458.15</v>
      </c>
      <c r="N2152" s="115">
        <v>466.55</v>
      </c>
      <c r="O2152" s="115">
        <v>457.05</v>
      </c>
      <c r="P2152" s="115">
        <v>465</v>
      </c>
      <c r="Q2152" s="115">
        <v>458.15</v>
      </c>
      <c r="R2152">
        <v>5134262</v>
      </c>
    </row>
    <row r="2153" spans="1:18" x14ac:dyDescent="0.25">
      <c r="A2153" s="169">
        <v>45847</v>
      </c>
      <c r="B2153" s="115">
        <v>469.45</v>
      </c>
      <c r="C2153" s="115">
        <v>465.65</v>
      </c>
      <c r="D2153" s="115">
        <v>463.1</v>
      </c>
      <c r="E2153" s="115">
        <v>463.5</v>
      </c>
      <c r="F2153" s="115">
        <v>465.65</v>
      </c>
      <c r="G2153">
        <v>749395</v>
      </c>
      <c r="H2153" s="115"/>
      <c r="I2153" s="115"/>
      <c r="L2153" s="169">
        <v>45847</v>
      </c>
      <c r="M2153" s="115">
        <v>465.75</v>
      </c>
      <c r="N2153" s="115">
        <v>469.5</v>
      </c>
      <c r="O2153" s="115">
        <v>463.1</v>
      </c>
      <c r="P2153" s="115">
        <v>463.95</v>
      </c>
      <c r="Q2153" s="115">
        <v>465.75</v>
      </c>
      <c r="R2153">
        <v>12242332</v>
      </c>
    </row>
    <row r="2154" spans="1:18" x14ac:dyDescent="0.25">
      <c r="A2154" s="169">
        <v>45848</v>
      </c>
      <c r="B2154" s="115">
        <v>467.7</v>
      </c>
      <c r="C2154" s="115">
        <v>459.75</v>
      </c>
      <c r="D2154" s="115">
        <v>459.05</v>
      </c>
      <c r="E2154" s="115">
        <v>466.95</v>
      </c>
      <c r="F2154" s="115">
        <v>459.75</v>
      </c>
      <c r="G2154">
        <v>194651</v>
      </c>
      <c r="H2154" s="115"/>
      <c r="I2154" s="115"/>
      <c r="L2154" s="169">
        <v>45848</v>
      </c>
      <c r="M2154" s="115">
        <v>459.75</v>
      </c>
      <c r="N2154" s="115">
        <v>467.75</v>
      </c>
      <c r="O2154" s="115">
        <v>459</v>
      </c>
      <c r="P2154" s="115">
        <v>467.2</v>
      </c>
      <c r="Q2154" s="115">
        <v>459.75</v>
      </c>
      <c r="R2154">
        <v>5463510</v>
      </c>
    </row>
    <row r="2155" spans="1:18" x14ac:dyDescent="0.25">
      <c r="A2155" s="169">
        <v>45849</v>
      </c>
      <c r="B2155" s="115">
        <v>461.15</v>
      </c>
      <c r="C2155" s="115">
        <v>452.25</v>
      </c>
      <c r="D2155" s="115">
        <v>451</v>
      </c>
      <c r="E2155" s="115">
        <v>460.4</v>
      </c>
      <c r="F2155" s="115">
        <v>452.25</v>
      </c>
      <c r="G2155">
        <v>299054</v>
      </c>
      <c r="H2155" s="115"/>
      <c r="I2155" s="115"/>
      <c r="L2155" s="169">
        <v>45849</v>
      </c>
      <c r="M2155" s="115">
        <v>452.25</v>
      </c>
      <c r="N2155" s="115">
        <v>461.35</v>
      </c>
      <c r="O2155" s="115">
        <v>451</v>
      </c>
      <c r="P2155" s="115">
        <v>459.9</v>
      </c>
      <c r="Q2155" s="115">
        <v>452.25</v>
      </c>
      <c r="R2155">
        <v>7924312</v>
      </c>
    </row>
    <row r="2156" spans="1:18" x14ac:dyDescent="0.25">
      <c r="A2156" s="169">
        <v>45852</v>
      </c>
      <c r="B2156" s="115">
        <v>461.9</v>
      </c>
      <c r="C2156" s="115">
        <v>461.2</v>
      </c>
      <c r="D2156" s="115">
        <v>450.05</v>
      </c>
      <c r="E2156" s="115">
        <v>453.7</v>
      </c>
      <c r="F2156" s="115">
        <v>461.2</v>
      </c>
      <c r="G2156">
        <v>349783</v>
      </c>
      <c r="H2156" s="115"/>
      <c r="I2156" s="115"/>
      <c r="L2156" s="169">
        <v>45852</v>
      </c>
      <c r="M2156" s="115">
        <v>461.2</v>
      </c>
      <c r="N2156" s="115">
        <v>462</v>
      </c>
      <c r="O2156" s="115">
        <v>450</v>
      </c>
      <c r="P2156" s="115">
        <v>453.05</v>
      </c>
      <c r="Q2156" s="115">
        <v>461.2</v>
      </c>
      <c r="R2156">
        <v>9306246</v>
      </c>
    </row>
    <row r="2157" spans="1:18" x14ac:dyDescent="0.25">
      <c r="A2157" s="169">
        <v>45853</v>
      </c>
      <c r="B2157" s="115">
        <v>470.5</v>
      </c>
      <c r="C2157" s="115">
        <v>469.7</v>
      </c>
      <c r="D2157" s="115">
        <v>462.1</v>
      </c>
      <c r="E2157" s="115">
        <v>462.1</v>
      </c>
      <c r="F2157" s="115">
        <v>469.7</v>
      </c>
      <c r="G2157">
        <v>421463</v>
      </c>
      <c r="H2157" s="115"/>
      <c r="I2157" s="115"/>
      <c r="L2157" s="169">
        <v>45853</v>
      </c>
      <c r="M2157" s="115">
        <v>469.8</v>
      </c>
      <c r="N2157" s="115">
        <v>470.7</v>
      </c>
      <c r="O2157" s="115">
        <v>462.25</v>
      </c>
      <c r="P2157" s="115">
        <v>464</v>
      </c>
      <c r="Q2157" s="115">
        <v>469.8</v>
      </c>
      <c r="R2157">
        <v>5262734</v>
      </c>
    </row>
    <row r="2158" spans="1:18" x14ac:dyDescent="0.25">
      <c r="A2158" s="169">
        <v>45854</v>
      </c>
      <c r="B2158" s="115">
        <v>481.8</v>
      </c>
      <c r="C2158" s="115">
        <v>480.1</v>
      </c>
      <c r="D2158" s="115">
        <v>464.8</v>
      </c>
      <c r="E2158" s="115">
        <v>469.7</v>
      </c>
      <c r="F2158" s="115">
        <v>480.1</v>
      </c>
      <c r="G2158">
        <v>272158</v>
      </c>
      <c r="H2158" s="115"/>
      <c r="I2158" s="115"/>
      <c r="L2158" s="169">
        <v>45854</v>
      </c>
      <c r="M2158" s="115">
        <v>480.1</v>
      </c>
      <c r="N2158" s="115">
        <v>481.95</v>
      </c>
      <c r="O2158" s="115">
        <v>464.95</v>
      </c>
      <c r="P2158" s="115">
        <v>469.9</v>
      </c>
      <c r="Q2158" s="115">
        <v>480.1</v>
      </c>
      <c r="R2158">
        <v>15026248</v>
      </c>
    </row>
    <row r="2159" spans="1:18" x14ac:dyDescent="0.25">
      <c r="A2159" s="169">
        <v>45855</v>
      </c>
      <c r="B2159" s="115">
        <v>492.5</v>
      </c>
      <c r="C2159" s="115">
        <v>490.05</v>
      </c>
      <c r="D2159" s="115">
        <v>481.5</v>
      </c>
      <c r="E2159" s="115">
        <v>482</v>
      </c>
      <c r="F2159" s="115">
        <v>490.05</v>
      </c>
      <c r="G2159">
        <v>1289638</v>
      </c>
      <c r="H2159" s="115"/>
      <c r="I2159" s="115"/>
      <c r="L2159" s="169">
        <v>45855</v>
      </c>
      <c r="M2159" s="115">
        <v>490.15</v>
      </c>
      <c r="N2159" s="115">
        <v>492.9</v>
      </c>
      <c r="O2159" s="115">
        <v>481.3</v>
      </c>
      <c r="P2159" s="115">
        <v>481.6</v>
      </c>
      <c r="Q2159" s="115">
        <v>490.15</v>
      </c>
      <c r="R2159">
        <v>16465830</v>
      </c>
    </row>
    <row r="2160" spans="1:18" x14ac:dyDescent="0.25">
      <c r="A2160" s="169">
        <v>45856</v>
      </c>
      <c r="B2160" s="115">
        <v>491.2</v>
      </c>
      <c r="C2160" s="115">
        <v>484.85</v>
      </c>
      <c r="D2160" s="115">
        <v>482.6</v>
      </c>
      <c r="E2160" s="115">
        <v>491.05</v>
      </c>
      <c r="F2160" s="115">
        <v>484.85</v>
      </c>
      <c r="G2160">
        <v>168762</v>
      </c>
      <c r="H2160" s="115"/>
      <c r="I2160" s="115"/>
      <c r="L2160" s="169">
        <v>45856</v>
      </c>
      <c r="M2160" s="115">
        <v>484.85</v>
      </c>
      <c r="N2160" s="115">
        <v>491.75</v>
      </c>
      <c r="O2160" s="115">
        <v>482.6</v>
      </c>
      <c r="P2160" s="115">
        <v>491.75</v>
      </c>
      <c r="Q2160" s="115">
        <v>484.85</v>
      </c>
      <c r="R2160">
        <v>9200236</v>
      </c>
    </row>
    <row r="2161" spans="1:18" x14ac:dyDescent="0.25">
      <c r="A2161" s="169">
        <v>45859</v>
      </c>
      <c r="B2161" s="115">
        <v>491.5</v>
      </c>
      <c r="C2161" s="115">
        <v>489.25</v>
      </c>
      <c r="D2161" s="115">
        <v>484</v>
      </c>
      <c r="E2161" s="115">
        <v>485.35</v>
      </c>
      <c r="F2161" s="115">
        <v>489.25</v>
      </c>
      <c r="G2161">
        <v>462786</v>
      </c>
      <c r="H2161" s="115"/>
      <c r="I2161" s="115"/>
      <c r="L2161" s="169">
        <v>45859</v>
      </c>
      <c r="M2161" s="115">
        <v>489.3</v>
      </c>
      <c r="N2161" s="115">
        <v>491.6</v>
      </c>
      <c r="O2161" s="115">
        <v>483.65</v>
      </c>
      <c r="P2161" s="115">
        <v>486.4</v>
      </c>
      <c r="Q2161" s="115">
        <v>489.3</v>
      </c>
      <c r="R2161">
        <v>4835434</v>
      </c>
    </row>
    <row r="2162" spans="1:18" x14ac:dyDescent="0.25">
      <c r="A2162" s="169">
        <v>45860</v>
      </c>
      <c r="B2162" s="115">
        <v>490.95</v>
      </c>
      <c r="C2162" s="115">
        <v>485.35</v>
      </c>
      <c r="D2162" s="115">
        <v>483.7</v>
      </c>
      <c r="E2162" s="115">
        <v>490.3</v>
      </c>
      <c r="F2162" s="115">
        <v>485.35</v>
      </c>
      <c r="G2162">
        <v>73059</v>
      </c>
      <c r="H2162" s="115"/>
      <c r="I2162" s="115"/>
      <c r="L2162" s="169">
        <v>45860</v>
      </c>
      <c r="M2162" s="115">
        <v>485.25</v>
      </c>
      <c r="N2162" s="115">
        <v>490.8</v>
      </c>
      <c r="O2162" s="115">
        <v>483.6</v>
      </c>
      <c r="P2162" s="115">
        <v>490.45</v>
      </c>
      <c r="Q2162" s="115">
        <v>485.25</v>
      </c>
      <c r="R2162">
        <v>4432584</v>
      </c>
    </row>
    <row r="2163" spans="1:18" x14ac:dyDescent="0.25">
      <c r="A2163" s="169">
        <v>45861</v>
      </c>
      <c r="B2163" s="115">
        <v>489.2</v>
      </c>
      <c r="C2163" s="115">
        <v>487.8</v>
      </c>
      <c r="D2163" s="115">
        <v>484.9</v>
      </c>
      <c r="E2163" s="115">
        <v>485.75</v>
      </c>
      <c r="F2163" s="115">
        <v>487.8</v>
      </c>
      <c r="G2163">
        <v>308805</v>
      </c>
      <c r="H2163" s="115"/>
      <c r="I2163" s="115"/>
      <c r="L2163" s="169">
        <v>45861</v>
      </c>
      <c r="M2163" s="115">
        <v>487.75</v>
      </c>
      <c r="N2163" s="115">
        <v>489.2</v>
      </c>
      <c r="O2163" s="115">
        <v>484.8</v>
      </c>
      <c r="P2163" s="115">
        <v>487.8</v>
      </c>
      <c r="Q2163" s="115">
        <v>487.75</v>
      </c>
      <c r="R2163">
        <v>5120218</v>
      </c>
    </row>
    <row r="2164" spans="1:18" x14ac:dyDescent="0.25">
      <c r="A2164" s="169">
        <v>45862</v>
      </c>
      <c r="B2164" s="115">
        <v>490</v>
      </c>
      <c r="C2164" s="115">
        <v>485.65</v>
      </c>
      <c r="D2164" s="115">
        <v>483.35</v>
      </c>
      <c r="E2164" s="115">
        <v>488.45</v>
      </c>
      <c r="F2164" s="115">
        <v>485.65</v>
      </c>
      <c r="G2164">
        <v>306714</v>
      </c>
      <c r="H2164" s="115"/>
      <c r="I2164" s="115"/>
      <c r="L2164" s="169">
        <v>45862</v>
      </c>
      <c r="M2164" s="115">
        <v>486</v>
      </c>
      <c r="N2164" s="115">
        <v>489.65</v>
      </c>
      <c r="O2164" s="115">
        <v>483.4</v>
      </c>
      <c r="P2164" s="115">
        <v>487.75</v>
      </c>
      <c r="Q2164" s="115">
        <v>486</v>
      </c>
      <c r="R2164">
        <v>6791051</v>
      </c>
    </row>
    <row r="2165" spans="1:18" x14ac:dyDescent="0.25">
      <c r="A2165" s="169">
        <v>45863</v>
      </c>
      <c r="B2165" s="115">
        <v>487.65</v>
      </c>
      <c r="C2165" s="115">
        <v>477.25</v>
      </c>
      <c r="D2165" s="115">
        <v>476</v>
      </c>
      <c r="E2165" s="115">
        <v>484.35</v>
      </c>
      <c r="F2165" s="115">
        <v>477.25</v>
      </c>
      <c r="G2165">
        <v>129596</v>
      </c>
      <c r="H2165" s="115"/>
      <c r="I2165" s="115"/>
      <c r="L2165" s="169">
        <v>45863</v>
      </c>
      <c r="M2165" s="115">
        <v>477.15</v>
      </c>
      <c r="N2165" s="115">
        <v>487.65</v>
      </c>
      <c r="O2165" s="115">
        <v>475.35</v>
      </c>
      <c r="P2165" s="115">
        <v>486.95</v>
      </c>
      <c r="Q2165" s="115">
        <v>477.15</v>
      </c>
      <c r="R2165">
        <v>6477551</v>
      </c>
    </row>
    <row r="2166" spans="1:18" x14ac:dyDescent="0.25">
      <c r="A2166" s="169">
        <v>45866</v>
      </c>
      <c r="B2166" s="115">
        <v>488</v>
      </c>
      <c r="C2166" s="115">
        <v>486.65</v>
      </c>
      <c r="D2166" s="115">
        <v>471.75</v>
      </c>
      <c r="E2166" s="115">
        <v>471.75</v>
      </c>
      <c r="F2166" s="115">
        <v>486.65</v>
      </c>
      <c r="G2166">
        <v>545255</v>
      </c>
      <c r="H2166" s="115"/>
      <c r="I2166" s="115"/>
      <c r="L2166" s="169">
        <v>45866</v>
      </c>
      <c r="M2166" s="115">
        <v>486.75</v>
      </c>
      <c r="N2166" s="115">
        <v>488.1</v>
      </c>
      <c r="O2166" s="115">
        <v>473.15</v>
      </c>
      <c r="P2166" s="115">
        <v>474</v>
      </c>
      <c r="Q2166" s="115">
        <v>486.75</v>
      </c>
      <c r="R2166">
        <v>8143141</v>
      </c>
    </row>
    <row r="2167" spans="1:18" x14ac:dyDescent="0.25">
      <c r="A2167" s="169">
        <v>45867</v>
      </c>
      <c r="B2167" s="115">
        <v>514.9</v>
      </c>
      <c r="C2167" s="115">
        <v>512.20000000000005</v>
      </c>
      <c r="D2167" s="115">
        <v>478.25</v>
      </c>
      <c r="E2167" s="115">
        <v>485.15</v>
      </c>
      <c r="F2167" s="115">
        <v>512.20000000000005</v>
      </c>
      <c r="G2167">
        <v>985080</v>
      </c>
      <c r="H2167" s="115"/>
      <c r="I2167" s="115"/>
      <c r="L2167" s="169">
        <v>45867</v>
      </c>
      <c r="M2167" s="115">
        <v>512.15</v>
      </c>
      <c r="N2167" s="115">
        <v>514.79999999999995</v>
      </c>
      <c r="O2167" s="115">
        <v>478.05</v>
      </c>
      <c r="P2167" s="115">
        <v>486.1</v>
      </c>
      <c r="Q2167" s="115">
        <v>512.15</v>
      </c>
      <c r="R2167">
        <v>24363407</v>
      </c>
    </row>
    <row r="2168" spans="1:18" x14ac:dyDescent="0.25">
      <c r="A2168" s="169">
        <v>45868</v>
      </c>
      <c r="B2168" s="115">
        <v>534</v>
      </c>
      <c r="C2168" s="115">
        <v>521.79999999999995</v>
      </c>
      <c r="D2168" s="115">
        <v>514.04999999999995</v>
      </c>
      <c r="E2168" s="115">
        <v>514.04999999999995</v>
      </c>
      <c r="F2168" s="115">
        <v>521.79999999999995</v>
      </c>
      <c r="G2168">
        <v>1850885</v>
      </c>
      <c r="H2168" s="115"/>
      <c r="I2168" s="115"/>
      <c r="L2168" s="169">
        <v>45868</v>
      </c>
      <c r="M2168" s="115">
        <v>522.1</v>
      </c>
      <c r="N2168" s="115">
        <v>534.20000000000005</v>
      </c>
      <c r="O2168" s="115">
        <v>515</v>
      </c>
      <c r="P2168" s="115">
        <v>515</v>
      </c>
      <c r="Q2168" s="115">
        <v>522.1</v>
      </c>
      <c r="R2168">
        <v>25521111</v>
      </c>
    </row>
    <row r="2169" spans="1:18" x14ac:dyDescent="0.25">
      <c r="A2169" s="169">
        <v>45869</v>
      </c>
      <c r="B2169" s="115">
        <v>524.85</v>
      </c>
      <c r="C2169" s="115">
        <v>522.6</v>
      </c>
      <c r="D2169" s="115">
        <v>511.65</v>
      </c>
      <c r="E2169" s="115">
        <v>511.65</v>
      </c>
      <c r="F2169" s="115">
        <v>522.6</v>
      </c>
      <c r="G2169">
        <v>220042</v>
      </c>
      <c r="H2169" s="115"/>
      <c r="I2169" s="115"/>
      <c r="L2169" s="169">
        <v>45869</v>
      </c>
      <c r="M2169" s="115">
        <v>522.6</v>
      </c>
      <c r="N2169" s="115">
        <v>525</v>
      </c>
      <c r="O2169" s="115">
        <v>512</v>
      </c>
      <c r="P2169" s="115">
        <v>512.04999999999995</v>
      </c>
      <c r="Q2169" s="115">
        <v>522.6</v>
      </c>
      <c r="R2169">
        <v>6593398</v>
      </c>
    </row>
    <row r="2170" spans="1:18" x14ac:dyDescent="0.25">
      <c r="A2170" s="169">
        <v>45870</v>
      </c>
      <c r="B2170" s="115">
        <v>524</v>
      </c>
      <c r="C2170" s="115">
        <v>511.55</v>
      </c>
      <c r="D2170" s="115">
        <v>510.15</v>
      </c>
      <c r="E2170" s="115">
        <v>522.6</v>
      </c>
      <c r="F2170" s="115">
        <v>511.55</v>
      </c>
      <c r="G2170">
        <v>362816</v>
      </c>
      <c r="H2170" s="115"/>
      <c r="I2170" s="115"/>
      <c r="L2170" s="169">
        <v>45870</v>
      </c>
      <c r="M2170" s="115">
        <v>511.9</v>
      </c>
      <c r="N2170" s="115">
        <v>524.20000000000005</v>
      </c>
      <c r="O2170" s="115">
        <v>510.1</v>
      </c>
      <c r="P2170" s="115">
        <v>522.6</v>
      </c>
      <c r="Q2170" s="115">
        <v>511.9</v>
      </c>
      <c r="R2170">
        <v>4418258</v>
      </c>
    </row>
    <row r="2171" spans="1:18" x14ac:dyDescent="0.25">
      <c r="A2171" s="169">
        <v>45873</v>
      </c>
      <c r="B2171" s="115">
        <v>511.55</v>
      </c>
      <c r="C2171" s="115">
        <v>508.85</v>
      </c>
      <c r="D2171" s="115">
        <v>503.3</v>
      </c>
      <c r="E2171" s="115">
        <v>509.15</v>
      </c>
      <c r="F2171" s="115">
        <v>508.85</v>
      </c>
      <c r="G2171">
        <v>137822</v>
      </c>
      <c r="H2171" s="115"/>
      <c r="I2171" s="115"/>
      <c r="L2171" s="169">
        <v>45873</v>
      </c>
      <c r="M2171" s="115">
        <v>508.6</v>
      </c>
      <c r="N2171" s="115">
        <v>511.55</v>
      </c>
      <c r="O2171" s="115">
        <v>503.05</v>
      </c>
      <c r="P2171" s="115">
        <v>510</v>
      </c>
      <c r="Q2171" s="115">
        <v>508.6</v>
      </c>
      <c r="R2171">
        <v>3691631</v>
      </c>
    </row>
    <row r="2172" spans="1:18" x14ac:dyDescent="0.25">
      <c r="A2172" s="169">
        <v>45874</v>
      </c>
      <c r="B2172" s="115">
        <v>512.85</v>
      </c>
      <c r="C2172" s="115">
        <v>508</v>
      </c>
      <c r="D2172" s="115">
        <v>504.8</v>
      </c>
      <c r="E2172" s="115">
        <v>509.65</v>
      </c>
      <c r="F2172" s="115">
        <v>508</v>
      </c>
      <c r="G2172">
        <v>190437</v>
      </c>
      <c r="H2172" s="115"/>
      <c r="I2172" s="115"/>
      <c r="L2172" s="169">
        <v>45874</v>
      </c>
      <c r="M2172" s="115">
        <v>508.1</v>
      </c>
      <c r="N2172" s="115">
        <v>512.9</v>
      </c>
      <c r="O2172" s="115">
        <v>504.65</v>
      </c>
      <c r="P2172" s="115">
        <v>511</v>
      </c>
      <c r="Q2172" s="115">
        <v>508.1</v>
      </c>
      <c r="R2172">
        <v>2223010</v>
      </c>
    </row>
    <row r="2173" spans="1:18" x14ac:dyDescent="0.25">
      <c r="A2173" s="169">
        <v>45875</v>
      </c>
      <c r="B2173" s="115">
        <v>507.55</v>
      </c>
      <c r="C2173" s="115">
        <v>499.15</v>
      </c>
      <c r="D2173" s="115">
        <v>497.15</v>
      </c>
      <c r="E2173" s="115">
        <v>505.15</v>
      </c>
      <c r="F2173" s="115">
        <v>499.15</v>
      </c>
      <c r="G2173">
        <v>123628</v>
      </c>
      <c r="H2173" s="115"/>
      <c r="I2173" s="115"/>
      <c r="L2173" s="169">
        <v>45875</v>
      </c>
      <c r="M2173" s="115">
        <v>499.2</v>
      </c>
      <c r="N2173" s="115">
        <v>507.95</v>
      </c>
      <c r="O2173" s="115">
        <v>497.25</v>
      </c>
      <c r="P2173" s="115">
        <v>506</v>
      </c>
      <c r="Q2173" s="115">
        <v>499.2</v>
      </c>
      <c r="R2173">
        <v>3191536</v>
      </c>
    </row>
    <row r="2174" spans="1:18" x14ac:dyDescent="0.25">
      <c r="A2174" s="169">
        <v>45876</v>
      </c>
      <c r="B2174" s="115">
        <v>504.3</v>
      </c>
      <c r="C2174" s="115">
        <v>502.4</v>
      </c>
      <c r="D2174" s="115">
        <v>491.85</v>
      </c>
      <c r="E2174" s="115">
        <v>494.05</v>
      </c>
      <c r="F2174" s="115">
        <v>502.4</v>
      </c>
      <c r="G2174">
        <v>175014</v>
      </c>
      <c r="H2174" s="115"/>
      <c r="I2174" s="115"/>
      <c r="L2174" s="169">
        <v>45876</v>
      </c>
      <c r="M2174" s="115">
        <v>502.7</v>
      </c>
      <c r="N2174" s="115">
        <v>504.25</v>
      </c>
      <c r="O2174" s="115">
        <v>491.4</v>
      </c>
      <c r="P2174" s="115">
        <v>495</v>
      </c>
      <c r="Q2174" s="115">
        <v>502.7</v>
      </c>
      <c r="R2174">
        <v>4385680</v>
      </c>
    </row>
    <row r="2175" spans="1:18" x14ac:dyDescent="0.25">
      <c r="A2175" s="169">
        <v>45877</v>
      </c>
      <c r="B2175" s="115">
        <v>507.2</v>
      </c>
      <c r="C2175" s="115">
        <v>495.95</v>
      </c>
      <c r="D2175" s="115">
        <v>494.5</v>
      </c>
      <c r="E2175" s="115">
        <v>505</v>
      </c>
      <c r="F2175" s="115">
        <v>495.95</v>
      </c>
      <c r="G2175">
        <v>91933</v>
      </c>
      <c r="H2175" s="115"/>
      <c r="I2175" s="115"/>
      <c r="L2175" s="169">
        <v>45877</v>
      </c>
      <c r="M2175" s="115">
        <v>495.95</v>
      </c>
      <c r="N2175" s="115">
        <v>507.15</v>
      </c>
      <c r="O2175" s="115">
        <v>494.65</v>
      </c>
      <c r="P2175" s="115">
        <v>504.2</v>
      </c>
      <c r="Q2175" s="115">
        <v>495.95</v>
      </c>
      <c r="R2175">
        <v>2571658</v>
      </c>
    </row>
    <row r="2176" spans="1:18" x14ac:dyDescent="0.25">
      <c r="A2176" s="169">
        <v>45880</v>
      </c>
      <c r="B2176" s="115">
        <v>512</v>
      </c>
      <c r="C2176" s="115">
        <v>510.9</v>
      </c>
      <c r="D2176" s="115">
        <v>492.3</v>
      </c>
      <c r="E2176" s="115">
        <v>495.95</v>
      </c>
      <c r="F2176" s="115">
        <v>510.9</v>
      </c>
      <c r="G2176">
        <v>398732</v>
      </c>
      <c r="H2176" s="115"/>
      <c r="I2176" s="115"/>
      <c r="L2176" s="169">
        <v>45880</v>
      </c>
      <c r="M2176" s="115">
        <v>510.75</v>
      </c>
      <c r="N2176" s="115">
        <v>512</v>
      </c>
      <c r="O2176" s="115">
        <v>492.5</v>
      </c>
      <c r="P2176" s="115">
        <v>495.95</v>
      </c>
      <c r="Q2176" s="115">
        <v>510.75</v>
      </c>
      <c r="R2176">
        <v>6605020</v>
      </c>
    </row>
    <row r="2177" spans="1:18" x14ac:dyDescent="0.25">
      <c r="A2177" s="169">
        <v>45881</v>
      </c>
      <c r="B2177" s="115">
        <v>517.29999999999995</v>
      </c>
      <c r="C2177" s="115">
        <v>514.5</v>
      </c>
      <c r="D2177" s="115">
        <v>508.05</v>
      </c>
      <c r="E2177" s="115">
        <v>513</v>
      </c>
      <c r="F2177" s="115">
        <v>514.5</v>
      </c>
      <c r="G2177">
        <v>499346</v>
      </c>
      <c r="H2177" s="115"/>
      <c r="I2177" s="115"/>
      <c r="L2177" s="169">
        <v>45881</v>
      </c>
      <c r="M2177" s="115">
        <v>514.25</v>
      </c>
      <c r="N2177" s="115">
        <v>517.4</v>
      </c>
      <c r="O2177" s="115">
        <v>508.15</v>
      </c>
      <c r="P2177" s="115">
        <v>512.75</v>
      </c>
      <c r="Q2177" s="115">
        <v>514.25</v>
      </c>
      <c r="R2177">
        <v>3513096</v>
      </c>
    </row>
    <row r="2178" spans="1:18" x14ac:dyDescent="0.25">
      <c r="A2178" s="169">
        <v>45882</v>
      </c>
      <c r="B2178" s="115">
        <v>519.9</v>
      </c>
      <c r="C2178" s="115">
        <v>510.9</v>
      </c>
      <c r="D2178" s="115">
        <v>510.05</v>
      </c>
      <c r="E2178" s="115">
        <v>514.95000000000005</v>
      </c>
      <c r="F2178" s="115">
        <v>510.9</v>
      </c>
      <c r="G2178">
        <v>380883</v>
      </c>
      <c r="H2178" s="115"/>
      <c r="I2178" s="115"/>
      <c r="L2178" s="169">
        <v>45882</v>
      </c>
      <c r="M2178" s="115">
        <v>511.1</v>
      </c>
      <c r="N2178" s="115">
        <v>520</v>
      </c>
      <c r="O2178" s="115">
        <v>510.05</v>
      </c>
      <c r="P2178" s="115">
        <v>514</v>
      </c>
      <c r="Q2178" s="115">
        <v>511.1</v>
      </c>
      <c r="R2178">
        <v>6969613</v>
      </c>
    </row>
    <row r="2179" spans="1:18" x14ac:dyDescent="0.25">
      <c r="A2179" s="169">
        <v>45883</v>
      </c>
      <c r="B2179" s="115">
        <v>511.2</v>
      </c>
      <c r="C2179" s="115">
        <v>502.4</v>
      </c>
      <c r="D2179" s="115">
        <v>499.5</v>
      </c>
      <c r="E2179" s="115">
        <v>511.15</v>
      </c>
      <c r="F2179" s="115">
        <v>502.4</v>
      </c>
      <c r="G2179">
        <v>147401</v>
      </c>
      <c r="H2179" s="115"/>
      <c r="I2179" s="115"/>
      <c r="L2179" s="169">
        <v>45883</v>
      </c>
      <c r="M2179" s="115">
        <v>501.85</v>
      </c>
      <c r="N2179" s="115">
        <v>510.85</v>
      </c>
      <c r="O2179" s="115">
        <v>499.45</v>
      </c>
      <c r="P2179" s="115">
        <v>510.85</v>
      </c>
      <c r="Q2179" s="115">
        <v>501.85</v>
      </c>
      <c r="R2179">
        <v>5002148</v>
      </c>
    </row>
    <row r="2180" spans="1:18" x14ac:dyDescent="0.25">
      <c r="A2180" s="169">
        <v>45887</v>
      </c>
      <c r="B2180" s="115">
        <v>507.05</v>
      </c>
      <c r="C2180" s="115">
        <v>500.9</v>
      </c>
      <c r="D2180" s="115">
        <v>493.45</v>
      </c>
      <c r="E2180" s="115">
        <v>503.6</v>
      </c>
      <c r="F2180" s="115">
        <v>500.9</v>
      </c>
      <c r="G2180">
        <v>469797</v>
      </c>
      <c r="H2180" s="115"/>
      <c r="I2180" s="115"/>
      <c r="L2180" s="169">
        <v>45887</v>
      </c>
      <c r="M2180" s="115">
        <v>499.8</v>
      </c>
      <c r="N2180" s="115">
        <v>508.8</v>
      </c>
      <c r="O2180" s="115">
        <v>493.25</v>
      </c>
      <c r="P2180" s="115">
        <v>505</v>
      </c>
      <c r="Q2180" s="115">
        <v>499.8</v>
      </c>
      <c r="R2180">
        <v>8750521</v>
      </c>
    </row>
    <row r="2181" spans="1:18" x14ac:dyDescent="0.25">
      <c r="A2181" s="169">
        <v>45888</v>
      </c>
      <c r="B2181" s="115">
        <v>510.7</v>
      </c>
      <c r="C2181" s="115">
        <v>505.25</v>
      </c>
      <c r="D2181" s="115">
        <v>499.05</v>
      </c>
      <c r="E2181" s="115">
        <v>499.05</v>
      </c>
      <c r="F2181" s="115">
        <v>505.25</v>
      </c>
      <c r="G2181">
        <v>6774736</v>
      </c>
      <c r="H2181" s="115"/>
      <c r="I2181" s="115"/>
      <c r="L2181" s="169">
        <v>45888</v>
      </c>
      <c r="M2181" s="115">
        <v>505.4</v>
      </c>
      <c r="N2181" s="115">
        <v>510.8</v>
      </c>
      <c r="O2181" s="115">
        <v>498.6</v>
      </c>
      <c r="P2181" s="115">
        <v>500.4</v>
      </c>
      <c r="Q2181" s="115">
        <v>505.4</v>
      </c>
      <c r="R2181">
        <v>6495179</v>
      </c>
    </row>
    <row r="2182" spans="1:18" x14ac:dyDescent="0.25">
      <c r="A2182" s="169">
        <v>45889</v>
      </c>
      <c r="B2182" s="115">
        <v>524.75</v>
      </c>
      <c r="C2182" s="115">
        <v>517.75</v>
      </c>
      <c r="D2182" s="115">
        <v>502.5</v>
      </c>
      <c r="E2182" s="115">
        <v>502.5</v>
      </c>
      <c r="F2182" s="115">
        <v>517.75</v>
      </c>
      <c r="G2182">
        <v>602145</v>
      </c>
      <c r="H2182" s="115"/>
      <c r="I2182" s="115"/>
      <c r="L2182" s="169">
        <v>45889</v>
      </c>
      <c r="M2182" s="115">
        <v>517.65</v>
      </c>
      <c r="N2182" s="115">
        <v>524.54999999999995</v>
      </c>
      <c r="O2182" s="115">
        <v>504.8</v>
      </c>
      <c r="P2182" s="115">
        <v>504.9</v>
      </c>
      <c r="Q2182" s="115">
        <v>517.65</v>
      </c>
      <c r="R2182">
        <v>6226154</v>
      </c>
    </row>
    <row r="2183" spans="1:18" x14ac:dyDescent="0.25">
      <c r="A2183" s="169">
        <v>45890</v>
      </c>
      <c r="B2183" s="115">
        <v>522.4</v>
      </c>
      <c r="C2183" s="115">
        <v>517.35</v>
      </c>
      <c r="D2183" s="115">
        <v>514.95000000000005</v>
      </c>
      <c r="E2183" s="115">
        <v>518.15</v>
      </c>
      <c r="F2183" s="115">
        <v>517.35</v>
      </c>
      <c r="G2183">
        <v>236253</v>
      </c>
      <c r="H2183" s="115"/>
      <c r="I2183" s="115"/>
      <c r="L2183" s="169">
        <v>45890</v>
      </c>
      <c r="M2183" s="115">
        <v>517.25</v>
      </c>
      <c r="N2183" s="115">
        <v>522.5</v>
      </c>
      <c r="O2183" s="115">
        <v>515.1</v>
      </c>
      <c r="P2183" s="115">
        <v>520.25</v>
      </c>
      <c r="Q2183" s="115">
        <v>517.25</v>
      </c>
      <c r="R2183">
        <v>3262937</v>
      </c>
    </row>
    <row r="2184" spans="1:18" x14ac:dyDescent="0.25">
      <c r="A2184" s="169">
        <v>45891</v>
      </c>
      <c r="B2184" s="115">
        <v>523</v>
      </c>
      <c r="C2184" s="115">
        <v>516.54999999999995</v>
      </c>
      <c r="D2184" s="115">
        <v>506.3</v>
      </c>
      <c r="E2184" s="115">
        <v>513.6</v>
      </c>
      <c r="F2184" s="115">
        <v>516.54999999999995</v>
      </c>
      <c r="G2184">
        <v>354079</v>
      </c>
      <c r="H2184" s="115"/>
      <c r="I2184" s="115"/>
      <c r="L2184" s="169">
        <v>45891</v>
      </c>
      <c r="M2184" s="115">
        <v>516.6</v>
      </c>
      <c r="N2184" s="115">
        <v>523.20000000000005</v>
      </c>
      <c r="O2184" s="115">
        <v>506.1</v>
      </c>
      <c r="P2184" s="115">
        <v>515</v>
      </c>
      <c r="Q2184" s="115">
        <v>516.6</v>
      </c>
      <c r="R2184">
        <v>5460288</v>
      </c>
    </row>
    <row r="2185" spans="1:18" x14ac:dyDescent="0.25">
      <c r="A2185" s="169">
        <v>45894</v>
      </c>
      <c r="B2185" s="115">
        <v>518.6</v>
      </c>
      <c r="C2185" s="115">
        <v>515.70000000000005</v>
      </c>
      <c r="D2185" s="115">
        <v>513</v>
      </c>
      <c r="E2185" s="115">
        <v>516.5</v>
      </c>
      <c r="F2185" s="115">
        <v>515.70000000000005</v>
      </c>
      <c r="G2185">
        <v>68430</v>
      </c>
      <c r="H2185" s="115"/>
      <c r="I2185" s="115"/>
      <c r="L2185" s="169">
        <v>45894</v>
      </c>
      <c r="M2185" s="115">
        <v>516</v>
      </c>
      <c r="N2185" s="115">
        <v>518.85</v>
      </c>
      <c r="O2185" s="115">
        <v>512.85</v>
      </c>
      <c r="P2185" s="115">
        <v>516.6</v>
      </c>
      <c r="Q2185" s="115">
        <v>516</v>
      </c>
      <c r="R2185">
        <v>2932412</v>
      </c>
    </row>
    <row r="2186" spans="1:18" x14ac:dyDescent="0.25">
      <c r="A2186" s="169">
        <v>45895</v>
      </c>
      <c r="B2186" s="115">
        <v>516.35</v>
      </c>
      <c r="C2186" s="115">
        <v>508.45</v>
      </c>
      <c r="D2186" s="115">
        <v>507.5</v>
      </c>
      <c r="E2186" s="115">
        <v>510.9</v>
      </c>
      <c r="F2186" s="115">
        <v>508.45</v>
      </c>
      <c r="G2186">
        <v>57504</v>
      </c>
      <c r="H2186" s="115"/>
      <c r="I2186" s="115"/>
      <c r="L2186" s="169">
        <v>45895</v>
      </c>
      <c r="M2186" s="115">
        <v>508.55</v>
      </c>
      <c r="N2186" s="115">
        <v>516.20000000000005</v>
      </c>
      <c r="O2186" s="115">
        <v>507.35</v>
      </c>
      <c r="P2186" s="115">
        <v>512</v>
      </c>
      <c r="Q2186" s="115">
        <v>508.55</v>
      </c>
      <c r="R2186">
        <v>4566054</v>
      </c>
    </row>
    <row r="2187" spans="1:18" x14ac:dyDescent="0.25">
      <c r="A2187" s="169">
        <v>45897</v>
      </c>
      <c r="B2187" s="115">
        <v>515.70000000000005</v>
      </c>
      <c r="C2187" s="115">
        <v>497.5</v>
      </c>
      <c r="D2187" s="115">
        <v>495.6</v>
      </c>
      <c r="E2187" s="115">
        <v>514.45000000000005</v>
      </c>
      <c r="F2187" s="115">
        <v>497.5</v>
      </c>
      <c r="G2187">
        <v>232791</v>
      </c>
      <c r="H2187" s="115"/>
      <c r="I2187" s="115"/>
      <c r="L2187" s="169">
        <v>45897</v>
      </c>
      <c r="M2187" s="115">
        <v>497.7</v>
      </c>
      <c r="N2187" s="115">
        <v>517</v>
      </c>
      <c r="O2187" s="115">
        <v>495.25</v>
      </c>
      <c r="P2187" s="115">
        <v>516.9</v>
      </c>
      <c r="Q2187" s="115">
        <v>497.7</v>
      </c>
      <c r="R2187">
        <v>5319711</v>
      </c>
    </row>
    <row r="2188" spans="1:18" x14ac:dyDescent="0.25">
      <c r="A2188" s="169">
        <v>45898</v>
      </c>
      <c r="B2188" s="115">
        <v>499.15</v>
      </c>
      <c r="C2188" s="115">
        <v>486.5</v>
      </c>
      <c r="D2188" s="115">
        <v>484</v>
      </c>
      <c r="E2188" s="115">
        <v>497.35</v>
      </c>
      <c r="F2188" s="115">
        <v>486.5</v>
      </c>
      <c r="G2188">
        <v>341768</v>
      </c>
      <c r="H2188" s="115"/>
      <c r="I2188" s="115"/>
      <c r="L2188" s="169">
        <v>45898</v>
      </c>
      <c r="M2188" s="115">
        <v>487.15</v>
      </c>
      <c r="N2188" s="115">
        <v>499.4</v>
      </c>
      <c r="O2188" s="115">
        <v>483.9</v>
      </c>
      <c r="P2188" s="115">
        <v>495.1</v>
      </c>
      <c r="Q2188" s="115">
        <v>487.15</v>
      </c>
      <c r="R2188">
        <v>5493941</v>
      </c>
    </row>
    <row r="2189" spans="1:18" x14ac:dyDescent="0.25">
      <c r="A2189" s="169">
        <v>45901</v>
      </c>
      <c r="B2189" s="115">
        <v>496.3</v>
      </c>
      <c r="C2189" s="115">
        <v>495.35</v>
      </c>
      <c r="D2189" s="115">
        <v>481</v>
      </c>
      <c r="E2189" s="115">
        <v>485</v>
      </c>
      <c r="F2189" s="115">
        <v>495.35</v>
      </c>
      <c r="G2189">
        <v>152619</v>
      </c>
      <c r="H2189" s="115"/>
      <c r="I2189" s="115"/>
      <c r="L2189" s="169">
        <v>45901</v>
      </c>
      <c r="M2189" s="115">
        <v>495.35</v>
      </c>
      <c r="N2189" s="115">
        <v>496.9</v>
      </c>
      <c r="O2189" s="115">
        <v>480.85</v>
      </c>
      <c r="P2189" s="115">
        <v>485</v>
      </c>
      <c r="Q2189" s="115">
        <v>495.35</v>
      </c>
      <c r="R2189">
        <v>5901966</v>
      </c>
    </row>
    <row r="2190" spans="1:18" x14ac:dyDescent="0.25">
      <c r="A2190" s="169">
        <v>45902</v>
      </c>
      <c r="B2190" s="115">
        <v>500.35</v>
      </c>
      <c r="C2190" s="115">
        <v>499.2</v>
      </c>
      <c r="D2190" s="115">
        <v>493.7</v>
      </c>
      <c r="E2190" s="115">
        <v>493.9</v>
      </c>
      <c r="F2190" s="115">
        <v>499.2</v>
      </c>
      <c r="G2190">
        <v>216409</v>
      </c>
      <c r="H2190" s="115"/>
      <c r="I2190" s="115"/>
      <c r="L2190" s="169">
        <v>45902</v>
      </c>
      <c r="M2190" s="115">
        <v>499.2</v>
      </c>
      <c r="N2190" s="115">
        <v>500.3</v>
      </c>
      <c r="O2190" s="115">
        <v>493.35</v>
      </c>
      <c r="P2190" s="115">
        <v>495.35</v>
      </c>
      <c r="Q2190" s="115">
        <v>499.2</v>
      </c>
      <c r="R2190">
        <v>3742278</v>
      </c>
    </row>
    <row r="2191" spans="1:18" x14ac:dyDescent="0.25">
      <c r="A2191" s="169">
        <v>45903</v>
      </c>
      <c r="B2191" s="115">
        <v>509.3</v>
      </c>
      <c r="C2191" s="115">
        <v>505.15</v>
      </c>
      <c r="D2191" s="115">
        <v>497.2</v>
      </c>
      <c r="E2191" s="115">
        <v>497.2</v>
      </c>
      <c r="F2191" s="115">
        <v>505.15</v>
      </c>
      <c r="G2191">
        <v>349156</v>
      </c>
      <c r="H2191" s="115"/>
      <c r="I2191" s="115"/>
      <c r="L2191" s="169">
        <v>45903</v>
      </c>
      <c r="M2191" s="115">
        <v>505.25</v>
      </c>
      <c r="N2191" s="115">
        <v>509.5</v>
      </c>
      <c r="O2191" s="115">
        <v>498</v>
      </c>
      <c r="P2191" s="115">
        <v>499.2</v>
      </c>
      <c r="Q2191" s="115">
        <v>505.25</v>
      </c>
      <c r="R2191">
        <v>3994499</v>
      </c>
    </row>
    <row r="2192" spans="1:18" x14ac:dyDescent="0.25">
      <c r="A2192" s="169">
        <v>45904</v>
      </c>
      <c r="B2192" s="115">
        <v>513.35</v>
      </c>
      <c r="C2192" s="115">
        <v>489.45</v>
      </c>
      <c r="D2192" s="115">
        <v>488.1</v>
      </c>
      <c r="E2192" s="115">
        <v>492.05</v>
      </c>
      <c r="F2192" s="115">
        <v>489.45</v>
      </c>
      <c r="G2192">
        <v>528003</v>
      </c>
      <c r="H2192" s="115"/>
      <c r="I2192" s="115"/>
      <c r="L2192" s="169">
        <v>45904</v>
      </c>
      <c r="M2192" s="115">
        <v>489.5</v>
      </c>
      <c r="N2192" s="115">
        <v>513.65</v>
      </c>
      <c r="O2192" s="115">
        <v>488.1</v>
      </c>
      <c r="P2192" s="115">
        <v>496</v>
      </c>
      <c r="Q2192" s="115">
        <v>489.5</v>
      </c>
      <c r="R2192">
        <v>15790199</v>
      </c>
    </row>
    <row r="2193" spans="1:18" x14ac:dyDescent="0.25">
      <c r="A2193" s="169">
        <v>45905</v>
      </c>
      <c r="B2193" s="115">
        <v>492.85</v>
      </c>
      <c r="C2193" s="115">
        <v>469.7</v>
      </c>
      <c r="D2193" s="115">
        <v>468.5</v>
      </c>
      <c r="E2193" s="115">
        <v>490.2</v>
      </c>
      <c r="F2193" s="115">
        <v>469.7</v>
      </c>
      <c r="G2193">
        <v>369569</v>
      </c>
      <c r="H2193" s="115"/>
      <c r="I2193" s="115"/>
      <c r="L2193" s="169">
        <v>45905</v>
      </c>
      <c r="M2193" s="115">
        <v>469.65</v>
      </c>
      <c r="N2193" s="115">
        <v>492.95</v>
      </c>
      <c r="O2193" s="115">
        <v>468.5</v>
      </c>
      <c r="P2193" s="115">
        <v>490.75</v>
      </c>
      <c r="Q2193" s="115">
        <v>469.65</v>
      </c>
      <c r="R2193">
        <v>13613187</v>
      </c>
    </row>
    <row r="2194" spans="1:18" x14ac:dyDescent="0.25">
      <c r="A2194" s="169">
        <v>45908</v>
      </c>
      <c r="B2194" s="115">
        <v>477.85</v>
      </c>
      <c r="C2194" s="115">
        <v>474.05</v>
      </c>
      <c r="D2194" s="115">
        <v>469.25</v>
      </c>
      <c r="E2194" s="115">
        <v>470.15</v>
      </c>
      <c r="F2194" s="115">
        <v>474.05</v>
      </c>
      <c r="G2194">
        <v>505417</v>
      </c>
      <c r="H2194" s="115"/>
      <c r="I2194" s="115"/>
      <c r="L2194" s="169">
        <v>45908</v>
      </c>
      <c r="M2194" s="115">
        <v>474.05</v>
      </c>
      <c r="N2194" s="115">
        <v>477.9</v>
      </c>
      <c r="O2194" s="115">
        <v>469.25</v>
      </c>
      <c r="P2194" s="115">
        <v>469.7</v>
      </c>
      <c r="Q2194" s="115">
        <v>474.05</v>
      </c>
      <c r="R2194">
        <v>6635305</v>
      </c>
    </row>
    <row r="2195" spans="1:18" x14ac:dyDescent="0.25">
      <c r="A2195" s="169">
        <v>45909</v>
      </c>
      <c r="B2195" s="115">
        <v>478.45</v>
      </c>
      <c r="C2195" s="115">
        <v>474.75</v>
      </c>
      <c r="D2195" s="115">
        <v>471.45</v>
      </c>
      <c r="E2195" s="115">
        <v>475.5</v>
      </c>
      <c r="F2195" s="115">
        <v>474.75</v>
      </c>
      <c r="G2195">
        <v>290257</v>
      </c>
      <c r="H2195" s="115"/>
      <c r="I2195" s="115"/>
      <c r="L2195" s="169">
        <v>45909</v>
      </c>
      <c r="M2195" s="115">
        <v>474.5</v>
      </c>
      <c r="N2195" s="115">
        <v>478.65</v>
      </c>
      <c r="O2195" s="115">
        <v>471.45</v>
      </c>
      <c r="P2195" s="115">
        <v>476</v>
      </c>
      <c r="Q2195" s="115">
        <v>474.5</v>
      </c>
      <c r="R2195">
        <v>3649613</v>
      </c>
    </row>
    <row r="2196" spans="1:18" x14ac:dyDescent="0.25">
      <c r="A2196" s="169">
        <v>45910</v>
      </c>
      <c r="B2196" s="115">
        <v>479.55</v>
      </c>
      <c r="C2196" s="115">
        <v>476.25</v>
      </c>
      <c r="D2196" s="115">
        <v>474.8</v>
      </c>
      <c r="E2196" s="115">
        <v>475.2</v>
      </c>
      <c r="F2196" s="115">
        <v>476.25</v>
      </c>
      <c r="G2196">
        <v>216285</v>
      </c>
      <c r="H2196" s="115"/>
      <c r="I2196" s="115"/>
      <c r="L2196" s="169">
        <v>45910</v>
      </c>
      <c r="M2196" s="115">
        <v>475.8</v>
      </c>
      <c r="N2196" s="115">
        <v>479.7</v>
      </c>
      <c r="O2196" s="115">
        <v>474.65</v>
      </c>
      <c r="P2196" s="115">
        <v>475.95</v>
      </c>
      <c r="Q2196" s="115">
        <v>475.8</v>
      </c>
      <c r="R2196">
        <v>5895498</v>
      </c>
    </row>
    <row r="2197" spans="1:18" x14ac:dyDescent="0.25">
      <c r="A2197" s="169">
        <v>45911</v>
      </c>
      <c r="B2197" s="115">
        <v>477</v>
      </c>
      <c r="C2197" s="115">
        <v>474.6</v>
      </c>
      <c r="D2197" s="115">
        <v>471.7</v>
      </c>
      <c r="E2197" s="115">
        <v>476.5</v>
      </c>
      <c r="F2197" s="115">
        <v>474.6</v>
      </c>
      <c r="G2197">
        <v>94048</v>
      </c>
      <c r="H2197" s="115"/>
      <c r="I2197" s="115"/>
      <c r="L2197" s="169">
        <v>45911</v>
      </c>
      <c r="M2197" s="115">
        <v>474.65</v>
      </c>
      <c r="N2197" s="115">
        <v>477.45</v>
      </c>
      <c r="O2197" s="115">
        <v>471.7</v>
      </c>
      <c r="P2197" s="115">
        <v>476.7</v>
      </c>
      <c r="Q2197" s="115">
        <v>474.65</v>
      </c>
      <c r="R2197">
        <v>2921431</v>
      </c>
    </row>
    <row r="2198" spans="1:18" x14ac:dyDescent="0.25">
      <c r="A2198" s="169">
        <v>45912</v>
      </c>
      <c r="B2198" s="115">
        <v>476.6</v>
      </c>
      <c r="C2198" s="115">
        <v>469.9</v>
      </c>
      <c r="D2198" s="115">
        <v>468.9</v>
      </c>
      <c r="E2198" s="115">
        <v>474.75</v>
      </c>
      <c r="F2198" s="115">
        <v>469.9</v>
      </c>
      <c r="G2198">
        <v>224614</v>
      </c>
      <c r="H2198" s="115"/>
      <c r="I2198" s="115"/>
      <c r="L2198" s="169">
        <v>45912</v>
      </c>
      <c r="M2198" s="115">
        <v>469.8</v>
      </c>
      <c r="N2198" s="115">
        <v>476.35</v>
      </c>
      <c r="O2198" s="115">
        <v>468.65</v>
      </c>
      <c r="P2198" s="115">
        <v>474.65</v>
      </c>
      <c r="Q2198" s="115">
        <v>469.8</v>
      </c>
      <c r="R2198">
        <v>4967395</v>
      </c>
    </row>
    <row r="2199" spans="1:18" x14ac:dyDescent="0.25">
      <c r="A2199" s="169">
        <v>45915</v>
      </c>
      <c r="B2199" s="115">
        <v>473.7</v>
      </c>
      <c r="C2199" s="115">
        <v>471.8</v>
      </c>
      <c r="D2199" s="115">
        <v>470.1</v>
      </c>
      <c r="E2199" s="115">
        <v>470.5</v>
      </c>
      <c r="F2199" s="115">
        <v>471.8</v>
      </c>
      <c r="G2199">
        <v>372721</v>
      </c>
      <c r="H2199" s="115"/>
      <c r="I2199" s="115"/>
      <c r="L2199" s="169">
        <v>45915</v>
      </c>
      <c r="M2199" s="115">
        <v>471.65</v>
      </c>
      <c r="N2199" s="115">
        <v>474</v>
      </c>
      <c r="O2199" s="115">
        <v>470.25</v>
      </c>
      <c r="P2199" s="115">
        <v>471</v>
      </c>
      <c r="Q2199" s="115">
        <v>471.65</v>
      </c>
      <c r="R2199">
        <v>3410341</v>
      </c>
    </row>
    <row r="2200" spans="1:18" x14ac:dyDescent="0.25">
      <c r="A2200" s="169">
        <v>45916</v>
      </c>
      <c r="B2200" s="115">
        <v>472.5</v>
      </c>
      <c r="C2200" s="115">
        <v>463.1</v>
      </c>
      <c r="D2200" s="115">
        <v>461.8</v>
      </c>
      <c r="E2200" s="115">
        <v>468.3</v>
      </c>
      <c r="F2200" s="115">
        <v>463.1</v>
      </c>
      <c r="G2200">
        <v>1014188</v>
      </c>
      <c r="H2200" s="115"/>
      <c r="I2200" s="115"/>
      <c r="L2200" s="169">
        <v>45916</v>
      </c>
      <c r="M2200" s="115">
        <v>462.9</v>
      </c>
      <c r="N2200" s="115">
        <v>472.7</v>
      </c>
      <c r="O2200" s="115">
        <v>461.85</v>
      </c>
      <c r="P2200" s="115">
        <v>470</v>
      </c>
      <c r="Q2200" s="115">
        <v>462.9</v>
      </c>
      <c r="R2200">
        <v>4794399</v>
      </c>
    </row>
    <row r="2201" spans="1:18" x14ac:dyDescent="0.25">
      <c r="A2201" s="169">
        <v>45917</v>
      </c>
      <c r="B2201" s="115">
        <v>476.9</v>
      </c>
      <c r="C2201" s="115">
        <v>471</v>
      </c>
      <c r="D2201" s="115">
        <v>463.1</v>
      </c>
      <c r="E2201" s="115">
        <v>464.95</v>
      </c>
      <c r="F2201" s="115">
        <v>471</v>
      </c>
      <c r="G2201">
        <v>2937284</v>
      </c>
      <c r="H2201" s="115"/>
      <c r="I2201" s="115"/>
      <c r="L2201" s="169">
        <v>45917</v>
      </c>
      <c r="M2201" s="115">
        <v>471.05</v>
      </c>
      <c r="N2201" s="115">
        <v>476.85</v>
      </c>
      <c r="O2201" s="115">
        <v>463.15</v>
      </c>
      <c r="P2201" s="115">
        <v>464.4</v>
      </c>
      <c r="Q2201" s="115">
        <v>471.05</v>
      </c>
      <c r="R2201">
        <v>9799159</v>
      </c>
    </row>
    <row r="2202" spans="1:18" x14ac:dyDescent="0.25">
      <c r="A2202" s="169">
        <v>45918</v>
      </c>
      <c r="B2202" s="115">
        <v>475.45</v>
      </c>
      <c r="C2202" s="115">
        <v>473.45</v>
      </c>
      <c r="D2202" s="115">
        <v>464.7</v>
      </c>
      <c r="E2202" s="115">
        <v>472.95</v>
      </c>
      <c r="F2202" s="115">
        <v>473.45</v>
      </c>
      <c r="G2202">
        <v>153277</v>
      </c>
      <c r="H2202" s="115"/>
      <c r="I2202" s="115"/>
      <c r="L2202" s="169">
        <v>45918</v>
      </c>
      <c r="M2202" s="115">
        <v>473.55</v>
      </c>
      <c r="N2202" s="115">
        <v>475.5</v>
      </c>
      <c r="O2202" s="115">
        <v>464.6</v>
      </c>
      <c r="P2202" s="115">
        <v>472</v>
      </c>
      <c r="Q2202" s="115">
        <v>473.55</v>
      </c>
      <c r="R2202">
        <v>7730017</v>
      </c>
    </row>
    <row r="2203" spans="1:18" x14ac:dyDescent="0.25">
      <c r="A2203" s="169">
        <v>45919</v>
      </c>
      <c r="B2203" s="115">
        <v>476.4</v>
      </c>
      <c r="C2203" s="115">
        <v>474.45</v>
      </c>
      <c r="D2203" s="115">
        <v>470.1</v>
      </c>
      <c r="E2203" s="115">
        <v>473.4</v>
      </c>
      <c r="F2203" s="115">
        <v>474.45</v>
      </c>
      <c r="G2203">
        <v>99543</v>
      </c>
      <c r="H2203" s="115"/>
      <c r="I2203" s="115"/>
      <c r="L2203" s="169">
        <v>45919</v>
      </c>
      <c r="M2203" s="115">
        <v>474.45</v>
      </c>
      <c r="N2203" s="115">
        <v>476.45</v>
      </c>
      <c r="O2203" s="115">
        <v>470.1</v>
      </c>
      <c r="P2203" s="115">
        <v>472</v>
      </c>
      <c r="Q2203" s="115">
        <v>474.45</v>
      </c>
      <c r="R2203">
        <v>4399593</v>
      </c>
    </row>
    <row r="2204" spans="1:18" x14ac:dyDescent="0.25">
      <c r="A2204" s="169">
        <v>45922</v>
      </c>
      <c r="B2204" s="115">
        <v>475.95</v>
      </c>
      <c r="C2204" s="115">
        <v>464.3</v>
      </c>
      <c r="D2204" s="115">
        <v>463.05</v>
      </c>
      <c r="E2204" s="115">
        <v>474.5</v>
      </c>
      <c r="F2204" s="115">
        <v>464.3</v>
      </c>
      <c r="G2204">
        <v>269447</v>
      </c>
      <c r="H2204" s="115"/>
      <c r="I2204" s="115"/>
      <c r="L2204" s="169">
        <v>45922</v>
      </c>
      <c r="M2204" s="115">
        <v>463.95</v>
      </c>
      <c r="N2204" s="115">
        <v>476</v>
      </c>
      <c r="O2204" s="115">
        <v>463.1</v>
      </c>
      <c r="P2204" s="115">
        <v>475</v>
      </c>
      <c r="Q2204" s="115">
        <v>463.95</v>
      </c>
      <c r="R2204">
        <v>3377847</v>
      </c>
    </row>
    <row r="2205" spans="1:18" x14ac:dyDescent="0.25">
      <c r="A2205" s="169">
        <v>45923</v>
      </c>
      <c r="B2205" s="115">
        <v>466.55</v>
      </c>
      <c r="C2205" s="115">
        <v>458.6</v>
      </c>
      <c r="D2205" s="115">
        <v>458</v>
      </c>
      <c r="E2205" s="115">
        <v>464.3</v>
      </c>
      <c r="F2205" s="115">
        <v>458.6</v>
      </c>
      <c r="G2205">
        <v>252504</v>
      </c>
      <c r="H2205" s="115"/>
      <c r="I2205" s="115"/>
      <c r="L2205" s="169">
        <v>45923</v>
      </c>
      <c r="M2205" s="115">
        <v>458.5</v>
      </c>
      <c r="N2205" s="115">
        <v>466.4</v>
      </c>
      <c r="O2205" s="115">
        <v>458</v>
      </c>
      <c r="P2205" s="115">
        <v>464</v>
      </c>
      <c r="Q2205" s="115">
        <v>458.5</v>
      </c>
      <c r="R2205">
        <v>2589988</v>
      </c>
    </row>
    <row r="2206" spans="1:18" x14ac:dyDescent="0.25">
      <c r="A2206" s="169">
        <v>45924</v>
      </c>
      <c r="B2206" s="115">
        <v>460.55</v>
      </c>
      <c r="C2206" s="115">
        <v>453.1</v>
      </c>
      <c r="D2206" s="115">
        <v>451.35</v>
      </c>
      <c r="E2206" s="115">
        <v>458.75</v>
      </c>
      <c r="F2206" s="115">
        <v>453.1</v>
      </c>
      <c r="G2206">
        <v>780783</v>
      </c>
      <c r="H2206" s="115"/>
      <c r="I2206" s="115"/>
      <c r="L2206" s="169">
        <v>45924</v>
      </c>
      <c r="M2206" s="115">
        <v>452.6</v>
      </c>
      <c r="N2206" s="115">
        <v>460.95</v>
      </c>
      <c r="O2206" s="115">
        <v>451.55</v>
      </c>
      <c r="P2206" s="115">
        <v>459</v>
      </c>
      <c r="Q2206" s="115">
        <v>452.6</v>
      </c>
      <c r="R2206">
        <v>5413431</v>
      </c>
    </row>
    <row r="2207" spans="1:18" x14ac:dyDescent="0.25">
      <c r="A2207" s="169">
        <v>45925</v>
      </c>
      <c r="B2207" s="115">
        <v>456.45</v>
      </c>
      <c r="C2207" s="115">
        <v>451.35</v>
      </c>
      <c r="D2207" s="115">
        <v>450.25</v>
      </c>
      <c r="E2207" s="115">
        <v>450.35</v>
      </c>
      <c r="F2207" s="115">
        <v>451.35</v>
      </c>
      <c r="G2207">
        <v>723784</v>
      </c>
      <c r="H2207" s="115"/>
      <c r="I2207" s="115"/>
      <c r="L2207" s="169">
        <v>45925</v>
      </c>
      <c r="M2207" s="115">
        <v>451.85</v>
      </c>
      <c r="N2207" s="115">
        <v>456.5</v>
      </c>
      <c r="O2207" s="115">
        <v>450.1</v>
      </c>
      <c r="P2207" s="115">
        <v>452.6</v>
      </c>
      <c r="Q2207" s="115">
        <v>451.85</v>
      </c>
      <c r="R2207">
        <v>8207075</v>
      </c>
    </row>
    <row r="2208" spans="1:18" x14ac:dyDescent="0.25">
      <c r="A2208" s="169">
        <v>45926</v>
      </c>
      <c r="B2208" s="115">
        <v>453.15</v>
      </c>
      <c r="C2208" s="115">
        <v>444.65</v>
      </c>
      <c r="D2208" s="115">
        <v>443.3</v>
      </c>
      <c r="E2208" s="115">
        <v>451.1</v>
      </c>
      <c r="F2208" s="115">
        <v>444.65</v>
      </c>
      <c r="G2208">
        <v>490840</v>
      </c>
      <c r="H2208" s="115"/>
      <c r="I2208" s="115"/>
      <c r="L2208" s="169">
        <v>45926</v>
      </c>
      <c r="M2208" s="115">
        <v>444.75</v>
      </c>
      <c r="N2208" s="115">
        <v>453.15</v>
      </c>
      <c r="O2208" s="115">
        <v>443.55</v>
      </c>
      <c r="P2208" s="115">
        <v>450.1</v>
      </c>
      <c r="Q2208" s="115">
        <v>444.75</v>
      </c>
      <c r="R2208">
        <v>5431906</v>
      </c>
    </row>
    <row r="2209" spans="1:18" x14ac:dyDescent="0.25">
      <c r="A2209" s="169">
        <v>45929</v>
      </c>
      <c r="B2209" s="115">
        <v>453.05</v>
      </c>
      <c r="C2209" s="115">
        <v>451.15</v>
      </c>
      <c r="D2209" s="115">
        <v>445.5</v>
      </c>
      <c r="E2209" s="115">
        <v>449.1</v>
      </c>
      <c r="F2209" s="115">
        <v>451.15</v>
      </c>
      <c r="G2209">
        <v>279133</v>
      </c>
      <c r="H2209" s="115"/>
      <c r="I2209" s="115"/>
      <c r="L2209" s="169">
        <v>45929</v>
      </c>
      <c r="M2209" s="115">
        <v>451.7</v>
      </c>
      <c r="N2209" s="115">
        <v>453.15</v>
      </c>
      <c r="O2209" s="115">
        <v>445.4</v>
      </c>
      <c r="P2209" s="115">
        <v>450</v>
      </c>
      <c r="Q2209" s="115">
        <v>451.7</v>
      </c>
      <c r="R2209">
        <v>5440921</v>
      </c>
    </row>
    <row r="2210" spans="1:18" x14ac:dyDescent="0.25">
      <c r="A2210" s="169">
        <v>45930</v>
      </c>
      <c r="B2210" s="115">
        <v>455</v>
      </c>
      <c r="C2210" s="115">
        <v>443.55</v>
      </c>
      <c r="D2210" s="115">
        <v>441.1</v>
      </c>
      <c r="E2210" s="115">
        <v>455</v>
      </c>
      <c r="F2210" s="115">
        <v>443.55</v>
      </c>
      <c r="G2210">
        <v>341596</v>
      </c>
      <c r="H2210" s="115"/>
      <c r="I2210" s="115"/>
      <c r="L2210" s="169">
        <v>45930</v>
      </c>
      <c r="M2210" s="115">
        <v>443.7</v>
      </c>
      <c r="N2210" s="115">
        <v>454</v>
      </c>
      <c r="O2210" s="115">
        <v>441.05</v>
      </c>
      <c r="P2210" s="115">
        <v>453.8</v>
      </c>
      <c r="Q2210" s="115">
        <v>443.7</v>
      </c>
      <c r="R2210">
        <v>6732218</v>
      </c>
    </row>
    <row r="2211" spans="1:18" x14ac:dyDescent="0.25">
      <c r="A2211" s="169">
        <v>45931</v>
      </c>
      <c r="B2211" s="115">
        <v>448.7</v>
      </c>
      <c r="C2211" s="115">
        <v>442.95</v>
      </c>
      <c r="D2211" s="115">
        <v>442</v>
      </c>
      <c r="E2211" s="115">
        <v>448.7</v>
      </c>
      <c r="F2211" s="115">
        <v>442.95</v>
      </c>
      <c r="G2211">
        <v>2562335</v>
      </c>
      <c r="H2211" s="115"/>
      <c r="I2211" s="115"/>
      <c r="L2211" s="169">
        <v>45931</v>
      </c>
      <c r="M2211" s="115">
        <v>442.95</v>
      </c>
      <c r="N2211" s="115">
        <v>448.2</v>
      </c>
      <c r="O2211" s="115">
        <v>442</v>
      </c>
      <c r="P2211" s="115">
        <v>444.9</v>
      </c>
      <c r="Q2211" s="115">
        <v>442.95</v>
      </c>
      <c r="R2211">
        <v>3840726</v>
      </c>
    </row>
    <row r="2212" spans="1:18" x14ac:dyDescent="0.25">
      <c r="A2212" s="169">
        <v>45933</v>
      </c>
      <c r="B2212" s="115">
        <v>445.45</v>
      </c>
      <c r="C2212" s="115">
        <v>443.4</v>
      </c>
      <c r="D2212" s="115">
        <v>437.5</v>
      </c>
      <c r="E2212" s="115">
        <v>442.3</v>
      </c>
      <c r="F2212" s="115">
        <v>443.4</v>
      </c>
      <c r="G2212">
        <v>1422770</v>
      </c>
      <c r="H2212" s="115"/>
      <c r="I2212" s="115"/>
      <c r="L2212" s="169">
        <v>45933</v>
      </c>
      <c r="M2212" s="115">
        <v>443.45</v>
      </c>
      <c r="N2212" s="115">
        <v>445.2</v>
      </c>
      <c r="O2212" s="115">
        <v>437.55</v>
      </c>
      <c r="P2212" s="115">
        <v>442.95</v>
      </c>
      <c r="Q2212" s="115">
        <v>443.45</v>
      </c>
      <c r="R2212">
        <v>4069784</v>
      </c>
    </row>
    <row r="2213" spans="1:18" x14ac:dyDescent="0.25">
      <c r="A2213" s="169">
        <v>45936</v>
      </c>
      <c r="B2213" s="115">
        <v>443.05</v>
      </c>
      <c r="C2213" s="115">
        <v>438.9</v>
      </c>
      <c r="D2213" s="115">
        <v>437.25</v>
      </c>
      <c r="E2213" s="115">
        <v>442.85</v>
      </c>
      <c r="F2213" s="115">
        <v>438.9</v>
      </c>
      <c r="G2213">
        <v>107400</v>
      </c>
      <c r="H2213" s="115"/>
      <c r="I2213" s="115"/>
      <c r="L2213" s="169">
        <v>45936</v>
      </c>
      <c r="M2213" s="115">
        <v>438.95</v>
      </c>
      <c r="N2213" s="115">
        <v>443.2</v>
      </c>
      <c r="O2213" s="115">
        <v>437.35</v>
      </c>
      <c r="P2213" s="115">
        <v>440.2</v>
      </c>
      <c r="Q2213" s="115">
        <v>438.95</v>
      </c>
      <c r="R2213">
        <v>2872225</v>
      </c>
    </row>
    <row r="2214" spans="1:18" x14ac:dyDescent="0.25">
      <c r="A2214" s="169">
        <v>45937</v>
      </c>
      <c r="B2214" s="115">
        <v>441.65</v>
      </c>
      <c r="C2214" s="115">
        <v>440.25</v>
      </c>
      <c r="D2214" s="115">
        <v>436.5</v>
      </c>
      <c r="E2214" s="115">
        <v>438.8</v>
      </c>
      <c r="F2214" s="115">
        <v>440.25</v>
      </c>
      <c r="G2214">
        <v>111845</v>
      </c>
      <c r="H2214" s="115"/>
      <c r="I2214" s="115"/>
      <c r="L2214" s="169">
        <v>45937</v>
      </c>
      <c r="M2214" s="115">
        <v>440</v>
      </c>
      <c r="N2214" s="115">
        <v>441.65</v>
      </c>
      <c r="O2214" s="115">
        <v>436.3</v>
      </c>
      <c r="P2214" s="115">
        <v>438.5</v>
      </c>
      <c r="Q2214" s="115">
        <v>440</v>
      </c>
      <c r="R2214">
        <v>3204014</v>
      </c>
    </row>
    <row r="2215" spans="1:18" x14ac:dyDescent="0.25">
      <c r="A2215" s="169">
        <v>45938</v>
      </c>
      <c r="B2215" s="115">
        <v>440.25</v>
      </c>
      <c r="C2215" s="115">
        <v>434.6</v>
      </c>
      <c r="D2215" s="115">
        <v>431.3</v>
      </c>
      <c r="E2215" s="115">
        <v>440.25</v>
      </c>
      <c r="F2215" s="115">
        <v>434.6</v>
      </c>
      <c r="G2215">
        <v>262815</v>
      </c>
      <c r="H2215" s="115"/>
      <c r="I2215" s="115"/>
      <c r="L2215" s="169">
        <v>45938</v>
      </c>
      <c r="M2215" s="115">
        <v>434.85</v>
      </c>
      <c r="N2215" s="115">
        <v>440.85</v>
      </c>
      <c r="O2215" s="115">
        <v>431.65</v>
      </c>
      <c r="P2215" s="115">
        <v>439.95</v>
      </c>
      <c r="Q2215" s="115">
        <v>434.85</v>
      </c>
      <c r="R2215">
        <v>3378068</v>
      </c>
    </row>
    <row r="2216" spans="1:18" x14ac:dyDescent="0.25">
      <c r="A2216" s="169">
        <v>45939</v>
      </c>
      <c r="B2216" s="115">
        <v>447.15</v>
      </c>
      <c r="C2216" s="115">
        <v>445.85</v>
      </c>
      <c r="D2216" s="115">
        <v>431.95</v>
      </c>
      <c r="E2216" s="115">
        <v>434</v>
      </c>
      <c r="F2216" s="115">
        <v>445.85</v>
      </c>
      <c r="G2216">
        <v>127268</v>
      </c>
      <c r="H2216" s="115"/>
      <c r="I2216" s="115"/>
      <c r="L2216" s="169">
        <v>45939</v>
      </c>
      <c r="M2216" s="115">
        <v>445.9</v>
      </c>
      <c r="N2216" s="115">
        <v>447.35</v>
      </c>
      <c r="O2216" s="115">
        <v>431.85</v>
      </c>
      <c r="P2216" s="115">
        <v>434</v>
      </c>
      <c r="Q2216" s="115">
        <v>445.9</v>
      </c>
      <c r="R2216">
        <v>3947619</v>
      </c>
    </row>
    <row r="2217" spans="1:18" x14ac:dyDescent="0.25">
      <c r="A2217" s="169">
        <v>45940</v>
      </c>
      <c r="B2217" s="115">
        <v>450.95</v>
      </c>
      <c r="C2217" s="115">
        <v>443.8</v>
      </c>
      <c r="D2217" s="115">
        <v>443.05</v>
      </c>
      <c r="E2217" s="115">
        <v>445.9</v>
      </c>
      <c r="F2217" s="115">
        <v>443.8</v>
      </c>
      <c r="G2217">
        <v>100936</v>
      </c>
      <c r="H2217" s="115"/>
      <c r="I2217" s="115"/>
      <c r="L2217" s="169">
        <v>45940</v>
      </c>
      <c r="M2217" s="115">
        <v>443.65</v>
      </c>
      <c r="N2217" s="115">
        <v>450.9</v>
      </c>
      <c r="O2217" s="115">
        <v>443</v>
      </c>
      <c r="P2217" s="115">
        <v>445.9</v>
      </c>
      <c r="Q2217" s="115">
        <v>443.65</v>
      </c>
      <c r="R2217">
        <v>2528589</v>
      </c>
    </row>
    <row r="2218" spans="1:18" x14ac:dyDescent="0.25">
      <c r="A2218" s="169">
        <v>45943</v>
      </c>
      <c r="B2218" s="115">
        <v>446.7</v>
      </c>
      <c r="C2218" s="115">
        <v>442.7</v>
      </c>
      <c r="D2218" s="115">
        <v>439.05</v>
      </c>
      <c r="E2218" s="115">
        <v>440.1</v>
      </c>
      <c r="F2218" s="115">
        <v>442.7</v>
      </c>
      <c r="G2218">
        <v>258450</v>
      </c>
      <c r="H2218" s="115"/>
      <c r="I2218" s="115"/>
      <c r="L2218" s="169">
        <v>45943</v>
      </c>
      <c r="M2218" s="115">
        <v>442.45</v>
      </c>
      <c r="N2218" s="115">
        <v>446.75</v>
      </c>
      <c r="O2218" s="115">
        <v>439.2</v>
      </c>
      <c r="P2218" s="115">
        <v>441.75</v>
      </c>
      <c r="Q2218" s="115">
        <v>442.45</v>
      </c>
      <c r="R2218">
        <v>1899577</v>
      </c>
    </row>
    <row r="2219" spans="1:18" x14ac:dyDescent="0.25">
      <c r="A2219" s="169">
        <v>45944</v>
      </c>
      <c r="B2219" s="115">
        <v>444.95</v>
      </c>
      <c r="C2219" s="115">
        <v>441.35</v>
      </c>
      <c r="D2219" s="115">
        <v>438.7</v>
      </c>
      <c r="E2219" s="115">
        <v>442.1</v>
      </c>
      <c r="F2219" s="115">
        <v>441.35</v>
      </c>
      <c r="G2219">
        <v>152664</v>
      </c>
      <c r="H2219" s="115"/>
      <c r="I2219" s="115"/>
      <c r="L2219" s="169">
        <v>45944</v>
      </c>
      <c r="M2219" s="115">
        <v>441.6</v>
      </c>
      <c r="N2219" s="115">
        <v>444.9</v>
      </c>
      <c r="O2219" s="115">
        <v>438.6</v>
      </c>
      <c r="P2219" s="115">
        <v>443.75</v>
      </c>
      <c r="Q2219" s="115">
        <v>441.6</v>
      </c>
      <c r="R2219">
        <v>1462957</v>
      </c>
    </row>
    <row r="2220" spans="1:18" x14ac:dyDescent="0.25">
      <c r="A2220" s="169">
        <v>45945</v>
      </c>
      <c r="B2220" s="115">
        <v>446.25</v>
      </c>
      <c r="C2220" s="115">
        <v>445.2</v>
      </c>
      <c r="D2220" s="115">
        <v>440.15</v>
      </c>
      <c r="E2220" s="115">
        <v>442.25</v>
      </c>
      <c r="F2220" s="115">
        <v>445.2</v>
      </c>
      <c r="G2220">
        <v>59351</v>
      </c>
      <c r="H2220" s="115"/>
      <c r="I2220" s="115"/>
      <c r="L2220" s="169">
        <v>45945</v>
      </c>
      <c r="M2220" s="115">
        <v>445.35</v>
      </c>
      <c r="N2220" s="115">
        <v>446.5</v>
      </c>
      <c r="O2220" s="115">
        <v>440.2</v>
      </c>
      <c r="P2220" s="115">
        <v>441.6</v>
      </c>
      <c r="Q2220" s="115">
        <v>445.35</v>
      </c>
      <c r="R2220">
        <v>2061374</v>
      </c>
    </row>
    <row r="2221" spans="1:18" x14ac:dyDescent="0.25">
      <c r="A2221" s="169">
        <v>45946</v>
      </c>
      <c r="B2221" s="115">
        <v>463.4</v>
      </c>
      <c r="C2221" s="115">
        <v>461.3</v>
      </c>
      <c r="D2221" s="115">
        <v>445.2</v>
      </c>
      <c r="E2221" s="115">
        <v>445.2</v>
      </c>
      <c r="F2221" s="115">
        <v>461.3</v>
      </c>
      <c r="G2221">
        <v>396200</v>
      </c>
      <c r="H2221" s="115"/>
      <c r="I2221" s="115"/>
      <c r="L2221" s="169">
        <v>45946</v>
      </c>
      <c r="M2221" s="115">
        <v>461.3</v>
      </c>
      <c r="N2221" s="115">
        <v>463.45</v>
      </c>
      <c r="O2221" s="115">
        <v>445.35</v>
      </c>
      <c r="P2221" s="115">
        <v>445.35</v>
      </c>
      <c r="Q2221" s="115">
        <v>461.3</v>
      </c>
      <c r="R2221">
        <v>8353480</v>
      </c>
    </row>
    <row r="2222" spans="1:18" x14ac:dyDescent="0.25">
      <c r="A2222" s="169">
        <v>45947</v>
      </c>
      <c r="B2222" s="115">
        <v>468</v>
      </c>
      <c r="C2222" s="115">
        <v>461.4</v>
      </c>
      <c r="D2222" s="115">
        <v>458.35</v>
      </c>
      <c r="E2222" s="115">
        <v>461</v>
      </c>
      <c r="F2222" s="115">
        <v>461.4</v>
      </c>
      <c r="G2222">
        <v>287619</v>
      </c>
      <c r="H2222" s="115"/>
      <c r="I2222" s="115"/>
      <c r="L2222" s="169">
        <v>45947</v>
      </c>
      <c r="M2222" s="115">
        <v>461.55</v>
      </c>
      <c r="N2222" s="115">
        <v>468.2</v>
      </c>
      <c r="O2222" s="115">
        <v>458.15</v>
      </c>
      <c r="P2222" s="115">
        <v>460.8</v>
      </c>
      <c r="Q2222" s="115">
        <v>461.55</v>
      </c>
      <c r="R2222">
        <v>5494264</v>
      </c>
    </row>
    <row r="2223" spans="1:18" x14ac:dyDescent="0.25">
      <c r="A2223" s="169">
        <v>45950</v>
      </c>
      <c r="B2223" s="115">
        <v>463.9</v>
      </c>
      <c r="C2223" s="115">
        <v>456.3</v>
      </c>
      <c r="D2223" s="115">
        <v>455.4</v>
      </c>
      <c r="E2223" s="115">
        <v>463.4</v>
      </c>
      <c r="F2223" s="115">
        <v>456.3</v>
      </c>
      <c r="G2223">
        <v>120326</v>
      </c>
      <c r="H2223" s="115"/>
      <c r="I2223" s="115"/>
      <c r="L2223" s="169">
        <v>45950</v>
      </c>
      <c r="M2223" s="115">
        <v>456.35</v>
      </c>
      <c r="N2223" s="115">
        <v>464.1</v>
      </c>
      <c r="O2223" s="115">
        <v>455.15</v>
      </c>
      <c r="P2223" s="115">
        <v>463.8</v>
      </c>
      <c r="Q2223" s="115">
        <v>456.35</v>
      </c>
      <c r="R2223">
        <v>2631308</v>
      </c>
    </row>
    <row r="2224" spans="1:18" x14ac:dyDescent="0.25">
      <c r="A2224" s="169">
        <v>45951</v>
      </c>
      <c r="B2224" s="115">
        <v>460.9</v>
      </c>
      <c r="C2224" s="115">
        <v>459.4</v>
      </c>
      <c r="D2224" s="115">
        <v>456.85</v>
      </c>
      <c r="E2224" s="115">
        <v>457.45</v>
      </c>
      <c r="F2224" s="115">
        <v>459.4</v>
      </c>
      <c r="G2224">
        <v>33161</v>
      </c>
      <c r="H2224" s="115"/>
      <c r="I2224" s="115"/>
      <c r="L2224" s="169">
        <v>45951</v>
      </c>
      <c r="M2224" s="115">
        <v>459.45</v>
      </c>
      <c r="N2224" s="115">
        <v>461</v>
      </c>
      <c r="O2224" s="115">
        <v>456.35</v>
      </c>
      <c r="P2224" s="115">
        <v>456.4</v>
      </c>
      <c r="Q2224" s="115">
        <v>459.45</v>
      </c>
      <c r="R2224">
        <v>507808</v>
      </c>
    </row>
    <row r="2225" spans="1:18" x14ac:dyDescent="0.25">
      <c r="A2225" s="169">
        <v>45953</v>
      </c>
      <c r="B2225" s="115">
        <v>471.55</v>
      </c>
      <c r="C2225" s="115">
        <v>465.3</v>
      </c>
      <c r="D2225" s="115">
        <v>463.45</v>
      </c>
      <c r="E2225" s="115">
        <v>465.55</v>
      </c>
      <c r="F2225" s="115">
        <v>465.3</v>
      </c>
      <c r="G2225">
        <v>943022</v>
      </c>
      <c r="H2225" s="115"/>
      <c r="I2225" s="115"/>
      <c r="L2225" s="169">
        <v>45953</v>
      </c>
      <c r="M2225" s="115">
        <v>465.55</v>
      </c>
      <c r="N2225" s="115">
        <v>471.5</v>
      </c>
      <c r="O2225" s="115">
        <v>462.95</v>
      </c>
      <c r="P2225" s="115">
        <v>464.1</v>
      </c>
      <c r="Q2225" s="115">
        <v>465.55</v>
      </c>
      <c r="R2225">
        <v>9412633</v>
      </c>
    </row>
    <row r="2226" spans="1:18" x14ac:dyDescent="0.25">
      <c r="A2226" s="169">
        <v>45954</v>
      </c>
      <c r="B2226" s="115">
        <v>465.95</v>
      </c>
      <c r="C2226" s="115">
        <v>461</v>
      </c>
      <c r="D2226" s="115">
        <v>459.3</v>
      </c>
      <c r="E2226" s="115">
        <v>465.95</v>
      </c>
      <c r="F2226" s="115">
        <v>461</v>
      </c>
      <c r="G2226">
        <v>62585</v>
      </c>
      <c r="H2226" s="115"/>
      <c r="I2226" s="115"/>
      <c r="L2226" s="169">
        <v>45954</v>
      </c>
      <c r="M2226" s="115">
        <v>461.4</v>
      </c>
      <c r="N2226" s="115">
        <v>465.55</v>
      </c>
      <c r="O2226" s="115">
        <v>459.25</v>
      </c>
      <c r="P2226" s="115">
        <v>465.35</v>
      </c>
      <c r="Q2226" s="115">
        <v>461.4</v>
      </c>
      <c r="R2226">
        <v>3719605</v>
      </c>
    </row>
    <row r="2227" spans="1:18" x14ac:dyDescent="0.25">
      <c r="A2227" s="169">
        <v>45957</v>
      </c>
      <c r="B2227" s="115">
        <v>468.1</v>
      </c>
      <c r="C2227" s="115">
        <v>459.75</v>
      </c>
      <c r="D2227" s="115">
        <v>457.05</v>
      </c>
      <c r="E2227" s="115">
        <v>462</v>
      </c>
      <c r="F2227" s="115">
        <v>459.75</v>
      </c>
      <c r="G2227">
        <v>295126</v>
      </c>
      <c r="H2227" s="115"/>
      <c r="I2227" s="115"/>
      <c r="L2227" s="169">
        <v>45957</v>
      </c>
      <c r="M2227" s="115">
        <v>459.35</v>
      </c>
      <c r="N2227" s="115">
        <v>468</v>
      </c>
      <c r="O2227" s="115">
        <v>457</v>
      </c>
      <c r="P2227" s="115">
        <v>462</v>
      </c>
      <c r="Q2227" s="115">
        <v>459.35</v>
      </c>
      <c r="R2227">
        <v>7398287</v>
      </c>
    </row>
    <row r="2228" spans="1:18" x14ac:dyDescent="0.25">
      <c r="A2228" s="169">
        <v>45958</v>
      </c>
      <c r="B2228" s="115">
        <v>461.55</v>
      </c>
      <c r="C2228" s="115">
        <v>453.85</v>
      </c>
      <c r="D2228" s="115">
        <v>451.9</v>
      </c>
      <c r="E2228" s="115">
        <v>459.7</v>
      </c>
      <c r="F2228" s="115">
        <v>453.85</v>
      </c>
      <c r="G2228">
        <v>298239</v>
      </c>
      <c r="H2228" s="115"/>
      <c r="I2228" s="115"/>
      <c r="L2228" s="169">
        <v>45958</v>
      </c>
      <c r="M2228" s="115">
        <v>454.15</v>
      </c>
      <c r="N2228" s="115">
        <v>461.3</v>
      </c>
      <c r="O2228" s="115">
        <v>451.8</v>
      </c>
      <c r="P2228" s="115">
        <v>459.35</v>
      </c>
      <c r="Q2228" s="115">
        <v>454.15</v>
      </c>
      <c r="R2228">
        <v>7189256</v>
      </c>
    </row>
    <row r="2229" spans="1:18" x14ac:dyDescent="0.25">
      <c r="A2229" s="169">
        <v>45959</v>
      </c>
      <c r="B2229" s="115">
        <v>500.8</v>
      </c>
      <c r="C2229" s="115">
        <v>495.45</v>
      </c>
      <c r="D2229" s="115">
        <v>453.3</v>
      </c>
      <c r="E2229" s="115">
        <v>453.3</v>
      </c>
      <c r="F2229" s="115">
        <v>495.45</v>
      </c>
      <c r="G2229">
        <v>2476937</v>
      </c>
      <c r="H2229" s="115"/>
      <c r="I2229" s="115"/>
      <c r="L2229" s="169">
        <v>45959</v>
      </c>
      <c r="M2229" s="115">
        <v>495.45</v>
      </c>
      <c r="N2229" s="115">
        <v>501.7</v>
      </c>
      <c r="O2229" s="115">
        <v>455</v>
      </c>
      <c r="P2229" s="115">
        <v>455</v>
      </c>
      <c r="Q2229" s="115">
        <v>495.45</v>
      </c>
      <c r="R2229">
        <v>44567490</v>
      </c>
    </row>
    <row r="2230" spans="1:18" x14ac:dyDescent="0.25">
      <c r="A2230" s="169">
        <v>45960</v>
      </c>
      <c r="B2230" s="115">
        <v>499</v>
      </c>
      <c r="C2230" s="115">
        <v>485.15</v>
      </c>
      <c r="D2230" s="115">
        <v>476.8</v>
      </c>
      <c r="E2230" s="115">
        <v>497.75</v>
      </c>
      <c r="F2230" s="115">
        <v>485.15</v>
      </c>
      <c r="G2230">
        <v>669967</v>
      </c>
      <c r="H2230" s="115"/>
      <c r="I2230" s="115"/>
      <c r="L2230" s="169">
        <v>45960</v>
      </c>
      <c r="M2230" s="115">
        <v>485.25</v>
      </c>
      <c r="N2230" s="115">
        <v>498.9</v>
      </c>
      <c r="O2230" s="115">
        <v>477</v>
      </c>
      <c r="P2230" s="115">
        <v>495</v>
      </c>
      <c r="Q2230" s="115">
        <v>485.25</v>
      </c>
      <c r="R2230">
        <v>16027919</v>
      </c>
    </row>
    <row r="2231" spans="1:18" x14ac:dyDescent="0.25">
      <c r="A2231" s="169">
        <v>45961</v>
      </c>
      <c r="B2231" s="115">
        <v>487.4</v>
      </c>
      <c r="C2231" s="115">
        <v>469.7</v>
      </c>
      <c r="D2231" s="115">
        <v>468.6</v>
      </c>
      <c r="E2231" s="115">
        <v>487.4</v>
      </c>
      <c r="F2231" s="115">
        <v>469.7</v>
      </c>
      <c r="G2231">
        <v>517568</v>
      </c>
      <c r="H2231" s="115"/>
      <c r="I2231" s="115"/>
      <c r="L2231" s="169">
        <v>45961</v>
      </c>
      <c r="M2231" s="115">
        <v>469.65</v>
      </c>
      <c r="N2231" s="115">
        <v>486.95</v>
      </c>
      <c r="O2231" s="115">
        <v>468.5</v>
      </c>
      <c r="P2231" s="115">
        <v>486.9</v>
      </c>
      <c r="Q2231" s="115">
        <v>469.65</v>
      </c>
      <c r="R2231">
        <v>9048607</v>
      </c>
    </row>
    <row r="2232" spans="1:18" x14ac:dyDescent="0.25">
      <c r="A2232" s="169">
        <v>45964</v>
      </c>
      <c r="B2232" s="115">
        <v>479.3</v>
      </c>
      <c r="C2232" s="115">
        <v>474.75</v>
      </c>
      <c r="D2232" s="115">
        <v>469.1</v>
      </c>
      <c r="E2232" s="115">
        <v>471.35</v>
      </c>
      <c r="F2232" s="115">
        <v>474.75</v>
      </c>
      <c r="G2232">
        <v>301436</v>
      </c>
      <c r="H2232" s="115"/>
      <c r="I2232" s="115"/>
      <c r="L2232" s="169">
        <v>45964</v>
      </c>
      <c r="M2232" s="115">
        <v>474.75</v>
      </c>
      <c r="N2232" s="115">
        <v>479.35</v>
      </c>
      <c r="O2232" s="115">
        <v>469.05</v>
      </c>
      <c r="P2232" s="115">
        <v>470</v>
      </c>
      <c r="Q2232" s="115">
        <v>474.75</v>
      </c>
      <c r="R2232">
        <v>4702192</v>
      </c>
    </row>
    <row r="2233" spans="1:18" x14ac:dyDescent="0.25">
      <c r="A2233" s="169">
        <v>45965</v>
      </c>
      <c r="B2233" s="115">
        <v>475.2</v>
      </c>
      <c r="C2233" s="115">
        <v>471.1</v>
      </c>
      <c r="D2233" s="115">
        <v>469</v>
      </c>
      <c r="E2233" s="115">
        <v>474.75</v>
      </c>
      <c r="F2233" s="115">
        <v>471.1</v>
      </c>
      <c r="G2233">
        <v>214855</v>
      </c>
      <c r="H2233" s="115"/>
      <c r="I2233" s="115"/>
      <c r="L2233" s="169">
        <v>45965</v>
      </c>
      <c r="M2233" s="115">
        <v>471</v>
      </c>
      <c r="N2233" s="115">
        <v>475</v>
      </c>
      <c r="O2233" s="115">
        <v>469</v>
      </c>
      <c r="P2233" s="115">
        <v>474.9</v>
      </c>
      <c r="Q2233" s="115">
        <v>471</v>
      </c>
      <c r="R2233">
        <v>3554888</v>
      </c>
    </row>
    <row r="2234" spans="1:18" x14ac:dyDescent="0.25">
      <c r="A2234" s="169">
        <v>45967</v>
      </c>
      <c r="B2234" s="115">
        <v>475.85</v>
      </c>
      <c r="C2234" s="115">
        <v>471.9</v>
      </c>
      <c r="D2234" s="115">
        <v>470.3</v>
      </c>
      <c r="E2234" s="115">
        <v>473.05</v>
      </c>
      <c r="F2234" s="115">
        <v>471.9</v>
      </c>
      <c r="G2234">
        <v>290524</v>
      </c>
      <c r="H2234" s="115"/>
      <c r="I2234" s="115"/>
      <c r="L2234" s="169">
        <v>45967</v>
      </c>
      <c r="M2234" s="115">
        <v>471.85</v>
      </c>
      <c r="N2234" s="115">
        <v>478.8</v>
      </c>
      <c r="O2234" s="115">
        <v>470.2</v>
      </c>
      <c r="P2234" s="115">
        <v>473.75</v>
      </c>
      <c r="Q2234" s="115">
        <v>471.85</v>
      </c>
      <c r="R2234">
        <v>4827230</v>
      </c>
    </row>
    <row r="2235" spans="1:18" x14ac:dyDescent="0.25">
      <c r="A2235" s="169">
        <v>45968</v>
      </c>
      <c r="B2235" s="115">
        <v>472.4</v>
      </c>
      <c r="C2235" s="115">
        <v>470.45</v>
      </c>
      <c r="D2235" s="115">
        <v>466.25</v>
      </c>
      <c r="E2235" s="115">
        <v>471.9</v>
      </c>
      <c r="F2235" s="115">
        <v>470.45</v>
      </c>
      <c r="G2235">
        <v>341789</v>
      </c>
      <c r="H2235" s="115"/>
      <c r="I2235" s="115"/>
      <c r="L2235" s="169">
        <v>45968</v>
      </c>
      <c r="M2235" s="115">
        <v>470.2</v>
      </c>
      <c r="N2235" s="115">
        <v>472.9</v>
      </c>
      <c r="O2235" s="115">
        <v>466.4</v>
      </c>
      <c r="P2235" s="115">
        <v>472</v>
      </c>
      <c r="Q2235" s="115">
        <v>470.2</v>
      </c>
      <c r="R2235">
        <v>4991085</v>
      </c>
    </row>
    <row r="2236" spans="1:18" x14ac:dyDescent="0.25">
      <c r="A2236" s="169">
        <v>45971</v>
      </c>
      <c r="B2236" s="115">
        <v>470.45</v>
      </c>
      <c r="C2236" s="115">
        <v>463.3</v>
      </c>
      <c r="D2236" s="115">
        <v>462</v>
      </c>
      <c r="E2236" s="115">
        <v>469.35</v>
      </c>
      <c r="F2236" s="115">
        <v>463.3</v>
      </c>
      <c r="G2236">
        <v>214720</v>
      </c>
      <c r="H2236" s="115"/>
      <c r="I2236" s="115"/>
      <c r="L2236" s="169">
        <v>45971</v>
      </c>
      <c r="M2236" s="115">
        <v>463.25</v>
      </c>
      <c r="N2236" s="115">
        <v>471.5</v>
      </c>
      <c r="O2236" s="115">
        <v>461.9</v>
      </c>
      <c r="P2236" s="115">
        <v>470.2</v>
      </c>
      <c r="Q2236" s="115">
        <v>463.25</v>
      </c>
      <c r="R2236">
        <v>4863609</v>
      </c>
    </row>
    <row r="2237" spans="1:18" x14ac:dyDescent="0.25">
      <c r="A2237" s="169">
        <v>45972</v>
      </c>
      <c r="B2237" s="115">
        <v>472.75</v>
      </c>
      <c r="C2237" s="115">
        <v>470.45</v>
      </c>
      <c r="D2237" s="115">
        <v>460.05</v>
      </c>
      <c r="E2237" s="115">
        <v>463</v>
      </c>
      <c r="F2237" s="115">
        <v>470.45</v>
      </c>
      <c r="G2237">
        <v>244358</v>
      </c>
      <c r="H2237" s="115"/>
      <c r="I2237" s="115"/>
      <c r="L2237" s="169">
        <v>45972</v>
      </c>
      <c r="M2237" s="115">
        <v>470.6</v>
      </c>
      <c r="N2237" s="115">
        <v>472.7</v>
      </c>
      <c r="O2237" s="115">
        <v>460.2</v>
      </c>
      <c r="P2237" s="115">
        <v>463.25</v>
      </c>
      <c r="Q2237" s="115">
        <v>470.6</v>
      </c>
      <c r="R2237">
        <v>4669423</v>
      </c>
    </row>
    <row r="2238" spans="1:18" x14ac:dyDescent="0.25">
      <c r="A2238" s="169">
        <v>45973</v>
      </c>
      <c r="B2238" s="115">
        <v>471.05</v>
      </c>
      <c r="C2238" s="115">
        <v>459.15</v>
      </c>
      <c r="D2238" s="115">
        <v>458.6</v>
      </c>
      <c r="E2238" s="115">
        <v>471</v>
      </c>
      <c r="F2238" s="115">
        <v>459.15</v>
      </c>
      <c r="G2238">
        <v>378158</v>
      </c>
      <c r="H2238" s="115"/>
      <c r="I2238" s="115"/>
      <c r="L2238" s="169">
        <v>45973</v>
      </c>
      <c r="M2238" s="115">
        <v>459.3</v>
      </c>
      <c r="N2238" s="115">
        <v>470.6</v>
      </c>
      <c r="O2238" s="115">
        <v>458.6</v>
      </c>
      <c r="P2238" s="115">
        <v>470.6</v>
      </c>
      <c r="Q2238" s="115">
        <v>459.3</v>
      </c>
      <c r="R2238">
        <v>6996274</v>
      </c>
    </row>
    <row r="2239" spans="1:18" x14ac:dyDescent="0.25">
      <c r="A2239" s="169">
        <v>45974</v>
      </c>
      <c r="B2239" s="115">
        <v>460</v>
      </c>
      <c r="C2239" s="115">
        <v>452.65</v>
      </c>
      <c r="D2239" s="115">
        <v>451.65</v>
      </c>
      <c r="E2239" s="115">
        <v>459.15</v>
      </c>
      <c r="F2239" s="115">
        <v>452.65</v>
      </c>
      <c r="G2239">
        <v>775174</v>
      </c>
      <c r="H2239" s="115"/>
      <c r="I2239" s="115"/>
      <c r="L2239" s="169">
        <v>45974</v>
      </c>
      <c r="M2239" s="115">
        <v>453</v>
      </c>
      <c r="N2239" s="115">
        <v>460.4</v>
      </c>
      <c r="O2239" s="115">
        <v>451.6</v>
      </c>
      <c r="P2239" s="115">
        <v>459.35</v>
      </c>
      <c r="Q2239" s="115">
        <v>453</v>
      </c>
      <c r="R2239">
        <v>10531716</v>
      </c>
    </row>
    <row r="2240" spans="1:18" x14ac:dyDescent="0.25">
      <c r="A2240" s="169">
        <v>45975</v>
      </c>
      <c r="B2240" s="115">
        <v>460.6</v>
      </c>
      <c r="C2240" s="115">
        <v>459.1</v>
      </c>
      <c r="D2240" s="115">
        <v>448.95</v>
      </c>
      <c r="E2240" s="115">
        <v>453</v>
      </c>
      <c r="F2240" s="115">
        <v>459.1</v>
      </c>
      <c r="G2240">
        <v>124323</v>
      </c>
      <c r="H2240" s="115"/>
      <c r="I2240" s="115"/>
      <c r="L2240" s="169">
        <v>45975</v>
      </c>
      <c r="M2240" s="115">
        <v>459.4</v>
      </c>
      <c r="N2240" s="115">
        <v>460.5</v>
      </c>
      <c r="O2240" s="115">
        <v>448.6</v>
      </c>
      <c r="P2240" s="115">
        <v>453</v>
      </c>
      <c r="Q2240" s="115">
        <v>459.4</v>
      </c>
      <c r="R2240">
        <v>4449524</v>
      </c>
    </row>
    <row r="2241" spans="1:18" x14ac:dyDescent="0.25">
      <c r="A2241" s="169">
        <v>45978</v>
      </c>
      <c r="B2241" s="115">
        <v>463.9</v>
      </c>
      <c r="C2241" s="115">
        <v>461.7</v>
      </c>
      <c r="D2241" s="115">
        <v>458.6</v>
      </c>
      <c r="E2241" s="115">
        <v>462.8</v>
      </c>
      <c r="F2241" s="115">
        <v>461.7</v>
      </c>
      <c r="G2241">
        <v>195696</v>
      </c>
      <c r="H2241" s="115"/>
      <c r="I2241" s="115"/>
      <c r="L2241" s="169">
        <v>45978</v>
      </c>
      <c r="M2241" s="115">
        <v>461.7</v>
      </c>
      <c r="N2241" s="115">
        <v>464.05</v>
      </c>
      <c r="O2241" s="115">
        <v>458.65</v>
      </c>
      <c r="P2241" s="115">
        <v>463</v>
      </c>
      <c r="Q2241" s="115">
        <v>461.7</v>
      </c>
      <c r="R2241">
        <v>4330719</v>
      </c>
    </row>
    <row r="2242" spans="1:18" x14ac:dyDescent="0.25">
      <c r="A2242" s="169">
        <v>45979</v>
      </c>
      <c r="B2242" s="115">
        <v>460.6</v>
      </c>
      <c r="C2242" s="115">
        <v>457.4</v>
      </c>
      <c r="D2242" s="115">
        <v>454.05</v>
      </c>
      <c r="E2242" s="115">
        <v>458.9</v>
      </c>
      <c r="F2242" s="115">
        <v>457.4</v>
      </c>
      <c r="G2242">
        <v>119921</v>
      </c>
      <c r="H2242" s="115"/>
      <c r="I2242" s="115"/>
      <c r="L2242" s="169">
        <v>45979</v>
      </c>
      <c r="M2242" s="115">
        <v>457.9</v>
      </c>
      <c r="N2242" s="115">
        <v>460.5</v>
      </c>
      <c r="O2242" s="115">
        <v>454</v>
      </c>
      <c r="P2242" s="115">
        <v>459.7</v>
      </c>
      <c r="Q2242" s="115">
        <v>457.9</v>
      </c>
      <c r="R2242">
        <v>3423663</v>
      </c>
    </row>
    <row r="2243" spans="1:18" x14ac:dyDescent="0.25">
      <c r="A2243" s="169">
        <v>45980</v>
      </c>
      <c r="B2243" s="115">
        <v>458.55</v>
      </c>
      <c r="C2243" s="115">
        <v>454.6</v>
      </c>
      <c r="D2243" s="115">
        <v>451.7</v>
      </c>
      <c r="E2243" s="115">
        <v>456.45</v>
      </c>
      <c r="F2243" s="115">
        <v>454.6</v>
      </c>
      <c r="G2243">
        <v>610067</v>
      </c>
      <c r="H2243" s="115"/>
      <c r="I2243" s="115"/>
      <c r="L2243" s="169">
        <v>45980</v>
      </c>
      <c r="M2243" s="115">
        <v>454.55</v>
      </c>
      <c r="N2243" s="115">
        <v>457.9</v>
      </c>
      <c r="O2243" s="115">
        <v>451.8</v>
      </c>
      <c r="P2243" s="115">
        <v>457.9</v>
      </c>
      <c r="Q2243" s="115">
        <v>454.55</v>
      </c>
      <c r="R2243">
        <v>4612838</v>
      </c>
    </row>
    <row r="2244" spans="1:18" x14ac:dyDescent="0.25">
      <c r="A2244" s="169">
        <v>45981</v>
      </c>
      <c r="B2244" s="115">
        <v>457.15</v>
      </c>
      <c r="C2244" s="115">
        <v>451.35</v>
      </c>
      <c r="D2244" s="115">
        <v>450.3</v>
      </c>
      <c r="E2244" s="115">
        <v>455</v>
      </c>
      <c r="F2244" s="115">
        <v>451.35</v>
      </c>
      <c r="G2244">
        <v>404818</v>
      </c>
      <c r="H2244" s="115"/>
      <c r="I2244" s="115"/>
      <c r="L2244" s="169">
        <v>45981</v>
      </c>
      <c r="M2244" s="115">
        <v>451.5</v>
      </c>
      <c r="N2244" s="115">
        <v>457.2</v>
      </c>
      <c r="O2244" s="115">
        <v>450.15</v>
      </c>
      <c r="P2244" s="115">
        <v>455</v>
      </c>
      <c r="Q2244" s="115">
        <v>451.5</v>
      </c>
      <c r="R2244">
        <v>5119680</v>
      </c>
    </row>
    <row r="2245" spans="1:18" x14ac:dyDescent="0.25">
      <c r="A2245" s="169">
        <v>45982</v>
      </c>
      <c r="B2245" s="115">
        <v>450.5</v>
      </c>
      <c r="C2245" s="115">
        <v>447.55</v>
      </c>
      <c r="D2245" s="115">
        <v>445</v>
      </c>
      <c r="E2245" s="115">
        <v>450.5</v>
      </c>
      <c r="F2245" s="115">
        <v>447.55</v>
      </c>
      <c r="G2245">
        <v>78315</v>
      </c>
      <c r="H2245" s="115"/>
      <c r="I2245" s="115"/>
      <c r="L2245" s="169">
        <v>45982</v>
      </c>
      <c r="M2245" s="115">
        <v>447.65</v>
      </c>
      <c r="N2245" s="115">
        <v>450.9</v>
      </c>
      <c r="O2245" s="115">
        <v>444.8</v>
      </c>
      <c r="P2245" s="115">
        <v>450.9</v>
      </c>
      <c r="Q2245" s="115">
        <v>447.65</v>
      </c>
      <c r="R2245">
        <v>3406202</v>
      </c>
    </row>
    <row r="2246" spans="1:18" x14ac:dyDescent="0.25">
      <c r="A2246" s="169">
        <v>45985</v>
      </c>
      <c r="B2246" s="115">
        <v>448.8</v>
      </c>
      <c r="C2246" s="115">
        <v>446.55</v>
      </c>
      <c r="D2246" s="115">
        <v>442.5</v>
      </c>
      <c r="E2246" s="115">
        <v>447.55</v>
      </c>
      <c r="F2246" s="115">
        <v>446.55</v>
      </c>
      <c r="G2246">
        <v>2412962</v>
      </c>
      <c r="H2246" s="115"/>
      <c r="I2246" s="115"/>
      <c r="L2246" s="169">
        <v>45985</v>
      </c>
      <c r="M2246" s="115">
        <v>446.1</v>
      </c>
      <c r="N2246" s="115">
        <v>448.9</v>
      </c>
      <c r="O2246" s="115">
        <v>442.15</v>
      </c>
      <c r="P2246" s="115">
        <v>447.6</v>
      </c>
      <c r="Q2246" s="115">
        <v>446.1</v>
      </c>
      <c r="R2246">
        <v>8615148</v>
      </c>
    </row>
    <row r="2247" spans="1:18" x14ac:dyDescent="0.25">
      <c r="A2247" s="169">
        <v>45986</v>
      </c>
      <c r="B2247" s="115">
        <v>449.85</v>
      </c>
      <c r="C2247" s="115">
        <v>449.1</v>
      </c>
      <c r="D2247" s="115">
        <v>445.7</v>
      </c>
      <c r="E2247" s="115">
        <v>447.2</v>
      </c>
      <c r="F2247" s="115">
        <v>449.1</v>
      </c>
      <c r="G2247">
        <v>153150</v>
      </c>
      <c r="H2247" s="115"/>
      <c r="I2247" s="115"/>
      <c r="L2247" s="169">
        <v>45986</v>
      </c>
      <c r="M2247" s="115">
        <v>449.05</v>
      </c>
      <c r="N2247" s="115">
        <v>449.95</v>
      </c>
      <c r="O2247" s="115">
        <v>445.65</v>
      </c>
      <c r="P2247" s="115">
        <v>447</v>
      </c>
      <c r="Q2247" s="115">
        <v>449.05</v>
      </c>
      <c r="R2247">
        <v>3455709</v>
      </c>
    </row>
    <row r="2248" spans="1:18" x14ac:dyDescent="0.25">
      <c r="A2248" s="169">
        <v>45987</v>
      </c>
      <c r="B2248" s="115">
        <v>467.35</v>
      </c>
      <c r="C2248" s="115">
        <v>465.6</v>
      </c>
      <c r="D2248" s="115">
        <v>446.7</v>
      </c>
      <c r="E2248" s="115">
        <v>449</v>
      </c>
      <c r="F2248" s="115">
        <v>465.6</v>
      </c>
      <c r="G2248">
        <v>516129</v>
      </c>
      <c r="H2248" s="115"/>
      <c r="I2248" s="115"/>
      <c r="L2248" s="169">
        <v>45987</v>
      </c>
      <c r="M2248" s="115">
        <v>465.5</v>
      </c>
      <c r="N2248" s="115">
        <v>467.6</v>
      </c>
      <c r="O2248" s="115">
        <v>446.75</v>
      </c>
      <c r="P2248" s="115">
        <v>449.05</v>
      </c>
      <c r="Q2248" s="115">
        <v>465.5</v>
      </c>
      <c r="R2248">
        <v>8934221</v>
      </c>
    </row>
    <row r="2249" spans="1:18" x14ac:dyDescent="0.25">
      <c r="A2249" s="169">
        <v>45988</v>
      </c>
      <c r="B2249" s="115">
        <v>468.8</v>
      </c>
      <c r="C2249" s="115">
        <v>467.1</v>
      </c>
      <c r="D2249" s="115">
        <v>462.85</v>
      </c>
      <c r="E2249" s="115">
        <v>465.55</v>
      </c>
      <c r="F2249" s="115">
        <v>467.1</v>
      </c>
      <c r="G2249">
        <v>480905</v>
      </c>
      <c r="H2249" s="115"/>
      <c r="I2249" s="115"/>
      <c r="L2249" s="169">
        <v>45988</v>
      </c>
      <c r="M2249" s="115">
        <v>467.3</v>
      </c>
      <c r="N2249" s="115">
        <v>468.9</v>
      </c>
      <c r="O2249" s="115">
        <v>462.75</v>
      </c>
      <c r="P2249" s="115">
        <v>465.1</v>
      </c>
      <c r="Q2249" s="115">
        <v>467.3</v>
      </c>
      <c r="R2249">
        <v>2393262</v>
      </c>
    </row>
    <row r="2250" spans="1:18" x14ac:dyDescent="0.25">
      <c r="A2250" s="169">
        <v>45989</v>
      </c>
      <c r="B2250" s="115">
        <v>487</v>
      </c>
      <c r="C2250" s="115">
        <v>481.5</v>
      </c>
      <c r="D2250" s="115">
        <v>467.35</v>
      </c>
      <c r="E2250" s="115">
        <v>467.35</v>
      </c>
      <c r="F2250" s="115">
        <v>481.5</v>
      </c>
      <c r="G2250">
        <v>464427</v>
      </c>
      <c r="H2250" s="115"/>
      <c r="I2250" s="115"/>
      <c r="L2250" s="169">
        <v>45989</v>
      </c>
      <c r="M2250" s="115">
        <v>481.55</v>
      </c>
      <c r="N2250" s="115">
        <v>487</v>
      </c>
      <c r="O2250" s="115">
        <v>468</v>
      </c>
      <c r="P2250" s="115">
        <v>468</v>
      </c>
      <c r="Q2250" s="115">
        <v>481.55</v>
      </c>
      <c r="R2250">
        <v>13013412</v>
      </c>
    </row>
    <row r="2251" spans="1:18" x14ac:dyDescent="0.25">
      <c r="A2251" s="169">
        <v>45992</v>
      </c>
      <c r="B2251" s="115">
        <v>486.35</v>
      </c>
      <c r="C2251" s="115">
        <v>483.95</v>
      </c>
      <c r="D2251" s="115">
        <v>480.5</v>
      </c>
      <c r="E2251" s="115">
        <v>483.75</v>
      </c>
      <c r="F2251" s="115">
        <v>483.95</v>
      </c>
      <c r="G2251">
        <v>108630</v>
      </c>
      <c r="H2251" s="115"/>
      <c r="I2251" s="115"/>
      <c r="L2251" s="169">
        <v>45992</v>
      </c>
      <c r="M2251" s="115">
        <v>484.15</v>
      </c>
      <c r="N2251" s="115">
        <v>486.4</v>
      </c>
      <c r="O2251" s="115">
        <v>480.45</v>
      </c>
      <c r="P2251" s="115">
        <v>482</v>
      </c>
      <c r="Q2251" s="115">
        <v>484.15</v>
      </c>
      <c r="R2251">
        <v>3211925</v>
      </c>
    </row>
    <row r="2252" spans="1:18" x14ac:dyDescent="0.25">
      <c r="A2252" s="169">
        <v>45993</v>
      </c>
      <c r="B2252" s="115">
        <v>486</v>
      </c>
      <c r="C2252" s="115">
        <v>481.3</v>
      </c>
      <c r="D2252" s="115">
        <v>479.6</v>
      </c>
      <c r="E2252" s="115">
        <v>483.65</v>
      </c>
      <c r="F2252" s="115">
        <v>481.3</v>
      </c>
      <c r="G2252">
        <v>110000</v>
      </c>
      <c r="H2252" s="115"/>
      <c r="I2252" s="115"/>
      <c r="L2252" s="169">
        <v>45993</v>
      </c>
      <c r="M2252" s="115">
        <v>481.4</v>
      </c>
      <c r="N2252" s="115">
        <v>486</v>
      </c>
      <c r="O2252" s="115">
        <v>479.65</v>
      </c>
      <c r="P2252" s="115">
        <v>482</v>
      </c>
      <c r="Q2252" s="115">
        <v>481.4</v>
      </c>
      <c r="R2252">
        <v>3473726</v>
      </c>
    </row>
    <row r="2253" spans="1:18" x14ac:dyDescent="0.25">
      <c r="A2253" s="169">
        <v>45994</v>
      </c>
      <c r="B2253" s="115">
        <v>482.4</v>
      </c>
      <c r="C2253" s="115">
        <v>477.75</v>
      </c>
      <c r="D2253" s="115">
        <v>472.4</v>
      </c>
      <c r="E2253" s="115">
        <v>480.05</v>
      </c>
      <c r="F2253" s="115">
        <v>477.75</v>
      </c>
      <c r="G2253">
        <v>521433</v>
      </c>
      <c r="H2253" s="115"/>
      <c r="I2253" s="115"/>
      <c r="L2253" s="169">
        <v>45994</v>
      </c>
      <c r="M2253" s="115">
        <v>477.5</v>
      </c>
      <c r="N2253" s="115">
        <v>482.75</v>
      </c>
      <c r="O2253" s="115">
        <v>472.3</v>
      </c>
      <c r="P2253" s="115">
        <v>481.35</v>
      </c>
      <c r="Q2253" s="115">
        <v>477.5</v>
      </c>
      <c r="R2253">
        <v>2668903</v>
      </c>
    </row>
    <row r="2254" spans="1:18" x14ac:dyDescent="0.25">
      <c r="A2254" s="169">
        <v>45995</v>
      </c>
      <c r="B2254" s="115">
        <v>489.9</v>
      </c>
      <c r="C2254" s="115">
        <v>479.7</v>
      </c>
      <c r="D2254" s="115">
        <v>474.05</v>
      </c>
      <c r="E2254" s="115">
        <v>474.05</v>
      </c>
      <c r="F2254" s="115">
        <v>479.7</v>
      </c>
      <c r="G2254">
        <v>320116</v>
      </c>
      <c r="H2254" s="115"/>
      <c r="I2254" s="115"/>
      <c r="L2254" s="169">
        <v>45995</v>
      </c>
      <c r="M2254" s="115">
        <v>479.9</v>
      </c>
      <c r="N2254" s="115">
        <v>489.9</v>
      </c>
      <c r="O2254" s="115">
        <v>475.1</v>
      </c>
      <c r="P2254" s="115">
        <v>475.1</v>
      </c>
      <c r="Q2254" s="115">
        <v>479.9</v>
      </c>
      <c r="R2254">
        <v>3925680</v>
      </c>
    </row>
    <row r="2255" spans="1:18" x14ac:dyDescent="0.25">
      <c r="A2255" s="169">
        <v>45996</v>
      </c>
      <c r="B2255" s="115">
        <v>480.75</v>
      </c>
      <c r="C2255" s="115">
        <v>479.95</v>
      </c>
      <c r="D2255" s="115">
        <v>473</v>
      </c>
      <c r="E2255" s="115">
        <v>479.7</v>
      </c>
      <c r="F2255" s="115">
        <v>479.95</v>
      </c>
      <c r="G2255">
        <v>102519</v>
      </c>
      <c r="H2255" s="115"/>
      <c r="I2255" s="115"/>
      <c r="L2255" s="169">
        <v>45996</v>
      </c>
      <c r="M2255" s="115">
        <v>479.95</v>
      </c>
      <c r="N2255" s="115">
        <v>480.6</v>
      </c>
      <c r="O2255" s="115">
        <v>472.5</v>
      </c>
      <c r="P2255" s="115">
        <v>479.4</v>
      </c>
      <c r="Q2255" s="115">
        <v>479.95</v>
      </c>
      <c r="R2255">
        <v>2387160</v>
      </c>
    </row>
    <row r="2256" spans="1:18" x14ac:dyDescent="0.25">
      <c r="A2256" s="169">
        <v>45999</v>
      </c>
      <c r="B2256" s="115">
        <v>479</v>
      </c>
      <c r="C2256" s="115">
        <v>469.75</v>
      </c>
      <c r="D2256" s="115">
        <v>465.75</v>
      </c>
      <c r="E2256" s="115">
        <v>478.95</v>
      </c>
      <c r="F2256" s="115">
        <v>469.75</v>
      </c>
      <c r="G2256">
        <v>181216</v>
      </c>
      <c r="H2256" s="115"/>
      <c r="I2256" s="115"/>
      <c r="L2256" s="169">
        <v>45999</v>
      </c>
      <c r="M2256" s="115">
        <v>469.8</v>
      </c>
      <c r="N2256" s="115">
        <v>479.1</v>
      </c>
      <c r="O2256" s="115">
        <v>465.95</v>
      </c>
      <c r="P2256" s="115">
        <v>478.05</v>
      </c>
      <c r="Q2256" s="115">
        <v>469.8</v>
      </c>
      <c r="R2256">
        <v>2182021</v>
      </c>
    </row>
    <row r="2257" spans="1:18" x14ac:dyDescent="0.25">
      <c r="A2257" s="169">
        <v>46000</v>
      </c>
      <c r="B2257" s="115">
        <v>472.8</v>
      </c>
      <c r="C2257" s="115">
        <v>471.6</v>
      </c>
      <c r="D2257" s="115">
        <v>457.6</v>
      </c>
      <c r="E2257" s="115">
        <v>465</v>
      </c>
      <c r="F2257" s="115">
        <v>471.6</v>
      </c>
      <c r="G2257">
        <v>84812</v>
      </c>
      <c r="H2257" s="115"/>
      <c r="I2257" s="115"/>
      <c r="L2257" s="169">
        <v>46000</v>
      </c>
      <c r="M2257" s="115">
        <v>471.55</v>
      </c>
      <c r="N2257" s="115">
        <v>473</v>
      </c>
      <c r="O2257" s="115">
        <v>457.4</v>
      </c>
      <c r="P2257" s="115">
        <v>464.5</v>
      </c>
      <c r="Q2257" s="115">
        <v>471.55</v>
      </c>
      <c r="R2257">
        <v>5508110</v>
      </c>
    </row>
    <row r="2258" spans="1:18" x14ac:dyDescent="0.25">
      <c r="A2258" s="169">
        <v>46001</v>
      </c>
      <c r="B2258" s="115">
        <v>480.4</v>
      </c>
      <c r="C2258" s="115">
        <v>473</v>
      </c>
      <c r="D2258" s="115">
        <v>471</v>
      </c>
      <c r="E2258" s="115">
        <v>472.05</v>
      </c>
      <c r="F2258" s="115">
        <v>473</v>
      </c>
      <c r="G2258">
        <v>427066</v>
      </c>
      <c r="H2258" s="115"/>
      <c r="I2258" s="115"/>
      <c r="L2258" s="169">
        <v>46001</v>
      </c>
      <c r="M2258" s="115">
        <v>472.95</v>
      </c>
      <c r="N2258" s="115">
        <v>480.4</v>
      </c>
      <c r="O2258" s="115">
        <v>470.95</v>
      </c>
      <c r="P2258" s="115">
        <v>474</v>
      </c>
      <c r="Q2258" s="115">
        <v>472.95</v>
      </c>
      <c r="R2258">
        <v>2704952</v>
      </c>
    </row>
    <row r="2259" spans="1:18" x14ac:dyDescent="0.25">
      <c r="A2259" s="169">
        <v>46002</v>
      </c>
      <c r="B2259" s="115">
        <v>479.65</v>
      </c>
      <c r="C2259" s="115">
        <v>478.45</v>
      </c>
      <c r="D2259" s="115">
        <v>466.55</v>
      </c>
      <c r="E2259" s="115">
        <v>470.75</v>
      </c>
      <c r="F2259" s="115">
        <v>478.45</v>
      </c>
      <c r="G2259">
        <v>134356</v>
      </c>
      <c r="H2259" s="115"/>
      <c r="I2259" s="115"/>
      <c r="L2259" s="169">
        <v>46002</v>
      </c>
      <c r="M2259" s="115">
        <v>478.5</v>
      </c>
      <c r="N2259" s="115">
        <v>480</v>
      </c>
      <c r="O2259" s="115">
        <v>466.65</v>
      </c>
      <c r="P2259" s="115">
        <v>473.45</v>
      </c>
      <c r="Q2259" s="115">
        <v>478.5</v>
      </c>
      <c r="R2259">
        <v>2652292</v>
      </c>
    </row>
    <row r="2260" spans="1:18" x14ac:dyDescent="0.25">
      <c r="A2260" s="169">
        <v>46003</v>
      </c>
      <c r="B2260" s="115">
        <v>482</v>
      </c>
      <c r="C2260" s="115">
        <v>480.1</v>
      </c>
      <c r="D2260" s="115">
        <v>473.7</v>
      </c>
      <c r="E2260" s="115">
        <v>477.1</v>
      </c>
      <c r="F2260" s="115">
        <v>480.1</v>
      </c>
      <c r="G2260">
        <v>65770</v>
      </c>
      <c r="H2260" s="115"/>
      <c r="I2260" s="115"/>
      <c r="L2260" s="169">
        <v>46003</v>
      </c>
      <c r="M2260" s="115">
        <v>479.95</v>
      </c>
      <c r="N2260" s="115">
        <v>481.55</v>
      </c>
      <c r="O2260" s="115">
        <v>473.45</v>
      </c>
      <c r="P2260" s="115">
        <v>478.5</v>
      </c>
      <c r="Q2260" s="115">
        <v>479.95</v>
      </c>
      <c r="R2260">
        <v>2810867</v>
      </c>
    </row>
    <row r="2261" spans="1:18" x14ac:dyDescent="0.25">
      <c r="A2261" s="169">
        <v>46006</v>
      </c>
      <c r="B2261" s="115">
        <v>481.05</v>
      </c>
      <c r="C2261" s="115">
        <v>477.5</v>
      </c>
      <c r="D2261" s="115">
        <v>474.05</v>
      </c>
      <c r="E2261" s="115">
        <v>480.5</v>
      </c>
      <c r="F2261" s="115">
        <v>477.5</v>
      </c>
      <c r="G2261">
        <v>210872</v>
      </c>
      <c r="H2261" s="115"/>
      <c r="I2261" s="115"/>
      <c r="L2261" s="169">
        <v>46006</v>
      </c>
      <c r="M2261" s="115">
        <v>477.6</v>
      </c>
      <c r="N2261" s="115">
        <v>481.3</v>
      </c>
      <c r="O2261" s="115">
        <v>474</v>
      </c>
      <c r="P2261" s="115">
        <v>481</v>
      </c>
      <c r="Q2261" s="115">
        <v>477.6</v>
      </c>
      <c r="R2261">
        <v>3177203</v>
      </c>
    </row>
    <row r="2262" spans="1:18" x14ac:dyDescent="0.25">
      <c r="A2262" s="169">
        <v>46007</v>
      </c>
      <c r="B2262" s="115">
        <v>485</v>
      </c>
      <c r="C2262" s="115">
        <v>476.85</v>
      </c>
      <c r="D2262" s="115">
        <v>473.7</v>
      </c>
      <c r="E2262" s="115">
        <v>474.05</v>
      </c>
      <c r="F2262" s="115">
        <v>476.85</v>
      </c>
      <c r="G2262">
        <v>72733</v>
      </c>
      <c r="H2262" s="115"/>
      <c r="I2262" s="115"/>
      <c r="L2262" s="169">
        <v>46007</v>
      </c>
      <c r="M2262" s="115">
        <v>477.15</v>
      </c>
      <c r="N2262" s="115">
        <v>484.95</v>
      </c>
      <c r="O2262" s="115">
        <v>473.5</v>
      </c>
      <c r="P2262" s="115">
        <v>475.1</v>
      </c>
      <c r="Q2262" s="115">
        <v>477.15</v>
      </c>
      <c r="R2262">
        <v>4157266</v>
      </c>
    </row>
    <row r="2263" spans="1:18" x14ac:dyDescent="0.25">
      <c r="A2263" s="169">
        <v>46008</v>
      </c>
      <c r="B2263" s="115">
        <v>478.75</v>
      </c>
      <c r="C2263" s="115">
        <v>470.7</v>
      </c>
      <c r="D2263" s="115">
        <v>467</v>
      </c>
      <c r="E2263" s="115">
        <v>474.5</v>
      </c>
      <c r="F2263" s="115">
        <v>470.7</v>
      </c>
      <c r="G2263">
        <v>67498</v>
      </c>
      <c r="H2263" s="115"/>
      <c r="I2263" s="115"/>
      <c r="L2263" s="169">
        <v>46008</v>
      </c>
      <c r="M2263" s="115">
        <v>470.85</v>
      </c>
      <c r="N2263" s="115">
        <v>478.7</v>
      </c>
      <c r="O2263" s="115">
        <v>466.8</v>
      </c>
      <c r="P2263" s="115">
        <v>475</v>
      </c>
      <c r="Q2263" s="115">
        <v>470.85</v>
      </c>
      <c r="R2263">
        <v>3498290</v>
      </c>
    </row>
    <row r="2264" spans="1:18" x14ac:dyDescent="0.25">
      <c r="A2264" s="169">
        <v>46009</v>
      </c>
      <c r="B2264" s="115">
        <v>474.85</v>
      </c>
      <c r="C2264" s="115">
        <v>473.45</v>
      </c>
      <c r="D2264" s="115">
        <v>461.1</v>
      </c>
      <c r="E2264" s="115">
        <v>470.7</v>
      </c>
      <c r="F2264" s="115">
        <v>473.45</v>
      </c>
      <c r="G2264">
        <v>69769</v>
      </c>
      <c r="H2264" s="115"/>
      <c r="I2264" s="115"/>
      <c r="L2264" s="169">
        <v>46009</v>
      </c>
      <c r="M2264" s="115">
        <v>473.6</v>
      </c>
      <c r="N2264" s="115">
        <v>474.6</v>
      </c>
      <c r="O2264" s="115">
        <v>461.05</v>
      </c>
      <c r="P2264" s="115">
        <v>470.8</v>
      </c>
      <c r="Q2264" s="115">
        <v>473.6</v>
      </c>
      <c r="R2264">
        <v>2829460</v>
      </c>
    </row>
    <row r="2265" spans="1:18" x14ac:dyDescent="0.25">
      <c r="A2265" s="169">
        <v>46010</v>
      </c>
      <c r="B2265" s="115">
        <v>476.7</v>
      </c>
      <c r="C2265" s="115">
        <v>469.6</v>
      </c>
      <c r="D2265" s="115">
        <v>467</v>
      </c>
      <c r="E2265" s="115">
        <v>472.9</v>
      </c>
      <c r="F2265" s="115">
        <v>469.6</v>
      </c>
      <c r="G2265">
        <v>292369</v>
      </c>
      <c r="H2265" s="115"/>
      <c r="I2265" s="115"/>
      <c r="L2265" s="169">
        <v>46010</v>
      </c>
      <c r="M2265" s="115">
        <v>469.4</v>
      </c>
      <c r="N2265" s="115">
        <v>476.85</v>
      </c>
      <c r="O2265" s="115">
        <v>466.95</v>
      </c>
      <c r="P2265" s="115">
        <v>471.25</v>
      </c>
      <c r="Q2265" s="115">
        <v>469.4</v>
      </c>
      <c r="R2265">
        <v>6531025</v>
      </c>
    </row>
    <row r="2266" spans="1:18" x14ac:dyDescent="0.25">
      <c r="A2266" s="169">
        <v>46013</v>
      </c>
      <c r="B2266" s="115">
        <v>486.9</v>
      </c>
      <c r="C2266" s="115">
        <v>485.7</v>
      </c>
      <c r="D2266" s="115">
        <v>472.9</v>
      </c>
      <c r="E2266" s="115">
        <v>480</v>
      </c>
      <c r="F2266" s="115">
        <v>485.7</v>
      </c>
      <c r="G2266">
        <v>483930</v>
      </c>
      <c r="H2266" s="115"/>
      <c r="I2266" s="115"/>
      <c r="L2266" s="169">
        <v>46013</v>
      </c>
      <c r="M2266" s="115">
        <v>485.65</v>
      </c>
      <c r="N2266" s="115">
        <v>487</v>
      </c>
      <c r="O2266" s="115">
        <v>473</v>
      </c>
      <c r="P2266" s="115">
        <v>479</v>
      </c>
      <c r="Q2266" s="115">
        <v>485.65</v>
      </c>
      <c r="R2266">
        <v>10893397</v>
      </c>
    </row>
    <row r="2267" spans="1:18" x14ac:dyDescent="0.25">
      <c r="A2267" s="169">
        <v>46014</v>
      </c>
      <c r="B2267" s="115">
        <v>489</v>
      </c>
      <c r="C2267" s="115">
        <v>481.85</v>
      </c>
      <c r="D2267" s="115">
        <v>479</v>
      </c>
      <c r="E2267" s="115">
        <v>489</v>
      </c>
      <c r="F2267" s="115">
        <v>481.85</v>
      </c>
      <c r="G2267">
        <v>216015</v>
      </c>
      <c r="H2267" s="115"/>
      <c r="I2267" s="115"/>
      <c r="L2267" s="169">
        <v>46014</v>
      </c>
      <c r="M2267" s="115">
        <v>481.75</v>
      </c>
      <c r="N2267" s="115">
        <v>488.65</v>
      </c>
      <c r="O2267" s="115">
        <v>478.75</v>
      </c>
      <c r="P2267" s="115">
        <v>488.6</v>
      </c>
      <c r="Q2267" s="115">
        <v>481.75</v>
      </c>
      <c r="R2267">
        <v>3918797</v>
      </c>
    </row>
    <row r="2268" spans="1:18" x14ac:dyDescent="0.25">
      <c r="A2268" s="169">
        <v>46015</v>
      </c>
      <c r="B2268" s="115">
        <v>482.8</v>
      </c>
      <c r="C2268" s="115">
        <v>477.7</v>
      </c>
      <c r="D2268" s="115">
        <v>472.45</v>
      </c>
      <c r="E2268" s="115">
        <v>482.8</v>
      </c>
      <c r="F2268" s="115">
        <v>477.7</v>
      </c>
      <c r="G2268">
        <v>200597</v>
      </c>
      <c r="H2268" s="115"/>
      <c r="I2268" s="115"/>
      <c r="L2268" s="169">
        <v>46015</v>
      </c>
      <c r="M2268" s="115">
        <v>477.65</v>
      </c>
      <c r="N2268" s="115">
        <v>482</v>
      </c>
      <c r="O2268" s="115">
        <v>472.5</v>
      </c>
      <c r="P2268" s="115">
        <v>481.5</v>
      </c>
      <c r="Q2268" s="115">
        <v>477.65</v>
      </c>
      <c r="R2268">
        <v>3268207</v>
      </c>
    </row>
    <row r="2269" spans="1:18" x14ac:dyDescent="0.25">
      <c r="A2269" s="169">
        <v>46017</v>
      </c>
      <c r="B2269" s="115">
        <v>483.35</v>
      </c>
      <c r="C2269" s="115">
        <v>482.95</v>
      </c>
      <c r="D2269" s="115">
        <v>475</v>
      </c>
      <c r="E2269" s="115">
        <v>475</v>
      </c>
      <c r="F2269" s="115">
        <v>482.95</v>
      </c>
      <c r="G2269">
        <v>225374</v>
      </c>
      <c r="H2269" s="115"/>
      <c r="I2269" s="115"/>
      <c r="L2269" s="169">
        <v>46017</v>
      </c>
      <c r="M2269" s="115">
        <v>482.85</v>
      </c>
      <c r="N2269" s="115">
        <v>483.5</v>
      </c>
      <c r="O2269" s="115">
        <v>475.1</v>
      </c>
      <c r="P2269" s="115">
        <v>476</v>
      </c>
      <c r="Q2269" s="115">
        <v>482.85</v>
      </c>
      <c r="R2269">
        <v>5793445</v>
      </c>
    </row>
    <row r="2270" spans="1:18" x14ac:dyDescent="0.25">
      <c r="A2270" s="169">
        <v>46020</v>
      </c>
      <c r="B2270" s="115">
        <v>494.6</v>
      </c>
      <c r="C2270" s="115">
        <v>482.55</v>
      </c>
      <c r="D2270" s="115">
        <v>481.35</v>
      </c>
      <c r="E2270" s="115">
        <v>483.35</v>
      </c>
      <c r="F2270" s="115">
        <v>482.55</v>
      </c>
      <c r="G2270">
        <v>650477</v>
      </c>
      <c r="H2270" s="115"/>
      <c r="I2270" s="115"/>
      <c r="L2270" s="169">
        <v>46020</v>
      </c>
      <c r="M2270" s="115">
        <v>482.7</v>
      </c>
      <c r="N2270" s="115">
        <v>494.35</v>
      </c>
      <c r="O2270" s="115">
        <v>481.45</v>
      </c>
      <c r="P2270" s="115">
        <v>483.9</v>
      </c>
      <c r="Q2270" s="115">
        <v>482.7</v>
      </c>
      <c r="R2270">
        <v>5900713</v>
      </c>
    </row>
    <row r="2271" spans="1:18" x14ac:dyDescent="0.25">
      <c r="A2271" s="169">
        <v>46021</v>
      </c>
      <c r="B2271" s="115">
        <v>486.95</v>
      </c>
      <c r="C2271" s="115">
        <v>484.4</v>
      </c>
      <c r="D2271" s="115">
        <v>480.15</v>
      </c>
      <c r="E2271" s="115">
        <v>483</v>
      </c>
      <c r="F2271" s="115">
        <v>484.4</v>
      </c>
      <c r="G2271">
        <v>76136</v>
      </c>
      <c r="H2271" s="115"/>
      <c r="I2271" s="115"/>
      <c r="L2271" s="169">
        <v>46021</v>
      </c>
      <c r="M2271" s="115">
        <v>484.45</v>
      </c>
      <c r="N2271" s="115">
        <v>487</v>
      </c>
      <c r="O2271" s="115">
        <v>480.2</v>
      </c>
      <c r="P2271" s="115">
        <v>483</v>
      </c>
      <c r="Q2271" s="115">
        <v>484.45</v>
      </c>
      <c r="R2271">
        <v>5238532</v>
      </c>
    </row>
    <row r="2272" spans="1:18" x14ac:dyDescent="0.25">
      <c r="A2272" s="169">
        <v>46022</v>
      </c>
      <c r="B2272" s="115">
        <v>491.3</v>
      </c>
      <c r="C2272" s="115">
        <v>489.85</v>
      </c>
      <c r="D2272" s="115">
        <v>483.55</v>
      </c>
      <c r="E2272" s="115">
        <v>485.25</v>
      </c>
      <c r="F2272" s="115">
        <v>489.85</v>
      </c>
      <c r="G2272">
        <v>103262</v>
      </c>
      <c r="H2272" s="115"/>
      <c r="I2272" s="115"/>
      <c r="L2272" s="169">
        <v>46022</v>
      </c>
      <c r="M2272" s="115">
        <v>489.85</v>
      </c>
      <c r="N2272" s="115">
        <v>491.45</v>
      </c>
      <c r="O2272" s="115">
        <v>483.55</v>
      </c>
      <c r="P2272" s="115">
        <v>485.85</v>
      </c>
      <c r="Q2272" s="115">
        <v>489.85</v>
      </c>
      <c r="R2272">
        <v>5050001</v>
      </c>
    </row>
    <row r="2273" spans="1:18" x14ac:dyDescent="0.25">
      <c r="A2273" s="169">
        <v>46023</v>
      </c>
      <c r="B2273" s="115">
        <v>493.15</v>
      </c>
      <c r="C2273" s="115">
        <v>491.55</v>
      </c>
      <c r="D2273" s="115">
        <v>486.9</v>
      </c>
      <c r="E2273" s="115">
        <v>491.9</v>
      </c>
      <c r="F2273" s="115">
        <v>491.55</v>
      </c>
      <c r="G2273">
        <v>174768</v>
      </c>
      <c r="H2273" s="115"/>
      <c r="I2273" s="115"/>
      <c r="L2273" s="169">
        <v>46023</v>
      </c>
      <c r="M2273" s="115">
        <v>491.75</v>
      </c>
      <c r="N2273" s="115">
        <v>493.4</v>
      </c>
      <c r="O2273" s="115">
        <v>487.05</v>
      </c>
      <c r="P2273" s="115">
        <v>490.05</v>
      </c>
      <c r="Q2273" s="115">
        <v>491.75</v>
      </c>
      <c r="R2273">
        <v>1882033</v>
      </c>
    </row>
    <row r="2274" spans="1:18" x14ac:dyDescent="0.25">
      <c r="A2274" s="169">
        <v>46024</v>
      </c>
      <c r="B2274" s="115">
        <v>496.55</v>
      </c>
      <c r="C2274" s="115">
        <v>493.65</v>
      </c>
      <c r="D2274" s="115">
        <v>487.05</v>
      </c>
      <c r="E2274" s="115">
        <v>493.95</v>
      </c>
      <c r="F2274" s="115">
        <v>493.65</v>
      </c>
      <c r="G2274">
        <v>101322</v>
      </c>
      <c r="H2274" s="115"/>
      <c r="I2274" s="115"/>
      <c r="L2274" s="169">
        <v>46024</v>
      </c>
      <c r="M2274" s="115">
        <v>493.8</v>
      </c>
      <c r="N2274" s="115">
        <v>496.95</v>
      </c>
      <c r="O2274" s="115">
        <v>487</v>
      </c>
      <c r="P2274" s="115">
        <v>492.45</v>
      </c>
      <c r="Q2274" s="115">
        <v>493.8</v>
      </c>
      <c r="R2274">
        <v>4268299</v>
      </c>
    </row>
    <row r="2275" spans="1:18" x14ac:dyDescent="0.25">
      <c r="A2275" s="169">
        <v>46027</v>
      </c>
      <c r="B2275" s="115">
        <v>494.1</v>
      </c>
      <c r="C2275" s="115">
        <v>488.5</v>
      </c>
      <c r="D2275" s="115">
        <v>485.55</v>
      </c>
      <c r="E2275" s="115">
        <v>490.05</v>
      </c>
      <c r="F2275" s="115">
        <v>488.5</v>
      </c>
      <c r="G2275">
        <v>381876</v>
      </c>
      <c r="H2275" s="115"/>
      <c r="I2275" s="115"/>
      <c r="L2275" s="169">
        <v>46027</v>
      </c>
      <c r="M2275" s="115">
        <v>488.7</v>
      </c>
      <c r="N2275" s="115">
        <v>493.8</v>
      </c>
      <c r="O2275" s="115">
        <v>485.65</v>
      </c>
      <c r="P2275" s="115">
        <v>492</v>
      </c>
      <c r="Q2275" s="115">
        <v>488.7</v>
      </c>
      <c r="R2275">
        <v>4736202</v>
      </c>
    </row>
    <row r="2276" spans="1:18" x14ac:dyDescent="0.25">
      <c r="A2276" s="169">
        <v>46028</v>
      </c>
      <c r="B2276" s="115">
        <v>502</v>
      </c>
      <c r="C2276" s="115">
        <v>499.5</v>
      </c>
      <c r="D2276" s="115">
        <v>483.6</v>
      </c>
      <c r="E2276" s="115">
        <v>487</v>
      </c>
      <c r="F2276" s="115">
        <v>499.5</v>
      </c>
      <c r="G2276">
        <v>218046</v>
      </c>
      <c r="H2276" s="115"/>
      <c r="I2276" s="115"/>
      <c r="L2276" s="169">
        <v>46028</v>
      </c>
      <c r="M2276" s="115">
        <v>498.85</v>
      </c>
      <c r="N2276" s="115">
        <v>502</v>
      </c>
      <c r="O2276" s="115">
        <v>483.7</v>
      </c>
      <c r="P2276" s="115">
        <v>486.55</v>
      </c>
      <c r="Q2276" s="115">
        <v>498.85</v>
      </c>
      <c r="R2276">
        <v>8149788</v>
      </c>
    </row>
    <row r="2277" spans="1:18" x14ac:dyDescent="0.25">
      <c r="A2277" s="169">
        <v>46029</v>
      </c>
      <c r="B2277" s="115">
        <v>511.7</v>
      </c>
      <c r="C2277" s="115">
        <v>509.85</v>
      </c>
      <c r="D2277" s="115">
        <v>497.65</v>
      </c>
      <c r="E2277" s="115">
        <v>499.1</v>
      </c>
      <c r="F2277" s="115">
        <v>509.85</v>
      </c>
      <c r="G2277">
        <v>366685</v>
      </c>
      <c r="H2277" s="115"/>
      <c r="I2277" s="115"/>
      <c r="L2277" s="169">
        <v>46029</v>
      </c>
      <c r="M2277" s="115">
        <v>509.7</v>
      </c>
      <c r="N2277" s="115">
        <v>511.5</v>
      </c>
      <c r="O2277" s="115">
        <v>497.85</v>
      </c>
      <c r="P2277" s="115">
        <v>500</v>
      </c>
      <c r="Q2277" s="115">
        <v>509.7</v>
      </c>
      <c r="R2277">
        <v>5740556</v>
      </c>
    </row>
    <row r="2278" spans="1:18" x14ac:dyDescent="0.25">
      <c r="A2278" s="169">
        <v>46030</v>
      </c>
      <c r="B2278" s="115">
        <v>511.75</v>
      </c>
      <c r="C2278" s="115">
        <v>500.75</v>
      </c>
      <c r="D2278" s="115">
        <v>497.7</v>
      </c>
      <c r="E2278" s="115">
        <v>510</v>
      </c>
      <c r="F2278" s="115">
        <v>500.75</v>
      </c>
      <c r="G2278">
        <v>321959</v>
      </c>
      <c r="H2278" s="115"/>
      <c r="I2278" s="115"/>
      <c r="L2278" s="169">
        <v>46030</v>
      </c>
      <c r="M2278" s="115">
        <v>500.9</v>
      </c>
      <c r="N2278" s="115">
        <v>511.65</v>
      </c>
      <c r="O2278" s="115">
        <v>497.8</v>
      </c>
      <c r="P2278" s="115">
        <v>510.25</v>
      </c>
      <c r="Q2278" s="115">
        <v>500.9</v>
      </c>
      <c r="R2278">
        <v>3510812</v>
      </c>
    </row>
    <row r="2279" spans="1:18" x14ac:dyDescent="0.25">
      <c r="A2279" s="169">
        <v>46031</v>
      </c>
      <c r="B2279" s="115">
        <v>504.2</v>
      </c>
      <c r="C2279" s="115">
        <v>488.85</v>
      </c>
      <c r="D2279" s="115">
        <v>488</v>
      </c>
      <c r="E2279" s="115">
        <v>495.2</v>
      </c>
      <c r="F2279" s="115">
        <v>488.85</v>
      </c>
      <c r="G2279">
        <v>156786</v>
      </c>
      <c r="H2279" s="115"/>
      <c r="I2279" s="115"/>
      <c r="L2279" s="169">
        <v>46031</v>
      </c>
      <c r="M2279" s="115">
        <v>489</v>
      </c>
      <c r="N2279" s="115">
        <v>504.4</v>
      </c>
      <c r="O2279" s="115">
        <v>488</v>
      </c>
      <c r="P2279" s="115">
        <v>496</v>
      </c>
      <c r="Q2279" s="115">
        <v>489</v>
      </c>
      <c r="R2279">
        <v>3997698</v>
      </c>
    </row>
    <row r="2280" spans="1:18" x14ac:dyDescent="0.25">
      <c r="A2280" s="169">
        <v>46034</v>
      </c>
      <c r="B2280" s="115">
        <v>498.6</v>
      </c>
      <c r="C2280" s="115">
        <v>494</v>
      </c>
      <c r="D2280" s="115">
        <v>485.25</v>
      </c>
      <c r="E2280" s="115">
        <v>487.8</v>
      </c>
      <c r="F2280" s="115">
        <v>494</v>
      </c>
      <c r="G2280">
        <v>403947</v>
      </c>
      <c r="H2280" s="115"/>
      <c r="I2280" s="115"/>
      <c r="L2280" s="169">
        <v>46034</v>
      </c>
      <c r="M2280" s="115">
        <v>493.8</v>
      </c>
      <c r="N2280" s="115">
        <v>498.8</v>
      </c>
      <c r="O2280" s="115">
        <v>485.4</v>
      </c>
      <c r="P2280" s="115">
        <v>486.6</v>
      </c>
      <c r="Q2280" s="115">
        <v>493.8</v>
      </c>
      <c r="R2280">
        <v>4793134</v>
      </c>
    </row>
    <row r="2281" spans="1:18" x14ac:dyDescent="0.25">
      <c r="A2281" s="169">
        <v>46035</v>
      </c>
      <c r="B2281" s="115">
        <v>501.9</v>
      </c>
      <c r="C2281" s="115">
        <v>500.95</v>
      </c>
      <c r="D2281" s="115">
        <v>489.2</v>
      </c>
      <c r="E2281" s="115">
        <v>493.8</v>
      </c>
      <c r="F2281" s="115">
        <v>500.95</v>
      </c>
      <c r="G2281">
        <v>163346</v>
      </c>
      <c r="H2281" s="115"/>
      <c r="I2281" s="115"/>
      <c r="L2281" s="169">
        <v>46035</v>
      </c>
      <c r="M2281" s="115">
        <v>501.2</v>
      </c>
      <c r="N2281" s="115">
        <v>502.1</v>
      </c>
      <c r="O2281" s="115">
        <v>489.3</v>
      </c>
      <c r="P2281" s="115">
        <v>493.8</v>
      </c>
      <c r="Q2281" s="115">
        <v>501.2</v>
      </c>
      <c r="R2281">
        <v>4787423</v>
      </c>
    </row>
    <row r="2282" spans="1:18" x14ac:dyDescent="0.25">
      <c r="A2282" s="169">
        <v>46036</v>
      </c>
      <c r="B2282" s="115">
        <v>508.5</v>
      </c>
      <c r="C2282" s="115">
        <v>502.35</v>
      </c>
      <c r="D2282" s="115">
        <v>497.9</v>
      </c>
      <c r="E2282" s="115">
        <v>501</v>
      </c>
      <c r="F2282" s="115">
        <v>502.35</v>
      </c>
      <c r="G2282">
        <v>70940</v>
      </c>
      <c r="H2282" s="115"/>
      <c r="I2282" s="115"/>
      <c r="L2282" s="169">
        <v>46036</v>
      </c>
      <c r="M2282" s="115">
        <v>502.4</v>
      </c>
      <c r="N2282" s="115">
        <v>508.85</v>
      </c>
      <c r="O2282" s="115">
        <v>497.85</v>
      </c>
      <c r="P2282" s="115">
        <v>500.4</v>
      </c>
      <c r="Q2282" s="115">
        <v>502.4</v>
      </c>
      <c r="R2282">
        <v>3400938</v>
      </c>
    </row>
    <row r="2283" spans="1:18" x14ac:dyDescent="0.25">
      <c r="A2283" s="169">
        <v>46038</v>
      </c>
      <c r="B2283" s="115">
        <v>505.7</v>
      </c>
      <c r="C2283" s="115">
        <v>500.25</v>
      </c>
      <c r="D2283" s="115">
        <v>496.65</v>
      </c>
      <c r="E2283" s="115">
        <v>499.9</v>
      </c>
      <c r="F2283" s="115">
        <v>500.25</v>
      </c>
      <c r="G2283">
        <v>116716</v>
      </c>
      <c r="H2283" s="115"/>
      <c r="I2283" s="115"/>
      <c r="L2283" s="169">
        <v>46038</v>
      </c>
      <c r="M2283" s="115">
        <v>500.4</v>
      </c>
      <c r="N2283" s="115">
        <v>505.8</v>
      </c>
      <c r="O2283" s="115">
        <v>496.6</v>
      </c>
      <c r="P2283" s="115">
        <v>498.5</v>
      </c>
      <c r="Q2283" s="115">
        <v>500.4</v>
      </c>
      <c r="R2283">
        <v>4442688</v>
      </c>
    </row>
    <row r="2284" spans="1:18" x14ac:dyDescent="0.25">
      <c r="A2284" s="169">
        <v>46041</v>
      </c>
      <c r="B2284" s="115">
        <v>500.35</v>
      </c>
      <c r="C2284" s="115">
        <v>495.75</v>
      </c>
      <c r="D2284" s="115">
        <v>489.6</v>
      </c>
      <c r="E2284" s="115">
        <v>493.9</v>
      </c>
      <c r="F2284" s="115">
        <v>495.75</v>
      </c>
      <c r="G2284">
        <v>91913</v>
      </c>
      <c r="H2284" s="115"/>
      <c r="I2284" s="115"/>
      <c r="L2284" s="169">
        <v>46041</v>
      </c>
      <c r="M2284" s="115">
        <v>496</v>
      </c>
      <c r="N2284" s="115">
        <v>500.35</v>
      </c>
      <c r="O2284" s="115">
        <v>489.4</v>
      </c>
      <c r="P2284" s="115">
        <v>494.7</v>
      </c>
      <c r="Q2284" s="115">
        <v>496</v>
      </c>
      <c r="R2284">
        <v>4726501</v>
      </c>
    </row>
    <row r="2285" spans="1:18" x14ac:dyDescent="0.25">
      <c r="A2285" s="169">
        <v>46042</v>
      </c>
      <c r="B2285" s="115">
        <v>499.6</v>
      </c>
      <c r="C2285" s="115">
        <v>488.65</v>
      </c>
      <c r="D2285" s="115">
        <v>486.7</v>
      </c>
      <c r="E2285" s="115">
        <v>493.95</v>
      </c>
      <c r="F2285" s="115">
        <v>488.65</v>
      </c>
      <c r="G2285">
        <v>451067</v>
      </c>
      <c r="H2285" s="115"/>
      <c r="I2285" s="115"/>
      <c r="L2285" s="169">
        <v>46042</v>
      </c>
      <c r="M2285" s="115">
        <v>489.1</v>
      </c>
      <c r="N2285" s="115">
        <v>499.75</v>
      </c>
      <c r="O2285" s="115">
        <v>486.55</v>
      </c>
      <c r="P2285" s="115">
        <v>493.7</v>
      </c>
      <c r="Q2285" s="115">
        <v>489.1</v>
      </c>
      <c r="R2285">
        <v>3568142</v>
      </c>
    </row>
    <row r="2286" spans="1:18" x14ac:dyDescent="0.25">
      <c r="A2286" s="169">
        <v>46043</v>
      </c>
      <c r="B2286" s="115">
        <v>487.95</v>
      </c>
      <c r="C2286" s="115">
        <v>478.2</v>
      </c>
      <c r="D2286" s="115">
        <v>472.95</v>
      </c>
      <c r="E2286" s="115">
        <v>480.2</v>
      </c>
      <c r="F2286" s="115">
        <v>478.2</v>
      </c>
      <c r="G2286">
        <v>275532</v>
      </c>
      <c r="H2286" s="115"/>
      <c r="I2286" s="115"/>
      <c r="L2286" s="169">
        <v>46043</v>
      </c>
      <c r="M2286" s="115">
        <v>478</v>
      </c>
      <c r="N2286" s="115">
        <v>488.15</v>
      </c>
      <c r="O2286" s="115">
        <v>472.65</v>
      </c>
      <c r="P2286" s="115">
        <v>481.35</v>
      </c>
      <c r="Q2286" s="115">
        <v>478</v>
      </c>
      <c r="R2286">
        <v>5819986</v>
      </c>
    </row>
    <row r="2287" spans="1:18" x14ac:dyDescent="0.25">
      <c r="A2287" s="169">
        <v>46044</v>
      </c>
      <c r="B2287" s="115">
        <v>488.9</v>
      </c>
      <c r="C2287" s="115">
        <v>486.8</v>
      </c>
      <c r="D2287" s="115">
        <v>480.2</v>
      </c>
      <c r="E2287" s="115">
        <v>480.2</v>
      </c>
      <c r="F2287" s="115">
        <v>486.8</v>
      </c>
      <c r="G2287">
        <v>133710</v>
      </c>
      <c r="H2287" s="115"/>
      <c r="I2287" s="115"/>
      <c r="L2287" s="169">
        <v>46044</v>
      </c>
      <c r="M2287" s="115">
        <v>487.1</v>
      </c>
      <c r="N2287" s="115">
        <v>489.5</v>
      </c>
      <c r="O2287" s="115">
        <v>480</v>
      </c>
      <c r="P2287" s="115">
        <v>482</v>
      </c>
      <c r="Q2287" s="115">
        <v>487.1</v>
      </c>
      <c r="R2287">
        <v>4471094</v>
      </c>
    </row>
    <row r="2288" spans="1:18" x14ac:dyDescent="0.25">
      <c r="A2288" s="169">
        <v>46045</v>
      </c>
      <c r="B2288" s="115">
        <v>489.55</v>
      </c>
      <c r="C2288" s="115">
        <v>474.35</v>
      </c>
      <c r="D2288" s="115">
        <v>471.15</v>
      </c>
      <c r="E2288" s="115">
        <v>486.9</v>
      </c>
      <c r="F2288" s="115">
        <v>474.35</v>
      </c>
      <c r="G2288">
        <v>426811</v>
      </c>
      <c r="H2288" s="115"/>
      <c r="I2288" s="115"/>
      <c r="L2288" s="169">
        <v>46045</v>
      </c>
      <c r="M2288" s="115">
        <v>474.1</v>
      </c>
      <c r="N2288" s="115">
        <v>489.85</v>
      </c>
      <c r="O2288" s="115">
        <v>471.15</v>
      </c>
      <c r="P2288" s="115">
        <v>488</v>
      </c>
      <c r="Q2288" s="115">
        <v>474.1</v>
      </c>
      <c r="R2288">
        <v>3352354</v>
      </c>
    </row>
    <row r="2289" spans="1:18" x14ac:dyDescent="0.25">
      <c r="A2289" s="169">
        <v>46049</v>
      </c>
      <c r="B2289" s="115">
        <v>478.35</v>
      </c>
      <c r="C2289" s="115">
        <v>471.55</v>
      </c>
      <c r="D2289" s="115">
        <v>465</v>
      </c>
      <c r="E2289" s="115">
        <v>472.95</v>
      </c>
      <c r="F2289" s="115">
        <v>471.55</v>
      </c>
      <c r="G2289">
        <v>250846</v>
      </c>
      <c r="H2289" s="115"/>
      <c r="I2289" s="115"/>
      <c r="L2289" s="169">
        <v>46049</v>
      </c>
      <c r="M2289" s="115">
        <v>471.65</v>
      </c>
      <c r="N2289" s="115">
        <v>478.5</v>
      </c>
      <c r="O2289" s="115">
        <v>465.1</v>
      </c>
      <c r="P2289" s="115">
        <v>472.9</v>
      </c>
      <c r="Q2289" s="115">
        <v>471.65</v>
      </c>
      <c r="R2289">
        <v>3880383</v>
      </c>
    </row>
    <row r="2290" spans="1:18" x14ac:dyDescent="0.25">
      <c r="A2290" s="169">
        <v>46050</v>
      </c>
      <c r="B2290" s="115">
        <v>473.2</v>
      </c>
      <c r="C2290" s="115">
        <v>469.15</v>
      </c>
      <c r="D2290" s="115">
        <v>460.85</v>
      </c>
      <c r="E2290" s="115">
        <v>470.55</v>
      </c>
      <c r="F2290" s="115">
        <v>469.15</v>
      </c>
      <c r="G2290">
        <v>699989</v>
      </c>
      <c r="H2290" s="115"/>
      <c r="I2290" s="115"/>
      <c r="L2290" s="169">
        <v>46050</v>
      </c>
      <c r="M2290" s="115">
        <v>468.4</v>
      </c>
      <c r="N2290" s="115">
        <v>473.45</v>
      </c>
      <c r="O2290" s="115">
        <v>461</v>
      </c>
      <c r="P2290" s="115">
        <v>472.15</v>
      </c>
      <c r="Q2290" s="115">
        <v>468.4</v>
      </c>
      <c r="R2290">
        <v>7554323</v>
      </c>
    </row>
    <row r="2291" spans="1:18" x14ac:dyDescent="0.25">
      <c r="A2291" s="169">
        <v>46051</v>
      </c>
      <c r="B2291" s="115">
        <v>470</v>
      </c>
      <c r="C2291" s="115">
        <v>467.75</v>
      </c>
      <c r="D2291" s="115">
        <v>451.8</v>
      </c>
      <c r="E2291" s="115">
        <v>468.4</v>
      </c>
      <c r="F2291" s="115">
        <v>467.75</v>
      </c>
      <c r="G2291">
        <v>294222</v>
      </c>
      <c r="H2291" s="115"/>
      <c r="I2291" s="115"/>
      <c r="L2291" s="169">
        <v>46051</v>
      </c>
      <c r="M2291" s="115">
        <v>467.05</v>
      </c>
      <c r="N2291" s="115">
        <v>470.55</v>
      </c>
      <c r="O2291" s="115">
        <v>451.45</v>
      </c>
      <c r="P2291" s="115">
        <v>469</v>
      </c>
      <c r="Q2291" s="115">
        <v>467.05</v>
      </c>
      <c r="R2291">
        <v>7732682</v>
      </c>
    </row>
    <row r="2292" spans="1:18" x14ac:dyDescent="0.25">
      <c r="A2292" s="169">
        <v>46052</v>
      </c>
      <c r="B2292" s="115">
        <v>474.55</v>
      </c>
      <c r="C2292" s="115">
        <v>470.85</v>
      </c>
      <c r="D2292" s="115">
        <v>461.4</v>
      </c>
      <c r="E2292" s="115">
        <v>461.4</v>
      </c>
      <c r="F2292" s="115">
        <v>470.85</v>
      </c>
      <c r="G2292">
        <v>162243</v>
      </c>
      <c r="H2292" s="115"/>
      <c r="I2292" s="115"/>
      <c r="L2292" s="169">
        <v>46052</v>
      </c>
      <c r="M2292" s="115">
        <v>471.25</v>
      </c>
      <c r="N2292" s="115">
        <v>475</v>
      </c>
      <c r="O2292" s="115">
        <v>462.8</v>
      </c>
      <c r="P2292" s="115">
        <v>463.1</v>
      </c>
      <c r="Q2292" s="115">
        <v>471.25</v>
      </c>
      <c r="R2292">
        <v>6589147</v>
      </c>
    </row>
    <row r="2293" spans="1:18" x14ac:dyDescent="0.25">
      <c r="A2293" s="169">
        <v>46054</v>
      </c>
      <c r="B2293" s="115">
        <v>474</v>
      </c>
      <c r="C2293" s="115">
        <v>469.85</v>
      </c>
      <c r="D2293" s="115">
        <v>462.85</v>
      </c>
      <c r="E2293" s="115">
        <v>470.85</v>
      </c>
      <c r="F2293" s="115">
        <v>469.85</v>
      </c>
      <c r="G2293">
        <v>155475</v>
      </c>
      <c r="H2293" s="115"/>
      <c r="I2293" s="115"/>
      <c r="L2293" s="169">
        <v>46054</v>
      </c>
      <c r="M2293" s="115">
        <v>469.1</v>
      </c>
      <c r="N2293" s="115">
        <v>474.75</v>
      </c>
      <c r="O2293" s="115">
        <v>462.5</v>
      </c>
      <c r="P2293" s="115">
        <v>470</v>
      </c>
      <c r="Q2293" s="115">
        <v>469.1</v>
      </c>
      <c r="R2293">
        <v>2463402</v>
      </c>
    </row>
    <row r="2294" spans="1:18" x14ac:dyDescent="0.25">
      <c r="A2294" s="169">
        <v>46055</v>
      </c>
      <c r="B2294" s="115">
        <v>480.55</v>
      </c>
      <c r="C2294" s="115">
        <v>466.5</v>
      </c>
      <c r="D2294" s="115">
        <v>457.5</v>
      </c>
      <c r="E2294" s="115">
        <v>470.05</v>
      </c>
      <c r="F2294" s="115">
        <v>466.5</v>
      </c>
      <c r="G2294">
        <v>373041</v>
      </c>
      <c r="H2294" s="115"/>
      <c r="I2294" s="115"/>
      <c r="L2294" s="169">
        <v>46055</v>
      </c>
      <c r="M2294" s="115">
        <v>466.3</v>
      </c>
      <c r="N2294" s="115">
        <v>480.95</v>
      </c>
      <c r="O2294" s="115">
        <v>457.25</v>
      </c>
      <c r="P2294" s="115">
        <v>468</v>
      </c>
      <c r="Q2294" s="115">
        <v>466.3</v>
      </c>
      <c r="R2294">
        <v>5718949</v>
      </c>
    </row>
    <row r="2295" spans="1:18" x14ac:dyDescent="0.25">
      <c r="A2295" s="169">
        <v>46056</v>
      </c>
      <c r="B2295" s="115">
        <v>492</v>
      </c>
      <c r="C2295" s="115">
        <v>451.3</v>
      </c>
      <c r="D2295" s="115">
        <v>440.65</v>
      </c>
      <c r="E2295" s="115">
        <v>479.9</v>
      </c>
      <c r="F2295" s="115">
        <v>451.3</v>
      </c>
      <c r="G2295">
        <v>1837204</v>
      </c>
      <c r="H2295" s="115"/>
      <c r="I2295" s="115"/>
      <c r="L2295" s="169">
        <v>46056</v>
      </c>
      <c r="M2295" s="115">
        <v>451.1</v>
      </c>
      <c r="N2295" s="115">
        <v>492.15</v>
      </c>
      <c r="O2295" s="115">
        <v>440.6</v>
      </c>
      <c r="P2295" s="115">
        <v>479</v>
      </c>
      <c r="Q2295" s="115">
        <v>451.1</v>
      </c>
      <c r="R2295">
        <v>28666048</v>
      </c>
    </row>
    <row r="2296" spans="1:18" x14ac:dyDescent="0.25">
      <c r="A2296" s="169">
        <v>46057</v>
      </c>
      <c r="B2296" s="115">
        <v>454.55</v>
      </c>
      <c r="C2296" s="115">
        <v>444.85</v>
      </c>
      <c r="D2296" s="115">
        <v>438.15</v>
      </c>
      <c r="E2296" s="115">
        <v>452.2</v>
      </c>
      <c r="F2296" s="115">
        <v>444.85</v>
      </c>
      <c r="G2296">
        <v>1639870</v>
      </c>
      <c r="H2296" s="115"/>
      <c r="I2296" s="115"/>
      <c r="L2296" s="169">
        <v>46057</v>
      </c>
      <c r="M2296" s="115">
        <v>444.9</v>
      </c>
      <c r="N2296" s="115">
        <v>454</v>
      </c>
      <c r="O2296" s="115">
        <v>438.05</v>
      </c>
      <c r="P2296" s="115">
        <v>454</v>
      </c>
      <c r="Q2296" s="115">
        <v>444.9</v>
      </c>
      <c r="R2296">
        <v>13262771</v>
      </c>
    </row>
    <row r="2297" spans="1:18" x14ac:dyDescent="0.25">
      <c r="A2297" s="169">
        <v>46058</v>
      </c>
      <c r="B2297" s="115">
        <v>448.55</v>
      </c>
      <c r="C2297" s="115">
        <v>437.1</v>
      </c>
      <c r="D2297" s="115">
        <v>436.2</v>
      </c>
      <c r="E2297" s="115">
        <v>448.55</v>
      </c>
      <c r="F2297" s="115">
        <v>437.1</v>
      </c>
      <c r="G2297">
        <v>235180</v>
      </c>
      <c r="H2297" s="115"/>
      <c r="I2297" s="115"/>
      <c r="L2297" s="169">
        <v>46058</v>
      </c>
      <c r="M2297" s="115">
        <v>437.1</v>
      </c>
      <c r="N2297" s="115">
        <v>448.9</v>
      </c>
      <c r="O2297" s="115">
        <v>436.6</v>
      </c>
      <c r="P2297" s="115">
        <v>447.45</v>
      </c>
      <c r="Q2297" s="115">
        <v>437.1</v>
      </c>
      <c r="R2297">
        <v>9354103</v>
      </c>
    </row>
    <row r="2298" spans="1:18" x14ac:dyDescent="0.25">
      <c r="A2298" s="169">
        <v>46059</v>
      </c>
      <c r="B2298" s="115">
        <v>444.9</v>
      </c>
      <c r="C2298" s="115">
        <v>439</v>
      </c>
      <c r="D2298" s="115">
        <v>432.3</v>
      </c>
      <c r="E2298" s="115">
        <v>437.1</v>
      </c>
      <c r="F2298" s="115">
        <v>439</v>
      </c>
      <c r="G2298">
        <v>380111</v>
      </c>
      <c r="H2298" s="115"/>
      <c r="I2298" s="115"/>
      <c r="L2298" s="169">
        <v>46059</v>
      </c>
      <c r="M2298" s="115">
        <v>439.05</v>
      </c>
      <c r="N2298" s="115">
        <v>444.8</v>
      </c>
      <c r="O2298" s="115">
        <v>432.2</v>
      </c>
      <c r="P2298" s="115">
        <v>437.1</v>
      </c>
      <c r="Q2298" s="115">
        <v>439.05</v>
      </c>
      <c r="R2298">
        <v>6623250</v>
      </c>
    </row>
    <row r="2299" spans="1:18" x14ac:dyDescent="0.25">
      <c r="A2299" s="169">
        <v>46062</v>
      </c>
      <c r="B2299" s="115">
        <v>459</v>
      </c>
      <c r="C2299" s="115">
        <v>457.25</v>
      </c>
      <c r="D2299" s="115">
        <v>439</v>
      </c>
      <c r="E2299" s="115">
        <v>444</v>
      </c>
      <c r="F2299" s="115">
        <v>457.25</v>
      </c>
      <c r="G2299">
        <v>340431</v>
      </c>
      <c r="H2299" s="115"/>
      <c r="I2299" s="115"/>
      <c r="L2299" s="169">
        <v>46062</v>
      </c>
      <c r="M2299" s="115">
        <v>457.35</v>
      </c>
      <c r="N2299" s="115">
        <v>459</v>
      </c>
      <c r="O2299" s="115">
        <v>439.1</v>
      </c>
      <c r="P2299" s="115">
        <v>443.45</v>
      </c>
      <c r="Q2299" s="115">
        <v>457.35</v>
      </c>
      <c r="R2299">
        <v>7503533</v>
      </c>
    </row>
    <row r="2300" spans="1:18" x14ac:dyDescent="0.25">
      <c r="A2300" s="169">
        <v>46063</v>
      </c>
      <c r="B2300" s="115">
        <v>462.4</v>
      </c>
      <c r="C2300" s="115">
        <v>456.3</v>
      </c>
      <c r="D2300" s="115">
        <v>454.9</v>
      </c>
      <c r="E2300" s="115">
        <v>460</v>
      </c>
      <c r="F2300" s="115">
        <v>456.3</v>
      </c>
      <c r="G2300">
        <v>121234</v>
      </c>
      <c r="H2300" s="115"/>
      <c r="I2300" s="115"/>
      <c r="L2300" s="169">
        <v>46063</v>
      </c>
      <c r="M2300" s="115">
        <v>456.5</v>
      </c>
      <c r="N2300" s="115">
        <v>462.7</v>
      </c>
      <c r="O2300" s="115">
        <v>454.7</v>
      </c>
      <c r="P2300" s="115">
        <v>460</v>
      </c>
      <c r="Q2300" s="115">
        <v>456.5</v>
      </c>
      <c r="R2300">
        <v>5289731</v>
      </c>
    </row>
    <row r="2301" spans="1:18" x14ac:dyDescent="0.25">
      <c r="A2301" s="169">
        <v>46064</v>
      </c>
      <c r="B2301" s="115">
        <v>458.35</v>
      </c>
      <c r="C2301" s="115">
        <v>456.9</v>
      </c>
      <c r="D2301" s="115">
        <v>453.5</v>
      </c>
      <c r="E2301" s="115">
        <v>457.95</v>
      </c>
      <c r="F2301" s="115">
        <v>456.9</v>
      </c>
      <c r="G2301">
        <v>56874</v>
      </c>
      <c r="H2301" s="115"/>
      <c r="I2301" s="115"/>
      <c r="L2301" s="169">
        <v>46064</v>
      </c>
      <c r="M2301" s="115">
        <v>456.9</v>
      </c>
      <c r="N2301" s="115">
        <v>458.95</v>
      </c>
      <c r="O2301" s="115">
        <v>453.15</v>
      </c>
      <c r="P2301" s="115">
        <v>456.5</v>
      </c>
      <c r="Q2301" s="115">
        <v>456.9</v>
      </c>
      <c r="R2301">
        <v>2466686</v>
      </c>
    </row>
    <row r="2302" spans="1:18" x14ac:dyDescent="0.25">
      <c r="A2302" s="169">
        <v>46065</v>
      </c>
      <c r="B2302" s="115">
        <v>458.5</v>
      </c>
      <c r="C2302" s="115">
        <v>455.65</v>
      </c>
      <c r="D2302" s="115">
        <v>451</v>
      </c>
      <c r="E2302" s="115">
        <v>456.9</v>
      </c>
      <c r="F2302" s="115">
        <v>455.65</v>
      </c>
      <c r="G2302">
        <v>175726</v>
      </c>
      <c r="H2302" s="115"/>
      <c r="I2302" s="115"/>
      <c r="L2302" s="169">
        <v>46065</v>
      </c>
      <c r="M2302" s="115">
        <v>455.7</v>
      </c>
      <c r="N2302" s="115">
        <v>458.2</v>
      </c>
      <c r="O2302" s="115">
        <v>451</v>
      </c>
      <c r="P2302" s="115">
        <v>457</v>
      </c>
      <c r="Q2302" s="115">
        <v>455.7</v>
      </c>
      <c r="R2302">
        <v>3401594</v>
      </c>
    </row>
    <row r="2303" spans="1:18" x14ac:dyDescent="0.25">
      <c r="A2303" s="169">
        <v>46066</v>
      </c>
      <c r="B2303" s="115">
        <v>453.6</v>
      </c>
      <c r="C2303" s="115">
        <v>449.35</v>
      </c>
      <c r="D2303" s="115">
        <v>445.9</v>
      </c>
      <c r="E2303" s="115">
        <v>451.1</v>
      </c>
      <c r="F2303" s="115">
        <v>449.35</v>
      </c>
      <c r="G2303">
        <v>349962</v>
      </c>
      <c r="H2303" s="115"/>
      <c r="I2303" s="115"/>
      <c r="L2303" s="169">
        <v>46066</v>
      </c>
      <c r="M2303" s="115">
        <v>449.3</v>
      </c>
      <c r="N2303" s="115">
        <v>453.75</v>
      </c>
      <c r="O2303" s="115">
        <v>445.6</v>
      </c>
      <c r="P2303" s="115">
        <v>452.5</v>
      </c>
      <c r="Q2303" s="115">
        <v>449.3</v>
      </c>
      <c r="R2303">
        <v>3080721</v>
      </c>
    </row>
    <row r="2304" spans="1:18" x14ac:dyDescent="0.25">
      <c r="A2304" s="169">
        <v>46069</v>
      </c>
      <c r="B2304" s="115">
        <v>458.8</v>
      </c>
      <c r="C2304" s="115">
        <v>455.65</v>
      </c>
      <c r="D2304" s="115">
        <v>445</v>
      </c>
      <c r="E2304" s="115">
        <v>446.55</v>
      </c>
      <c r="F2304" s="115">
        <v>455.65</v>
      </c>
      <c r="G2304">
        <v>157293</v>
      </c>
      <c r="H2304" s="115"/>
      <c r="I2304" s="115"/>
      <c r="L2304" s="169">
        <v>46069</v>
      </c>
      <c r="M2304" s="115">
        <v>455.85</v>
      </c>
      <c r="N2304" s="115">
        <v>458.85</v>
      </c>
      <c r="O2304" s="115">
        <v>444.3</v>
      </c>
      <c r="P2304" s="115">
        <v>447</v>
      </c>
      <c r="Q2304" s="115">
        <v>455.85</v>
      </c>
      <c r="R2304">
        <v>2459060</v>
      </c>
    </row>
    <row r="2305" spans="1:18" x14ac:dyDescent="0.25">
      <c r="A2305" s="169">
        <v>46070</v>
      </c>
      <c r="B2305" s="115">
        <v>459</v>
      </c>
      <c r="C2305" s="115">
        <v>458.05</v>
      </c>
      <c r="D2305" s="115">
        <v>454.65</v>
      </c>
      <c r="E2305" s="115">
        <v>455.85</v>
      </c>
      <c r="F2305" s="115">
        <v>458.05</v>
      </c>
      <c r="G2305">
        <v>48866</v>
      </c>
      <c r="H2305" s="115"/>
      <c r="I2305" s="115"/>
      <c r="L2305" s="169">
        <v>46070</v>
      </c>
      <c r="M2305" s="115">
        <v>458.05</v>
      </c>
      <c r="N2305" s="115">
        <v>459.4</v>
      </c>
      <c r="O2305" s="115">
        <v>454.35</v>
      </c>
      <c r="P2305" s="115">
        <v>455</v>
      </c>
      <c r="Q2305" s="115">
        <v>458.05</v>
      </c>
      <c r="R2305">
        <v>2033633</v>
      </c>
    </row>
    <row r="2306" spans="1:18" x14ac:dyDescent="0.25">
      <c r="A2306" s="169">
        <v>46071</v>
      </c>
      <c r="B2306" s="115">
        <v>464.45</v>
      </c>
      <c r="C2306" s="115">
        <v>463.5</v>
      </c>
      <c r="D2306" s="115">
        <v>456.1</v>
      </c>
      <c r="E2306" s="115">
        <v>458.1</v>
      </c>
      <c r="F2306" s="115">
        <v>463.5</v>
      </c>
      <c r="G2306">
        <v>122679</v>
      </c>
      <c r="H2306" s="115"/>
      <c r="I2306" s="115"/>
      <c r="L2306" s="169">
        <v>46071</v>
      </c>
      <c r="M2306" s="115">
        <v>463.65</v>
      </c>
      <c r="N2306" s="115">
        <v>464.4</v>
      </c>
      <c r="O2306" s="115">
        <v>455.2</v>
      </c>
      <c r="P2306" s="115">
        <v>458.05</v>
      </c>
      <c r="Q2306" s="115">
        <v>463.65</v>
      </c>
      <c r="R2306">
        <v>2991343</v>
      </c>
    </row>
    <row r="2307" spans="1:18" x14ac:dyDescent="0.25">
      <c r="A2307" s="169">
        <v>46072</v>
      </c>
      <c r="B2307" s="115">
        <v>464.25</v>
      </c>
      <c r="C2307" s="115">
        <v>454</v>
      </c>
      <c r="D2307" s="115">
        <v>451.1</v>
      </c>
      <c r="E2307" s="115">
        <v>464</v>
      </c>
      <c r="F2307" s="115">
        <v>454</v>
      </c>
      <c r="G2307">
        <v>98632</v>
      </c>
      <c r="H2307" s="115"/>
      <c r="I2307" s="115"/>
      <c r="L2307" s="169">
        <v>46072</v>
      </c>
      <c r="M2307" s="115">
        <v>453.5</v>
      </c>
      <c r="N2307" s="115">
        <v>464</v>
      </c>
      <c r="O2307" s="115">
        <v>451.05</v>
      </c>
      <c r="P2307" s="115">
        <v>463.65</v>
      </c>
      <c r="Q2307" s="115">
        <v>453.5</v>
      </c>
      <c r="R2307">
        <v>1889084</v>
      </c>
    </row>
    <row r="2308" spans="1:18" x14ac:dyDescent="0.25">
      <c r="A2308" s="169">
        <v>46073</v>
      </c>
      <c r="B2308" s="115">
        <v>456.5</v>
      </c>
      <c r="C2308" s="115">
        <v>453.9</v>
      </c>
      <c r="D2308" s="115">
        <v>449.5</v>
      </c>
      <c r="E2308" s="115">
        <v>450.15</v>
      </c>
      <c r="F2308" s="115">
        <v>453.9</v>
      </c>
      <c r="G2308">
        <v>168608</v>
      </c>
      <c r="H2308" s="115"/>
      <c r="I2308" s="115"/>
      <c r="L2308" s="169">
        <v>46073</v>
      </c>
      <c r="M2308" s="115">
        <v>453.85</v>
      </c>
      <c r="N2308" s="115">
        <v>456.6</v>
      </c>
      <c r="O2308" s="115">
        <v>449.3</v>
      </c>
      <c r="P2308" s="115">
        <v>450.85</v>
      </c>
      <c r="Q2308" s="115">
        <v>453.85</v>
      </c>
      <c r="R2308">
        <v>2521212</v>
      </c>
    </row>
    <row r="2309" spans="1:18" x14ac:dyDescent="0.25">
      <c r="A2309" s="169">
        <v>46076</v>
      </c>
      <c r="B2309" s="115">
        <v>459.15</v>
      </c>
      <c r="C2309" s="115">
        <v>457.25</v>
      </c>
      <c r="D2309" s="115">
        <v>454.65</v>
      </c>
      <c r="E2309" s="115">
        <v>457.2</v>
      </c>
      <c r="F2309" s="115">
        <v>457.25</v>
      </c>
      <c r="G2309">
        <v>171488</v>
      </c>
      <c r="H2309" s="115"/>
      <c r="I2309" s="115"/>
      <c r="L2309" s="169">
        <v>46076</v>
      </c>
      <c r="M2309" s="115">
        <v>457.3</v>
      </c>
      <c r="N2309" s="115">
        <v>459.15</v>
      </c>
      <c r="O2309" s="115">
        <v>454.55</v>
      </c>
      <c r="P2309" s="115">
        <v>457.55</v>
      </c>
      <c r="Q2309" s="115">
        <v>457.3</v>
      </c>
      <c r="R2309">
        <v>2298607</v>
      </c>
    </row>
    <row r="2310" spans="1:18" x14ac:dyDescent="0.25">
      <c r="A2310" s="169">
        <v>46077</v>
      </c>
      <c r="B2310" s="115">
        <v>463.6</v>
      </c>
      <c r="C2310" s="115">
        <v>459.7</v>
      </c>
      <c r="D2310" s="115">
        <v>451.1</v>
      </c>
      <c r="E2310" s="115">
        <v>456.7</v>
      </c>
      <c r="F2310" s="115">
        <v>459.7</v>
      </c>
      <c r="G2310">
        <v>77678</v>
      </c>
      <c r="H2310" s="115"/>
      <c r="I2310" s="115"/>
      <c r="L2310" s="169">
        <v>46077</v>
      </c>
      <c r="M2310" s="115">
        <v>459.1</v>
      </c>
      <c r="N2310" s="115">
        <v>463.9</v>
      </c>
      <c r="O2310" s="115">
        <v>451.1</v>
      </c>
      <c r="P2310" s="115">
        <v>455</v>
      </c>
      <c r="Q2310" s="115">
        <v>459.1</v>
      </c>
      <c r="R2310">
        <v>4586271</v>
      </c>
    </row>
    <row r="2311" spans="1:18" x14ac:dyDescent="0.25">
      <c r="A2311" s="169">
        <v>46078</v>
      </c>
      <c r="B2311" s="115">
        <v>462.1</v>
      </c>
      <c r="C2311" s="115">
        <v>455.75</v>
      </c>
      <c r="D2311" s="115">
        <v>454.6</v>
      </c>
      <c r="E2311" s="115">
        <v>459.7</v>
      </c>
      <c r="F2311" s="115">
        <v>455.75</v>
      </c>
      <c r="G2311">
        <v>137870</v>
      </c>
      <c r="H2311" s="115"/>
      <c r="I2311" s="115"/>
      <c r="L2311" s="169">
        <v>46078</v>
      </c>
      <c r="M2311" s="115">
        <v>455.85</v>
      </c>
      <c r="N2311" s="115">
        <v>462</v>
      </c>
      <c r="O2311" s="115">
        <v>454.55</v>
      </c>
      <c r="P2311" s="115">
        <v>460.1</v>
      </c>
      <c r="Q2311" s="115">
        <v>455.85</v>
      </c>
      <c r="R2311">
        <v>2400024</v>
      </c>
    </row>
    <row r="2312" spans="1:18" x14ac:dyDescent="0.25">
      <c r="A2312" s="169">
        <v>46079</v>
      </c>
      <c r="B2312" s="115">
        <v>463.8</v>
      </c>
      <c r="C2312" s="115">
        <v>460.45</v>
      </c>
      <c r="D2312" s="115">
        <v>454.7</v>
      </c>
      <c r="E2312" s="115">
        <v>463.8</v>
      </c>
      <c r="F2312" s="115">
        <v>460.45</v>
      </c>
      <c r="G2312">
        <v>67320</v>
      </c>
      <c r="H2312" s="115"/>
      <c r="I2312" s="115"/>
      <c r="L2312" s="169">
        <v>46079</v>
      </c>
      <c r="M2312" s="115">
        <v>460.45</v>
      </c>
      <c r="N2312" s="115">
        <v>462.7</v>
      </c>
      <c r="O2312" s="115">
        <v>454.7</v>
      </c>
      <c r="P2312" s="115">
        <v>456.35</v>
      </c>
      <c r="Q2312" s="115">
        <v>460.45</v>
      </c>
      <c r="R2312">
        <v>2077636</v>
      </c>
    </row>
    <row r="2313" spans="1:18" x14ac:dyDescent="0.25">
      <c r="A2313" s="169">
        <v>46080</v>
      </c>
      <c r="B2313" s="115">
        <v>464.25</v>
      </c>
      <c r="C2313" s="115">
        <v>450.95</v>
      </c>
      <c r="D2313" s="115">
        <v>449.65</v>
      </c>
      <c r="E2313" s="115">
        <v>460.5</v>
      </c>
      <c r="F2313" s="115">
        <v>450.95</v>
      </c>
      <c r="G2313">
        <v>236873</v>
      </c>
      <c r="H2313" s="115"/>
      <c r="I2313" s="115"/>
      <c r="L2313" s="169">
        <v>46080</v>
      </c>
      <c r="M2313" s="115">
        <v>451.4</v>
      </c>
      <c r="N2313" s="115">
        <v>464.35</v>
      </c>
      <c r="O2313" s="115">
        <v>449.55</v>
      </c>
      <c r="P2313" s="115">
        <v>461.95</v>
      </c>
      <c r="Q2313" s="115">
        <v>451.4</v>
      </c>
      <c r="R2313">
        <v>4555709</v>
      </c>
    </row>
    <row r="2314" spans="1:18" x14ac:dyDescent="0.25">
      <c r="A2314" s="169">
        <v>46083</v>
      </c>
      <c r="B2314" s="115">
        <v>451</v>
      </c>
      <c r="C2314" s="115">
        <v>445.25</v>
      </c>
      <c r="D2314" s="115">
        <v>426.15</v>
      </c>
      <c r="E2314" s="115">
        <v>426.15</v>
      </c>
      <c r="F2314" s="115">
        <v>445.25</v>
      </c>
      <c r="G2314">
        <v>500527</v>
      </c>
      <c r="H2314" s="115"/>
      <c r="I2314" s="115"/>
      <c r="L2314" s="169">
        <v>46083</v>
      </c>
      <c r="M2314" s="115">
        <v>445.3</v>
      </c>
      <c r="N2314" s="115">
        <v>451.1</v>
      </c>
      <c r="O2314" s="115">
        <v>433.05</v>
      </c>
      <c r="P2314" s="115">
        <v>434.95</v>
      </c>
      <c r="Q2314" s="115">
        <v>445.3</v>
      </c>
      <c r="R2314">
        <v>5183683</v>
      </c>
    </row>
    <row r="2315" spans="1:18" x14ac:dyDescent="0.25">
      <c r="A2315" s="169">
        <v>46085</v>
      </c>
      <c r="B2315" s="115">
        <v>435.65</v>
      </c>
      <c r="C2315" s="115">
        <v>429.5</v>
      </c>
      <c r="D2315" s="115">
        <v>426.1</v>
      </c>
      <c r="E2315" s="115">
        <v>434.2</v>
      </c>
      <c r="F2315" s="115">
        <v>429.5</v>
      </c>
      <c r="G2315">
        <v>291918</v>
      </c>
      <c r="H2315" s="115"/>
      <c r="I2315" s="115"/>
      <c r="L2315" s="169">
        <v>46085</v>
      </c>
      <c r="M2315" s="115">
        <v>429.75</v>
      </c>
      <c r="N2315" s="115">
        <v>435.9</v>
      </c>
      <c r="O2315" s="115">
        <v>426</v>
      </c>
      <c r="P2315" s="115">
        <v>432</v>
      </c>
      <c r="Q2315" s="115">
        <v>429.75</v>
      </c>
      <c r="R2315">
        <v>8357859</v>
      </c>
    </row>
    <row r="2316" spans="1:18" x14ac:dyDescent="0.25">
      <c r="A2316" s="169">
        <v>46086</v>
      </c>
      <c r="B2316" s="115">
        <v>448.3</v>
      </c>
      <c r="C2316" s="115">
        <v>445.8</v>
      </c>
      <c r="D2316" s="115">
        <v>432.6</v>
      </c>
      <c r="E2316" s="115">
        <v>435.05</v>
      </c>
      <c r="F2316" s="115">
        <v>445.8</v>
      </c>
      <c r="G2316">
        <v>272928</v>
      </c>
      <c r="H2316" s="115"/>
      <c r="I2316" s="115"/>
      <c r="L2316" s="169">
        <v>46086</v>
      </c>
      <c r="M2316" s="115">
        <v>445.75</v>
      </c>
      <c r="N2316" s="115">
        <v>448.5</v>
      </c>
      <c r="O2316" s="115">
        <v>432.6</v>
      </c>
      <c r="P2316" s="115">
        <v>435.9</v>
      </c>
      <c r="Q2316" s="115">
        <v>445.75</v>
      </c>
      <c r="R2316">
        <v>6468494</v>
      </c>
    </row>
    <row r="2317" spans="1:18" x14ac:dyDescent="0.25">
      <c r="A2317" s="169">
        <v>46087</v>
      </c>
      <c r="B2317" s="115">
        <v>455.65</v>
      </c>
      <c r="C2317" s="115">
        <v>447.5</v>
      </c>
      <c r="D2317" s="115">
        <v>441.75</v>
      </c>
      <c r="E2317" s="115">
        <v>443.7</v>
      </c>
      <c r="F2317" s="115">
        <v>447.5</v>
      </c>
      <c r="G2317">
        <v>608366</v>
      </c>
      <c r="H2317" s="115"/>
      <c r="I2317" s="115"/>
      <c r="L2317" s="169">
        <v>46087</v>
      </c>
      <c r="M2317" s="115">
        <v>447.65</v>
      </c>
      <c r="N2317" s="115">
        <v>455.75</v>
      </c>
      <c r="O2317" s="115">
        <v>441.8</v>
      </c>
      <c r="P2317" s="115">
        <v>444.4</v>
      </c>
      <c r="Q2317" s="115">
        <v>447.65</v>
      </c>
      <c r="R2317">
        <v>4616931</v>
      </c>
    </row>
    <row r="2318" spans="1:18" x14ac:dyDescent="0.25">
      <c r="A2318" s="169">
        <v>46090</v>
      </c>
      <c r="B2318" s="115">
        <v>444.45</v>
      </c>
      <c r="C2318" s="115">
        <v>437.4</v>
      </c>
      <c r="D2318" s="115">
        <v>433.45</v>
      </c>
      <c r="E2318" s="115">
        <v>444.45</v>
      </c>
      <c r="F2318" s="115">
        <v>437.4</v>
      </c>
      <c r="G2318">
        <v>155133</v>
      </c>
      <c r="H2318" s="115"/>
      <c r="I2318" s="115"/>
      <c r="L2318" s="169">
        <v>46090</v>
      </c>
      <c r="M2318" s="115">
        <v>437.75</v>
      </c>
      <c r="N2318" s="115">
        <v>444</v>
      </c>
      <c r="O2318" s="115">
        <v>433.35</v>
      </c>
      <c r="P2318" s="115">
        <v>444</v>
      </c>
      <c r="Q2318" s="115">
        <v>437.75</v>
      </c>
      <c r="R2318">
        <v>3862525</v>
      </c>
    </row>
    <row r="2319" spans="1:18" x14ac:dyDescent="0.25">
      <c r="A2319" s="169">
        <v>46091</v>
      </c>
      <c r="B2319" s="115">
        <v>445</v>
      </c>
      <c r="C2319" s="115">
        <v>436.6</v>
      </c>
      <c r="D2319" s="115">
        <v>434.35</v>
      </c>
      <c r="E2319" s="115">
        <v>445</v>
      </c>
      <c r="F2319" s="115">
        <v>436.6</v>
      </c>
      <c r="G2319">
        <v>100611</v>
      </c>
      <c r="H2319" s="115"/>
      <c r="I2319" s="115"/>
      <c r="L2319" s="169">
        <v>46091</v>
      </c>
      <c r="M2319" s="115">
        <v>436.5</v>
      </c>
      <c r="N2319" s="115">
        <v>444.7</v>
      </c>
      <c r="O2319" s="115">
        <v>434.1</v>
      </c>
      <c r="P2319" s="115">
        <v>444.7</v>
      </c>
      <c r="Q2319" s="115">
        <v>436.5</v>
      </c>
      <c r="R2319">
        <v>3317809</v>
      </c>
    </row>
    <row r="2320" spans="1:18" x14ac:dyDescent="0.25">
      <c r="A2320" s="169">
        <v>46092</v>
      </c>
      <c r="B2320" s="115">
        <v>441.45</v>
      </c>
      <c r="C2320" s="115">
        <v>431.1</v>
      </c>
      <c r="D2320" s="115">
        <v>429.75</v>
      </c>
      <c r="E2320" s="115">
        <v>439.95</v>
      </c>
      <c r="F2320" s="115">
        <v>431.1</v>
      </c>
      <c r="G2320">
        <v>224337</v>
      </c>
      <c r="H2320" s="115"/>
      <c r="I2320" s="115"/>
      <c r="L2320" s="169">
        <v>46092</v>
      </c>
      <c r="M2320" s="115">
        <v>431.25</v>
      </c>
      <c r="N2320" s="115">
        <v>441.8</v>
      </c>
      <c r="O2320" s="115">
        <v>430</v>
      </c>
      <c r="P2320" s="115">
        <v>437.9</v>
      </c>
      <c r="Q2320" s="115">
        <v>431.25</v>
      </c>
      <c r="R2320">
        <v>7599571</v>
      </c>
    </row>
    <row r="2321" spans="1:18" x14ac:dyDescent="0.25">
      <c r="A2321" s="169">
        <v>46093</v>
      </c>
      <c r="B2321" s="115">
        <v>431.35</v>
      </c>
      <c r="C2321" s="115">
        <v>410.7</v>
      </c>
      <c r="D2321" s="115">
        <v>409.8</v>
      </c>
      <c r="E2321" s="115">
        <v>431.3</v>
      </c>
      <c r="F2321" s="115">
        <v>410.7</v>
      </c>
      <c r="G2321">
        <v>359883</v>
      </c>
      <c r="H2321" s="115"/>
      <c r="I2321" s="115"/>
      <c r="L2321" s="169">
        <v>46093</v>
      </c>
      <c r="M2321" s="115">
        <v>411.05</v>
      </c>
      <c r="N2321" s="115">
        <v>432</v>
      </c>
      <c r="O2321" s="115">
        <v>410</v>
      </c>
      <c r="P2321" s="115">
        <v>432</v>
      </c>
      <c r="Q2321" s="115">
        <v>411.05</v>
      </c>
      <c r="R2321">
        <v>12325188</v>
      </c>
    </row>
    <row r="2322" spans="1:18" x14ac:dyDescent="0.25">
      <c r="A2322" s="169">
        <v>46094</v>
      </c>
      <c r="B2322" s="115">
        <v>418.75</v>
      </c>
      <c r="C2322" s="115">
        <v>401.35</v>
      </c>
      <c r="D2322" s="115">
        <v>400.6</v>
      </c>
      <c r="E2322" s="115">
        <v>410.6</v>
      </c>
      <c r="F2322" s="115">
        <v>401.35</v>
      </c>
      <c r="G2322">
        <v>610984</v>
      </c>
      <c r="H2322" s="115"/>
      <c r="I2322" s="115"/>
      <c r="L2322" s="169">
        <v>46094</v>
      </c>
      <c r="M2322" s="115">
        <v>401.3</v>
      </c>
      <c r="N2322" s="115">
        <v>418.55</v>
      </c>
      <c r="O2322" s="115">
        <v>400.45</v>
      </c>
      <c r="P2322" s="115">
        <v>410</v>
      </c>
      <c r="Q2322" s="115">
        <v>401.3</v>
      </c>
      <c r="R2322">
        <v>7664431</v>
      </c>
    </row>
    <row r="2323" spans="1:18" x14ac:dyDescent="0.25">
      <c r="A2323" s="169">
        <v>46097</v>
      </c>
      <c r="B2323" s="115">
        <v>416.4</v>
      </c>
      <c r="C2323" s="115">
        <v>407.5</v>
      </c>
      <c r="D2323" s="115">
        <v>401.35</v>
      </c>
      <c r="E2323" s="115">
        <v>401.35</v>
      </c>
      <c r="F2323" s="115">
        <v>407.5</v>
      </c>
      <c r="G2323">
        <v>433795</v>
      </c>
      <c r="H2323" s="115"/>
      <c r="I2323" s="115"/>
      <c r="L2323" s="169">
        <v>46097</v>
      </c>
      <c r="M2323" s="115">
        <v>407.15</v>
      </c>
      <c r="N2323" s="115">
        <v>416.4</v>
      </c>
      <c r="O2323" s="115">
        <v>401.1</v>
      </c>
      <c r="P2323" s="115">
        <v>401.6</v>
      </c>
      <c r="Q2323" s="115">
        <v>407.15</v>
      </c>
      <c r="R2323">
        <v>8027378</v>
      </c>
    </row>
    <row r="2324" spans="1:18" x14ac:dyDescent="0.25">
      <c r="A2324" s="169">
        <v>46098</v>
      </c>
      <c r="B2324" s="115">
        <v>411.05</v>
      </c>
      <c r="C2324" s="115">
        <v>406.5</v>
      </c>
      <c r="D2324" s="115">
        <v>402.5</v>
      </c>
      <c r="E2324" s="115">
        <v>409</v>
      </c>
      <c r="F2324" s="115">
        <v>406.5</v>
      </c>
      <c r="G2324">
        <v>230630</v>
      </c>
      <c r="H2324" s="115"/>
      <c r="I2324" s="115"/>
      <c r="L2324" s="169">
        <v>46098</v>
      </c>
      <c r="M2324" s="115">
        <v>406.35</v>
      </c>
      <c r="N2324" s="115">
        <v>411.1</v>
      </c>
      <c r="O2324" s="115">
        <v>402.5</v>
      </c>
      <c r="P2324" s="115">
        <v>410.75</v>
      </c>
      <c r="Q2324" s="115">
        <v>406.35</v>
      </c>
      <c r="R2324">
        <v>4489728</v>
      </c>
    </row>
    <row r="2325" spans="1:18" x14ac:dyDescent="0.25">
      <c r="A2325" s="169">
        <v>46099</v>
      </c>
      <c r="B2325" s="115">
        <v>418</v>
      </c>
      <c r="C2325" s="115">
        <v>415.15</v>
      </c>
      <c r="D2325" s="115">
        <v>408.5</v>
      </c>
      <c r="E2325" s="115">
        <v>411.25</v>
      </c>
      <c r="F2325" s="115">
        <v>415.15</v>
      </c>
      <c r="G2325">
        <v>631714</v>
      </c>
      <c r="H2325" s="115"/>
      <c r="I2325" s="115"/>
      <c r="L2325" s="169">
        <v>46099</v>
      </c>
      <c r="M2325" s="115">
        <v>415.1</v>
      </c>
      <c r="N2325" s="115">
        <v>418</v>
      </c>
      <c r="O2325" s="115">
        <v>408.3</v>
      </c>
      <c r="P2325" s="115">
        <v>410</v>
      </c>
      <c r="Q2325" s="115">
        <v>415.1</v>
      </c>
      <c r="R2325">
        <v>6377212</v>
      </c>
    </row>
    <row r="2326" spans="1:18" x14ac:dyDescent="0.25">
      <c r="A2326" s="169">
        <v>46100</v>
      </c>
      <c r="B2326" s="115">
        <v>410</v>
      </c>
      <c r="C2326" s="115">
        <v>404.7</v>
      </c>
      <c r="D2326" s="115">
        <v>403.3</v>
      </c>
      <c r="E2326" s="115">
        <v>408.25</v>
      </c>
      <c r="F2326" s="115">
        <v>404.7</v>
      </c>
      <c r="G2326">
        <v>291854</v>
      </c>
      <c r="H2326" s="115"/>
      <c r="I2326" s="115"/>
      <c r="L2326" s="169">
        <v>46100</v>
      </c>
      <c r="M2326" s="115">
        <v>404.65</v>
      </c>
      <c r="N2326" s="115">
        <v>410.45</v>
      </c>
      <c r="O2326" s="115">
        <v>403.3</v>
      </c>
      <c r="P2326" s="115">
        <v>410.25</v>
      </c>
      <c r="Q2326" s="115">
        <v>404.65</v>
      </c>
      <c r="R2326">
        <v>5644420</v>
      </c>
    </row>
    <row r="2327" spans="1:18" x14ac:dyDescent="0.25">
      <c r="A2327" s="169">
        <v>46101</v>
      </c>
      <c r="B2327" s="115">
        <v>409.55</v>
      </c>
      <c r="C2327" s="115">
        <v>401.5</v>
      </c>
      <c r="D2327" s="115">
        <v>400.2</v>
      </c>
      <c r="E2327" s="115">
        <v>406.7</v>
      </c>
      <c r="F2327" s="115">
        <v>401.5</v>
      </c>
      <c r="G2327">
        <v>200260</v>
      </c>
      <c r="H2327" s="115"/>
      <c r="I2327" s="115"/>
      <c r="L2327" s="169">
        <v>46101</v>
      </c>
      <c r="M2327" s="115">
        <v>401.45</v>
      </c>
      <c r="N2327" s="115">
        <v>409.65</v>
      </c>
      <c r="O2327" s="115">
        <v>400</v>
      </c>
      <c r="P2327" s="115">
        <v>406</v>
      </c>
      <c r="Q2327" s="115">
        <v>401.45</v>
      </c>
      <c r="R2327">
        <v>5524922</v>
      </c>
    </row>
    <row r="2328" spans="1:18" x14ac:dyDescent="0.25">
      <c r="A2328" s="169">
        <v>46104</v>
      </c>
      <c r="B2328" s="115">
        <v>398.2</v>
      </c>
      <c r="C2328" s="115">
        <v>382</v>
      </c>
      <c r="D2328" s="115">
        <v>381</v>
      </c>
      <c r="E2328" s="115">
        <v>396.95</v>
      </c>
      <c r="F2328" s="115">
        <v>382</v>
      </c>
      <c r="G2328">
        <v>1006741</v>
      </c>
      <c r="H2328" s="115"/>
      <c r="I2328" s="115"/>
      <c r="L2328" s="169">
        <v>46104</v>
      </c>
      <c r="M2328" s="115">
        <v>382.2</v>
      </c>
      <c r="N2328" s="115">
        <v>398.7</v>
      </c>
      <c r="O2328" s="115">
        <v>381</v>
      </c>
      <c r="P2328" s="115">
        <v>398</v>
      </c>
      <c r="Q2328" s="115">
        <v>382.2</v>
      </c>
      <c r="R2328">
        <v>10454299</v>
      </c>
    </row>
    <row r="2329" spans="1:18" x14ac:dyDescent="0.25">
      <c r="A2329" s="169">
        <v>46105</v>
      </c>
      <c r="B2329" s="115">
        <v>394.15</v>
      </c>
      <c r="C2329" s="115">
        <v>388.1</v>
      </c>
      <c r="D2329" s="115">
        <v>382.3</v>
      </c>
      <c r="E2329" s="115">
        <v>393.15</v>
      </c>
      <c r="F2329" s="115">
        <v>388.1</v>
      </c>
      <c r="G2329">
        <v>391457</v>
      </c>
      <c r="H2329" s="115"/>
      <c r="I2329" s="115"/>
      <c r="L2329" s="169">
        <v>46105</v>
      </c>
      <c r="M2329" s="115">
        <v>388.35</v>
      </c>
      <c r="N2329" s="115">
        <v>394.15</v>
      </c>
      <c r="O2329" s="115">
        <v>382.25</v>
      </c>
      <c r="P2329" s="115">
        <v>391.9</v>
      </c>
      <c r="Q2329" s="115">
        <v>388.35</v>
      </c>
      <c r="R2329">
        <v>6998465</v>
      </c>
    </row>
    <row r="2330" spans="1:18" x14ac:dyDescent="0.25">
      <c r="A2330" s="169">
        <v>46106</v>
      </c>
      <c r="B2330" s="115">
        <v>407.35</v>
      </c>
      <c r="C2330" s="115">
        <v>401.3</v>
      </c>
      <c r="D2330" s="115">
        <v>391.2</v>
      </c>
      <c r="E2330" s="115">
        <v>393.15</v>
      </c>
      <c r="F2330" s="115">
        <v>401.3</v>
      </c>
      <c r="G2330">
        <v>281283</v>
      </c>
      <c r="H2330" s="115"/>
      <c r="I2330" s="115"/>
      <c r="L2330" s="169">
        <v>46106</v>
      </c>
      <c r="M2330" s="115">
        <v>401.45</v>
      </c>
      <c r="N2330" s="115">
        <v>407.4</v>
      </c>
      <c r="O2330" s="115">
        <v>391.1</v>
      </c>
      <c r="P2330" s="115">
        <v>394.9</v>
      </c>
      <c r="Q2330" s="115">
        <v>401.45</v>
      </c>
      <c r="R2330">
        <v>9134065</v>
      </c>
    </row>
    <row r="2331" spans="1:18" x14ac:dyDescent="0.25">
      <c r="A2331" s="169">
        <v>46108</v>
      </c>
      <c r="B2331" s="115">
        <v>401.2</v>
      </c>
      <c r="C2331" s="115">
        <v>388.85</v>
      </c>
      <c r="D2331" s="115">
        <v>385.1</v>
      </c>
      <c r="E2331" s="115">
        <v>401.2</v>
      </c>
      <c r="F2331" s="115">
        <v>388.85</v>
      </c>
      <c r="G2331">
        <v>685996</v>
      </c>
      <c r="H2331" s="115"/>
      <c r="I2331" s="115"/>
      <c r="L2331" s="169">
        <v>46108</v>
      </c>
      <c r="M2331" s="115">
        <v>389.3</v>
      </c>
      <c r="N2331" s="115">
        <v>400.9</v>
      </c>
      <c r="O2331" s="115">
        <v>388</v>
      </c>
      <c r="P2331" s="115">
        <v>400</v>
      </c>
      <c r="Q2331" s="115">
        <v>389.3</v>
      </c>
      <c r="R2331">
        <v>8968617</v>
      </c>
    </row>
    <row r="2332" spans="1:18" x14ac:dyDescent="0.25">
      <c r="A2332" s="169">
        <v>46111</v>
      </c>
      <c r="B2332" s="115">
        <v>391.5</v>
      </c>
      <c r="C2332" s="115">
        <v>384.05</v>
      </c>
      <c r="D2332" s="115">
        <v>381.5</v>
      </c>
      <c r="E2332" s="115">
        <v>382.15</v>
      </c>
      <c r="F2332" s="115">
        <v>384.05</v>
      </c>
      <c r="G2332">
        <v>296209</v>
      </c>
      <c r="H2332" s="115"/>
      <c r="I2332" s="115"/>
      <c r="L2332" s="169">
        <v>46111</v>
      </c>
      <c r="M2332" s="115">
        <v>384.1</v>
      </c>
      <c r="N2332" s="115">
        <v>391.55</v>
      </c>
      <c r="O2332" s="115">
        <v>381.5</v>
      </c>
      <c r="P2332" s="115">
        <v>386</v>
      </c>
      <c r="Q2332" s="115">
        <v>384.1</v>
      </c>
      <c r="R2332">
        <v>10212880</v>
      </c>
    </row>
    <row r="2333" spans="1:18" x14ac:dyDescent="0.25">
      <c r="A2333" s="169">
        <v>46113</v>
      </c>
      <c r="B2333" s="115">
        <v>404.1</v>
      </c>
      <c r="C2333" s="115">
        <v>401.85</v>
      </c>
      <c r="D2333" s="115">
        <v>389.1</v>
      </c>
      <c r="E2333" s="115">
        <v>393.5</v>
      </c>
      <c r="F2333" s="115">
        <v>401.85</v>
      </c>
      <c r="G2333">
        <v>229118</v>
      </c>
      <c r="H2333" s="115"/>
      <c r="I2333" s="115"/>
      <c r="L2333" s="169">
        <v>46113</v>
      </c>
      <c r="M2333" s="115">
        <v>401.8</v>
      </c>
      <c r="N2333" s="115">
        <v>404.25</v>
      </c>
      <c r="O2333" s="115">
        <v>389.05</v>
      </c>
      <c r="P2333" s="115">
        <v>397.3</v>
      </c>
      <c r="Q2333" s="115">
        <v>401.8</v>
      </c>
      <c r="R2333">
        <v>6465240</v>
      </c>
    </row>
    <row r="2334" spans="1:18" x14ac:dyDescent="0.25">
      <c r="A2334" s="169">
        <v>46114</v>
      </c>
      <c r="B2334" s="115">
        <v>404.9</v>
      </c>
      <c r="C2334" s="115">
        <v>403.9</v>
      </c>
      <c r="D2334" s="115">
        <v>390.6</v>
      </c>
      <c r="E2334" s="115">
        <v>396.45</v>
      </c>
      <c r="F2334" s="115">
        <v>403.9</v>
      </c>
      <c r="G2334">
        <v>215908</v>
      </c>
      <c r="H2334" s="115"/>
      <c r="I2334" s="115"/>
      <c r="L2334" s="169">
        <v>46114</v>
      </c>
      <c r="M2334" s="115">
        <v>403.7</v>
      </c>
      <c r="N2334" s="115">
        <v>405</v>
      </c>
      <c r="O2334" s="115">
        <v>390.6</v>
      </c>
      <c r="P2334" s="115">
        <v>397.6</v>
      </c>
      <c r="Q2334" s="115">
        <v>403.7</v>
      </c>
      <c r="R2334">
        <v>3620669</v>
      </c>
    </row>
    <row r="2335" spans="1:18" x14ac:dyDescent="0.25">
      <c r="A2335" s="169">
        <v>46118</v>
      </c>
      <c r="B2335" s="115">
        <v>407.25</v>
      </c>
      <c r="C2335" s="115">
        <v>400.8</v>
      </c>
      <c r="D2335" s="115">
        <v>399.85</v>
      </c>
      <c r="E2335" s="115">
        <v>405.55</v>
      </c>
      <c r="F2335" s="115">
        <v>400.8</v>
      </c>
      <c r="G2335">
        <v>226185</v>
      </c>
      <c r="H2335" s="115"/>
      <c r="I2335" s="115"/>
      <c r="L2335" s="169">
        <v>46118</v>
      </c>
      <c r="M2335" s="115">
        <v>401</v>
      </c>
      <c r="N2335" s="115">
        <v>407.65</v>
      </c>
      <c r="O2335" s="115">
        <v>399.8</v>
      </c>
      <c r="P2335" s="115">
        <v>405</v>
      </c>
      <c r="Q2335" s="115">
        <v>401</v>
      </c>
      <c r="R2335">
        <v>4363829</v>
      </c>
    </row>
    <row r="2336" spans="1:18" x14ac:dyDescent="0.25">
      <c r="A2336" s="169">
        <v>46119</v>
      </c>
      <c r="B2336" s="115">
        <v>402.8</v>
      </c>
      <c r="C2336" s="115">
        <v>400.65</v>
      </c>
      <c r="D2336" s="115">
        <v>395.4</v>
      </c>
      <c r="E2336" s="115">
        <v>402.8</v>
      </c>
      <c r="F2336" s="115">
        <v>400.65</v>
      </c>
      <c r="G2336">
        <v>114948</v>
      </c>
      <c r="H2336" s="115"/>
      <c r="I2336" s="115"/>
      <c r="L2336" s="169">
        <v>46119</v>
      </c>
      <c r="M2336" s="115">
        <v>400.85</v>
      </c>
      <c r="N2336" s="115">
        <v>402.25</v>
      </c>
      <c r="O2336" s="115">
        <v>395.3</v>
      </c>
      <c r="P2336" s="115">
        <v>400</v>
      </c>
      <c r="Q2336" s="115">
        <v>400.85</v>
      </c>
      <c r="R2336">
        <v>3214980</v>
      </c>
    </row>
    <row r="2337" spans="1:18" x14ac:dyDescent="0.25">
      <c r="A2337" s="169">
        <v>46120</v>
      </c>
      <c r="B2337" s="115">
        <v>424</v>
      </c>
      <c r="C2337" s="115">
        <v>421.85</v>
      </c>
      <c r="D2337" s="115">
        <v>411.55</v>
      </c>
      <c r="E2337" s="115">
        <v>415.35</v>
      </c>
      <c r="F2337" s="115">
        <v>421.85</v>
      </c>
      <c r="G2337">
        <v>222488</v>
      </c>
      <c r="H2337" s="115"/>
      <c r="I2337" s="115"/>
      <c r="L2337" s="169">
        <v>46120</v>
      </c>
      <c r="M2337" s="115">
        <v>421.9</v>
      </c>
      <c r="N2337" s="115">
        <v>424</v>
      </c>
      <c r="O2337" s="115">
        <v>411.05</v>
      </c>
      <c r="P2337" s="115">
        <v>412.9</v>
      </c>
      <c r="Q2337" s="115">
        <v>421.9</v>
      </c>
      <c r="R2337">
        <v>6926186</v>
      </c>
    </row>
    <row r="2338" spans="1:18" x14ac:dyDescent="0.25">
      <c r="A2338" s="169">
        <v>46121</v>
      </c>
      <c r="B2338" s="115">
        <v>429.1</v>
      </c>
      <c r="C2338" s="115">
        <v>423.4</v>
      </c>
      <c r="D2338" s="115">
        <v>414.85</v>
      </c>
      <c r="E2338" s="115">
        <v>423.45</v>
      </c>
      <c r="F2338" s="115">
        <v>423.4</v>
      </c>
      <c r="G2338">
        <v>392785</v>
      </c>
      <c r="H2338" s="115"/>
      <c r="I2338" s="115"/>
      <c r="L2338" s="169">
        <v>46121</v>
      </c>
      <c r="M2338" s="115">
        <v>422.9</v>
      </c>
      <c r="N2338" s="115">
        <v>429.5</v>
      </c>
      <c r="O2338" s="115">
        <v>414.7</v>
      </c>
      <c r="P2338" s="115">
        <v>421.4</v>
      </c>
      <c r="Q2338" s="115">
        <v>422.9</v>
      </c>
      <c r="R2338">
        <v>5743167</v>
      </c>
    </row>
    <row r="2339" spans="1:18" x14ac:dyDescent="0.25">
      <c r="A2339" s="169">
        <v>46122</v>
      </c>
      <c r="B2339" s="115">
        <v>435.4</v>
      </c>
      <c r="C2339" s="115">
        <v>432.6</v>
      </c>
      <c r="D2339" s="115">
        <v>425.2</v>
      </c>
      <c r="E2339" s="115">
        <v>426.55</v>
      </c>
      <c r="F2339" s="115">
        <v>432.6</v>
      </c>
      <c r="G2339">
        <v>422354</v>
      </c>
      <c r="H2339" s="115"/>
      <c r="I2339" s="115"/>
      <c r="L2339" s="169">
        <v>46122</v>
      </c>
      <c r="M2339" s="115">
        <v>431.6</v>
      </c>
      <c r="N2339" s="115">
        <v>434</v>
      </c>
      <c r="O2339" s="115">
        <v>425.05</v>
      </c>
      <c r="P2339" s="115">
        <v>425.8</v>
      </c>
      <c r="Q2339" s="115">
        <v>431.6</v>
      </c>
      <c r="R2339">
        <v>5731496</v>
      </c>
    </row>
    <row r="2340" spans="1:18" x14ac:dyDescent="0.25">
      <c r="A2340" s="169">
        <v>46125</v>
      </c>
      <c r="B2340" s="115">
        <v>433.05</v>
      </c>
      <c r="C2340" s="115">
        <v>430.45</v>
      </c>
      <c r="D2340" s="115">
        <v>411.6</v>
      </c>
      <c r="E2340" s="115">
        <v>411.6</v>
      </c>
      <c r="F2340" s="115">
        <v>430.45</v>
      </c>
      <c r="G2340">
        <v>481899</v>
      </c>
      <c r="H2340" s="115"/>
      <c r="I2340" s="115"/>
      <c r="L2340" s="169">
        <v>46125</v>
      </c>
      <c r="M2340" s="115">
        <v>430.6</v>
      </c>
      <c r="N2340" s="115">
        <v>433.2</v>
      </c>
      <c r="O2340" s="115">
        <v>417.15</v>
      </c>
      <c r="P2340" s="115">
        <v>418</v>
      </c>
      <c r="Q2340" s="115">
        <v>430.6</v>
      </c>
      <c r="R2340">
        <v>5357143</v>
      </c>
    </row>
    <row r="2341" spans="1:18" x14ac:dyDescent="0.25">
      <c r="A2341" s="169">
        <v>46127</v>
      </c>
      <c r="B2341" s="115">
        <v>451.4</v>
      </c>
      <c r="C2341" s="115">
        <v>446</v>
      </c>
      <c r="D2341" s="115">
        <v>435.7</v>
      </c>
      <c r="E2341" s="115">
        <v>440</v>
      </c>
      <c r="F2341" s="115">
        <v>446</v>
      </c>
      <c r="G2341">
        <v>683274</v>
      </c>
      <c r="H2341" s="115"/>
      <c r="I2341" s="115"/>
      <c r="L2341" s="169">
        <v>46127</v>
      </c>
      <c r="M2341" s="115">
        <v>445.55</v>
      </c>
      <c r="N2341" s="115">
        <v>451.7</v>
      </c>
      <c r="O2341" s="115">
        <v>436.1</v>
      </c>
      <c r="P2341" s="115">
        <v>437</v>
      </c>
      <c r="Q2341" s="115">
        <v>445.55</v>
      </c>
      <c r="R2341">
        <v>7797798</v>
      </c>
    </row>
    <row r="2342" spans="1:18" x14ac:dyDescent="0.25">
      <c r="A2342" s="169">
        <v>46128</v>
      </c>
      <c r="B2342" s="115">
        <v>465.5</v>
      </c>
      <c r="C2342" s="115">
        <v>461.3</v>
      </c>
      <c r="D2342" s="115">
        <v>446</v>
      </c>
      <c r="E2342" s="115">
        <v>448.2</v>
      </c>
      <c r="F2342" s="115">
        <v>461.3</v>
      </c>
      <c r="G2342">
        <v>904077</v>
      </c>
      <c r="H2342" s="115"/>
      <c r="I2342" s="115"/>
      <c r="L2342" s="169">
        <v>46128</v>
      </c>
      <c r="M2342" s="115">
        <v>460.4</v>
      </c>
      <c r="N2342" s="115">
        <v>466</v>
      </c>
      <c r="O2342" s="115">
        <v>446</v>
      </c>
      <c r="P2342" s="115">
        <v>446.55</v>
      </c>
      <c r="Q2342" s="115">
        <v>460.4</v>
      </c>
      <c r="R2342">
        <v>7114657</v>
      </c>
    </row>
    <row r="2343" spans="1:18" x14ac:dyDescent="0.25">
      <c r="A2343" s="169">
        <v>46129</v>
      </c>
      <c r="B2343" s="115">
        <v>475</v>
      </c>
      <c r="C2343" s="115">
        <v>474.05</v>
      </c>
      <c r="D2343" s="115">
        <v>455.65</v>
      </c>
      <c r="E2343" s="115">
        <v>455.95</v>
      </c>
      <c r="F2343" s="115">
        <v>474.05</v>
      </c>
      <c r="G2343">
        <v>1621393</v>
      </c>
      <c r="H2343" s="115"/>
      <c r="I2343" s="115"/>
      <c r="L2343" s="169">
        <v>46129</v>
      </c>
      <c r="M2343" s="115">
        <v>473.9</v>
      </c>
      <c r="N2343" s="115">
        <v>475.2</v>
      </c>
      <c r="O2343" s="115">
        <v>453.3</v>
      </c>
      <c r="P2343" s="115">
        <v>453.3</v>
      </c>
      <c r="Q2343" s="115">
        <v>473.9</v>
      </c>
      <c r="R2343">
        <v>11968336</v>
      </c>
    </row>
    <row r="2344" spans="1:18" x14ac:dyDescent="0.25">
      <c r="A2344" s="169">
        <v>46132</v>
      </c>
      <c r="B2344" s="115">
        <v>476.65</v>
      </c>
      <c r="C2344" s="115">
        <v>466.4</v>
      </c>
      <c r="D2344" s="115">
        <v>464.1</v>
      </c>
      <c r="E2344" s="115">
        <v>474.35</v>
      </c>
      <c r="F2344" s="115">
        <v>466.4</v>
      </c>
      <c r="G2344">
        <v>320816</v>
      </c>
      <c r="H2344" s="115"/>
      <c r="I2344" s="115"/>
      <c r="L2344" s="169">
        <v>46132</v>
      </c>
      <c r="M2344" s="115">
        <v>466.55</v>
      </c>
      <c r="N2344" s="115">
        <v>476.95</v>
      </c>
      <c r="O2344" s="115">
        <v>464.3</v>
      </c>
      <c r="P2344" s="115">
        <v>476.4</v>
      </c>
      <c r="Q2344" s="115">
        <v>466.55</v>
      </c>
      <c r="R2344">
        <v>6027104</v>
      </c>
    </row>
    <row r="2345" spans="1:18" x14ac:dyDescent="0.25">
      <c r="A2345" s="169">
        <v>46133</v>
      </c>
      <c r="B2345" s="115">
        <v>487.05</v>
      </c>
      <c r="C2345" s="115">
        <v>485.1</v>
      </c>
      <c r="D2345" s="115">
        <v>466.55</v>
      </c>
      <c r="E2345" s="115">
        <v>466.55</v>
      </c>
      <c r="F2345" s="115">
        <v>485.1</v>
      </c>
      <c r="G2345">
        <v>377086</v>
      </c>
      <c r="H2345" s="115"/>
      <c r="I2345" s="115"/>
      <c r="L2345" s="169">
        <v>46133</v>
      </c>
      <c r="M2345" s="115">
        <v>485.1</v>
      </c>
      <c r="N2345" s="115">
        <v>487.05</v>
      </c>
      <c r="O2345" s="115">
        <v>466.55</v>
      </c>
      <c r="P2345" s="115">
        <v>466.55</v>
      </c>
      <c r="Q2345" s="115">
        <v>485.1</v>
      </c>
      <c r="R2345">
        <v>7932444</v>
      </c>
    </row>
    <row r="2346" spans="1:18" x14ac:dyDescent="0.25">
      <c r="A2346" s="169">
        <v>46134</v>
      </c>
      <c r="B2346" s="115">
        <v>498.6</v>
      </c>
      <c r="C2346" s="115">
        <v>494.95</v>
      </c>
      <c r="D2346" s="115">
        <v>483.75</v>
      </c>
      <c r="E2346" s="115">
        <v>483.75</v>
      </c>
      <c r="F2346" s="115">
        <v>494.95</v>
      </c>
      <c r="G2346">
        <v>515425</v>
      </c>
      <c r="H2346" s="115"/>
      <c r="I2346" s="115"/>
      <c r="L2346" s="169">
        <v>46134</v>
      </c>
      <c r="M2346" s="115">
        <v>494.95</v>
      </c>
      <c r="N2346" s="115">
        <v>498.7</v>
      </c>
      <c r="O2346" s="115">
        <v>484.35</v>
      </c>
      <c r="P2346" s="115">
        <v>486.95</v>
      </c>
      <c r="Q2346" s="115">
        <v>494.95</v>
      </c>
      <c r="R2346">
        <v>11943145</v>
      </c>
    </row>
    <row r="2347" spans="1:18" x14ac:dyDescent="0.25">
      <c r="A2347" s="169">
        <v>46135</v>
      </c>
      <c r="B2347" s="115">
        <v>490.5</v>
      </c>
      <c r="C2347" s="115">
        <v>484.95</v>
      </c>
      <c r="D2347" s="115">
        <v>476.55</v>
      </c>
      <c r="E2347" s="115">
        <v>489.95</v>
      </c>
      <c r="F2347" s="115">
        <v>484.95</v>
      </c>
      <c r="G2347">
        <v>990733</v>
      </c>
      <c r="H2347" s="115"/>
      <c r="I2347" s="115"/>
      <c r="L2347" s="169">
        <v>46135</v>
      </c>
      <c r="M2347" s="115">
        <v>484.25</v>
      </c>
      <c r="N2347" s="115">
        <v>490.85</v>
      </c>
      <c r="O2347" s="115">
        <v>476.4</v>
      </c>
      <c r="P2347" s="115">
        <v>490</v>
      </c>
      <c r="Q2347" s="115">
        <v>484.25</v>
      </c>
      <c r="R2347">
        <v>10692659</v>
      </c>
    </row>
    <row r="2348" spans="1:18" x14ac:dyDescent="0.25">
      <c r="A2348" s="169">
        <v>46136</v>
      </c>
      <c r="B2348" s="115">
        <v>492.5</v>
      </c>
      <c r="C2348" s="115">
        <v>490.75</v>
      </c>
      <c r="D2348" s="115">
        <v>481.4</v>
      </c>
      <c r="E2348" s="115">
        <v>483.15</v>
      </c>
      <c r="F2348" s="115">
        <v>490.75</v>
      </c>
      <c r="G2348">
        <v>497368</v>
      </c>
      <c r="H2348" s="115"/>
      <c r="I2348" s="115"/>
      <c r="L2348" s="169">
        <v>46136</v>
      </c>
      <c r="M2348" s="115">
        <v>490.45</v>
      </c>
      <c r="N2348" s="115">
        <v>492.9</v>
      </c>
      <c r="O2348" s="115">
        <v>481.3</v>
      </c>
      <c r="P2348" s="115">
        <v>484.4</v>
      </c>
      <c r="Q2348" s="115">
        <v>490.45</v>
      </c>
      <c r="R2348">
        <v>13173088</v>
      </c>
    </row>
    <row r="2349" spans="1:18" x14ac:dyDescent="0.25">
      <c r="A2349" s="169">
        <v>46139</v>
      </c>
      <c r="B2349" s="115">
        <v>521.65</v>
      </c>
      <c r="C2349" s="115">
        <v>519.15</v>
      </c>
      <c r="D2349" s="115">
        <v>480.1</v>
      </c>
      <c r="E2349" s="115">
        <v>491.5</v>
      </c>
      <c r="F2349" s="115">
        <v>519.15</v>
      </c>
      <c r="G2349">
        <v>2611159</v>
      </c>
      <c r="H2349" s="115"/>
      <c r="I2349" s="115"/>
      <c r="L2349" s="169">
        <v>46139</v>
      </c>
      <c r="M2349" s="115">
        <v>518.85</v>
      </c>
      <c r="N2349" s="115">
        <v>521.70000000000005</v>
      </c>
      <c r="O2349" s="115">
        <v>479.85</v>
      </c>
      <c r="P2349" s="115">
        <v>494.9</v>
      </c>
      <c r="Q2349" s="115">
        <v>518.85</v>
      </c>
      <c r="R2349">
        <v>36094833</v>
      </c>
    </row>
    <row r="2350" spans="1:18" x14ac:dyDescent="0.25">
      <c r="A2350" s="169">
        <v>46140</v>
      </c>
      <c r="B2350" s="115">
        <v>529</v>
      </c>
      <c r="C2350" s="115">
        <v>518.85</v>
      </c>
      <c r="D2350" s="115">
        <v>515.1</v>
      </c>
      <c r="E2350" s="115">
        <v>520.5</v>
      </c>
      <c r="F2350" s="115">
        <v>518.85</v>
      </c>
      <c r="G2350">
        <v>851126</v>
      </c>
      <c r="H2350" s="115"/>
      <c r="I2350" s="115"/>
      <c r="L2350" s="169">
        <v>46140</v>
      </c>
      <c r="M2350" s="115">
        <v>518.54999999999995</v>
      </c>
      <c r="N2350" s="115">
        <v>529.4</v>
      </c>
      <c r="O2350" s="115">
        <v>515.04999999999995</v>
      </c>
      <c r="P2350" s="115">
        <v>521.5</v>
      </c>
      <c r="Q2350" s="115">
        <v>518.54999999999995</v>
      </c>
      <c r="R2350">
        <v>14074482</v>
      </c>
    </row>
    <row r="2351" spans="1:18" x14ac:dyDescent="0.25">
      <c r="A2351" s="169"/>
      <c r="B2351" s="115"/>
      <c r="C2351" s="115"/>
      <c r="D2351" s="115"/>
      <c r="E2351" s="115"/>
      <c r="F2351" s="115"/>
      <c r="H2351" s="115"/>
      <c r="I2351" s="115"/>
      <c r="L2351" s="169"/>
    </row>
    <row r="2352" spans="1:18" x14ac:dyDescent="0.25">
      <c r="A2352" s="169"/>
      <c r="B2352" s="115"/>
      <c r="C2352" s="115"/>
      <c r="D2352" s="115"/>
      <c r="E2352" s="115"/>
      <c r="F2352" s="115"/>
      <c r="H2352" s="115"/>
      <c r="I2352" s="115"/>
      <c r="L2352" s="169"/>
    </row>
    <row r="2353" spans="1:12" x14ac:dyDescent="0.25">
      <c r="A2353" s="169"/>
      <c r="B2353" s="115"/>
      <c r="C2353" s="115"/>
      <c r="D2353" s="115"/>
      <c r="E2353" s="115"/>
      <c r="F2353" s="115"/>
      <c r="H2353" s="115"/>
      <c r="I2353" s="115"/>
      <c r="L2353" s="169"/>
    </row>
    <row r="2354" spans="1:12" x14ac:dyDescent="0.25">
      <c r="A2354" s="169"/>
      <c r="B2354" s="115"/>
      <c r="C2354" s="115"/>
      <c r="D2354" s="115"/>
      <c r="E2354" s="115"/>
      <c r="F2354" s="115"/>
      <c r="H2354" s="115"/>
      <c r="I2354" s="115"/>
      <c r="L2354" s="169"/>
    </row>
    <row r="2355" spans="1:12" x14ac:dyDescent="0.25">
      <c r="A2355" s="169"/>
      <c r="B2355" s="115"/>
      <c r="C2355" s="115"/>
      <c r="D2355" s="115"/>
      <c r="E2355" s="115"/>
      <c r="F2355" s="115"/>
      <c r="H2355" s="115"/>
      <c r="I2355" s="115"/>
      <c r="L2355" s="169"/>
    </row>
    <row r="2356" spans="1:12" x14ac:dyDescent="0.25">
      <c r="A2356" s="169"/>
      <c r="B2356" s="115"/>
      <c r="C2356" s="115"/>
      <c r="D2356" s="115"/>
      <c r="E2356" s="115"/>
      <c r="F2356" s="115"/>
      <c r="H2356" s="115"/>
      <c r="I2356" s="115"/>
      <c r="L2356" s="169"/>
    </row>
    <row r="2357" spans="1:12" x14ac:dyDescent="0.25">
      <c r="A2357" s="169"/>
      <c r="B2357" s="115"/>
      <c r="C2357" s="115"/>
      <c r="D2357" s="115"/>
      <c r="E2357" s="115"/>
      <c r="F2357" s="115"/>
      <c r="H2357" s="115"/>
      <c r="I2357" s="115"/>
      <c r="L2357" s="169"/>
    </row>
    <row r="2358" spans="1:12" x14ac:dyDescent="0.25">
      <c r="A2358" s="169"/>
      <c r="B2358" s="115"/>
      <c r="C2358" s="115"/>
      <c r="D2358" s="115"/>
      <c r="E2358" s="115"/>
      <c r="F2358" s="115"/>
      <c r="H2358" s="115"/>
      <c r="I2358" s="115"/>
      <c r="L2358" s="169"/>
    </row>
    <row r="2359" spans="1:12" x14ac:dyDescent="0.25">
      <c r="A2359" s="169"/>
      <c r="B2359" s="115"/>
      <c r="C2359" s="115"/>
      <c r="D2359" s="115"/>
      <c r="E2359" s="115"/>
      <c r="F2359" s="115"/>
      <c r="H2359" s="115"/>
      <c r="I2359" s="115"/>
      <c r="L2359" s="169"/>
    </row>
    <row r="2360" spans="1:12" x14ac:dyDescent="0.25">
      <c r="A2360" s="169"/>
      <c r="B2360" s="115"/>
      <c r="C2360" s="115"/>
      <c r="D2360" s="115"/>
      <c r="E2360" s="115"/>
      <c r="F2360" s="115"/>
      <c r="H2360" s="115"/>
      <c r="I2360" s="115"/>
      <c r="L2360" s="169"/>
    </row>
    <row r="2361" spans="1:12" x14ac:dyDescent="0.25">
      <c r="A2361" s="169"/>
      <c r="B2361" s="115"/>
      <c r="C2361" s="115"/>
      <c r="D2361" s="115"/>
      <c r="E2361" s="115"/>
      <c r="F2361" s="115"/>
      <c r="H2361" s="115"/>
      <c r="I2361" s="115"/>
      <c r="L2361" s="169"/>
    </row>
    <row r="2362" spans="1:12" x14ac:dyDescent="0.25">
      <c r="A2362" s="169"/>
      <c r="B2362" s="115"/>
      <c r="C2362" s="115"/>
      <c r="D2362" s="115"/>
      <c r="E2362" s="115"/>
      <c r="F2362" s="115"/>
      <c r="H2362" s="115"/>
      <c r="I2362" s="115"/>
      <c r="L2362" s="169"/>
    </row>
    <row r="2363" spans="1:12" x14ac:dyDescent="0.25">
      <c r="A2363" s="169"/>
      <c r="B2363" s="115"/>
      <c r="C2363" s="115"/>
      <c r="D2363" s="115"/>
      <c r="E2363" s="115"/>
      <c r="F2363" s="115"/>
      <c r="H2363" s="115"/>
      <c r="I2363" s="115"/>
      <c r="L2363" s="169"/>
    </row>
    <row r="2364" spans="1:12" x14ac:dyDescent="0.25">
      <c r="A2364" s="169"/>
      <c r="B2364" s="115"/>
      <c r="C2364" s="115"/>
      <c r="D2364" s="115"/>
      <c r="E2364" s="115"/>
      <c r="F2364" s="115"/>
      <c r="H2364" s="115"/>
      <c r="I2364" s="115"/>
      <c r="L2364" s="169"/>
    </row>
    <row r="2365" spans="1:12" x14ac:dyDescent="0.25">
      <c r="A2365" s="169"/>
      <c r="B2365" s="115"/>
      <c r="C2365" s="115"/>
      <c r="D2365" s="115"/>
      <c r="E2365" s="115"/>
      <c r="F2365" s="115"/>
      <c r="H2365" s="115"/>
      <c r="I2365" s="115"/>
      <c r="L2365" s="169"/>
    </row>
    <row r="2366" spans="1:12" x14ac:dyDescent="0.25">
      <c r="A2366" s="169"/>
      <c r="B2366" s="115"/>
      <c r="C2366" s="115"/>
      <c r="D2366" s="115"/>
      <c r="E2366" s="115"/>
      <c r="F2366" s="115"/>
      <c r="H2366" s="115"/>
      <c r="I2366" s="115"/>
      <c r="L2366" s="169"/>
    </row>
    <row r="2367" spans="1:12" x14ac:dyDescent="0.25">
      <c r="A2367" s="169"/>
      <c r="B2367" s="115"/>
      <c r="C2367" s="115"/>
      <c r="D2367" s="115"/>
      <c r="E2367" s="115"/>
      <c r="F2367" s="115"/>
      <c r="H2367" s="115"/>
      <c r="I2367" s="115"/>
      <c r="L2367" s="169"/>
    </row>
    <row r="2368" spans="1:12" x14ac:dyDescent="0.25">
      <c r="A2368" s="169"/>
      <c r="B2368" s="115"/>
      <c r="C2368" s="115"/>
      <c r="D2368" s="115"/>
      <c r="E2368" s="115"/>
      <c r="F2368" s="115"/>
      <c r="H2368" s="115"/>
      <c r="I2368" s="115"/>
      <c r="L2368" s="169"/>
    </row>
    <row r="2369" spans="1:12" x14ac:dyDescent="0.25">
      <c r="A2369" s="169"/>
      <c r="B2369" s="115"/>
      <c r="C2369" s="115"/>
      <c r="D2369" s="115"/>
      <c r="E2369" s="115"/>
      <c r="F2369" s="115"/>
      <c r="H2369" s="115"/>
      <c r="I2369" s="115"/>
      <c r="L2369" s="169"/>
    </row>
    <row r="2370" spans="1:12" x14ac:dyDescent="0.25">
      <c r="A2370" s="169"/>
      <c r="B2370" s="115"/>
      <c r="C2370" s="115"/>
      <c r="D2370" s="115"/>
      <c r="E2370" s="115"/>
      <c r="F2370" s="115"/>
      <c r="H2370" s="115"/>
      <c r="I2370" s="115"/>
      <c r="L2370" s="169"/>
    </row>
    <row r="2371" spans="1:12" x14ac:dyDescent="0.25">
      <c r="A2371" s="169"/>
      <c r="B2371" s="115"/>
      <c r="C2371" s="115"/>
      <c r="D2371" s="115"/>
      <c r="E2371" s="115"/>
      <c r="F2371" s="115"/>
      <c r="H2371" s="115"/>
      <c r="I2371" s="115"/>
      <c r="L2371" s="169"/>
    </row>
    <row r="2372" spans="1:12" x14ac:dyDescent="0.25">
      <c r="A2372" s="169"/>
      <c r="B2372" s="115"/>
      <c r="C2372" s="115"/>
      <c r="D2372" s="115"/>
      <c r="E2372" s="115"/>
      <c r="F2372" s="115"/>
      <c r="H2372" s="115"/>
      <c r="I2372" s="115"/>
      <c r="L2372" s="169"/>
    </row>
    <row r="2373" spans="1:12" x14ac:dyDescent="0.25">
      <c r="A2373" s="169"/>
      <c r="B2373" s="115"/>
      <c r="C2373" s="115"/>
      <c r="D2373" s="115"/>
      <c r="E2373" s="115"/>
      <c r="F2373" s="115"/>
      <c r="H2373" s="115"/>
      <c r="I2373" s="115"/>
      <c r="L2373" s="169"/>
    </row>
    <row r="2374" spans="1:12" x14ac:dyDescent="0.25">
      <c r="A2374" s="169"/>
      <c r="B2374" s="115"/>
      <c r="C2374" s="115"/>
      <c r="D2374" s="115"/>
      <c r="E2374" s="115"/>
      <c r="F2374" s="115"/>
      <c r="H2374" s="115"/>
      <c r="I2374" s="115"/>
      <c r="L2374" s="169"/>
    </row>
    <row r="2375" spans="1:12" x14ac:dyDescent="0.25">
      <c r="A2375" s="169"/>
      <c r="B2375" s="115"/>
      <c r="C2375" s="115"/>
      <c r="D2375" s="115"/>
      <c r="E2375" s="115"/>
      <c r="F2375" s="115"/>
      <c r="H2375" s="115"/>
      <c r="I2375" s="115"/>
      <c r="L2375" s="169"/>
    </row>
    <row r="2376" spans="1:12" x14ac:dyDescent="0.25">
      <c r="A2376" s="169"/>
      <c r="B2376" s="115"/>
      <c r="C2376" s="115"/>
      <c r="D2376" s="115"/>
      <c r="E2376" s="115"/>
      <c r="F2376" s="115"/>
      <c r="H2376" s="115"/>
      <c r="I2376" s="115"/>
      <c r="L2376" s="169"/>
    </row>
    <row r="2377" spans="1:12" x14ac:dyDescent="0.25">
      <c r="A2377" s="169"/>
      <c r="B2377" s="115"/>
      <c r="C2377" s="115"/>
      <c r="D2377" s="115"/>
      <c r="E2377" s="115"/>
      <c r="F2377" s="115"/>
      <c r="H2377" s="115"/>
      <c r="I2377" s="115"/>
      <c r="L2377" s="169"/>
    </row>
    <row r="2378" spans="1:12" x14ac:dyDescent="0.25">
      <c r="A2378" s="169"/>
      <c r="B2378" s="115"/>
      <c r="C2378" s="115"/>
      <c r="D2378" s="115"/>
      <c r="E2378" s="115"/>
      <c r="F2378" s="115"/>
      <c r="H2378" s="115"/>
      <c r="I2378" s="115"/>
      <c r="L2378" s="169"/>
    </row>
    <row r="2379" spans="1:12" x14ac:dyDescent="0.25">
      <c r="A2379" s="169"/>
      <c r="B2379" s="115"/>
      <c r="C2379" s="115"/>
      <c r="D2379" s="115"/>
      <c r="E2379" s="115"/>
      <c r="F2379" s="115"/>
      <c r="H2379" s="115"/>
      <c r="I2379" s="115"/>
      <c r="L2379" s="169"/>
    </row>
    <row r="2380" spans="1:12" x14ac:dyDescent="0.25">
      <c r="A2380" s="169"/>
      <c r="B2380" s="115"/>
      <c r="C2380" s="115"/>
      <c r="D2380" s="115"/>
      <c r="E2380" s="115"/>
      <c r="F2380" s="115"/>
      <c r="H2380" s="115"/>
      <c r="I2380" s="115"/>
      <c r="L2380" s="169"/>
    </row>
    <row r="2381" spans="1:12" x14ac:dyDescent="0.25">
      <c r="A2381" s="169"/>
      <c r="B2381" s="115"/>
      <c r="C2381" s="115"/>
      <c r="D2381" s="115"/>
      <c r="E2381" s="115"/>
      <c r="F2381" s="115"/>
      <c r="H2381" s="115"/>
      <c r="I2381" s="115"/>
      <c r="L2381" s="169"/>
    </row>
    <row r="2382" spans="1:12" x14ac:dyDescent="0.25">
      <c r="A2382" s="169"/>
      <c r="B2382" s="115"/>
      <c r="C2382" s="115"/>
      <c r="D2382" s="115"/>
      <c r="E2382" s="115"/>
      <c r="F2382" s="115"/>
      <c r="H2382" s="115"/>
      <c r="I2382" s="115"/>
      <c r="L2382" s="169"/>
    </row>
    <row r="2383" spans="1:12" x14ac:dyDescent="0.25">
      <c r="A2383" s="169"/>
      <c r="B2383" s="115"/>
      <c r="C2383" s="115"/>
      <c r="D2383" s="115"/>
      <c r="E2383" s="115"/>
      <c r="F2383" s="115"/>
      <c r="H2383" s="115"/>
      <c r="I2383" s="115"/>
      <c r="L2383" s="169"/>
    </row>
    <row r="2384" spans="1:12" x14ac:dyDescent="0.25">
      <c r="A2384" s="169"/>
      <c r="B2384" s="115"/>
      <c r="C2384" s="115"/>
      <c r="D2384" s="115"/>
      <c r="E2384" s="115"/>
      <c r="F2384" s="115"/>
      <c r="H2384" s="115"/>
      <c r="I2384" s="115"/>
      <c r="L2384" s="169"/>
    </row>
    <row r="2385" spans="1:12" x14ac:dyDescent="0.25">
      <c r="A2385" s="169"/>
      <c r="B2385" s="115"/>
      <c r="C2385" s="115"/>
      <c r="D2385" s="115"/>
      <c r="E2385" s="115"/>
      <c r="F2385" s="115"/>
      <c r="H2385" s="115"/>
      <c r="I2385" s="115"/>
      <c r="L2385" s="169"/>
    </row>
    <row r="2386" spans="1:12" x14ac:dyDescent="0.25">
      <c r="A2386" s="169"/>
      <c r="B2386" s="115"/>
      <c r="C2386" s="115"/>
      <c r="D2386" s="115"/>
      <c r="E2386" s="115"/>
      <c r="F2386" s="115"/>
      <c r="H2386" s="115"/>
      <c r="I2386" s="115"/>
      <c r="L2386" s="169"/>
    </row>
    <row r="2387" spans="1:12" x14ac:dyDescent="0.25">
      <c r="A2387" s="169"/>
      <c r="B2387" s="115"/>
      <c r="C2387" s="115"/>
      <c r="D2387" s="115"/>
      <c r="E2387" s="115"/>
      <c r="F2387" s="115"/>
      <c r="H2387" s="115"/>
      <c r="I2387" s="115"/>
      <c r="L2387" s="169"/>
    </row>
    <row r="2388" spans="1:12" x14ac:dyDescent="0.25">
      <c r="A2388" s="169"/>
      <c r="B2388" s="115"/>
      <c r="C2388" s="115"/>
      <c r="D2388" s="115"/>
      <c r="E2388" s="115"/>
      <c r="F2388" s="115"/>
      <c r="H2388" s="115"/>
      <c r="I2388" s="115"/>
      <c r="L2388" s="169"/>
    </row>
    <row r="2389" spans="1:12" x14ac:dyDescent="0.25">
      <c r="A2389" s="169"/>
      <c r="B2389" s="115"/>
      <c r="C2389" s="115"/>
      <c r="D2389" s="115"/>
      <c r="E2389" s="115"/>
      <c r="F2389" s="115"/>
      <c r="H2389" s="115"/>
      <c r="I2389" s="115"/>
      <c r="L2389" s="169"/>
    </row>
    <row r="2390" spans="1:12" x14ac:dyDescent="0.25">
      <c r="A2390" s="169"/>
      <c r="B2390" s="115"/>
      <c r="C2390" s="115"/>
      <c r="D2390" s="115"/>
      <c r="E2390" s="115"/>
      <c r="F2390" s="115"/>
      <c r="H2390" s="115"/>
      <c r="I2390" s="115"/>
      <c r="L2390" s="169"/>
    </row>
    <row r="2391" spans="1:12" x14ac:dyDescent="0.25">
      <c r="A2391" s="169"/>
      <c r="B2391" s="115"/>
      <c r="C2391" s="115"/>
      <c r="D2391" s="115"/>
      <c r="E2391" s="115"/>
      <c r="F2391" s="115"/>
      <c r="H2391" s="115"/>
      <c r="I2391" s="115"/>
      <c r="L2391" s="169"/>
    </row>
    <row r="2392" spans="1:12" x14ac:dyDescent="0.25">
      <c r="A2392" s="169"/>
      <c r="B2392" s="115"/>
      <c r="C2392" s="115"/>
      <c r="D2392" s="115"/>
      <c r="E2392" s="115"/>
      <c r="F2392" s="115"/>
      <c r="H2392" s="115"/>
      <c r="I2392" s="115"/>
      <c r="L2392" s="169"/>
    </row>
    <row r="2393" spans="1:12" x14ac:dyDescent="0.25">
      <c r="A2393" s="169"/>
      <c r="B2393" s="115"/>
      <c r="C2393" s="115"/>
      <c r="D2393" s="115"/>
      <c r="E2393" s="115"/>
      <c r="F2393" s="115"/>
      <c r="H2393" s="115"/>
      <c r="I2393" s="115"/>
      <c r="L2393" s="169"/>
    </row>
    <row r="2394" spans="1:12" x14ac:dyDescent="0.25">
      <c r="A2394" s="169"/>
      <c r="B2394" s="115"/>
      <c r="C2394" s="115"/>
      <c r="D2394" s="115"/>
      <c r="E2394" s="115"/>
      <c r="F2394" s="115"/>
      <c r="H2394" s="115"/>
      <c r="I2394" s="115"/>
      <c r="L2394" s="169"/>
    </row>
    <row r="2395" spans="1:12" x14ac:dyDescent="0.25">
      <c r="A2395" s="169"/>
      <c r="B2395" s="115"/>
      <c r="C2395" s="115"/>
      <c r="D2395" s="115"/>
      <c r="E2395" s="115"/>
      <c r="F2395" s="115"/>
      <c r="H2395" s="115"/>
      <c r="I2395" s="115"/>
      <c r="L2395" s="169"/>
    </row>
    <row r="2396" spans="1:12" x14ac:dyDescent="0.25">
      <c r="A2396" s="169"/>
      <c r="B2396" s="115"/>
      <c r="C2396" s="115"/>
      <c r="D2396" s="115"/>
      <c r="E2396" s="115"/>
      <c r="F2396" s="115"/>
      <c r="H2396" s="115"/>
      <c r="I2396" s="115"/>
      <c r="L2396" s="169"/>
    </row>
    <row r="2397" spans="1:12" x14ac:dyDescent="0.25">
      <c r="A2397" s="169"/>
      <c r="B2397" s="115"/>
      <c r="C2397" s="115"/>
      <c r="D2397" s="115"/>
      <c r="E2397" s="115"/>
      <c r="F2397" s="115"/>
      <c r="H2397" s="115"/>
      <c r="I2397" s="115"/>
      <c r="L2397" s="169"/>
    </row>
    <row r="2398" spans="1:12" x14ac:dyDescent="0.25">
      <c r="A2398" s="169"/>
      <c r="B2398" s="115"/>
      <c r="C2398" s="115"/>
      <c r="D2398" s="115"/>
      <c r="E2398" s="115"/>
      <c r="F2398" s="115"/>
      <c r="H2398" s="115"/>
      <c r="I2398" s="115"/>
      <c r="L2398" s="169"/>
    </row>
    <row r="2399" spans="1:12" x14ac:dyDescent="0.25">
      <c r="A2399" s="169"/>
      <c r="B2399" s="115"/>
      <c r="C2399" s="115"/>
      <c r="D2399" s="115"/>
      <c r="E2399" s="115"/>
      <c r="F2399" s="115"/>
      <c r="H2399" s="115"/>
      <c r="I2399" s="115"/>
      <c r="L2399" s="169"/>
    </row>
    <row r="2400" spans="1:12" x14ac:dyDescent="0.25">
      <c r="A2400" s="169"/>
      <c r="B2400" s="115"/>
      <c r="C2400" s="115"/>
      <c r="D2400" s="115"/>
      <c r="E2400" s="115"/>
      <c r="F2400" s="115"/>
      <c r="H2400" s="115"/>
      <c r="I2400" s="115"/>
      <c r="L2400" s="169"/>
    </row>
    <row r="2401" spans="1:12" x14ac:dyDescent="0.25">
      <c r="A2401" s="169"/>
      <c r="B2401" s="115"/>
      <c r="C2401" s="115"/>
      <c r="D2401" s="115"/>
      <c r="E2401" s="115"/>
      <c r="F2401" s="115"/>
      <c r="H2401" s="115"/>
      <c r="I2401" s="115"/>
      <c r="L2401" s="169"/>
    </row>
    <row r="2402" spans="1:12" x14ac:dyDescent="0.25">
      <c r="A2402" s="169"/>
      <c r="B2402" s="115"/>
      <c r="C2402" s="115"/>
      <c r="D2402" s="115"/>
      <c r="E2402" s="115"/>
      <c r="F2402" s="115"/>
      <c r="H2402" s="115"/>
      <c r="I2402" s="115"/>
      <c r="L2402" s="169"/>
    </row>
    <row r="2403" spans="1:12" x14ac:dyDescent="0.25">
      <c r="A2403" s="169"/>
      <c r="B2403" s="115"/>
      <c r="C2403" s="115"/>
      <c r="D2403" s="115"/>
      <c r="E2403" s="115"/>
      <c r="F2403" s="115"/>
      <c r="H2403" s="115"/>
      <c r="I2403" s="115"/>
      <c r="L2403" s="169"/>
    </row>
    <row r="2404" spans="1:12" x14ac:dyDescent="0.25">
      <c r="A2404" s="169"/>
      <c r="B2404" s="115"/>
      <c r="C2404" s="115"/>
      <c r="D2404" s="115"/>
      <c r="E2404" s="115"/>
      <c r="F2404" s="115"/>
      <c r="H2404" s="115"/>
      <c r="I2404" s="115"/>
      <c r="L2404" s="169"/>
    </row>
    <row r="2405" spans="1:12" x14ac:dyDescent="0.25">
      <c r="A2405" s="169"/>
      <c r="B2405" s="115"/>
      <c r="C2405" s="115"/>
      <c r="D2405" s="115"/>
      <c r="E2405" s="115"/>
      <c r="F2405" s="115"/>
      <c r="H2405" s="115"/>
      <c r="I2405" s="115"/>
      <c r="L2405" s="169"/>
    </row>
    <row r="2406" spans="1:12" x14ac:dyDescent="0.25">
      <c r="A2406" s="169"/>
      <c r="B2406" s="115"/>
      <c r="C2406" s="115"/>
      <c r="D2406" s="115"/>
      <c r="E2406" s="115"/>
      <c r="F2406" s="115"/>
      <c r="H2406" s="115"/>
      <c r="I2406" s="115"/>
      <c r="L2406" s="169"/>
    </row>
    <row r="2407" spans="1:12" x14ac:dyDescent="0.25">
      <c r="A2407" s="169"/>
      <c r="B2407" s="115"/>
      <c r="C2407" s="115"/>
      <c r="D2407" s="115"/>
      <c r="E2407" s="115"/>
      <c r="F2407" s="115"/>
      <c r="H2407" s="115"/>
      <c r="I2407" s="115"/>
      <c r="L2407" s="169"/>
    </row>
    <row r="2408" spans="1:12" x14ac:dyDescent="0.25">
      <c r="A2408" s="169"/>
      <c r="B2408" s="115"/>
      <c r="C2408" s="115"/>
      <c r="D2408" s="115"/>
      <c r="E2408" s="115"/>
      <c r="F2408" s="115"/>
      <c r="H2408" s="115"/>
      <c r="I2408" s="115"/>
      <c r="L2408" s="169"/>
    </row>
    <row r="2409" spans="1:12" x14ac:dyDescent="0.25">
      <c r="A2409" s="169"/>
      <c r="B2409" s="115"/>
      <c r="C2409" s="115"/>
      <c r="D2409" s="115"/>
      <c r="E2409" s="115"/>
      <c r="F2409" s="115"/>
      <c r="H2409" s="115"/>
      <c r="I2409" s="115"/>
      <c r="L2409" s="169"/>
    </row>
    <row r="2410" spans="1:12" x14ac:dyDescent="0.25">
      <c r="A2410" s="169"/>
      <c r="B2410" s="115"/>
      <c r="C2410" s="115"/>
      <c r="D2410" s="115"/>
      <c r="E2410" s="115"/>
      <c r="F2410" s="115"/>
      <c r="H2410" s="115"/>
      <c r="I2410" s="115"/>
      <c r="L2410" s="169"/>
    </row>
    <row r="2411" spans="1:12" x14ac:dyDescent="0.25">
      <c r="A2411" s="169"/>
      <c r="B2411" s="115"/>
      <c r="C2411" s="115"/>
      <c r="D2411" s="115"/>
      <c r="E2411" s="115"/>
      <c r="F2411" s="115"/>
      <c r="H2411" s="115"/>
      <c r="I2411" s="115"/>
      <c r="L2411" s="169"/>
    </row>
    <row r="2412" spans="1:12" x14ac:dyDescent="0.25">
      <c r="A2412" s="169"/>
      <c r="B2412" s="115"/>
      <c r="C2412" s="115"/>
      <c r="D2412" s="115"/>
      <c r="E2412" s="115"/>
      <c r="F2412" s="115"/>
      <c r="H2412" s="115"/>
      <c r="I2412" s="115"/>
      <c r="L2412" s="169"/>
    </row>
    <row r="2413" spans="1:12" x14ac:dyDescent="0.25">
      <c r="A2413" s="169"/>
      <c r="B2413" s="115"/>
      <c r="C2413" s="115"/>
      <c r="D2413" s="115"/>
      <c r="E2413" s="115"/>
      <c r="F2413" s="115"/>
      <c r="H2413" s="115"/>
      <c r="I2413" s="115"/>
      <c r="L2413" s="169"/>
    </row>
    <row r="2414" spans="1:12" x14ac:dyDescent="0.25">
      <c r="A2414" s="169"/>
      <c r="B2414" s="115"/>
      <c r="C2414" s="115"/>
      <c r="D2414" s="115"/>
      <c r="E2414" s="115"/>
      <c r="F2414" s="115"/>
      <c r="H2414" s="115"/>
      <c r="I2414" s="115"/>
      <c r="L2414" s="169"/>
    </row>
    <row r="2415" spans="1:12" x14ac:dyDescent="0.25">
      <c r="A2415" s="169"/>
      <c r="B2415" s="115"/>
      <c r="C2415" s="115"/>
      <c r="D2415" s="115"/>
      <c r="E2415" s="115"/>
      <c r="F2415" s="115"/>
      <c r="H2415" s="115"/>
      <c r="I2415" s="115"/>
      <c r="L2415" s="169"/>
    </row>
    <row r="2416" spans="1:12" x14ac:dyDescent="0.25">
      <c r="A2416" s="169"/>
      <c r="B2416" s="115"/>
      <c r="C2416" s="115"/>
      <c r="D2416" s="115"/>
      <c r="E2416" s="115"/>
      <c r="F2416" s="115"/>
      <c r="H2416" s="115"/>
      <c r="I2416" s="115"/>
      <c r="L2416" s="169"/>
    </row>
    <row r="2417" spans="1:12" x14ac:dyDescent="0.25">
      <c r="A2417" s="169"/>
      <c r="B2417" s="115"/>
      <c r="C2417" s="115"/>
      <c r="D2417" s="115"/>
      <c r="E2417" s="115"/>
      <c r="F2417" s="115"/>
      <c r="H2417" s="115"/>
      <c r="I2417" s="115"/>
      <c r="L2417" s="169"/>
    </row>
    <row r="2418" spans="1:12" x14ac:dyDescent="0.25">
      <c r="A2418" s="169"/>
      <c r="B2418" s="115"/>
      <c r="C2418" s="115"/>
      <c r="D2418" s="115"/>
      <c r="E2418" s="115"/>
      <c r="F2418" s="115"/>
      <c r="H2418" s="115"/>
      <c r="I2418" s="115"/>
      <c r="L2418" s="169"/>
    </row>
    <row r="2419" spans="1:12" x14ac:dyDescent="0.25">
      <c r="A2419" s="169"/>
      <c r="B2419" s="115"/>
      <c r="C2419" s="115"/>
      <c r="D2419" s="115"/>
      <c r="E2419" s="115"/>
      <c r="F2419" s="115"/>
      <c r="H2419" s="115"/>
      <c r="I2419" s="115"/>
      <c r="L2419" s="169"/>
    </row>
    <row r="2420" spans="1:12" x14ac:dyDescent="0.25">
      <c r="A2420" s="169"/>
      <c r="B2420" s="115"/>
      <c r="C2420" s="115"/>
      <c r="D2420" s="115"/>
      <c r="E2420" s="115"/>
      <c r="F2420" s="115"/>
      <c r="H2420" s="115"/>
      <c r="I2420" s="115"/>
      <c r="L2420" s="169"/>
    </row>
    <row r="2421" spans="1:12" x14ac:dyDescent="0.25">
      <c r="A2421" s="169"/>
      <c r="B2421" s="115"/>
      <c r="C2421" s="115"/>
      <c r="D2421" s="115"/>
      <c r="E2421" s="115"/>
      <c r="F2421" s="115"/>
      <c r="H2421" s="115"/>
      <c r="I2421" s="115"/>
      <c r="L2421" s="169"/>
    </row>
    <row r="2422" spans="1:12" x14ac:dyDescent="0.25">
      <c r="A2422" s="169"/>
      <c r="B2422" s="115"/>
      <c r="C2422" s="115"/>
      <c r="D2422" s="115"/>
      <c r="E2422" s="115"/>
      <c r="F2422" s="115"/>
      <c r="H2422" s="115"/>
      <c r="I2422" s="115"/>
      <c r="L2422" s="169"/>
    </row>
    <row r="2423" spans="1:12" x14ac:dyDescent="0.25">
      <c r="A2423" s="169"/>
      <c r="B2423" s="115"/>
      <c r="C2423" s="115"/>
      <c r="D2423" s="115"/>
      <c r="E2423" s="115"/>
      <c r="F2423" s="115"/>
      <c r="H2423" s="115"/>
      <c r="I2423" s="115"/>
      <c r="L2423" s="169"/>
    </row>
    <row r="2424" spans="1:12" x14ac:dyDescent="0.25">
      <c r="A2424" s="169"/>
      <c r="B2424" s="115"/>
      <c r="C2424" s="115"/>
      <c r="D2424" s="115"/>
      <c r="E2424" s="115"/>
      <c r="F2424" s="115"/>
      <c r="H2424" s="115"/>
      <c r="I2424" s="115"/>
      <c r="L2424" s="169"/>
    </row>
    <row r="2425" spans="1:12" x14ac:dyDescent="0.25">
      <c r="A2425" s="169"/>
      <c r="B2425" s="115"/>
      <c r="C2425" s="115"/>
      <c r="D2425" s="115"/>
      <c r="E2425" s="115"/>
      <c r="F2425" s="115"/>
      <c r="H2425" s="115"/>
      <c r="I2425" s="115"/>
      <c r="L2425" s="169"/>
    </row>
    <row r="2426" spans="1:12" x14ac:dyDescent="0.25">
      <c r="A2426" s="169"/>
      <c r="B2426" s="115"/>
      <c r="C2426" s="115"/>
      <c r="D2426" s="115"/>
      <c r="E2426" s="115"/>
      <c r="F2426" s="115"/>
      <c r="H2426" s="115"/>
      <c r="I2426" s="115"/>
      <c r="L2426" s="169"/>
    </row>
    <row r="2427" spans="1:12" x14ac:dyDescent="0.25">
      <c r="A2427" s="169"/>
      <c r="B2427" s="115"/>
      <c r="C2427" s="115"/>
      <c r="D2427" s="115"/>
      <c r="E2427" s="115"/>
      <c r="F2427" s="115"/>
      <c r="H2427" s="115"/>
      <c r="I2427" s="115"/>
      <c r="L2427" s="169"/>
    </row>
    <row r="2428" spans="1:12" x14ac:dyDescent="0.25">
      <c r="A2428" s="169"/>
      <c r="B2428" s="115"/>
      <c r="C2428" s="115"/>
      <c r="D2428" s="115"/>
      <c r="E2428" s="115"/>
      <c r="F2428" s="115"/>
      <c r="H2428" s="115"/>
      <c r="I2428" s="115"/>
      <c r="L2428" s="169"/>
    </row>
    <row r="2429" spans="1:12" x14ac:dyDescent="0.25">
      <c r="A2429" s="169"/>
      <c r="B2429" s="115"/>
      <c r="C2429" s="115"/>
      <c r="D2429" s="115"/>
      <c r="E2429" s="115"/>
      <c r="F2429" s="115"/>
      <c r="H2429" s="115"/>
      <c r="I2429" s="115"/>
      <c r="L2429" s="169"/>
    </row>
    <row r="2430" spans="1:12" x14ac:dyDescent="0.25">
      <c r="A2430" s="169"/>
      <c r="B2430" s="115"/>
      <c r="C2430" s="115"/>
      <c r="D2430" s="115"/>
      <c r="E2430" s="115"/>
      <c r="F2430" s="115"/>
      <c r="H2430" s="115"/>
      <c r="I2430" s="115"/>
      <c r="L2430" s="169"/>
    </row>
    <row r="2431" spans="1:12" x14ac:dyDescent="0.25">
      <c r="A2431" s="169"/>
      <c r="B2431" s="115"/>
      <c r="C2431" s="115"/>
      <c r="D2431" s="115"/>
      <c r="E2431" s="115"/>
      <c r="F2431" s="115"/>
      <c r="H2431" s="115"/>
      <c r="I2431" s="115"/>
      <c r="L2431" s="169"/>
    </row>
    <row r="2432" spans="1:12" x14ac:dyDescent="0.25">
      <c r="A2432" s="169"/>
      <c r="B2432" s="115"/>
      <c r="C2432" s="115"/>
      <c r="D2432" s="115"/>
      <c r="E2432" s="115"/>
      <c r="F2432" s="115"/>
      <c r="H2432" s="115"/>
      <c r="I2432" s="115"/>
      <c r="L2432" s="169"/>
    </row>
    <row r="2433" spans="1:12" x14ac:dyDescent="0.25">
      <c r="A2433" s="169"/>
      <c r="B2433" s="115"/>
      <c r="C2433" s="115"/>
      <c r="D2433" s="115"/>
      <c r="E2433" s="115"/>
      <c r="F2433" s="115"/>
      <c r="H2433" s="115"/>
      <c r="I2433" s="115"/>
      <c r="L2433" s="169"/>
    </row>
    <row r="2434" spans="1:12" x14ac:dyDescent="0.25">
      <c r="A2434" s="169"/>
      <c r="B2434" s="115"/>
      <c r="C2434" s="115"/>
      <c r="D2434" s="115"/>
      <c r="E2434" s="115"/>
      <c r="F2434" s="115"/>
      <c r="H2434" s="115"/>
      <c r="I2434" s="115"/>
      <c r="L2434" s="169"/>
    </row>
    <row r="2435" spans="1:12" x14ac:dyDescent="0.25">
      <c r="A2435" s="169"/>
      <c r="B2435" s="115"/>
      <c r="C2435" s="115"/>
      <c r="D2435" s="115"/>
      <c r="E2435" s="115"/>
      <c r="F2435" s="115"/>
      <c r="H2435" s="115"/>
      <c r="I2435" s="115"/>
      <c r="L2435" s="169"/>
    </row>
    <row r="2436" spans="1:12" x14ac:dyDescent="0.25">
      <c r="A2436" s="169"/>
      <c r="B2436" s="115"/>
      <c r="C2436" s="115"/>
      <c r="D2436" s="115"/>
      <c r="E2436" s="115"/>
      <c r="F2436" s="115"/>
      <c r="H2436" s="115"/>
      <c r="I2436" s="115"/>
      <c r="L2436" s="169"/>
    </row>
    <row r="2437" spans="1:12" x14ac:dyDescent="0.25">
      <c r="A2437" s="169"/>
      <c r="B2437" s="115"/>
      <c r="C2437" s="115"/>
      <c r="D2437" s="115"/>
      <c r="E2437" s="115"/>
      <c r="F2437" s="115"/>
      <c r="H2437" s="115"/>
      <c r="I2437" s="115"/>
      <c r="L2437" s="169"/>
    </row>
    <row r="2438" spans="1:12" x14ac:dyDescent="0.25">
      <c r="A2438" s="169"/>
      <c r="B2438" s="115"/>
      <c r="C2438" s="115"/>
      <c r="D2438" s="115"/>
      <c r="E2438" s="115"/>
      <c r="F2438" s="115"/>
      <c r="H2438" s="115"/>
      <c r="I2438" s="115"/>
      <c r="L2438" s="169"/>
    </row>
    <row r="2439" spans="1:12" x14ac:dyDescent="0.25">
      <c r="A2439" s="169"/>
      <c r="B2439" s="115"/>
      <c r="C2439" s="115"/>
      <c r="D2439" s="115"/>
      <c r="E2439" s="115"/>
      <c r="F2439" s="115"/>
      <c r="H2439" s="115"/>
      <c r="I2439" s="115"/>
      <c r="L2439" s="169"/>
    </row>
    <row r="2440" spans="1:12" x14ac:dyDescent="0.25">
      <c r="A2440" s="169"/>
      <c r="B2440" s="115"/>
      <c r="C2440" s="115"/>
      <c r="D2440" s="115"/>
      <c r="E2440" s="115"/>
      <c r="F2440" s="115"/>
      <c r="H2440" s="115"/>
      <c r="I2440" s="115"/>
      <c r="L2440" s="169"/>
    </row>
    <row r="2441" spans="1:12" x14ac:dyDescent="0.25">
      <c r="A2441" s="169"/>
      <c r="B2441" s="115"/>
      <c r="C2441" s="115"/>
      <c r="D2441" s="115"/>
      <c r="E2441" s="115"/>
      <c r="F2441" s="115"/>
      <c r="H2441" s="115"/>
      <c r="I2441" s="115"/>
      <c r="L2441" s="169"/>
    </row>
    <row r="2442" spans="1:12" x14ac:dyDescent="0.25">
      <c r="A2442" s="169"/>
      <c r="B2442" s="115"/>
      <c r="C2442" s="115"/>
      <c r="D2442" s="115"/>
      <c r="E2442" s="115"/>
      <c r="F2442" s="115"/>
      <c r="H2442" s="115"/>
      <c r="I2442" s="115"/>
      <c r="L2442" s="169"/>
    </row>
    <row r="2443" spans="1:12" x14ac:dyDescent="0.25">
      <c r="A2443" s="169"/>
      <c r="B2443" s="115"/>
      <c r="C2443" s="115"/>
      <c r="D2443" s="115"/>
      <c r="E2443" s="115"/>
      <c r="F2443" s="115"/>
      <c r="H2443" s="115"/>
      <c r="I2443" s="115"/>
      <c r="L2443" s="169"/>
    </row>
    <row r="2444" spans="1:12" x14ac:dyDescent="0.25">
      <c r="A2444" s="169"/>
      <c r="B2444" s="115"/>
      <c r="C2444" s="115"/>
      <c r="D2444" s="115"/>
      <c r="E2444" s="115"/>
      <c r="F2444" s="115"/>
      <c r="H2444" s="115"/>
      <c r="I2444" s="115"/>
      <c r="L2444" s="169"/>
    </row>
    <row r="2445" spans="1:12" x14ac:dyDescent="0.25">
      <c r="A2445" s="169"/>
      <c r="B2445" s="115"/>
      <c r="C2445" s="115"/>
      <c r="D2445" s="115"/>
      <c r="E2445" s="115"/>
      <c r="F2445" s="115"/>
      <c r="H2445" s="115"/>
      <c r="I2445" s="115"/>
      <c r="L2445" s="169"/>
    </row>
    <row r="2446" spans="1:12" x14ac:dyDescent="0.25">
      <c r="A2446" s="169"/>
      <c r="B2446" s="115"/>
      <c r="C2446" s="115"/>
      <c r="D2446" s="115"/>
      <c r="E2446" s="115"/>
      <c r="F2446" s="115"/>
      <c r="H2446" s="115"/>
      <c r="I2446" s="115"/>
      <c r="L2446" s="169"/>
    </row>
    <row r="2447" spans="1:12" x14ac:dyDescent="0.25">
      <c r="A2447" s="169"/>
      <c r="B2447" s="115"/>
      <c r="C2447" s="115"/>
      <c r="D2447" s="115"/>
      <c r="E2447" s="115"/>
      <c r="F2447" s="115"/>
      <c r="H2447" s="115"/>
      <c r="I2447" s="115"/>
      <c r="L2447" s="169"/>
    </row>
    <row r="2448" spans="1:12" x14ac:dyDescent="0.25">
      <c r="A2448" s="169"/>
      <c r="B2448" s="115"/>
      <c r="C2448" s="115"/>
      <c r="D2448" s="115"/>
      <c r="E2448" s="115"/>
      <c r="F2448" s="115"/>
      <c r="H2448" s="115"/>
      <c r="I2448" s="115"/>
      <c r="L2448" s="169"/>
    </row>
    <row r="2449" spans="1:12" x14ac:dyDescent="0.25">
      <c r="A2449" s="169"/>
      <c r="B2449" s="115"/>
      <c r="C2449" s="115"/>
      <c r="D2449" s="115"/>
      <c r="E2449" s="115"/>
      <c r="F2449" s="115"/>
      <c r="H2449" s="115"/>
      <c r="I2449" s="115"/>
      <c r="L2449" s="169"/>
    </row>
    <row r="2450" spans="1:12" x14ac:dyDescent="0.25">
      <c r="A2450" s="169"/>
      <c r="B2450" s="115"/>
      <c r="C2450" s="115"/>
      <c r="D2450" s="115"/>
      <c r="E2450" s="115"/>
      <c r="F2450" s="115"/>
      <c r="H2450" s="115"/>
      <c r="I2450" s="115"/>
      <c r="L2450" s="169"/>
    </row>
    <row r="2451" spans="1:12" x14ac:dyDescent="0.25">
      <c r="A2451" s="169"/>
      <c r="B2451" s="115"/>
      <c r="C2451" s="115"/>
      <c r="D2451" s="115"/>
      <c r="E2451" s="115"/>
      <c r="F2451" s="115"/>
      <c r="H2451" s="115"/>
      <c r="I2451" s="115"/>
      <c r="L2451" s="169"/>
    </row>
    <row r="2452" spans="1:12" x14ac:dyDescent="0.25">
      <c r="A2452" s="169"/>
      <c r="B2452" s="115"/>
      <c r="C2452" s="115"/>
      <c r="D2452" s="115"/>
      <c r="E2452" s="115"/>
      <c r="F2452" s="115"/>
      <c r="H2452" s="115"/>
      <c r="I2452" s="115"/>
      <c r="L2452" s="169"/>
    </row>
    <row r="2453" spans="1:12" x14ac:dyDescent="0.25">
      <c r="A2453" s="169"/>
      <c r="B2453" s="115"/>
      <c r="C2453" s="115"/>
      <c r="D2453" s="115"/>
      <c r="E2453" s="115"/>
      <c r="F2453" s="115"/>
      <c r="H2453" s="115"/>
      <c r="I2453" s="115"/>
      <c r="L2453" s="169"/>
    </row>
    <row r="2454" spans="1:12" x14ac:dyDescent="0.25">
      <c r="A2454" s="169"/>
      <c r="B2454" s="115"/>
      <c r="C2454" s="115"/>
      <c r="D2454" s="115"/>
      <c r="E2454" s="115"/>
      <c r="F2454" s="115"/>
      <c r="H2454" s="115"/>
      <c r="I2454" s="115"/>
      <c r="L2454" s="169"/>
    </row>
    <row r="2455" spans="1:12" x14ac:dyDescent="0.25">
      <c r="A2455" s="169"/>
      <c r="B2455" s="115"/>
      <c r="C2455" s="115"/>
      <c r="D2455" s="115"/>
      <c r="E2455" s="115"/>
      <c r="F2455" s="115"/>
      <c r="H2455" s="115"/>
      <c r="I2455" s="115"/>
      <c r="L2455" s="169"/>
    </row>
    <row r="2456" spans="1:12" x14ac:dyDescent="0.25">
      <c r="A2456" s="169"/>
      <c r="B2456" s="115"/>
      <c r="C2456" s="115"/>
      <c r="D2456" s="115"/>
      <c r="E2456" s="115"/>
      <c r="F2456" s="115"/>
      <c r="H2456" s="115"/>
      <c r="I2456" s="115"/>
      <c r="L2456" s="169"/>
    </row>
    <row r="2457" spans="1:12" x14ac:dyDescent="0.25">
      <c r="A2457" s="169"/>
      <c r="B2457" s="115"/>
      <c r="C2457" s="115"/>
      <c r="D2457" s="115"/>
      <c r="E2457" s="115"/>
      <c r="F2457" s="115"/>
      <c r="H2457" s="115"/>
      <c r="I2457" s="115"/>
      <c r="L2457" s="169"/>
    </row>
    <row r="2458" spans="1:12" x14ac:dyDescent="0.25">
      <c r="A2458" s="169"/>
      <c r="B2458" s="115"/>
      <c r="C2458" s="115"/>
      <c r="D2458" s="115"/>
      <c r="E2458" s="115"/>
      <c r="F2458" s="115"/>
      <c r="H2458" s="115"/>
      <c r="I2458" s="115"/>
      <c r="L2458" s="169"/>
    </row>
    <row r="2459" spans="1:12" x14ac:dyDescent="0.25">
      <c r="A2459" s="169"/>
      <c r="B2459" s="115"/>
      <c r="C2459" s="115"/>
      <c r="D2459" s="115"/>
      <c r="E2459" s="115"/>
      <c r="F2459" s="115"/>
      <c r="H2459" s="115"/>
      <c r="I2459" s="115"/>
      <c r="L2459" s="169"/>
    </row>
    <row r="2460" spans="1:12" x14ac:dyDescent="0.25">
      <c r="A2460" s="169"/>
      <c r="B2460" s="115"/>
      <c r="C2460" s="115"/>
      <c r="D2460" s="115"/>
      <c r="E2460" s="115"/>
      <c r="F2460" s="115"/>
      <c r="H2460" s="115"/>
      <c r="I2460" s="115"/>
      <c r="L2460" s="169"/>
    </row>
    <row r="2461" spans="1:12" x14ac:dyDescent="0.25">
      <c r="A2461" s="169"/>
      <c r="B2461" s="115"/>
      <c r="C2461" s="115"/>
      <c r="D2461" s="115"/>
      <c r="E2461" s="115"/>
      <c r="F2461" s="115"/>
      <c r="H2461" s="115"/>
      <c r="I2461" s="115"/>
      <c r="L2461" s="169"/>
    </row>
    <row r="2462" spans="1:12" x14ac:dyDescent="0.25">
      <c r="A2462" s="169"/>
      <c r="B2462" s="115"/>
      <c r="C2462" s="115"/>
      <c r="D2462" s="115"/>
      <c r="E2462" s="115"/>
      <c r="F2462" s="115"/>
      <c r="H2462" s="115"/>
      <c r="I2462" s="115"/>
      <c r="L2462" s="169"/>
    </row>
    <row r="2463" spans="1:12" x14ac:dyDescent="0.25">
      <c r="A2463" s="169"/>
      <c r="B2463" s="115"/>
      <c r="C2463" s="115"/>
      <c r="D2463" s="115"/>
      <c r="E2463" s="115"/>
      <c r="F2463" s="115"/>
      <c r="H2463" s="115"/>
      <c r="I2463" s="115"/>
      <c r="L2463" s="169"/>
    </row>
    <row r="2464" spans="1:12" x14ac:dyDescent="0.25">
      <c r="A2464" s="169"/>
      <c r="B2464" s="115"/>
      <c r="C2464" s="115"/>
      <c r="D2464" s="115"/>
      <c r="E2464" s="115"/>
      <c r="F2464" s="115"/>
      <c r="H2464" s="115"/>
      <c r="I2464" s="115"/>
      <c r="L2464" s="169"/>
    </row>
    <row r="2465" spans="1:12" x14ac:dyDescent="0.25">
      <c r="A2465" s="169"/>
      <c r="B2465" s="115"/>
      <c r="C2465" s="115"/>
      <c r="D2465" s="115"/>
      <c r="E2465" s="115"/>
      <c r="F2465" s="115"/>
      <c r="H2465" s="115"/>
      <c r="I2465" s="115"/>
      <c r="L2465" s="169"/>
    </row>
    <row r="2466" spans="1:12" x14ac:dyDescent="0.25">
      <c r="A2466" s="169"/>
      <c r="B2466" s="115"/>
      <c r="C2466" s="115"/>
      <c r="D2466" s="115"/>
      <c r="E2466" s="115"/>
      <c r="F2466" s="115"/>
      <c r="H2466" s="115"/>
      <c r="I2466" s="115"/>
      <c r="L2466" s="169"/>
    </row>
    <row r="2467" spans="1:12" x14ac:dyDescent="0.25">
      <c r="A2467" s="169"/>
      <c r="B2467" s="115"/>
      <c r="C2467" s="115"/>
      <c r="D2467" s="115"/>
      <c r="E2467" s="115"/>
      <c r="F2467" s="115"/>
      <c r="H2467" s="115"/>
      <c r="I2467" s="115"/>
      <c r="L2467" s="169"/>
    </row>
    <row r="2468" spans="1:12" x14ac:dyDescent="0.25">
      <c r="A2468" s="169"/>
      <c r="B2468" s="115"/>
      <c r="C2468" s="115"/>
      <c r="D2468" s="115"/>
      <c r="E2468" s="115"/>
      <c r="F2468" s="115"/>
      <c r="H2468" s="115"/>
      <c r="I2468" s="115"/>
      <c r="L2468" s="169"/>
    </row>
    <row r="2469" spans="1:12" x14ac:dyDescent="0.25">
      <c r="A2469" s="169"/>
      <c r="B2469" s="115"/>
      <c r="C2469" s="115"/>
      <c r="D2469" s="115"/>
      <c r="E2469" s="115"/>
      <c r="F2469" s="115"/>
      <c r="H2469" s="115"/>
      <c r="I2469" s="115"/>
      <c r="L2469" s="169"/>
    </row>
    <row r="2470" spans="1:12" x14ac:dyDescent="0.25">
      <c r="A2470" s="169"/>
      <c r="B2470" s="115"/>
      <c r="C2470" s="115"/>
      <c r="D2470" s="115"/>
      <c r="E2470" s="115"/>
      <c r="F2470" s="115"/>
      <c r="H2470" s="115"/>
      <c r="I2470" s="115"/>
      <c r="L2470" s="169"/>
    </row>
    <row r="2471" spans="1:12" x14ac:dyDescent="0.25">
      <c r="A2471" s="169"/>
      <c r="B2471" s="115"/>
      <c r="C2471" s="115"/>
      <c r="D2471" s="115"/>
      <c r="E2471" s="115"/>
      <c r="F2471" s="115"/>
      <c r="H2471" s="115"/>
      <c r="I2471" s="115"/>
      <c r="L2471" s="169"/>
    </row>
    <row r="2472" spans="1:12" x14ac:dyDescent="0.25">
      <c r="A2472" s="169"/>
      <c r="B2472" s="115"/>
      <c r="C2472" s="115"/>
      <c r="D2472" s="115"/>
      <c r="E2472" s="115"/>
      <c r="F2472" s="115"/>
      <c r="H2472" s="115"/>
      <c r="I2472" s="115"/>
      <c r="L2472" s="169"/>
    </row>
    <row r="2473" spans="1:12" x14ac:dyDescent="0.25">
      <c r="A2473" s="169"/>
      <c r="B2473" s="115"/>
      <c r="C2473" s="115"/>
      <c r="D2473" s="115"/>
      <c r="E2473" s="115"/>
      <c r="F2473" s="115"/>
      <c r="H2473" s="115"/>
      <c r="I2473" s="115"/>
      <c r="L2473" s="169"/>
    </row>
    <row r="2474" spans="1:12" x14ac:dyDescent="0.25">
      <c r="A2474" s="169"/>
      <c r="B2474" s="115"/>
      <c r="C2474" s="115"/>
      <c r="D2474" s="115"/>
      <c r="E2474" s="115"/>
      <c r="F2474" s="115"/>
      <c r="H2474" s="115"/>
      <c r="I2474" s="115"/>
      <c r="L2474" s="169"/>
    </row>
    <row r="2475" spans="1:12" x14ac:dyDescent="0.25">
      <c r="A2475" s="169"/>
      <c r="B2475" s="115"/>
      <c r="C2475" s="115"/>
      <c r="D2475" s="115"/>
      <c r="E2475" s="115"/>
      <c r="F2475" s="115"/>
      <c r="H2475" s="115"/>
      <c r="I2475" s="115"/>
      <c r="L2475" s="169"/>
    </row>
    <row r="2476" spans="1:12" x14ac:dyDescent="0.25">
      <c r="A2476" s="169"/>
      <c r="B2476" s="115"/>
      <c r="C2476" s="115"/>
      <c r="D2476" s="115"/>
      <c r="E2476" s="115"/>
      <c r="F2476" s="115"/>
      <c r="H2476" s="115"/>
      <c r="I2476" s="115"/>
      <c r="L2476" s="169"/>
    </row>
    <row r="2477" spans="1:12" x14ac:dyDescent="0.25">
      <c r="A2477" s="169"/>
      <c r="B2477" s="115"/>
      <c r="C2477" s="115"/>
      <c r="D2477" s="115"/>
      <c r="E2477" s="115"/>
      <c r="F2477" s="115"/>
      <c r="H2477" s="115"/>
      <c r="I2477" s="115"/>
      <c r="L2477" s="169"/>
    </row>
    <row r="2478" spans="1:12" x14ac:dyDescent="0.25">
      <c r="A2478" s="169"/>
      <c r="B2478" s="115"/>
      <c r="C2478" s="115"/>
      <c r="D2478" s="115"/>
      <c r="E2478" s="115"/>
      <c r="F2478" s="115"/>
      <c r="H2478" s="115"/>
      <c r="I2478" s="115"/>
      <c r="L2478" s="169"/>
    </row>
    <row r="2479" spans="1:12" x14ac:dyDescent="0.25">
      <c r="A2479" s="169"/>
      <c r="B2479" s="115"/>
      <c r="C2479" s="115"/>
      <c r="D2479" s="115"/>
      <c r="E2479" s="115"/>
      <c r="F2479" s="115"/>
      <c r="H2479" s="115"/>
      <c r="I2479" s="115"/>
      <c r="L2479" s="169"/>
    </row>
    <row r="2480" spans="1:12" x14ac:dyDescent="0.25">
      <c r="A2480" s="169"/>
      <c r="B2480" s="115"/>
      <c r="C2480" s="115"/>
      <c r="D2480" s="115"/>
      <c r="E2480" s="115"/>
      <c r="F2480" s="115"/>
      <c r="H2480" s="115"/>
      <c r="I2480" s="115"/>
      <c r="L2480" s="169"/>
    </row>
    <row r="2481" spans="1:12" x14ac:dyDescent="0.25">
      <c r="A2481" s="169"/>
      <c r="B2481" s="115"/>
      <c r="C2481" s="115"/>
      <c r="D2481" s="115"/>
      <c r="E2481" s="115"/>
      <c r="F2481" s="115"/>
      <c r="H2481" s="115"/>
      <c r="I2481" s="115"/>
      <c r="L2481" s="169"/>
    </row>
    <row r="2482" spans="1:12" x14ac:dyDescent="0.25">
      <c r="A2482" s="169"/>
      <c r="B2482" s="115"/>
      <c r="C2482" s="115"/>
      <c r="D2482" s="115"/>
      <c r="E2482" s="115"/>
      <c r="F2482" s="115"/>
      <c r="H2482" s="115"/>
      <c r="I2482" s="115"/>
      <c r="L2482" s="169"/>
    </row>
    <row r="2483" spans="1:12" x14ac:dyDescent="0.25">
      <c r="A2483" s="169"/>
      <c r="B2483" s="115"/>
      <c r="C2483" s="115"/>
      <c r="D2483" s="115"/>
      <c r="E2483" s="115"/>
      <c r="F2483" s="115"/>
      <c r="H2483" s="115"/>
      <c r="I2483" s="115"/>
      <c r="L2483" s="169"/>
    </row>
    <row r="2484" spans="1:12" x14ac:dyDescent="0.25">
      <c r="A2484" s="169"/>
      <c r="B2484" s="115"/>
      <c r="C2484" s="115"/>
      <c r="D2484" s="115"/>
      <c r="E2484" s="115"/>
      <c r="F2484" s="115"/>
      <c r="H2484" s="115"/>
      <c r="I2484" s="115"/>
      <c r="L2484" s="169"/>
    </row>
    <row r="2485" spans="1:12" x14ac:dyDescent="0.25">
      <c r="A2485" s="169"/>
      <c r="B2485" s="115"/>
      <c r="C2485" s="115"/>
      <c r="D2485" s="115"/>
      <c r="E2485" s="115"/>
      <c r="F2485" s="115"/>
      <c r="H2485" s="115"/>
      <c r="I2485" s="115"/>
      <c r="L2485" s="169"/>
    </row>
    <row r="2486" spans="1:12" x14ac:dyDescent="0.25">
      <c r="A2486" s="169"/>
      <c r="B2486" s="115"/>
      <c r="C2486" s="115"/>
      <c r="D2486" s="115"/>
      <c r="E2486" s="115"/>
      <c r="F2486" s="115"/>
      <c r="H2486" s="115"/>
      <c r="I2486" s="115"/>
      <c r="L2486" s="169"/>
    </row>
    <row r="2487" spans="1:12" x14ac:dyDescent="0.25">
      <c r="A2487" s="169"/>
      <c r="B2487" s="115"/>
      <c r="C2487" s="115"/>
      <c r="D2487" s="115"/>
      <c r="E2487" s="115"/>
      <c r="F2487" s="115"/>
      <c r="H2487" s="115"/>
      <c r="I2487" s="115"/>
      <c r="L2487" s="169"/>
    </row>
    <row r="2488" spans="1:12" x14ac:dyDescent="0.25">
      <c r="A2488" s="169"/>
      <c r="B2488" s="115"/>
      <c r="C2488" s="115"/>
      <c r="D2488" s="115"/>
      <c r="E2488" s="115"/>
      <c r="F2488" s="115"/>
      <c r="H2488" s="115"/>
      <c r="I2488" s="115"/>
      <c r="L2488" s="169"/>
    </row>
    <row r="2489" spans="1:12" x14ac:dyDescent="0.25">
      <c r="A2489" s="169"/>
      <c r="B2489" s="115"/>
      <c r="C2489" s="115"/>
      <c r="D2489" s="115"/>
      <c r="E2489" s="115"/>
      <c r="F2489" s="115"/>
      <c r="H2489" s="115"/>
      <c r="I2489" s="115"/>
      <c r="L2489" s="169"/>
    </row>
    <row r="2490" spans="1:12" x14ac:dyDescent="0.25">
      <c r="A2490" s="169"/>
      <c r="B2490" s="115"/>
      <c r="C2490" s="115"/>
      <c r="D2490" s="115"/>
      <c r="E2490" s="115"/>
      <c r="F2490" s="115"/>
      <c r="H2490" s="115"/>
      <c r="I2490" s="115"/>
      <c r="L2490" s="169"/>
    </row>
    <row r="2491" spans="1:12" x14ac:dyDescent="0.25">
      <c r="A2491" s="169"/>
      <c r="B2491" s="115"/>
      <c r="C2491" s="115"/>
      <c r="D2491" s="115"/>
      <c r="E2491" s="115"/>
      <c r="F2491" s="115"/>
      <c r="H2491" s="115"/>
      <c r="I2491" s="115"/>
      <c r="L2491" s="169"/>
    </row>
    <row r="2492" spans="1:12" x14ac:dyDescent="0.25">
      <c r="A2492" s="169"/>
      <c r="B2492" s="115"/>
      <c r="C2492" s="115"/>
      <c r="D2492" s="115"/>
      <c r="E2492" s="115"/>
      <c r="F2492" s="115"/>
      <c r="H2492" s="115"/>
      <c r="I2492" s="115"/>
      <c r="L2492" s="169"/>
    </row>
    <row r="2493" spans="1:12" x14ac:dyDescent="0.25">
      <c r="A2493" s="169"/>
      <c r="B2493" s="115"/>
      <c r="C2493" s="115"/>
      <c r="D2493" s="115"/>
      <c r="E2493" s="115"/>
      <c r="F2493" s="115"/>
      <c r="H2493" s="115"/>
      <c r="I2493" s="115"/>
      <c r="L2493" s="169"/>
    </row>
    <row r="2494" spans="1:12" x14ac:dyDescent="0.25">
      <c r="A2494" s="169"/>
      <c r="B2494" s="115"/>
      <c r="C2494" s="115"/>
      <c r="D2494" s="115"/>
      <c r="E2494" s="115"/>
      <c r="F2494" s="115"/>
      <c r="H2494" s="115"/>
      <c r="I2494" s="115"/>
      <c r="L2494" s="169"/>
    </row>
    <row r="2495" spans="1:12" x14ac:dyDescent="0.25">
      <c r="A2495" s="169"/>
      <c r="B2495" s="115"/>
      <c r="C2495" s="115"/>
      <c r="D2495" s="115"/>
      <c r="E2495" s="115"/>
      <c r="F2495" s="115"/>
      <c r="H2495" s="115"/>
      <c r="I2495" s="115"/>
      <c r="L2495" s="169"/>
    </row>
    <row r="2496" spans="1:12" x14ac:dyDescent="0.25">
      <c r="A2496" s="169"/>
      <c r="B2496" s="115"/>
      <c r="C2496" s="115"/>
      <c r="D2496" s="115"/>
      <c r="E2496" s="115"/>
      <c r="F2496" s="115"/>
      <c r="H2496" s="115"/>
      <c r="I2496" s="115"/>
      <c r="L2496" s="169"/>
    </row>
    <row r="2497" spans="1:18" x14ac:dyDescent="0.25">
      <c r="A2497" s="169"/>
      <c r="B2497" s="115"/>
      <c r="C2497" s="115"/>
      <c r="D2497" s="115"/>
      <c r="E2497" s="115"/>
      <c r="F2497" s="115"/>
      <c r="H2497" s="115"/>
      <c r="I2497" s="115"/>
      <c r="L2497" s="169"/>
    </row>
    <row r="2498" spans="1:18" x14ac:dyDescent="0.25">
      <c r="A2498" s="169"/>
      <c r="B2498" s="115"/>
      <c r="C2498" s="115"/>
      <c r="D2498" s="115"/>
      <c r="E2498" s="115"/>
      <c r="F2498" s="115"/>
      <c r="H2498" s="115"/>
      <c r="I2498" s="115"/>
      <c r="L2498" s="169"/>
    </row>
    <row r="2499" spans="1:18" x14ac:dyDescent="0.25">
      <c r="A2499" s="169"/>
      <c r="B2499" s="115"/>
      <c r="C2499" s="115"/>
      <c r="D2499" s="115"/>
      <c r="E2499" s="115"/>
      <c r="F2499" s="115"/>
      <c r="H2499" s="115"/>
      <c r="I2499" s="115"/>
      <c r="L2499" s="169"/>
    </row>
    <row r="2500" spans="1:18" x14ac:dyDescent="0.25">
      <c r="A2500" s="169"/>
      <c r="B2500" s="115"/>
      <c r="C2500" s="115"/>
      <c r="D2500" s="115"/>
      <c r="E2500" s="115"/>
      <c r="F2500" s="115"/>
      <c r="H2500" s="115"/>
      <c r="I2500" s="115"/>
      <c r="L2500" s="169"/>
    </row>
    <row r="2501" spans="1:18" x14ac:dyDescent="0.25">
      <c r="A2501" s="169">
        <v>45686</v>
      </c>
      <c r="B2501" s="115">
        <v>1145.2</v>
      </c>
      <c r="C2501" s="115">
        <v>1141.25</v>
      </c>
      <c r="D2501" s="115">
        <v>1103.29</v>
      </c>
      <c r="E2501" s="115">
        <v>1119.3499999999999</v>
      </c>
      <c r="F2501" s="115">
        <v>5706.25</v>
      </c>
      <c r="G2501">
        <v>14550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45687</v>
      </c>
      <c r="B2502" s="115">
        <v>1152.78</v>
      </c>
      <c r="C2502" s="115">
        <v>1120.04</v>
      </c>
      <c r="D2502" s="115">
        <v>1116.81</v>
      </c>
      <c r="E2502" s="115">
        <v>1151.22</v>
      </c>
      <c r="F2502" s="115">
        <v>5600.2</v>
      </c>
      <c r="G2502">
        <v>10162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45688</v>
      </c>
      <c r="B2503" s="115">
        <v>1151.3499999999999</v>
      </c>
      <c r="C2503" s="115">
        <v>1146.97</v>
      </c>
      <c r="D2503" s="115">
        <v>1116.75</v>
      </c>
      <c r="E2503" s="115">
        <v>1129.67</v>
      </c>
      <c r="F2503" s="115">
        <v>5734.85</v>
      </c>
      <c r="G2503">
        <v>11946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45689</v>
      </c>
      <c r="B2504" s="115">
        <v>1164.2</v>
      </c>
      <c r="C2504" s="115">
        <v>1152.67</v>
      </c>
      <c r="D2504" s="115">
        <v>1129.0899999999999</v>
      </c>
      <c r="E2504" s="115">
        <v>1158.97</v>
      </c>
      <c r="F2504" s="115">
        <v>5763.35</v>
      </c>
      <c r="G2504">
        <v>9590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45691</v>
      </c>
      <c r="B2505" s="115">
        <v>1152.6400000000001</v>
      </c>
      <c r="C2505" s="115">
        <v>1136.3</v>
      </c>
      <c r="D2505" s="115">
        <v>1118.18</v>
      </c>
      <c r="E2505" s="115">
        <v>1152.6400000000001</v>
      </c>
      <c r="F2505" s="115">
        <v>5681.5</v>
      </c>
      <c r="G2505">
        <v>6497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45692</v>
      </c>
      <c r="B2506" s="115">
        <v>1177.5999999999999</v>
      </c>
      <c r="C2506" s="115">
        <v>1171.24</v>
      </c>
      <c r="D2506" s="115">
        <v>1128.2</v>
      </c>
      <c r="E2506" s="115">
        <v>1143</v>
      </c>
      <c r="F2506" s="115">
        <v>5856.2</v>
      </c>
      <c r="G2506">
        <v>18369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45693</v>
      </c>
      <c r="B2507" s="115">
        <v>1224.97</v>
      </c>
      <c r="C2507" s="115">
        <v>1219.21</v>
      </c>
      <c r="D2507" s="115">
        <v>1187.99</v>
      </c>
      <c r="E2507" s="115">
        <v>1188.06</v>
      </c>
      <c r="F2507" s="115">
        <v>6096.05</v>
      </c>
      <c r="G2507">
        <v>14646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45694</v>
      </c>
      <c r="B2508" s="115">
        <v>1238</v>
      </c>
      <c r="C2508" s="115">
        <v>1205.32</v>
      </c>
      <c r="D2508" s="115">
        <v>1201.98</v>
      </c>
      <c r="E2508" s="115">
        <v>1223.6500000000001</v>
      </c>
      <c r="F2508" s="115">
        <v>6026.6</v>
      </c>
      <c r="G2508">
        <v>7143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45695</v>
      </c>
      <c r="B2509" s="115">
        <v>1222.5999999999999</v>
      </c>
      <c r="C2509" s="115">
        <v>1200.1099999999999</v>
      </c>
      <c r="D2509" s="115">
        <v>1191.23</v>
      </c>
      <c r="E2509" s="115">
        <v>1215.31</v>
      </c>
      <c r="F2509" s="115">
        <v>6000.55</v>
      </c>
      <c r="G2509">
        <v>9501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45698</v>
      </c>
      <c r="B2510" s="115">
        <v>1201.23</v>
      </c>
      <c r="C2510" s="115">
        <v>1158.79</v>
      </c>
      <c r="D2510" s="115">
        <v>1150.2</v>
      </c>
      <c r="E2510" s="115">
        <v>1196.76</v>
      </c>
      <c r="F2510" s="115">
        <v>5793.95</v>
      </c>
      <c r="G2510">
        <v>6882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45699</v>
      </c>
      <c r="B2511" s="115">
        <v>1152.01</v>
      </c>
      <c r="C2511" s="115">
        <v>1098.07</v>
      </c>
      <c r="D2511" s="115">
        <v>1083.26</v>
      </c>
      <c r="E2511" s="115">
        <v>1152.01</v>
      </c>
      <c r="F2511" s="115">
        <v>5490.35</v>
      </c>
      <c r="G2511">
        <v>19993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45700</v>
      </c>
      <c r="B2512" s="115">
        <v>1134</v>
      </c>
      <c r="C2512" s="115">
        <v>1109.8399999999999</v>
      </c>
      <c r="D2512" s="115">
        <v>1070</v>
      </c>
      <c r="E2512" s="115">
        <v>1099.6099999999999</v>
      </c>
      <c r="F2512" s="115">
        <v>5549.2</v>
      </c>
      <c r="G2512">
        <v>12955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45701</v>
      </c>
      <c r="B2513" s="115">
        <v>1151.75</v>
      </c>
      <c r="C2513" s="115">
        <v>1122.07</v>
      </c>
      <c r="D2513" s="115">
        <v>1108.8900000000001</v>
      </c>
      <c r="E2513" s="115">
        <v>1122.28</v>
      </c>
      <c r="F2513" s="115">
        <v>5610.35</v>
      </c>
      <c r="G2513">
        <v>9423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45702</v>
      </c>
      <c r="B2514" s="115">
        <v>1133.5999999999999</v>
      </c>
      <c r="C2514" s="115">
        <v>1088.6099999999999</v>
      </c>
      <c r="D2514" s="115">
        <v>1076.78</v>
      </c>
      <c r="E2514" s="115">
        <v>1124.6099999999999</v>
      </c>
      <c r="F2514" s="115">
        <v>5443.05</v>
      </c>
      <c r="G2514">
        <v>12212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45705</v>
      </c>
      <c r="B2515" s="115">
        <v>1113.3399999999999</v>
      </c>
      <c r="C2515" s="115">
        <v>1109.3800000000001</v>
      </c>
      <c r="D2515" s="115">
        <v>1056.99</v>
      </c>
      <c r="E2515" s="115">
        <v>1080.01</v>
      </c>
      <c r="F2515" s="115">
        <v>5546.9</v>
      </c>
      <c r="G2515">
        <v>8657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45706</v>
      </c>
      <c r="B2516" s="115">
        <v>1112.51</v>
      </c>
      <c r="C2516" s="115">
        <v>1083.8699999999999</v>
      </c>
      <c r="D2516" s="115">
        <v>1072.5999999999999</v>
      </c>
      <c r="E2516" s="115">
        <v>1103.49</v>
      </c>
      <c r="F2516" s="115">
        <v>5419.35</v>
      </c>
      <c r="G2516">
        <v>10646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45707</v>
      </c>
      <c r="B2517" s="115">
        <v>1134.6300000000001</v>
      </c>
      <c r="C2517" s="115">
        <v>1126.6400000000001</v>
      </c>
      <c r="D2517" s="115">
        <v>1076.49</v>
      </c>
      <c r="E2517" s="115">
        <v>1082.8</v>
      </c>
      <c r="F2517" s="115">
        <v>5633.2</v>
      </c>
      <c r="G2517">
        <v>8831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45708</v>
      </c>
      <c r="B2518" s="115">
        <v>1147.6199999999999</v>
      </c>
      <c r="C2518" s="115">
        <v>1137.49</v>
      </c>
      <c r="D2518" s="115">
        <v>1119.31</v>
      </c>
      <c r="E2518" s="115">
        <v>1129.92</v>
      </c>
      <c r="F2518" s="115">
        <v>5687.45</v>
      </c>
      <c r="G2518">
        <v>5713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45709</v>
      </c>
      <c r="B2519" s="115">
        <v>1154.97</v>
      </c>
      <c r="C2519" s="115">
        <v>1116.67</v>
      </c>
      <c r="D2519" s="115">
        <v>1100.68</v>
      </c>
      <c r="E2519" s="115">
        <v>1135</v>
      </c>
      <c r="F2519" s="115">
        <v>5583.35</v>
      </c>
      <c r="G2519">
        <v>5178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45712</v>
      </c>
      <c r="B2520" s="115">
        <v>1114.8</v>
      </c>
      <c r="C2520" s="115">
        <v>1107.8399999999999</v>
      </c>
      <c r="D2520" s="115">
        <v>1094.81</v>
      </c>
      <c r="E2520" s="115">
        <v>1100.2</v>
      </c>
      <c r="F2520" s="115">
        <v>5539.2</v>
      </c>
      <c r="G2520">
        <v>3014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45713</v>
      </c>
      <c r="B2521" s="115">
        <v>1124.3900000000001</v>
      </c>
      <c r="C2521" s="115">
        <v>1100.47</v>
      </c>
      <c r="D2521" s="115">
        <v>1096.99</v>
      </c>
      <c r="E2521" s="115">
        <v>1111.82</v>
      </c>
      <c r="F2521" s="115">
        <v>5502.35</v>
      </c>
      <c r="G2521">
        <v>4424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45715</v>
      </c>
      <c r="B2522" s="115">
        <v>1103.3800000000001</v>
      </c>
      <c r="C2522" s="115">
        <v>1073.22</v>
      </c>
      <c r="D2522" s="115">
        <v>1065.69</v>
      </c>
      <c r="E2522" s="115">
        <v>1100.03</v>
      </c>
      <c r="F2522" s="115">
        <v>5366.1</v>
      </c>
      <c r="G2522">
        <v>14115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45716</v>
      </c>
      <c r="B2523" s="115">
        <v>1077.7</v>
      </c>
      <c r="C2523" s="115">
        <v>998.96</v>
      </c>
      <c r="D2523" s="115">
        <v>990</v>
      </c>
      <c r="E2523" s="115">
        <v>1063.8599999999999</v>
      </c>
      <c r="F2523" s="115">
        <v>4994.8</v>
      </c>
      <c r="G2523">
        <v>16268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45719</v>
      </c>
      <c r="B2524" s="115">
        <v>1007.82</v>
      </c>
      <c r="C2524" s="115">
        <v>942.74</v>
      </c>
      <c r="D2524" s="115">
        <v>938</v>
      </c>
      <c r="E2524" s="115">
        <v>999.01</v>
      </c>
      <c r="F2524" s="115">
        <v>4713.7</v>
      </c>
      <c r="G2524">
        <v>45820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45720</v>
      </c>
      <c r="B2525" s="115">
        <v>940.33</v>
      </c>
      <c r="C2525" s="115">
        <v>924.01</v>
      </c>
      <c r="D2525" s="115">
        <v>910.98</v>
      </c>
      <c r="E2525" s="115">
        <v>922.01</v>
      </c>
      <c r="F2525" s="115">
        <v>4620.05</v>
      </c>
      <c r="G2525">
        <v>17975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45721</v>
      </c>
      <c r="B2526" s="115">
        <v>951.31</v>
      </c>
      <c r="C2526" s="115">
        <v>940.65</v>
      </c>
      <c r="D2526" s="115">
        <v>906</v>
      </c>
      <c r="E2526" s="115">
        <v>923.94</v>
      </c>
      <c r="F2526" s="115">
        <v>4703.25</v>
      </c>
      <c r="G2526">
        <v>20104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45722</v>
      </c>
      <c r="B2527" s="115">
        <v>962.99</v>
      </c>
      <c r="C2527" s="115">
        <v>932.21</v>
      </c>
      <c r="D2527" s="115">
        <v>929.04</v>
      </c>
      <c r="E2527" s="115">
        <v>948.2</v>
      </c>
      <c r="F2527" s="115">
        <v>4661.05</v>
      </c>
      <c r="G2527">
        <v>8782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45723</v>
      </c>
      <c r="B2528" s="115">
        <v>953.85</v>
      </c>
      <c r="C2528" s="115">
        <v>932.63</v>
      </c>
      <c r="D2528" s="115">
        <v>927.16</v>
      </c>
      <c r="E2528" s="115">
        <v>929.06</v>
      </c>
      <c r="F2528" s="115">
        <v>4663.1499999999996</v>
      </c>
      <c r="G2528">
        <v>9108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45726</v>
      </c>
      <c r="B2529" s="115">
        <v>946.31</v>
      </c>
      <c r="C2529" s="115">
        <v>902.54</v>
      </c>
      <c r="D2529" s="115">
        <v>897</v>
      </c>
      <c r="E2529" s="115">
        <v>933.03</v>
      </c>
      <c r="F2529" s="115">
        <v>4512.7</v>
      </c>
      <c r="G2529">
        <v>10192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45727</v>
      </c>
      <c r="B2530" s="115">
        <v>941.39</v>
      </c>
      <c r="C2530" s="115">
        <v>938.05</v>
      </c>
      <c r="D2530" s="115">
        <v>882.02</v>
      </c>
      <c r="E2530" s="115">
        <v>888.94</v>
      </c>
      <c r="F2530" s="115">
        <v>4690.25</v>
      </c>
      <c r="G2530">
        <v>8696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45728</v>
      </c>
      <c r="B2531" s="115">
        <v>959.2</v>
      </c>
      <c r="C2531" s="115">
        <v>954.54</v>
      </c>
      <c r="D2531" s="115">
        <v>931.85</v>
      </c>
      <c r="E2531" s="115">
        <v>954.32</v>
      </c>
      <c r="F2531" s="115">
        <v>4772.7</v>
      </c>
      <c r="G2531">
        <v>9361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45729</v>
      </c>
      <c r="B2532" s="115">
        <v>969.11</v>
      </c>
      <c r="C2532" s="115">
        <v>961.78</v>
      </c>
      <c r="D2532" s="115">
        <v>927.86</v>
      </c>
      <c r="E2532" s="115">
        <v>942.24</v>
      </c>
      <c r="F2532" s="115">
        <v>4808.8999999999996</v>
      </c>
      <c r="G2532">
        <v>12251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45733</v>
      </c>
      <c r="B2533" s="115">
        <v>1011</v>
      </c>
      <c r="C2533" s="115">
        <v>991.69</v>
      </c>
      <c r="D2533" s="115">
        <v>961.78</v>
      </c>
      <c r="E2533" s="115">
        <v>961.81</v>
      </c>
      <c r="F2533" s="115">
        <v>4958.45</v>
      </c>
      <c r="G2533">
        <v>22561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45734</v>
      </c>
      <c r="B2534" s="115">
        <v>1026.5999999999999</v>
      </c>
      <c r="C2534" s="115">
        <v>1021.29</v>
      </c>
      <c r="D2534" s="115">
        <v>995.53</v>
      </c>
      <c r="E2534" s="115">
        <v>999.8</v>
      </c>
      <c r="F2534" s="115">
        <v>5106.45</v>
      </c>
      <c r="G2534">
        <v>13951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45735</v>
      </c>
      <c r="B2535" s="115">
        <v>1045.78</v>
      </c>
      <c r="C2535" s="115">
        <v>1041.68</v>
      </c>
      <c r="D2535" s="115">
        <v>1018.29</v>
      </c>
      <c r="E2535" s="115">
        <v>1024.92</v>
      </c>
      <c r="F2535" s="115">
        <v>5208.3999999999996</v>
      </c>
      <c r="G2535">
        <v>10775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45736</v>
      </c>
      <c r="B2536" s="115">
        <v>1089.8399999999999</v>
      </c>
      <c r="C2536" s="115">
        <v>1076.8900000000001</v>
      </c>
      <c r="D2536" s="115">
        <v>1032.54</v>
      </c>
      <c r="E2536" s="115">
        <v>1056.19</v>
      </c>
      <c r="F2536" s="115">
        <v>5384.45</v>
      </c>
      <c r="G2536">
        <v>30673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45737</v>
      </c>
      <c r="B2537" s="115">
        <v>1097.99</v>
      </c>
      <c r="C2537" s="115">
        <v>1092.57</v>
      </c>
      <c r="D2537" s="115">
        <v>1071.67</v>
      </c>
      <c r="E2537" s="115">
        <v>1076</v>
      </c>
      <c r="F2537" s="115">
        <v>5462.85</v>
      </c>
      <c r="G2537">
        <v>20613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45740</v>
      </c>
      <c r="B2538" s="115">
        <v>1107.3900000000001</v>
      </c>
      <c r="C2538" s="115">
        <v>1078.71</v>
      </c>
      <c r="D2538" s="115">
        <v>1076.4000000000001</v>
      </c>
      <c r="E2538" s="115">
        <v>1098</v>
      </c>
      <c r="F2538" s="115">
        <v>5393.55</v>
      </c>
      <c r="G2538">
        <v>10569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45741</v>
      </c>
      <c r="B2539" s="115">
        <v>1085.99</v>
      </c>
      <c r="C2539" s="115">
        <v>1031.24</v>
      </c>
      <c r="D2539" s="115">
        <v>1028.0899999999999</v>
      </c>
      <c r="E2539" s="115">
        <v>1082.6300000000001</v>
      </c>
      <c r="F2539" s="115">
        <v>5156.2</v>
      </c>
      <c r="G2539">
        <v>22819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45742</v>
      </c>
      <c r="B2540" s="115">
        <v>1040.2</v>
      </c>
      <c r="C2540" s="115">
        <v>1028.5</v>
      </c>
      <c r="D2540" s="115">
        <v>1014.95</v>
      </c>
      <c r="E2540" s="115">
        <v>1035.03</v>
      </c>
      <c r="F2540" s="115">
        <v>5142.5</v>
      </c>
      <c r="G2540">
        <v>19078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45743</v>
      </c>
      <c r="B2541" s="115">
        <v>1056</v>
      </c>
      <c r="C2541" s="115">
        <v>1050.46</v>
      </c>
      <c r="D2541" s="115">
        <v>1019.38</v>
      </c>
      <c r="E2541" s="115">
        <v>1019.38</v>
      </c>
      <c r="F2541" s="115">
        <v>5252.3</v>
      </c>
      <c r="G2541">
        <v>17172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45744</v>
      </c>
      <c r="B2542" s="115">
        <v>1098.02</v>
      </c>
      <c r="C2542" s="115">
        <v>1062.1600000000001</v>
      </c>
      <c r="D2542" s="115">
        <v>1054</v>
      </c>
      <c r="E2542" s="115">
        <v>1059.93</v>
      </c>
      <c r="F2542" s="115">
        <v>5310.8</v>
      </c>
      <c r="G2542">
        <v>39457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45748</v>
      </c>
      <c r="B2543" s="115">
        <v>1085.71</v>
      </c>
      <c r="C2543" s="115">
        <v>1045.1099999999999</v>
      </c>
      <c r="D2543" s="115">
        <v>1043.03</v>
      </c>
      <c r="E2543" s="115">
        <v>1071.96</v>
      </c>
      <c r="F2543" s="115">
        <v>5225.55</v>
      </c>
      <c r="G2543">
        <v>14333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45749</v>
      </c>
      <c r="B2544" s="115">
        <v>1086.03</v>
      </c>
      <c r="C2544" s="115">
        <v>1074.93</v>
      </c>
      <c r="D2544" s="115">
        <v>1037.81</v>
      </c>
      <c r="E2544" s="115">
        <v>1046.8399999999999</v>
      </c>
      <c r="F2544" s="115">
        <v>5374.65</v>
      </c>
      <c r="G2544">
        <v>9905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45750</v>
      </c>
      <c r="B2545" s="115">
        <v>1072.99</v>
      </c>
      <c r="C2545" s="115">
        <v>1066.71</v>
      </c>
      <c r="D2545" s="115">
        <v>1047.42</v>
      </c>
      <c r="E2545" s="115">
        <v>1070.01</v>
      </c>
      <c r="F2545" s="115">
        <v>5333.55</v>
      </c>
      <c r="G2545">
        <v>14619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45751</v>
      </c>
      <c r="B2546" s="115">
        <v>1066.71</v>
      </c>
      <c r="C2546" s="115">
        <v>1005.94</v>
      </c>
      <c r="D2546" s="115">
        <v>1002.67</v>
      </c>
      <c r="E2546" s="115">
        <v>1060.01</v>
      </c>
      <c r="F2546" s="115">
        <v>5029.7</v>
      </c>
      <c r="G2546">
        <v>11378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45754</v>
      </c>
      <c r="B2547" s="115">
        <v>1003.98</v>
      </c>
      <c r="C2547" s="115">
        <v>997.83</v>
      </c>
      <c r="D2547" s="115">
        <v>905.35</v>
      </c>
      <c r="E2547" s="115">
        <v>905.35</v>
      </c>
      <c r="F2547" s="115">
        <v>4989.1499999999996</v>
      </c>
      <c r="G2547">
        <v>36807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45755</v>
      </c>
      <c r="B2548" s="115">
        <v>1056.3599999999999</v>
      </c>
      <c r="C2548" s="115">
        <v>1040.57</v>
      </c>
      <c r="D2548" s="115">
        <v>1020.26</v>
      </c>
      <c r="E2548" s="115">
        <v>1020.26</v>
      </c>
      <c r="F2548" s="115">
        <v>5202.8500000000004</v>
      </c>
      <c r="G2548">
        <v>18044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45756</v>
      </c>
      <c r="B2549" s="115">
        <v>1049</v>
      </c>
      <c r="C2549" s="115">
        <v>1044.07</v>
      </c>
      <c r="D2549" s="115">
        <v>1013.39</v>
      </c>
      <c r="E2549" s="115">
        <v>1040.57</v>
      </c>
      <c r="F2549" s="115">
        <v>5220.3500000000004</v>
      </c>
      <c r="G2549">
        <v>15878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45758</v>
      </c>
      <c r="B2550" s="115">
        <v>1092.3</v>
      </c>
      <c r="C2550" s="115">
        <v>1087.8699999999999</v>
      </c>
      <c r="D2550" s="115">
        <v>1053</v>
      </c>
      <c r="E2550" s="115">
        <v>1068.28</v>
      </c>
      <c r="F2550" s="115">
        <v>5439.35</v>
      </c>
      <c r="G2550">
        <v>18088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45762</v>
      </c>
      <c r="B2551" s="115">
        <v>1123.54</v>
      </c>
      <c r="C2551" s="115">
        <v>1116.3399999999999</v>
      </c>
      <c r="D2551" s="115">
        <v>1097.01</v>
      </c>
      <c r="E2551" s="115">
        <v>1114.97</v>
      </c>
      <c r="F2551" s="115">
        <v>5581.7</v>
      </c>
      <c r="G2551">
        <v>15680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45763</v>
      </c>
      <c r="B2552" s="115">
        <v>1132.82</v>
      </c>
      <c r="C2552" s="115">
        <v>1125.26</v>
      </c>
      <c r="D2552" s="115">
        <v>1108</v>
      </c>
      <c r="E2552" s="115">
        <v>1116.45</v>
      </c>
      <c r="F2552" s="115">
        <v>5626.3</v>
      </c>
      <c r="G2552">
        <v>15380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45764</v>
      </c>
      <c r="B2553" s="115">
        <v>1148.96</v>
      </c>
      <c r="C2553" s="115">
        <v>1132.8499999999999</v>
      </c>
      <c r="D2553" s="115">
        <v>1123.01</v>
      </c>
      <c r="E2553" s="115">
        <v>1129.68</v>
      </c>
      <c r="F2553" s="115">
        <v>5664.25</v>
      </c>
      <c r="G2553">
        <v>16210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45768</v>
      </c>
      <c r="B2554" s="115">
        <v>1191.76</v>
      </c>
      <c r="C2554" s="115">
        <v>1188.51</v>
      </c>
      <c r="D2554" s="115">
        <v>1131</v>
      </c>
      <c r="E2554" s="115">
        <v>1133.19</v>
      </c>
      <c r="F2554" s="115">
        <v>5942.55</v>
      </c>
      <c r="G2554">
        <v>19801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45769</v>
      </c>
      <c r="B2555" s="115">
        <v>1217.96</v>
      </c>
      <c r="C2555" s="115">
        <v>1194.3699999999999</v>
      </c>
      <c r="D2555" s="115">
        <v>1187.5999999999999</v>
      </c>
      <c r="E2555" s="115">
        <v>1203.57</v>
      </c>
      <c r="F2555" s="115">
        <v>5971.85</v>
      </c>
      <c r="G2555">
        <v>22157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45770</v>
      </c>
      <c r="B2556" s="115">
        <v>1243.01</v>
      </c>
      <c r="C2556" s="115">
        <v>1227.28</v>
      </c>
      <c r="D2556" s="115">
        <v>1181.75</v>
      </c>
      <c r="E2556" s="115">
        <v>1209.56</v>
      </c>
      <c r="F2556" s="115">
        <v>6136.4</v>
      </c>
      <c r="G2556">
        <v>19356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45771</v>
      </c>
      <c r="B2557" s="115">
        <v>1253.73</v>
      </c>
      <c r="C2557" s="115">
        <v>1244.98</v>
      </c>
      <c r="D2557" s="115">
        <v>1223.33</v>
      </c>
      <c r="E2557" s="115">
        <v>1241.99</v>
      </c>
      <c r="F2557" s="115">
        <v>6224.9</v>
      </c>
      <c r="G2557">
        <v>17975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45772</v>
      </c>
      <c r="B2558" s="115">
        <v>1269.8</v>
      </c>
      <c r="C2558" s="115">
        <v>1210.1400000000001</v>
      </c>
      <c r="D2558" s="115">
        <v>1184.8499999999999</v>
      </c>
      <c r="E2558" s="115">
        <v>1246.01</v>
      </c>
      <c r="F2558" s="115">
        <v>6050.7</v>
      </c>
      <c r="G2558">
        <v>18994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45775</v>
      </c>
      <c r="B2559" s="115">
        <v>1243.21</v>
      </c>
      <c r="C2559" s="115">
        <v>1234.73</v>
      </c>
      <c r="D2559" s="115">
        <v>1215.1600000000001</v>
      </c>
      <c r="E2559" s="115">
        <v>1216.49</v>
      </c>
      <c r="F2559" s="115">
        <v>6173.65</v>
      </c>
      <c r="G2559">
        <v>9316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45776</v>
      </c>
      <c r="B2560" s="115">
        <v>1264</v>
      </c>
      <c r="C2560" s="115">
        <v>1245.24</v>
      </c>
      <c r="D2560" s="115">
        <v>1243.72</v>
      </c>
      <c r="E2560" s="115">
        <v>1246.92</v>
      </c>
      <c r="F2560" s="115">
        <v>6226.2</v>
      </c>
      <c r="G2560">
        <v>23812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45777</v>
      </c>
      <c r="B2561" s="115">
        <v>1242.79</v>
      </c>
      <c r="C2561" s="115">
        <v>1225.4100000000001</v>
      </c>
      <c r="D2561" s="115">
        <v>1220</v>
      </c>
      <c r="E2561" s="115">
        <v>1230.01</v>
      </c>
      <c r="F2561" s="115">
        <v>6127.05</v>
      </c>
      <c r="G2561">
        <v>3819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45779</v>
      </c>
      <c r="B2562" s="115">
        <v>1283.97</v>
      </c>
      <c r="C2562" s="115">
        <v>1252.93</v>
      </c>
      <c r="D2562" s="115">
        <v>1230</v>
      </c>
      <c r="E2562" s="115">
        <v>1230</v>
      </c>
      <c r="F2562" s="115">
        <v>6264.65</v>
      </c>
      <c r="G2562">
        <v>19718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45782</v>
      </c>
      <c r="B2563" s="115">
        <v>1269.67</v>
      </c>
      <c r="C2563" s="115">
        <v>1253.06</v>
      </c>
      <c r="D2563" s="115">
        <v>1240.7</v>
      </c>
      <c r="E2563" s="115">
        <v>1269.67</v>
      </c>
      <c r="F2563" s="115">
        <v>6265.3</v>
      </c>
      <c r="G2563">
        <v>12669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45783</v>
      </c>
      <c r="B2564" s="115">
        <v>1266.53</v>
      </c>
      <c r="C2564" s="115">
        <v>1199.77</v>
      </c>
      <c r="D2564" s="115">
        <v>1197.01</v>
      </c>
      <c r="E2564" s="115">
        <v>1254.04</v>
      </c>
      <c r="F2564" s="115">
        <v>5998.85</v>
      </c>
      <c r="G2564">
        <v>18207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45784</v>
      </c>
      <c r="B2565" s="115">
        <v>1243.46</v>
      </c>
      <c r="C2565" s="115">
        <v>1213.03</v>
      </c>
      <c r="D2565" s="115">
        <v>1180.06</v>
      </c>
      <c r="E2565" s="115">
        <v>1180.06</v>
      </c>
      <c r="F2565" s="115">
        <v>6065.15</v>
      </c>
      <c r="G2565">
        <v>19816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45785</v>
      </c>
      <c r="B2566" s="115">
        <v>1244.96</v>
      </c>
      <c r="C2566" s="115">
        <v>1199.8499999999999</v>
      </c>
      <c r="D2566" s="115">
        <v>1190.2</v>
      </c>
      <c r="E2566" s="115">
        <v>1220.01</v>
      </c>
      <c r="F2566" s="115">
        <v>5999.25</v>
      </c>
      <c r="G2566">
        <v>29554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45786</v>
      </c>
      <c r="B2567" s="115">
        <v>1168.4100000000001</v>
      </c>
      <c r="C2567" s="115">
        <v>1134.46</v>
      </c>
      <c r="D2567" s="115">
        <v>1120.2</v>
      </c>
      <c r="E2567" s="115">
        <v>1160.04</v>
      </c>
      <c r="F2567" s="115">
        <v>5672.3</v>
      </c>
      <c r="G2567">
        <v>39786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45789</v>
      </c>
      <c r="B2568" s="115">
        <v>1226.5</v>
      </c>
      <c r="C2568" s="115">
        <v>1212.8699999999999</v>
      </c>
      <c r="D2568" s="115">
        <v>1155.27</v>
      </c>
      <c r="E2568" s="115">
        <v>1180.01</v>
      </c>
      <c r="F2568" s="115">
        <v>6064.35</v>
      </c>
      <c r="G2568">
        <v>56083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45790</v>
      </c>
      <c r="B2569" s="115">
        <v>1212.8599999999999</v>
      </c>
      <c r="C2569" s="115">
        <v>1187.05</v>
      </c>
      <c r="D2569" s="115">
        <v>1183</v>
      </c>
      <c r="E2569" s="115">
        <v>1212.8599999999999</v>
      </c>
      <c r="F2569" s="115">
        <v>5935.25</v>
      </c>
      <c r="G2569">
        <v>180582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45791</v>
      </c>
      <c r="B2570" s="115">
        <v>1245.83</v>
      </c>
      <c r="C2570" s="115">
        <v>1241.2</v>
      </c>
      <c r="D2570" s="115">
        <v>1184</v>
      </c>
      <c r="E2570" s="115">
        <v>1194.06</v>
      </c>
      <c r="F2570" s="115">
        <v>6206</v>
      </c>
      <c r="G2570">
        <v>27595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45792</v>
      </c>
      <c r="B2571" s="115">
        <v>1255.94</v>
      </c>
      <c r="C2571" s="115">
        <v>1240.8399999999999</v>
      </c>
      <c r="D2571" s="115">
        <v>1230.94</v>
      </c>
      <c r="E2571" s="115">
        <v>1255.78</v>
      </c>
      <c r="F2571" s="115">
        <v>6204.2</v>
      </c>
      <c r="G2571">
        <v>20536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45793</v>
      </c>
      <c r="B2572" s="115">
        <v>1301</v>
      </c>
      <c r="C2572" s="115">
        <v>1289.92</v>
      </c>
      <c r="D2572" s="115">
        <v>1244.81</v>
      </c>
      <c r="E2572" s="115">
        <v>1255.3499999999999</v>
      </c>
      <c r="F2572" s="115">
        <v>6449.6</v>
      </c>
      <c r="G2572">
        <v>22539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45796</v>
      </c>
      <c r="B2573" s="115">
        <v>1311.68</v>
      </c>
      <c r="C2573" s="115">
        <v>1295.3699999999999</v>
      </c>
      <c r="D2573" s="115">
        <v>1269.28</v>
      </c>
      <c r="E2573" s="115">
        <v>1292.79</v>
      </c>
      <c r="F2573" s="115">
        <v>6476.85</v>
      </c>
      <c r="G2573">
        <v>21478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45797</v>
      </c>
      <c r="B2574" s="115">
        <v>1306.6199999999999</v>
      </c>
      <c r="C2574" s="115">
        <v>1266.57</v>
      </c>
      <c r="D2574" s="115">
        <v>1262.2</v>
      </c>
      <c r="E2574" s="115">
        <v>1306.6099999999999</v>
      </c>
      <c r="F2574" s="115">
        <v>6332.85</v>
      </c>
      <c r="G2574">
        <v>23411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45798</v>
      </c>
      <c r="B2575" s="115">
        <v>1287.1300000000001</v>
      </c>
      <c r="C2575" s="115">
        <v>1274.03</v>
      </c>
      <c r="D2575" s="115">
        <v>1258.6300000000001</v>
      </c>
      <c r="E2575" s="115">
        <v>1269.07</v>
      </c>
      <c r="F2575" s="115">
        <v>6370.15</v>
      </c>
      <c r="G2575">
        <v>9212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45799</v>
      </c>
      <c r="B2576" s="115">
        <v>1282.47</v>
      </c>
      <c r="C2576" s="115">
        <v>1274.19</v>
      </c>
      <c r="D2576" s="115">
        <v>1251.22</v>
      </c>
      <c r="E2576" s="115">
        <v>1279.95</v>
      </c>
      <c r="F2576" s="115">
        <v>6370.95</v>
      </c>
      <c r="G2576">
        <v>10783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45800</v>
      </c>
      <c r="B2577" s="115">
        <v>1309.76</v>
      </c>
      <c r="C2577" s="115">
        <v>1298.1500000000001</v>
      </c>
      <c r="D2577" s="115">
        <v>1262.44</v>
      </c>
      <c r="E2577" s="115">
        <v>1271.6500000000001</v>
      </c>
      <c r="F2577" s="115">
        <v>6490.75</v>
      </c>
      <c r="G2577">
        <v>23584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45803</v>
      </c>
      <c r="B2578" s="115">
        <v>1312.81</v>
      </c>
      <c r="C2578" s="115">
        <v>1290.96</v>
      </c>
      <c r="D2578" s="115">
        <v>1283.94</v>
      </c>
      <c r="E2578" s="115">
        <v>1299.1400000000001</v>
      </c>
      <c r="F2578" s="115">
        <v>6454.8</v>
      </c>
      <c r="G2578">
        <v>10119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45804</v>
      </c>
      <c r="B2579" s="115">
        <v>1297.0999999999999</v>
      </c>
      <c r="C2579" s="115">
        <v>1284.3499999999999</v>
      </c>
      <c r="D2579" s="115">
        <v>1278.2</v>
      </c>
      <c r="E2579" s="115">
        <v>1280.05</v>
      </c>
      <c r="F2579" s="115">
        <v>6421.75</v>
      </c>
      <c r="G2579">
        <v>4638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45805</v>
      </c>
      <c r="B2580" s="115">
        <v>1302.33</v>
      </c>
      <c r="C2580" s="115">
        <v>1292.8900000000001</v>
      </c>
      <c r="D2580" s="115">
        <v>1284.33</v>
      </c>
      <c r="E2580" s="115">
        <v>1293.43</v>
      </c>
      <c r="F2580" s="115">
        <v>6464.45</v>
      </c>
      <c r="G2580">
        <v>6255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45806</v>
      </c>
      <c r="B2581" s="115">
        <v>1333</v>
      </c>
      <c r="C2581" s="115">
        <v>1314.84</v>
      </c>
      <c r="D2581" s="115">
        <v>1295.51</v>
      </c>
      <c r="E2581" s="115">
        <v>1303.8900000000001</v>
      </c>
      <c r="F2581" s="115">
        <v>6574.2</v>
      </c>
      <c r="G2581">
        <v>31724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45807</v>
      </c>
      <c r="B2582" s="115">
        <v>1341.39</v>
      </c>
      <c r="C2582" s="115">
        <v>1319.84</v>
      </c>
      <c r="D2582" s="115">
        <v>1316.05</v>
      </c>
      <c r="E2582" s="115">
        <v>1319.8</v>
      </c>
      <c r="F2582" s="115">
        <v>6599.2</v>
      </c>
      <c r="G2582">
        <v>32093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45810</v>
      </c>
      <c r="B2583" s="115">
        <v>1353.73</v>
      </c>
      <c r="C2583" s="115">
        <v>1340.96</v>
      </c>
      <c r="D2583" s="115">
        <v>1313</v>
      </c>
      <c r="E2583" s="115">
        <v>1320.05</v>
      </c>
      <c r="F2583" s="115">
        <v>6704.8</v>
      </c>
      <c r="G2583">
        <v>23578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45811</v>
      </c>
      <c r="B2584" s="115">
        <v>1389.89</v>
      </c>
      <c r="C2584" s="115">
        <v>1368.01</v>
      </c>
      <c r="D2584" s="115">
        <v>1345.04</v>
      </c>
      <c r="E2584" s="115">
        <v>1347.01</v>
      </c>
      <c r="F2584" s="115">
        <v>6840.05</v>
      </c>
      <c r="G2584">
        <v>47100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45812</v>
      </c>
      <c r="B2585" s="115">
        <v>1394</v>
      </c>
      <c r="C2585" s="115">
        <v>1375.99</v>
      </c>
      <c r="D2585" s="115">
        <v>1357.45</v>
      </c>
      <c r="E2585" s="115">
        <v>1377.01</v>
      </c>
      <c r="F2585" s="115">
        <v>6879.95</v>
      </c>
      <c r="G2585">
        <v>38274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45813</v>
      </c>
      <c r="B2586" s="115">
        <v>1427.6</v>
      </c>
      <c r="C2586" s="115">
        <v>1420.47</v>
      </c>
      <c r="D2586" s="115">
        <v>1378.68</v>
      </c>
      <c r="E2586" s="115">
        <v>1388.89</v>
      </c>
      <c r="F2586" s="115">
        <v>7102.35</v>
      </c>
      <c r="G2586">
        <v>50888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45814</v>
      </c>
      <c r="B2587" s="115">
        <v>1505.99</v>
      </c>
      <c r="C2587" s="115">
        <v>1483.93</v>
      </c>
      <c r="D2587" s="115">
        <v>1422.97</v>
      </c>
      <c r="E2587" s="115">
        <v>1429.99</v>
      </c>
      <c r="F2587" s="115">
        <v>7419.65</v>
      </c>
      <c r="G2587">
        <v>105638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45817</v>
      </c>
      <c r="B2588" s="115">
        <v>1596.2</v>
      </c>
      <c r="C2588" s="115">
        <v>1591.06</v>
      </c>
      <c r="D2588" s="115">
        <v>1505.02</v>
      </c>
      <c r="E2588" s="115">
        <v>1519.74</v>
      </c>
      <c r="F2588" s="115">
        <v>7955.3</v>
      </c>
      <c r="G2588">
        <v>159366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45818</v>
      </c>
      <c r="B2589" s="115">
        <v>1606.66</v>
      </c>
      <c r="C2589" s="115">
        <v>1578.11</v>
      </c>
      <c r="D2589" s="115">
        <v>1550.2</v>
      </c>
      <c r="E2589" s="115">
        <v>1606.66</v>
      </c>
      <c r="F2589" s="115">
        <v>7890.55</v>
      </c>
      <c r="G2589">
        <v>41622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45819</v>
      </c>
      <c r="B2590" s="115">
        <v>1589.69</v>
      </c>
      <c r="C2590" s="115">
        <v>1534.81</v>
      </c>
      <c r="D2590" s="115">
        <v>1514</v>
      </c>
      <c r="E2590" s="115">
        <v>1581.99</v>
      </c>
      <c r="F2590" s="115">
        <v>7674.05</v>
      </c>
      <c r="G2590">
        <v>67621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45820</v>
      </c>
      <c r="B2591" s="115">
        <v>1537.08</v>
      </c>
      <c r="C2591" s="115">
        <v>1501.4</v>
      </c>
      <c r="D2591" s="115">
        <v>1496</v>
      </c>
      <c r="E2591" s="115">
        <v>1512.4</v>
      </c>
      <c r="F2591" s="115">
        <v>7507</v>
      </c>
      <c r="G2591">
        <v>25093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45821</v>
      </c>
      <c r="B2592" s="115">
        <v>1537.2</v>
      </c>
      <c r="C2592" s="115">
        <v>1511.55</v>
      </c>
      <c r="D2592" s="115">
        <v>1479.84</v>
      </c>
      <c r="E2592" s="115">
        <v>1479.86</v>
      </c>
      <c r="F2592" s="115">
        <v>7557.75</v>
      </c>
      <c r="G2592">
        <v>39983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45824</v>
      </c>
      <c r="B2593" s="115">
        <v>1568</v>
      </c>
      <c r="C2593" s="115">
        <v>1565.52</v>
      </c>
      <c r="D2593" s="115">
        <v>1520.4</v>
      </c>
      <c r="E2593" s="115">
        <v>1520.4</v>
      </c>
      <c r="F2593" s="115">
        <v>7827.6</v>
      </c>
      <c r="G2593">
        <v>57664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45825</v>
      </c>
      <c r="B2594" s="115">
        <v>1603.97</v>
      </c>
      <c r="C2594" s="115">
        <v>1584.86</v>
      </c>
      <c r="D2594" s="115">
        <v>1551.17</v>
      </c>
      <c r="E2594" s="115">
        <v>1574.97</v>
      </c>
      <c r="F2594" s="115">
        <v>7924.3</v>
      </c>
      <c r="G2594">
        <v>69427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45826</v>
      </c>
      <c r="B2595" s="115">
        <v>1605.07</v>
      </c>
      <c r="C2595" s="115">
        <v>1587</v>
      </c>
      <c r="D2595" s="115">
        <v>1575</v>
      </c>
      <c r="E2595" s="115">
        <v>1592.96</v>
      </c>
      <c r="F2595" s="115">
        <v>7935</v>
      </c>
      <c r="G2595">
        <v>32386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45827</v>
      </c>
      <c r="B2596" s="115">
        <v>1593.54</v>
      </c>
      <c r="C2596" s="115">
        <v>1552.6</v>
      </c>
      <c r="D2596" s="115">
        <v>1542.44</v>
      </c>
      <c r="E2596" s="115">
        <v>1587.2</v>
      </c>
      <c r="F2596" s="115">
        <v>7763</v>
      </c>
      <c r="G2596">
        <v>22604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45828</v>
      </c>
      <c r="B2597" s="115">
        <v>1621.67</v>
      </c>
      <c r="C2597" s="115">
        <v>1618.59</v>
      </c>
      <c r="D2597" s="115">
        <v>1542</v>
      </c>
      <c r="E2597" s="115">
        <v>1556.36</v>
      </c>
      <c r="F2597" s="115">
        <v>8092.95</v>
      </c>
      <c r="G2597">
        <v>38564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45831</v>
      </c>
      <c r="B2598" s="115">
        <v>1668</v>
      </c>
      <c r="C2598" s="115">
        <v>1658.97</v>
      </c>
      <c r="D2598" s="115">
        <v>1605.08</v>
      </c>
      <c r="E2598" s="115">
        <v>1605.08</v>
      </c>
      <c r="F2598" s="115">
        <v>8294.85</v>
      </c>
      <c r="G2598">
        <v>70064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45832</v>
      </c>
      <c r="B2599" s="115">
        <v>1671.45</v>
      </c>
      <c r="C2599" s="115">
        <v>1643.15</v>
      </c>
      <c r="D2599" s="115">
        <v>1611.77</v>
      </c>
      <c r="E2599" s="115">
        <v>1670</v>
      </c>
      <c r="F2599" s="115">
        <v>8215.75</v>
      </c>
      <c r="G2599">
        <v>54222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45833</v>
      </c>
      <c r="B2600" s="115">
        <v>1761.77</v>
      </c>
      <c r="C2600" s="115">
        <v>1732.95</v>
      </c>
      <c r="D2600" s="115">
        <v>1657.6</v>
      </c>
      <c r="E2600" s="115">
        <v>1669.95</v>
      </c>
      <c r="F2600" s="115">
        <v>8664.75</v>
      </c>
      <c r="G2600">
        <v>132604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45834</v>
      </c>
      <c r="B2601" s="115">
        <v>1780.2</v>
      </c>
      <c r="C2601" s="115">
        <v>1767.05</v>
      </c>
      <c r="D2601" s="115">
        <v>1720.19</v>
      </c>
      <c r="E2601" s="115">
        <v>1733</v>
      </c>
      <c r="F2601" s="115">
        <v>8835.25</v>
      </c>
      <c r="G2601">
        <v>85138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45835</v>
      </c>
      <c r="B2602" s="115">
        <v>1815</v>
      </c>
      <c r="C2602" s="115">
        <v>1771.83</v>
      </c>
      <c r="D2602" s="115">
        <v>1759</v>
      </c>
      <c r="E2602" s="115">
        <v>1774.8</v>
      </c>
      <c r="F2602" s="115">
        <v>8859.15</v>
      </c>
      <c r="G2602">
        <v>85621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45838</v>
      </c>
      <c r="B2603" s="115">
        <v>1806.88</v>
      </c>
      <c r="C2603" s="115">
        <v>1789.06</v>
      </c>
      <c r="D2603" s="115">
        <v>1776.64</v>
      </c>
      <c r="E2603" s="115">
        <v>1779.99</v>
      </c>
      <c r="F2603" s="115">
        <v>8945.2999999999993</v>
      </c>
      <c r="G2603">
        <v>46296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45839</v>
      </c>
      <c r="B2604" s="115">
        <v>1822</v>
      </c>
      <c r="C2604" s="115">
        <v>1812.13</v>
      </c>
      <c r="D2604" s="115">
        <v>1771.71</v>
      </c>
      <c r="E2604" s="115">
        <v>1800.65</v>
      </c>
      <c r="F2604" s="115">
        <v>9060.65</v>
      </c>
      <c r="G2604">
        <v>56021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45840</v>
      </c>
      <c r="B2605" s="115">
        <v>1821.29</v>
      </c>
      <c r="C2605" s="115">
        <v>1786.81</v>
      </c>
      <c r="D2605" s="115">
        <v>1780.38</v>
      </c>
      <c r="E2605" s="115">
        <v>1813.23</v>
      </c>
      <c r="F2605" s="115">
        <v>8934.0499999999993</v>
      </c>
      <c r="G2605">
        <v>46131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45841</v>
      </c>
      <c r="B2606" s="115">
        <v>1814.69</v>
      </c>
      <c r="C2606" s="115">
        <v>1800.45</v>
      </c>
      <c r="D2606" s="115">
        <v>1788.2</v>
      </c>
      <c r="E2606" s="115">
        <v>1788.2</v>
      </c>
      <c r="F2606" s="115">
        <v>9002.25</v>
      </c>
      <c r="G2606">
        <v>30086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45842</v>
      </c>
      <c r="B2607" s="115">
        <v>1805.88</v>
      </c>
      <c r="C2607" s="115">
        <v>1775.89</v>
      </c>
      <c r="D2607" s="115">
        <v>1764.4</v>
      </c>
      <c r="E2607" s="115">
        <v>1800.52</v>
      </c>
      <c r="F2607" s="115">
        <v>8879.4500000000007</v>
      </c>
      <c r="G2607">
        <v>21255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45845</v>
      </c>
      <c r="B2608" s="115">
        <v>1783.49</v>
      </c>
      <c r="C2608" s="115">
        <v>1749.05</v>
      </c>
      <c r="D2608" s="115">
        <v>1746.12</v>
      </c>
      <c r="E2608" s="115">
        <v>1776.02</v>
      </c>
      <c r="F2608" s="115">
        <v>8745.25</v>
      </c>
      <c r="G2608">
        <v>12768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45846</v>
      </c>
      <c r="B2609" s="115">
        <v>1766.69</v>
      </c>
      <c r="C2609" s="115">
        <v>1699.75</v>
      </c>
      <c r="D2609" s="115">
        <v>1675.71</v>
      </c>
      <c r="E2609" s="115">
        <v>1757.99</v>
      </c>
      <c r="F2609" s="115">
        <v>8498.75</v>
      </c>
      <c r="G2609">
        <v>32459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45847</v>
      </c>
      <c r="B2610" s="115">
        <v>1715.47</v>
      </c>
      <c r="C2610" s="115">
        <v>1686.91</v>
      </c>
      <c r="D2610" s="115">
        <v>1682</v>
      </c>
      <c r="E2610" s="115">
        <v>1700.02</v>
      </c>
      <c r="F2610" s="115">
        <v>8434.5499999999993</v>
      </c>
      <c r="G2610">
        <v>25588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45848</v>
      </c>
      <c r="B2611" s="115">
        <v>1703.52</v>
      </c>
      <c r="C2611" s="115">
        <v>1665.66</v>
      </c>
      <c r="D2611" s="115">
        <v>1660</v>
      </c>
      <c r="E2611" s="115">
        <v>1691.01</v>
      </c>
      <c r="F2611" s="115">
        <v>8328.2999999999993</v>
      </c>
      <c r="G2611">
        <v>16310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45849</v>
      </c>
      <c r="B2612" s="115">
        <v>1663.99</v>
      </c>
      <c r="C2612" s="115">
        <v>1609.37</v>
      </c>
      <c r="D2612" s="115">
        <v>1603.86</v>
      </c>
      <c r="E2612" s="115">
        <v>1663.99</v>
      </c>
      <c r="F2612" s="115">
        <v>8046.85</v>
      </c>
      <c r="G2612">
        <v>36275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45852</v>
      </c>
      <c r="B2613" s="115">
        <v>1662.56</v>
      </c>
      <c r="C2613" s="115">
        <v>1643.08</v>
      </c>
      <c r="D2613" s="115">
        <v>1614</v>
      </c>
      <c r="E2613" s="115">
        <v>1614</v>
      </c>
      <c r="F2613" s="115">
        <v>8215.4</v>
      </c>
      <c r="G2613">
        <v>48894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45853</v>
      </c>
      <c r="B2614" s="115">
        <v>1670</v>
      </c>
      <c r="C2614" s="115">
        <v>1664.19</v>
      </c>
      <c r="D2614" s="115">
        <v>1643.2</v>
      </c>
      <c r="E2614" s="115">
        <v>1650</v>
      </c>
      <c r="F2614" s="115">
        <v>8320.9500000000007</v>
      </c>
      <c r="G2614">
        <v>31198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45854</v>
      </c>
      <c r="B2615" s="115">
        <v>1680</v>
      </c>
      <c r="C2615" s="115">
        <v>1675.79</v>
      </c>
      <c r="D2615" s="115">
        <v>1653.97</v>
      </c>
      <c r="E2615" s="115">
        <v>1669.85</v>
      </c>
      <c r="F2615" s="115">
        <v>8378.9500000000007</v>
      </c>
      <c r="G2615">
        <v>22065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45855</v>
      </c>
      <c r="B2616" s="115">
        <v>1688</v>
      </c>
      <c r="C2616" s="115">
        <v>1651.75</v>
      </c>
      <c r="D2616" s="115">
        <v>1644.87</v>
      </c>
      <c r="E2616" s="115">
        <v>1680.05</v>
      </c>
      <c r="F2616" s="115">
        <v>8258.75</v>
      </c>
      <c r="G2616">
        <v>17171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45856</v>
      </c>
      <c r="B2617" s="115">
        <v>1654</v>
      </c>
      <c r="C2617" s="115">
        <v>1647.08</v>
      </c>
      <c r="D2617" s="115">
        <v>1623.44</v>
      </c>
      <c r="E2617" s="115">
        <v>1653.99</v>
      </c>
      <c r="F2617" s="115">
        <v>8235.4</v>
      </c>
      <c r="G2617">
        <v>14355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45859</v>
      </c>
      <c r="B2618" s="115">
        <v>1665</v>
      </c>
      <c r="C2618" s="115">
        <v>1651.43</v>
      </c>
      <c r="D2618" s="115">
        <v>1632.4</v>
      </c>
      <c r="E2618" s="115">
        <v>1645.02</v>
      </c>
      <c r="F2618" s="115">
        <v>8257.15</v>
      </c>
      <c r="G2618">
        <v>18222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45860</v>
      </c>
      <c r="B2619" s="115">
        <v>1667.66</v>
      </c>
      <c r="C2619" s="115">
        <v>1630.21</v>
      </c>
      <c r="D2619" s="115">
        <v>1625</v>
      </c>
      <c r="E2619" s="115">
        <v>1656.11</v>
      </c>
      <c r="F2619" s="115">
        <v>8151.05</v>
      </c>
      <c r="G2619">
        <v>23302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45861</v>
      </c>
      <c r="B2620" s="115">
        <v>1654</v>
      </c>
      <c r="C2620" s="115">
        <v>1651.99</v>
      </c>
      <c r="D2620" s="115">
        <v>1612.31</v>
      </c>
      <c r="E2620" s="115">
        <v>1645.96</v>
      </c>
      <c r="F2620" s="115">
        <v>8259.9500000000007</v>
      </c>
      <c r="G2620">
        <v>16362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45862</v>
      </c>
      <c r="B2621" s="115">
        <v>1653.89</v>
      </c>
      <c r="C2621" s="115">
        <v>1648.08</v>
      </c>
      <c r="D2621" s="115">
        <v>1628.1</v>
      </c>
      <c r="E2621" s="115">
        <v>1652</v>
      </c>
      <c r="F2621" s="115">
        <v>8240.4</v>
      </c>
      <c r="G2621">
        <v>8700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45863</v>
      </c>
      <c r="B2622" s="115">
        <v>1647</v>
      </c>
      <c r="C2622" s="115">
        <v>1607.68</v>
      </c>
      <c r="D2622" s="115">
        <v>1600.72</v>
      </c>
      <c r="E2622" s="115">
        <v>1630.11</v>
      </c>
      <c r="F2622" s="115">
        <v>8038.4</v>
      </c>
      <c r="G2622">
        <v>19822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45866</v>
      </c>
      <c r="B2623" s="115">
        <v>1607.52</v>
      </c>
      <c r="C2623" s="115">
        <v>1546.16</v>
      </c>
      <c r="D2623" s="115">
        <v>1540.35</v>
      </c>
      <c r="E2623" s="115">
        <v>1607.52</v>
      </c>
      <c r="F2623" s="115">
        <v>7730.8</v>
      </c>
      <c r="G2623">
        <v>31765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45867</v>
      </c>
      <c r="B2624" s="115">
        <v>1572.99</v>
      </c>
      <c r="C2624" s="115">
        <v>1567.83</v>
      </c>
      <c r="D2624" s="115">
        <v>1522.47</v>
      </c>
      <c r="E2624" s="115">
        <v>1546.4</v>
      </c>
      <c r="F2624" s="115">
        <v>7839.15</v>
      </c>
      <c r="G2624">
        <v>25499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45868</v>
      </c>
      <c r="B2625" s="115">
        <v>1581</v>
      </c>
      <c r="C2625" s="115">
        <v>1559.96</v>
      </c>
      <c r="D2625" s="115">
        <v>1553.37</v>
      </c>
      <c r="E2625" s="115">
        <v>1581</v>
      </c>
      <c r="F2625" s="115">
        <v>7799.8</v>
      </c>
      <c r="G2625">
        <v>19970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45869</v>
      </c>
      <c r="B2626" s="115">
        <v>1568.79</v>
      </c>
      <c r="C2626" s="115">
        <v>1538.96</v>
      </c>
      <c r="D2626" s="115">
        <v>1531</v>
      </c>
      <c r="E2626" s="115">
        <v>1544.41</v>
      </c>
      <c r="F2626" s="115">
        <v>7694.8</v>
      </c>
      <c r="G2626">
        <v>21284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45870</v>
      </c>
      <c r="B2627" s="115">
        <v>1544.01</v>
      </c>
      <c r="C2627" s="115">
        <v>1518.87</v>
      </c>
      <c r="D2627" s="115">
        <v>1507.24</v>
      </c>
      <c r="E2627" s="115">
        <v>1538.96</v>
      </c>
      <c r="F2627" s="115">
        <v>7594.35</v>
      </c>
      <c r="G2627">
        <v>28895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45873</v>
      </c>
      <c r="B2628" s="115">
        <v>1611.69</v>
      </c>
      <c r="C2628" s="115">
        <v>1596.04</v>
      </c>
      <c r="D2628" s="115">
        <v>1552.76</v>
      </c>
      <c r="E2628" s="115">
        <v>1569.99</v>
      </c>
      <c r="F2628" s="115">
        <v>7980.2</v>
      </c>
      <c r="G2628">
        <v>73459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45874</v>
      </c>
      <c r="B2629" s="115">
        <v>1599.98</v>
      </c>
      <c r="C2629" s="115">
        <v>1575.28</v>
      </c>
      <c r="D2629" s="115">
        <v>1536</v>
      </c>
      <c r="E2629" s="115">
        <v>1599.98</v>
      </c>
      <c r="F2629" s="115">
        <v>7876.4</v>
      </c>
      <c r="G2629">
        <v>50052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45875</v>
      </c>
      <c r="B2630" s="115">
        <v>1579.78</v>
      </c>
      <c r="C2630" s="115">
        <v>1548.84</v>
      </c>
      <c r="D2630" s="115">
        <v>1545</v>
      </c>
      <c r="E2630" s="115">
        <v>1575.53</v>
      </c>
      <c r="F2630" s="115">
        <v>7744.2</v>
      </c>
      <c r="G2630">
        <v>22099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45876</v>
      </c>
      <c r="B2631" s="115">
        <v>1580.34</v>
      </c>
      <c r="C2631" s="115">
        <v>1577.75</v>
      </c>
      <c r="D2631" s="115">
        <v>1538.96</v>
      </c>
      <c r="E2631" s="115">
        <v>1548.6</v>
      </c>
      <c r="F2631" s="115">
        <v>7888.75</v>
      </c>
      <c r="G2631">
        <v>28097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45877</v>
      </c>
      <c r="B2632" s="115">
        <v>1581.38</v>
      </c>
      <c r="C2632" s="115">
        <v>1542.74</v>
      </c>
      <c r="D2632" s="115">
        <v>1531.4</v>
      </c>
      <c r="E2632" s="115">
        <v>1580</v>
      </c>
      <c r="F2632" s="115">
        <v>7713.7</v>
      </c>
      <c r="G2632">
        <v>40461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45880</v>
      </c>
      <c r="B2633" s="115">
        <v>1593.39</v>
      </c>
      <c r="C2633" s="115">
        <v>1588.05</v>
      </c>
      <c r="D2633" s="115">
        <v>1539.41</v>
      </c>
      <c r="E2633" s="115">
        <v>1542.75</v>
      </c>
      <c r="F2633" s="115">
        <v>7940.25</v>
      </c>
      <c r="G2633">
        <v>37632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45881</v>
      </c>
      <c r="B2634" s="115">
        <v>1645.6</v>
      </c>
      <c r="C2634" s="115">
        <v>1630.36</v>
      </c>
      <c r="D2634" s="115">
        <v>1584</v>
      </c>
      <c r="E2634" s="115">
        <v>1589.63</v>
      </c>
      <c r="F2634" s="115">
        <v>8151.8</v>
      </c>
      <c r="G2634">
        <v>40571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45882</v>
      </c>
      <c r="B2635" s="115">
        <v>1673</v>
      </c>
      <c r="C2635" s="115">
        <v>1667.52</v>
      </c>
      <c r="D2635" s="115">
        <v>1640.07</v>
      </c>
      <c r="E2635" s="115">
        <v>1640.07</v>
      </c>
      <c r="F2635" s="115">
        <v>8337.6</v>
      </c>
      <c r="G2635">
        <v>40477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45883</v>
      </c>
      <c r="B2636" s="115">
        <v>1677.65</v>
      </c>
      <c r="C2636" s="115">
        <v>1629.75</v>
      </c>
      <c r="D2636" s="115">
        <v>1616.11</v>
      </c>
      <c r="E2636" s="115">
        <v>1668.04</v>
      </c>
      <c r="F2636" s="115">
        <v>8148.75</v>
      </c>
      <c r="G2636">
        <v>35078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45887</v>
      </c>
      <c r="B2637" s="115">
        <v>1687.8</v>
      </c>
      <c r="C2637" s="115">
        <v>1661.34</v>
      </c>
      <c r="D2637" s="115">
        <v>1650.16</v>
      </c>
      <c r="E2637" s="115">
        <v>1656</v>
      </c>
      <c r="F2637" s="115">
        <v>8306.7000000000007</v>
      </c>
      <c r="G2637">
        <v>44312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45888</v>
      </c>
      <c r="B2638" s="115">
        <v>1669.79</v>
      </c>
      <c r="C2638" s="115">
        <v>1659.15</v>
      </c>
      <c r="D2638" s="115">
        <v>1632.92</v>
      </c>
      <c r="E2638" s="115">
        <v>1669.79</v>
      </c>
      <c r="F2638" s="115">
        <v>8295.75</v>
      </c>
      <c r="G2638">
        <v>23888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45889</v>
      </c>
      <c r="B2639" s="115">
        <v>1660.38</v>
      </c>
      <c r="C2639" s="115">
        <v>1644.08</v>
      </c>
      <c r="D2639" s="115">
        <v>1639.4</v>
      </c>
      <c r="E2639" s="115">
        <v>1659.15</v>
      </c>
      <c r="F2639" s="115">
        <v>8220.4</v>
      </c>
      <c r="G2639">
        <v>15968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45890</v>
      </c>
      <c r="B2640" s="115">
        <v>1652.1</v>
      </c>
      <c r="C2640" s="115">
        <v>1585.46</v>
      </c>
      <c r="D2640" s="115">
        <v>1577.93</v>
      </c>
      <c r="E2640" s="115">
        <v>1652.1</v>
      </c>
      <c r="F2640" s="115">
        <v>7927.3</v>
      </c>
      <c r="G2640">
        <v>28312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45891</v>
      </c>
      <c r="B2641" s="115">
        <v>1616</v>
      </c>
      <c r="C2641" s="115">
        <v>1591.43</v>
      </c>
      <c r="D2641" s="115">
        <v>1585</v>
      </c>
      <c r="E2641" s="115">
        <v>1586.21</v>
      </c>
      <c r="F2641" s="115">
        <v>7957.15</v>
      </c>
      <c r="G2641">
        <v>32891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45894</v>
      </c>
      <c r="B2642" s="115">
        <v>1615</v>
      </c>
      <c r="C2642" s="115">
        <v>1599.8</v>
      </c>
      <c r="D2642" s="115">
        <v>1590.84</v>
      </c>
      <c r="E2642" s="115">
        <v>1594.81</v>
      </c>
      <c r="F2642" s="115">
        <v>7999</v>
      </c>
      <c r="G2642">
        <v>15263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45895</v>
      </c>
      <c r="B2643" s="115">
        <v>1599.78</v>
      </c>
      <c r="C2643" s="115">
        <v>1537.97</v>
      </c>
      <c r="D2643" s="115">
        <v>1534.1</v>
      </c>
      <c r="E2643" s="115">
        <v>1599.78</v>
      </c>
      <c r="F2643" s="115">
        <v>7689.85</v>
      </c>
      <c r="G2643">
        <v>27589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45897</v>
      </c>
      <c r="B2644" s="115">
        <v>1548.94</v>
      </c>
      <c r="C2644" s="115">
        <v>1479.58</v>
      </c>
      <c r="D2644" s="115">
        <v>1475.96</v>
      </c>
      <c r="E2644" s="115">
        <v>1548.94</v>
      </c>
      <c r="F2644" s="115">
        <v>7397.9</v>
      </c>
      <c r="G2644">
        <v>24231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45898</v>
      </c>
      <c r="B2645" s="115">
        <v>1491.11</v>
      </c>
      <c r="C2645" s="115">
        <v>1476.82</v>
      </c>
      <c r="D2645" s="115">
        <v>1461</v>
      </c>
      <c r="E2645" s="115">
        <v>1478</v>
      </c>
      <c r="F2645" s="115">
        <v>7384.1</v>
      </c>
      <c r="G2645">
        <v>27263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45901</v>
      </c>
      <c r="B2646" s="115">
        <v>1564</v>
      </c>
      <c r="C2646" s="115">
        <v>1558.14</v>
      </c>
      <c r="D2646" s="115">
        <v>1487.73</v>
      </c>
      <c r="E2646" s="115">
        <v>1496.74</v>
      </c>
      <c r="F2646" s="115">
        <v>7790.7</v>
      </c>
      <c r="G2646">
        <v>37371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45902</v>
      </c>
      <c r="B2647" s="115">
        <v>1570.18</v>
      </c>
      <c r="C2647" s="115">
        <v>1529.09</v>
      </c>
      <c r="D2647" s="115">
        <v>1527.4</v>
      </c>
      <c r="E2647" s="115">
        <v>1566</v>
      </c>
      <c r="F2647" s="115">
        <v>7645.45</v>
      </c>
      <c r="G2647">
        <v>35540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45903</v>
      </c>
      <c r="B2648" s="115">
        <v>1544.76</v>
      </c>
      <c r="C2648" s="115">
        <v>1541.14</v>
      </c>
      <c r="D2648" s="115">
        <v>1506</v>
      </c>
      <c r="E2648" s="115">
        <v>1544.27</v>
      </c>
      <c r="F2648" s="115">
        <v>7705.7</v>
      </c>
      <c r="G2648">
        <v>20935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45904</v>
      </c>
      <c r="B2649" s="115">
        <v>1573.89</v>
      </c>
      <c r="C2649" s="115">
        <v>1528.74</v>
      </c>
      <c r="D2649" s="115">
        <v>1523.1</v>
      </c>
      <c r="E2649" s="115">
        <v>1573.89</v>
      </c>
      <c r="F2649" s="115">
        <v>7643.7</v>
      </c>
      <c r="G2649">
        <v>19204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45905</v>
      </c>
      <c r="B2650" s="115">
        <v>1548.81</v>
      </c>
      <c r="C2650" s="115">
        <v>1521.02</v>
      </c>
      <c r="D2650" s="115">
        <v>1515.07</v>
      </c>
      <c r="E2650" s="115">
        <v>1532.01</v>
      </c>
      <c r="F2650" s="115">
        <v>7605.1</v>
      </c>
      <c r="G2650">
        <v>23120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45908</v>
      </c>
      <c r="B2651" s="115">
        <v>1549.85</v>
      </c>
      <c r="C2651" s="115">
        <v>1526.19</v>
      </c>
      <c r="D2651" s="115">
        <v>1515.5</v>
      </c>
      <c r="E2651" s="115">
        <v>1529.98</v>
      </c>
      <c r="F2651" s="115">
        <v>7630.95</v>
      </c>
      <c r="G2651">
        <v>13797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45909</v>
      </c>
      <c r="B2652" s="115">
        <v>1534.39</v>
      </c>
      <c r="C2652" s="115">
        <v>1521.64</v>
      </c>
      <c r="D2652" s="115">
        <v>1496.2</v>
      </c>
      <c r="E2652" s="115">
        <v>1527.24</v>
      </c>
      <c r="F2652" s="115">
        <v>7608.2</v>
      </c>
      <c r="G2652">
        <v>18183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45910</v>
      </c>
      <c r="B2653" s="115">
        <v>1555.5</v>
      </c>
      <c r="C2653" s="115">
        <v>1523.73</v>
      </c>
      <c r="D2653" s="115">
        <v>1516.95</v>
      </c>
      <c r="E2653" s="115">
        <v>1531.72</v>
      </c>
      <c r="F2653" s="115">
        <v>7618.65</v>
      </c>
      <c r="G2653">
        <v>22506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45911</v>
      </c>
      <c r="B2654" s="115">
        <v>1527</v>
      </c>
      <c r="C2654" s="115">
        <v>1513.65</v>
      </c>
      <c r="D2654" s="115">
        <v>1505.6</v>
      </c>
      <c r="E2654" s="115">
        <v>1522.02</v>
      </c>
      <c r="F2654" s="115">
        <v>7568.25</v>
      </c>
      <c r="G2654">
        <v>13339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45912</v>
      </c>
      <c r="B2655" s="115">
        <v>1562.07</v>
      </c>
      <c r="C2655" s="115">
        <v>1547.11</v>
      </c>
      <c r="D2655" s="115">
        <v>1512</v>
      </c>
      <c r="E2655" s="115">
        <v>1512</v>
      </c>
      <c r="F2655" s="115">
        <v>7735.55</v>
      </c>
      <c r="G2655">
        <v>22380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45915</v>
      </c>
      <c r="B2656" s="115">
        <v>1579.8</v>
      </c>
      <c r="C2656" s="115">
        <v>1552.08</v>
      </c>
      <c r="D2656" s="115">
        <v>1548</v>
      </c>
      <c r="E2656" s="115">
        <v>1560.52</v>
      </c>
      <c r="F2656" s="115">
        <v>7760.4</v>
      </c>
      <c r="G2656">
        <v>23074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45916</v>
      </c>
      <c r="B2657" s="115">
        <v>1554.98</v>
      </c>
      <c r="C2657" s="115">
        <v>1530.2</v>
      </c>
      <c r="D2657" s="115">
        <v>1522.11</v>
      </c>
      <c r="E2657" s="115">
        <v>1548.47</v>
      </c>
      <c r="F2657" s="115">
        <v>7651</v>
      </c>
      <c r="G2657">
        <v>28634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45917</v>
      </c>
      <c r="B2658" s="115">
        <v>1606.93</v>
      </c>
      <c r="C2658" s="115">
        <v>1583.89</v>
      </c>
      <c r="D2658" s="115">
        <v>1538.06</v>
      </c>
      <c r="E2658" s="115">
        <v>1543.96</v>
      </c>
      <c r="F2658" s="115">
        <v>7919.45</v>
      </c>
      <c r="G2658">
        <v>71279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45918</v>
      </c>
      <c r="B2659" s="115">
        <v>1603.7</v>
      </c>
      <c r="C2659" s="115">
        <v>1599.63</v>
      </c>
      <c r="D2659" s="115">
        <v>1586</v>
      </c>
      <c r="E2659" s="115">
        <v>1599.87</v>
      </c>
      <c r="F2659" s="115">
        <v>7998.15</v>
      </c>
      <c r="G2659">
        <v>28722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45919</v>
      </c>
      <c r="B2660" s="115">
        <v>1621.57</v>
      </c>
      <c r="C2660" s="115">
        <v>1609.76</v>
      </c>
      <c r="D2660" s="115">
        <v>1587.2</v>
      </c>
      <c r="E2660" s="115">
        <v>1599.8</v>
      </c>
      <c r="F2660" s="115">
        <v>8048.8</v>
      </c>
      <c r="G2660">
        <v>34832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45922</v>
      </c>
      <c r="B2661" s="115">
        <v>1624</v>
      </c>
      <c r="C2661" s="115">
        <v>1597.84</v>
      </c>
      <c r="D2661" s="115">
        <v>1591</v>
      </c>
      <c r="E2661" s="115">
        <v>1614.96</v>
      </c>
      <c r="F2661" s="115">
        <v>7989.2</v>
      </c>
      <c r="G2661">
        <v>19134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45923</v>
      </c>
      <c r="B2662" s="115">
        <v>1611.65</v>
      </c>
      <c r="C2662" s="115">
        <v>1607.37</v>
      </c>
      <c r="D2662" s="115">
        <v>1573.65</v>
      </c>
      <c r="E2662" s="115">
        <v>1598</v>
      </c>
      <c r="F2662" s="115">
        <v>8036.85</v>
      </c>
      <c r="G2662">
        <v>15908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45924</v>
      </c>
      <c r="B2663" s="115">
        <v>1623.93</v>
      </c>
      <c r="C2663" s="115">
        <v>1591.7</v>
      </c>
      <c r="D2663" s="115">
        <v>1585.4</v>
      </c>
      <c r="E2663" s="115">
        <v>1612.97</v>
      </c>
      <c r="F2663" s="115">
        <v>7958.5</v>
      </c>
      <c r="G2663">
        <v>18261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45925</v>
      </c>
      <c r="B2664" s="115">
        <v>1618.8</v>
      </c>
      <c r="C2664" s="115">
        <v>1604.53</v>
      </c>
      <c r="D2664" s="115">
        <v>1584.64</v>
      </c>
      <c r="E2664" s="115">
        <v>1601.13</v>
      </c>
      <c r="F2664" s="115">
        <v>8022.65</v>
      </c>
      <c r="G2664">
        <v>20521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45926</v>
      </c>
      <c r="B2665" s="115">
        <v>1617.2</v>
      </c>
      <c r="C2665" s="115">
        <v>1584.43</v>
      </c>
      <c r="D2665" s="115">
        <v>1573.21</v>
      </c>
      <c r="E2665" s="115">
        <v>1609.91</v>
      </c>
      <c r="F2665" s="115">
        <v>7922.15</v>
      </c>
      <c r="G2665">
        <v>25774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45929</v>
      </c>
      <c r="B2666" s="115">
        <v>1614.4</v>
      </c>
      <c r="C2666" s="115">
        <v>1587.92</v>
      </c>
      <c r="D2666" s="115">
        <v>1582.59</v>
      </c>
      <c r="E2666" s="115">
        <v>1586.23</v>
      </c>
      <c r="F2666" s="115">
        <v>7939.6</v>
      </c>
      <c r="G2666">
        <v>26886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45930</v>
      </c>
      <c r="B2667" s="115">
        <v>1601.04</v>
      </c>
      <c r="C2667" s="115">
        <v>1559.31</v>
      </c>
      <c r="D2667" s="115">
        <v>1545.65</v>
      </c>
      <c r="E2667" s="115">
        <v>1601.04</v>
      </c>
      <c r="F2667" s="115">
        <v>7796.55</v>
      </c>
      <c r="G2667">
        <v>14287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45931</v>
      </c>
      <c r="B2668" s="115">
        <v>1602.8</v>
      </c>
      <c r="C2668" s="115">
        <v>1599.43</v>
      </c>
      <c r="D2668" s="115">
        <v>1551.31</v>
      </c>
      <c r="E2668" s="115">
        <v>1560.49</v>
      </c>
      <c r="F2668" s="115">
        <v>7997.15</v>
      </c>
      <c r="G2668">
        <v>30607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45933</v>
      </c>
      <c r="B2669" s="115">
        <v>1642</v>
      </c>
      <c r="C2669" s="115">
        <v>1629.27</v>
      </c>
      <c r="D2669" s="115">
        <v>1596.68</v>
      </c>
      <c r="E2669" s="115">
        <v>1613.89</v>
      </c>
      <c r="F2669" s="115">
        <v>8146.35</v>
      </c>
      <c r="G2669">
        <v>29517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45936</v>
      </c>
      <c r="B2670" s="115">
        <v>1655</v>
      </c>
      <c r="C2670" s="115">
        <v>1638.05</v>
      </c>
      <c r="D2670" s="115">
        <v>1630.99</v>
      </c>
      <c r="E2670" s="115">
        <v>1649.01</v>
      </c>
      <c r="F2670" s="115">
        <v>8190.25</v>
      </c>
      <c r="G2670">
        <v>19846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45937</v>
      </c>
      <c r="B2671" s="115">
        <v>1665</v>
      </c>
      <c r="C2671" s="115">
        <v>1640.77</v>
      </c>
      <c r="D2671" s="115">
        <v>1630.9</v>
      </c>
      <c r="E2671" s="115">
        <v>1650.04</v>
      </c>
      <c r="F2671" s="115">
        <v>8203.85</v>
      </c>
      <c r="G2671">
        <v>16967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45938</v>
      </c>
      <c r="B2672" s="115">
        <v>1654.95</v>
      </c>
      <c r="C2672" s="115">
        <v>1636.59</v>
      </c>
      <c r="D2672" s="115">
        <v>1625.97</v>
      </c>
      <c r="E2672" s="115">
        <v>1651.93</v>
      </c>
      <c r="F2672" s="115">
        <v>8182.95</v>
      </c>
      <c r="G2672">
        <v>10633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45939</v>
      </c>
      <c r="B2673" s="115">
        <v>1749.99</v>
      </c>
      <c r="C2673" s="115">
        <v>1742.17</v>
      </c>
      <c r="D2673" s="115">
        <v>1636.4</v>
      </c>
      <c r="E2673" s="115">
        <v>1637.9</v>
      </c>
      <c r="F2673" s="115">
        <v>8710.85</v>
      </c>
      <c r="G2673">
        <v>71436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45940</v>
      </c>
      <c r="B2674" s="115">
        <v>1778.28</v>
      </c>
      <c r="C2674" s="115">
        <v>1737.75</v>
      </c>
      <c r="D2674" s="115">
        <v>1723.44</v>
      </c>
      <c r="E2674" s="115">
        <v>1742</v>
      </c>
      <c r="F2674" s="115">
        <v>8688.75</v>
      </c>
      <c r="G2674">
        <v>47093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45943</v>
      </c>
      <c r="B2675" s="115">
        <v>1797</v>
      </c>
      <c r="C2675" s="115">
        <v>1787.4</v>
      </c>
      <c r="D2675" s="115">
        <v>1730.01</v>
      </c>
      <c r="E2675" s="115">
        <v>1730.01</v>
      </c>
      <c r="F2675" s="115">
        <v>8937</v>
      </c>
      <c r="G2675">
        <v>114162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45944</v>
      </c>
      <c r="B2676" s="115">
        <v>1891.49</v>
      </c>
      <c r="C2676" s="115">
        <v>1879.9</v>
      </c>
      <c r="D2676" s="115">
        <v>1804.19</v>
      </c>
      <c r="E2676" s="115">
        <v>1813.1</v>
      </c>
      <c r="F2676" s="115">
        <v>9399.5</v>
      </c>
      <c r="G2676">
        <v>104241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45945</v>
      </c>
      <c r="B2677" s="115">
        <v>1922.48</v>
      </c>
      <c r="C2677" s="115">
        <v>1907.67</v>
      </c>
      <c r="D2677" s="115">
        <v>1884.55</v>
      </c>
      <c r="E2677" s="115">
        <v>1900.3</v>
      </c>
      <c r="F2677" s="115">
        <v>9538.35</v>
      </c>
      <c r="G2677">
        <v>67402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45946</v>
      </c>
      <c r="B2678" s="115">
        <v>1919.96</v>
      </c>
      <c r="C2678" s="115">
        <v>1864.9</v>
      </c>
      <c r="D2678" s="115">
        <v>1855</v>
      </c>
      <c r="E2678" s="115">
        <v>1919.96</v>
      </c>
      <c r="F2678" s="115">
        <v>9324.5</v>
      </c>
      <c r="G2678">
        <v>35369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45947</v>
      </c>
      <c r="B2679" s="115">
        <v>1897.95</v>
      </c>
      <c r="C2679" s="115">
        <v>1865.92</v>
      </c>
      <c r="D2679" s="115">
        <v>1858.67</v>
      </c>
      <c r="E2679" s="115">
        <v>1868.03</v>
      </c>
      <c r="F2679" s="115">
        <v>9329.6</v>
      </c>
      <c r="G2679">
        <v>21643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45950</v>
      </c>
      <c r="B2680" s="115">
        <v>1881.59</v>
      </c>
      <c r="C2680" s="115">
        <v>1838.45</v>
      </c>
      <c r="D2680" s="115">
        <v>1821.9</v>
      </c>
      <c r="E2680" s="115">
        <v>1880</v>
      </c>
      <c r="F2680" s="115">
        <v>9192.25</v>
      </c>
      <c r="G2680">
        <v>29944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45951</v>
      </c>
      <c r="B2681" s="115">
        <v>1856.83</v>
      </c>
      <c r="C2681" s="115">
        <v>1837.17</v>
      </c>
      <c r="D2681" s="115">
        <v>1832.26</v>
      </c>
      <c r="E2681" s="115">
        <v>1856.83</v>
      </c>
      <c r="F2681" s="115">
        <v>9185.85</v>
      </c>
      <c r="G2681">
        <v>4013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45953</v>
      </c>
      <c r="B2682" s="115">
        <v>1869.39</v>
      </c>
      <c r="C2682" s="115">
        <v>1851.01</v>
      </c>
      <c r="D2682" s="115">
        <v>1808.14</v>
      </c>
      <c r="E2682" s="115">
        <v>1832.99</v>
      </c>
      <c r="F2682" s="115">
        <v>9255.0499999999993</v>
      </c>
      <c r="G2682">
        <v>36870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45954</v>
      </c>
      <c r="B2683" s="115">
        <v>1851.59</v>
      </c>
      <c r="C2683" s="115">
        <v>1803.46</v>
      </c>
      <c r="D2683" s="115">
        <v>1796.43</v>
      </c>
      <c r="E2683" s="115">
        <v>1849.21</v>
      </c>
      <c r="F2683" s="115">
        <v>9017.2999999999993</v>
      </c>
      <c r="G2683">
        <v>13752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45957</v>
      </c>
      <c r="B2684" s="115">
        <v>1866.6</v>
      </c>
      <c r="C2684" s="115">
        <v>1861.73</v>
      </c>
      <c r="D2684" s="115">
        <v>1796.2</v>
      </c>
      <c r="E2684" s="115">
        <v>1803.4</v>
      </c>
      <c r="F2684" s="115">
        <v>9308.65</v>
      </c>
      <c r="G2684">
        <v>35880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45958</v>
      </c>
      <c r="B2685" s="115">
        <v>1871.95</v>
      </c>
      <c r="C2685" s="115">
        <v>1823.42</v>
      </c>
      <c r="D2685" s="115">
        <v>1814.2</v>
      </c>
      <c r="E2685" s="115">
        <v>1871.95</v>
      </c>
      <c r="F2685" s="115">
        <v>9117.1</v>
      </c>
      <c r="G2685">
        <v>32413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45959</v>
      </c>
      <c r="B2686" s="115">
        <v>1840</v>
      </c>
      <c r="C2686" s="115">
        <v>1834.55</v>
      </c>
      <c r="D2686" s="115">
        <v>1802.41</v>
      </c>
      <c r="E2686" s="115">
        <v>1837.96</v>
      </c>
      <c r="F2686" s="115">
        <v>9172.75</v>
      </c>
      <c r="G2686">
        <v>19474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45960</v>
      </c>
      <c r="B2687" s="115">
        <v>1836.97</v>
      </c>
      <c r="C2687" s="115">
        <v>1820.7</v>
      </c>
      <c r="D2687" s="115">
        <v>1813.09</v>
      </c>
      <c r="E2687" s="115">
        <v>1836.97</v>
      </c>
      <c r="F2687" s="115">
        <v>9103.5</v>
      </c>
      <c r="G2687">
        <v>10814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45961</v>
      </c>
      <c r="B2688" s="115">
        <v>1862</v>
      </c>
      <c r="C2688" s="115">
        <v>1849.74</v>
      </c>
      <c r="D2688" s="115">
        <v>1821.4</v>
      </c>
      <c r="E2688" s="115">
        <v>1821.4</v>
      </c>
      <c r="F2688" s="115">
        <v>9248.7000000000007</v>
      </c>
      <c r="G2688">
        <v>23955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45964</v>
      </c>
      <c r="B2689" s="115">
        <v>1924.64</v>
      </c>
      <c r="C2689" s="115">
        <v>1905.48</v>
      </c>
      <c r="D2689" s="115">
        <v>1855.99</v>
      </c>
      <c r="E2689" s="115">
        <v>1856</v>
      </c>
      <c r="F2689" s="115">
        <v>9527.4</v>
      </c>
      <c r="G2689">
        <v>46492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45965</v>
      </c>
      <c r="B2690" s="115">
        <v>1925.48</v>
      </c>
      <c r="C2690" s="115">
        <v>1864.81</v>
      </c>
      <c r="D2690" s="115">
        <v>1860</v>
      </c>
      <c r="E2690" s="115">
        <v>1924.1</v>
      </c>
      <c r="F2690" s="115">
        <v>9324.0499999999993</v>
      </c>
      <c r="G2690">
        <v>27122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45967</v>
      </c>
      <c r="B2691" s="115">
        <v>1885.59</v>
      </c>
      <c r="C2691" s="115">
        <v>1850.43</v>
      </c>
      <c r="D2691" s="115">
        <v>1835.86</v>
      </c>
      <c r="E2691" s="115">
        <v>1873.21</v>
      </c>
      <c r="F2691" s="115">
        <v>9252.15</v>
      </c>
      <c r="G2691">
        <v>17631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45968</v>
      </c>
      <c r="B2692" s="115">
        <v>1900</v>
      </c>
      <c r="C2692" s="115">
        <v>1885.23</v>
      </c>
      <c r="D2692" s="115">
        <v>1761.43</v>
      </c>
      <c r="E2692" s="115">
        <v>1826.95</v>
      </c>
      <c r="F2692" s="115">
        <v>9426.15</v>
      </c>
      <c r="G2692">
        <v>65388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45971</v>
      </c>
      <c r="B2693" s="115">
        <v>1917.6</v>
      </c>
      <c r="C2693" s="115">
        <v>1906.59</v>
      </c>
      <c r="D2693" s="115">
        <v>1865.4</v>
      </c>
      <c r="E2693" s="115">
        <v>1885.23</v>
      </c>
      <c r="F2693" s="115">
        <v>9532.9500000000007</v>
      </c>
      <c r="G2693">
        <v>21503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45972</v>
      </c>
      <c r="B2694" s="115">
        <v>1951.99</v>
      </c>
      <c r="C2694" s="115">
        <v>1898.63</v>
      </c>
      <c r="D2694" s="115">
        <v>1886.04</v>
      </c>
      <c r="E2694" s="115">
        <v>1918.53</v>
      </c>
      <c r="F2694" s="115">
        <v>9493.15</v>
      </c>
      <c r="G2694">
        <v>45546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45973</v>
      </c>
      <c r="B2695" s="115">
        <v>1919</v>
      </c>
      <c r="C2695" s="115">
        <v>1885.31</v>
      </c>
      <c r="D2695" s="115">
        <v>1876.6</v>
      </c>
      <c r="E2695" s="115">
        <v>1900.74</v>
      </c>
      <c r="F2695" s="115">
        <v>9426.5499999999993</v>
      </c>
      <c r="G2695">
        <v>19897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45974</v>
      </c>
      <c r="B2696" s="115">
        <v>1944.6</v>
      </c>
      <c r="C2696" s="115">
        <v>1922.53</v>
      </c>
      <c r="D2696" s="115">
        <v>1891.55</v>
      </c>
      <c r="E2696" s="115">
        <v>1909.01</v>
      </c>
      <c r="F2696" s="115">
        <v>9612.65</v>
      </c>
      <c r="G2696">
        <v>30603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45975</v>
      </c>
      <c r="B2697" s="115">
        <v>1949</v>
      </c>
      <c r="C2697" s="115">
        <v>1932.62</v>
      </c>
      <c r="D2697" s="115">
        <v>1887.25</v>
      </c>
      <c r="E2697" s="115">
        <v>1919.33</v>
      </c>
      <c r="F2697" s="115">
        <v>9663.1</v>
      </c>
      <c r="G2697">
        <v>24859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45978</v>
      </c>
      <c r="B2698" s="115">
        <v>1959</v>
      </c>
      <c r="C2698" s="115">
        <v>1939.28</v>
      </c>
      <c r="D2698" s="115">
        <v>1928</v>
      </c>
      <c r="E2698" s="115">
        <v>1947.61</v>
      </c>
      <c r="F2698" s="115">
        <v>9696.4</v>
      </c>
      <c r="G2698">
        <v>18186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45979</v>
      </c>
      <c r="B2699" s="115">
        <v>1948.8</v>
      </c>
      <c r="C2699" s="115">
        <v>1933.07</v>
      </c>
      <c r="D2699" s="115">
        <v>1921.51</v>
      </c>
      <c r="E2699" s="115">
        <v>1941.69</v>
      </c>
      <c r="F2699" s="115">
        <v>9665.35</v>
      </c>
      <c r="G2699">
        <v>12564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45980</v>
      </c>
      <c r="B2700" s="115">
        <v>1967.6</v>
      </c>
      <c r="C2700" s="115">
        <v>1959.43</v>
      </c>
      <c r="D2700" s="115">
        <v>1933.07</v>
      </c>
      <c r="E2700" s="115">
        <v>1933.08</v>
      </c>
      <c r="F2700" s="115">
        <v>9797.15</v>
      </c>
      <c r="G2700">
        <v>23242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45981</v>
      </c>
      <c r="B2701" s="115">
        <v>1995</v>
      </c>
      <c r="C2701" s="115">
        <v>1971.69</v>
      </c>
      <c r="D2701" s="115">
        <v>1962.61</v>
      </c>
      <c r="E2701" s="115">
        <v>1977.92</v>
      </c>
      <c r="F2701" s="115">
        <v>9858.4500000000007</v>
      </c>
      <c r="G2701">
        <v>20798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45982</v>
      </c>
      <c r="B2702" s="115">
        <v>1970</v>
      </c>
      <c r="C2702" s="115">
        <v>1935.17</v>
      </c>
      <c r="D2702" s="115">
        <v>1931.2</v>
      </c>
      <c r="E2702" s="115">
        <v>1966</v>
      </c>
      <c r="F2702" s="115">
        <v>9675.85</v>
      </c>
      <c r="G2702">
        <v>15204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45985</v>
      </c>
      <c r="B2703" s="115">
        <v>1977</v>
      </c>
      <c r="C2703" s="115">
        <v>1973</v>
      </c>
      <c r="D2703" s="115">
        <v>1933.24</v>
      </c>
      <c r="E2703" s="115">
        <v>1945</v>
      </c>
      <c r="F2703" s="115">
        <v>9865</v>
      </c>
      <c r="G2703">
        <v>13266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45986</v>
      </c>
      <c r="B2704" s="115">
        <v>1990.2</v>
      </c>
      <c r="C2704" s="115">
        <v>1974.33</v>
      </c>
      <c r="D2704" s="115">
        <v>1962.54</v>
      </c>
      <c r="E2704" s="115">
        <v>1978.21</v>
      </c>
      <c r="F2704" s="115">
        <v>9871.65</v>
      </c>
      <c r="G2704">
        <v>12610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45987</v>
      </c>
      <c r="B2705" s="115">
        <v>2061.81</v>
      </c>
      <c r="C2705" s="115">
        <v>2054.92</v>
      </c>
      <c r="D2705" s="115">
        <v>1975.05</v>
      </c>
      <c r="E2705" s="115">
        <v>1975.05</v>
      </c>
      <c r="F2705" s="115">
        <v>10274.6</v>
      </c>
      <c r="G2705">
        <v>51645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45988</v>
      </c>
      <c r="B2706" s="115">
        <v>2094.08</v>
      </c>
      <c r="C2706" s="115">
        <v>2084.3000000000002</v>
      </c>
      <c r="D2706" s="115">
        <v>2051.08</v>
      </c>
      <c r="E2706" s="115">
        <v>2067.27</v>
      </c>
      <c r="F2706" s="115">
        <v>10421.5</v>
      </c>
      <c r="G2706">
        <v>22079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45989</v>
      </c>
      <c r="B2707" s="115">
        <v>2090.79</v>
      </c>
      <c r="C2707" s="115">
        <v>2015.52</v>
      </c>
      <c r="D2707" s="115">
        <v>1991</v>
      </c>
      <c r="E2707" s="115">
        <v>2084.8000000000002</v>
      </c>
      <c r="F2707" s="115">
        <v>10077.6</v>
      </c>
      <c r="G2707">
        <v>32495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45992</v>
      </c>
      <c r="B2708" s="115">
        <v>2060.1999999999998</v>
      </c>
      <c r="C2708" s="115">
        <v>2041.98</v>
      </c>
      <c r="D2708" s="115">
        <v>2028.01</v>
      </c>
      <c r="E2708" s="115">
        <v>2030.21</v>
      </c>
      <c r="F2708" s="115">
        <v>10209.9</v>
      </c>
      <c r="G2708">
        <v>23877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45993</v>
      </c>
      <c r="B2709">
        <v>2069.8000000000002</v>
      </c>
      <c r="C2709">
        <v>2043.28</v>
      </c>
      <c r="D2709">
        <v>2036.55</v>
      </c>
      <c r="E2709">
        <v>2049.9699999999998</v>
      </c>
      <c r="F2709">
        <v>10216.4</v>
      </c>
      <c r="G2709">
        <v>13657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45994</v>
      </c>
      <c r="B2710">
        <v>2069.5700000000002</v>
      </c>
      <c r="C2710">
        <v>2027.81</v>
      </c>
      <c r="D2710">
        <v>2008.2</v>
      </c>
      <c r="E2710">
        <v>2045</v>
      </c>
      <c r="F2710">
        <v>10139.049999999999</v>
      </c>
      <c r="G2710">
        <v>10332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45995</v>
      </c>
      <c r="B2711">
        <v>2061.4</v>
      </c>
      <c r="C2711">
        <v>2023.26</v>
      </c>
      <c r="D2711">
        <v>1997.6</v>
      </c>
      <c r="E2711">
        <v>2039.6</v>
      </c>
      <c r="F2711">
        <v>10116.299999999999</v>
      </c>
      <c r="G2711">
        <v>31246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45996</v>
      </c>
      <c r="B2712">
        <v>2071.65</v>
      </c>
      <c r="C2712">
        <v>2068.4299999999998</v>
      </c>
      <c r="D2712">
        <v>2022.61</v>
      </c>
      <c r="E2712">
        <v>2022.61</v>
      </c>
      <c r="F2712">
        <v>10342.15</v>
      </c>
      <c r="G2712">
        <v>14629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45999</v>
      </c>
      <c r="B2713">
        <v>2103.12</v>
      </c>
      <c r="C2713">
        <v>2037.38</v>
      </c>
      <c r="D2713">
        <v>2028.96</v>
      </c>
      <c r="E2713">
        <v>2073.6</v>
      </c>
      <c r="F2713">
        <v>10186.9</v>
      </c>
      <c r="G2713">
        <v>16553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46000</v>
      </c>
      <c r="B2714">
        <v>2074.5300000000002</v>
      </c>
      <c r="C2714">
        <v>2070.6799999999998</v>
      </c>
      <c r="D2714">
        <v>1988.23</v>
      </c>
      <c r="E2714">
        <v>2024.46</v>
      </c>
      <c r="F2714">
        <v>10353.4</v>
      </c>
      <c r="G2714">
        <v>25671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46001</v>
      </c>
      <c r="B2715">
        <v>2079.9499999999998</v>
      </c>
      <c r="C2715">
        <v>1969</v>
      </c>
      <c r="D2715">
        <v>1954.4</v>
      </c>
      <c r="E2715">
        <v>2079.9499999999998</v>
      </c>
      <c r="F2715">
        <v>9845</v>
      </c>
      <c r="G2715">
        <v>17588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46002</v>
      </c>
      <c r="B2716">
        <v>2012</v>
      </c>
      <c r="C2716">
        <v>1987.86</v>
      </c>
      <c r="D2716">
        <v>1948.67</v>
      </c>
      <c r="E2716">
        <v>1972.29</v>
      </c>
      <c r="F2716">
        <v>9939.2999999999993</v>
      </c>
      <c r="G2716">
        <v>19944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46003</v>
      </c>
      <c r="B2717">
        <v>2037</v>
      </c>
      <c r="C2717">
        <v>2033.14</v>
      </c>
      <c r="D2717">
        <v>1990.77</v>
      </c>
      <c r="E2717">
        <v>1990.77</v>
      </c>
      <c r="F2717">
        <v>10165.700000000001</v>
      </c>
      <c r="G2717">
        <v>35091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46006</v>
      </c>
      <c r="B2718">
        <v>2051.1999999999998</v>
      </c>
      <c r="C2718">
        <v>2038.17</v>
      </c>
      <c r="D2718">
        <v>2018.81</v>
      </c>
      <c r="E2718">
        <v>2039.66</v>
      </c>
      <c r="F2718">
        <v>10190.85</v>
      </c>
      <c r="G2718">
        <v>16230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46007</v>
      </c>
      <c r="B2719">
        <v>2045.2</v>
      </c>
      <c r="C2719">
        <v>2033.85</v>
      </c>
      <c r="D2719">
        <v>2002.52</v>
      </c>
      <c r="E2719">
        <v>2035.01</v>
      </c>
      <c r="F2719">
        <v>10169.25</v>
      </c>
      <c r="G2719">
        <v>14786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46008</v>
      </c>
      <c r="B2720">
        <v>2044.02</v>
      </c>
      <c r="C2720">
        <v>2004.82</v>
      </c>
      <c r="D2720">
        <v>1995.3</v>
      </c>
      <c r="E2720">
        <v>2026.46</v>
      </c>
      <c r="F2720">
        <v>10024.1</v>
      </c>
      <c r="G2720">
        <v>16409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46009</v>
      </c>
      <c r="B2721">
        <v>2049</v>
      </c>
      <c r="C2721">
        <v>2034.46</v>
      </c>
      <c r="D2721">
        <v>1989.8</v>
      </c>
      <c r="E2721">
        <v>2026</v>
      </c>
      <c r="F2721">
        <v>10172.299999999999</v>
      </c>
      <c r="G2721">
        <v>13897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46010</v>
      </c>
      <c r="B2722">
        <v>2072.8200000000002</v>
      </c>
      <c r="C2722">
        <v>2061.12</v>
      </c>
      <c r="D2722">
        <v>2036.82</v>
      </c>
      <c r="E2722">
        <v>2049.9299999999998</v>
      </c>
      <c r="F2722">
        <v>10305.6</v>
      </c>
      <c r="G2722">
        <v>17329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46013</v>
      </c>
      <c r="B2723">
        <v>2169</v>
      </c>
      <c r="C2723">
        <v>2163.2399999999998</v>
      </c>
      <c r="D2723">
        <v>2065.59</v>
      </c>
      <c r="E2723">
        <v>2075.21</v>
      </c>
      <c r="F2723">
        <v>10816.2</v>
      </c>
      <c r="G2723">
        <v>27958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46014</v>
      </c>
      <c r="B2724">
        <v>2185.79</v>
      </c>
      <c r="C2724">
        <v>2164.9899999999998</v>
      </c>
      <c r="D2724">
        <v>2148</v>
      </c>
      <c r="E2724">
        <v>2185.79</v>
      </c>
      <c r="F2724">
        <v>10824.95</v>
      </c>
      <c r="G2724">
        <v>20527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46015</v>
      </c>
      <c r="B2725">
        <v>2186.09</v>
      </c>
      <c r="C2725">
        <v>2165.54</v>
      </c>
      <c r="D2725">
        <v>2161.23</v>
      </c>
      <c r="E2725">
        <v>2174.9499999999998</v>
      </c>
      <c r="F2725">
        <v>10827.7</v>
      </c>
      <c r="G2725">
        <v>9535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46017</v>
      </c>
      <c r="B2726">
        <v>2221.6799999999998</v>
      </c>
      <c r="C2726">
        <v>2211.8000000000002</v>
      </c>
      <c r="D2726">
        <v>2162</v>
      </c>
      <c r="E2726">
        <v>2171.81</v>
      </c>
      <c r="F2726">
        <v>11059</v>
      </c>
      <c r="G2726">
        <v>30061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46020</v>
      </c>
      <c r="B2727">
        <v>2243.69</v>
      </c>
      <c r="C2727">
        <v>2187.56</v>
      </c>
      <c r="D2727">
        <v>2180</v>
      </c>
      <c r="E2727">
        <v>2237.8200000000002</v>
      </c>
      <c r="F2727">
        <v>10937.8</v>
      </c>
      <c r="G2727">
        <v>31653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46021</v>
      </c>
      <c r="B2728">
        <v>2206.38</v>
      </c>
      <c r="C2728">
        <v>2179.06</v>
      </c>
      <c r="D2728">
        <v>2163.21</v>
      </c>
      <c r="E2728">
        <v>2163.21</v>
      </c>
      <c r="F2728">
        <v>10895.3</v>
      </c>
      <c r="G2728">
        <v>19153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46022</v>
      </c>
      <c r="B2729">
        <v>2239.6</v>
      </c>
      <c r="C2729">
        <v>2227.6799999999998</v>
      </c>
      <c r="D2729">
        <v>2196.86</v>
      </c>
      <c r="E2729">
        <v>2207.59</v>
      </c>
      <c r="F2729">
        <v>11138.4</v>
      </c>
      <c r="G2729">
        <v>30323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46023</v>
      </c>
      <c r="B2730">
        <v>2234.79</v>
      </c>
      <c r="C2730">
        <v>2197.7199999999998</v>
      </c>
      <c r="D2730">
        <v>2194</v>
      </c>
      <c r="E2730">
        <v>2234.79</v>
      </c>
      <c r="F2730">
        <v>10988.6</v>
      </c>
      <c r="G2730">
        <v>18651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46024</v>
      </c>
      <c r="B2731">
        <v>2277</v>
      </c>
      <c r="C2731">
        <v>2215.15</v>
      </c>
      <c r="D2731">
        <v>2192</v>
      </c>
      <c r="E2731">
        <v>2228</v>
      </c>
      <c r="F2731">
        <v>2215.15</v>
      </c>
      <c r="G2731">
        <v>507209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46027</v>
      </c>
      <c r="B2732">
        <v>2230</v>
      </c>
      <c r="C2732">
        <v>2198.0500000000002</v>
      </c>
      <c r="D2732">
        <v>2176.35</v>
      </c>
      <c r="E2732">
        <v>2224.5</v>
      </c>
      <c r="F2732">
        <v>2198.0500000000002</v>
      </c>
      <c r="G2732">
        <v>85122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46028</v>
      </c>
      <c r="B2733">
        <v>2271.35</v>
      </c>
      <c r="C2733">
        <v>2248.4</v>
      </c>
      <c r="D2733">
        <v>2190</v>
      </c>
      <c r="E2733">
        <v>2205.0500000000002</v>
      </c>
      <c r="F2733">
        <v>2248.4</v>
      </c>
      <c r="G2733">
        <v>131844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46029</v>
      </c>
      <c r="B2734">
        <v>2315</v>
      </c>
      <c r="C2734">
        <v>2305.4</v>
      </c>
      <c r="D2734">
        <v>2233.6999999999998</v>
      </c>
      <c r="E2734">
        <v>2255</v>
      </c>
      <c r="F2734">
        <v>2305.4</v>
      </c>
      <c r="G2734">
        <v>218991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46030</v>
      </c>
      <c r="B2735">
        <v>2340</v>
      </c>
      <c r="C2735">
        <v>2230.5500000000002</v>
      </c>
      <c r="D2735">
        <v>2224</v>
      </c>
      <c r="E2735">
        <v>2313.85</v>
      </c>
      <c r="F2735">
        <v>2230.5500000000002</v>
      </c>
      <c r="G2735">
        <v>180521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46031</v>
      </c>
      <c r="B2736">
        <v>2257.9499999999998</v>
      </c>
      <c r="C2736">
        <v>2190.9</v>
      </c>
      <c r="D2736">
        <v>2175</v>
      </c>
      <c r="E2736">
        <v>2230.4499999999998</v>
      </c>
      <c r="F2736">
        <v>2190.9</v>
      </c>
      <c r="G2736">
        <v>120664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46034</v>
      </c>
      <c r="B2737">
        <v>2247.5500000000002</v>
      </c>
      <c r="C2737">
        <v>2234.25</v>
      </c>
      <c r="D2737">
        <v>2194</v>
      </c>
      <c r="E2737">
        <v>2206.1999999999998</v>
      </c>
      <c r="F2737">
        <v>2234.25</v>
      </c>
      <c r="G2737">
        <v>108125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46035</v>
      </c>
      <c r="B2738">
        <v>2303</v>
      </c>
      <c r="C2738">
        <v>2289.75</v>
      </c>
      <c r="D2738">
        <v>2240.9</v>
      </c>
      <c r="E2738">
        <v>2254.9</v>
      </c>
      <c r="F2738">
        <v>2289.75</v>
      </c>
      <c r="G2738">
        <v>271761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46036</v>
      </c>
      <c r="B2739">
        <v>2445.8000000000002</v>
      </c>
      <c r="C2739">
        <v>2418.0500000000002</v>
      </c>
      <c r="D2739">
        <v>2287.6999999999998</v>
      </c>
      <c r="E2739">
        <v>2309.9499999999998</v>
      </c>
      <c r="F2739">
        <v>2418.0500000000002</v>
      </c>
      <c r="G2739">
        <v>353629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46038</v>
      </c>
      <c r="B2740">
        <v>2498</v>
      </c>
      <c r="C2740">
        <v>2445</v>
      </c>
      <c r="D2740">
        <v>2426.0500000000002</v>
      </c>
      <c r="E2740">
        <v>2447.1</v>
      </c>
      <c r="F2740">
        <v>2445</v>
      </c>
      <c r="G2740">
        <v>278439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46041</v>
      </c>
      <c r="B2741">
        <v>2485.75</v>
      </c>
      <c r="C2741">
        <v>2429.5</v>
      </c>
      <c r="D2741">
        <v>2418.0500000000002</v>
      </c>
      <c r="E2741">
        <v>2460</v>
      </c>
      <c r="F2741">
        <v>2429.5</v>
      </c>
      <c r="G2741">
        <v>152253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46042</v>
      </c>
      <c r="B2742">
        <v>2455.9</v>
      </c>
      <c r="C2742">
        <v>2374.1999999999998</v>
      </c>
      <c r="D2742">
        <v>2342.85</v>
      </c>
      <c r="E2742">
        <v>2442.8000000000002</v>
      </c>
      <c r="F2742">
        <v>2374.1999999999998</v>
      </c>
      <c r="G2742">
        <v>456804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46043</v>
      </c>
      <c r="B2743">
        <v>2424.6999999999998</v>
      </c>
      <c r="C2743">
        <v>2320.85</v>
      </c>
      <c r="D2743">
        <v>2305.1</v>
      </c>
      <c r="E2743">
        <v>2374.25</v>
      </c>
      <c r="F2743">
        <v>2320.85</v>
      </c>
      <c r="G2743">
        <v>246422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46044</v>
      </c>
      <c r="B2744">
        <v>2410</v>
      </c>
      <c r="C2744">
        <v>2315.0500000000002</v>
      </c>
      <c r="D2744">
        <v>2243.35</v>
      </c>
      <c r="E2744">
        <v>2350.0500000000002</v>
      </c>
      <c r="F2744">
        <v>2315.0500000000002</v>
      </c>
      <c r="G2744">
        <v>344053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46045</v>
      </c>
      <c r="B2745">
        <v>2358.6</v>
      </c>
      <c r="C2745">
        <v>2282.65</v>
      </c>
      <c r="D2745">
        <v>2274.0500000000002</v>
      </c>
      <c r="E2745">
        <v>2320.1</v>
      </c>
      <c r="F2745">
        <v>2282.65</v>
      </c>
      <c r="G2745">
        <v>152252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46049</v>
      </c>
      <c r="B2746">
        <v>2445</v>
      </c>
      <c r="C2746">
        <v>2422.1</v>
      </c>
      <c r="D2746">
        <v>2301</v>
      </c>
      <c r="E2746">
        <v>2385.4</v>
      </c>
      <c r="F2746">
        <v>2422.1</v>
      </c>
      <c r="G2746">
        <v>533228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46050</v>
      </c>
      <c r="B2747">
        <v>2604.9499999999998</v>
      </c>
      <c r="C2747">
        <v>2594.5</v>
      </c>
      <c r="D2747">
        <v>2464.0500000000002</v>
      </c>
      <c r="E2747">
        <v>2475.0500000000002</v>
      </c>
      <c r="F2747">
        <v>2594.5</v>
      </c>
      <c r="G2747">
        <v>603746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46051</v>
      </c>
      <c r="B2748">
        <v>2706</v>
      </c>
      <c r="C2748">
        <v>2690.45</v>
      </c>
      <c r="D2748">
        <v>2628.8</v>
      </c>
      <c r="E2748">
        <v>2650</v>
      </c>
      <c r="F2748">
        <v>2690.45</v>
      </c>
      <c r="G2748">
        <v>403250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46052</v>
      </c>
      <c r="B2749">
        <v>2685</v>
      </c>
      <c r="C2749">
        <v>2524.9499999999998</v>
      </c>
      <c r="D2749">
        <v>2490</v>
      </c>
      <c r="E2749">
        <v>2685</v>
      </c>
      <c r="F2749">
        <v>2524.9499999999998</v>
      </c>
      <c r="G2749">
        <v>475264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46054</v>
      </c>
      <c r="B2750">
        <v>2375</v>
      </c>
      <c r="C2750">
        <v>2232.15</v>
      </c>
      <c r="D2750">
        <v>2068.4</v>
      </c>
      <c r="E2750">
        <v>2300.1999999999998</v>
      </c>
      <c r="F2750">
        <v>2232.15</v>
      </c>
      <c r="G2750">
        <v>1228545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H2751" s="115"/>
      <c r="I2751" s="115"/>
    </row>
    <row r="2752" spans="1:18" x14ac:dyDescent="0.25">
      <c r="H2752" s="115"/>
      <c r="I2752" s="115"/>
    </row>
    <row r="2753" spans="8:9" x14ac:dyDescent="0.25">
      <c r="H2753" s="115"/>
      <c r="I2753" s="115"/>
    </row>
    <row r="2754" spans="8:9" x14ac:dyDescent="0.25">
      <c r="H2754" s="115"/>
      <c r="I2754" s="115"/>
    </row>
    <row r="2755" spans="8:9" x14ac:dyDescent="0.25">
      <c r="H2755" s="115"/>
      <c r="I2755" s="115"/>
    </row>
    <row r="2756" spans="8:9" x14ac:dyDescent="0.25">
      <c r="H2756" s="115"/>
      <c r="I2756" s="115"/>
    </row>
    <row r="2757" spans="8:9" x14ac:dyDescent="0.25">
      <c r="H2757" s="115"/>
      <c r="I2757" s="115"/>
    </row>
    <row r="2758" spans="8:9" x14ac:dyDescent="0.25">
      <c r="H2758" s="115"/>
      <c r="I2758" s="115"/>
    </row>
    <row r="2759" spans="8:9" x14ac:dyDescent="0.25">
      <c r="H2759" s="115"/>
      <c r="I2759" s="115"/>
    </row>
    <row r="2760" spans="8:9" x14ac:dyDescent="0.25">
      <c r="H2760" s="115"/>
      <c r="I2760" s="115"/>
    </row>
    <row r="2761" spans="8:9" x14ac:dyDescent="0.25">
      <c r="H2761" s="115"/>
      <c r="I2761" s="115"/>
    </row>
    <row r="2762" spans="8:9" x14ac:dyDescent="0.25">
      <c r="H2762" s="115"/>
      <c r="I2762" s="115"/>
    </row>
    <row r="2763" spans="8:9" x14ac:dyDescent="0.25">
      <c r="H2763" s="115"/>
      <c r="I2763" s="115"/>
    </row>
    <row r="2764" spans="8:9" x14ac:dyDescent="0.25">
      <c r="H2764" s="115"/>
      <c r="I2764" s="115"/>
    </row>
    <row r="2765" spans="8:9" x14ac:dyDescent="0.25">
      <c r="H2765" s="115"/>
      <c r="I2765" s="115"/>
    </row>
    <row r="2766" spans="8:9" x14ac:dyDescent="0.25">
      <c r="H2766" s="115"/>
      <c r="I2766" s="115"/>
    </row>
    <row r="2767" spans="8:9" x14ac:dyDescent="0.25">
      <c r="H2767" s="115"/>
      <c r="I2767" s="115"/>
    </row>
    <row r="2768" spans="8:9" x14ac:dyDescent="0.25">
      <c r="H2768" s="115"/>
      <c r="I2768" s="115"/>
    </row>
    <row r="2769" spans="8:9" x14ac:dyDescent="0.25">
      <c r="H2769" s="115"/>
      <c r="I2769" s="115"/>
    </row>
    <row r="2770" spans="8:9" x14ac:dyDescent="0.25">
      <c r="H2770" s="115"/>
      <c r="I2770" s="115"/>
    </row>
    <row r="2771" spans="8:9" x14ac:dyDescent="0.25">
      <c r="H2771" s="115"/>
      <c r="I2771" s="115"/>
    </row>
    <row r="2772" spans="8:9" x14ac:dyDescent="0.25">
      <c r="H2772" s="115"/>
      <c r="I2772" s="115"/>
    </row>
    <row r="2773" spans="8:9" x14ac:dyDescent="0.25">
      <c r="H2773" s="115"/>
      <c r="I2773" s="115"/>
    </row>
    <row r="2774" spans="8:9" x14ac:dyDescent="0.25">
      <c r="H2774" s="115"/>
      <c r="I2774" s="115"/>
    </row>
    <row r="2775" spans="8:9" x14ac:dyDescent="0.25">
      <c r="H2775" s="115"/>
      <c r="I2775" s="115"/>
    </row>
    <row r="2776" spans="8:9" x14ac:dyDescent="0.25">
      <c r="H2776" s="115"/>
      <c r="I2776" s="115"/>
    </row>
    <row r="2777" spans="8:9" x14ac:dyDescent="0.25">
      <c r="H2777" s="115"/>
      <c r="I2777" s="115"/>
    </row>
    <row r="2778" spans="8:9" x14ac:dyDescent="0.25">
      <c r="H2778" s="115"/>
      <c r="I2778" s="115"/>
    </row>
    <row r="2779" spans="8:9" x14ac:dyDescent="0.25">
      <c r="H2779" s="115"/>
      <c r="I2779" s="115"/>
    </row>
    <row r="2780" spans="8:9" x14ac:dyDescent="0.25">
      <c r="H2780" s="115"/>
      <c r="I2780" s="115"/>
    </row>
    <row r="2781" spans="8:9" x14ac:dyDescent="0.25">
      <c r="H2781" s="115"/>
      <c r="I2781" s="115"/>
    </row>
    <row r="2782" spans="8:9" x14ac:dyDescent="0.25">
      <c r="H2782" s="115"/>
      <c r="I2782" s="115"/>
    </row>
    <row r="2783" spans="8:9" x14ac:dyDescent="0.25">
      <c r="H2783" s="115"/>
      <c r="I2783" s="115"/>
    </row>
    <row r="2784" spans="8:9" x14ac:dyDescent="0.25">
      <c r="H2784" s="115"/>
      <c r="I2784" s="115"/>
    </row>
    <row r="2785" spans="8:9" x14ac:dyDescent="0.25">
      <c r="H2785" s="115"/>
      <c r="I2785" s="115"/>
    </row>
    <row r="2786" spans="8:9" x14ac:dyDescent="0.25">
      <c r="H2786" s="115"/>
      <c r="I2786" s="115"/>
    </row>
    <row r="2787" spans="8:9" x14ac:dyDescent="0.25">
      <c r="H2787" s="115"/>
      <c r="I2787" s="115"/>
    </row>
    <row r="2788" spans="8:9" x14ac:dyDescent="0.25">
      <c r="H2788" s="115"/>
      <c r="I2788" s="115"/>
    </row>
    <row r="2789" spans="8:9" x14ac:dyDescent="0.25">
      <c r="H2789" s="115"/>
      <c r="I2789" s="115"/>
    </row>
    <row r="2790" spans="8:9" x14ac:dyDescent="0.25">
      <c r="H2790" s="115"/>
      <c r="I2790" s="115"/>
    </row>
    <row r="2791" spans="8:9" x14ac:dyDescent="0.25">
      <c r="H2791" s="115"/>
      <c r="I2791" s="115"/>
    </row>
    <row r="2792" spans="8:9" x14ac:dyDescent="0.25">
      <c r="H2792" s="115"/>
      <c r="I2792" s="115"/>
    </row>
    <row r="2793" spans="8:9" x14ac:dyDescent="0.25">
      <c r="H2793" s="115"/>
      <c r="I2793" s="115"/>
    </row>
    <row r="2794" spans="8:9" x14ac:dyDescent="0.25">
      <c r="H2794" s="115"/>
      <c r="I2794" s="115"/>
    </row>
    <row r="2795" spans="8:9" x14ac:dyDescent="0.25">
      <c r="H2795" s="115"/>
      <c r="I2795" s="115"/>
    </row>
    <row r="2796" spans="8:9" x14ac:dyDescent="0.25">
      <c r="H2796" s="115"/>
      <c r="I2796" s="115"/>
    </row>
    <row r="2797" spans="8:9" x14ac:dyDescent="0.25">
      <c r="H2797" s="115"/>
      <c r="I2797" s="115"/>
    </row>
    <row r="2798" spans="8:9" x14ac:dyDescent="0.25">
      <c r="H2798" s="115"/>
      <c r="I2798" s="115"/>
    </row>
    <row r="2799" spans="8:9" x14ac:dyDescent="0.25">
      <c r="H2799" s="115"/>
      <c r="I2799" s="115"/>
    </row>
    <row r="2800" spans="8:9" x14ac:dyDescent="0.25">
      <c r="H2800" s="115"/>
      <c r="I2800" s="115"/>
    </row>
    <row r="2801" spans="8:9" x14ac:dyDescent="0.25">
      <c r="H2801" s="115"/>
      <c r="I2801" s="115"/>
    </row>
    <row r="2802" spans="8:9" x14ac:dyDescent="0.25">
      <c r="H2802" s="115"/>
      <c r="I2802" s="115"/>
    </row>
    <row r="2803" spans="8:9" x14ac:dyDescent="0.25">
      <c r="H2803" s="115"/>
      <c r="I2803" s="115"/>
    </row>
    <row r="2804" spans="8:9" x14ac:dyDescent="0.25">
      <c r="H2804" s="115"/>
      <c r="I2804" s="115"/>
    </row>
    <row r="2805" spans="8:9" x14ac:dyDescent="0.25">
      <c r="H2805" s="115"/>
      <c r="I2805" s="115"/>
    </row>
    <row r="2806" spans="8:9" x14ac:dyDescent="0.25">
      <c r="H2806" s="115"/>
      <c r="I2806" s="115"/>
    </row>
    <row r="2807" spans="8:9" x14ac:dyDescent="0.25">
      <c r="H2807" s="115"/>
      <c r="I2807" s="115"/>
    </row>
    <row r="2808" spans="8:9" x14ac:dyDescent="0.25">
      <c r="H2808" s="115"/>
      <c r="I2808" s="115"/>
    </row>
    <row r="2809" spans="8:9" x14ac:dyDescent="0.25">
      <c r="H2809" s="115"/>
      <c r="I2809" s="115"/>
    </row>
    <row r="2810" spans="8:9" x14ac:dyDescent="0.25">
      <c r="H2810" s="115"/>
      <c r="I2810" s="115"/>
    </row>
    <row r="2811" spans="8:9" x14ac:dyDescent="0.25">
      <c r="H2811" s="115"/>
      <c r="I2811" s="115"/>
    </row>
    <row r="2812" spans="8:9" x14ac:dyDescent="0.25">
      <c r="H2812" s="115"/>
      <c r="I2812" s="115"/>
    </row>
    <row r="2813" spans="8:9" x14ac:dyDescent="0.25">
      <c r="H2813" s="115"/>
      <c r="I2813" s="115"/>
    </row>
    <row r="2814" spans="8:9" x14ac:dyDescent="0.25">
      <c r="H2814" s="115"/>
      <c r="I2814" s="115"/>
    </row>
    <row r="2815" spans="8:9" x14ac:dyDescent="0.25">
      <c r="H2815" s="115"/>
      <c r="I2815" s="115"/>
    </row>
    <row r="2816" spans="8:9" x14ac:dyDescent="0.25">
      <c r="H2816" s="115"/>
      <c r="I2816" s="115"/>
    </row>
    <row r="2817" spans="8:9" x14ac:dyDescent="0.25">
      <c r="H2817" s="115"/>
      <c r="I2817" s="115"/>
    </row>
    <row r="2818" spans="8:9" x14ac:dyDescent="0.25">
      <c r="H2818" s="115"/>
      <c r="I2818" s="115"/>
    </row>
    <row r="2819" spans="8:9" x14ac:dyDescent="0.25">
      <c r="H2819" s="115"/>
      <c r="I2819" s="115"/>
    </row>
    <row r="2820" spans="8:9" x14ac:dyDescent="0.25">
      <c r="H2820" s="115"/>
      <c r="I2820" s="115"/>
    </row>
    <row r="2821" spans="8:9" x14ac:dyDescent="0.25">
      <c r="H2821" s="115"/>
      <c r="I2821" s="115"/>
    </row>
    <row r="2822" spans="8:9" x14ac:dyDescent="0.25">
      <c r="H2822" s="115"/>
      <c r="I2822" s="115"/>
    </row>
    <row r="2823" spans="8:9" x14ac:dyDescent="0.25">
      <c r="H2823" s="115"/>
      <c r="I2823" s="115"/>
    </row>
    <row r="2824" spans="8:9" x14ac:dyDescent="0.25">
      <c r="H2824" s="115"/>
      <c r="I2824" s="115"/>
    </row>
    <row r="2825" spans="8:9" x14ac:dyDescent="0.25">
      <c r="H2825" s="115"/>
      <c r="I2825" s="115"/>
    </row>
    <row r="2826" spans="8:9" x14ac:dyDescent="0.25">
      <c r="H2826" s="115"/>
      <c r="I2826" s="115"/>
    </row>
    <row r="2827" spans="8:9" x14ac:dyDescent="0.25">
      <c r="H2827" s="115"/>
      <c r="I2827" s="115"/>
    </row>
    <row r="2828" spans="8:9" x14ac:dyDescent="0.25">
      <c r="H2828" s="115"/>
      <c r="I2828" s="115"/>
    </row>
    <row r="2829" spans="8:9" x14ac:dyDescent="0.25">
      <c r="H2829" s="115"/>
      <c r="I2829" s="115"/>
    </row>
    <row r="2830" spans="8:9" x14ac:dyDescent="0.25">
      <c r="H2830" s="115"/>
      <c r="I2830" s="115"/>
    </row>
    <row r="2831" spans="8:9" x14ac:dyDescent="0.25">
      <c r="H2831" s="115"/>
      <c r="I2831" s="115"/>
    </row>
    <row r="2832" spans="8:9" x14ac:dyDescent="0.25">
      <c r="H2832" s="115"/>
      <c r="I2832" s="115"/>
    </row>
    <row r="2833" spans="8:9" x14ac:dyDescent="0.25">
      <c r="H2833" s="115"/>
      <c r="I2833" s="115"/>
    </row>
    <row r="2834" spans="8:9" x14ac:dyDescent="0.25">
      <c r="H2834" s="115"/>
      <c r="I2834" s="115"/>
    </row>
    <row r="2835" spans="8:9" x14ac:dyDescent="0.25">
      <c r="H2835" s="115"/>
      <c r="I2835" s="115"/>
    </row>
    <row r="2836" spans="8:9" x14ac:dyDescent="0.25">
      <c r="H2836" s="115"/>
      <c r="I2836" s="115"/>
    </row>
    <row r="2837" spans="8:9" x14ac:dyDescent="0.25">
      <c r="H2837" s="115"/>
      <c r="I2837" s="115"/>
    </row>
    <row r="2838" spans="8:9" x14ac:dyDescent="0.25">
      <c r="H2838" s="115"/>
      <c r="I2838" s="115"/>
    </row>
    <row r="2839" spans="8:9" x14ac:dyDescent="0.25">
      <c r="H2839" s="115"/>
      <c r="I2839" s="115"/>
    </row>
    <row r="2840" spans="8:9" x14ac:dyDescent="0.25">
      <c r="H2840" s="115"/>
      <c r="I2840" s="115"/>
    </row>
    <row r="2841" spans="8:9" x14ac:dyDescent="0.25">
      <c r="H2841" s="115"/>
      <c r="I2841" s="115"/>
    </row>
    <row r="2842" spans="8:9" x14ac:dyDescent="0.25">
      <c r="H2842" s="115"/>
      <c r="I2842" s="115"/>
    </row>
    <row r="2843" spans="8:9" x14ac:dyDescent="0.25">
      <c r="H2843" s="115"/>
      <c r="I2843" s="115"/>
    </row>
    <row r="2844" spans="8:9" x14ac:dyDescent="0.25">
      <c r="H2844" s="115"/>
      <c r="I2844" s="115"/>
    </row>
    <row r="2845" spans="8:9" x14ac:dyDescent="0.25">
      <c r="H2845" s="115"/>
      <c r="I2845" s="115"/>
    </row>
    <row r="2846" spans="8:9" x14ac:dyDescent="0.25">
      <c r="H2846" s="115"/>
      <c r="I2846" s="115"/>
    </row>
    <row r="2847" spans="8:9" x14ac:dyDescent="0.25">
      <c r="H2847" s="115"/>
      <c r="I2847" s="115"/>
    </row>
    <row r="2848" spans="8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Research Team 2</cp:lastModifiedBy>
  <cp:revision/>
  <dcterms:created xsi:type="dcterms:W3CDTF">2021-10-05T05:45:27Z</dcterms:created>
  <dcterms:modified xsi:type="dcterms:W3CDTF">2026-04-29T03:57:17Z</dcterms:modified>
  <cp:category/>
  <cp:contentStatus/>
</cp:coreProperties>
</file>