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9C1C9C1-E0D8-4115-AAD0-5F57BEEC00C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71" i="2"/>
  <c r="AE95" i="2"/>
  <c r="AE58" i="2"/>
  <c r="AB78" i="2"/>
  <c r="AB94" i="2"/>
  <c r="AC24" i="2"/>
  <c r="AC78" i="2"/>
  <c r="AC106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72" i="2"/>
  <c r="AC96" i="2"/>
  <c r="AC60" i="2"/>
  <c r="AF80" i="2"/>
  <c r="AF96" i="2"/>
  <c r="AE27" i="2"/>
  <c r="AE81" i="2"/>
  <c r="AE109" i="2"/>
  <c r="AD29" i="2"/>
  <c r="AF69" i="2"/>
  <c r="AC104" i="2"/>
  <c r="AB98" i="2"/>
  <c r="AC47" i="2"/>
  <c r="AE107" i="2"/>
  <c r="AC44" i="2"/>
  <c r="AF95" i="2"/>
  <c r="AB64" i="2"/>
  <c r="AE68" i="2"/>
  <c r="AE80" i="2"/>
  <c r="AF94" i="2"/>
  <c r="AD85" i="2"/>
  <c r="AF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B60" i="2"/>
  <c r="AD11" i="2"/>
  <c r="AF90" i="2"/>
  <c r="AE63" i="2"/>
  <c r="AC43" i="2"/>
  <c r="AC110" i="2"/>
  <c r="AE31" i="2"/>
  <c r="AC16" i="2"/>
  <c r="AE79" i="2"/>
  <c r="AF104" i="2"/>
  <c r="AC17" i="2"/>
  <c r="AD17" i="2"/>
  <c r="AF107" i="2"/>
  <c r="AC26" i="2"/>
  <c r="AE92" i="2"/>
  <c r="AE50" i="2"/>
  <c r="AC80" i="2"/>
  <c r="AD69" i="2"/>
  <c r="AE65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D31" i="2"/>
  <c r="AF62" i="2"/>
  <c r="AC22" i="2"/>
  <c r="AC49" i="2"/>
  <c r="AE66" i="2"/>
  <c r="AE78" i="2"/>
  <c r="AE90" i="2"/>
  <c r="AF49" i="2"/>
  <c r="AC76" i="2"/>
  <c r="AE89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9" i="2"/>
  <c r="AF34" i="2"/>
  <c r="AD63" i="2"/>
  <c r="AE25" i="2"/>
  <c r="AE52" i="2"/>
  <c r="AC67" i="2"/>
  <c r="AC79" i="2"/>
  <c r="AB16" i="2"/>
  <c r="AB92" i="2"/>
  <c r="AC62" i="2"/>
  <c r="AC5" i="2"/>
  <c r="AF78" i="2"/>
  <c r="AD8" i="2"/>
  <c r="AD16" i="2"/>
  <c r="AD24" i="2"/>
  <c r="AF79" i="2"/>
  <c r="AF6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35" i="2"/>
  <c r="AE83" i="2"/>
  <c r="AE7" i="2"/>
  <c r="AB70" i="2"/>
  <c r="AB86" i="2"/>
  <c r="AB106" i="2"/>
  <c r="AC66" i="2"/>
  <c r="AC90" i="2"/>
  <c r="AC48" i="2"/>
  <c r="AD90" i="2"/>
  <c r="AC10" i="2"/>
  <c r="AE72" i="2"/>
  <c r="AF30" i="2"/>
  <c r="AD67" i="2"/>
  <c r="AC88" i="2"/>
  <c r="AB104" i="2"/>
  <c r="AE67" i="2"/>
  <c r="AF76" i="2"/>
  <c r="AC14" i="2"/>
  <c r="AD35" i="2"/>
  <c r="AF86" i="2"/>
  <c r="AC55" i="2"/>
  <c r="AD93" i="2"/>
  <c r="AE77" i="2"/>
  <c r="AE105" i="2"/>
  <c r="AF77" i="2"/>
  <c r="AC77" i="2"/>
  <c r="AF14" i="2"/>
  <c r="AE46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51" i="2"/>
  <c r="AC84" i="2"/>
  <c r="AC20" i="2"/>
  <c r="AF72" i="2"/>
  <c r="AF88" i="2"/>
  <c r="AF108" i="2"/>
  <c r="AE69" i="2"/>
  <c r="AE93" i="2"/>
  <c r="AC94" i="2"/>
  <c r="AB19" i="2"/>
  <c r="AB41" i="2"/>
  <c r="AD74" i="2"/>
  <c r="AD15" i="2"/>
  <c r="AE60" i="2"/>
  <c r="AE84" i="2"/>
  <c r="AD83" i="2"/>
  <c r="AD99" i="2"/>
  <c r="AB74" i="2"/>
  <c r="AE73" i="2"/>
  <c r="AE91" i="2"/>
  <c r="AC65" i="2"/>
  <c r="AF110" i="2"/>
  <c r="AC82" i="2"/>
  <c r="AB66" i="2"/>
  <c r="AC91" i="2"/>
  <c r="AE19" i="2"/>
  <c r="AF84" i="2"/>
  <c r="AC86" i="2"/>
  <c r="AD32" i="2"/>
  <c r="AC56" i="2"/>
  <c r="AF71" i="2"/>
  <c r="AF87" i="2"/>
  <c r="AB36" i="2"/>
  <c r="AC53" i="2"/>
  <c r="AD54" i="2"/>
  <c r="AC32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54" i="2"/>
  <c r="AE87" i="2"/>
  <c r="AE23" i="2"/>
  <c r="AD73" i="2"/>
  <c r="AD89" i="2"/>
  <c r="AD109" i="2"/>
  <c r="AC70" i="2"/>
  <c r="AC9" i="2"/>
  <c r="AB6" i="2"/>
  <c r="AB57" i="2"/>
  <c r="AD98" i="2"/>
  <c r="AB90" i="2"/>
  <c r="AE97" i="2"/>
  <c r="AB32" i="2"/>
  <c r="AB68" i="2"/>
  <c r="AF92" i="2"/>
  <c r="AE62" i="2"/>
  <c r="AC107" i="2"/>
  <c r="AF106" i="2"/>
  <c r="AE11" i="2"/>
  <c r="AF85" i="2"/>
  <c r="AB28" i="2"/>
  <c r="AE21" i="2"/>
  <c r="AC28" i="2"/>
  <c r="AE99" i="2"/>
  <c r="AD97" i="2"/>
  <c r="AD75" i="2"/>
  <c r="AD91" i="2"/>
  <c r="AD51" i="2"/>
  <c r="AD52" i="2"/>
  <c r="AD19" i="2"/>
  <c r="AC108" i="2"/>
  <c r="AD105" i="2"/>
  <c r="AB11" i="2"/>
  <c r="AB27" i="2"/>
  <c r="AB35" i="2"/>
  <c r="AB46" i="2"/>
  <c r="AB54" i="2"/>
  <c r="AC21" i="2"/>
  <c r="AC33" i="2"/>
  <c r="AB22" i="2"/>
  <c r="AD66" i="2"/>
  <c r="AD82" i="2"/>
  <c r="AD110" i="2"/>
  <c r="AD50" i="2"/>
  <c r="AC34" i="2"/>
  <c r="AC99" i="2"/>
  <c r="AB62" i="2"/>
  <c r="AE61" i="2"/>
  <c r="AC36" i="2"/>
  <c r="AB110" i="2"/>
  <c r="AC85" i="2"/>
  <c r="AB84" i="2"/>
  <c r="AE42" i="2"/>
  <c r="AC8" i="2"/>
  <c r="AC98" i="2"/>
  <c r="AC41" i="2"/>
  <c r="AE74" i="2"/>
  <c r="AE86" i="2"/>
  <c r="AC68" i="2"/>
  <c r="AD77" i="2"/>
  <c r="AD48" i="2"/>
  <c r="AF93" i="2"/>
  <c r="AF105" i="2"/>
  <c r="AC105" i="2"/>
  <c r="AE48" i="2"/>
  <c r="AB82" i="2"/>
  <c r="AE85" i="2"/>
  <c r="AB51" i="2"/>
  <c r="AB76" i="2"/>
  <c r="AF68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C93" i="2"/>
  <c r="AF18" i="2"/>
  <c r="AF53" i="2"/>
  <c r="AE13" i="2"/>
  <c r="AE40" i="2"/>
  <c r="AC61" i="2"/>
  <c r="AC73" i="2"/>
  <c r="AE106" i="2"/>
  <c r="AF64" i="2"/>
  <c r="AC74" i="2"/>
  <c r="AF70" i="2"/>
  <c r="AC89" i="2"/>
  <c r="AD46" i="2"/>
  <c r="AF74" i="2"/>
  <c r="AE75" i="2"/>
  <c r="AD81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E96" i="2"/>
  <c r="AB20" i="2"/>
  <c r="AB55" i="2"/>
  <c r="AD65" i="2"/>
  <c r="AC92" i="2"/>
  <c r="AF61" i="2"/>
  <c r="AD43" i="2"/>
  <c r="AC29" i="2"/>
  <c r="AD33" i="2"/>
  <c r="AF63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3" i="1"/>
  <c r="AA231" i="1"/>
  <c r="AA194" i="1"/>
  <c r="AA182" i="1"/>
  <c r="AA37" i="1"/>
  <c r="AA120" i="1"/>
  <c r="AA154" i="1"/>
  <c r="AA10" i="1"/>
  <c r="AA252" i="1"/>
  <c r="AA134" i="1"/>
  <c r="AA138" i="1" s="1"/>
  <c r="B1" i="9"/>
  <c r="AD111" i="2"/>
  <c r="AB111" i="2"/>
  <c r="L1" i="9"/>
  <c r="AD112" i="2"/>
  <c r="AD113" i="2"/>
  <c r="AE111" i="2"/>
  <c r="AB113" i="2"/>
  <c r="AA74" i="1" s="1"/>
  <c r="AF111" i="2"/>
  <c r="AC111" i="2"/>
  <c r="AE113" i="2"/>
  <c r="AC113" i="2"/>
  <c r="AB112" i="2"/>
  <c r="AA73" i="1" s="1"/>
  <c r="AF113" i="2"/>
  <c r="AF112" i="2"/>
  <c r="AC112" i="2"/>
  <c r="AE112" i="2"/>
  <c r="A1" i="9"/>
  <c r="AA183" i="1" l="1"/>
  <c r="AA180" i="1"/>
  <c r="AA179" i="1"/>
  <c r="AA175" i="1"/>
  <c r="AA173" i="1"/>
  <c r="AA161" i="1"/>
  <c r="AA33" i="1"/>
  <c r="AA27" i="1"/>
  <c r="AA156" i="1"/>
  <c r="AA16" i="1"/>
  <c r="AA98" i="1"/>
  <c r="AA168" i="1"/>
  <c r="AA109" i="1" s="1"/>
  <c r="AA129" i="1"/>
  <c r="AA15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44" i="1" l="1"/>
  <c r="AA181" i="1"/>
  <c r="AA248" i="1"/>
  <c r="AA246" i="1"/>
  <c r="AA185" i="1"/>
  <c r="AA28" i="1"/>
  <c r="AA17" i="1"/>
  <c r="AA165" i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86" i="1" l="1"/>
  <c r="AA184" i="1"/>
  <c r="AA29" i="1"/>
  <c r="AA34" i="1"/>
  <c r="AA232" i="1"/>
  <c r="AA233" i="1" s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E46" i="3"/>
  <c r="BF16" i="3"/>
  <c r="CL20" i="1" s="1"/>
  <c r="BT25" i="3"/>
  <c r="BP28" i="3"/>
  <c r="BM35" i="3"/>
  <c r="BF13" i="3"/>
  <c r="BL28" i="3"/>
  <c r="BI6" i="3"/>
  <c r="BE22" i="3"/>
  <c r="BI38" i="3"/>
  <c r="BH7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BU5" i="3"/>
  <c r="BU11" i="3"/>
  <c r="BU17" i="3"/>
  <c r="BU23" i="3"/>
  <c r="BU29" i="3"/>
  <c r="BU35" i="3"/>
  <c r="BU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F8" i="3"/>
  <c r="BJ22" i="3"/>
  <c r="BT31" i="3"/>
  <c r="BP34" i="3"/>
  <c r="BE37" i="3"/>
  <c r="BN13" i="3"/>
  <c r="BL30" i="3"/>
  <c r="BK7" i="3"/>
  <c r="BK23" i="3"/>
  <c r="BE40" i="3"/>
  <c r="BL13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BA23" i="3"/>
  <c r="BD17" i="3"/>
  <c r="BB23" i="3"/>
  <c r="Z82" i="2"/>
  <c r="FF15" i="4" a="1"/>
  <c r="EY12" i="4" a="1"/>
  <c r="EX6" i="4" a="1"/>
  <c r="FE11" i="4" a="1"/>
  <c r="Y58" i="2"/>
  <c r="Z77" i="2"/>
  <c r="Z95" i="2"/>
  <c r="Z29" i="2"/>
  <c r="BA6" i="3"/>
  <c r="BC39" i="3"/>
  <c r="BD35" i="3"/>
  <c r="Y109" i="2"/>
  <c r="AA12" i="2"/>
  <c r="Y74" i="2"/>
  <c r="BC23" i="3"/>
  <c r="BQ6" i="3"/>
  <c r="BQ12" i="3"/>
  <c r="BQ18" i="3"/>
  <c r="BQ24" i="3"/>
  <c r="BQ30" i="3"/>
  <c r="BQ36" i="3"/>
  <c r="BQ42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J14" i="3"/>
  <c r="BN28" i="3"/>
  <c r="BT37" i="3"/>
  <c r="BP40" i="3"/>
  <c r="BK38" i="3"/>
  <c r="BJ15" i="3"/>
  <c r="BH32" i="3"/>
  <c r="BG9" i="3"/>
  <c r="BG25" i="3"/>
  <c r="BM40" i="3"/>
  <c r="BN16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BA7" i="3"/>
  <c r="BU6" i="3"/>
  <c r="BU12" i="3"/>
  <c r="BU18" i="3"/>
  <c r="BU24" i="3"/>
  <c r="BU30" i="3"/>
  <c r="BU36" i="3"/>
  <c r="BU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N20" i="3"/>
  <c r="BH35" i="3"/>
  <c r="BT45" i="3"/>
  <c r="BG40" i="3"/>
  <c r="BF17" i="3"/>
  <c r="CL21" i="1" s="1"/>
  <c r="BN33" i="3"/>
  <c r="BM10" i="3"/>
  <c r="BI26" i="3"/>
  <c r="BI42" i="3"/>
  <c r="BH2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AA49" i="2"/>
  <c r="Y18" i="2"/>
  <c r="Z42" i="2"/>
  <c r="AA45" i="2"/>
  <c r="EY11" i="4" a="1"/>
  <c r="EY13" i="4" a="1"/>
  <c r="FB13" i="4" a="1"/>
  <c r="FD5" i="4" a="1"/>
  <c r="Z49" i="2"/>
  <c r="Z73" i="2"/>
  <c r="Z85" i="2"/>
  <c r="Y57" i="2"/>
  <c r="Y34" i="2"/>
  <c r="BQ7" i="3"/>
  <c r="BQ13" i="3"/>
  <c r="BQ19" i="3"/>
  <c r="BQ25" i="3"/>
  <c r="BQ31" i="3"/>
  <c r="BQ37" i="3"/>
  <c r="BQ45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92" i="3" s="1"/>
  <c r="BP22" i="3"/>
  <c r="BM37" i="3"/>
  <c r="BN19" i="3"/>
  <c r="BN45" i="3"/>
  <c r="BM22" i="3"/>
  <c r="BH5" i="3"/>
  <c r="BH59" i="3" s="1"/>
  <c r="BL37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BH25" i="3"/>
  <c r="BL45" i="3"/>
  <c r="BH27" i="3"/>
  <c r="BL41" i="3"/>
  <c r="BT8" i="3"/>
  <c r="BM25" i="3"/>
  <c r="BI41" i="3"/>
  <c r="BL18" i="3"/>
  <c r="BF35" i="3"/>
  <c r="CL46" i="1" s="1"/>
  <c r="BG11" i="3"/>
  <c r="BE28" i="3"/>
  <c r="BJ8" i="3"/>
  <c r="BF28" i="3"/>
  <c r="CL32" i="1" s="1"/>
  <c r="Y85" i="2"/>
  <c r="Z67" i="2"/>
  <c r="Y36" i="2"/>
  <c r="Z36" i="2"/>
  <c r="Z22" i="2"/>
  <c r="Y12" i="2"/>
  <c r="BC38" i="3"/>
  <c r="BA20" i="3"/>
  <c r="BC16" i="3"/>
  <c r="BD37" i="3"/>
  <c r="BC15" i="3"/>
  <c r="Y20" i="2"/>
  <c r="BU7" i="3"/>
  <c r="BU13" i="3"/>
  <c r="BU19" i="3"/>
  <c r="BU25" i="3"/>
  <c r="BU31" i="3"/>
  <c r="BU37" i="3"/>
  <c r="BU45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9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L33" i="3"/>
  <c r="BH11" i="3"/>
  <c r="BT18" i="3"/>
  <c r="BI27" i="3"/>
  <c r="BG42" i="3"/>
  <c r="BJ19" i="3"/>
  <c r="BH36" i="3"/>
  <c r="BM12" i="3"/>
  <c r="BM28" i="3"/>
  <c r="BH13" i="3"/>
  <c r="BJ34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BQ8" i="3"/>
  <c r="BQ14" i="3"/>
  <c r="BQ20" i="3"/>
  <c r="BQ26" i="3"/>
  <c r="BQ32" i="3"/>
  <c r="BQ38" i="3"/>
  <c r="BQ46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J6" i="3"/>
  <c r="BF40" i="3"/>
  <c r="BJ30" i="3"/>
  <c r="BT30" i="3"/>
  <c r="BE29" i="3"/>
  <c r="BM45" i="3"/>
  <c r="BL20" i="3"/>
  <c r="BJ37" i="3"/>
  <c r="BI14" i="3"/>
  <c r="BI30" i="3"/>
  <c r="BJ16" i="3"/>
  <c r="BN40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U8" i="3"/>
  <c r="BU14" i="3"/>
  <c r="BU20" i="3"/>
  <c r="BU26" i="3"/>
  <c r="BU32" i="3"/>
  <c r="BU38" i="3"/>
  <c r="BU46" i="3"/>
  <c r="BV9" i="3"/>
  <c r="BO38" i="3"/>
  <c r="BT35" i="3"/>
  <c r="BK26" i="3"/>
  <c r="BN5" i="3"/>
  <c r="BJ25" i="3"/>
  <c r="BG7" i="3"/>
  <c r="BG27" i="3"/>
  <c r="BU9" i="3"/>
  <c r="BU15" i="3"/>
  <c r="BU21" i="3"/>
  <c r="BU27" i="3"/>
  <c r="BU33" i="3"/>
  <c r="BU39" i="3"/>
  <c r="BQ62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16" i="3"/>
  <c r="BP41" i="3"/>
  <c r="BP13" i="3"/>
  <c r="BG8" i="3"/>
  <c r="BE13" i="3"/>
  <c r="BM17" i="3"/>
  <c r="BK22" i="3"/>
  <c r="BK36" i="3"/>
  <c r="BQ10" i="3"/>
  <c r="BQ16" i="3"/>
  <c r="BQ22" i="3"/>
  <c r="BQ28" i="3"/>
  <c r="BQ34" i="3"/>
  <c r="BQ40" i="3"/>
  <c r="BR5" i="3"/>
  <c r="BR11" i="3"/>
  <c r="BS41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F32" i="3"/>
  <c r="BN36" i="3"/>
  <c r="BT13" i="3"/>
  <c r="BP20" i="3"/>
  <c r="BI33" i="3"/>
  <c r="BN9" i="3"/>
  <c r="BH26" i="3"/>
  <c r="BF45" i="3"/>
  <c r="CL63" i="1" s="1"/>
  <c r="CL65" i="1" s="1"/>
  <c r="BK19" i="3"/>
  <c r="BK35" i="3"/>
  <c r="BJ40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BU10" i="3"/>
  <c r="BU16" i="3"/>
  <c r="BU22" i="3"/>
  <c r="BU28" i="3"/>
  <c r="BU34" i="3"/>
  <c r="BU40" i="3"/>
  <c r="BV5" i="3"/>
  <c r="BV11" i="3"/>
  <c r="BS42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Q9" i="3"/>
  <c r="BL26" i="3"/>
  <c r="BR34" i="3"/>
  <c r="BO30" i="3"/>
  <c r="BH6" i="3"/>
  <c r="BN30" i="3"/>
  <c r="BM7" i="3"/>
  <c r="BE35" i="3"/>
  <c r="BM14" i="3"/>
  <c r="BF14" i="3"/>
  <c r="CL23" i="1" s="1"/>
  <c r="BF24" i="3"/>
  <c r="BG32" i="3"/>
  <c r="BH42" i="3"/>
  <c r="BL35" i="3"/>
  <c r="Z55" i="2"/>
  <c r="AY29" i="3"/>
  <c r="AA58" i="2"/>
  <c r="BC45" i="3"/>
  <c r="BQ15" i="3"/>
  <c r="BM8" i="3"/>
  <c r="BV39" i="3"/>
  <c r="BS31" i="3"/>
  <c r="BF11" i="3"/>
  <c r="CL15" i="1" s="1"/>
  <c r="BL5" i="3"/>
  <c r="BE9" i="3"/>
  <c r="BM39" i="3"/>
  <c r="BI18" i="3"/>
  <c r="BH17" i="3"/>
  <c r="BL9" i="3"/>
  <c r="BK34" i="3"/>
  <c r="BK5" i="3"/>
  <c r="BK84" i="3" s="1"/>
  <c r="BH45" i="3"/>
  <c r="AA24" i="2"/>
  <c r="Z109" i="2"/>
  <c r="BA31" i="3"/>
  <c r="Z47" i="2"/>
  <c r="Z96" i="2"/>
  <c r="Z86" i="2"/>
  <c r="BB5" i="3"/>
  <c r="AA56" i="2"/>
  <c r="Y92" i="2"/>
  <c r="Z45" i="2"/>
  <c r="BB13" i="3"/>
  <c r="Y48" i="2"/>
  <c r="Y66" i="2"/>
  <c r="Z24" i="2"/>
  <c r="AA83" i="2"/>
  <c r="AA75" i="2"/>
  <c r="Z41" i="2"/>
  <c r="BC24" i="3"/>
  <c r="EX16" i="4" a="1"/>
  <c r="FD8" i="4" a="1"/>
  <c r="FF12" i="4" a="1"/>
  <c r="EY9" i="4" a="1"/>
  <c r="FE15" i="4" a="1"/>
  <c r="Z98" i="2"/>
  <c r="BA11" i="3"/>
  <c r="AA43" i="2"/>
  <c r="Z97" i="2"/>
  <c r="FC7" i="4" a="1"/>
  <c r="FF6" i="4" a="1"/>
  <c r="BK12" i="3"/>
  <c r="BJ13" i="3"/>
  <c r="BP6" i="3"/>
  <c r="BF7" i="3"/>
  <c r="BM16" i="3"/>
  <c r="Z89" i="2"/>
  <c r="Z9" i="2"/>
  <c r="BB22" i="3"/>
  <c r="Z110" i="2"/>
  <c r="BB14" i="3"/>
  <c r="BD28" i="3"/>
  <c r="Z71" i="2"/>
  <c r="FA11" i="4" a="1"/>
  <c r="FA13" i="4" a="1"/>
  <c r="BO24" i="3"/>
  <c r="BM46" i="3"/>
  <c r="C4" i="2"/>
  <c r="Z18" i="2"/>
  <c r="BD12" i="3"/>
  <c r="EX11" i="4" a="1"/>
  <c r="FB11" i="4" a="1"/>
  <c r="BQ21" i="3"/>
  <c r="BK29" i="3"/>
  <c r="BR40" i="3"/>
  <c r="BO36" i="3"/>
  <c r="BF27" i="3"/>
  <c r="BG12" i="3"/>
  <c r="BN11" i="3"/>
  <c r="BE32" i="3"/>
  <c r="BF30" i="3"/>
  <c r="BG45" i="3"/>
  <c r="BJ5" i="3"/>
  <c r="BK15" i="3"/>
  <c r="BK45" i="3"/>
  <c r="Y88" i="2"/>
  <c r="AA29" i="2"/>
  <c r="BD18" i="3"/>
  <c r="AA87" i="2"/>
  <c r="Y62" i="2"/>
  <c r="AA41" i="2"/>
  <c r="BA37" i="3"/>
  <c r="AA16" i="2"/>
  <c r="Z10" i="2"/>
  <c r="BA12" i="3"/>
  <c r="AA27" i="2"/>
  <c r="Z78" i="2"/>
  <c r="Y41" i="2"/>
  <c r="FF13" i="4" a="1"/>
  <c r="FB7" i="4" a="1"/>
  <c r="FE7" i="4" a="1"/>
  <c r="FA14" i="4" a="1"/>
  <c r="BT12" i="3"/>
  <c r="BK33" i="3"/>
  <c r="BL31" i="3"/>
  <c r="AA6" i="2"/>
  <c r="C5" i="2"/>
  <c r="AA22" i="2"/>
  <c r="BB31" i="3"/>
  <c r="EZ14" i="4" a="1"/>
  <c r="EZ15" i="4" a="1"/>
  <c r="BR28" i="3"/>
  <c r="BI23" i="3"/>
  <c r="BG30" i="3"/>
  <c r="Y83" i="2"/>
  <c r="BC12" i="3"/>
  <c r="BC14" i="3"/>
  <c r="AA84" i="2"/>
  <c r="Z84" i="2"/>
  <c r="EX12" i="4" a="1"/>
  <c r="BQ27" i="3"/>
  <c r="BJ24" i="3"/>
  <c r="BS5" i="3"/>
  <c r="BO37" i="3"/>
  <c r="BF29" i="3"/>
  <c r="CL39" i="1" s="1"/>
  <c r="BQ33" i="3"/>
  <c r="BJ32" i="3"/>
  <c r="BO6" i="3"/>
  <c r="BO40" i="3"/>
  <c r="BL34" i="3"/>
  <c r="BT24" i="3"/>
  <c r="BM13" i="3"/>
  <c r="BF15" i="3"/>
  <c r="CL24" i="1" s="1"/>
  <c r="BG35" i="3"/>
  <c r="BH33" i="3"/>
  <c r="BT9" i="3"/>
  <c r="BL8" i="3"/>
  <c r="BE18" i="3"/>
  <c r="BG59" i="3"/>
  <c r="AA53" i="2"/>
  <c r="Y24" i="2"/>
  <c r="BC25" i="3"/>
  <c r="Z40" i="2"/>
  <c r="AA11" i="2"/>
  <c r="Z68" i="2"/>
  <c r="BA40" i="3"/>
  <c r="AA108" i="2"/>
  <c r="Y11" i="2"/>
  <c r="Y77" i="2"/>
  <c r="BC31" i="3"/>
  <c r="AA31" i="2"/>
  <c r="BA13" i="3"/>
  <c r="BD24" i="3"/>
  <c r="Y107" i="2"/>
  <c r="Y40" i="2"/>
  <c r="AA59" i="2"/>
  <c r="FE5" i="4" a="1"/>
  <c r="FA5" i="4" a="1"/>
  <c r="FC16" i="4" a="1"/>
  <c r="EZ7" i="4" a="1"/>
  <c r="FC15" i="4" a="1"/>
  <c r="FE13" i="4" a="1"/>
  <c r="FC6" i="4" a="1"/>
  <c r="FB16" i="4" a="1"/>
  <c r="EX7" i="4" a="1"/>
  <c r="EY16" i="4" a="1"/>
  <c r="EY6" i="4" a="1"/>
  <c r="AA30" i="2"/>
  <c r="FF11" i="4" a="1"/>
  <c r="BQ39" i="3"/>
  <c r="BV15" i="3"/>
  <c r="BS11" i="3"/>
  <c r="BT21" i="3"/>
  <c r="BM6" i="3"/>
  <c r="BP25" i="3"/>
  <c r="BE17" i="3"/>
  <c r="BH18" i="3"/>
  <c r="BM38" i="3"/>
  <c r="BJ36" i="3"/>
  <c r="BT19" i="3"/>
  <c r="BJ11" i="3"/>
  <c r="BG21" i="3"/>
  <c r="AA72" i="2"/>
  <c r="AA93" i="2"/>
  <c r="BA9" i="3"/>
  <c r="Y42" i="2"/>
  <c r="Y98" i="2"/>
  <c r="Y78" i="2"/>
  <c r="BA42" i="3"/>
  <c r="Z57" i="2"/>
  <c r="Z46" i="2"/>
  <c r="Y84" i="2"/>
  <c r="BA14" i="3"/>
  <c r="Y7" i="2"/>
  <c r="BB6" i="3"/>
  <c r="BA18" i="3"/>
  <c r="Z56" i="2"/>
  <c r="BA30" i="3"/>
  <c r="BD20" i="3"/>
  <c r="FD7" i="4" a="1"/>
  <c r="FD15" i="4" a="1"/>
  <c r="FF9" i="4" a="1"/>
  <c r="EX15" i="4" a="1"/>
  <c r="BQ56" i="3"/>
  <c r="BR16" i="3"/>
  <c r="BO12" i="3"/>
  <c r="BT27" i="3"/>
  <c r="BI8" i="3"/>
  <c r="BP33" i="3"/>
  <c r="BI17" i="3"/>
  <c r="BJ31" i="3"/>
  <c r="BF42" i="3"/>
  <c r="CL51" i="1" s="1"/>
  <c r="BN12" i="3"/>
  <c r="BT42" i="3"/>
  <c r="BH22" i="3"/>
  <c r="BK31" i="3"/>
  <c r="Y28" i="2"/>
  <c r="Z13" i="2"/>
  <c r="BB30" i="3"/>
  <c r="AA66" i="2"/>
  <c r="Z79" i="2"/>
  <c r="BA15" i="3"/>
  <c r="BA41" i="3"/>
  <c r="Z23" i="2"/>
  <c r="Z90" i="2"/>
  <c r="Y81" i="2"/>
  <c r="BB33" i="3"/>
  <c r="AA97" i="2"/>
  <c r="BB35" i="3"/>
  <c r="AA67" i="2"/>
  <c r="BD15" i="3"/>
  <c r="BD40" i="3"/>
  <c r="BD34" i="3"/>
  <c r="EY14" i="4" a="1"/>
  <c r="FB8" i="4" a="1"/>
  <c r="FA16" i="4" a="1"/>
  <c r="BR10" i="3"/>
  <c r="BV21" i="3"/>
  <c r="BS17" i="3"/>
  <c r="BT10" i="3"/>
  <c r="BE14" i="3"/>
  <c r="BP37" i="3"/>
  <c r="BK18" i="3"/>
  <c r="BL32" i="3"/>
  <c r="BN8" i="3"/>
  <c r="BH19" i="3"/>
  <c r="BP8" i="3"/>
  <c r="BN23" i="3"/>
  <c r="BG33" i="3"/>
  <c r="Y60" i="2"/>
  <c r="Y26" i="2"/>
  <c r="BB20" i="3"/>
  <c r="BA19" i="3"/>
  <c r="Y49" i="2"/>
  <c r="Z61" i="2"/>
  <c r="BD10" i="3"/>
  <c r="BB21" i="3"/>
  <c r="Z31" i="2"/>
  <c r="Y55" i="2"/>
  <c r="Y30" i="2"/>
  <c r="BB27" i="3"/>
  <c r="Z58" i="2"/>
  <c r="BA21" i="3"/>
  <c r="AA69" i="2"/>
  <c r="BC26" i="3"/>
  <c r="BC35" i="3"/>
  <c r="BB29" i="3"/>
  <c r="FC9" i="4" a="1"/>
  <c r="FC8" i="4" a="1"/>
  <c r="FB9" i="4" a="1"/>
  <c r="FA9" i="4" a="1"/>
  <c r="FC11" i="4" a="1"/>
  <c r="FE16" i="4" a="1"/>
  <c r="Z28" i="2"/>
  <c r="FB14" i="4" a="1"/>
  <c r="EY15" i="4" a="1"/>
  <c r="EZ5" i="4" a="1"/>
  <c r="BG28" i="3"/>
  <c r="BM34" i="3"/>
  <c r="BP7" i="3"/>
  <c r="BK11" i="3"/>
  <c r="BN10" i="3"/>
  <c r="BF39" i="3"/>
  <c r="BA45" i="3"/>
  <c r="Y15" i="2"/>
  <c r="BB36" i="3"/>
  <c r="BO39" i="3"/>
  <c r="BR22" i="3"/>
  <c r="BO18" i="3"/>
  <c r="BP42" i="3"/>
  <c r="BK27" i="3"/>
  <c r="BP35" i="3"/>
  <c r="BM21" i="3"/>
  <c r="BH34" i="3"/>
  <c r="BH15" i="3"/>
  <c r="BL25" i="3"/>
  <c r="BP14" i="3"/>
  <c r="BF25" i="3"/>
  <c r="CL36" i="1" s="1"/>
  <c r="BI34" i="3"/>
  <c r="Y14" i="2"/>
  <c r="AA68" i="2"/>
  <c r="BD42" i="3"/>
  <c r="BC11" i="3"/>
  <c r="Z14" i="2"/>
  <c r="Y50" i="2"/>
  <c r="BD11" i="3"/>
  <c r="BD19" i="3"/>
  <c r="AA5" i="2"/>
  <c r="AA71" i="2"/>
  <c r="Z99" i="2"/>
  <c r="BC21" i="3"/>
  <c r="Z16" i="2"/>
  <c r="BC22" i="3"/>
  <c r="BA46" i="3"/>
  <c r="Y54" i="2"/>
  <c r="BB40" i="3"/>
  <c r="EZ12" i="4" a="1"/>
  <c r="EX13" i="4" a="1"/>
  <c r="BN22" i="3"/>
  <c r="BD45" i="3"/>
  <c r="BB12" i="3"/>
  <c r="Z26" i="2"/>
  <c r="Y87" i="2"/>
  <c r="BT41" i="3"/>
  <c r="BV27" i="3"/>
  <c r="BS23" i="3"/>
  <c r="BP57" i="3"/>
  <c r="BG29" i="3"/>
  <c r="BP45" i="3"/>
  <c r="BG22" i="3"/>
  <c r="BN37" i="3"/>
  <c r="BL29" i="3"/>
  <c r="BJ38" i="3"/>
  <c r="BP26" i="3"/>
  <c r="BJ27" i="3"/>
  <c r="BG37" i="3"/>
  <c r="AA55" i="2"/>
  <c r="Y68" i="2"/>
  <c r="BD32" i="3"/>
  <c r="BA22" i="3"/>
  <c r="AA36" i="2"/>
  <c r="Z91" i="2"/>
  <c r="BC19" i="3"/>
  <c r="BA27" i="3"/>
  <c r="Z75" i="2"/>
  <c r="AA64" i="2"/>
  <c r="AA60" i="2"/>
  <c r="BD7" i="3"/>
  <c r="AA23" i="2"/>
  <c r="BA34" i="3"/>
  <c r="Y69" i="2"/>
  <c r="BD14" i="3"/>
  <c r="Z63" i="2"/>
  <c r="AA57" i="2"/>
  <c r="FF16" i="4" a="1"/>
  <c r="FF14" i="4" a="1"/>
  <c r="EZ16" i="4" a="1"/>
  <c r="FD16" i="4" a="1"/>
  <c r="EZ13" i="4" a="1"/>
  <c r="BJ7" i="3"/>
  <c r="BV33" i="3"/>
  <c r="BS29" i="3"/>
  <c r="BE45" i="3"/>
  <c r="BF26" i="3"/>
  <c r="BI7" i="3"/>
  <c r="BK30" i="3"/>
  <c r="BG13" i="3"/>
  <c r="BJ12" i="3"/>
  <c r="BL17" i="3"/>
  <c r="BE31" i="3"/>
  <c r="BL40" i="3"/>
  <c r="BH29" i="3"/>
  <c r="AA110" i="2"/>
  <c r="AA90" i="2"/>
  <c r="BB9" i="3"/>
  <c r="Y6" i="2"/>
  <c r="Z53" i="2"/>
  <c r="Z19" i="2"/>
  <c r="BD6" i="3"/>
  <c r="BA35" i="3"/>
  <c r="AA104" i="2"/>
  <c r="AA96" i="2"/>
  <c r="AA34" i="2"/>
  <c r="BC9" i="3"/>
  <c r="Z87" i="2"/>
  <c r="Y59" i="2"/>
  <c r="Z33" i="2"/>
  <c r="BA38" i="3"/>
  <c r="AA95" i="2"/>
  <c r="BC46" i="3"/>
  <c r="EY7" i="4" a="1"/>
  <c r="FD12" i="4" a="1"/>
  <c r="FE9" i="4" a="1"/>
  <c r="FD13" i="4" a="1"/>
  <c r="EZ9" i="4" a="1"/>
  <c r="AA44" i="2"/>
  <c r="AA62" i="2"/>
  <c r="AA91" i="2"/>
  <c r="BA32" i="3"/>
  <c r="Z35" i="2"/>
  <c r="Y45" i="2"/>
  <c r="AA21" i="2"/>
  <c r="BB8" i="3"/>
  <c r="Y86" i="2"/>
  <c r="Y70" i="2"/>
  <c r="Y95" i="2"/>
  <c r="BD27" i="3"/>
  <c r="Z7" i="2"/>
  <c r="BB34" i="3"/>
  <c r="FA7" i="4" a="1"/>
  <c r="FA12" i="4" a="1"/>
  <c r="EX9" i="4" a="1"/>
  <c r="EY8" i="4" a="1"/>
  <c r="FF5" i="4" a="1"/>
  <c r="Z15" i="2"/>
  <c r="Y16" i="2"/>
  <c r="Y93" i="2"/>
  <c r="AA25" i="2"/>
  <c r="Z60" i="2"/>
  <c r="Z69" i="2"/>
  <c r="FD14" i="4" a="1"/>
  <c r="FD9" i="4" a="1"/>
  <c r="BI29" i="3"/>
  <c r="AA52" i="2"/>
  <c r="AA107" i="2"/>
  <c r="FE6" i="4" a="1"/>
  <c r="BP50" i="3"/>
  <c r="BP60" i="3"/>
  <c r="BG66" i="3"/>
  <c r="CL47" i="1" l="1"/>
  <c r="CL9" i="1"/>
  <c r="CL8" i="1"/>
  <c r="AA52" i="1"/>
  <c r="AA54" i="1"/>
  <c r="AA193" i="1"/>
  <c r="AA195" i="1" s="1"/>
  <c r="CL231" i="1"/>
  <c r="CL10" i="1"/>
  <c r="CL194" i="1"/>
  <c r="CL253" i="1"/>
  <c r="CL252" i="1"/>
  <c r="CL26" i="1"/>
  <c r="CL27" i="1" s="1"/>
  <c r="CK63" i="1"/>
  <c r="CK23" i="1"/>
  <c r="CK21" i="1"/>
  <c r="CK25" i="1"/>
  <c r="CK46" i="1"/>
  <c r="CK45" i="1"/>
  <c r="CK35" i="1"/>
  <c r="CK14" i="1"/>
  <c r="CK39" i="1"/>
  <c r="CK13" i="1"/>
  <c r="CK47" i="1"/>
  <c r="CK22" i="1"/>
  <c r="CK32" i="1"/>
  <c r="CK8" i="1"/>
  <c r="CK15" i="1"/>
  <c r="CK36" i="1"/>
  <c r="CK24" i="1"/>
  <c r="CK51" i="1"/>
  <c r="CK64" i="1"/>
  <c r="CK65" i="1" s="1"/>
  <c r="CK9" i="1"/>
  <c r="CK20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P67" i="3"/>
  <c r="BF79" i="3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GO11" i="4" a="1"/>
  <c r="GQ9" i="4" a="1"/>
  <c r="FK14" i="4" a="1"/>
  <c r="GD15" i="4" a="1"/>
  <c r="FI11" i="4" a="1"/>
  <c r="FR14" i="4" a="1"/>
  <c r="BU5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BU66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V48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BT49" i="3"/>
  <c r="BH62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E85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G79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G64" i="3"/>
  <c r="BH92" i="3"/>
  <c r="BR50" i="3"/>
  <c r="BS55" i="3"/>
  <c r="BR80" i="3"/>
  <c r="BT76" i="3"/>
  <c r="BN80" i="3"/>
  <c r="BP75" i="3"/>
  <c r="BS67" i="3"/>
  <c r="BE58" i="3"/>
  <c r="BF62" i="3"/>
  <c r="CL124" i="1" s="1"/>
  <c r="BJ57" i="3"/>
  <c r="BK80" i="3"/>
  <c r="BK93" i="3"/>
  <c r="FO8" i="4" a="1"/>
  <c r="FZ6" i="4" a="1"/>
  <c r="FV5" i="4" a="1"/>
  <c r="GJ9" i="4" a="1"/>
  <c r="GC14" i="4" a="1"/>
  <c r="GI6" i="4" a="1"/>
  <c r="FJ9" i="4" a="1"/>
  <c r="GP8" i="4" a="1"/>
  <c r="FU8" i="4" a="1"/>
  <c r="FX11" i="4" a="1"/>
  <c r="FZ5" i="4" a="1"/>
  <c r="FT6" i="4" a="1"/>
  <c r="GN9" i="4" a="1"/>
  <c r="GD5" i="4" a="1"/>
  <c r="HA8" i="4" a="1"/>
  <c r="GD11" i="4" a="1"/>
  <c r="FN9" i="4" a="1"/>
  <c r="HD11" i="4" a="1"/>
  <c r="HF12" i="4" a="1"/>
  <c r="FN7" i="4" a="1"/>
  <c r="FH12" i="4" a="1"/>
  <c r="FG13" i="4" a="1"/>
  <c r="HF13" i="4" a="1"/>
  <c r="HE14" i="4" a="1"/>
  <c r="GQ12" i="4" a="1"/>
  <c r="FP15" i="4" a="1"/>
  <c r="GZ15" i="4" a="1"/>
  <c r="FX16" i="4" a="1"/>
  <c r="GX16" i="4" a="1"/>
  <c r="FV15" i="4" a="1"/>
  <c r="GT12" i="4" a="1"/>
  <c r="FM15" i="4" a="1"/>
  <c r="GD8" i="4" a="1"/>
  <c r="HD13" i="4" a="1"/>
  <c r="GI15" i="4" a="1"/>
  <c r="HG15" i="4" a="1"/>
  <c r="GC16" i="4" a="1"/>
  <c r="HA16" i="4" a="1"/>
  <c r="BC55" i="3"/>
  <c r="BC84" i="3"/>
  <c r="BC69" i="3"/>
  <c r="BD84" i="3"/>
  <c r="BD58" i="3"/>
  <c r="BD95" i="3"/>
  <c r="BC48" i="3"/>
  <c r="FQ14" i="4" a="1"/>
  <c r="FU13" i="4" a="1"/>
  <c r="HD15" i="4" a="1"/>
  <c r="FX13" i="4" a="1"/>
  <c r="GU9" i="4" a="1"/>
  <c r="FW14" i="4" a="1"/>
  <c r="GM15" i="4" a="1"/>
  <c r="GG16" i="4" a="1"/>
  <c r="BC96" i="3"/>
  <c r="BC78" i="3"/>
  <c r="BC87" i="3"/>
  <c r="BD60" i="3"/>
  <c r="BD63" i="3"/>
  <c r="BB93" i="3"/>
  <c r="GC13" i="4" a="1"/>
  <c r="BD97" i="3"/>
  <c r="GR16" i="4" a="1"/>
  <c r="BC89" i="3"/>
  <c r="BD69" i="3"/>
  <c r="BH55" i="3"/>
  <c r="BL47" i="3"/>
  <c r="BV47" i="3"/>
  <c r="BS93" i="3"/>
  <c r="BR97" i="3"/>
  <c r="BT96" i="3"/>
  <c r="BN93" i="3"/>
  <c r="BP82" i="3"/>
  <c r="BS76" i="3"/>
  <c r="BE59" i="3"/>
  <c r="BF72" i="3"/>
  <c r="CL135" i="1" s="1"/>
  <c r="BJ65" i="3"/>
  <c r="BK60" i="3"/>
  <c r="GT14" i="4" a="1"/>
  <c r="GK8" i="4" a="1"/>
  <c r="HE8" i="4" a="1"/>
  <c r="GH5" i="4" a="1"/>
  <c r="GX6" i="4" a="1"/>
  <c r="FW15" i="4" a="1"/>
  <c r="HB6" i="4" a="1"/>
  <c r="GZ9" i="4" a="1"/>
  <c r="GO9" i="4" a="1"/>
  <c r="GS8" i="4" a="1"/>
  <c r="HD5" i="4" a="1"/>
  <c r="FM6" i="4" a="1"/>
  <c r="GR6" i="4" a="1"/>
  <c r="FY12" i="4" a="1"/>
  <c r="GY5" i="4" a="1"/>
  <c r="GN5" i="4" a="1"/>
  <c r="GO6" i="4" a="1"/>
  <c r="GW9" i="4" a="1"/>
  <c r="FG12" i="4" a="1"/>
  <c r="FI13" i="4" a="1"/>
  <c r="GT7" i="4" a="1"/>
  <c r="FM12" i="4" a="1"/>
  <c r="FJ13" i="4" a="1"/>
  <c r="FI14" i="4" a="1"/>
  <c r="FO6" i="4" a="1"/>
  <c r="HB12" i="4" a="1"/>
  <c r="FS15" i="4" a="1"/>
  <c r="HB15" i="4" a="1"/>
  <c r="FZ16" i="4" a="1"/>
  <c r="GZ16" i="4" a="1"/>
  <c r="GP6" i="4" a="1"/>
  <c r="FM13" i="4" a="1"/>
  <c r="FT15" i="4" a="1"/>
  <c r="HH8" i="4" a="1"/>
  <c r="FG14" i="4" a="1"/>
  <c r="GK15" i="4" a="1"/>
  <c r="FG16" i="4" a="1"/>
  <c r="GE16" i="4" a="1"/>
  <c r="HC16" i="4" a="1"/>
  <c r="BC54" i="3"/>
  <c r="BC83" i="3"/>
  <c r="BC74" i="3"/>
  <c r="BD72" i="3"/>
  <c r="BD67" i="3"/>
  <c r="BD90" i="3"/>
  <c r="Y113" i="2"/>
  <c r="FY7" i="4" a="1"/>
  <c r="GC15" i="4" a="1"/>
  <c r="GB16" i="4" a="1"/>
  <c r="HB16" i="4" a="1"/>
  <c r="GJ7" i="4" a="1"/>
  <c r="FX15" i="4" a="1"/>
  <c r="FI16" i="4" a="1"/>
  <c r="HE16" i="4" a="1"/>
  <c r="HE7" i="4" a="1"/>
  <c r="GU15" i="4" a="1"/>
  <c r="BD66" i="3"/>
  <c r="FP13" i="4" a="1"/>
  <c r="BM88" i="3"/>
  <c r="BL96" i="3"/>
  <c r="BT92" i="3"/>
  <c r="BS69" i="3"/>
  <c r="BR67" i="3"/>
  <c r="BT57" i="3"/>
  <c r="BN61" i="3"/>
  <c r="BF67" i="3"/>
  <c r="BS87" i="3"/>
  <c r="BE73" i="3"/>
  <c r="BF50" i="3"/>
  <c r="CL74" i="1" s="1"/>
  <c r="BJ71" i="3"/>
  <c r="BK76" i="3"/>
  <c r="FM5" i="4" a="1"/>
  <c r="FI6" i="4" a="1"/>
  <c r="GX11" i="4" a="1"/>
  <c r="HD6" i="4" a="1"/>
  <c r="GR7" i="4" a="1"/>
  <c r="GX8" i="4" a="1"/>
  <c r="FX7" i="4" a="1"/>
  <c r="FV11" i="4" a="1"/>
  <c r="FI5" i="4" a="1"/>
  <c r="FL6" i="4" a="1"/>
  <c r="GU6" i="4" a="1"/>
  <c r="FG7" i="4" a="1"/>
  <c r="GL7" i="4" a="1"/>
  <c r="GZ12" i="4" a="1"/>
  <c r="FU6" i="4" a="1"/>
  <c r="GW6" i="4" a="1"/>
  <c r="FS7" i="4" a="1"/>
  <c r="FG11" i="4" a="1"/>
  <c r="FJ12" i="4" a="1"/>
  <c r="FL13" i="4" a="1"/>
  <c r="FM8" i="4" a="1"/>
  <c r="FP12" i="4" a="1"/>
  <c r="FO13" i="4" a="1"/>
  <c r="GG14" i="4" a="1"/>
  <c r="FJ16" i="4" a="1"/>
  <c r="FQ16" i="4" a="1"/>
  <c r="BC95" i="3"/>
  <c r="BD82" i="3"/>
  <c r="BL59" i="3"/>
  <c r="BT73" i="3"/>
  <c r="BF95" i="3"/>
  <c r="CL164" i="1" s="1"/>
  <c r="BV95" i="3"/>
  <c r="BT79" i="3"/>
  <c r="BN60" i="3"/>
  <c r="BF48" i="3"/>
  <c r="BS58" i="3"/>
  <c r="BI71" i="3"/>
  <c r="BJ47" i="3"/>
  <c r="BJ77" i="3"/>
  <c r="BK90" i="3"/>
  <c r="GC5" i="4" a="1"/>
  <c r="HH6" i="4" a="1"/>
  <c r="HE12" i="4" a="1"/>
  <c r="GE7" i="4" a="1"/>
  <c r="FT8" i="4" a="1"/>
  <c r="GS9" i="4" a="1"/>
  <c r="GC8" i="4" a="1"/>
  <c r="GS5" i="4" a="1"/>
  <c r="FT5" i="4" a="1"/>
  <c r="FR6" i="4" a="1"/>
  <c r="FI12" i="4" a="1"/>
  <c r="FZ7" i="4" a="1"/>
  <c r="FO9" i="4" a="1"/>
  <c r="FV13" i="4" a="1"/>
  <c r="FR7" i="4" a="1"/>
  <c r="HB7" i="4" a="1"/>
  <c r="FS9" i="4" a="1"/>
  <c r="FK11" i="4" a="1"/>
  <c r="FO12" i="4" a="1"/>
  <c r="FT13" i="4" a="1"/>
  <c r="FK9" i="4" a="1"/>
  <c r="FU12" i="4" a="1"/>
  <c r="FW13" i="4" a="1"/>
  <c r="FT14" i="4" a="1"/>
  <c r="FN8" i="4" a="1"/>
  <c r="GF13" i="4" a="1"/>
  <c r="GF15" i="4" a="1"/>
  <c r="HF15" i="4" a="1"/>
  <c r="GD16" i="4" a="1"/>
  <c r="HD16" i="4" a="1"/>
  <c r="FV8" i="4" a="1"/>
  <c r="GS13" i="4" a="1"/>
  <c r="GA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BA65" i="3"/>
  <c r="GW11" i="4" a="1"/>
  <c r="BD87" i="3"/>
  <c r="FL8" i="4" a="1"/>
  <c r="GR12" i="4" a="1"/>
  <c r="FZ12" i="4" a="1"/>
  <c r="GB14" i="4" a="1"/>
  <c r="FV9" i="4" a="1"/>
  <c r="GG9" i="4" a="1"/>
  <c r="BD79" i="3"/>
  <c r="GH13" i="4" a="1"/>
  <c r="HG9" i="4" a="1"/>
  <c r="GA12" i="4" a="1"/>
  <c r="HC14" i="4" a="1"/>
  <c r="FH15" i="4" a="1"/>
  <c r="BD64" i="3"/>
  <c r="BD93" i="3"/>
  <c r="BE84" i="3"/>
  <c r="BO97" i="3"/>
  <c r="BU59" i="3"/>
  <c r="BV90" i="3"/>
  <c r="BT81" i="3"/>
  <c r="BN62" i="3"/>
  <c r="BF75" i="3"/>
  <c r="BP55" i="3"/>
  <c r="BI56" i="3"/>
  <c r="BJ58" i="3"/>
  <c r="BJ81" i="3"/>
  <c r="BK57" i="3"/>
  <c r="FL5" i="4" a="1"/>
  <c r="GQ7" i="4" a="1"/>
  <c r="GA13" i="4" a="1"/>
  <c r="GW5" i="4" a="1"/>
  <c r="GP9" i="4" a="1"/>
  <c r="FG5" i="4" a="1"/>
  <c r="GM8" i="4" a="1"/>
  <c r="GK5" i="4" a="1"/>
  <c r="GF5" i="4" a="1"/>
  <c r="FK7" i="4" a="1"/>
  <c r="GG12" i="4" a="1"/>
  <c r="HC7" i="4" a="1"/>
  <c r="GG7" i="4" a="1"/>
  <c r="FP14" i="4" a="1"/>
  <c r="GM7" i="4" a="1"/>
  <c r="FT9" i="4" a="1"/>
  <c r="FL12" i="4" a="1"/>
  <c r="FO11" i="4" a="1"/>
  <c r="FR12" i="4" a="1"/>
  <c r="FY13" i="4" a="1"/>
  <c r="FP9" i="4" a="1"/>
  <c r="GC12" i="4" a="1"/>
  <c r="FZ13" i="4" a="1"/>
  <c r="FY14" i="4" a="1"/>
  <c r="GT8" i="4" a="1"/>
  <c r="HA13" i="4" a="1"/>
  <c r="GH15" i="4" a="1"/>
  <c r="HH15" i="4" a="1"/>
  <c r="GF16" i="4" a="1"/>
  <c r="HF16" i="4" a="1"/>
  <c r="HB8" i="4" a="1"/>
  <c r="HH13" i="4" a="1"/>
  <c r="FM11" i="4" a="1"/>
  <c r="GM14" i="4" a="1"/>
  <c r="GQ15" i="4" a="1"/>
  <c r="FM16" i="4" a="1"/>
  <c r="GK16" i="4" a="1"/>
  <c r="GL8" i="4" a="1"/>
  <c r="BC70" i="3"/>
  <c r="BC81" i="3"/>
  <c r="BC91" i="3"/>
  <c r="BD71" i="3"/>
  <c r="Z112" i="2"/>
  <c r="GM9" i="4" a="1"/>
  <c r="GF12" i="4" a="1"/>
  <c r="FJ14" i="4" a="1"/>
  <c r="GJ15" i="4" a="1"/>
  <c r="FH16" i="4" a="1"/>
  <c r="HH16" i="4" a="1"/>
  <c r="FV14" i="4" a="1"/>
  <c r="HH11" i="4" a="1"/>
  <c r="GS15" i="4" a="1"/>
  <c r="BC67" i="3"/>
  <c r="BC68" i="3"/>
  <c r="BD59" i="3"/>
  <c r="GJ16" i="4" a="1"/>
  <c r="GY9" i="4" a="1"/>
  <c r="BC76" i="3"/>
  <c r="HB14" i="4" a="1"/>
  <c r="BP59" i="3"/>
  <c r="BE61" i="3"/>
  <c r="BO68" i="3"/>
  <c r="BU82" i="3"/>
  <c r="BV61" i="3"/>
  <c r="BT83" i="3"/>
  <c r="BN71" i="3"/>
  <c r="AA113" i="2"/>
  <c r="BG82" i="3"/>
  <c r="BI77" i="3"/>
  <c r="BJ68" i="3"/>
  <c r="BJ83" i="3"/>
  <c r="BK56" i="3"/>
  <c r="GQ5" i="4" a="1"/>
  <c r="GH6" i="4" a="1"/>
  <c r="GQ13" i="4" a="1"/>
  <c r="HG6" i="4" a="1"/>
  <c r="HB9" i="4" a="1"/>
  <c r="FU5" i="4" a="1"/>
  <c r="GX5" i="4" a="1"/>
  <c r="FH8" i="4" a="1"/>
  <c r="FP6" i="4" a="1"/>
  <c r="HG7" i="4" a="1"/>
  <c r="GD13" i="4" a="1"/>
  <c r="GZ5" i="4" a="1"/>
  <c r="FX8" i="4" a="1"/>
  <c r="FJ15" i="4" a="1"/>
  <c r="FS11" i="4" a="1"/>
  <c r="GB13" i="4" a="1"/>
  <c r="GA9" i="4" a="1"/>
  <c r="GE13" i="4" a="1"/>
  <c r="FQ9" i="4" a="1"/>
  <c r="GH16" i="4" a="1"/>
  <c r="GD12" i="4" a="1"/>
  <c r="GX14" i="4" a="1"/>
  <c r="FO16" i="4" a="1"/>
  <c r="GM16" i="4" a="1"/>
  <c r="BC77" i="3"/>
  <c r="FW16" i="4" a="1"/>
  <c r="BI92" i="3"/>
  <c r="BI90" i="3"/>
  <c r="BO84" i="3"/>
  <c r="BU77" i="3"/>
  <c r="BV92" i="3"/>
  <c r="BT87" i="3"/>
  <c r="BN56" i="3"/>
  <c r="BO47" i="3"/>
  <c r="BG62" i="3"/>
  <c r="BI91" i="3"/>
  <c r="BJ76" i="3"/>
  <c r="BK81" i="3"/>
  <c r="BK95" i="3"/>
  <c r="HG5" i="4" a="1"/>
  <c r="FQ7" i="4" a="1"/>
  <c r="FH14" i="4" a="1"/>
  <c r="GC7" i="4" a="1"/>
  <c r="GB11" i="4" a="1"/>
  <c r="GG5" i="4" a="1"/>
  <c r="GB6" i="4" a="1"/>
  <c r="GH11" i="4" a="1"/>
  <c r="FO7" i="4" a="1"/>
  <c r="FW9" i="4" a="1"/>
  <c r="FX14" i="4" a="1"/>
  <c r="FV6" i="4" a="1"/>
  <c r="GV8" i="4" a="1"/>
  <c r="GE6" i="4" a="1"/>
  <c r="HH5" i="4" a="1"/>
  <c r="FK8" i="4" a="1"/>
  <c r="FN13" i="4" a="1"/>
  <c r="FW11" i="4" a="1"/>
  <c r="GE12" i="4" a="1"/>
  <c r="GG13" i="4" a="1"/>
  <c r="GI11" i="4" a="1"/>
  <c r="GK12" i="4" a="1"/>
  <c r="GL9" i="4" a="1"/>
  <c r="FO14" i="4" a="1"/>
  <c r="GL15" i="4" a="1"/>
  <c r="GA14" i="4" a="1"/>
  <c r="GO16" i="4" a="1"/>
  <c r="FU15" i="4" a="1"/>
  <c r="BB77" i="3"/>
  <c r="BF89" i="3"/>
  <c r="CL153" i="1" s="1"/>
  <c r="CL183" i="1" s="1"/>
  <c r="BO58" i="3"/>
  <c r="BU93" i="3"/>
  <c r="BV70" i="3"/>
  <c r="BT48" i="3"/>
  <c r="BN63" i="3"/>
  <c r="BO56" i="3"/>
  <c r="BH93" i="3"/>
  <c r="BM47" i="3"/>
  <c r="BJ89" i="3"/>
  <c r="BK77" i="3"/>
  <c r="BK54" i="3"/>
  <c r="GN6" i="4" a="1"/>
  <c r="GB8" i="4" a="1"/>
  <c r="FR15" i="4" a="1"/>
  <c r="HA7" i="4" a="1"/>
  <c r="FX9" i="4" a="1"/>
  <c r="FH6" i="4" a="1"/>
  <c r="FV7" i="4" a="1"/>
  <c r="GW12" i="4" a="1"/>
  <c r="GP7" i="4" a="1"/>
  <c r="GW7" i="4" a="1"/>
  <c r="GV14" i="4" a="1"/>
  <c r="FM7" i="4" a="1"/>
  <c r="GR9" i="4" a="1"/>
  <c r="FZ8" i="4" a="1"/>
  <c r="GA6" i="4" a="1"/>
  <c r="GJ8" i="4" a="1"/>
  <c r="GL13" i="4" a="1"/>
  <c r="GE11" i="4" a="1"/>
  <c r="GH12" i="4" a="1"/>
  <c r="GJ13" i="4" a="1"/>
  <c r="GL11" i="4" a="1"/>
  <c r="GN12" i="4" a="1"/>
  <c r="GM13" i="4" a="1"/>
  <c r="GJ14" i="4" a="1"/>
  <c r="HC9" i="4" a="1"/>
  <c r="FZ14" i="4" a="1"/>
  <c r="GN15" i="4" a="1"/>
  <c r="FL16" i="4" a="1"/>
  <c r="GL16" i="4" a="1"/>
  <c r="FS12" i="4" a="1"/>
  <c r="FU11" i="4" a="1"/>
  <c r="GL14" i="4" a="1"/>
  <c r="HE13" i="4" a="1"/>
  <c r="GL12" i="4" a="1"/>
  <c r="FN15" i="4" a="1"/>
  <c r="GW15" i="4" a="1"/>
  <c r="FS16" i="4" a="1"/>
  <c r="GQ16" i="4" a="1"/>
  <c r="GC11" i="4" a="1"/>
  <c r="BC92" i="3"/>
  <c r="BC59" i="3"/>
  <c r="BC97" i="3"/>
  <c r="BD56" i="3"/>
  <c r="BD77" i="3"/>
  <c r="FG8" i="4" a="1"/>
  <c r="GC9" i="4" a="1"/>
  <c r="GN11" i="4" a="1"/>
  <c r="BA66" i="3"/>
  <c r="BF66" i="3"/>
  <c r="CL151" i="1" s="1"/>
  <c r="BO74" i="3"/>
  <c r="BU81" i="3"/>
  <c r="BV69" i="3"/>
  <c r="BT95" i="3"/>
  <c r="BN69" i="3"/>
  <c r="BO73" i="3"/>
  <c r="BH91" i="3"/>
  <c r="BM54" i="3"/>
  <c r="BJ93" i="3"/>
  <c r="BK83" i="3"/>
  <c r="BK97" i="3"/>
  <c r="HF7" i="4" a="1"/>
  <c r="GH9" i="4" a="1"/>
  <c r="FT7" i="4" a="1"/>
  <c r="FS8" i="4" a="1"/>
  <c r="GU11" i="4" a="1"/>
  <c r="GF6" i="4" a="1"/>
  <c r="HF8" i="4" a="1"/>
  <c r="FS13" i="4" a="1"/>
  <c r="FI8" i="4" a="1"/>
  <c r="GF8" i="4" a="1"/>
  <c r="FZ15" i="4" a="1"/>
  <c r="GF7" i="4" a="1"/>
  <c r="FN11" i="4" a="1"/>
  <c r="GD9" i="4" a="1"/>
  <c r="GN7" i="4" a="1"/>
  <c r="HG8" i="4" a="1"/>
  <c r="FM14" i="4" a="1"/>
  <c r="GK11" i="4" a="1"/>
  <c r="GM12" i="4" a="1"/>
  <c r="GR13" i="4" a="1"/>
  <c r="GQ11" i="4" a="1"/>
  <c r="GS12" i="4" a="1"/>
  <c r="GP13" i="4" a="1"/>
  <c r="GO14" i="4" a="1"/>
  <c r="FQ11" i="4" a="1"/>
  <c r="GE14" i="4" a="1"/>
  <c r="GP15" i="4" a="1"/>
  <c r="FN16" i="4" a="1"/>
  <c r="GP16" i="4" a="1"/>
  <c r="FH13" i="4" a="1"/>
  <c r="GJ11" i="4" a="1"/>
  <c r="GQ14" i="4" a="1"/>
  <c r="GI14" i="4" a="1"/>
  <c r="HG12" i="4" a="1"/>
  <c r="FQ15" i="4" a="1"/>
  <c r="GY15" i="4" a="1"/>
  <c r="FU16" i="4" a="1"/>
  <c r="GS16" i="4" a="1"/>
  <c r="GZ11" i="4" a="1"/>
  <c r="BC75" i="3"/>
  <c r="BC66" i="3"/>
  <c r="BC62" i="3"/>
  <c r="BD65" i="3"/>
  <c r="BD80" i="3"/>
  <c r="BJ91" i="3"/>
  <c r="BK59" i="3"/>
  <c r="BK96" i="3"/>
  <c r="FN6" i="4" a="1"/>
  <c r="GX9" i="4" a="1"/>
  <c r="FY9" i="4" a="1"/>
  <c r="HC8" i="4" a="1"/>
  <c r="FQ12" i="4" a="1"/>
  <c r="FW7" i="4" a="1"/>
  <c r="GB9" i="4" a="1"/>
  <c r="FU14" i="4" a="1"/>
  <c r="HE5" i="4" a="1"/>
  <c r="FZ9" i="4" a="1"/>
  <c r="GZ7" i="4" a="1"/>
  <c r="GF11" i="4" a="1"/>
  <c r="FK5" i="4" a="1"/>
  <c r="FJ8" i="4" a="1"/>
  <c r="FG15" i="4" a="1"/>
  <c r="GP12" i="4" a="1"/>
  <c r="GW13" i="4" a="1"/>
  <c r="GT11" i="4" a="1"/>
  <c r="GV12" i="4" a="1"/>
  <c r="GU13" i="4" a="1"/>
  <c r="GR14" i="4" a="1"/>
  <c r="GG11" i="4" a="1"/>
  <c r="GP14" i="4" a="1"/>
  <c r="GR15" i="4" a="1"/>
  <c r="FR16" i="4" a="1"/>
  <c r="FN14" i="4" a="1"/>
  <c r="HE11" i="4" a="1"/>
  <c r="HA15" i="4" a="1"/>
  <c r="GY12" i="4" a="1"/>
  <c r="BC73" i="3"/>
  <c r="BC56" i="3"/>
  <c r="BQ79" i="3"/>
  <c r="BO92" i="3"/>
  <c r="BR86" i="3"/>
  <c r="BV87" i="3"/>
  <c r="BN57" i="3"/>
  <c r="BN83" i="3"/>
  <c r="BO86" i="3"/>
  <c r="BL95" i="3"/>
  <c r="BM58" i="3"/>
  <c r="BB71" i="3"/>
  <c r="BQ50" i="3"/>
  <c r="BQ71" i="3"/>
  <c r="BS83" i="3"/>
  <c r="BR64" i="3"/>
  <c r="BT68" i="3"/>
  <c r="BN77" i="3"/>
  <c r="BN91" i="3"/>
  <c r="BO78" i="3"/>
  <c r="BL50" i="3"/>
  <c r="BM89" i="3"/>
  <c r="BJ55" i="3"/>
  <c r="BK67" i="3"/>
  <c r="BK63" i="3"/>
  <c r="GL6" i="4" a="1"/>
  <c r="HH9" i="4" a="1"/>
  <c r="GA5" i="4" a="1"/>
  <c r="HC5" i="4" a="1"/>
  <c r="GO12" i="4" a="1"/>
  <c r="GO5" i="4" a="1"/>
  <c r="GM6" i="4" a="1"/>
  <c r="FO15" i="4" a="1"/>
  <c r="GD6" i="4" a="1"/>
  <c r="HF9" i="4" a="1"/>
  <c r="FI9" i="4" a="1"/>
  <c r="GI8" i="4" a="1"/>
  <c r="GZ6" i="4" a="1"/>
  <c r="FJ5" i="4" a="1"/>
  <c r="GA8" i="4" a="1"/>
  <c r="GV9" i="4" a="1"/>
  <c r="GV5" i="4" a="1"/>
  <c r="GS11" i="4" a="1"/>
  <c r="GX12" i="4" a="1"/>
  <c r="GZ13" i="4" a="1"/>
  <c r="GY11" i="4" a="1"/>
  <c r="HA12" i="4" a="1"/>
  <c r="GX13" i="4" a="1"/>
  <c r="GW14" i="4" a="1"/>
  <c r="GR11" i="4" a="1"/>
  <c r="GU14" i="4" a="1"/>
  <c r="GV15" i="4" a="1"/>
  <c r="FT16" i="4" a="1"/>
  <c r="GT16" i="4" a="1"/>
  <c r="GD14" i="4" a="1"/>
  <c r="FN12" i="4" a="1"/>
  <c r="HG14" i="4" a="1"/>
  <c r="FY15" i="4" a="1"/>
  <c r="GK13" i="4" a="1"/>
  <c r="GB15" i="4" a="1"/>
  <c r="HC15" i="4" a="1"/>
  <c r="FY16" i="4" a="1"/>
  <c r="GW16" i="4" a="1"/>
  <c r="GN13" i="4" a="1"/>
  <c r="BC63" i="3"/>
  <c r="BC86" i="3"/>
  <c r="BD47" i="3"/>
  <c r="BD91" i="3"/>
  <c r="BD68" i="3"/>
  <c r="GX15" i="4" a="1"/>
  <c r="GV16" i="4" a="1"/>
  <c r="GY14" i="4" a="1"/>
  <c r="GI12" i="4" a="1"/>
  <c r="FI15" i="4" a="1"/>
  <c r="HF6" i="4" a="1"/>
  <c r="GA16" i="4" a="1"/>
  <c r="FS14" i="4" a="1"/>
  <c r="BC79" i="3"/>
  <c r="BD48" i="3"/>
  <c r="BD81" i="3"/>
  <c r="BC61" i="3"/>
  <c r="BB94" i="3"/>
  <c r="BH60" i="3"/>
  <c r="BU72" i="3"/>
  <c r="BS90" i="3"/>
  <c r="BR47" i="3"/>
  <c r="BT72" i="3"/>
  <c r="BN59" i="3"/>
  <c r="BP90" i="3"/>
  <c r="BS66" i="3"/>
  <c r="BE89" i="3"/>
  <c r="BF64" i="3"/>
  <c r="CL149" i="1" s="1"/>
  <c r="BJ50" i="3"/>
  <c r="BK85" i="3"/>
  <c r="BK89" i="3"/>
  <c r="GS7" i="4" a="1"/>
  <c r="FR11" i="4" a="1"/>
  <c r="FH5" i="4" a="1"/>
  <c r="GG6" i="4" a="1"/>
  <c r="HG13" i="4" a="1"/>
  <c r="FK6" i="4" a="1"/>
  <c r="GN8" i="4" a="1"/>
  <c r="FI7" i="4" a="1"/>
  <c r="HD7" i="4" a="1"/>
  <c r="FP11" i="4" a="1"/>
  <c r="FN5" i="4" a="1"/>
  <c r="GU5" i="4" a="1"/>
  <c r="GY7" i="4" a="1"/>
  <c r="FR5" i="4" a="1"/>
  <c r="GO8" i="4" a="1"/>
  <c r="FT11" i="4" a="1"/>
  <c r="FR8" i="4" a="1"/>
  <c r="GV11" i="4" a="1"/>
  <c r="HC12" i="4" a="1"/>
  <c r="HE6" i="4" a="1"/>
  <c r="HG11" i="4" a="1"/>
  <c r="HD12" i="4" a="1"/>
  <c r="HC13" i="4" a="1"/>
  <c r="GZ14" i="4" a="1"/>
  <c r="FK12" i="4" a="1"/>
  <c r="FL15" i="4" a="1"/>
  <c r="FV16" i="4" a="1"/>
  <c r="GV13" i="4" a="1"/>
  <c r="GG15" i="4" a="1"/>
  <c r="HE15" i="4" a="1"/>
  <c r="GY16" i="4" a="1"/>
  <c r="BC64" i="3"/>
  <c r="BD57" i="3"/>
  <c r="GU16" i="4" a="1"/>
  <c r="BC80" i="3"/>
  <c r="CL143" i="1" l="1"/>
  <c r="CL137" i="1"/>
  <c r="CH140" i="1"/>
  <c r="CI140" i="1" s="1"/>
  <c r="AA202" i="1"/>
  <c r="CL98" i="1"/>
  <c r="CL99" i="1" s="1"/>
  <c r="X180" i="1"/>
  <c r="CL128" i="1"/>
  <c r="CL16" i="1"/>
  <c r="CL161" i="1"/>
  <c r="CL168" i="1"/>
  <c r="CL109" i="1" s="1"/>
  <c r="CL156" i="1"/>
  <c r="CL185" i="1" s="1"/>
  <c r="CL184" i="1" s="1"/>
  <c r="CL148" i="1"/>
  <c r="CL120" i="1"/>
  <c r="CL129" i="1" s="1"/>
  <c r="CL138" i="1"/>
  <c r="CK26" i="1"/>
  <c r="CO20" i="1"/>
  <c r="CS20" i="1" s="1"/>
  <c r="CW20" i="1" s="1"/>
  <c r="DA20" i="1" s="1"/>
  <c r="CK10" i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CJ144" i="1"/>
  <c r="CJ179" i="1" s="1"/>
  <c r="CK179" i="1" s="1"/>
  <c r="JW16" i="4" s="1"/>
  <c r="KD16" i="4" s="1"/>
  <c r="KE15" i="4" s="1"/>
  <c r="CJ134" i="1"/>
  <c r="CK33" i="1" s="1"/>
  <c r="CJ154" i="1"/>
  <c r="KD9" i="4" s="1"/>
  <c r="JQ9" i="4" s="1"/>
  <c r="KH9" i="4" s="1"/>
  <c r="JT16" i="4" s="1"/>
  <c r="KC15" i="4" s="1"/>
  <c r="CJ159" i="1"/>
  <c r="CJ150" i="1"/>
  <c r="KC16" i="4" s="1"/>
  <c r="JU16" i="4" s="1"/>
  <c r="KB16" i="4" s="1"/>
  <c r="JX9" i="4" s="1"/>
  <c r="CJ140" i="1"/>
  <c r="CJ117" i="1"/>
  <c r="JR16" i="4" s="1"/>
  <c r="JV9" i="4" s="1"/>
  <c r="KA16" i="4" s="1"/>
  <c r="JS16" i="4" s="1"/>
  <c r="JW9" i="4" s="1"/>
  <c r="KF9" i="4" s="1"/>
  <c r="Z74" i="1"/>
  <c r="KE9" i="4" s="1"/>
  <c r="JZ16" i="4" s="1"/>
  <c r="KH16" i="4" s="1"/>
  <c r="KA9" i="4" s="1"/>
  <c r="KB9" i="4" s="1"/>
  <c r="CJ149" i="1"/>
  <c r="CJ143" i="1"/>
  <c r="JY9" i="4" s="1"/>
  <c r="CJ152" i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V8" i="4" s="1"/>
  <c r="JX16" i="4" s="1"/>
  <c r="JX21" i="4" s="1"/>
  <c r="JS9" i="4" s="1"/>
  <c r="KC9" i="4" s="1"/>
  <c r="JY7" i="4" s="1"/>
  <c r="CJ145" i="1"/>
  <c r="CJ180" i="1" s="1"/>
  <c r="CK180" i="1" s="1"/>
  <c r="CJ151" i="1"/>
  <c r="KG16" i="4" s="1"/>
  <c r="JQ16" i="4" s="1"/>
  <c r="JQ21" i="4" s="1"/>
  <c r="CK77" i="1" s="1"/>
  <c r="KF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H8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JY16" i="4" s="1"/>
  <c r="JY21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Z15" i="4" s="1"/>
  <c r="JV16" i="4" s="1"/>
  <c r="JV21" i="4" s="1"/>
  <c r="JZ9" i="4" s="1"/>
  <c r="JZ21" i="4" s="1"/>
  <c r="CK74" i="1"/>
  <c r="CJ142" i="1"/>
  <c r="CH73" i="1"/>
  <c r="CJ74" i="1"/>
  <c r="CJ155" i="1"/>
  <c r="CJ124" i="1"/>
  <c r="CK124" i="1" s="1"/>
  <c r="CM124" i="1" s="1"/>
  <c r="CG73" i="1"/>
  <c r="CJ73" i="1"/>
  <c r="CG74" i="1"/>
  <c r="JR9" i="4" s="1"/>
  <c r="JT9" i="4" s="1"/>
  <c r="CJ133" i="1"/>
  <c r="CK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H74" i="1"/>
  <c r="JU9" i="4" s="1"/>
  <c r="KH7" i="4" s="1"/>
  <c r="X73" i="1"/>
  <c r="CJ153" i="1"/>
  <c r="CJ183" i="1" s="1"/>
  <c r="CK183" i="1" s="1"/>
  <c r="CJ147" i="1"/>
  <c r="Y74" i="1"/>
  <c r="CI74" i="1"/>
  <c r="KG9" i="4" s="1"/>
  <c r="Z73" i="1"/>
  <c r="CJ160" i="1"/>
  <c r="X183" i="1"/>
  <c r="Z154" i="1"/>
  <c r="CH154" i="1" s="1"/>
  <c r="CH156" i="1" s="1"/>
  <c r="CH185" i="1" s="1"/>
  <c r="Z183" i="1"/>
  <c r="X252" i="1"/>
  <c r="X179" i="1"/>
  <c r="Y148" i="1"/>
  <c r="Y182" i="1" s="1"/>
  <c r="Z131" i="1"/>
  <c r="X10" i="1"/>
  <c r="X98" i="1" s="1"/>
  <c r="X148" i="1"/>
  <c r="CK98" i="1"/>
  <c r="CK99" i="1" s="1"/>
  <c r="Y26" i="1"/>
  <c r="Z253" i="1"/>
  <c r="Z194" i="1"/>
  <c r="Y252" i="1"/>
  <c r="Y231" i="1"/>
  <c r="Y183" i="1"/>
  <c r="Z148" i="1"/>
  <c r="AA196" i="1" s="1"/>
  <c r="CH144" i="1"/>
  <c r="Z179" i="1"/>
  <c r="Y161" i="1"/>
  <c r="Z209" i="1" s="1"/>
  <c r="Y179" i="1"/>
  <c r="Z231" i="1"/>
  <c r="Z180" i="1"/>
  <c r="Y10" i="1"/>
  <c r="Y134" i="1"/>
  <c r="Y173" i="1"/>
  <c r="Z252" i="1"/>
  <c r="X173" i="1"/>
  <c r="CH159" i="1"/>
  <c r="CH161" i="1" s="1"/>
  <c r="Z161" i="1"/>
  <c r="AA209" i="1" s="1"/>
  <c r="X194" i="1"/>
  <c r="X253" i="1"/>
  <c r="Y194" i="1"/>
  <c r="Y253" i="1"/>
  <c r="CH119" i="1"/>
  <c r="CH120" i="1" s="1"/>
  <c r="Z120" i="1"/>
  <c r="CG194" i="1"/>
  <c r="CG253" i="1"/>
  <c r="Y156" i="1"/>
  <c r="CH253" i="1"/>
  <c r="CG252" i="1"/>
  <c r="X134" i="1"/>
  <c r="CI231" i="1"/>
  <c r="CI10" i="1"/>
  <c r="CM133" i="1"/>
  <c r="CN133" i="1" s="1"/>
  <c r="CO133" i="1" s="1"/>
  <c r="CP133" i="1" s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X16" i="1"/>
  <c r="Z134" i="1"/>
  <c r="CH131" i="1"/>
  <c r="CI209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J202" i="1" l="1"/>
  <c r="CK140" i="1"/>
  <c r="CL202" i="1" s="1"/>
  <c r="CK27" i="1"/>
  <c r="CJ161" i="1"/>
  <c r="Z175" i="1"/>
  <c r="AA207" i="1"/>
  <c r="AA188" i="1"/>
  <c r="AA11" i="1"/>
  <c r="AA249" i="1"/>
  <c r="AA206" i="1"/>
  <c r="KH21" i="4"/>
  <c r="JW15" i="4"/>
  <c r="JU14" i="4"/>
  <c r="KC21" i="4"/>
  <c r="JV7" i="4"/>
  <c r="KG7" i="4"/>
  <c r="KF15" i="4"/>
  <c r="KB8" i="4"/>
  <c r="KH15" i="4"/>
  <c r="KF7" i="4"/>
  <c r="JW7" i="4"/>
  <c r="JS8" i="4"/>
  <c r="JQ7" i="4"/>
  <c r="CJ120" i="1"/>
  <c r="KA14" i="4"/>
  <c r="KB14" i="4"/>
  <c r="KC14" i="4"/>
  <c r="JR7" i="4"/>
  <c r="KA7" i="4"/>
  <c r="CK12" i="1"/>
  <c r="CL28" i="1"/>
  <c r="CL17" i="1"/>
  <c r="CL248" i="1"/>
  <c r="CL246" i="1"/>
  <c r="CL182" i="1"/>
  <c r="CL157" i="1"/>
  <c r="CL165" i="1" s="1"/>
  <c r="CL166" i="1" s="1"/>
  <c r="CL92" i="1"/>
  <c r="KE21" i="4"/>
  <c r="JT8" i="4"/>
  <c r="KD21" i="4"/>
  <c r="KH14" i="4"/>
  <c r="KH19" i="4" s="1"/>
  <c r="JT21" i="4"/>
  <c r="JQ15" i="4"/>
  <c r="JQ20" i="4" s="1"/>
  <c r="CK79" i="1" s="1"/>
  <c r="JR8" i="4"/>
  <c r="CJ156" i="1"/>
  <c r="CJ185" i="1" s="1"/>
  <c r="CJ184" i="1" s="1"/>
  <c r="CK184" i="1" s="1"/>
  <c r="KB15" i="4"/>
  <c r="KB20" i="4" s="1"/>
  <c r="JY14" i="4"/>
  <c r="JY19" i="4" s="1"/>
  <c r="JS14" i="4"/>
  <c r="JS19" i="4" s="1"/>
  <c r="JU8" i="4"/>
  <c r="JU7" i="4"/>
  <c r="JS15" i="4"/>
  <c r="JW14" i="4"/>
  <c r="JW19" i="4" s="1"/>
  <c r="JS7" i="4"/>
  <c r="KD14" i="4"/>
  <c r="JX8" i="4"/>
  <c r="JX7" i="4"/>
  <c r="JS21" i="4"/>
  <c r="JT7" i="4"/>
  <c r="KF8" i="4"/>
  <c r="KC7" i="4"/>
  <c r="KG14" i="4"/>
  <c r="KG19" i="4" s="1"/>
  <c r="KG21" i="4"/>
  <c r="KA15" i="4"/>
  <c r="JQ14" i="4"/>
  <c r="JQ19" i="4" s="1"/>
  <c r="CK78" i="1" s="1"/>
  <c r="KG8" i="4"/>
  <c r="JY15" i="4"/>
  <c r="KC8" i="4"/>
  <c r="CK16" i="1"/>
  <c r="CL188" i="1"/>
  <c r="CL12" i="1"/>
  <c r="CI16" i="1"/>
  <c r="CL244" i="1"/>
  <c r="CL225" i="1"/>
  <c r="KB7" i="4"/>
  <c r="KB19" i="4" s="1"/>
  <c r="JW21" i="4"/>
  <c r="JZ8" i="4"/>
  <c r="JZ20" i="4" s="1"/>
  <c r="JV15" i="4"/>
  <c r="JV20" i="4" s="1"/>
  <c r="KF14" i="4"/>
  <c r="JQ8" i="4"/>
  <c r="KG15" i="4"/>
  <c r="CK11" i="1"/>
  <c r="Y196" i="1"/>
  <c r="KE7" i="4"/>
  <c r="JZ7" i="4"/>
  <c r="JX15" i="4"/>
  <c r="JZ14" i="4"/>
  <c r="JX14" i="4"/>
  <c r="KA21" i="4"/>
  <c r="CJ148" i="1"/>
  <c r="JV14" i="4"/>
  <c r="JV19" i="4" s="1"/>
  <c r="JT14" i="4"/>
  <c r="Z156" i="1"/>
  <c r="KD15" i="4"/>
  <c r="JR21" i="4"/>
  <c r="CL77" i="1" s="1"/>
  <c r="KA8" i="4"/>
  <c r="JY8" i="4"/>
  <c r="KE14" i="4"/>
  <c r="KE19" i="4" s="1"/>
  <c r="CJ138" i="1"/>
  <c r="CJ131" i="1"/>
  <c r="CK131" i="1" s="1"/>
  <c r="KE8" i="4"/>
  <c r="KE20" i="4" s="1"/>
  <c r="JT15" i="4"/>
  <c r="JT20" i="4" s="1"/>
  <c r="KD7" i="4"/>
  <c r="JU15" i="4"/>
  <c r="JU20" i="4" s="1"/>
  <c r="KF21" i="4"/>
  <c r="KB21" i="4"/>
  <c r="JR14" i="4"/>
  <c r="JR19" i="4" s="1"/>
  <c r="CL78" i="1" s="1"/>
  <c r="JR15" i="4"/>
  <c r="JR20" i="4" s="1"/>
  <c r="CL79" i="1" s="1"/>
  <c r="KD8" i="4"/>
  <c r="JU21" i="4"/>
  <c r="JW8" i="4"/>
  <c r="X27" i="1"/>
  <c r="X182" i="1"/>
  <c r="X181" i="1" s="1"/>
  <c r="Y27" i="1"/>
  <c r="X157" i="1"/>
  <c r="CJ128" i="1"/>
  <c r="CJ206" i="1" s="1"/>
  <c r="JS20" i="4"/>
  <c r="Z182" i="1"/>
  <c r="Z181" i="1" s="1"/>
  <c r="Z196" i="1"/>
  <c r="CH179" i="1"/>
  <c r="CI179" i="1" s="1"/>
  <c r="CH148" i="1"/>
  <c r="Y188" i="1"/>
  <c r="Y11" i="1"/>
  <c r="Y98" i="1"/>
  <c r="Y16" i="1"/>
  <c r="Y138" i="1"/>
  <c r="Y33" i="1"/>
  <c r="CK102" i="1"/>
  <c r="Z248" i="1"/>
  <c r="KA20" i="4"/>
  <c r="KC20" i="4"/>
  <c r="Z27" i="1"/>
  <c r="AB133" i="1"/>
  <c r="CQ133" i="1"/>
  <c r="CR133" i="1" s="1"/>
  <c r="CS133" i="1" s="1"/>
  <c r="CT133" i="1" s="1"/>
  <c r="CG27" i="1"/>
  <c r="CG16" i="1"/>
  <c r="CK18" i="1" s="1"/>
  <c r="X129" i="1"/>
  <c r="CI27" i="1"/>
  <c r="Y181" i="1"/>
  <c r="Y185" i="1"/>
  <c r="Y157" i="1"/>
  <c r="X138" i="1"/>
  <c r="X33" i="1"/>
  <c r="CH184" i="1"/>
  <c r="CI184" i="1" s="1"/>
  <c r="X248" i="1"/>
  <c r="Y209" i="1"/>
  <c r="X246" i="1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CJ92" i="1"/>
  <c r="CJ94" i="1" s="1"/>
  <c r="CI206" i="1"/>
  <c r="X185" i="1"/>
  <c r="Y197" i="1"/>
  <c r="CK202" i="1"/>
  <c r="KH20" i="4"/>
  <c r="Y249" i="1"/>
  <c r="Y206" i="1"/>
  <c r="Y168" i="1"/>
  <c r="Y109" i="1" s="1"/>
  <c r="CK128" i="1"/>
  <c r="KA19" i="4"/>
  <c r="Y37" i="1"/>
  <c r="Y129" i="1"/>
  <c r="CK209" i="1"/>
  <c r="CJ248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H248" i="1"/>
  <c r="CI131" i="1"/>
  <c r="CI134" i="1" s="1"/>
  <c r="CJ33" i="1" s="1"/>
  <c r="CH134" i="1"/>
  <c r="X28" i="1"/>
  <c r="X17" i="1"/>
  <c r="Z138" i="1"/>
  <c r="AA203" i="1" s="1"/>
  <c r="AA201" i="1" s="1"/>
  <c r="Z33" i="1"/>
  <c r="CH12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CI17" i="1"/>
  <c r="CI28" i="1"/>
  <c r="JN20" i="4"/>
  <c r="CH79" i="1" s="1"/>
  <c r="JN19" i="4"/>
  <c r="CH78" i="1" s="1"/>
  <c r="JU19" i="4" l="1"/>
  <c r="KF20" i="4"/>
  <c r="KC19" i="4"/>
  <c r="AA205" i="1"/>
  <c r="JW20" i="4"/>
  <c r="Z157" i="1"/>
  <c r="AA197" i="1"/>
  <c r="AA198" i="1" s="1"/>
  <c r="AA199" i="1" s="1"/>
  <c r="AA213" i="1" s="1"/>
  <c r="KD19" i="4"/>
  <c r="KF19" i="4"/>
  <c r="JX20" i="4"/>
  <c r="JX19" i="4"/>
  <c r="JT19" i="4"/>
  <c r="KD20" i="4"/>
  <c r="JY20" i="4"/>
  <c r="CL19" i="1"/>
  <c r="CK17" i="1"/>
  <c r="CK28" i="1"/>
  <c r="CL31" i="1"/>
  <c r="CL250" i="1"/>
  <c r="CL232" i="1"/>
  <c r="CL233" i="1" s="1"/>
  <c r="CL34" i="1"/>
  <c r="CL38" i="1" s="1"/>
  <c r="CL29" i="1"/>
  <c r="CL181" i="1"/>
  <c r="CL186" i="1"/>
  <c r="JZ19" i="4"/>
  <c r="KG20" i="4"/>
  <c r="CJ246" i="1"/>
  <c r="CJ157" i="1"/>
  <c r="CJ165" i="1" s="1"/>
  <c r="CJ182" i="1"/>
  <c r="CJ244" i="1"/>
  <c r="CL102" i="1"/>
  <c r="CL94" i="1"/>
  <c r="CL103" i="1"/>
  <c r="CL107" i="1"/>
  <c r="CL110" i="1" s="1"/>
  <c r="CL95" i="1"/>
  <c r="CL104" i="1"/>
  <c r="CL108" i="1"/>
  <c r="CL111" i="1" s="1"/>
  <c r="CL96" i="1"/>
  <c r="CL249" i="1"/>
  <c r="CL206" i="1"/>
  <c r="Z185" i="1"/>
  <c r="Z197" i="1"/>
  <c r="CJ129" i="1"/>
  <c r="CJ249" i="1"/>
  <c r="Y198" i="1"/>
  <c r="Y165" i="1"/>
  <c r="Y166" i="1" s="1"/>
  <c r="Z198" i="1"/>
  <c r="CH182" i="1"/>
  <c r="CH157" i="1"/>
  <c r="Y18" i="1"/>
  <c r="Y28" i="1"/>
  <c r="Y17" i="1"/>
  <c r="Y246" i="1"/>
  <c r="Y244" i="1"/>
  <c r="CK104" i="1"/>
  <c r="CK108" i="1"/>
  <c r="CK103" i="1"/>
  <c r="CK107" i="1"/>
  <c r="CU133" i="1"/>
  <c r="CV133" i="1" s="1"/>
  <c r="CW133" i="1" s="1"/>
  <c r="CX133" i="1" s="1"/>
  <c r="AC133" i="1"/>
  <c r="Z18" i="1"/>
  <c r="Z17" i="1"/>
  <c r="Z28" i="1"/>
  <c r="X244" i="1"/>
  <c r="X165" i="1"/>
  <c r="X166" i="1" s="1"/>
  <c r="Y203" i="1"/>
  <c r="Y201" i="1" s="1"/>
  <c r="CJ96" i="1"/>
  <c r="CJ95" i="1"/>
  <c r="CH96" i="1"/>
  <c r="CG28" i="1"/>
  <c r="CK30" i="1" s="1"/>
  <c r="CG17" i="1"/>
  <c r="CK185" i="1"/>
  <c r="Y184" i="1"/>
  <c r="Y186" i="1"/>
  <c r="CI185" i="1"/>
  <c r="CI152" i="1"/>
  <c r="CM140" i="1"/>
  <c r="CJ181" i="1"/>
  <c r="CK181" i="1" s="1"/>
  <c r="CJ186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I138" i="1"/>
  <c r="CJ203" i="1" s="1"/>
  <c r="CJ201" i="1" s="1"/>
  <c r="Z203" i="1"/>
  <c r="Z201" i="1" s="1"/>
  <c r="Z165" i="1"/>
  <c r="Z166" i="1" s="1"/>
  <c r="Z246" i="1"/>
  <c r="Z244" i="1"/>
  <c r="X232" i="1"/>
  <c r="X233" i="1" s="1"/>
  <c r="X34" i="1"/>
  <c r="X112" i="1"/>
  <c r="X29" i="1"/>
  <c r="CI33" i="1"/>
  <c r="CH138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I34" i="1"/>
  <c r="CI232" i="1"/>
  <c r="CI233" i="1" s="1"/>
  <c r="CI29" i="1"/>
  <c r="AA210" i="1" l="1"/>
  <c r="AA211" i="1" s="1"/>
  <c r="AA30" i="1"/>
  <c r="AA250" i="1"/>
  <c r="AA251" i="1" s="1"/>
  <c r="CJ166" i="1"/>
  <c r="CK34" i="1"/>
  <c r="CK38" i="1" s="1"/>
  <c r="CK29" i="1"/>
  <c r="Z186" i="1"/>
  <c r="AA189" i="1" s="1"/>
  <c r="AA190" i="1" s="1"/>
  <c r="Z184" i="1"/>
  <c r="CL40" i="1"/>
  <c r="CL41" i="1"/>
  <c r="CL251" i="1"/>
  <c r="CK31" i="1"/>
  <c r="CL226" i="1"/>
  <c r="CL112" i="1"/>
  <c r="CI38" i="1"/>
  <c r="CI41" i="1" s="1"/>
  <c r="CL55" i="1"/>
  <c r="CH181" i="1"/>
  <c r="CI181" i="1" s="1"/>
  <c r="CH186" i="1"/>
  <c r="CL189" i="1" s="1"/>
  <c r="Y250" i="1"/>
  <c r="Y251" i="1" s="1"/>
  <c r="Y30" i="1"/>
  <c r="Y112" i="1"/>
  <c r="Y34" i="1"/>
  <c r="Y55" i="1" s="1"/>
  <c r="Y29" i="1"/>
  <c r="Y232" i="1"/>
  <c r="Y233" i="1" s="1"/>
  <c r="CI250" i="1"/>
  <c r="CI251" i="1" s="1"/>
  <c r="CK112" i="1"/>
  <c r="AD133" i="1"/>
  <c r="CY133" i="1"/>
  <c r="CZ133" i="1" s="1"/>
  <c r="DA133" i="1" s="1"/>
  <c r="DB133" i="1" s="1"/>
  <c r="AE133" i="1" s="1"/>
  <c r="Z250" i="1"/>
  <c r="Z251" i="1" s="1"/>
  <c r="Z34" i="1"/>
  <c r="Z112" i="1"/>
  <c r="Z29" i="1"/>
  <c r="Z232" i="1"/>
  <c r="Z233" i="1" s="1"/>
  <c r="Z30" i="1"/>
  <c r="Y189" i="1"/>
  <c r="Y190" i="1" s="1"/>
  <c r="CG29" i="1"/>
  <c r="CG34" i="1"/>
  <c r="CG38" i="1" s="1"/>
  <c r="CG232" i="1"/>
  <c r="CG233" i="1" s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I203" i="1"/>
  <c r="CI201" i="1" s="1"/>
  <c r="CH110" i="1"/>
  <c r="CH111" i="1"/>
  <c r="CK194" i="1"/>
  <c r="CK132" i="1"/>
  <c r="CH246" i="1"/>
  <c r="CH165" i="1"/>
  <c r="CH166" i="1" s="1"/>
  <c r="X38" i="1"/>
  <c r="X55" i="1"/>
  <c r="CN27" i="1"/>
  <c r="CO27" i="1" s="1"/>
  <c r="CM17" i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Z189" i="1" l="1"/>
  <c r="Z190" i="1" s="1"/>
  <c r="CI40" i="1"/>
  <c r="CK41" i="1"/>
  <c r="CK40" i="1"/>
  <c r="CL44" i="1"/>
  <c r="CL48" i="1"/>
  <c r="CL234" i="1"/>
  <c r="CL42" i="1"/>
  <c r="CL245" i="1" s="1"/>
  <c r="CL114" i="1"/>
  <c r="CL113" i="1"/>
  <c r="CK134" i="1"/>
  <c r="CL132" i="1"/>
  <c r="CL131" i="1" s="1"/>
  <c r="Y38" i="1"/>
  <c r="CI146" i="1"/>
  <c r="CI182" i="1"/>
  <c r="Z38" i="1"/>
  <c r="Z55" i="1"/>
  <c r="CN202" i="1"/>
  <c r="CO140" i="1"/>
  <c r="CJ41" i="1"/>
  <c r="CL227" i="1" s="1"/>
  <c r="CJ40" i="1"/>
  <c r="CG41" i="1"/>
  <c r="CK43" i="1" s="1"/>
  <c r="CG40" i="1"/>
  <c r="CN184" i="1"/>
  <c r="CM185" i="1"/>
  <c r="CH41" i="1"/>
  <c r="CL43" i="1" s="1"/>
  <c r="CH40" i="1"/>
  <c r="CM181" i="1"/>
  <c r="CO125" i="1"/>
  <c r="CN128" i="1"/>
  <c r="CN249" i="1" s="1"/>
  <c r="CM206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CI42" i="1"/>
  <c r="CI245" i="1" s="1"/>
  <c r="CI234" i="1"/>
  <c r="CI48" i="1"/>
  <c r="AC45" i="1"/>
  <c r="CV45" i="1"/>
  <c r="CW45" i="1" s="1"/>
  <c r="CX45" i="1" s="1"/>
  <c r="CY45" i="1" s="1"/>
  <c r="AB35" i="1"/>
  <c r="CN46" i="1"/>
  <c r="CO46" i="1" s="1"/>
  <c r="CP46" i="1" s="1"/>
  <c r="CQ46" i="1" s="1"/>
  <c r="Y40" i="1" l="1"/>
  <c r="Y41" i="1"/>
  <c r="CK48" i="1"/>
  <c r="CK42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193" i="1"/>
  <c r="CL195" i="1" s="1"/>
  <c r="CL66" i="1"/>
  <c r="CL52" i="1"/>
  <c r="CM131" i="1"/>
  <c r="CN131" i="1" s="1"/>
  <c r="CO131" i="1" s="1"/>
  <c r="CP131" i="1" s="1"/>
  <c r="CK203" i="1"/>
  <c r="CK201" i="1" s="1"/>
  <c r="CL203" i="1"/>
  <c r="CL201" i="1" s="1"/>
  <c r="CI119" i="1"/>
  <c r="Z41" i="1"/>
  <c r="AA43" i="1" s="1"/>
  <c r="Z40" i="1"/>
  <c r="CJ48" i="1"/>
  <c r="CL54" i="1" s="1"/>
  <c r="CJ42" i="1"/>
  <c r="CJ245" i="1" s="1"/>
  <c r="CJ234" i="1"/>
  <c r="CJ44" i="1"/>
  <c r="CK44" i="1"/>
  <c r="CP140" i="1"/>
  <c r="CO202" i="1"/>
  <c r="CJ227" i="1"/>
  <c r="CG42" i="1"/>
  <c r="CG245" i="1" s="1"/>
  <c r="CG234" i="1"/>
  <c r="CG48" i="1"/>
  <c r="CH44" i="1"/>
  <c r="CO184" i="1"/>
  <c r="CN185" i="1"/>
  <c r="CI44" i="1"/>
  <c r="CH48" i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T13" i="4" a="1"/>
  <c r="ES14" i="4" a="1"/>
  <c r="EP14" i="4" a="1"/>
  <c r="EQ13" i="4" a="1"/>
  <c r="EL16" i="4" a="1"/>
  <c r="EW13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W16" i="4" a="1"/>
  <c r="C6" i="4" a="1"/>
  <c r="EL8" i="4" a="1"/>
  <c r="EN13" i="4" a="1"/>
  <c r="ER15" i="4" a="1"/>
  <c r="EW7" i="4" a="1"/>
  <c r="EV14" i="4" a="1"/>
  <c r="EW11" i="4" a="1"/>
  <c r="EU6" i="4" a="1"/>
  <c r="EM8" i="4" a="1"/>
  <c r="EU5" i="4" a="1"/>
  <c r="AX23" i="3"/>
  <c r="AW20" i="3"/>
  <c r="AV46" i="3"/>
  <c r="AZ5" i="3"/>
  <c r="G5" i="6" a="1"/>
  <c r="AN5" i="6" a="1"/>
  <c r="AF38" i="3"/>
  <c r="AS31" i="3"/>
  <c r="D5" i="6" a="1"/>
  <c r="EN5" i="4" a="1"/>
  <c r="EW8" i="4" a="1"/>
  <c r="EN6" i="4" a="1"/>
  <c r="EQ6" i="4" a="1"/>
  <c r="EQ7" i="4" a="1"/>
  <c r="EW6" i="4" a="1"/>
  <c r="ES12" i="4" a="1"/>
  <c r="EV11" i="4" a="1"/>
  <c r="AY25" i="3"/>
  <c r="AZ11" i="3"/>
  <c r="AT35" i="3"/>
  <c r="AX9" i="3"/>
  <c r="AY15" i="3"/>
  <c r="AX46" i="3"/>
  <c r="ET12" i="4" a="1"/>
  <c r="ET15" i="4" a="1"/>
  <c r="EQ8" i="4" a="1"/>
  <c r="ES13" i="4" a="1"/>
  <c r="EM7" i="4" a="1"/>
  <c r="ET9" i="4" a="1"/>
  <c r="AZ27" i="3"/>
  <c r="AU30" i="3"/>
  <c r="X5" i="6" a="1"/>
  <c r="AF17" i="3"/>
  <c r="ER16" i="4" a="1"/>
  <c r="EM11" i="4" a="1"/>
  <c r="EQ14" i="4" a="1"/>
  <c r="EL11" i="4" a="1"/>
  <c r="ET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U11" i="4" a="1"/>
  <c r="EP6" i="4" a="1"/>
  <c r="EU13" i="4" a="1"/>
  <c r="EN9" i="4" a="1"/>
  <c r="EN12" i="4" a="1"/>
  <c r="AL5" i="6" a="1"/>
  <c r="AZ8" i="3"/>
  <c r="AS9" i="3"/>
  <c r="AW31" i="3"/>
  <c r="AV7" i="3"/>
  <c r="AV34" i="3"/>
  <c r="J5" i="6" a="1"/>
  <c r="AV35" i="3"/>
  <c r="AS23" i="3"/>
  <c r="AS16" i="3"/>
  <c r="AX18" i="3"/>
  <c r="AF15" i="3"/>
  <c r="AT19" i="3"/>
  <c r="AY39" i="3"/>
  <c r="AC6" i="6" a="1"/>
  <c r="ER14" i="4" a="1"/>
  <c r="ET6" i="4" a="1"/>
  <c r="EO8" i="4" a="1"/>
  <c r="EO15" i="4" a="1"/>
  <c r="ES9" i="4" a="1"/>
  <c r="EM6" i="4" a="1"/>
  <c r="C5" i="3"/>
  <c r="AY42" i="3"/>
  <c r="EM5" i="4" a="1"/>
  <c r="EO6" i="4" a="1"/>
  <c r="EW9" i="4" a="1"/>
  <c r="ER12" i="4" a="1"/>
  <c r="ES8" i="4" a="1"/>
  <c r="ET14" i="4" a="1"/>
  <c r="EP16" i="4" a="1"/>
  <c r="AZ26" i="3"/>
  <c r="AF23" i="3"/>
  <c r="AM5" i="6" a="1"/>
  <c r="EP12" i="4" a="1"/>
  <c r="ES16" i="4" a="1"/>
  <c r="ET8" i="4" a="1"/>
  <c r="EV9" i="4" a="1"/>
  <c r="EV16" i="4" a="1"/>
  <c r="EV6" i="4" a="1"/>
  <c r="EP7" i="4" a="1"/>
  <c r="EM16" i="4" a="1"/>
  <c r="EP8" i="4" a="1"/>
  <c r="EU8" i="4" a="1"/>
  <c r="EN8" i="4" a="1"/>
  <c r="ET7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L12" i="4" a="1"/>
  <c r="AU5" i="3"/>
  <c r="AQ6" i="6" a="1"/>
  <c r="AZ24" i="3"/>
  <c r="J6" i="6" a="1"/>
  <c r="AU12" i="3"/>
  <c r="AX42" i="3"/>
  <c r="AZ46" i="3"/>
  <c r="AU7" i="3"/>
  <c r="AY37" i="3"/>
  <c r="ER11" i="4" a="1"/>
  <c r="EN7" i="4" a="1"/>
  <c r="EV13" i="4" a="1"/>
  <c r="EL13" i="4" a="1"/>
  <c r="EW5" i="4" a="1"/>
  <c r="EQ12" i="4" a="1"/>
  <c r="EM14" i="4" a="1"/>
  <c r="EM13" i="4" a="1"/>
  <c r="EL14" i="4" a="1"/>
  <c r="EL5" i="4" a="1"/>
  <c r="ES6" i="4" a="1"/>
  <c r="EO5" i="4" a="1"/>
  <c r="EN15" i="4" a="1"/>
  <c r="EL15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CK66" i="1" l="1"/>
  <c r="CK52" i="1"/>
  <c r="CQ131" i="1"/>
  <c r="CR131" i="1" s="1"/>
  <c r="CS131" i="1" s="1"/>
  <c r="CT131" i="1" s="1"/>
  <c r="AB131" i="1"/>
  <c r="CJ66" i="1"/>
  <c r="CL69" i="1" s="1"/>
  <c r="CJ193" i="1"/>
  <c r="CJ195" i="1" s="1"/>
  <c r="CJ52" i="1"/>
  <c r="CP202" i="1"/>
  <c r="CQ140" i="1"/>
  <c r="CQ202" i="1" s="1"/>
  <c r="CJ54" i="1"/>
  <c r="CG193" i="1"/>
  <c r="CG195" i="1" s="1"/>
  <c r="CG52" i="1"/>
  <c r="CG66" i="1"/>
  <c r="CO185" i="1"/>
  <c r="CP184" i="1"/>
  <c r="CH193" i="1"/>
  <c r="CH195" i="1" s="1"/>
  <c r="CH66" i="1"/>
  <c r="CK69" i="1" s="1"/>
  <c r="CH52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T76" i="3"/>
  <c r="C66" i="3"/>
  <c r="AT67" i="3"/>
  <c r="AV74" i="3"/>
  <c r="AV59" i="3"/>
  <c r="C85" i="3"/>
  <c r="AZ70" i="3"/>
  <c r="AU60" i="3"/>
  <c r="AY78" i="3"/>
  <c r="AT89" i="3"/>
  <c r="AV88" i="3"/>
  <c r="AW78" i="3"/>
  <c r="AU56" i="3"/>
  <c r="AU72" i="3"/>
  <c r="AY71" i="3"/>
  <c r="AT71" i="3"/>
  <c r="AX89" i="3"/>
  <c r="AW82" i="3"/>
  <c r="AV87" i="3"/>
  <c r="AT57" i="3"/>
  <c r="AF59" i="3"/>
  <c r="AS50" i="3"/>
  <c r="AF95" i="3"/>
  <c r="AX60" i="3"/>
  <c r="AF74" i="3"/>
  <c r="C57" i="3"/>
  <c r="AZ91" i="3"/>
  <c r="AF82" i="3"/>
  <c r="AW79" i="3"/>
  <c r="C63" i="3"/>
  <c r="AY91" i="3"/>
  <c r="AS97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Z64" i="3"/>
  <c r="AF91" i="3"/>
  <c r="AX71" i="3"/>
  <c r="AW60" i="3"/>
  <c r="AZ78" i="3"/>
  <c r="AW61" i="3"/>
  <c r="AS77" i="3"/>
  <c r="AU89" i="3"/>
  <c r="AF54" i="3"/>
  <c r="AS78" i="3"/>
  <c r="C72" i="3"/>
  <c r="AW62" i="3"/>
  <c r="AS93" i="3"/>
  <c r="AW87" i="3"/>
  <c r="AU63" i="3"/>
  <c r="AT86" i="3"/>
  <c r="AY75" i="3"/>
  <c r="AV58" i="3"/>
  <c r="C61" i="3"/>
  <c r="AZ90" i="3"/>
  <c r="AS89" i="3"/>
  <c r="AT90" i="3"/>
  <c r="AU78" i="3"/>
  <c r="AZ77" i="3"/>
  <c r="AY54" i="3"/>
  <c r="AY84" i="3"/>
  <c r="AW88" i="3"/>
  <c r="AT62" i="3"/>
  <c r="AS65" i="3"/>
  <c r="AV67" i="3"/>
  <c r="AZ76" i="3"/>
  <c r="AF71" i="3"/>
  <c r="C59" i="3"/>
  <c r="AT93" i="3"/>
  <c r="AU76" i="3"/>
  <c r="AS81" i="3"/>
  <c r="AF70" i="3"/>
  <c r="AY60" i="3"/>
  <c r="AX59" i="3"/>
  <c r="AX47" i="3"/>
  <c r="C81" i="3"/>
  <c r="AX83" i="3"/>
  <c r="AV50" i="3"/>
  <c r="AU87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W89" i="3"/>
  <c r="AF49" i="3"/>
  <c r="C89" i="3"/>
  <c r="AF77" i="3"/>
  <c r="AT66" i="3"/>
  <c r="C68" i="3"/>
  <c r="AZ85" i="3"/>
  <c r="AT72" i="3"/>
  <c r="AU85" i="3"/>
  <c r="C55" i="3"/>
  <c r="AV71" i="3"/>
  <c r="AF60" i="3"/>
  <c r="AX62" i="3"/>
  <c r="C74" i="3"/>
  <c r="AU57" i="3"/>
  <c r="AT83" i="3"/>
  <c r="AX70" i="3"/>
  <c r="AT79" i="3"/>
  <c r="AY95" i="3"/>
  <c r="AU75" i="3"/>
  <c r="AF66" i="3"/>
  <c r="C84" i="3"/>
  <c r="AZ68" i="3"/>
  <c r="AT81" i="3"/>
  <c r="AX86" i="3"/>
  <c r="AT85" i="3"/>
  <c r="AY77" i="3"/>
  <c r="AT95" i="3"/>
  <c r="AS69" i="3"/>
  <c r="AY57" i="3"/>
  <c r="AV76" i="3"/>
  <c r="AT55" i="3"/>
  <c r="C78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Y73" i="3"/>
  <c r="AF57" i="3"/>
  <c r="AW64" i="3"/>
  <c r="AU88" i="3"/>
  <c r="AV82" i="3"/>
  <c r="AY50" i="3"/>
  <c r="AZ97" i="3"/>
  <c r="AW55" i="3"/>
  <c r="AV66" i="3"/>
  <c r="AF83" i="3"/>
  <c r="AW83" i="3"/>
  <c r="AV62" i="3"/>
  <c r="AV79" i="3"/>
  <c r="AX87" i="3"/>
  <c r="AY86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F68" i="3"/>
  <c r="AY81" i="3"/>
  <c r="AX85" i="3"/>
  <c r="AW47" i="3"/>
  <c r="AX96" i="3"/>
  <c r="AZ89" i="3"/>
  <c r="AT68" i="3"/>
  <c r="AT63" i="3"/>
  <c r="AX82" i="3"/>
  <c r="AF55" i="3"/>
  <c r="AF76" i="3"/>
  <c r="AZ55" i="3"/>
  <c r="AV90" i="3"/>
  <c r="AF63" i="3"/>
  <c r="AZ60" i="3"/>
  <c r="AT61" i="3"/>
  <c r="AF62" i="3"/>
  <c r="AU81" i="3"/>
  <c r="AZ75" i="3"/>
  <c r="C88" i="3"/>
  <c r="AZ66" i="3"/>
  <c r="AZ67" i="3"/>
  <c r="AT50" i="3"/>
  <c r="AS62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U48" i="3"/>
  <c r="AW65" i="3"/>
  <c r="AW95" i="3"/>
  <c r="AV92" i="3"/>
  <c r="AX57" i="3"/>
  <c r="AU69" i="3"/>
  <c r="AZ74" i="3"/>
  <c r="AF61" i="3"/>
  <c r="AT91" i="3"/>
  <c r="AT75" i="3"/>
  <c r="AF75" i="3"/>
  <c r="AF96" i="3"/>
  <c r="AU61" i="3"/>
  <c r="AV95" i="3"/>
  <c r="AS88" i="3"/>
  <c r="AZ56" i="3"/>
  <c r="AU64" i="3"/>
  <c r="AX78" i="3"/>
  <c r="AZ95" i="3"/>
  <c r="C58" i="3"/>
  <c r="C64" i="3"/>
  <c r="AW71" i="3"/>
  <c r="AZ87" i="3"/>
  <c r="AF90" i="3"/>
  <c r="C96" i="3"/>
  <c r="AZ59" i="3"/>
  <c r="AT56" i="3"/>
  <c r="AS64" i="3"/>
  <c r="AU65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V49" i="3"/>
  <c r="C73" i="3"/>
  <c r="C80" i="3"/>
  <c r="AV96" i="3"/>
  <c r="AF89" i="3"/>
  <c r="AT54" i="3"/>
  <c r="AS55" i="3"/>
  <c r="AS48" i="3"/>
  <c r="AF64" i="3"/>
  <c r="AS56" i="3"/>
  <c r="AU90" i="3"/>
  <c r="AY92" i="3"/>
  <c r="AX94" i="3"/>
  <c r="AF79" i="3"/>
  <c r="AS71" i="3"/>
  <c r="AU67" i="3"/>
  <c r="AZ48" i="3"/>
  <c r="C87" i="3"/>
  <c r="AW80" i="3"/>
  <c r="AU50" i="3"/>
  <c r="AF47" i="3"/>
  <c r="AT88" i="3"/>
  <c r="AX61" i="3"/>
  <c r="C65" i="3"/>
  <c r="AF92" i="3"/>
  <c r="AW67" i="3"/>
  <c r="AS70" i="3"/>
  <c r="AS63" i="3"/>
  <c r="AU71" i="3"/>
  <c r="AZ50" i="3"/>
  <c r="AY59" i="3"/>
  <c r="AZ81" i="3"/>
  <c r="AY80" i="3"/>
  <c r="AW66" i="3"/>
  <c r="AU62" i="3"/>
  <c r="AV86" i="3"/>
  <c r="AS59" i="3"/>
  <c r="AV80" i="3"/>
  <c r="AY74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V63" i="3"/>
  <c r="AY90" i="3"/>
  <c r="AS61" i="3"/>
  <c r="AU49" i="3"/>
  <c r="AU83" i="3"/>
  <c r="AY63" i="3"/>
  <c r="C92" i="3"/>
  <c r="AY67" i="3"/>
  <c r="C76" i="3"/>
  <c r="AS60" i="3"/>
  <c r="AX64" i="3"/>
  <c r="AV56" i="3"/>
  <c r="AU74" i="3"/>
  <c r="AW84" i="3"/>
  <c r="AS95" i="3"/>
  <c r="AY58" i="3"/>
  <c r="AT60" i="3"/>
  <c r="AU79" i="3"/>
  <c r="AS80" i="3"/>
  <c r="AV61" i="3"/>
  <c r="AC131" i="1" l="1"/>
  <c r="CU131" i="1"/>
  <c r="CV131" i="1" s="1"/>
  <c r="CW131" i="1" s="1"/>
  <c r="CX131" i="1" s="1"/>
  <c r="CL85" i="1"/>
  <c r="CL86" i="1"/>
  <c r="CL87" i="1"/>
  <c r="CJ69" i="1"/>
  <c r="CK85" i="1"/>
  <c r="CK87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AD131" i="1" l="1"/>
  <c r="CY131" i="1"/>
  <c r="CZ131" i="1" s="1"/>
  <c r="DA131" i="1" s="1"/>
  <c r="DB131" i="1" s="1"/>
  <c r="AE131" i="1" s="1"/>
  <c r="CQ185" i="1"/>
  <c r="CR184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G249" i="1"/>
  <c r="CS184" i="1"/>
  <c r="CR185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CF166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G251" i="1" s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S185" i="1" l="1"/>
  <c r="CT184" i="1"/>
  <c r="CR182" i="1"/>
  <c r="CR186" i="1" s="1"/>
  <c r="CS181" i="1"/>
  <c r="CA138" i="1"/>
  <c r="CB33" i="1"/>
  <c r="CB165" i="1"/>
  <c r="CD165" i="1"/>
  <c r="CD166" i="1" s="1"/>
  <c r="CB166" i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W185" i="1" l="1"/>
  <c r="CX184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Y185" i="1" l="1"/>
  <c r="CZ184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AI14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T11" i="2"/>
  <c r="C26" i="2"/>
  <c r="X26" i="2"/>
  <c r="C30" i="2"/>
  <c r="H45" i="3"/>
  <c r="AR9" i="3"/>
  <c r="AR42" i="3"/>
  <c r="F13" i="3"/>
  <c r="D45" i="3"/>
  <c r="M45" i="3"/>
  <c r="E7" i="3"/>
  <c r="AB46" i="3"/>
  <c r="F41" i="3"/>
  <c r="AZ14" i="4" a="1"/>
  <c r="DZ14" i="4" a="1"/>
  <c r="AK9" i="4" a="1"/>
  <c r="DG12" i="4" a="1"/>
  <c r="AS6" i="4" a="1"/>
  <c r="CZ12" i="4" a="1"/>
  <c r="BQ7" i="4" a="1"/>
  <c r="DV7" i="4" a="1"/>
  <c r="DP9" i="4" a="1"/>
  <c r="AZ7" i="4" a="1"/>
  <c r="EK5" i="4" a="1"/>
  <c r="CQ13" i="4" a="1"/>
  <c r="AK13" i="4" a="1"/>
  <c r="CN8" i="4" a="1"/>
  <c r="DY16" i="4" a="1"/>
  <c r="BP11" i="4" a="1"/>
  <c r="CH7" i="4" a="1"/>
  <c r="O7" i="4" a="1"/>
  <c r="J7" i="4" a="1"/>
  <c r="AX6" i="4" a="1"/>
  <c r="BR13" i="4" a="1"/>
  <c r="BE7" i="4" a="1"/>
  <c r="BC5" i="4" a="1"/>
  <c r="EI6" i="4" a="1"/>
  <c r="U9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CM15" i="4" a="1"/>
  <c r="AR9" i="4" a="1"/>
  <c r="BW6" i="4" a="1"/>
  <c r="L11" i="4" a="1"/>
  <c r="DG9" i="4" a="1"/>
  <c r="AQ7" i="4" a="1"/>
  <c r="DR8" i="4" a="1"/>
  <c r="M11" i="4" a="1"/>
  <c r="CD13" i="4" a="1"/>
  <c r="AI6" i="4" a="1"/>
  <c r="AX12" i="4" a="1"/>
  <c r="DO13" i="4" a="1"/>
  <c r="BG13" i="4" a="1"/>
  <c r="BD8" i="4" a="1"/>
  <c r="CI9" i="4" a="1"/>
  <c r="BX11" i="4" a="1"/>
  <c r="BD7" i="4" a="1"/>
  <c r="AT7" i="4" a="1"/>
  <c r="CQ9" i="4" a="1"/>
  <c r="CJ16" i="4" a="1"/>
  <c r="BD13" i="4" a="1"/>
  <c r="BY6" i="4" a="1"/>
  <c r="CK16" i="4" a="1"/>
  <c r="AJ11" i="4" a="1"/>
  <c r="EC6" i="4" a="1"/>
  <c r="CJ15" i="4" a="1"/>
  <c r="DN11" i="4" a="1"/>
  <c r="F19" i="2"/>
  <c r="AR90" i="3"/>
  <c r="X32" i="2"/>
  <c r="AR47" i="3"/>
  <c r="V25" i="2"/>
  <c r="F8" i="3"/>
  <c r="F29" i="3"/>
  <c r="D21" i="3"/>
  <c r="F31" i="3"/>
  <c r="AD7" i="3"/>
  <c r="AJ45" i="3"/>
  <c r="D20" i="3"/>
  <c r="U46" i="3"/>
  <c r="AR16" i="3"/>
  <c r="X13" i="4" a="1"/>
  <c r="BN7" i="4" a="1"/>
  <c r="CM12" i="4" a="1"/>
  <c r="CB7" i="4" a="1"/>
  <c r="DV5" i="4" a="1"/>
  <c r="BE11" i="4" a="1"/>
  <c r="BD6" i="4" a="1"/>
  <c r="DY11" i="4" a="1"/>
  <c r="CO6" i="4" a="1"/>
  <c r="DH12" i="4" a="1"/>
  <c r="AP9" i="4" a="1"/>
  <c r="R13" i="4" a="1"/>
  <c r="J5" i="4" a="1"/>
  <c r="BX16" i="4" a="1"/>
  <c r="BH12" i="4" a="1"/>
  <c r="P14" i="4" a="1"/>
  <c r="AQ15" i="4" a="1"/>
  <c r="CK14" i="4" a="1"/>
  <c r="CX15" i="4" a="1"/>
  <c r="CI13" i="4" a="1"/>
  <c r="DD9" i="4" a="1"/>
  <c r="BD5" i="4" a="1"/>
  <c r="DF13" i="4" a="1"/>
  <c r="BS12" i="4" a="1"/>
  <c r="CS15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CM7" i="4" a="1"/>
  <c r="DG14" i="4" a="1"/>
  <c r="DY14" i="4" a="1"/>
  <c r="DV11" i="4" a="1"/>
  <c r="AG5" i="4" a="1"/>
  <c r="BQ14" i="4" a="1"/>
  <c r="DA15" i="4" a="1"/>
  <c r="DZ5" i="4" a="1"/>
  <c r="W16" i="4" a="1"/>
  <c r="AJ15" i="4" a="1"/>
  <c r="H11" i="2"/>
  <c r="AR55" i="3"/>
  <c r="F32" i="2"/>
  <c r="K14" i="2"/>
  <c r="U31" i="2"/>
  <c r="S46" i="3"/>
  <c r="AD15" i="3"/>
  <c r="R46" i="3"/>
  <c r="O45" i="3"/>
  <c r="P46" i="3"/>
  <c r="D38" i="3"/>
  <c r="E34" i="3"/>
  <c r="D31" i="3"/>
  <c r="AD11" i="3"/>
  <c r="AF7" i="4" a="1"/>
  <c r="EC15" i="4" a="1"/>
  <c r="AI9" i="4" a="1"/>
  <c r="AN7" i="4" a="1"/>
  <c r="D8" i="4" a="1"/>
  <c r="AK8" i="4" a="1"/>
  <c r="C15" i="4" a="1"/>
  <c r="AB13" i="4" a="1"/>
  <c r="CF9" i="4" a="1"/>
  <c r="CB13" i="4" a="1"/>
  <c r="EK15" i="4" a="1"/>
  <c r="EG16" i="4" a="1"/>
  <c r="U16" i="4" a="1"/>
  <c r="AC14" i="4" a="1"/>
  <c r="V12" i="4" a="1"/>
  <c r="AE7" i="4" a="1"/>
  <c r="DY8" i="4" a="1"/>
  <c r="AG9" i="4" a="1"/>
  <c r="X15" i="4" a="1"/>
  <c r="AD5" i="4" a="1"/>
  <c r="CU9" i="4" a="1"/>
  <c r="DZ12" i="4" a="1"/>
  <c r="CP13" i="4" a="1"/>
  <c r="T8" i="4" a="1"/>
  <c r="EE12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E25" i="3"/>
  <c r="E20" i="3"/>
  <c r="AR38" i="3"/>
  <c r="Z46" i="3"/>
  <c r="DG15" i="4" a="1"/>
  <c r="DQ13" i="4" a="1"/>
  <c r="CV6" i="4" a="1"/>
  <c r="CV12" i="4" a="1"/>
  <c r="BI5" i="4" a="1"/>
  <c r="EB8" i="4" a="1"/>
  <c r="V5" i="4" a="1"/>
  <c r="Q5" i="4" a="1"/>
  <c r="CR9" i="4" a="1"/>
  <c r="BX5" i="4" a="1"/>
  <c r="DQ5" i="4" a="1"/>
  <c r="DC15" i="4" a="1"/>
  <c r="BH7" i="4" a="1"/>
  <c r="AT6" i="4" a="1"/>
  <c r="AB5" i="4" a="1"/>
  <c r="AJ9" i="4" a="1"/>
  <c r="AA16" i="4" a="1"/>
  <c r="EB5" i="4" a="1"/>
  <c r="EA9" i="4" a="1"/>
  <c r="CV14" i="4" a="1"/>
  <c r="CQ15" i="4" a="1"/>
  <c r="CR16" i="4" a="1"/>
  <c r="AZ13" i="4" a="1"/>
  <c r="BB5" i="4" a="1"/>
  <c r="BK9" i="4" a="1"/>
  <c r="BZ7" i="4" a="1"/>
  <c r="CJ14" i="4" a="1"/>
  <c r="CG5" i="4" a="1"/>
  <c r="AY14" i="4" a="1"/>
  <c r="CR12" i="4" a="1"/>
  <c r="AH6" i="4" a="1"/>
  <c r="DR9" i="4" a="1"/>
  <c r="T13" i="4" a="1"/>
  <c r="DM14" i="4" a="1"/>
  <c r="DH7" i="4" a="1"/>
  <c r="ED15" i="4" a="1"/>
  <c r="BB7" i="4" a="1"/>
  <c r="CX9" i="4" a="1"/>
  <c r="S8" i="4" a="1"/>
  <c r="AY15" i="4" a="1"/>
  <c r="L8" i="4" a="1"/>
  <c r="DZ15" i="4" a="1"/>
  <c r="G15" i="4" a="1"/>
  <c r="CY7" i="4" a="1"/>
  <c r="AL14" i="4" a="1"/>
  <c r="BO11" i="4" a="1"/>
  <c r="E11" i="4" a="1"/>
  <c r="Z11" i="4" a="1"/>
  <c r="DF8" i="4" a="1"/>
  <c r="AX7" i="4" a="1"/>
  <c r="CC12" i="4" a="1"/>
  <c r="BS5" i="4" a="1"/>
  <c r="P32" i="2"/>
  <c r="AR50" i="3"/>
  <c r="C65" i="2"/>
  <c r="M9" i="2"/>
  <c r="AR86" i="3"/>
  <c r="D15" i="3"/>
  <c r="AC45" i="3"/>
  <c r="G30" i="3"/>
  <c r="D7" i="3"/>
  <c r="AR35" i="3"/>
  <c r="CX7" i="4" a="1"/>
  <c r="BU6" i="4" a="1"/>
  <c r="BV14" i="4" a="1"/>
  <c r="AI16" i="4" a="1"/>
  <c r="S11" i="4" a="1"/>
  <c r="BH5" i="4" a="1"/>
  <c r="L9" i="4" a="1"/>
  <c r="C9" i="4" a="1"/>
  <c r="CQ14" i="4" a="1"/>
  <c r="T7" i="4" a="1"/>
  <c r="AB11" i="4" a="1"/>
  <c r="R14" i="4" a="1"/>
  <c r="AQ13" i="4" a="1"/>
  <c r="P9" i="4" a="1"/>
  <c r="DL13" i="4" a="1"/>
  <c r="C7" i="4" a="1"/>
  <c r="DP11" i="4" a="1"/>
  <c r="F8" i="4" a="1"/>
  <c r="DE16" i="4" a="1"/>
  <c r="V6" i="4" a="1"/>
  <c r="DJ16" i="4" a="1"/>
  <c r="AA13" i="4" a="1"/>
  <c r="BX12" i="4" a="1"/>
  <c r="AL13" i="4" a="1"/>
  <c r="CB12" i="4" a="1"/>
  <c r="BU14" i="4" a="1"/>
  <c r="CP15" i="4" a="1"/>
  <c r="CN12" i="4" a="1"/>
  <c r="U8" i="4" a="1"/>
  <c r="DB13" i="4" a="1"/>
  <c r="BZ6" i="4" a="1"/>
  <c r="H5" i="4" a="1"/>
  <c r="D16" i="4" a="1"/>
  <c r="H12" i="4" a="1"/>
  <c r="CU14" i="4" a="1"/>
  <c r="W7" i="4" a="1"/>
  <c r="EC5" i="4" a="1"/>
  <c r="BH13" i="4" a="1"/>
  <c r="AU14" i="4" a="1"/>
  <c r="AH16" i="4" a="1"/>
  <c r="EF12" i="4" a="1"/>
  <c r="BP6" i="4" a="1"/>
  <c r="CX11" i="4" a="1"/>
  <c r="K11" i="4" a="1"/>
  <c r="DL8" i="4" a="1"/>
  <c r="W14" i="4" a="1"/>
  <c r="DP13" i="4" a="1"/>
  <c r="CW16" i="4" a="1"/>
  <c r="CL7" i="4" a="1"/>
  <c r="EF16" i="4" a="1"/>
  <c r="P15" i="4" a="1"/>
  <c r="EI7" i="4" a="1"/>
  <c r="Q20" i="2"/>
  <c r="M24" i="2"/>
  <c r="Q34" i="2"/>
  <c r="C15" i="2"/>
  <c r="AR96" i="3"/>
  <c r="D19" i="3"/>
  <c r="D34" i="3"/>
  <c r="T45" i="3"/>
  <c r="AL46" i="3"/>
  <c r="D22" i="3"/>
  <c r="AO46" i="3"/>
  <c r="AR28" i="3"/>
  <c r="D35" i="3"/>
  <c r="F35" i="3"/>
  <c r="AB12" i="4" a="1"/>
  <c r="Z8" i="4" a="1"/>
  <c r="DH14" i="4" a="1"/>
  <c r="CM16" i="4" a="1"/>
  <c r="BX8" i="4" a="1"/>
  <c r="BD15" i="4" a="1"/>
  <c r="BZ8" i="4" a="1"/>
  <c r="BV13" i="4" a="1"/>
  <c r="CS14" i="4" a="1"/>
  <c r="V15" i="4" a="1"/>
  <c r="CT8" i="4" a="1"/>
  <c r="AR11" i="4" a="1"/>
  <c r="R6" i="4" a="1"/>
  <c r="BT13" i="4" a="1"/>
  <c r="DC12" i="4" a="1"/>
  <c r="AC15" i="4" a="1"/>
  <c r="CU6" i="4" a="1"/>
  <c r="M14" i="4" a="1"/>
  <c r="C8" i="4" a="1"/>
  <c r="AL5" i="4" a="1"/>
  <c r="EF13" i="4" a="1"/>
  <c r="AB9" i="4" a="1"/>
  <c r="AH5" i="4" a="1"/>
  <c r="DF11" i="4" a="1"/>
  <c r="AI8" i="4" a="1"/>
  <c r="AR12" i="4" a="1"/>
  <c r="EF5" i="4" a="1"/>
  <c r="DV15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G11" i="2"/>
  <c r="AR68" i="3"/>
  <c r="M31" i="2"/>
  <c r="K27" i="2"/>
  <c r="V15" i="2"/>
  <c r="AE46" i="3"/>
  <c r="E14" i="3"/>
  <c r="AB45" i="3"/>
  <c r="Q45" i="3"/>
  <c r="G13" i="3"/>
  <c r="AO45" i="3"/>
  <c r="AH45" i="3"/>
  <c r="D14" i="3"/>
  <c r="N9" i="4" a="1"/>
  <c r="AL12" i="4" a="1"/>
  <c r="BK8" i="4" a="1"/>
  <c r="AV9" i="4" a="1"/>
  <c r="BW11" i="4" a="1"/>
  <c r="AC11" i="4" a="1"/>
  <c r="AD8" i="4" a="1"/>
  <c r="I14" i="4" a="1"/>
  <c r="CD5" i="4" a="1"/>
  <c r="EI14" i="4" a="1"/>
  <c r="S15" i="4" a="1"/>
  <c r="AH8" i="4" a="1"/>
  <c r="EA5" i="4" a="1"/>
  <c r="AD11" i="4" a="1"/>
  <c r="M5" i="4" a="1"/>
  <c r="AO11" i="4" a="1"/>
  <c r="CZ15" i="4" a="1"/>
  <c r="DE15" i="4" a="1"/>
  <c r="BI6" i="4" a="1"/>
  <c r="BO12" i="4" a="1"/>
  <c r="DP16" i="4" a="1"/>
  <c r="X8" i="4" a="1"/>
  <c r="CN7" i="4" a="1"/>
  <c r="BI7" i="4" a="1"/>
  <c r="DK13" i="4" a="1"/>
  <c r="DP12" i="4" a="1"/>
  <c r="ED6" i="4" a="1"/>
  <c r="BP8" i="4" a="1"/>
  <c r="BG11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L6" i="2"/>
  <c r="V20" i="2"/>
  <c r="E20" i="2"/>
  <c r="X29" i="2"/>
  <c r="I26" i="2"/>
  <c r="F20" i="3"/>
  <c r="E32" i="3"/>
  <c r="G45" i="3"/>
  <c r="Z45" i="3"/>
  <c r="E24" i="3"/>
  <c r="AR8" i="3"/>
  <c r="E15" i="3"/>
  <c r="K45" i="3"/>
  <c r="R16" i="4" a="1"/>
  <c r="DA11" i="4" a="1"/>
  <c r="BM8" i="4" a="1"/>
  <c r="AO12" i="4" a="1"/>
  <c r="BE15" i="4" a="1"/>
  <c r="CR8" i="4" a="1"/>
  <c r="BO8" i="4" a="1"/>
  <c r="DS12" i="4" a="1"/>
  <c r="AF16" i="4" a="1"/>
  <c r="CN16" i="4" a="1"/>
  <c r="DM12" i="4" a="1"/>
  <c r="BN16" i="4" a="1"/>
  <c r="DM15" i="4" a="1"/>
  <c r="AE6" i="4" a="1"/>
  <c r="CV9" i="4" a="1"/>
  <c r="CO9" i="4" a="1"/>
  <c r="P16" i="4" a="1"/>
  <c r="AV16" i="4" a="1"/>
  <c r="BY5" i="4" a="1"/>
  <c r="CW7" i="4" a="1"/>
  <c r="DX13" i="4" a="1"/>
  <c r="DL11" i="4" a="1"/>
  <c r="AF8" i="4" a="1"/>
  <c r="BO5" i="4" a="1"/>
  <c r="DG5" i="4" a="1"/>
  <c r="CE5" i="4" a="1"/>
  <c r="BU13" i="4" a="1"/>
  <c r="DA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E23" i="2"/>
  <c r="U24" i="2"/>
  <c r="AR84" i="3"/>
  <c r="E9" i="2"/>
  <c r="AF48" i="3"/>
  <c r="AR36" i="3"/>
  <c r="L46" i="3"/>
  <c r="AR32" i="3"/>
  <c r="AD46" i="3"/>
  <c r="E31" i="3"/>
  <c r="F5" i="3"/>
  <c r="F81" i="3" s="1"/>
  <c r="AD16" i="3"/>
  <c r="I45" i="3"/>
  <c r="CI14" i="4" a="1"/>
  <c r="BY7" i="4" a="1"/>
  <c r="BF13" i="4" a="1"/>
  <c r="BX9" i="4" a="1"/>
  <c r="D14" i="4" a="1"/>
  <c r="BV5" i="4" a="1"/>
  <c r="AN8" i="4" a="1"/>
  <c r="BP7" i="4" a="1"/>
  <c r="EC7" i="4" a="1"/>
  <c r="EG14" i="4" a="1"/>
  <c r="AC16" i="4" a="1"/>
  <c r="K15" i="4" a="1"/>
  <c r="Q14" i="4" a="1"/>
  <c r="BU8" i="4" a="1"/>
  <c r="AE16" i="4" a="1"/>
  <c r="DL6" i="4" a="1"/>
  <c r="BH6" i="4" a="1"/>
  <c r="DE12" i="4" a="1"/>
  <c r="Y8" i="4" a="1"/>
  <c r="DX6" i="4" a="1"/>
  <c r="F16" i="4" a="1"/>
  <c r="AY9" i="4" a="1"/>
  <c r="CM13" i="4" a="1"/>
  <c r="DQ11" i="4" a="1"/>
  <c r="EE11" i="4" a="1"/>
  <c r="DQ14" i="4" a="1"/>
  <c r="AU13" i="4" a="1"/>
  <c r="CF6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AT11" i="4" a="1"/>
  <c r="DD14" i="4" a="1"/>
  <c r="BS8" i="4" a="1"/>
  <c r="CL14" i="4" a="1"/>
  <c r="DI12" i="4" a="1"/>
  <c r="CG13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C14" i="2"/>
  <c r="U33" i="2"/>
  <c r="AR75" i="3"/>
  <c r="D14" i="2"/>
  <c r="AG45" i="3"/>
  <c r="E28" i="3"/>
  <c r="AP45" i="3"/>
  <c r="AR17" i="3"/>
  <c r="AP46" i="3"/>
  <c r="AD12" i="3"/>
  <c r="AR18" i="3"/>
  <c r="AR29" i="3"/>
  <c r="J45" i="3"/>
  <c r="ED16" i="4" a="1"/>
  <c r="DL9" i="4" a="1"/>
  <c r="CC11" i="4" a="1"/>
  <c r="EI16" i="4" a="1"/>
  <c r="BI13" i="4" a="1"/>
  <c r="DT12" i="4" a="1"/>
  <c r="BZ15" i="4" a="1"/>
  <c r="AI11" i="4" a="1"/>
  <c r="Q12" i="4" a="1"/>
  <c r="DQ16" i="4" a="1"/>
  <c r="BG8" i="4" a="1"/>
  <c r="BZ5" i="4" a="1"/>
  <c r="BE12" i="4" a="1"/>
  <c r="DF7" i="4" a="1"/>
  <c r="BS7" i="4" a="1"/>
  <c r="DI8" i="4" a="1"/>
  <c r="AO5" i="4" a="1"/>
  <c r="DG11" i="4" a="1"/>
  <c r="AM5" i="4" a="1"/>
  <c r="AF9" i="4" a="1"/>
  <c r="AK6" i="4" a="1"/>
  <c r="BL8" i="4" a="1"/>
  <c r="EK8" i="4" a="1"/>
  <c r="DN12" i="4" a="1"/>
  <c r="AP15" i="4" a="1"/>
  <c r="AZ8" i="4" a="1"/>
  <c r="DS6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P25" i="2"/>
  <c r="R26" i="2"/>
  <c r="AR95" i="3"/>
  <c r="I21" i="2"/>
  <c r="AJ46" i="3"/>
  <c r="AR24" i="3"/>
  <c r="AE45" i="3"/>
  <c r="AR25" i="3"/>
  <c r="AL45" i="3"/>
  <c r="G23" i="3"/>
  <c r="E30" i="3"/>
  <c r="AR10" i="3"/>
  <c r="E8" i="3"/>
  <c r="DV16" i="4" a="1"/>
  <c r="BF9" i="4" a="1"/>
  <c r="J8" i="4" a="1"/>
  <c r="J9" i="4" a="1"/>
  <c r="DL15" i="4" a="1"/>
  <c r="DK5" i="4" a="1"/>
  <c r="DF15" i="4" a="1"/>
  <c r="BL9" i="4" a="1"/>
  <c r="DF5" i="4" a="1"/>
  <c r="BB13" i="4" a="1"/>
  <c r="DI14" i="4" a="1"/>
  <c r="BA5" i="4" a="1"/>
  <c r="M7" i="4" a="1"/>
  <c r="CX6" i="4" a="1"/>
  <c r="DO12" i="4" a="1"/>
  <c r="DC7" i="4" a="1"/>
  <c r="BT9" i="4" a="1"/>
  <c r="AI13" i="4" a="1"/>
  <c r="AY7" i="4" a="1"/>
  <c r="CU8" i="4" a="1"/>
  <c r="DD13" i="4" a="1"/>
  <c r="BH14" i="4" a="1"/>
  <c r="EA13" i="4" a="1"/>
  <c r="DR11" i="4" a="1"/>
  <c r="BY15" i="4" a="1"/>
  <c r="CL9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R36" i="2"/>
  <c r="K22" i="2"/>
  <c r="AS47" i="3"/>
  <c r="T17" i="2"/>
  <c r="F32" i="3"/>
  <c r="E41" i="3"/>
  <c r="AD13" i="3"/>
  <c r="AR27" i="3"/>
  <c r="G15" i="3"/>
  <c r="D6" i="3"/>
  <c r="E29" i="3"/>
  <c r="F7" i="3"/>
  <c r="F26" i="3"/>
  <c r="AZ15" i="4" a="1"/>
  <c r="CI7" i="4" a="1"/>
  <c r="BL13" i="4" a="1"/>
  <c r="CT11" i="4" a="1"/>
  <c r="DE11" i="4" a="1"/>
  <c r="AG12" i="4" a="1"/>
  <c r="DB14" i="4" a="1"/>
  <c r="CN11" i="4" a="1"/>
  <c r="BG5" i="4" a="1"/>
  <c r="DH15" i="4" a="1"/>
  <c r="DR5" i="4" a="1"/>
  <c r="EE14" i="4" a="1"/>
  <c r="BM15" i="4" a="1"/>
  <c r="W5" i="4" a="1"/>
  <c r="AA12" i="4" a="1"/>
  <c r="D13" i="4" a="1"/>
  <c r="CJ9" i="4" a="1"/>
  <c r="CC8" i="4" a="1"/>
  <c r="DI16" i="4" a="1"/>
  <c r="W13" i="4" a="1"/>
  <c r="CP14" i="4" a="1"/>
  <c r="CF14" i="4" a="1"/>
  <c r="CM6" i="4" a="1"/>
  <c r="X6" i="4" a="1"/>
  <c r="AH15" i="4" a="1"/>
  <c r="DU5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O24" i="2"/>
  <c r="AK45" i="3"/>
  <c r="CA15" i="4" a="1"/>
  <c r="AK5" i="4" a="1"/>
  <c r="BJ16" i="4" a="1"/>
  <c r="W6" i="4" a="1"/>
  <c r="AG16" i="4" a="1"/>
  <c r="DS13" i="4" a="1"/>
  <c r="E8" i="4" a="1"/>
  <c r="CW13" i="4" a="1"/>
  <c r="AP5" i="4" a="1"/>
  <c r="BD9" i="4" a="1"/>
  <c r="AG13" i="4" a="1"/>
  <c r="CE14" i="4" a="1"/>
  <c r="BJ13" i="4" a="1"/>
  <c r="CT16" i="4" a="1"/>
  <c r="CR15" i="4" a="1"/>
  <c r="DD7" i="4" a="1"/>
  <c r="CU7" i="4" a="1"/>
  <c r="BE16" i="4" a="1"/>
  <c r="EK6" i="4" a="1"/>
  <c r="CV8" i="4" a="1"/>
  <c r="AS7" i="4" a="1"/>
  <c r="AA5" i="4" a="1"/>
  <c r="DN13" i="4" a="1"/>
  <c r="BK16" i="4" a="1"/>
  <c r="DO7" i="4" a="1"/>
  <c r="DE9" i="4" a="1"/>
  <c r="DT8" i="4" a="1"/>
  <c r="CW12" i="4" a="1"/>
  <c r="DV9" i="4" a="1"/>
  <c r="EB9" i="4" a="1"/>
  <c r="D5" i="4" a="1"/>
  <c r="CA8" i="4" a="1"/>
  <c r="BH9" i="4" a="1"/>
  <c r="DY6" i="4" a="1"/>
  <c r="AE14" i="4" a="1"/>
  <c r="EI13" i="4" a="1"/>
  <c r="AV13" i="4" a="1"/>
  <c r="AL7" i="4" a="1"/>
  <c r="DK11" i="4" a="1"/>
  <c r="EC12" i="4" a="1"/>
  <c r="BH8" i="4" a="1"/>
  <c r="DQ12" i="4" a="1"/>
  <c r="DC6" i="4" a="1"/>
  <c r="EJ8" i="4" a="1"/>
  <c r="DW12" i="4" a="1"/>
  <c r="R19" i="2"/>
  <c r="DT7" i="4" a="1"/>
  <c r="ED14" i="4" a="1"/>
  <c r="DG16" i="4" a="1"/>
  <c r="CT15" i="4" a="1"/>
  <c r="AL6" i="4" a="1"/>
  <c r="EE6" i="4" a="1"/>
  <c r="AU15" i="4" a="1"/>
  <c r="AF11" i="4" a="1"/>
  <c r="AV14" i="4" a="1"/>
  <c r="C11" i="4" a="1"/>
  <c r="CA5" i="4" a="1"/>
  <c r="R7" i="4" a="1"/>
  <c r="V13" i="4" a="1"/>
  <c r="DR15" i="4" a="1"/>
  <c r="AC13" i="4" a="1"/>
  <c r="AR6" i="4" a="1"/>
  <c r="CY5" i="4" a="1"/>
  <c r="ED13" i="4" a="1"/>
  <c r="AM16" i="4" a="1"/>
  <c r="DB5" i="4" a="1"/>
  <c r="BC6" i="4" a="1"/>
  <c r="DJ12" i="4" a="1"/>
  <c r="AV7" i="4" a="1"/>
  <c r="DU12" i="4" a="1"/>
  <c r="AL11" i="4" a="1"/>
  <c r="AJ6" i="4" a="1"/>
  <c r="Q16" i="4" a="1"/>
  <c r="AH14" i="4" a="1"/>
  <c r="EG15" i="4" a="1"/>
  <c r="U13" i="4" a="1"/>
  <c r="CZ6" i="4" a="1"/>
  <c r="N5" i="4" a="1"/>
  <c r="Q11" i="4" a="1"/>
  <c r="BN14" i="4" a="1"/>
  <c r="BH11" i="4" a="1"/>
  <c r="DK8" i="4" a="1"/>
  <c r="EG12" i="4" a="1"/>
  <c r="DT16" i="4" a="1"/>
  <c r="AB6" i="4" a="1"/>
  <c r="K6" i="4" a="1"/>
  <c r="BU9" i="4" a="1"/>
  <c r="H7" i="4" a="1"/>
  <c r="DD16" i="4" a="1"/>
  <c r="BF7" i="4" a="1"/>
  <c r="DE8" i="4" a="1"/>
  <c r="BJ8" i="4" a="1"/>
  <c r="CD16" i="4" a="1"/>
  <c r="CN13" i="4" a="1"/>
  <c r="AQ8" i="4" a="1"/>
  <c r="CS16" i="4" a="1"/>
  <c r="BA13" i="4" a="1"/>
  <c r="CB11" i="4" a="1"/>
  <c r="BU15" i="4" a="1"/>
  <c r="CO7" i="4" a="1"/>
  <c r="CL5" i="4" a="1"/>
  <c r="AM13" i="4" a="1"/>
  <c r="AU6" i="4" a="1"/>
  <c r="BI12" i="4" a="1"/>
  <c r="BF6" i="4" a="1"/>
  <c r="N8" i="4" a="1"/>
  <c r="CW8" i="4" a="1"/>
  <c r="BO6" i="4" a="1"/>
  <c r="DV13" i="4" a="1"/>
  <c r="BK12" i="4" a="1"/>
  <c r="AH7" i="4" a="1"/>
  <c r="EI11" i="4" a="1"/>
  <c r="CU15" i="4" a="1"/>
  <c r="R15" i="4" a="1"/>
  <c r="BF8" i="4" a="1"/>
  <c r="F22" i="2"/>
  <c r="CY6" i="4" a="1"/>
  <c r="BK6" i="4" a="1"/>
  <c r="EA8" i="4" a="1"/>
  <c r="CJ8" i="4" a="1"/>
  <c r="AN9" i="4" a="1"/>
  <c r="L7" i="4" a="1"/>
  <c r="CT13" i="4" a="1"/>
  <c r="DN14" i="4" a="1"/>
  <c r="AS14" i="4" a="1"/>
  <c r="EJ6" i="4" a="1"/>
  <c r="CX12" i="4" a="1"/>
  <c r="AT16" i="4" a="1"/>
  <c r="BC7" i="4" a="1"/>
  <c r="CA7" i="4" a="1"/>
  <c r="Z13" i="4" a="1"/>
  <c r="BU11" i="4" a="1"/>
  <c r="CZ7" i="4" a="1"/>
  <c r="BA8" i="4" a="1"/>
  <c r="CO8" i="4" a="1"/>
  <c r="DE7" i="4" a="1"/>
  <c r="BW14" i="4" a="1"/>
  <c r="CP11" i="4" a="1"/>
  <c r="AL16" i="4" a="1"/>
  <c r="AG6" i="4" a="1"/>
  <c r="DT15" i="4" a="1"/>
  <c r="DS14" i="4" a="1"/>
  <c r="BW5" i="4" a="1"/>
  <c r="CD8" i="4" a="1"/>
  <c r="CS12" i="4" a="1"/>
  <c r="CE11" i="4" a="1"/>
  <c r="BZ14" i="4" a="1"/>
  <c r="DD5" i="4" a="1"/>
  <c r="AW15" i="4" a="1"/>
  <c r="DJ11" i="4" a="1"/>
  <c r="AL9" i="4" a="1"/>
  <c r="AM14" i="4" a="1"/>
  <c r="CW15" i="4" a="1"/>
  <c r="CI5" i="4" a="1"/>
  <c r="Y9" i="4" a="1"/>
  <c r="DN5" i="4" a="1"/>
  <c r="S16" i="4" a="1"/>
  <c r="BE14" i="4" a="1"/>
  <c r="DG6" i="4" a="1"/>
  <c r="DW16" i="4" a="1"/>
  <c r="DV14" i="4" a="1"/>
  <c r="BA11" i="4" a="1"/>
  <c r="DS7" i="4" a="1"/>
  <c r="DK12" i="4" a="1"/>
  <c r="DA16" i="4" a="1"/>
  <c r="CG15" i="4" a="1"/>
  <c r="EH12" i="4" a="1"/>
  <c r="AX5" i="4" a="1"/>
  <c r="AJ13" i="4" a="1"/>
  <c r="S7" i="4" a="1"/>
  <c r="K15" i="2"/>
  <c r="AG7" i="4" a="1"/>
  <c r="CS8" i="4" a="1"/>
  <c r="DI13" i="4" a="1"/>
  <c r="BM16" i="4" a="1"/>
  <c r="DN6" i="4" a="1"/>
  <c r="AE15" i="4" a="1"/>
  <c r="AV5" i="4" a="1"/>
  <c r="DC8" i="4" a="1"/>
  <c r="CV7" i="4" a="1"/>
  <c r="AY13" i="4" a="1"/>
  <c r="CH5" i="4" a="1"/>
  <c r="BN15" i="4" a="1"/>
  <c r="AT9" i="4" a="1"/>
  <c r="EC16" i="4" a="1"/>
  <c r="BR9" i="4" a="1"/>
  <c r="DE6" i="4" a="1"/>
  <c r="DU14" i="4" a="1"/>
  <c r="EH11" i="4" a="1"/>
  <c r="BU16" i="4" a="1"/>
  <c r="E7" i="4" a="1"/>
  <c r="Q6" i="4" a="1"/>
  <c r="C12" i="4" a="1"/>
  <c r="W46" i="3"/>
  <c r="AT5" i="4" a="1"/>
  <c r="BR16" i="4" a="1"/>
  <c r="BL6" i="4" a="1"/>
  <c r="X16" i="4" a="1"/>
  <c r="CL13" i="4" a="1"/>
  <c r="DM9" i="4" a="1"/>
  <c r="EJ15" i="4" a="1"/>
  <c r="DE5" i="4" a="1"/>
  <c r="CL11" i="4" a="1"/>
  <c r="BD14" i="4" a="1"/>
  <c r="BW8" i="4" a="1"/>
  <c r="AE8" i="4" a="1"/>
  <c r="BK7" i="4" a="1"/>
  <c r="Y15" i="4" a="1"/>
  <c r="CE12" i="4" a="1"/>
  <c r="Q9" i="4" a="1"/>
  <c r="CG12" i="4" a="1"/>
  <c r="F13" i="4" a="1"/>
  <c r="O5" i="4" a="1"/>
  <c r="BT11" i="4" a="1"/>
  <c r="AI12" i="4" a="1"/>
  <c r="F39" i="3"/>
  <c r="J16" i="4" a="1"/>
  <c r="R11" i="4" a="1"/>
  <c r="BK15" i="4" a="1"/>
  <c r="DI7" i="4" a="1"/>
  <c r="BP12" i="4" a="1"/>
  <c r="BA15" i="4" a="1"/>
  <c r="T15" i="4" a="1"/>
  <c r="CT9" i="4" a="1"/>
  <c r="K8" i="4" a="1"/>
  <c r="M12" i="4" a="1"/>
  <c r="EA11" i="4" a="1"/>
  <c r="CX8" i="4" a="1"/>
  <c r="EK9" i="4" a="1"/>
  <c r="CH11" i="4" a="1"/>
  <c r="AU9" i="4" a="1"/>
  <c r="BL15" i="4" a="1"/>
  <c r="EG11" i="4" a="1"/>
  <c r="O15" i="4" a="1"/>
  <c r="AN6" i="4" a="1"/>
  <c r="AF15" i="4" a="1"/>
  <c r="L12" i="4" a="1"/>
  <c r="AF6" i="4" a="1"/>
  <c r="EK11" i="4" a="1"/>
  <c r="AC7" i="4" a="1"/>
  <c r="BY12" i="4" a="1"/>
  <c r="AW6" i="4" a="1"/>
  <c r="AS12" i="4" a="1"/>
  <c r="BV12" i="4" a="1"/>
  <c r="E26" i="3"/>
  <c r="EB16" i="4" a="1"/>
  <c r="CG9" i="4" a="1"/>
  <c r="DJ15" i="4" a="1"/>
  <c r="EJ11" i="4" a="1"/>
  <c r="BI8" i="4" a="1"/>
  <c r="CN5" i="4" a="1"/>
  <c r="L5" i="4" a="1"/>
  <c r="CH12" i="4" a="1"/>
  <c r="AY8" i="4" a="1"/>
  <c r="X12" i="4" a="1"/>
  <c r="J6" i="4" a="1"/>
  <c r="E42" i="3"/>
  <c r="CG16" i="4" a="1"/>
  <c r="AC12" i="4" a="1"/>
  <c r="BO13" i="4" a="1"/>
  <c r="DK14" i="4" a="1"/>
  <c r="CQ11" i="4" a="1"/>
  <c r="CC14" i="4" a="1"/>
  <c r="CZ5" i="4" a="1"/>
  <c r="BY16" i="4" a="1"/>
  <c r="AF12" i="4" a="1"/>
  <c r="DY12" i="4" a="1"/>
  <c r="CE16" i="4" a="1"/>
  <c r="AP12" i="4" a="1"/>
  <c r="E6" i="4" a="1"/>
  <c r="BB9" i="4" a="1"/>
  <c r="CB8" i="4" a="1"/>
  <c r="EK7" i="4" a="1"/>
  <c r="BA12" i="4" a="1"/>
  <c r="AQ11" i="4" a="1"/>
  <c r="DM7" i="4" a="1"/>
  <c r="CX13" i="4" a="1"/>
  <c r="K13" i="4" a="1"/>
  <c r="S6" i="4" a="1"/>
  <c r="DS11" i="4" a="1"/>
  <c r="D18" i="3"/>
  <c r="CS5" i="4" a="1"/>
  <c r="R5" i="4" a="1"/>
  <c r="DL12" i="4" a="1"/>
  <c r="CE8" i="4" a="1"/>
  <c r="EA12" i="4" a="1"/>
  <c r="DH11" i="4" a="1"/>
  <c r="P45" i="3"/>
  <c r="DP14" i="4" a="1"/>
  <c r="BZ9" i="4" a="1"/>
  <c r="AU7" i="4" a="1"/>
  <c r="AR39" i="3"/>
  <c r="BC12" i="4" a="1"/>
  <c r="BQ9" i="4" a="1"/>
  <c r="DW15" i="4" a="1"/>
  <c r="G11" i="4" a="1"/>
  <c r="V8" i="4" a="1"/>
  <c r="C16" i="4" a="1"/>
  <c r="DR14" i="4" a="1"/>
  <c r="BT14" i="4" a="1"/>
  <c r="EF11" i="4" a="1"/>
  <c r="W9" i="4" a="1"/>
  <c r="CY12" i="4" a="1"/>
  <c r="AO13" i="4" a="1"/>
  <c r="DH9" i="4" a="1"/>
  <c r="CG11" i="4" a="1"/>
  <c r="AZ11" i="4" a="1"/>
  <c r="CZ13" i="4" a="1"/>
  <c r="CF5" i="4" a="1"/>
  <c r="CL8" i="4" a="1"/>
  <c r="EB13" i="4" a="1"/>
  <c r="T14" i="4" a="1"/>
  <c r="AT12" i="4" a="1"/>
  <c r="EE7" i="4" a="1"/>
  <c r="DW8" i="4" a="1"/>
  <c r="EH14" i="4" a="1"/>
  <c r="BP13" i="4" a="1"/>
  <c r="CH9" i="4" a="1"/>
  <c r="EI15" i="4" a="1"/>
  <c r="AI15" i="4" a="1"/>
  <c r="BM6" i="4" a="1"/>
  <c r="BR15" i="4" a="1"/>
  <c r="X11" i="4" a="1"/>
  <c r="DD11" i="4" a="1"/>
  <c r="DH5" i="4" a="1"/>
  <c r="DZ8" i="4" a="1"/>
  <c r="CK9" i="4" a="1"/>
  <c r="CR11" i="4" a="1"/>
  <c r="AN5" i="4" a="1"/>
  <c r="DW11" i="4" a="1"/>
  <c r="J11" i="4" a="1"/>
  <c r="CH6" i="4" a="1"/>
  <c r="BR7" i="4" a="1"/>
  <c r="CP6" i="4" a="1"/>
  <c r="Y13" i="4" a="1"/>
  <c r="CA13" i="4" a="1"/>
  <c r="AR26" i="3"/>
  <c r="BK13" i="4" a="1"/>
  <c r="O6" i="4" a="1"/>
  <c r="I5" i="4" a="1"/>
  <c r="CB14" i="4" a="1"/>
  <c r="DM11" i="4" a="1"/>
  <c r="E70" i="3"/>
  <c r="D92" i="3"/>
  <c r="AD57" i="3"/>
  <c r="F73" i="3"/>
  <c r="G93" i="3"/>
  <c r="D54" i="3"/>
  <c r="D70" i="3"/>
  <c r="F87" i="3"/>
  <c r="G85" i="3"/>
  <c r="E72" i="3"/>
  <c r="F96" i="3"/>
  <c r="E79" i="3"/>
  <c r="AD92" i="3"/>
  <c r="AD94" i="3"/>
  <c r="F48" i="3"/>
  <c r="G84" i="3"/>
  <c r="D60" i="3"/>
  <c r="F50" i="3"/>
  <c r="G59" i="3"/>
  <c r="D67" i="3"/>
  <c r="G80" i="3"/>
  <c r="F61" i="3"/>
  <c r="AD58" i="3"/>
  <c r="F65" i="3"/>
  <c r="F67" i="3"/>
  <c r="F89" i="3"/>
  <c r="E84" i="3"/>
  <c r="G71" i="3"/>
  <c r="F95" i="3"/>
  <c r="AD91" i="3"/>
  <c r="E90" i="3"/>
  <c r="F85" i="3"/>
  <c r="F57" i="3"/>
  <c r="F90" i="3"/>
  <c r="AD84" i="3"/>
  <c r="AD69" i="3"/>
  <c r="F84" i="3"/>
  <c r="G75" i="3"/>
  <c r="F47" i="3"/>
  <c r="F72" i="3"/>
  <c r="AD85" i="3"/>
  <c r="F68" i="3"/>
  <c r="G62" i="3"/>
  <c r="AD88" i="3"/>
  <c r="F92" i="3"/>
  <c r="D72" i="3"/>
  <c r="E67" i="3"/>
  <c r="AD63" i="3"/>
  <c r="F76" i="3"/>
  <c r="AD74" i="3"/>
  <c r="G68" i="3"/>
  <c r="AD72" i="3"/>
  <c r="F66" i="3"/>
  <c r="AD79" i="3"/>
  <c r="D88" i="3"/>
  <c r="AD67" i="3"/>
  <c r="AD87" i="3"/>
  <c r="G87" i="3"/>
  <c r="G74" i="3"/>
  <c r="D55" i="3"/>
  <c r="G88" i="3"/>
  <c r="AD65" i="3"/>
  <c r="F59" i="3"/>
  <c r="D64" i="3"/>
  <c r="E66" i="3"/>
  <c r="G73" i="3"/>
  <c r="E54" i="3"/>
  <c r="D90" i="3"/>
  <c r="F93" i="3"/>
  <c r="G65" i="3"/>
  <c r="E85" i="3"/>
  <c r="F56" i="3"/>
  <c r="AD78" i="3"/>
  <c r="F71" i="3"/>
  <c r="G90" i="3"/>
  <c r="D61" i="3"/>
  <c r="F70" i="3"/>
  <c r="F75" i="3"/>
  <c r="AD83" i="3"/>
  <c r="F78" i="3"/>
  <c r="G92" i="3"/>
  <c r="D80" i="3"/>
  <c r="F97" i="3"/>
  <c r="F49" i="3"/>
  <c r="F91" i="3"/>
  <c r="G76" i="3"/>
  <c r="D86" i="3"/>
  <c r="D76" i="3"/>
  <c r="G54" i="3"/>
  <c r="G63" i="3"/>
  <c r="AD80" i="3"/>
  <c r="E97" i="3"/>
  <c r="D68" i="3"/>
  <c r="D95" i="3"/>
  <c r="F79" i="3"/>
  <c r="G55" i="3"/>
  <c r="E55" i="3"/>
  <c r="D93" i="3"/>
  <c r="D62" i="3"/>
  <c r="G56" i="3"/>
  <c r="F60" i="3"/>
  <c r="G69" i="3"/>
  <c r="G96" i="3"/>
  <c r="D85" i="3"/>
  <c r="AD56" i="3"/>
  <c r="AD73" i="3"/>
  <c r="F88" i="3"/>
  <c r="G86" i="3"/>
  <c r="D63" i="3"/>
  <c r="AD61" i="3"/>
  <c r="E56" i="3"/>
  <c r="G81" i="3"/>
  <c r="AD93" i="3"/>
  <c r="D79" i="3"/>
  <c r="AD55" i="3"/>
  <c r="G95" i="3"/>
  <c r="D96" i="3"/>
  <c r="AD60" i="3"/>
  <c r="F83" i="3"/>
  <c r="D84" i="3"/>
  <c r="E96" i="3"/>
  <c r="D78" i="3"/>
  <c r="AD71" i="3"/>
  <c r="F94" i="3"/>
  <c r="D82" i="3"/>
  <c r="AD95" i="3"/>
  <c r="D59" i="3"/>
  <c r="G60" i="3"/>
  <c r="F77" i="3"/>
  <c r="AD66" i="3"/>
  <c r="F69" i="3"/>
  <c r="G58" i="3"/>
  <c r="AD77" i="3"/>
  <c r="AD90" i="3"/>
  <c r="G67" i="3"/>
  <c r="D87" i="3"/>
  <c r="G78" i="3"/>
  <c r="E76" i="3"/>
  <c r="F58" i="3"/>
  <c r="F82" i="3"/>
  <c r="AD76" i="3"/>
  <c r="G83" i="3"/>
  <c r="D73" i="3"/>
  <c r="AD70" i="3"/>
  <c r="F62" i="3"/>
  <c r="G77" i="3"/>
  <c r="D83" i="3"/>
  <c r="AD54" i="3"/>
  <c r="F86" i="3"/>
  <c r="G82" i="3"/>
  <c r="F74" i="3"/>
  <c r="D89" i="3"/>
  <c r="F64" i="3"/>
  <c r="G66" i="3"/>
  <c r="G89" i="3"/>
  <c r="E64" i="3"/>
  <c r="G72" i="3"/>
  <c r="AD81" i="3"/>
  <c r="D77" i="3"/>
  <c r="F55" i="3"/>
  <c r="D57" i="3"/>
  <c r="AD86" i="3"/>
  <c r="G79" i="3"/>
  <c r="E86" i="3"/>
  <c r="D74" i="3"/>
  <c r="G91" i="3"/>
  <c r="AD82" i="3"/>
  <c r="G70" i="3"/>
  <c r="D65" i="3"/>
  <c r="F63" i="3"/>
  <c r="G64" i="3"/>
  <c r="E63" i="3"/>
  <c r="AD75" i="3"/>
  <c r="AD89" i="3"/>
  <c r="D56" i="3"/>
  <c r="D81" i="3"/>
  <c r="F80" i="3"/>
  <c r="AD96" i="3"/>
  <c r="G94" i="3"/>
  <c r="AD62" i="3"/>
  <c r="F54" i="3"/>
  <c r="G57" i="3"/>
  <c r="G61" i="3"/>
  <c r="AD59" i="3"/>
  <c r="D94" i="3"/>
  <c r="AD68" i="3"/>
  <c r="AD64" i="3"/>
  <c r="G97" i="3"/>
  <c r="AD97" i="3"/>
  <c r="E87" i="3" l="1"/>
  <c r="E68" i="3"/>
  <c r="E82" i="3"/>
  <c r="E60" i="3"/>
  <c r="E59" i="3"/>
  <c r="E80" i="3"/>
  <c r="E89" i="3"/>
  <c r="E61" i="3"/>
  <c r="E93" i="3"/>
  <c r="E65" i="3"/>
  <c r="E77" i="3"/>
  <c r="E57" i="3"/>
  <c r="E62" i="3"/>
  <c r="E78" i="3"/>
  <c r="E91" i="3"/>
  <c r="E69" i="3"/>
  <c r="E73" i="3"/>
  <c r="E81" i="3"/>
  <c r="E58" i="3"/>
  <c r="E88" i="3"/>
  <c r="E95" i="3"/>
  <c r="E74" i="3"/>
  <c r="E94" i="3"/>
  <c r="E83" i="3"/>
  <c r="E75" i="3"/>
  <c r="E71" i="3"/>
  <c r="E92" i="3"/>
  <c r="D66" i="3"/>
  <c r="AJ151" i="1" s="1"/>
  <c r="AK151" i="1" s="1"/>
  <c r="D91" i="3"/>
  <c r="AJ154" i="1" s="1"/>
  <c r="AK154" i="1" s="1"/>
  <c r="D58" i="3"/>
  <c r="AJ119" i="1" s="1"/>
  <c r="D97" i="3"/>
  <c r="D75" i="3"/>
  <c r="AJ137" i="1" s="1"/>
  <c r="AK137" i="1" s="1"/>
  <c r="D71" i="3"/>
  <c r="D69" i="3"/>
  <c r="AJ132" i="1" s="1"/>
  <c r="BX47" i="1"/>
  <c r="IK9" i="4" s="1"/>
  <c r="IN9" i="4" s="1"/>
  <c r="AJ25" i="1"/>
  <c r="IF9" i="4" s="1"/>
  <c r="AK51" i="1"/>
  <c r="JF16" i="4" s="1"/>
  <c r="AK47" i="1"/>
  <c r="JI9" i="4" s="1"/>
  <c r="JA9" i="4" s="1"/>
  <c r="HV16" i="4" s="1"/>
  <c r="J23" i="1"/>
  <c r="IW16" i="4" s="1"/>
  <c r="IX16" i="4" s="1"/>
  <c r="IA16" i="4" s="1"/>
  <c r="IY16" i="4" s="1"/>
  <c r="Q22" i="1"/>
  <c r="IH9" i="4" s="1"/>
  <c r="JF9" i="4" s="1"/>
  <c r="JD9" i="4" s="1"/>
  <c r="II16" i="4" s="1"/>
  <c r="IG16" i="4" s="1"/>
  <c r="HY16" i="4" s="1"/>
  <c r="HS9" i="4" s="1"/>
  <c r="IZ9" i="4" s="1"/>
  <c r="HR16" i="4" s="1"/>
  <c r="IL16" i="4" s="1"/>
  <c r="IL21" i="4" s="1"/>
  <c r="BF77" i="1" s="1"/>
  <c r="AL47" i="1"/>
  <c r="AK39" i="1"/>
  <c r="AJ8" i="1"/>
  <c r="AJ231" i="1" s="1"/>
  <c r="AM24" i="1"/>
  <c r="S21" i="1"/>
  <c r="JE9" i="4" s="1"/>
  <c r="JG9" i="4" s="1"/>
  <c r="JC9" i="4" s="1"/>
  <c r="IC16" i="4" s="1"/>
  <c r="IJ9" i="4" s="1"/>
  <c r="IR9" i="4" s="1"/>
  <c r="IL9" i="4" s="1"/>
  <c r="JD16" i="4" s="1"/>
  <c r="BX13" i="1"/>
  <c r="AM35" i="1"/>
  <c r="BX36" i="1"/>
  <c r="BX164" i="1"/>
  <c r="BY164" i="1" s="1"/>
  <c r="O36" i="1"/>
  <c r="IH16" i="4" s="1"/>
  <c r="HP7" i="4" s="1"/>
  <c r="IF16" i="4" s="1"/>
  <c r="IH8" i="4" s="1"/>
  <c r="BX39" i="1"/>
  <c r="BX25" i="1"/>
  <c r="BJ14" i="1"/>
  <c r="BX21" i="1"/>
  <c r="AK32" i="1"/>
  <c r="AK194" i="1" s="1"/>
  <c r="C20" i="1"/>
  <c r="T46" i="1"/>
  <c r="B20" i="1"/>
  <c r="IV16" i="4" s="1"/>
  <c r="IS16" i="4" s="1"/>
  <c r="HQ9" i="4" s="1"/>
  <c r="IG9" i="4" s="1"/>
  <c r="IS15" i="4" s="1"/>
  <c r="HP9" i="4" s="1"/>
  <c r="IQ16" i="4" s="1"/>
  <c r="IQ21" i="4" s="1"/>
  <c r="BK77" i="1" s="1"/>
  <c r="JG16" i="4" s="1"/>
  <c r="IE9" i="4" s="1"/>
  <c r="HP16" i="4" s="1"/>
  <c r="HP21" i="4" s="1"/>
  <c r="AJ77" i="1" s="1"/>
  <c r="HR15" i="4" s="1"/>
  <c r="BJ20" i="1"/>
  <c r="BX146" i="1"/>
  <c r="BY146" i="1" s="1"/>
  <c r="D35" i="1"/>
  <c r="HT9" i="4" s="1"/>
  <c r="IW9" i="4" s="1"/>
  <c r="JG14" i="4" s="1"/>
  <c r="JH7" i="4" s="1"/>
  <c r="JA16" i="4" s="1"/>
  <c r="JA21" i="4" s="1"/>
  <c r="BU77" i="1" s="1"/>
  <c r="II15" i="4" s="1"/>
  <c r="HX16" i="4" s="1"/>
  <c r="IV7" i="4" s="1"/>
  <c r="ID16" i="4" s="1"/>
  <c r="IS9" i="4" s="1"/>
  <c r="IJ16" i="4" s="1"/>
  <c r="IJ21" i="4" s="1"/>
  <c r="BD77" i="1" s="1"/>
  <c r="HT16" i="4" s="1"/>
  <c r="HT21" i="4" s="1"/>
  <c r="AN77" i="1" s="1"/>
  <c r="AK24" i="1"/>
  <c r="BX8" i="1"/>
  <c r="AL9" i="1"/>
  <c r="W47" i="1"/>
  <c r="K8" i="1"/>
  <c r="K231" i="1" s="1"/>
  <c r="JH9" i="4" s="1"/>
  <c r="IM16" i="4" s="1"/>
  <c r="IM21" i="4" s="1"/>
  <c r="BG77" i="1" s="1"/>
  <c r="HV9" i="4" s="1"/>
  <c r="JB16" i="4" s="1"/>
  <c r="ID9" i="4" s="1"/>
  <c r="AJ23" i="1"/>
  <c r="AK23" i="1"/>
  <c r="U23" i="1"/>
  <c r="J32" i="1"/>
  <c r="J194" i="1" s="1"/>
  <c r="BX131" i="1"/>
  <c r="F13" i="1"/>
  <c r="IE16" i="4" s="1"/>
  <c r="IB7" i="4" s="1"/>
  <c r="AL46" i="1"/>
  <c r="AJ46" i="1"/>
  <c r="BX32" i="1"/>
  <c r="BX194" i="1" s="1"/>
  <c r="AJ45" i="1"/>
  <c r="BX163" i="1"/>
  <c r="BY163" i="1" s="1"/>
  <c r="B23" i="1"/>
  <c r="IZ16" i="4" s="1"/>
  <c r="HR9" i="4" s="1"/>
  <c r="BX46" i="1"/>
  <c r="AJ24" i="1"/>
  <c r="BX74" i="1"/>
  <c r="O45" i="1"/>
  <c r="HR8" i="4" s="1"/>
  <c r="IV9" i="4" s="1"/>
  <c r="II9" i="4" s="1"/>
  <c r="IT16" i="4" s="1"/>
  <c r="HW16" i="4" s="1"/>
  <c r="HZ9" i="4" s="1"/>
  <c r="IT9" i="4" s="1"/>
  <c r="JF8" i="4" s="1"/>
  <c r="AK9" i="1"/>
  <c r="AK36" i="1"/>
  <c r="IA9" i="4" s="1"/>
  <c r="HX8" i="4" s="1"/>
  <c r="HS16" i="4" s="1"/>
  <c r="IU16" i="4" s="1"/>
  <c r="IN16" i="4" s="1"/>
  <c r="IN21" i="4" s="1"/>
  <c r="BH77" i="1" s="1"/>
  <c r="IW14" i="4" s="1"/>
  <c r="HS8" i="4" s="1"/>
  <c r="IO15" i="4" s="1"/>
  <c r="IK15" i="4" s="1"/>
  <c r="JH14" i="4" s="1"/>
  <c r="HW9" i="4" s="1"/>
  <c r="IR16" i="4" s="1"/>
  <c r="IR21" i="4" s="1"/>
  <c r="BL77" i="1" s="1"/>
  <c r="BL94" i="1" s="1"/>
  <c r="IU9" i="4" s="1"/>
  <c r="HY9" i="4" s="1"/>
  <c r="HU16" i="4" s="1"/>
  <c r="IP9" i="4" s="1"/>
  <c r="BJ15" i="1"/>
  <c r="AK45" i="1"/>
  <c r="BJ24" i="1"/>
  <c r="J20" i="1"/>
  <c r="E45" i="1"/>
  <c r="G13" i="1"/>
  <c r="IO9" i="4" s="1"/>
  <c r="IK16" i="4" s="1"/>
  <c r="JI16" i="4" s="1"/>
  <c r="IC9" i="4" s="1"/>
  <c r="IX9" i="4" s="1"/>
  <c r="IB9" i="4" s="1"/>
  <c r="BX20" i="1"/>
  <c r="AJ9" i="1"/>
  <c r="AJ22" i="1"/>
  <c r="AL39" i="1"/>
  <c r="U36" i="1"/>
  <c r="U252" i="1" s="1"/>
  <c r="W45" i="1"/>
  <c r="BX126" i="1"/>
  <c r="BY126" i="1" s="1"/>
  <c r="E22" i="1"/>
  <c r="IQ9" i="4" s="1"/>
  <c r="IY9" i="4" s="1"/>
  <c r="JE15" i="4" s="1"/>
  <c r="IM9" i="4" s="1"/>
  <c r="IO14" i="4" s="1"/>
  <c r="JC16" i="4" s="1"/>
  <c r="HZ16" i="4" s="1"/>
  <c r="HQ16" i="4" s="1"/>
  <c r="HQ21" i="4" s="1"/>
  <c r="AK77" i="1" s="1"/>
  <c r="HU9" i="4" s="1"/>
  <c r="IG7" i="4" s="1"/>
  <c r="JE16" i="4" s="1"/>
  <c r="JB9" i="4" s="1"/>
  <c r="BX51" i="1"/>
  <c r="B39" i="1"/>
  <c r="S13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HZ14" i="4" s="1"/>
  <c r="AL32" i="1"/>
  <c r="AL194" i="1" s="1"/>
  <c r="BX35" i="1"/>
  <c r="AM9" i="1"/>
  <c r="AL24" i="1"/>
  <c r="AK14" i="1"/>
  <c r="BX23" i="1"/>
  <c r="AM13" i="1"/>
  <c r="AL15" i="1"/>
  <c r="AM25" i="1"/>
  <c r="AL8" i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M231" i="1" s="1"/>
  <c r="S20" i="1"/>
  <c r="M9" i="1"/>
  <c r="W32" i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AM22" i="1"/>
  <c r="BX24" i="1"/>
  <c r="AM23" i="1"/>
  <c r="AL14" i="1"/>
  <c r="AL36" i="1"/>
  <c r="BJ13" i="1"/>
  <c r="BX45" i="1"/>
  <c r="M23" i="1"/>
  <c r="W15" i="1"/>
  <c r="C36" i="1"/>
  <c r="P153" i="1"/>
  <c r="P183" i="1" s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P16" i="4" s="1"/>
  <c r="IP21" i="4" s="1"/>
  <c r="BJ77" i="1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R10" i="1" s="1"/>
  <c r="R98" i="1" s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AL21" i="1"/>
  <c r="BX142" i="1"/>
  <c r="BY142" i="1" s="1"/>
  <c r="BX140" i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R194" i="1" s="1"/>
  <c r="I25" i="1"/>
  <c r="H32" i="1"/>
  <c r="H194" i="1" s="1"/>
  <c r="W46" i="1"/>
  <c r="IO16" i="4" s="1"/>
  <c r="IY14" i="4" s="1"/>
  <c r="JH16" i="4" s="1"/>
  <c r="JH21" i="4" s="1"/>
  <c r="CB77" i="1" s="1"/>
  <c r="HX9" i="4" s="1"/>
  <c r="BJ8" i="1"/>
  <c r="BJ231" i="1" s="1"/>
  <c r="AL35" i="1"/>
  <c r="BX9" i="1"/>
  <c r="AJ35" i="1"/>
  <c r="AK8" i="1"/>
  <c r="AJ21" i="1"/>
  <c r="BX22" i="1"/>
  <c r="BX26" i="1" s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R45" i="1"/>
  <c r="U45" i="1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BX180" i="1" s="1"/>
  <c r="BY180" i="1" s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C194" i="1" s="1"/>
  <c r="P24" i="1"/>
  <c r="M39" i="1"/>
  <c r="D36" i="1"/>
  <c r="D252" i="1" s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B16" i="4" s="1"/>
  <c r="IB21" i="4" s="1"/>
  <c r="AV77" i="1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45" i="1"/>
  <c r="BJ180" i="1" s="1"/>
  <c r="BK180" i="1" s="1"/>
  <c r="BJ164" i="1"/>
  <c r="AJ152" i="1"/>
  <c r="AK152" i="1" s="1"/>
  <c r="AJ142" i="1"/>
  <c r="AK142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L137" i="1"/>
  <c r="AM137" i="1" s="1"/>
  <c r="BJ137" i="1"/>
  <c r="BK137" i="1" s="1"/>
  <c r="BJ143" i="1"/>
  <c r="AL143" i="1"/>
  <c r="IG8" i="4"/>
  <c r="IU21" i="4"/>
  <c r="BO77" i="1" s="1"/>
  <c r="IF14" i="4"/>
  <c r="JE21" i="4"/>
  <c r="BY77" i="1" s="1"/>
  <c r="JI14" i="4"/>
  <c r="JC7" i="4"/>
  <c r="IL8" i="4"/>
  <c r="HP14" i="4"/>
  <c r="JD7" i="4"/>
  <c r="IZ7" i="4"/>
  <c r="II7" i="4"/>
  <c r="IR14" i="4"/>
  <c r="ID8" i="4"/>
  <c r="HS14" i="4"/>
  <c r="IP15" i="4"/>
  <c r="IL7" i="4"/>
  <c r="IQ8" i="4"/>
  <c r="HU8" i="4"/>
  <c r="IB15" i="4"/>
  <c r="IP8" i="4"/>
  <c r="HX14" i="4"/>
  <c r="HT7" i="4"/>
  <c r="IL14" i="4"/>
  <c r="HU21" i="4"/>
  <c r="AO77" i="1" s="1"/>
  <c r="JB15" i="4"/>
  <c r="HU14" i="4"/>
  <c r="Q183" i="1"/>
  <c r="IN14" i="4"/>
  <c r="IW15" i="4"/>
  <c r="IY15" i="4"/>
  <c r="I26" i="1"/>
  <c r="IO7" i="4"/>
  <c r="IA15" i="4"/>
  <c r="IJ8" i="4"/>
  <c r="HS21" i="4"/>
  <c r="AM77" i="1" s="1"/>
  <c r="S194" i="1"/>
  <c r="IJ15" i="4"/>
  <c r="IC8" i="4"/>
  <c r="IJ14" i="4"/>
  <c r="JC15" i="4"/>
  <c r="P231" i="1"/>
  <c r="P10" i="1"/>
  <c r="Q10" i="1"/>
  <c r="Q231" i="1"/>
  <c r="ID14" i="4"/>
  <c r="JG8" i="4"/>
  <c r="JC14" i="4"/>
  <c r="JC21" i="4"/>
  <c r="BW77" i="1" s="1"/>
  <c r="HW7" i="4"/>
  <c r="IC7" i="4"/>
  <c r="IR15" i="4"/>
  <c r="AK231" i="1"/>
  <c r="JA8" i="4"/>
  <c r="IJ7" i="4"/>
  <c r="IT8" i="4"/>
  <c r="IT7" i="4"/>
  <c r="W98" i="1"/>
  <c r="IS8" i="4"/>
  <c r="IK14" i="4"/>
  <c r="JF14" i="4"/>
  <c r="IF8" i="4"/>
  <c r="HW15" i="4"/>
  <c r="U98" i="1"/>
  <c r="BY140" i="1"/>
  <c r="BZ202" i="1" s="1"/>
  <c r="S252" i="1"/>
  <c r="U253" i="1"/>
  <c r="U194" i="1"/>
  <c r="AJ37" i="1"/>
  <c r="IR8" i="4"/>
  <c r="D231" i="1"/>
  <c r="D10" i="1"/>
  <c r="CP77" i="1"/>
  <c r="CN63" i="1"/>
  <c r="CM65" i="1"/>
  <c r="V16" i="1" l="1"/>
  <c r="V17" i="1" s="1"/>
  <c r="J231" i="1"/>
  <c r="IO21" i="4"/>
  <c r="BI77" i="1" s="1"/>
  <c r="BY128" i="1"/>
  <c r="C231" i="1"/>
  <c r="C10" i="1"/>
  <c r="BX183" i="1"/>
  <c r="BY183" i="1" s="1"/>
  <c r="S10" i="1"/>
  <c r="S253" i="1"/>
  <c r="V11" i="1"/>
  <c r="BX10" i="1"/>
  <c r="K252" i="1"/>
  <c r="BJ179" i="1"/>
  <c r="BK179" i="1" s="1"/>
  <c r="BJ183" i="1"/>
  <c r="BK183" i="1" s="1"/>
  <c r="II21" i="4"/>
  <c r="BC77" i="1" s="1"/>
  <c r="IY21" i="4"/>
  <c r="BS77" i="1" s="1"/>
  <c r="P253" i="1"/>
  <c r="J252" i="1"/>
  <c r="AL252" i="1"/>
  <c r="JD21" i="4"/>
  <c r="BX77" i="1" s="1"/>
  <c r="E26" i="1"/>
  <c r="D194" i="1"/>
  <c r="D253" i="1"/>
  <c r="AL253" i="1"/>
  <c r="AJ33" i="1"/>
  <c r="IH21" i="4"/>
  <c r="BB77" i="1" s="1"/>
  <c r="IF21" i="4"/>
  <c r="AZ77" i="1" s="1"/>
  <c r="IG21" i="4"/>
  <c r="BA77" i="1" s="1"/>
  <c r="IZ21" i="4"/>
  <c r="BT77" i="1" s="1"/>
  <c r="JG21" i="4"/>
  <c r="CA77" i="1" s="1"/>
  <c r="AM252" i="1"/>
  <c r="M10" i="1"/>
  <c r="M253" i="1"/>
  <c r="F10" i="1"/>
  <c r="V194" i="1"/>
  <c r="V253" i="1"/>
  <c r="JB21" i="4"/>
  <c r="BV77" i="1" s="1"/>
  <c r="AL231" i="1"/>
  <c r="BX179" i="1"/>
  <c r="BY179" i="1" s="1"/>
  <c r="CA98" i="1"/>
  <c r="CA99" i="1" s="1"/>
  <c r="BX231" i="1"/>
  <c r="P252" i="1"/>
  <c r="H252" i="1"/>
  <c r="C252" i="1"/>
  <c r="IT21" i="4"/>
  <c r="BN77" i="1" s="1"/>
  <c r="W188" i="1"/>
  <c r="X11" i="1"/>
  <c r="W11" i="1"/>
  <c r="W253" i="1"/>
  <c r="W194" i="1"/>
  <c r="X188" i="1"/>
  <c r="BX253" i="1"/>
  <c r="IZ15" i="4"/>
  <c r="JH8" i="4"/>
  <c r="IK8" i="4"/>
  <c r="AL10" i="1"/>
  <c r="HV15" i="4"/>
  <c r="HY21" i="4"/>
  <c r="AS77" i="1" s="1"/>
  <c r="G183" i="1"/>
  <c r="BX134" i="1"/>
  <c r="IA7" i="4"/>
  <c r="IM7" i="4"/>
  <c r="JA14" i="4"/>
  <c r="IE8" i="4"/>
  <c r="R26" i="1"/>
  <c r="M252" i="1"/>
  <c r="AL180" i="1"/>
  <c r="AM180" i="1" s="1"/>
  <c r="AL183" i="1"/>
  <c r="AM183" i="1" s="1"/>
  <c r="AL179" i="1"/>
  <c r="AM179" i="1" s="1"/>
  <c r="JF21" i="4"/>
  <c r="BZ77" i="1" s="1"/>
  <c r="BZ94" i="1" s="1"/>
  <c r="HY15" i="4"/>
  <c r="HY20" i="4" s="1"/>
  <c r="AS79" i="1" s="1"/>
  <c r="AS108" i="1" s="1"/>
  <c r="HU15" i="4"/>
  <c r="HU20" i="4" s="1"/>
  <c r="AO79" i="1" s="1"/>
  <c r="AO108" i="1" s="1"/>
  <c r="HV21" i="4"/>
  <c r="AP77" i="1" s="1"/>
  <c r="IU8" i="4"/>
  <c r="HY7" i="4"/>
  <c r="IW21" i="4"/>
  <c r="BQ77" i="1" s="1"/>
  <c r="JD14" i="4"/>
  <c r="JD19" i="4" s="1"/>
  <c r="BX78" i="1" s="1"/>
  <c r="IE15" i="4"/>
  <c r="IE20" i="4" s="1"/>
  <c r="AY79" i="1" s="1"/>
  <c r="AY108" i="1" s="1"/>
  <c r="IY7" i="4"/>
  <c r="IY19" i="4" s="1"/>
  <c r="BS78" i="1" s="1"/>
  <c r="BS107" i="1" s="1"/>
  <c r="JB14" i="4"/>
  <c r="JB19" i="4" s="1"/>
  <c r="BV78" i="1" s="1"/>
  <c r="BV107" i="1" s="1"/>
  <c r="IM15" i="4"/>
  <c r="IM20" i="4" s="1"/>
  <c r="BG79" i="1" s="1"/>
  <c r="BG108" i="1" s="1"/>
  <c r="IA21" i="4"/>
  <c r="AU77" i="1" s="1"/>
  <c r="IU7" i="4"/>
  <c r="JG15" i="4"/>
  <c r="JG20" i="4" s="1"/>
  <c r="CA79" i="1" s="1"/>
  <c r="HR21" i="4"/>
  <c r="AL77" i="1" s="1"/>
  <c r="HP15" i="4"/>
  <c r="HP20" i="4" s="1"/>
  <c r="AJ79" i="1" s="1"/>
  <c r="IS21" i="4"/>
  <c r="BM77" i="1" s="1"/>
  <c r="IH15" i="4"/>
  <c r="IH20" i="4" s="1"/>
  <c r="BB79" i="1" s="1"/>
  <c r="BB108" i="1" s="1"/>
  <c r="IN7" i="4"/>
  <c r="IN19" i="4" s="1"/>
  <c r="BH78" i="1" s="1"/>
  <c r="BH107" i="1" s="1"/>
  <c r="HX21" i="4"/>
  <c r="AR77" i="1" s="1"/>
  <c r="Q26" i="1"/>
  <c r="IF15" i="4"/>
  <c r="IF20" i="4" s="1"/>
  <c r="AZ79" i="1" s="1"/>
  <c r="AZ108" i="1" s="1"/>
  <c r="JF7" i="4"/>
  <c r="IH14" i="4"/>
  <c r="IH19" i="4" s="1"/>
  <c r="BB78" i="1" s="1"/>
  <c r="BB107" i="1" s="1"/>
  <c r="HX7" i="4"/>
  <c r="HX19" i="4" s="1"/>
  <c r="AR78" i="1" s="1"/>
  <c r="AR107" i="1" s="1"/>
  <c r="IN15" i="4"/>
  <c r="IN20" i="4" s="1"/>
  <c r="BH79" i="1" s="1"/>
  <c r="BH108" i="1" s="1"/>
  <c r="IX7" i="4"/>
  <c r="IZ14" i="4"/>
  <c r="IZ19" i="4" s="1"/>
  <c r="BT78" i="1" s="1"/>
  <c r="BT107" i="1" s="1"/>
  <c r="JA15" i="4"/>
  <c r="JA20" i="4" s="1"/>
  <c r="BU79" i="1" s="1"/>
  <c r="BU108" i="1" s="1"/>
  <c r="BX252" i="1"/>
  <c r="JI8" i="4"/>
  <c r="IX14" i="4"/>
  <c r="IX19" i="4" s="1"/>
  <c r="BR78" i="1" s="1"/>
  <c r="BR107" i="1" s="1"/>
  <c r="IV21" i="4"/>
  <c r="BP77" i="1" s="1"/>
  <c r="IB8" i="4"/>
  <c r="IB20" i="4" s="1"/>
  <c r="AV79" i="1" s="1"/>
  <c r="AV108" i="1" s="1"/>
  <c r="IW8" i="4"/>
  <c r="IW20" i="4" s="1"/>
  <c r="BQ79" i="1" s="1"/>
  <c r="BQ108" i="1" s="1"/>
  <c r="AL26" i="1"/>
  <c r="AL27" i="1" s="1"/>
  <c r="JB8" i="4"/>
  <c r="JB20" i="4" s="1"/>
  <c r="BV79" i="1" s="1"/>
  <c r="BV108" i="1" s="1"/>
  <c r="IS14" i="4"/>
  <c r="IS19" i="4" s="1"/>
  <c r="BM78" i="1" s="1"/>
  <c r="BM107" i="1" s="1"/>
  <c r="ID15" i="4"/>
  <c r="ID20" i="4" s="1"/>
  <c r="AX79" i="1" s="1"/>
  <c r="AX108" i="1" s="1"/>
  <c r="ID21" i="4"/>
  <c r="AX77" i="1" s="1"/>
  <c r="HX15" i="4"/>
  <c r="IE21" i="4"/>
  <c r="AY77" i="1" s="1"/>
  <c r="II14" i="4"/>
  <c r="II19" i="4" s="1"/>
  <c r="BC78" i="1" s="1"/>
  <c r="BC107" i="1" s="1"/>
  <c r="IH7" i="4"/>
  <c r="IQ14" i="4"/>
  <c r="IQ19" i="4" s="1"/>
  <c r="BK78" i="1" s="1"/>
  <c r="BK107" i="1" s="1"/>
  <c r="HZ8" i="4"/>
  <c r="IU14" i="4"/>
  <c r="IU19" i="4" s="1"/>
  <c r="BO78" i="1" s="1"/>
  <c r="BO107" i="1" s="1"/>
  <c r="IN8" i="4"/>
  <c r="IG15" i="4"/>
  <c r="HU7" i="4"/>
  <c r="HU19" i="4" s="1"/>
  <c r="AO78" i="1" s="1"/>
  <c r="AO107" i="1" s="1"/>
  <c r="IW7" i="4"/>
  <c r="IW19" i="4" s="1"/>
  <c r="BQ78" i="1" s="1"/>
  <c r="BQ107" i="1" s="1"/>
  <c r="JF15" i="4"/>
  <c r="JF20" i="4" s="1"/>
  <c r="BZ79" i="1" s="1"/>
  <c r="HW21" i="4"/>
  <c r="AQ77" i="1" s="1"/>
  <c r="HY8" i="4"/>
  <c r="IX8" i="4"/>
  <c r="JI15" i="4"/>
  <c r="JI20" i="4" s="1"/>
  <c r="CC79" i="1" s="1"/>
  <c r="IA8" i="4"/>
  <c r="IA20" i="4" s="1"/>
  <c r="AU79" i="1" s="1"/>
  <c r="AU108" i="1" s="1"/>
  <c r="HP8" i="4"/>
  <c r="HZ15" i="4"/>
  <c r="HZ20" i="4" s="1"/>
  <c r="AT79" i="1" s="1"/>
  <c r="AT108" i="1" s="1"/>
  <c r="IB14" i="4"/>
  <c r="IB19" i="4" s="1"/>
  <c r="AV78" i="1" s="1"/>
  <c r="AV107" i="1" s="1"/>
  <c r="IR7" i="4"/>
  <c r="IR19" i="4" s="1"/>
  <c r="BL78" i="1" s="1"/>
  <c r="HR14" i="4"/>
  <c r="HR19" i="4" s="1"/>
  <c r="AL78" i="1" s="1"/>
  <c r="HW14" i="4"/>
  <c r="HW19" i="4" s="1"/>
  <c r="AQ78" i="1" s="1"/>
  <c r="AQ107" i="1" s="1"/>
  <c r="IC15" i="4"/>
  <c r="IC20" i="4" s="1"/>
  <c r="AW79" i="1" s="1"/>
  <c r="AW108" i="1" s="1"/>
  <c r="HT8" i="4"/>
  <c r="IK21" i="4"/>
  <c r="BE77" i="1" s="1"/>
  <c r="JI21" i="4"/>
  <c r="CC77" i="1" s="1"/>
  <c r="HS7" i="4"/>
  <c r="HS19" i="4" s="1"/>
  <c r="AM78" i="1" s="1"/>
  <c r="IC21" i="4"/>
  <c r="AW77" i="1" s="1"/>
  <c r="IX21" i="4"/>
  <c r="BR77" i="1" s="1"/>
  <c r="IX15" i="4"/>
  <c r="IX20" i="4" s="1"/>
  <c r="BR79" i="1" s="1"/>
  <c r="BR108" i="1" s="1"/>
  <c r="HZ21" i="4"/>
  <c r="AT77" i="1" s="1"/>
  <c r="IE7" i="4"/>
  <c r="HV8" i="4"/>
  <c r="HR7" i="4"/>
  <c r="IQ7" i="4"/>
  <c r="IF7" i="4"/>
  <c r="F252" i="1"/>
  <c r="T252" i="1"/>
  <c r="IP7" i="4"/>
  <c r="M26" i="1"/>
  <c r="V26" i="1"/>
  <c r="G26" i="1"/>
  <c r="AK26" i="1"/>
  <c r="S26" i="1"/>
  <c r="N26" i="1"/>
  <c r="J10" i="1"/>
  <c r="K26" i="1"/>
  <c r="B253" i="1"/>
  <c r="W16" i="1"/>
  <c r="IA14" i="4"/>
  <c r="IA19" i="4" s="1"/>
  <c r="AU78" i="1" s="1"/>
  <c r="AU107" i="1" s="1"/>
  <c r="IY8" i="4"/>
  <c r="IY20" i="4" s="1"/>
  <c r="BS79" i="1" s="1"/>
  <c r="BS108" i="1" s="1"/>
  <c r="H10" i="1"/>
  <c r="H98" i="1" s="1"/>
  <c r="O26" i="1"/>
  <c r="L26" i="1"/>
  <c r="BY120" i="1"/>
  <c r="P26" i="1"/>
  <c r="AJ179" i="1"/>
  <c r="IZ8" i="4"/>
  <c r="IZ20" i="4" s="1"/>
  <c r="BT79" i="1" s="1"/>
  <c r="BT108" i="1" s="1"/>
  <c r="IQ15" i="4"/>
  <c r="IQ20" i="4" s="1"/>
  <c r="BK79" i="1" s="1"/>
  <c r="BK108" i="1" s="1"/>
  <c r="ID7" i="4"/>
  <c r="ID19" i="4" s="1"/>
  <c r="AX78" i="1" s="1"/>
  <c r="AX107" i="1" s="1"/>
  <c r="JE8" i="4"/>
  <c r="JE20" i="4" s="1"/>
  <c r="BY79" i="1" s="1"/>
  <c r="BY108" i="1" s="1"/>
  <c r="IE14" i="4"/>
  <c r="IE19" i="4" s="1"/>
  <c r="AY78" i="1" s="1"/>
  <c r="AY107" i="1" s="1"/>
  <c r="HS15" i="4"/>
  <c r="HS20" i="4" s="1"/>
  <c r="AM79" i="1" s="1"/>
  <c r="AJ10" i="1"/>
  <c r="AJ16" i="1" s="1"/>
  <c r="JA7" i="4"/>
  <c r="HY14" i="4"/>
  <c r="HY19" i="4" s="1"/>
  <c r="AS78" i="1" s="1"/>
  <c r="AS107" i="1" s="1"/>
  <c r="HT14" i="4"/>
  <c r="HT19" i="4" s="1"/>
  <c r="AN78" i="1" s="1"/>
  <c r="AN107" i="1" s="1"/>
  <c r="B26" i="1"/>
  <c r="HQ14" i="4"/>
  <c r="HQ19" i="4" s="1"/>
  <c r="AK78" i="1" s="1"/>
  <c r="IS7" i="4"/>
  <c r="JH15" i="4"/>
  <c r="JH20" i="4" s="1"/>
  <c r="CB79" i="1" s="1"/>
  <c r="JD8" i="4"/>
  <c r="HV14" i="4"/>
  <c r="IM8" i="4"/>
  <c r="HZ7" i="4"/>
  <c r="HZ19" i="4" s="1"/>
  <c r="AT78" i="1" s="1"/>
  <c r="AT107" i="1" s="1"/>
  <c r="HW8" i="4"/>
  <c r="HW20" i="4" s="1"/>
  <c r="AQ79" i="1" s="1"/>
  <c r="AQ108" i="1" s="1"/>
  <c r="IG14" i="4"/>
  <c r="IG19" i="4" s="1"/>
  <c r="BA78" i="1" s="1"/>
  <c r="BA107" i="1" s="1"/>
  <c r="IC14" i="4"/>
  <c r="IC19" i="4" s="1"/>
  <c r="AW78" i="1" s="1"/>
  <c r="AW107" i="1" s="1"/>
  <c r="JI7" i="4"/>
  <c r="JI19" i="4" s="1"/>
  <c r="CC78" i="1" s="1"/>
  <c r="HQ15" i="4"/>
  <c r="K10" i="1"/>
  <c r="J253" i="1"/>
  <c r="AJ183" i="1"/>
  <c r="IP14" i="4"/>
  <c r="IP19" i="4" s="1"/>
  <c r="BJ78" i="1" s="1"/>
  <c r="BJ107" i="1" s="1"/>
  <c r="IU15" i="4"/>
  <c r="IU20" i="4" s="1"/>
  <c r="BO79" i="1" s="1"/>
  <c r="BO108" i="1" s="1"/>
  <c r="IM14" i="4"/>
  <c r="IM19" i="4" s="1"/>
  <c r="BG78" i="1" s="1"/>
  <c r="BG107" i="1" s="1"/>
  <c r="HT15" i="4"/>
  <c r="HT20" i="4" s="1"/>
  <c r="AN79" i="1" s="1"/>
  <c r="AN108" i="1" s="1"/>
  <c r="HQ7" i="4"/>
  <c r="JB7" i="4"/>
  <c r="IV8" i="4"/>
  <c r="IO8" i="4"/>
  <c r="IO20" i="4" s="1"/>
  <c r="BI79" i="1" s="1"/>
  <c r="BI108" i="1" s="1"/>
  <c r="II8" i="4"/>
  <c r="II20" i="4" s="1"/>
  <c r="BC79" i="1" s="1"/>
  <c r="BC108" i="1" s="1"/>
  <c r="JD15" i="4"/>
  <c r="L253" i="1"/>
  <c r="BX161" i="1"/>
  <c r="I252" i="1"/>
  <c r="IL15" i="4"/>
  <c r="IL20" i="4" s="1"/>
  <c r="BF79" i="1" s="1"/>
  <c r="BF108" i="1" s="1"/>
  <c r="IV14" i="4"/>
  <c r="IV19" i="4" s="1"/>
  <c r="BP78" i="1" s="1"/>
  <c r="BP107" i="1" s="1"/>
  <c r="JG7" i="4"/>
  <c r="JG19" i="4" s="1"/>
  <c r="CA78" i="1" s="1"/>
  <c r="JE7" i="4"/>
  <c r="T26" i="1"/>
  <c r="F26" i="1"/>
  <c r="IK7" i="4"/>
  <c r="IK19" i="4" s="1"/>
  <c r="BE78" i="1" s="1"/>
  <c r="BE107" i="1" s="1"/>
  <c r="H26" i="1"/>
  <c r="AJ26" i="1"/>
  <c r="R252" i="1"/>
  <c r="AM98" i="1"/>
  <c r="AM99" i="1" s="1"/>
  <c r="AM102" i="1" s="1"/>
  <c r="G252" i="1"/>
  <c r="JC8" i="4"/>
  <c r="JC20" i="4" s="1"/>
  <c r="BW79" i="1" s="1"/>
  <c r="BW108" i="1" s="1"/>
  <c r="D26" i="1"/>
  <c r="D27" i="1" s="1"/>
  <c r="C26" i="1"/>
  <c r="C27" i="1" s="1"/>
  <c r="J26" i="1"/>
  <c r="HQ8" i="4"/>
  <c r="JE14" i="4"/>
  <c r="JE19" i="4" s="1"/>
  <c r="BY78" i="1" s="1"/>
  <c r="HV7" i="4"/>
  <c r="IT15" i="4"/>
  <c r="IT20" i="4" s="1"/>
  <c r="BN79" i="1" s="1"/>
  <c r="BN108" i="1" s="1"/>
  <c r="IT14" i="4"/>
  <c r="IT19" i="4" s="1"/>
  <c r="BN78" i="1" s="1"/>
  <c r="BN107" i="1" s="1"/>
  <c r="IV15" i="4"/>
  <c r="IV20" i="4" s="1"/>
  <c r="BP79" i="1" s="1"/>
  <c r="BP108" i="1" s="1"/>
  <c r="H253" i="1"/>
  <c r="U26" i="1"/>
  <c r="T10" i="1"/>
  <c r="E10" i="1"/>
  <c r="O10" i="1"/>
  <c r="N252" i="1"/>
  <c r="O253" i="1"/>
  <c r="G10" i="1"/>
  <c r="F253" i="1"/>
  <c r="AM26" i="1"/>
  <c r="L252" i="1"/>
  <c r="W26" i="1"/>
  <c r="W27" i="1" s="1"/>
  <c r="L10" i="1"/>
  <c r="V188" i="1"/>
  <c r="G253" i="1"/>
  <c r="U16" i="1"/>
  <c r="C253" i="1"/>
  <c r="Q253" i="1"/>
  <c r="B10" i="1"/>
  <c r="R253" i="1"/>
  <c r="T253" i="1"/>
  <c r="BX156" i="1"/>
  <c r="BX185" i="1" s="1"/>
  <c r="BX184" i="1" s="1"/>
  <c r="B231" i="1"/>
  <c r="N10" i="1"/>
  <c r="B252" i="1"/>
  <c r="O231" i="1"/>
  <c r="AK10" i="1"/>
  <c r="L194" i="1"/>
  <c r="N253" i="1"/>
  <c r="AL16" i="1"/>
  <c r="AL17" i="1" s="1"/>
  <c r="AM253" i="1"/>
  <c r="I253" i="1"/>
  <c r="BX128" i="1"/>
  <c r="BY249" i="1" s="1"/>
  <c r="AM10" i="1"/>
  <c r="AM16" i="1" s="1"/>
  <c r="AM17" i="1" s="1"/>
  <c r="O252" i="1"/>
  <c r="BX120" i="1"/>
  <c r="BX92" i="1" s="1"/>
  <c r="BX94" i="1" s="1"/>
  <c r="I10" i="1"/>
  <c r="K253" i="1"/>
  <c r="BX148" i="1"/>
  <c r="BX182" i="1" s="1"/>
  <c r="BX181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BJ184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IG20" i="4"/>
  <c r="BA79" i="1" s="1"/>
  <c r="BA108" i="1" s="1"/>
  <c r="CB94" i="1"/>
  <c r="CB102" i="1"/>
  <c r="CB85" i="1"/>
  <c r="IL19" i="4"/>
  <c r="BF78" i="1" s="1"/>
  <c r="BF107" i="1" s="1"/>
  <c r="JF19" i="4"/>
  <c r="BZ78" i="1" s="1"/>
  <c r="IF19" i="4"/>
  <c r="AZ78" i="1" s="1"/>
  <c r="AZ107" i="1" s="1"/>
  <c r="HR20" i="4"/>
  <c r="AL79" i="1" s="1"/>
  <c r="S98" i="1"/>
  <c r="S16" i="1"/>
  <c r="S17" i="1" s="1"/>
  <c r="R11" i="1"/>
  <c r="M16" i="1"/>
  <c r="M17" i="1" s="1"/>
  <c r="JC19" i="4"/>
  <c r="BW78" i="1" s="1"/>
  <c r="BW107" i="1" s="1"/>
  <c r="IS20" i="4"/>
  <c r="BM79" i="1" s="1"/>
  <c r="BM108" i="1" s="1"/>
  <c r="JH19" i="4"/>
  <c r="CB78" i="1" s="1"/>
  <c r="CA94" i="1"/>
  <c r="CA102" i="1"/>
  <c r="BZ249" i="1"/>
  <c r="BZ251" i="1" s="1"/>
  <c r="BZ206" i="1"/>
  <c r="HP19" i="4"/>
  <c r="AJ78" i="1" s="1"/>
  <c r="IJ20" i="4"/>
  <c r="BD79" i="1" s="1"/>
  <c r="BD108" i="1" s="1"/>
  <c r="R188" i="1"/>
  <c r="IP20" i="4"/>
  <c r="BJ79" i="1" s="1"/>
  <c r="BJ108" i="1" s="1"/>
  <c r="IK20" i="4"/>
  <c r="BE79" i="1" s="1"/>
  <c r="BE108" i="1" s="1"/>
  <c r="IJ19" i="4"/>
  <c r="BD78" i="1" s="1"/>
  <c r="BD107" i="1" s="1"/>
  <c r="IO19" i="4"/>
  <c r="BI78" i="1" s="1"/>
  <c r="BI107" i="1" s="1"/>
  <c r="R16" i="1"/>
  <c r="F98" i="1"/>
  <c r="F16" i="1"/>
  <c r="F17" i="1" s="1"/>
  <c r="IR20" i="4"/>
  <c r="BL79" i="1" s="1"/>
  <c r="BL96" i="1" s="1"/>
  <c r="S11" i="1"/>
  <c r="S188" i="1"/>
  <c r="M98" i="1"/>
  <c r="BY12" i="1"/>
  <c r="CB11" i="1"/>
  <c r="CC188" i="1"/>
  <c r="BX16" i="1"/>
  <c r="AL202" i="1"/>
  <c r="AK202" i="1"/>
  <c r="C16" i="1"/>
  <c r="BK202" i="1"/>
  <c r="BX27" i="1"/>
  <c r="Q188" i="1"/>
  <c r="Q16" i="1"/>
  <c r="Q17" i="1" s="1"/>
  <c r="Q98" i="1"/>
  <c r="Q11" i="1"/>
  <c r="P98" i="1"/>
  <c r="P16" i="1"/>
  <c r="D188" i="1"/>
  <c r="D11" i="1"/>
  <c r="D16" i="1"/>
  <c r="BY202" i="1"/>
  <c r="CM32" i="1"/>
  <c r="AB77" i="1"/>
  <c r="CQ77" i="1"/>
  <c r="AC140" i="1"/>
  <c r="CN65" i="1"/>
  <c r="CO63" i="1"/>
  <c r="HV20" i="4" l="1"/>
  <c r="AP79" i="1" s="1"/>
  <c r="AP108" i="1" s="1"/>
  <c r="JA19" i="4"/>
  <c r="BU78" i="1" s="1"/>
  <c r="BU107" i="1" s="1"/>
  <c r="AJ27" i="1"/>
  <c r="H16" i="1"/>
  <c r="H17" i="1" s="1"/>
  <c r="HX20" i="4"/>
  <c r="AR79" i="1" s="1"/>
  <c r="AR108" i="1" s="1"/>
  <c r="AL184" i="1"/>
  <c r="BY134" i="1"/>
  <c r="BY33" i="1"/>
  <c r="BX138" i="1"/>
  <c r="JD20" i="4"/>
  <c r="BX79" i="1" s="1"/>
  <c r="HQ20" i="4"/>
  <c r="AK79" i="1" s="1"/>
  <c r="H188" i="1"/>
  <c r="BX168" i="1"/>
  <c r="HV19" i="4"/>
  <c r="AP78" i="1" s="1"/>
  <c r="AP107" i="1" s="1"/>
  <c r="CC85" i="1"/>
  <c r="CC102" i="1"/>
  <c r="CC94" i="1"/>
  <c r="V27" i="1"/>
  <c r="V28" i="1"/>
  <c r="J16" i="1"/>
  <c r="J98" i="1"/>
  <c r="J11" i="1"/>
  <c r="J188" i="1"/>
  <c r="W17" i="1"/>
  <c r="W18" i="1"/>
  <c r="W28" i="1"/>
  <c r="X18" i="1"/>
  <c r="BY129" i="1"/>
  <c r="BY92" i="1"/>
  <c r="BZ207" i="1"/>
  <c r="BZ205" i="1" s="1"/>
  <c r="AJ17" i="1"/>
  <c r="AJ28" i="1"/>
  <c r="K188" i="1"/>
  <c r="K16" i="1"/>
  <c r="K11" i="1"/>
  <c r="K98" i="1"/>
  <c r="BY209" i="1"/>
  <c r="BX248" i="1"/>
  <c r="T188" i="1"/>
  <c r="T98" i="1"/>
  <c r="T11" i="1"/>
  <c r="U188" i="1"/>
  <c r="U11" i="1"/>
  <c r="T16" i="1"/>
  <c r="E188" i="1"/>
  <c r="E11" i="1"/>
  <c r="F188" i="1"/>
  <c r="E16" i="1"/>
  <c r="E27" i="1"/>
  <c r="E98" i="1"/>
  <c r="F11" i="1"/>
  <c r="O98" i="1"/>
  <c r="O16" i="1"/>
  <c r="P188" i="1"/>
  <c r="P11" i="1"/>
  <c r="M188" i="1"/>
  <c r="L188" i="1"/>
  <c r="M11" i="1"/>
  <c r="L98" i="1"/>
  <c r="L16" i="1"/>
  <c r="L11" i="1"/>
  <c r="V18" i="1"/>
  <c r="U17" i="1"/>
  <c r="B16" i="1"/>
  <c r="C18" i="1" s="1"/>
  <c r="C188" i="1"/>
  <c r="C11" i="1"/>
  <c r="N16" i="1"/>
  <c r="N11" i="1"/>
  <c r="AK27" i="1"/>
  <c r="AL12" i="1"/>
  <c r="AK16" i="1"/>
  <c r="I98" i="1"/>
  <c r="I188" i="1"/>
  <c r="I16" i="1"/>
  <c r="I11" i="1"/>
  <c r="BX95" i="1"/>
  <c r="AK12" i="1"/>
  <c r="BY207" i="1"/>
  <c r="G11" i="1"/>
  <c r="G188" i="1"/>
  <c r="G98" i="1"/>
  <c r="H11" i="1"/>
  <c r="G16" i="1"/>
  <c r="B27" i="1"/>
  <c r="AM28" i="1"/>
  <c r="AM34" i="1" s="1"/>
  <c r="AM38" i="1" s="1"/>
  <c r="BX129" i="1"/>
  <c r="N188" i="1"/>
  <c r="BY206" i="1"/>
  <c r="O188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O11" i="1"/>
  <c r="N98" i="1"/>
  <c r="AJ129" i="1"/>
  <c r="BX186" i="1"/>
  <c r="CB189" i="1" s="1"/>
  <c r="AM12" i="1"/>
  <c r="BX157" i="1"/>
  <c r="AM225" i="1"/>
  <c r="AM19" i="1"/>
  <c r="AL28" i="1"/>
  <c r="AL232" i="1" s="1"/>
  <c r="AL233" i="1" s="1"/>
  <c r="AM27" i="1"/>
  <c r="BK249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BZ95" i="1"/>
  <c r="BZ89" i="1"/>
  <c r="BZ107" i="1"/>
  <c r="BZ110" i="1" s="1"/>
  <c r="AM108" i="1"/>
  <c r="AM104" i="1"/>
  <c r="S18" i="1"/>
  <c r="BX89" i="1"/>
  <c r="BX107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CC87" i="1"/>
  <c r="R17" i="1"/>
  <c r="CB104" i="1"/>
  <c r="BL108" i="1"/>
  <c r="BL111" i="1" s="1"/>
  <c r="CB87" i="1"/>
  <c r="CA103" i="1"/>
  <c r="CA107" i="1"/>
  <c r="CA95" i="1"/>
  <c r="BY107" i="1"/>
  <c r="BY89" i="1"/>
  <c r="D17" i="1"/>
  <c r="D28" i="1"/>
  <c r="BX17" i="1"/>
  <c r="CB18" i="1"/>
  <c r="BY19" i="1"/>
  <c r="BX28" i="1"/>
  <c r="R18" i="1"/>
  <c r="Q18" i="1"/>
  <c r="P17" i="1"/>
  <c r="C28" i="1"/>
  <c r="D18" i="1"/>
  <c r="C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BX165" i="1" l="1"/>
  <c r="BX166" i="1" s="1"/>
  <c r="BZ33" i="1"/>
  <c r="BY138" i="1"/>
  <c r="BZ203" i="1" s="1"/>
  <c r="BZ201" i="1" s="1"/>
  <c r="BX246" i="1"/>
  <c r="BY203" i="1"/>
  <c r="BY201" i="1" s="1"/>
  <c r="L17" i="1"/>
  <c r="M18" i="1"/>
  <c r="N17" i="1"/>
  <c r="N18" i="1"/>
  <c r="BX108" i="1"/>
  <c r="BX96" i="1"/>
  <c r="BX109" i="1"/>
  <c r="BX110" i="1" s="1"/>
  <c r="BY37" i="1"/>
  <c r="J17" i="1"/>
  <c r="K18" i="1"/>
  <c r="AJ29" i="1"/>
  <c r="AJ34" i="1"/>
  <c r="AJ38" i="1" s="1"/>
  <c r="AJ232" i="1"/>
  <c r="AJ233" i="1" s="1"/>
  <c r="B17" i="1"/>
  <c r="B28" i="1"/>
  <c r="I17" i="1"/>
  <c r="I18" i="1"/>
  <c r="J18" i="1"/>
  <c r="V34" i="1"/>
  <c r="V38" i="1" s="1"/>
  <c r="V112" i="1"/>
  <c r="V232" i="1"/>
  <c r="V233" i="1" s="1"/>
  <c r="V29" i="1"/>
  <c r="W30" i="1"/>
  <c r="W112" i="1"/>
  <c r="W29" i="1"/>
  <c r="W34" i="1"/>
  <c r="W38" i="1" s="1"/>
  <c r="X250" i="1"/>
  <c r="X30" i="1"/>
  <c r="W232" i="1"/>
  <c r="W233" i="1" s="1"/>
  <c r="W250" i="1"/>
  <c r="BY96" i="1"/>
  <c r="BY94" i="1"/>
  <c r="BY95" i="1"/>
  <c r="K17" i="1"/>
  <c r="L18" i="1"/>
  <c r="U18" i="1"/>
  <c r="T17" i="1"/>
  <c r="T18" i="1"/>
  <c r="E18" i="1"/>
  <c r="E28" i="1"/>
  <c r="F18" i="1"/>
  <c r="E17" i="1"/>
  <c r="O17" i="1"/>
  <c r="P18" i="1"/>
  <c r="O18" i="1"/>
  <c r="AL19" i="1"/>
  <c r="AK19" i="1"/>
  <c r="AK17" i="1"/>
  <c r="AK28" i="1"/>
  <c r="AM226" i="1" s="1"/>
  <c r="G17" i="1"/>
  <c r="H18" i="1"/>
  <c r="G18" i="1"/>
  <c r="BY205" i="1"/>
  <c r="AL29" i="1"/>
  <c r="AM29" i="1"/>
  <c r="AM232" i="1"/>
  <c r="AM233" i="1" s="1"/>
  <c r="AM250" i="1"/>
  <c r="AJ165" i="1"/>
  <c r="AJ166" i="1"/>
  <c r="AL34" i="1"/>
  <c r="AL38" i="1" s="1"/>
  <c r="AL41" i="1" s="1"/>
  <c r="AM31" i="1"/>
  <c r="AJ198" i="1"/>
  <c r="AL165" i="1"/>
  <c r="AL166" i="1" s="1"/>
  <c r="AM251" i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CE90" i="1"/>
  <c r="AM41" i="1"/>
  <c r="AM42" i="1" s="1"/>
  <c r="AM245" i="1" s="1"/>
  <c r="AM40" i="1"/>
  <c r="D29" i="1"/>
  <c r="D34" i="1"/>
  <c r="D38" i="1" s="1"/>
  <c r="D232" i="1"/>
  <c r="D233" i="1" s="1"/>
  <c r="D250" i="1"/>
  <c r="D112" i="1"/>
  <c r="C29" i="1"/>
  <c r="D30" i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L250" i="1" l="1"/>
  <c r="AL251" i="1" s="1"/>
  <c r="BX111" i="1"/>
  <c r="AJ41" i="1"/>
  <c r="AJ40" i="1"/>
  <c r="V41" i="1"/>
  <c r="V40" i="1"/>
  <c r="B112" i="1"/>
  <c r="B29" i="1"/>
  <c r="C250" i="1"/>
  <c r="C30" i="1"/>
  <c r="W41" i="1"/>
  <c r="W40" i="1"/>
  <c r="E29" i="1"/>
  <c r="E30" i="1"/>
  <c r="AK232" i="1"/>
  <c r="AK233" i="1" s="1"/>
  <c r="AL31" i="1"/>
  <c r="AK29" i="1"/>
  <c r="AK34" i="1"/>
  <c r="AK38" i="1" s="1"/>
  <c r="AM112" i="1"/>
  <c r="AK31" i="1"/>
  <c r="AL40" i="1"/>
  <c r="AK203" i="1"/>
  <c r="AK201" i="1" s="1"/>
  <c r="AL203" i="1"/>
  <c r="AL201" i="1" s="1"/>
  <c r="AL111" i="1"/>
  <c r="AL110" i="1"/>
  <c r="AJ42" i="1"/>
  <c r="AJ48" i="1"/>
  <c r="AJ234" i="1"/>
  <c r="AL234" i="1"/>
  <c r="AM44" i="1"/>
  <c r="AL48" i="1"/>
  <c r="AL42" i="1"/>
  <c r="AL245" i="1" s="1"/>
  <c r="BX38" i="1"/>
  <c r="CA55" i="1"/>
  <c r="D41" i="1"/>
  <c r="D40" i="1"/>
  <c r="W48" i="1"/>
  <c r="W52" i="1" s="1"/>
  <c r="W234" i="1"/>
  <c r="W42" i="1"/>
  <c r="W245" i="1" s="1"/>
  <c r="W43" i="1"/>
  <c r="X43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V42" i="1" l="1"/>
  <c r="V245" i="1" s="1"/>
  <c r="V48" i="1"/>
  <c r="AK40" i="1"/>
  <c r="AK41" i="1"/>
  <c r="AJ193" i="1"/>
  <c r="AJ195" i="1" s="1"/>
  <c r="AJ199" i="1" s="1"/>
  <c r="AJ213" i="1" s="1"/>
  <c r="AJ207" i="1"/>
  <c r="AJ205" i="1" s="1"/>
  <c r="AJ52" i="1"/>
  <c r="AJ66" i="1"/>
  <c r="AL193" i="1"/>
  <c r="AL195" i="1" s="1"/>
  <c r="AL66" i="1"/>
  <c r="AL52" i="1"/>
  <c r="D234" i="1"/>
  <c r="D42" i="1"/>
  <c r="D48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K234" i="1" l="1"/>
  <c r="AK48" i="1"/>
  <c r="AK119" i="1" s="1"/>
  <c r="AK120" i="1" s="1"/>
  <c r="AK129" i="1" s="1"/>
  <c r="AK42" i="1"/>
  <c r="AK44" i="1"/>
  <c r="AL44" i="1"/>
  <c r="AM227" i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A54" i="1" l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M85" i="2"/>
  <c r="L93" i="2"/>
  <c r="D45" i="2"/>
  <c r="W75" i="2"/>
  <c r="O87" i="2"/>
  <c r="V111" i="2"/>
  <c r="H72" i="2"/>
  <c r="N62" i="2"/>
  <c r="V63" i="2"/>
  <c r="M83" i="2"/>
  <c r="M72" i="2"/>
  <c r="S75" i="2"/>
  <c r="D59" i="2"/>
  <c r="M74" i="2"/>
  <c r="C104" i="2"/>
  <c r="H108" i="2"/>
  <c r="G80" i="2"/>
  <c r="D67" i="2"/>
  <c r="F85" i="2"/>
  <c r="I105" i="2"/>
  <c r="F77" i="2"/>
  <c r="P110" i="2"/>
  <c r="F66" i="2"/>
  <c r="E112" i="2"/>
  <c r="D41" i="2"/>
  <c r="G70" i="2"/>
  <c r="L46" i="2"/>
  <c r="F62" i="2"/>
  <c r="O50" i="2"/>
  <c r="K63" i="2"/>
  <c r="J81" i="2"/>
  <c r="X68" i="2"/>
  <c r="E96" i="2"/>
  <c r="X45" i="2"/>
  <c r="AP68" i="3"/>
  <c r="AB59" i="3"/>
  <c r="AP48" i="3"/>
  <c r="AP61" i="3"/>
  <c r="AP92" i="3"/>
  <c r="AP85" i="3"/>
  <c r="AP89" i="3"/>
  <c r="AB84" i="3"/>
  <c r="P32" i="3"/>
  <c r="L19" i="3"/>
  <c r="Y22" i="3"/>
  <c r="M17" i="3"/>
  <c r="M10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O84" i="2"/>
  <c r="K49" i="2"/>
  <c r="F41" i="2"/>
  <c r="E104" i="2"/>
  <c r="L69" i="2"/>
  <c r="G53" i="2"/>
  <c r="R89" i="2"/>
  <c r="O63" i="2"/>
  <c r="F112" i="2"/>
  <c r="R72" i="2"/>
  <c r="E88" i="2"/>
  <c r="L66" i="2"/>
  <c r="Q42" i="2"/>
  <c r="V70" i="2"/>
  <c r="R73" i="2"/>
  <c r="Q111" i="2"/>
  <c r="K78" i="2"/>
  <c r="T86" i="2"/>
  <c r="C80" i="2"/>
  <c r="J51" i="2"/>
  <c r="M56" i="2"/>
  <c r="J88" i="2"/>
  <c r="R68" i="2"/>
  <c r="G86" i="2"/>
  <c r="T57" i="2"/>
  <c r="G79" i="2"/>
  <c r="Q73" i="2"/>
  <c r="U108" i="2"/>
  <c r="L67" i="2"/>
  <c r="Q47" i="2"/>
  <c r="M111" i="2"/>
  <c r="F82" i="2"/>
  <c r="X84" i="2"/>
  <c r="F93" i="2"/>
  <c r="AB81" i="3"/>
  <c r="AP93" i="3"/>
  <c r="AP88" i="3"/>
  <c r="AB50" i="3"/>
  <c r="AP81" i="3"/>
  <c r="AP80" i="3"/>
  <c r="AB69" i="3"/>
  <c r="AB95" i="3"/>
  <c r="I22" i="3"/>
  <c r="N24" i="3"/>
  <c r="C23" i="3"/>
  <c r="T17" i="3"/>
  <c r="W2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Q62" i="2"/>
  <c r="M62" i="2"/>
  <c r="D85" i="2"/>
  <c r="O98" i="2"/>
  <c r="D72" i="2"/>
  <c r="T75" i="2"/>
  <c r="K70" i="2"/>
  <c r="V76" i="2"/>
  <c r="D46" i="2"/>
  <c r="Q75" i="2"/>
  <c r="J97" i="2"/>
  <c r="E44" i="2"/>
  <c r="C77" i="2"/>
  <c r="G56" i="2"/>
  <c r="N49" i="2"/>
  <c r="X87" i="2"/>
  <c r="W110" i="2"/>
  <c r="P60" i="2"/>
  <c r="E113" i="2"/>
  <c r="W86" i="2"/>
  <c r="O67" i="2"/>
  <c r="X97" i="2"/>
  <c r="G42" i="2"/>
  <c r="R104" i="2"/>
  <c r="X78" i="2"/>
  <c r="E87" i="2"/>
  <c r="R99" i="2"/>
  <c r="J98" i="2"/>
  <c r="G62" i="2"/>
  <c r="S66" i="2"/>
  <c r="E78" i="2"/>
  <c r="C108" i="2"/>
  <c r="L105" i="2"/>
  <c r="L40" i="2"/>
  <c r="V79" i="2"/>
  <c r="AB68" i="3"/>
  <c r="C48" i="3"/>
  <c r="AP83" i="3"/>
  <c r="AP65" i="3"/>
  <c r="AP62" i="3"/>
  <c r="AB56" i="3"/>
  <c r="AB64" i="3"/>
  <c r="AB74" i="3"/>
  <c r="K13" i="3"/>
  <c r="M35" i="3"/>
  <c r="AQ13" i="3"/>
  <c r="O23" i="3"/>
  <c r="I38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E95" i="2"/>
  <c r="F70" i="2"/>
  <c r="M53" i="2"/>
  <c r="F95" i="2"/>
  <c r="T40" i="2"/>
  <c r="D79" i="2"/>
  <c r="M89" i="2"/>
  <c r="S93" i="2"/>
  <c r="R80" i="2"/>
  <c r="F61" i="2"/>
  <c r="M58" i="2"/>
  <c r="D95" i="2"/>
  <c r="L64" i="2"/>
  <c r="U93" i="2"/>
  <c r="H67" i="2"/>
  <c r="T91" i="2"/>
  <c r="P58" i="2"/>
  <c r="W45" i="2"/>
  <c r="V59" i="2"/>
  <c r="J96" i="2"/>
  <c r="U43" i="2"/>
  <c r="N71" i="2"/>
  <c r="N54" i="2"/>
  <c r="W104" i="2"/>
  <c r="T62" i="2"/>
  <c r="H45" i="2"/>
  <c r="P56" i="2"/>
  <c r="I58" i="2"/>
  <c r="X112" i="2"/>
  <c r="X109" i="2"/>
  <c r="R50" i="2"/>
  <c r="W112" i="2"/>
  <c r="X85" i="2"/>
  <c r="M59" i="2"/>
  <c r="U113" i="2"/>
  <c r="AB60" i="3"/>
  <c r="AB78" i="3"/>
  <c r="AB93" i="3"/>
  <c r="AP57" i="3"/>
  <c r="AB62" i="3"/>
  <c r="AP76" i="3"/>
  <c r="AP67" i="3"/>
  <c r="H20" i="3"/>
  <c r="AI6" i="3"/>
  <c r="AJ38" i="3"/>
  <c r="U21" i="3"/>
  <c r="AO33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E90" i="2"/>
  <c r="X65" i="2"/>
  <c r="K52" i="2"/>
  <c r="X108" i="2"/>
  <c r="M86" i="2"/>
  <c r="L111" i="2"/>
  <c r="K98" i="2"/>
  <c r="D74" i="2"/>
  <c r="M112" i="2"/>
  <c r="O99" i="2"/>
  <c r="H69" i="2"/>
  <c r="X52" i="2"/>
  <c r="V81" i="2"/>
  <c r="Q80" i="2"/>
  <c r="P93" i="2"/>
  <c r="O97" i="2"/>
  <c r="M51" i="2"/>
  <c r="Q72" i="2"/>
  <c r="K85" i="2"/>
  <c r="T109" i="2"/>
  <c r="O91" i="2"/>
  <c r="D106" i="2"/>
  <c r="D68" i="2"/>
  <c r="T74" i="2"/>
  <c r="P48" i="2"/>
  <c r="L61" i="2"/>
  <c r="T70" i="2"/>
  <c r="O66" i="2"/>
  <c r="H97" i="2"/>
  <c r="P92" i="2"/>
  <c r="C95" i="2"/>
  <c r="D107" i="2"/>
  <c r="T63" i="2"/>
  <c r="G83" i="2"/>
  <c r="N47" i="2"/>
  <c r="AB89" i="3"/>
  <c r="AB80" i="3"/>
  <c r="AB90" i="3"/>
  <c r="AP79" i="3"/>
  <c r="AP82" i="3"/>
  <c r="AB49" i="3"/>
  <c r="AB91" i="3"/>
  <c r="T23" i="3"/>
  <c r="AG39" i="3"/>
  <c r="AI12" i="3"/>
  <c r="P39" i="3"/>
  <c r="AL20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E106" i="2"/>
  <c r="F40" i="2"/>
  <c r="F99" i="2"/>
  <c r="H84" i="2"/>
  <c r="W83" i="2"/>
  <c r="P99" i="2"/>
  <c r="N66" i="2"/>
  <c r="W89" i="2"/>
  <c r="L56" i="2"/>
  <c r="J87" i="2"/>
  <c r="I42" i="2"/>
  <c r="C52" i="2"/>
  <c r="J86" i="2"/>
  <c r="D58" i="2"/>
  <c r="O79" i="2"/>
  <c r="X43" i="2"/>
  <c r="V46" i="2"/>
  <c r="M68" i="2"/>
  <c r="H58" i="2"/>
  <c r="I110" i="2"/>
  <c r="E97" i="2"/>
  <c r="P57" i="2"/>
  <c r="G94" i="2"/>
  <c r="I88" i="2"/>
  <c r="J45" i="2"/>
  <c r="R59" i="2"/>
  <c r="W79" i="2"/>
  <c r="P77" i="2"/>
  <c r="W52" i="2"/>
  <c r="H76" i="2"/>
  <c r="W96" i="2"/>
  <c r="M108" i="2"/>
  <c r="K111" i="2"/>
  <c r="M47" i="2"/>
  <c r="L83" i="2"/>
  <c r="AP70" i="3"/>
  <c r="AP86" i="3"/>
  <c r="AB92" i="3"/>
  <c r="AP63" i="3"/>
  <c r="AP87" i="3"/>
  <c r="AB97" i="3"/>
  <c r="AB66" i="3"/>
  <c r="C28" i="3"/>
  <c r="AN8" i="3"/>
  <c r="Z19" i="3"/>
  <c r="R18" i="3"/>
  <c r="AM32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D99" i="2"/>
  <c r="L81" i="2"/>
  <c r="G47" i="2"/>
  <c r="W60" i="2"/>
  <c r="W40" i="2"/>
  <c r="T107" i="2"/>
  <c r="E69" i="2"/>
  <c r="I99" i="2"/>
  <c r="C82" i="2"/>
  <c r="K81" i="2"/>
  <c r="P89" i="2"/>
  <c r="W53" i="2"/>
  <c r="W82" i="2"/>
  <c r="P86" i="2"/>
  <c r="S83" i="2"/>
  <c r="X91" i="2"/>
  <c r="I81" i="2"/>
  <c r="C44" i="2"/>
  <c r="T112" i="2"/>
  <c r="H63" i="2"/>
  <c r="L106" i="2"/>
  <c r="P52" i="2"/>
  <c r="H88" i="2"/>
  <c r="K73" i="2"/>
  <c r="X74" i="2"/>
  <c r="Q44" i="2"/>
  <c r="G76" i="2"/>
  <c r="I40" i="2"/>
  <c r="N55" i="2"/>
  <c r="X54" i="2"/>
  <c r="H59" i="2"/>
  <c r="I73" i="2"/>
  <c r="O47" i="2"/>
  <c r="L97" i="2"/>
  <c r="E42" i="2"/>
  <c r="AB88" i="3"/>
  <c r="AB55" i="3"/>
  <c r="AP55" i="3"/>
  <c r="AB96" i="3"/>
  <c r="AP94" i="3"/>
  <c r="C49" i="3"/>
  <c r="AP49" i="3"/>
  <c r="H34" i="3"/>
  <c r="H17" i="3"/>
  <c r="L32" i="3"/>
  <c r="AK5" i="3"/>
  <c r="AK55" i="3" s="1"/>
  <c r="J16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D109" i="2"/>
  <c r="U84" i="2"/>
  <c r="D108" i="2"/>
  <c r="T90" i="2"/>
  <c r="W59" i="2"/>
  <c r="I56" i="2"/>
  <c r="X69" i="2"/>
  <c r="N52" i="2"/>
  <c r="L60" i="2"/>
  <c r="X76" i="2"/>
  <c r="G63" i="2"/>
  <c r="T60" i="2"/>
  <c r="M75" i="2"/>
  <c r="F56" i="2"/>
  <c r="S52" i="2"/>
  <c r="H68" i="2"/>
  <c r="J49" i="2"/>
  <c r="T61" i="2"/>
  <c r="V77" i="2"/>
  <c r="V68" i="2"/>
  <c r="E73" i="2"/>
  <c r="S90" i="2"/>
  <c r="H90" i="2"/>
  <c r="L42" i="2"/>
  <c r="C61" i="2"/>
  <c r="G78" i="2"/>
  <c r="E48" i="2"/>
  <c r="R40" i="2"/>
  <c r="R97" i="2"/>
  <c r="F81" i="2"/>
  <c r="N61" i="2"/>
  <c r="S64" i="2"/>
  <c r="F97" i="2"/>
  <c r="H55" i="2"/>
  <c r="C87" i="2"/>
  <c r="AP56" i="3"/>
  <c r="AB48" i="3"/>
  <c r="AP59" i="3"/>
  <c r="AB71" i="3"/>
  <c r="AB87" i="3"/>
  <c r="AB86" i="3"/>
  <c r="AP64" i="3"/>
  <c r="AM33" i="3"/>
  <c r="T8" i="3"/>
  <c r="AC18" i="3"/>
  <c r="N26" i="3"/>
  <c r="AQ39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I95" i="2"/>
  <c r="P64" i="2"/>
  <c r="U75" i="2"/>
  <c r="R62" i="2"/>
  <c r="C89" i="2"/>
  <c r="W109" i="2"/>
  <c r="F48" i="2"/>
  <c r="M41" i="2"/>
  <c r="N53" i="2"/>
  <c r="M81" i="2"/>
  <c r="O55" i="2"/>
  <c r="F64" i="2"/>
  <c r="U106" i="2"/>
  <c r="J48" i="2"/>
  <c r="O111" i="2"/>
  <c r="J77" i="2"/>
  <c r="X53" i="2"/>
  <c r="O52" i="2"/>
  <c r="K46" i="2"/>
  <c r="R107" i="2"/>
  <c r="D56" i="2"/>
  <c r="X104" i="2"/>
  <c r="I75" i="2"/>
  <c r="S42" i="2"/>
  <c r="U70" i="2"/>
  <c r="M67" i="2"/>
  <c r="G55" i="2"/>
  <c r="N70" i="2"/>
  <c r="K106" i="2"/>
  <c r="K64" i="2"/>
  <c r="U65" i="2"/>
  <c r="O109" i="2"/>
  <c r="U40" i="2"/>
  <c r="C91" i="2"/>
  <c r="F88" i="2"/>
  <c r="AB58" i="3"/>
  <c r="AB77" i="3"/>
  <c r="AP71" i="3"/>
  <c r="AP91" i="3"/>
  <c r="AB54" i="3"/>
  <c r="AP50" i="3"/>
  <c r="AB76" i="3"/>
  <c r="R29" i="3"/>
  <c r="O22" i="3"/>
  <c r="O39" i="3"/>
  <c r="AM16" i="3"/>
  <c r="AP10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G66" i="2"/>
  <c r="E52" i="2"/>
  <c r="V65" i="2"/>
  <c r="C49" i="2"/>
  <c r="K95" i="2"/>
  <c r="T48" i="2"/>
  <c r="K72" i="2"/>
  <c r="R84" i="2"/>
  <c r="N43" i="2"/>
  <c r="F107" i="2"/>
  <c r="L80" i="2"/>
  <c r="U69" i="2"/>
  <c r="M109" i="2"/>
  <c r="H42" i="2"/>
  <c r="G54" i="2"/>
  <c r="K112" i="2"/>
  <c r="F98" i="2"/>
  <c r="M63" i="2"/>
  <c r="C78" i="2"/>
  <c r="U86" i="2"/>
  <c r="U110" i="2"/>
  <c r="G67" i="2"/>
  <c r="O70" i="2"/>
  <c r="J60" i="2"/>
  <c r="D94" i="2"/>
  <c r="G64" i="2"/>
  <c r="U85" i="2"/>
  <c r="I44" i="2"/>
  <c r="H109" i="2"/>
  <c r="G51" i="2"/>
  <c r="P45" i="2"/>
  <c r="T110" i="2"/>
  <c r="F67" i="2"/>
  <c r="S98" i="2"/>
  <c r="C63" i="2"/>
  <c r="AB73" i="3"/>
  <c r="AP97" i="3"/>
  <c r="AP78" i="3"/>
  <c r="AP58" i="3"/>
  <c r="AB82" i="3"/>
  <c r="AB67" i="3"/>
  <c r="AP69" i="3"/>
  <c r="S7" i="3"/>
  <c r="AL33" i="3"/>
  <c r="AN33" i="3"/>
  <c r="G36" i="3"/>
  <c r="Q34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O95" i="2"/>
  <c r="O68" i="2"/>
  <c r="M82" i="2"/>
  <c r="R81" i="2"/>
  <c r="S92" i="2"/>
  <c r="K109" i="2"/>
  <c r="W55" i="2"/>
  <c r="G68" i="2"/>
  <c r="E68" i="2"/>
  <c r="U89" i="2"/>
  <c r="D77" i="2"/>
  <c r="D60" i="2"/>
  <c r="C75" i="2"/>
  <c r="N79" i="2"/>
  <c r="C83" i="2"/>
  <c r="G49" i="2"/>
  <c r="W76" i="2"/>
  <c r="Q98" i="2"/>
  <c r="I51" i="2"/>
  <c r="G85" i="2"/>
  <c r="S65" i="2"/>
  <c r="D75" i="2"/>
  <c r="X80" i="2"/>
  <c r="I49" i="2"/>
  <c r="F113" i="2"/>
  <c r="T42" i="2"/>
  <c r="Q74" i="2"/>
  <c r="L44" i="2"/>
  <c r="T68" i="2"/>
  <c r="G110" i="2"/>
  <c r="U109" i="2"/>
  <c r="D71" i="2"/>
  <c r="V47" i="2"/>
  <c r="K92" i="2"/>
  <c r="C93" i="2"/>
  <c r="I111" i="2"/>
  <c r="E40" i="2"/>
  <c r="F58" i="2"/>
  <c r="X111" i="2"/>
  <c r="C40" i="2"/>
  <c r="Q86" i="2"/>
  <c r="S56" i="2"/>
  <c r="Q50" i="2"/>
  <c r="I69" i="2"/>
  <c r="F45" i="2"/>
  <c r="F59" i="2"/>
  <c r="T49" i="2"/>
  <c r="T58" i="2"/>
  <c r="K77" i="2"/>
  <c r="U107" i="2"/>
  <c r="Q51" i="2"/>
  <c r="N98" i="2"/>
  <c r="X81" i="2"/>
  <c r="O61" i="2"/>
  <c r="O62" i="2"/>
  <c r="M42" i="2"/>
  <c r="L78" i="2"/>
  <c r="AB83" i="3"/>
  <c r="AB57" i="3"/>
  <c r="AB47" i="3"/>
  <c r="AB79" i="3"/>
  <c r="AB63" i="3"/>
  <c r="AP54" i="3"/>
  <c r="AP77" i="3"/>
  <c r="AB85" i="3"/>
  <c r="W5" i="3"/>
  <c r="C37" i="3"/>
  <c r="H41" i="3"/>
  <c r="AK31" i="3"/>
  <c r="X3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Y55" i="3" s="1"/>
  <c r="K17" i="3"/>
  <c r="P74" i="2"/>
  <c r="AP96" i="3"/>
  <c r="AD50" i="3"/>
  <c r="Y13" i="3"/>
  <c r="AG15" i="3"/>
  <c r="M13" i="3"/>
  <c r="AH7" i="3"/>
  <c r="T28" i="3"/>
  <c r="O9" i="3"/>
  <c r="N36" i="3"/>
  <c r="T26" i="3"/>
  <c r="AL42" i="3"/>
  <c r="AP33" i="3"/>
  <c r="W10" i="3"/>
  <c r="R38" i="3"/>
  <c r="Z29" i="3"/>
  <c r="AK39" i="3"/>
  <c r="I30" i="3"/>
  <c r="O10" i="3"/>
  <c r="AD25" i="3"/>
  <c r="P31" i="3"/>
  <c r="Q6" i="3"/>
  <c r="W38" i="3"/>
  <c r="AL28" i="3"/>
  <c r="AM35" i="3"/>
  <c r="AQ25" i="3"/>
  <c r="P7" i="3"/>
  <c r="J33" i="3"/>
  <c r="W20" i="3"/>
  <c r="AQ35" i="3"/>
  <c r="Z39" i="3"/>
  <c r="AL14" i="3"/>
  <c r="AI29" i="3"/>
  <c r="AG14" i="3"/>
  <c r="AE26" i="3"/>
  <c r="AM18" i="3"/>
  <c r="V10" i="3"/>
  <c r="AB17" i="3"/>
  <c r="C16" i="3"/>
  <c r="AE27" i="3"/>
  <c r="H12" i="3"/>
  <c r="AJ9" i="3"/>
  <c r="X20" i="3"/>
  <c r="AG29" i="3"/>
  <c r="AH20" i="3"/>
  <c r="T13" i="3"/>
  <c r="V19" i="3"/>
  <c r="V20" i="3"/>
  <c r="AO26" i="3"/>
  <c r="K16" i="3"/>
  <c r="AO13" i="3"/>
  <c r="V23" i="3"/>
  <c r="AC34" i="3"/>
  <c r="AA38" i="3"/>
  <c r="J10" i="3"/>
  <c r="M40" i="3"/>
  <c r="C26" i="3"/>
  <c r="AA35" i="3"/>
  <c r="Z5" i="3"/>
  <c r="J24" i="3"/>
  <c r="Q20" i="3"/>
  <c r="H31" i="3"/>
  <c r="K34" i="3"/>
  <c r="AP35" i="3"/>
  <c r="AI26" i="3"/>
  <c r="S20" i="3"/>
  <c r="M14" i="3"/>
  <c r="AB31" i="3"/>
  <c r="J35" i="3"/>
  <c r="W14" i="3"/>
  <c r="AA26" i="3"/>
  <c r="X23" i="3"/>
  <c r="AL11" i="3"/>
  <c r="M41" i="3"/>
  <c r="AC15" i="3"/>
  <c r="AD31" i="3"/>
  <c r="Q8" i="3"/>
  <c r="L24" i="3"/>
  <c r="AH8" i="3"/>
  <c r="AD34" i="3"/>
  <c r="AM6" i="3"/>
  <c r="Q10" i="3"/>
  <c r="AH12" i="3"/>
  <c r="AK28" i="3"/>
  <c r="T105" i="2"/>
  <c r="AB72" i="3"/>
  <c r="X31" i="3"/>
  <c r="AJ24" i="3"/>
  <c r="AJ30" i="3"/>
  <c r="M25" i="3"/>
  <c r="Y19" i="3"/>
  <c r="AG10" i="3"/>
  <c r="J38" i="3"/>
  <c r="U37" i="3"/>
  <c r="Y30" i="3"/>
  <c r="H32" i="3"/>
  <c r="AC23" i="3"/>
  <c r="W35" i="3"/>
  <c r="AK13" i="3"/>
  <c r="M5" i="3"/>
  <c r="M68" i="3" s="1"/>
  <c r="P17" i="3"/>
  <c r="M12" i="3"/>
  <c r="AC26" i="3"/>
  <c r="H16" i="3"/>
  <c r="U35" i="3"/>
  <c r="AM34" i="3"/>
  <c r="Q12" i="3"/>
  <c r="N38" i="3"/>
  <c r="Z42" i="3"/>
  <c r="AI8" i="3"/>
  <c r="C4" i="3"/>
  <c r="K31" i="3"/>
  <c r="AN18" i="3"/>
  <c r="R22" i="3"/>
  <c r="W25" i="3"/>
  <c r="AI40" i="3"/>
  <c r="AQ10" i="3"/>
  <c r="K7" i="3"/>
  <c r="AJ37" i="3"/>
  <c r="T40" i="3"/>
  <c r="AJ40" i="3"/>
  <c r="AQ16" i="3"/>
  <c r="AN26" i="3"/>
  <c r="R7" i="3"/>
  <c r="L21" i="3"/>
  <c r="P38" i="3"/>
  <c r="Q39" i="3"/>
  <c r="AK15" i="3"/>
  <c r="AP21" i="3"/>
  <c r="AA27" i="3"/>
  <c r="AG41" i="3"/>
  <c r="K32" i="3"/>
  <c r="AH18" i="3"/>
  <c r="O13" i="3"/>
  <c r="S28" i="3"/>
  <c r="AG11" i="3"/>
  <c r="P9" i="3"/>
  <c r="N67" i="2"/>
  <c r="C47" i="3"/>
  <c r="W22" i="3"/>
  <c r="AA30" i="3"/>
  <c r="AB37" i="3"/>
  <c r="I13" i="3"/>
  <c r="S9" i="3"/>
  <c r="AB10" i="3"/>
  <c r="AE18" i="3"/>
  <c r="AJ8" i="3"/>
  <c r="AN14" i="3"/>
  <c r="O7" i="3"/>
  <c r="AH29" i="3"/>
  <c r="AK7" i="3"/>
  <c r="AC5" i="3"/>
  <c r="M38" i="3"/>
  <c r="R9" i="3"/>
  <c r="V32" i="3"/>
  <c r="J23" i="3"/>
  <c r="AQ15" i="3"/>
  <c r="Z13" i="3"/>
  <c r="AK33" i="3"/>
  <c r="X33" i="3"/>
  <c r="U18" i="3"/>
  <c r="AM31" i="3"/>
  <c r="AQ31" i="3"/>
  <c r="AH38" i="3"/>
  <c r="O12" i="3"/>
  <c r="AM36" i="3"/>
  <c r="U42" i="3"/>
  <c r="J22" i="3"/>
  <c r="X19" i="3"/>
  <c r="Q17" i="3"/>
  <c r="AQ28" i="3"/>
  <c r="AC24" i="3"/>
  <c r="AJ7" i="3"/>
  <c r="S13" i="3"/>
  <c r="Z33" i="3"/>
  <c r="C11" i="3"/>
  <c r="AN15" i="3"/>
  <c r="M21" i="3"/>
  <c r="Q18" i="3"/>
  <c r="T6" i="3"/>
  <c r="AO5" i="3"/>
  <c r="U16" i="3"/>
  <c r="AQ17" i="3"/>
  <c r="AG35" i="3"/>
  <c r="AD39" i="3"/>
  <c r="N25" i="3"/>
  <c r="AH39" i="3"/>
  <c r="S25" i="3"/>
  <c r="N63" i="2"/>
  <c r="AB75" i="3"/>
  <c r="AD24" i="3"/>
  <c r="AG37" i="3"/>
  <c r="AE7" i="3"/>
  <c r="AN25" i="3"/>
  <c r="AL22" i="3"/>
  <c r="R17" i="3"/>
  <c r="C34" i="3"/>
  <c r="R28" i="3"/>
  <c r="V27" i="3"/>
  <c r="AK36" i="3"/>
  <c r="V7" i="3"/>
  <c r="K24" i="3"/>
  <c r="S23" i="3"/>
  <c r="AL38" i="3"/>
  <c r="I6" i="3"/>
  <c r="P11" i="3"/>
  <c r="J13" i="3"/>
  <c r="U39" i="3"/>
  <c r="Y8" i="3"/>
  <c r="R13" i="3"/>
  <c r="AK42" i="3"/>
  <c r="AJ35" i="3"/>
  <c r="AK6" i="3"/>
  <c r="Q21" i="3"/>
  <c r="AK32" i="3"/>
  <c r="L7" i="3"/>
  <c r="Y9" i="3"/>
  <c r="Y42" i="3"/>
  <c r="T18" i="3"/>
  <c r="N12" i="3"/>
  <c r="AH5" i="3"/>
  <c r="V42" i="3"/>
  <c r="L34" i="3"/>
  <c r="AO19" i="3"/>
  <c r="AE13" i="3"/>
  <c r="I32" i="3"/>
  <c r="S10" i="3"/>
  <c r="P12" i="3"/>
  <c r="C79" i="2"/>
  <c r="AP95" i="3"/>
  <c r="AI24" i="3"/>
  <c r="AN12" i="3"/>
  <c r="P8" i="3"/>
  <c r="AO14" i="3"/>
  <c r="Y38" i="3"/>
  <c r="P6" i="3"/>
  <c r="AO11" i="3"/>
  <c r="P35" i="3"/>
  <c r="AK41" i="3"/>
  <c r="AJ11" i="3"/>
  <c r="W9" i="3"/>
  <c r="AH41" i="3"/>
  <c r="AI27" i="3"/>
  <c r="P29" i="3"/>
  <c r="S19" i="3"/>
  <c r="J32" i="3"/>
  <c r="AH28" i="3"/>
  <c r="J9" i="3"/>
  <c r="AL6" i="3"/>
  <c r="AN10" i="3"/>
  <c r="Y14" i="3"/>
  <c r="G33" i="3"/>
  <c r="C29" i="3"/>
  <c r="AG33" i="3"/>
  <c r="O14" i="3"/>
  <c r="C13" i="3"/>
  <c r="I11" i="3"/>
  <c r="C10" i="3"/>
  <c r="AJ10" i="3"/>
  <c r="AL5" i="3"/>
  <c r="O31" i="3"/>
  <c r="AB40" i="3"/>
  <c r="AH9" i="3"/>
  <c r="X11" i="3"/>
  <c r="W30" i="3"/>
  <c r="J14" i="3"/>
  <c r="AM27" i="3"/>
  <c r="X18" i="3"/>
  <c r="L41" i="3"/>
  <c r="W8" i="3"/>
  <c r="V15" i="3"/>
  <c r="K41" i="3"/>
  <c r="AO37" i="3"/>
  <c r="J31" i="3"/>
  <c r="AJ29" i="3"/>
  <c r="T36" i="3"/>
  <c r="AH6" i="3"/>
  <c r="H93" i="2"/>
  <c r="AB70" i="3"/>
  <c r="G41" i="3"/>
  <c r="AC22" i="3"/>
  <c r="G35" i="3"/>
  <c r="AI5" i="3"/>
  <c r="AN7" i="3"/>
  <c r="R20" i="3"/>
  <c r="M33" i="3"/>
  <c r="C27" i="3"/>
  <c r="AI28" i="3"/>
  <c r="G48" i="3"/>
  <c r="AQ41" i="3"/>
  <c r="L39" i="3"/>
  <c r="V11" i="3"/>
  <c r="H10" i="3"/>
  <c r="U23" i="3"/>
  <c r="AO17" i="3"/>
  <c r="AN40" i="3"/>
  <c r="Z20" i="3"/>
  <c r="Q15" i="3"/>
  <c r="L13" i="3"/>
  <c r="S6" i="3"/>
  <c r="O36" i="3"/>
  <c r="S5" i="3"/>
  <c r="Q37" i="3"/>
  <c r="S8" i="3"/>
  <c r="K39" i="3"/>
  <c r="H26" i="3"/>
  <c r="AC32" i="3"/>
  <c r="P26" i="3"/>
  <c r="AL23" i="3"/>
  <c r="AG24" i="3"/>
  <c r="U32" i="3"/>
  <c r="S15" i="3"/>
  <c r="AH30" i="3"/>
  <c r="V14" i="3"/>
  <c r="AA28" i="3"/>
  <c r="AE40" i="3"/>
  <c r="AG40" i="3"/>
  <c r="AN13" i="3"/>
  <c r="K22" i="3"/>
  <c r="AO36" i="3"/>
  <c r="J26" i="3"/>
  <c r="AQ7" i="3"/>
  <c r="K26" i="3"/>
  <c r="Q11" i="3"/>
  <c r="H33" i="3"/>
  <c r="AE15" i="3"/>
  <c r="X42" i="3"/>
  <c r="U13" i="3"/>
  <c r="AN30" i="3"/>
  <c r="X17" i="3"/>
  <c r="Y29" i="3"/>
  <c r="AA22" i="3"/>
  <c r="W39" i="3"/>
  <c r="AE22" i="3"/>
  <c r="U17" i="3"/>
  <c r="C35" i="3"/>
  <c r="AI33" i="3"/>
  <c r="M24" i="3"/>
  <c r="K28" i="3"/>
  <c r="AN41" i="3"/>
  <c r="AB9" i="3"/>
  <c r="O33" i="3"/>
  <c r="AK16" i="3"/>
  <c r="AO22" i="3"/>
  <c r="AK25" i="3"/>
  <c r="L10" i="3"/>
  <c r="J67" i="2"/>
  <c r="AP73" i="3"/>
  <c r="X27" i="3"/>
  <c r="AB38" i="3"/>
  <c r="AM12" i="3"/>
  <c r="O16" i="3"/>
  <c r="T41" i="3"/>
  <c r="AP9" i="3"/>
  <c r="AB12" i="3"/>
  <c r="T16" i="3"/>
  <c r="AO25" i="3"/>
  <c r="M6" i="3"/>
  <c r="I14" i="3"/>
  <c r="S41" i="3"/>
  <c r="AD19" i="3"/>
  <c r="J29" i="3"/>
  <c r="T21" i="3"/>
  <c r="Z7" i="3"/>
  <c r="AP39" i="3"/>
  <c r="AL17" i="3"/>
  <c r="AB7" i="3"/>
  <c r="Z32" i="3"/>
  <c r="L12" i="3"/>
  <c r="P28" i="3"/>
  <c r="H30" i="3"/>
  <c r="AP29" i="3"/>
  <c r="T39" i="3"/>
  <c r="AB8" i="3"/>
  <c r="V28" i="3"/>
  <c r="AC10" i="3"/>
  <c r="V17" i="3"/>
  <c r="N33" i="3"/>
  <c r="J11" i="3"/>
  <c r="AC41" i="3"/>
  <c r="AA37" i="3"/>
  <c r="E77" i="2"/>
  <c r="Z30" i="3"/>
  <c r="G42" i="3"/>
  <c r="AP23" i="3"/>
  <c r="X16" i="3"/>
  <c r="P27" i="3"/>
  <c r="W7" i="3"/>
  <c r="AP28" i="3"/>
  <c r="AC25" i="3"/>
  <c r="AH40" i="3"/>
  <c r="AG30" i="3"/>
  <c r="AL15" i="3"/>
  <c r="X13" i="3"/>
  <c r="X29" i="3"/>
  <c r="AJ13" i="3"/>
  <c r="AI36" i="3"/>
  <c r="Y23" i="3"/>
  <c r="AA14" i="3"/>
  <c r="X32" i="3"/>
  <c r="Z38" i="3"/>
  <c r="V6" i="3"/>
  <c r="AH19" i="3"/>
  <c r="AL18" i="3"/>
  <c r="U29" i="3"/>
  <c r="K30" i="3"/>
  <c r="AM28" i="3"/>
  <c r="Q42" i="3"/>
  <c r="AL32" i="3"/>
  <c r="K27" i="3"/>
  <c r="AC35" i="3"/>
  <c r="D49" i="3"/>
  <c r="R8" i="3"/>
  <c r="N17" i="3"/>
  <c r="O40" i="3"/>
  <c r="AD22" i="3"/>
  <c r="AB32" i="3"/>
  <c r="R19" i="3"/>
  <c r="G34" i="3"/>
  <c r="I17" i="3"/>
  <c r="U8" i="3"/>
  <c r="P14" i="3"/>
  <c r="AL19" i="3"/>
  <c r="P36" i="3"/>
  <c r="K8" i="3"/>
  <c r="AI14" i="3"/>
  <c r="S18" i="3"/>
  <c r="AP32" i="3"/>
  <c r="M18" i="3"/>
  <c r="U40" i="3"/>
  <c r="V39" i="3"/>
  <c r="Q7" i="3"/>
  <c r="J39" i="3"/>
  <c r="AP24" i="3"/>
  <c r="AK38" i="3"/>
  <c r="AN39" i="3"/>
  <c r="V35" i="3"/>
  <c r="N11" i="3"/>
  <c r="U64" i="2"/>
  <c r="J36" i="3"/>
  <c r="R35" i="3"/>
  <c r="AG28" i="3"/>
  <c r="O41" i="3"/>
  <c r="AM5" i="3"/>
  <c r="AM85" i="3" s="1"/>
  <c r="AJ15" i="3"/>
  <c r="L14" i="3"/>
  <c r="L23" i="3"/>
  <c r="AQ12" i="3"/>
  <c r="P16" i="3"/>
  <c r="L18" i="3"/>
  <c r="AA41" i="3"/>
  <c r="AL8" i="3"/>
  <c r="P19" i="3"/>
  <c r="P40" i="3"/>
  <c r="AO16" i="3"/>
  <c r="R39" i="3"/>
  <c r="AE23" i="3"/>
  <c r="I33" i="3"/>
  <c r="AG31" i="3"/>
  <c r="I12" i="3"/>
  <c r="N6" i="3"/>
  <c r="AD27" i="3"/>
  <c r="AH27" i="3"/>
  <c r="Q13" i="3"/>
  <c r="D42" i="2"/>
  <c r="AH23" i="3"/>
  <c r="AH17" i="3"/>
  <c r="M23" i="3"/>
  <c r="AD32" i="3"/>
  <c r="H36" i="3"/>
  <c r="H9" i="3"/>
  <c r="AA21" i="3"/>
  <c r="O24" i="3"/>
  <c r="O11" i="3"/>
  <c r="I7" i="3"/>
  <c r="Z37" i="3"/>
  <c r="AE5" i="3"/>
  <c r="AE48" i="3" s="1"/>
  <c r="T12" i="3"/>
  <c r="AA23" i="3"/>
  <c r="U36" i="3"/>
  <c r="Q28" i="3"/>
  <c r="AQ24" i="3"/>
  <c r="AH25" i="3"/>
  <c r="AB36" i="3"/>
  <c r="AK14" i="3"/>
  <c r="U27" i="3"/>
  <c r="AP42" i="3"/>
  <c r="I27" i="3"/>
  <c r="Y12" i="3"/>
  <c r="K11" i="3"/>
  <c r="N31" i="3"/>
  <c r="V21" i="3"/>
  <c r="AD42" i="3"/>
  <c r="AL24" i="3"/>
  <c r="AK8" i="3"/>
  <c r="D48" i="3"/>
  <c r="N23" i="3"/>
  <c r="Y27" i="3"/>
  <c r="AO42" i="3"/>
  <c r="AN36" i="3"/>
  <c r="AI17" i="3"/>
  <c r="AJ27" i="3"/>
  <c r="I5" i="3"/>
  <c r="AD41" i="3"/>
  <c r="R60" i="2"/>
  <c r="AJ31" i="3"/>
  <c r="V31" i="3"/>
  <c r="AJ16" i="3"/>
  <c r="AH37" i="3"/>
  <c r="J18" i="3"/>
  <c r="AG26" i="3"/>
  <c r="AC8" i="3"/>
  <c r="J15" i="3"/>
  <c r="U22" i="3"/>
  <c r="AG6" i="3"/>
  <c r="W11" i="3"/>
  <c r="AL34" i="3"/>
  <c r="AG36" i="3"/>
  <c r="AQ42" i="3"/>
  <c r="R33" i="3"/>
  <c r="AN5" i="3"/>
  <c r="AM37" i="3"/>
  <c r="G38" i="3"/>
  <c r="AE36" i="3"/>
  <c r="L15" i="3"/>
  <c r="T7" i="3"/>
  <c r="U10" i="3"/>
  <c r="AO35" i="3"/>
  <c r="AN11" i="3"/>
  <c r="R31" i="3"/>
  <c r="Y10" i="3"/>
  <c r="AI7" i="3"/>
  <c r="T29" i="3"/>
  <c r="S22" i="3"/>
  <c r="T42" i="3"/>
  <c r="AP27" i="3"/>
  <c r="AE16" i="3"/>
  <c r="R11" i="3"/>
  <c r="H8" i="3"/>
  <c r="AK23" i="3"/>
  <c r="C18" i="3"/>
  <c r="H29" i="3"/>
  <c r="R16" i="3"/>
  <c r="AD23" i="3"/>
  <c r="K9" i="3"/>
  <c r="V37" i="3"/>
  <c r="AD49" i="3"/>
  <c r="AA39" i="3"/>
  <c r="T5" i="3"/>
  <c r="T97" i="3" s="1"/>
  <c r="AQ11" i="3"/>
  <c r="N22" i="3"/>
  <c r="N41" i="3"/>
  <c r="AO40" i="3"/>
  <c r="H22" i="3"/>
  <c r="AO27" i="3"/>
  <c r="AK19" i="3"/>
  <c r="S37" i="3"/>
  <c r="T31" i="3"/>
  <c r="L35" i="3"/>
  <c r="AQ20" i="3"/>
  <c r="AA19" i="3"/>
  <c r="T15" i="3"/>
  <c r="AP38" i="3"/>
  <c r="K20" i="3"/>
  <c r="AC40" i="3"/>
  <c r="X41" i="3"/>
  <c r="AO8" i="3"/>
  <c r="K5" i="3"/>
  <c r="H39" i="3"/>
  <c r="X6" i="3"/>
  <c r="AB65" i="3"/>
  <c r="AH31" i="3"/>
  <c r="P30" i="3"/>
  <c r="AH22" i="3"/>
  <c r="L31" i="3"/>
  <c r="C17" i="3"/>
  <c r="L30" i="3"/>
  <c r="X38" i="3"/>
  <c r="O6" i="3"/>
  <c r="AG32" i="3"/>
  <c r="AP31" i="3"/>
  <c r="T14" i="3"/>
  <c r="AO23" i="3"/>
  <c r="AP18" i="3"/>
  <c r="AA10" i="3"/>
  <c r="AH34" i="3"/>
  <c r="M37" i="3"/>
  <c r="N9" i="3"/>
  <c r="AB35" i="3"/>
  <c r="AD26" i="3"/>
  <c r="I20" i="3"/>
  <c r="J40" i="3"/>
  <c r="AM10" i="3"/>
  <c r="AG5" i="3"/>
  <c r="M28" i="3"/>
  <c r="K14" i="3"/>
  <c r="K12" i="3"/>
  <c r="U7" i="3"/>
  <c r="AG12" i="3"/>
  <c r="X39" i="3"/>
  <c r="AJ42" i="3"/>
  <c r="AC11" i="3"/>
  <c r="M19" i="3"/>
  <c r="D47" i="3"/>
  <c r="C36" i="3"/>
  <c r="AA15" i="3"/>
  <c r="G47" i="3"/>
  <c r="K33" i="3"/>
  <c r="V36" i="3"/>
  <c r="K37" i="3"/>
  <c r="AG13" i="3"/>
  <c r="N27" i="3"/>
  <c r="AE12" i="3"/>
  <c r="N18" i="3"/>
  <c r="Y21" i="3"/>
  <c r="AJ6" i="3"/>
  <c r="J19" i="3"/>
  <c r="Y41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H63" i="3"/>
  <c r="AI76" i="3"/>
  <c r="M97" i="3"/>
  <c r="H88" i="3"/>
  <c r="O60" i="3"/>
  <c r="L80" i="3"/>
  <c r="H89" i="3"/>
  <c r="AI78" i="3"/>
  <c r="AI60" i="3"/>
  <c r="H68" i="3"/>
  <c r="O96" i="3"/>
  <c r="AA65" i="3"/>
  <c r="L68" i="3"/>
  <c r="O78" i="3"/>
  <c r="O87" i="3"/>
  <c r="AE75" i="3"/>
  <c r="H82" i="3"/>
  <c r="Q82" i="3"/>
  <c r="AM83" i="3"/>
  <c r="AK77" i="3"/>
  <c r="H75" i="3"/>
  <c r="J91" i="3"/>
  <c r="AN64" i="3"/>
  <c r="P59" i="3"/>
  <c r="Q87" i="3"/>
  <c r="M96" i="3"/>
  <c r="H97" i="3"/>
  <c r="AE72" i="3"/>
  <c r="J95" i="3"/>
  <c r="O50" i="3"/>
  <c r="AI75" i="3"/>
  <c r="AK68" i="3"/>
  <c r="AJ61" i="3"/>
  <c r="M94" i="3"/>
  <c r="P58" i="3"/>
  <c r="L69" i="3"/>
  <c r="AE67" i="3"/>
  <c r="AI64" i="3"/>
  <c r="AK56" i="3"/>
  <c r="AI58" i="3"/>
  <c r="Q58" i="3"/>
  <c r="AK60" i="3"/>
  <c r="N94" i="3"/>
  <c r="L82" i="3"/>
  <c r="J80" i="3"/>
  <c r="AO66" i="3"/>
  <c r="O90" i="3"/>
  <c r="AG62" i="3"/>
  <c r="AJ94" i="3"/>
  <c r="AA95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L47" i="3"/>
  <c r="AC85" i="3"/>
  <c r="AJ68" i="3"/>
  <c r="K76" i="3"/>
  <c r="U70" i="3"/>
  <c r="AI67" i="3"/>
  <c r="AM55" i="3"/>
  <c r="AC80" i="3"/>
  <c r="AA75" i="3"/>
  <c r="AJ66" i="3"/>
  <c r="AG95" i="3"/>
  <c r="AI49" i="3"/>
  <c r="AH58" i="3"/>
  <c r="L66" i="3"/>
  <c r="H81" i="3"/>
  <c r="AN75" i="3"/>
  <c r="J72" i="3"/>
  <c r="M91" i="3"/>
  <c r="P86" i="3"/>
  <c r="AN60" i="3"/>
  <c r="AA59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H58" i="3"/>
  <c r="T82" i="3"/>
  <c r="J63" i="3"/>
  <c r="N80" i="3"/>
  <c r="T83" i="3"/>
  <c r="AE90" i="3"/>
  <c r="AE83" i="3"/>
  <c r="L58" i="3"/>
  <c r="R83" i="3"/>
  <c r="AL79" i="3"/>
  <c r="S60" i="3"/>
  <c r="H92" i="3"/>
  <c r="AA89" i="3"/>
  <c r="Z93" i="3"/>
  <c r="AE84" i="3"/>
  <c r="AA55" i="3"/>
  <c r="O81" i="3"/>
  <c r="X54" i="3"/>
  <c r="J48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Y57" i="3"/>
  <c r="AQ74" i="3"/>
  <c r="AK63" i="3"/>
  <c r="O72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T91" i="3"/>
  <c r="R77" i="3"/>
  <c r="W72" i="3"/>
  <c r="AQ50" i="3"/>
  <c r="AG89" i="3"/>
  <c r="H49" i="3"/>
  <c r="AG88" i="3"/>
  <c r="V55" i="3"/>
  <c r="S97" i="3"/>
  <c r="AQ62" i="3"/>
  <c r="AL58" i="3"/>
  <c r="R95" i="3"/>
  <c r="Z87" i="3"/>
  <c r="U88" i="3"/>
  <c r="R56" i="3"/>
  <c r="Q62" i="3"/>
  <c r="AK67" i="3"/>
  <c r="AK62" i="3"/>
  <c r="Q54" i="3"/>
  <c r="AC91" i="3"/>
  <c r="AH85" i="3"/>
  <c r="AH91" i="3"/>
  <c r="AO55" i="3"/>
  <c r="I90" i="3"/>
  <c r="AN61" i="3"/>
  <c r="U75" i="3"/>
  <c r="V89" i="3"/>
  <c r="AI62" i="3"/>
  <c r="O89" i="3"/>
  <c r="K71" i="3"/>
  <c r="H57" i="3"/>
  <c r="AE71" i="3"/>
  <c r="AH47" i="3"/>
  <c r="R85" i="3"/>
  <c r="X64" i="3"/>
  <c r="N55" i="3"/>
  <c r="Z71" i="3"/>
  <c r="AA67" i="3"/>
  <c r="AC62" i="3"/>
  <c r="AH93" i="3"/>
  <c r="S91" i="3"/>
  <c r="AE87" i="3"/>
  <c r="X72" i="3"/>
  <c r="AQ93" i="3"/>
  <c r="O86" i="3"/>
  <c r="AO68" i="3"/>
  <c r="I54" i="3"/>
  <c r="AQ82" i="3"/>
  <c r="Q97" i="3"/>
  <c r="X56" i="3"/>
  <c r="Q89" i="3"/>
  <c r="N70" i="3"/>
  <c r="J75" i="3"/>
  <c r="R49" i="3"/>
  <c r="AQ60" i="3"/>
  <c r="AM63" i="3"/>
  <c r="AI90" i="3"/>
  <c r="J86" i="3"/>
  <c r="AI70" i="3"/>
  <c r="AE85" i="3"/>
  <c r="AC78" i="3"/>
  <c r="M95" i="3"/>
  <c r="X63" i="3"/>
  <c r="AJ57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J58" i="3"/>
  <c r="AA73" i="3"/>
  <c r="AI91" i="3"/>
  <c r="W88" i="3"/>
  <c r="AO91" i="3"/>
  <c r="V59" i="3"/>
  <c r="X74" i="3"/>
  <c r="AO87" i="3"/>
  <c r="O47" i="3"/>
  <c r="Z73" i="3"/>
  <c r="AE79" i="3"/>
  <c r="N85" i="3"/>
  <c r="AC56" i="3"/>
  <c r="AC84" i="3"/>
  <c r="N83" i="3"/>
  <c r="T80" i="3"/>
  <c r="R88" i="3"/>
  <c r="U62" i="3"/>
  <c r="I59" i="3"/>
  <c r="T59" i="3"/>
  <c r="AM97" i="3"/>
  <c r="AL71" i="3"/>
  <c r="T79" i="3"/>
  <c r="O97" i="3"/>
  <c r="AI92" i="3"/>
  <c r="Q69" i="3"/>
  <c r="AC90" i="3"/>
  <c r="N76" i="3"/>
  <c r="W93" i="3"/>
  <c r="AK87" i="3"/>
  <c r="Q50" i="3"/>
  <c r="Q84" i="3"/>
  <c r="K87" i="3"/>
  <c r="R69" i="3"/>
  <c r="T88" i="3"/>
  <c r="L85" i="3"/>
  <c r="T81" i="3"/>
  <c r="AH75" i="3"/>
  <c r="Z69" i="3"/>
  <c r="T85" i="3"/>
  <c r="M90" i="3"/>
  <c r="K70" i="3"/>
  <c r="T68" i="3"/>
  <c r="J60" i="3"/>
  <c r="S93" i="3"/>
  <c r="N89" i="3"/>
  <c r="AA86" i="3"/>
  <c r="AG94" i="3"/>
  <c r="AO92" i="3"/>
  <c r="Y60" i="3"/>
  <c r="T73" i="3"/>
  <c r="S83" i="3"/>
  <c r="AM80" i="3"/>
  <c r="AM47" i="3"/>
  <c r="AE80" i="3"/>
  <c r="L70" i="3"/>
  <c r="AJ72" i="3"/>
  <c r="V56" i="3"/>
  <c r="Q75" i="3"/>
  <c r="Z49" i="3"/>
  <c r="X47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AG87" i="3"/>
  <c r="Z78" i="3"/>
  <c r="Y49" i="3"/>
  <c r="AQ76" i="3"/>
  <c r="N65" i="3"/>
  <c r="I88" i="3"/>
  <c r="AC59" i="3"/>
  <c r="R58" i="3"/>
  <c r="M58" i="3"/>
  <c r="AA71" i="3"/>
  <c r="AK66" i="3"/>
  <c r="R92" i="3"/>
  <c r="AC61" i="3"/>
  <c r="R73" i="3"/>
  <c r="O65" i="3"/>
  <c r="Q91" i="3"/>
  <c r="O49" i="3"/>
  <c r="L89" i="3"/>
  <c r="AI72" i="3"/>
  <c r="P90" i="3"/>
  <c r="M89" i="3"/>
  <c r="AL82" i="3"/>
  <c r="N81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I91" i="3"/>
  <c r="AJ78" i="3"/>
  <c r="Z95" i="3"/>
  <c r="AN87" i="3"/>
  <c r="J67" i="3"/>
  <c r="X87" i="3"/>
  <c r="S64" i="3"/>
  <c r="AM70" i="3"/>
  <c r="T56" i="3"/>
  <c r="AL80" i="3"/>
  <c r="S62" i="3"/>
  <c r="AN86" i="3"/>
  <c r="X57" i="3"/>
  <c r="T48" i="3"/>
  <c r="O77" i="3"/>
  <c r="AC50" i="3"/>
  <c r="Q59" i="3"/>
  <c r="Z67" i="3"/>
  <c r="K73" i="3"/>
  <c r="AL70" i="3"/>
  <c r="AC47" i="3"/>
  <c r="M63" i="3"/>
  <c r="AH65" i="3"/>
  <c r="AM57" i="3"/>
  <c r="I63" i="3"/>
  <c r="AA77" i="3"/>
  <c r="H59" i="3"/>
  <c r="L87" i="3"/>
  <c r="L71" i="3"/>
  <c r="AN93" i="3"/>
  <c r="AA62" i="3"/>
  <c r="AK47" i="3"/>
  <c r="AQ89" i="3"/>
  <c r="I61" i="3"/>
  <c r="AN55" i="3"/>
  <c r="Q83" i="3"/>
  <c r="U55" i="3"/>
  <c r="AJ62" i="3"/>
  <c r="AN56" i="3"/>
  <c r="K95" i="3"/>
  <c r="H56" i="3"/>
  <c r="AQ68" i="3"/>
  <c r="R81" i="3"/>
  <c r="O85" i="3"/>
  <c r="AL97" i="3"/>
  <c r="U49" i="3"/>
  <c r="W79" i="3"/>
  <c r="P84" i="3"/>
  <c r="AH70" i="3"/>
  <c r="AJ50" i="3"/>
  <c r="AJ48" i="3"/>
  <c r="Z65" i="3"/>
  <c r="V67" i="3"/>
  <c r="J59" i="3"/>
  <c r="AM64" i="3"/>
  <c r="M88" i="3"/>
  <c r="AH87" i="3"/>
  <c r="AO80" i="3"/>
  <c r="P72" i="3"/>
  <c r="AM67" i="3"/>
  <c r="AM59" i="3"/>
  <c r="O66" i="3"/>
  <c r="P60" i="3"/>
  <c r="AN96" i="3"/>
  <c r="M87" i="3"/>
  <c r="AN90" i="3"/>
  <c r="Z47" i="3"/>
  <c r="Z92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AE77" i="3"/>
  <c r="AA68" i="3"/>
  <c r="L59" i="3"/>
  <c r="W87" i="3"/>
  <c r="AM86" i="3"/>
  <c r="AQ59" i="3"/>
  <c r="Y86" i="3"/>
  <c r="AI66" i="3"/>
  <c r="V78" i="3"/>
  <c r="J71" i="3"/>
  <c r="Y65" i="3"/>
  <c r="O82" i="3"/>
  <c r="X96" i="3"/>
  <c r="S74" i="3"/>
  <c r="L74" i="3"/>
  <c r="AK84" i="3"/>
  <c r="H83" i="3"/>
  <c r="N63" i="3"/>
  <c r="AJ90" i="3"/>
  <c r="R57" i="3"/>
  <c r="AJ92" i="3"/>
  <c r="U94" i="3"/>
  <c r="J97" i="3"/>
  <c r="AH94" i="3"/>
  <c r="H93" i="3"/>
  <c r="AI89" i="3"/>
  <c r="H76" i="3"/>
  <c r="O95" i="3"/>
  <c r="J56" i="3"/>
  <c r="AC97" i="3"/>
  <c r="AJ67" i="3"/>
  <c r="N96" i="3"/>
  <c r="T55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K65" i="3"/>
  <c r="Y77" i="3"/>
  <c r="I70" i="3"/>
  <c r="AL55" i="3"/>
  <c r="M70" i="3"/>
  <c r="V90" i="3"/>
  <c r="Y68" i="3"/>
  <c r="AQ71" i="3"/>
  <c r="AL48" i="3"/>
  <c r="J84" i="3"/>
  <c r="Y48" i="3"/>
  <c r="AK69" i="3"/>
  <c r="AC83" i="3"/>
  <c r="AA58" i="3"/>
  <c r="AJ95" i="3"/>
  <c r="M67" i="3"/>
  <c r="AN78" i="3"/>
  <c r="M47" i="3"/>
  <c r="S72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V76" i="3"/>
  <c r="AC66" i="3"/>
  <c r="R97" i="3"/>
  <c r="W63" i="3"/>
  <c r="J90" i="3"/>
  <c r="Y64" i="3"/>
  <c r="V61" i="3"/>
  <c r="Y91" i="3"/>
  <c r="N54" i="3"/>
  <c r="AM56" i="3"/>
  <c r="AA63" i="3"/>
  <c r="X76" i="3"/>
  <c r="AK96" i="3"/>
  <c r="L92" i="3"/>
  <c r="Q85" i="3"/>
  <c r="M61" i="3"/>
  <c r="AC82" i="3"/>
  <c r="T49" i="3"/>
  <c r="AA93" i="3"/>
  <c r="U68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I78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AC75" i="3"/>
  <c r="AI88" i="3"/>
  <c r="AO58" i="3"/>
  <c r="Z48" i="3"/>
  <c r="W89" i="3"/>
  <c r="N91" i="3"/>
  <c r="AM91" i="3"/>
  <c r="AN94" i="3"/>
  <c r="AG70" i="3"/>
  <c r="U69" i="3"/>
  <c r="S65" i="3"/>
  <c r="X65" i="3"/>
  <c r="AE56" i="3"/>
  <c r="AN88" i="3"/>
  <c r="L79" i="3"/>
  <c r="K94" i="3"/>
  <c r="O70" i="3"/>
  <c r="AQ66" i="3"/>
  <c r="U93" i="3"/>
  <c r="Q90" i="3"/>
  <c r="L95" i="3"/>
  <c r="AG91" i="3"/>
  <c r="AK95" i="3"/>
  <c r="L61" i="3"/>
  <c r="J68" i="3"/>
  <c r="AA97" i="3"/>
  <c r="AN71" i="3"/>
  <c r="AO73" i="3"/>
  <c r="J87" i="3"/>
  <c r="Z80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AA76" i="3"/>
  <c r="AH77" i="3"/>
  <c r="AI95" i="3"/>
  <c r="O62" i="3"/>
  <c r="S75" i="3"/>
  <c r="Z82" i="3"/>
  <c r="AN67" i="3"/>
  <c r="AA81" i="3"/>
  <c r="AQ95" i="3"/>
  <c r="Z63" i="3"/>
  <c r="AA92" i="3"/>
  <c r="AJ65" i="3"/>
  <c r="X90" i="3"/>
  <c r="AJ54" i="3"/>
  <c r="W81" i="3"/>
  <c r="AH50" i="3"/>
  <c r="AO76" i="3"/>
  <c r="M64" i="3"/>
  <c r="Y74" i="3"/>
  <c r="AN62" i="3"/>
  <c r="N49" i="3"/>
  <c r="AL96" i="3"/>
  <c r="V97" i="3"/>
  <c r="L64" i="3"/>
  <c r="AE69" i="3"/>
  <c r="U84" i="3"/>
  <c r="X86" i="3"/>
  <c r="H67" i="3"/>
  <c r="H55" i="3"/>
  <c r="Z96" i="3"/>
  <c r="S79" i="3"/>
  <c r="AC71" i="3"/>
  <c r="I93" i="3"/>
  <c r="X97" i="3"/>
  <c r="R50" i="3"/>
  <c r="AC65" i="3"/>
  <c r="M76" i="3"/>
  <c r="P47" i="3"/>
  <c r="AI84" i="3"/>
  <c r="AH66" i="3"/>
  <c r="I57" i="3"/>
  <c r="AI57" i="3"/>
  <c r="S95" i="3"/>
  <c r="Y61" i="3"/>
  <c r="Y69" i="3"/>
  <c r="P56" i="3"/>
  <c r="V69" i="3"/>
  <c r="AG71" i="3"/>
  <c r="AE58" i="3"/>
  <c r="P87" i="3"/>
  <c r="T47" i="3"/>
  <c r="AA83" i="3"/>
  <c r="AI54" i="3"/>
  <c r="Q66" i="3"/>
  <c r="P62" i="3"/>
  <c r="O48" i="3"/>
  <c r="N64" i="3"/>
  <c r="AL66" i="3"/>
  <c r="Q64" i="3"/>
  <c r="W96" i="3"/>
  <c r="AI56" i="3"/>
  <c r="J85" i="3"/>
  <c r="I87" i="3"/>
  <c r="H91" i="3"/>
  <c r="Q93" i="3"/>
  <c r="K72" i="3"/>
  <c r="N97" i="3"/>
  <c r="AN48" i="3"/>
  <c r="AC79" i="3"/>
  <c r="AM96" i="3"/>
  <c r="P66" i="3"/>
  <c r="R79" i="3"/>
  <c r="W94" i="3"/>
  <c r="AG83" i="3"/>
  <c r="AH73" i="3"/>
  <c r="AI96" i="3"/>
  <c r="O71" i="3"/>
  <c r="Z54" i="3"/>
  <c r="Q57" i="3"/>
  <c r="W76" i="3"/>
  <c r="U95" i="3"/>
  <c r="P61" i="3"/>
  <c r="W65" i="3"/>
  <c r="AL94" i="3"/>
  <c r="AQ92" i="3"/>
  <c r="AA91" i="3"/>
  <c r="I86" i="3"/>
  <c r="V66" i="3"/>
  <c r="Y90" i="3"/>
  <c r="V57" i="3"/>
  <c r="AH71" i="3"/>
  <c r="AJ82" i="3"/>
  <c r="M59" i="3"/>
  <c r="AG90" i="3"/>
  <c r="AH84" i="3"/>
  <c r="S84" i="3"/>
  <c r="L84" i="3"/>
  <c r="AK85" i="3"/>
  <c r="AE55" i="3"/>
  <c r="Y94" i="3"/>
  <c r="AJ74" i="3"/>
  <c r="O57" i="3"/>
  <c r="Z97" i="3"/>
  <c r="Z72" i="3"/>
  <c r="J70" i="3"/>
  <c r="AN89" i="3"/>
  <c r="AH79" i="3"/>
  <c r="R47" i="3"/>
  <c r="Z57" i="3"/>
  <c r="AJ76" i="3"/>
  <c r="J73" i="3"/>
  <c r="AJ81" i="3"/>
  <c r="T58" i="3"/>
  <c r="AI68" i="3"/>
  <c r="K80" i="3"/>
  <c r="M69" i="3"/>
  <c r="Y63" i="3"/>
  <c r="T75" i="3"/>
  <c r="R78" i="3"/>
  <c r="Z68" i="3"/>
  <c r="O92" i="3"/>
  <c r="AC69" i="3"/>
  <c r="AL67" i="3" l="1"/>
  <c r="AL81" i="3"/>
  <c r="BR144" i="1" s="1"/>
  <c r="S78" i="3"/>
  <c r="S57" i="3"/>
  <c r="K50" i="3"/>
  <c r="AQ74" i="1" s="1"/>
  <c r="K67" i="3"/>
  <c r="AG63" i="3"/>
  <c r="AG48" i="3"/>
  <c r="BP8" i="1"/>
  <c r="BP231" i="1" s="1"/>
  <c r="BE22" i="1"/>
  <c r="AT25" i="1"/>
  <c r="BK14" i="1"/>
  <c r="BG24" i="1"/>
  <c r="BI15" i="1"/>
  <c r="BP51" i="1"/>
  <c r="BM14" i="1"/>
  <c r="AQ14" i="1"/>
  <c r="AQ23" i="1"/>
  <c r="AS32" i="1"/>
  <c r="BS13" i="1"/>
  <c r="AO9" i="1"/>
  <c r="BJ47" i="1"/>
  <c r="BH46" i="1"/>
  <c r="BN45" i="1"/>
  <c r="BG13" i="1"/>
  <c r="BV25" i="1"/>
  <c r="BU35" i="1"/>
  <c r="AZ23" i="1"/>
  <c r="AU8" i="1"/>
  <c r="AU231" i="1" s="1"/>
  <c r="AI21" i="1"/>
  <c r="BH150" i="1"/>
  <c r="BI150" i="1" s="1"/>
  <c r="BD8" i="1"/>
  <c r="BU8" i="1"/>
  <c r="BU231" i="1" s="1"/>
  <c r="AQ9" i="1"/>
  <c r="AZ24" i="1"/>
  <c r="BW9" i="1"/>
  <c r="AR46" i="1"/>
  <c r="BW15" i="1"/>
  <c r="BJ73" i="1"/>
  <c r="BJ35" i="1"/>
  <c r="AX20" i="1"/>
  <c r="AN39" i="1"/>
  <c r="AI25" i="1"/>
  <c r="BQ35" i="1"/>
  <c r="AX15" i="1"/>
  <c r="BK20" i="1"/>
  <c r="AZ51" i="1"/>
  <c r="AZ39" i="1"/>
  <c r="BE13" i="1"/>
  <c r="BT15" i="1"/>
  <c r="BU46" i="1"/>
  <c r="BA13" i="1"/>
  <c r="AR24" i="1"/>
  <c r="BW51" i="1"/>
  <c r="BR45" i="1"/>
  <c r="BC15" i="1"/>
  <c r="BM8" i="1"/>
  <c r="AP24" i="1"/>
  <c r="BM47" i="1"/>
  <c r="AP25" i="1"/>
  <c r="BP20" i="1"/>
  <c r="BO21" i="1"/>
  <c r="BU51" i="1"/>
  <c r="AT35" i="1"/>
  <c r="BJ51" i="1"/>
  <c r="BB22" i="1"/>
  <c r="AQ15" i="1"/>
  <c r="BE14" i="1"/>
  <c r="BV51" i="1"/>
  <c r="BQ23" i="1"/>
  <c r="BN36" i="1"/>
  <c r="AW32" i="1"/>
  <c r="AW194" i="1" s="1"/>
  <c r="BG35" i="1"/>
  <c r="AZ14" i="1"/>
  <c r="AU15" i="1"/>
  <c r="BG22" i="1"/>
  <c r="AS35" i="1"/>
  <c r="BN21" i="1"/>
  <c r="BN35" i="1"/>
  <c r="C118" i="1"/>
  <c r="AT8" i="1"/>
  <c r="AO14" i="1"/>
  <c r="BK35" i="1"/>
  <c r="BU20" i="1"/>
  <c r="AR25" i="1"/>
  <c r="AV20" i="1"/>
  <c r="BW14" i="1"/>
  <c r="AR35" i="1"/>
  <c r="AR23" i="1"/>
  <c r="BP24" i="1"/>
  <c r="BM32" i="1"/>
  <c r="AX46" i="1"/>
  <c r="T133" i="1"/>
  <c r="AT15" i="1"/>
  <c r="BB46" i="1"/>
  <c r="AS25" i="1"/>
  <c r="AY25" i="1"/>
  <c r="BO23" i="1"/>
  <c r="AV23" i="1"/>
  <c r="AO21" i="1"/>
  <c r="AM45" i="1"/>
  <c r="AT21" i="1"/>
  <c r="AJ73" i="1"/>
  <c r="BI46" i="1"/>
  <c r="AW51" i="1"/>
  <c r="BS32" i="1"/>
  <c r="BS194" i="1" s="1"/>
  <c r="BA39" i="1"/>
  <c r="BR25" i="1"/>
  <c r="BB8" i="1"/>
  <c r="BG23" i="1"/>
  <c r="BE35" i="1"/>
  <c r="BD39" i="1"/>
  <c r="BR24" i="1"/>
  <c r="BI36" i="1"/>
  <c r="BV32" i="1"/>
  <c r="BV194" i="1" s="1"/>
  <c r="BD20" i="1"/>
  <c r="BV35" i="1"/>
  <c r="AM51" i="1"/>
  <c r="D145" i="1"/>
  <c r="D180" i="1" s="1"/>
  <c r="AP15" i="1"/>
  <c r="BB21" i="1"/>
  <c r="BI13" i="1"/>
  <c r="BB32" i="1"/>
  <c r="BB194" i="1" s="1"/>
  <c r="BV39" i="1"/>
  <c r="AV32" i="1"/>
  <c r="AV194" i="1" s="1"/>
  <c r="AR14" i="1"/>
  <c r="BR21" i="1"/>
  <c r="AZ22" i="1"/>
  <c r="AP39" i="1"/>
  <c r="AO23" i="1"/>
  <c r="AS8" i="1"/>
  <c r="AS231" i="1" s="1"/>
  <c r="BU36" i="1"/>
  <c r="AZ20" i="1"/>
  <c r="BH14" i="1"/>
  <c r="AU20" i="1"/>
  <c r="BS14" i="1"/>
  <c r="I137" i="1"/>
  <c r="AR13" i="1"/>
  <c r="BQ36" i="1"/>
  <c r="BQ20" i="1"/>
  <c r="AQ32" i="1"/>
  <c r="AI46" i="1"/>
  <c r="BA21" i="1"/>
  <c r="BE39" i="1"/>
  <c r="BD21" i="1"/>
  <c r="BD51" i="1"/>
  <c r="BK24" i="1"/>
  <c r="AW15" i="1"/>
  <c r="AQ47" i="1"/>
  <c r="AP47" i="1"/>
  <c r="BG32" i="1"/>
  <c r="BG194" i="1" s="1"/>
  <c r="BB23" i="1"/>
  <c r="AY24" i="1"/>
  <c r="BR35" i="1"/>
  <c r="AV47" i="1"/>
  <c r="AN47" i="1"/>
  <c r="AY8" i="1"/>
  <c r="AW24" i="1"/>
  <c r="BF9" i="1"/>
  <c r="BU21" i="1"/>
  <c r="BA35" i="1"/>
  <c r="AN13" i="1"/>
  <c r="BB15" i="1"/>
  <c r="BO32" i="1"/>
  <c r="BO194" i="1" s="1"/>
  <c r="AX9" i="1"/>
  <c r="AM46" i="1"/>
  <c r="BH133" i="1"/>
  <c r="G172" i="1"/>
  <c r="BN8" i="1"/>
  <c r="BP39" i="1"/>
  <c r="BB24" i="1"/>
  <c r="BD25" i="1"/>
  <c r="AP23" i="1"/>
  <c r="BD15" i="1"/>
  <c r="BP13" i="1"/>
  <c r="AI13" i="1"/>
  <c r="AO15" i="1"/>
  <c r="AU23" i="1"/>
  <c r="AI39" i="1"/>
  <c r="BE23" i="1"/>
  <c r="BT13" i="1"/>
  <c r="BR8" i="1"/>
  <c r="BR231" i="1" s="1"/>
  <c r="BN32" i="1"/>
  <c r="BN253" i="1" s="1"/>
  <c r="AV39" i="1"/>
  <c r="BP15" i="1"/>
  <c r="AV46" i="1"/>
  <c r="BU15" i="1"/>
  <c r="AV8" i="1"/>
  <c r="AV231" i="1" s="1"/>
  <c r="BU23" i="1"/>
  <c r="BT14" i="1"/>
  <c r="BV164" i="1"/>
  <c r="BW164" i="1" s="1"/>
  <c r="B146" i="1"/>
  <c r="AV14" i="1"/>
  <c r="AY13" i="1"/>
  <c r="AR45" i="1"/>
  <c r="BB51" i="1"/>
  <c r="AT14" i="1"/>
  <c r="AZ25" i="1"/>
  <c r="BE51" i="1"/>
  <c r="AW22" i="1"/>
  <c r="BQ8" i="1"/>
  <c r="BP46" i="1"/>
  <c r="BQ51" i="1"/>
  <c r="AV15" i="1"/>
  <c r="AO8" i="1"/>
  <c r="AO253" i="1" s="1"/>
  <c r="AY35" i="1"/>
  <c r="AX32" i="1"/>
  <c r="AX194" i="1" s="1"/>
  <c r="AI45" i="1"/>
  <c r="AX21" i="1"/>
  <c r="BT36" i="1"/>
  <c r="M132" i="1"/>
  <c r="AY36" i="1"/>
  <c r="AY252" i="1" s="1"/>
  <c r="AT36" i="1"/>
  <c r="AT252" i="1" s="1"/>
  <c r="BM46" i="1"/>
  <c r="BW21" i="1"/>
  <c r="BA20" i="1"/>
  <c r="AZ8" i="1"/>
  <c r="AW25" i="1"/>
  <c r="AS22" i="1"/>
  <c r="BT24" i="1"/>
  <c r="AI15" i="1"/>
  <c r="BW32" i="1"/>
  <c r="AW21" i="1"/>
  <c r="BA51" i="1"/>
  <c r="AU14" i="1"/>
  <c r="BA25" i="1"/>
  <c r="BW24" i="1"/>
  <c r="AP35" i="1"/>
  <c r="BN39" i="1"/>
  <c r="BT23" i="1"/>
  <c r="BK25" i="1"/>
  <c r="BH13" i="1"/>
  <c r="M137" i="1"/>
  <c r="BM15" i="1"/>
  <c r="AY32" i="1"/>
  <c r="AY194" i="1" s="1"/>
  <c r="BN25" i="1"/>
  <c r="BV22" i="1"/>
  <c r="BQ24" i="1"/>
  <c r="AR22" i="1"/>
  <c r="BT47" i="1"/>
  <c r="BW20" i="1"/>
  <c r="BW13" i="1"/>
  <c r="BC36" i="1"/>
  <c r="BT25" i="1"/>
  <c r="BF51" i="1"/>
  <c r="AW14" i="1"/>
  <c r="BS45" i="1"/>
  <c r="BA46" i="1"/>
  <c r="AN20" i="1"/>
  <c r="BI47" i="1"/>
  <c r="AS14" i="1"/>
  <c r="AV21" i="1"/>
  <c r="BC46" i="1"/>
  <c r="BI35" i="1"/>
  <c r="BM13" i="1"/>
  <c r="AS36" i="1"/>
  <c r="AS252" i="1" s="1"/>
  <c r="BH135" i="1"/>
  <c r="BI135" i="1" s="1"/>
  <c r="BQ32" i="1"/>
  <c r="BN14" i="1"/>
  <c r="AW13" i="1"/>
  <c r="BS8" i="1"/>
  <c r="BJ45" i="1"/>
  <c r="BI24" i="1"/>
  <c r="BR15" i="1"/>
  <c r="BD35" i="1"/>
  <c r="BG47" i="1"/>
  <c r="BC23" i="1"/>
  <c r="AP46" i="1"/>
  <c r="AS23" i="1"/>
  <c r="AY9" i="1"/>
  <c r="AY10" i="1" s="1"/>
  <c r="BO47" i="1"/>
  <c r="BV46" i="1"/>
  <c r="AQ45" i="1"/>
  <c r="AW9" i="1"/>
  <c r="BG46" i="1"/>
  <c r="AI47" i="1"/>
  <c r="AP13" i="1"/>
  <c r="BI45" i="1"/>
  <c r="BB35" i="1"/>
  <c r="AQ20" i="1"/>
  <c r="BU47" i="1"/>
  <c r="BB9" i="1"/>
  <c r="BB10" i="1" s="1"/>
  <c r="BN9" i="1"/>
  <c r="BN10" i="1" s="1"/>
  <c r="BM39" i="1"/>
  <c r="BD9" i="1"/>
  <c r="BD10" i="1" s="1"/>
  <c r="AN14" i="1"/>
  <c r="AI20" i="1"/>
  <c r="BH21" i="1"/>
  <c r="BB13" i="1"/>
  <c r="BS25" i="1"/>
  <c r="BK47" i="1"/>
  <c r="BM23" i="1"/>
  <c r="BO39" i="1"/>
  <c r="BR23" i="1"/>
  <c r="BW46" i="1"/>
  <c r="BC9" i="1"/>
  <c r="BC10" i="1" s="1"/>
  <c r="BW36" i="1"/>
  <c r="BS46" i="1"/>
  <c r="BR32" i="1"/>
  <c r="AW8" i="1"/>
  <c r="BJ36" i="1"/>
  <c r="BJ252" i="1" s="1"/>
  <c r="AU13" i="1"/>
  <c r="BF39" i="1"/>
  <c r="BC13" i="1"/>
  <c r="BR51" i="1"/>
  <c r="AZ47" i="1"/>
  <c r="AZ32" i="1"/>
  <c r="BM24" i="1"/>
  <c r="BJ74" i="1"/>
  <c r="BV163" i="1"/>
  <c r="BW163" i="1" s="1"/>
  <c r="AQ21" i="1"/>
  <c r="BC21" i="1"/>
  <c r="BG9" i="1"/>
  <c r="BG10" i="1" s="1"/>
  <c r="AY39" i="1"/>
  <c r="BE47" i="1"/>
  <c r="BP47" i="1"/>
  <c r="AI23" i="1"/>
  <c r="AI26" i="1" s="1"/>
  <c r="BS21" i="1"/>
  <c r="BO9" i="1"/>
  <c r="AV35" i="1"/>
  <c r="AX13" i="1"/>
  <c r="AT51" i="1"/>
  <c r="BK9" i="1"/>
  <c r="BO51" i="1"/>
  <c r="AN25" i="1"/>
  <c r="BH47" i="1"/>
  <c r="BW22" i="1"/>
  <c r="BQ45" i="1"/>
  <c r="AX23" i="1"/>
  <c r="BA32" i="1"/>
  <c r="BM22" i="1"/>
  <c r="AQ51" i="1"/>
  <c r="BB36" i="1"/>
  <c r="BB252" i="1" s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AV252" i="1" s="1"/>
  <c r="BD45" i="1"/>
  <c r="AS15" i="1"/>
  <c r="BE8" i="1"/>
  <c r="BN22" i="1"/>
  <c r="BH147" i="1"/>
  <c r="BI147" i="1" s="1"/>
  <c r="BV140" i="1"/>
  <c r="BH125" i="1"/>
  <c r="BI125" i="1" s="1"/>
  <c r="BH143" i="1"/>
  <c r="BI143" i="1" s="1"/>
  <c r="BH118" i="1"/>
  <c r="BI118" i="1" s="1"/>
  <c r="BH160" i="1"/>
  <c r="K160" i="1"/>
  <c r="L118" i="1"/>
  <c r="P150" i="1"/>
  <c r="T78" i="1"/>
  <c r="J145" i="1"/>
  <c r="J180" i="1" s="1"/>
  <c r="S163" i="1"/>
  <c r="E122" i="1"/>
  <c r="P149" i="1"/>
  <c r="R127" i="1"/>
  <c r="P135" i="1"/>
  <c r="P131" i="1" s="1"/>
  <c r="B172" i="1"/>
  <c r="U124" i="1"/>
  <c r="C140" i="1"/>
  <c r="F67" i="1"/>
  <c r="S136" i="1"/>
  <c r="S118" i="1"/>
  <c r="E74" i="1"/>
  <c r="H163" i="1"/>
  <c r="W147" i="1"/>
  <c r="C159" i="1"/>
  <c r="C161" i="1" s="1"/>
  <c r="F170" i="1"/>
  <c r="H150" i="1"/>
  <c r="V144" i="1"/>
  <c r="V179" i="1" s="1"/>
  <c r="F163" i="1"/>
  <c r="B164" i="1"/>
  <c r="M146" i="1"/>
  <c r="B159" i="1"/>
  <c r="C145" i="1"/>
  <c r="C180" i="1" s="1"/>
  <c r="D136" i="1"/>
  <c r="F136" i="1"/>
  <c r="N136" i="1"/>
  <c r="N171" i="1"/>
  <c r="BI23" i="1"/>
  <c r="BU39" i="1"/>
  <c r="AP22" i="1"/>
  <c r="AO46" i="1"/>
  <c r="BS9" i="1"/>
  <c r="BH8" i="1"/>
  <c r="AN46" i="1"/>
  <c r="AR47" i="1"/>
  <c r="BW35" i="1"/>
  <c r="AR32" i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AW45" i="1"/>
  <c r="BV132" i="1"/>
  <c r="BH145" i="1"/>
  <c r="BV119" i="1"/>
  <c r="BV142" i="1"/>
  <c r="BW142" i="1" s="1"/>
  <c r="B132" i="1"/>
  <c r="E137" i="1"/>
  <c r="S67" i="1"/>
  <c r="O122" i="1"/>
  <c r="F150" i="1"/>
  <c r="T170" i="1"/>
  <c r="F133" i="1"/>
  <c r="F137" i="1"/>
  <c r="T67" i="1"/>
  <c r="T135" i="1"/>
  <c r="T131" i="1" s="1"/>
  <c r="B160" i="1"/>
  <c r="L132" i="1"/>
  <c r="J73" i="1"/>
  <c r="F153" i="1"/>
  <c r="F183" i="1" s="1"/>
  <c r="G118" i="1"/>
  <c r="K147" i="1"/>
  <c r="E78" i="1"/>
  <c r="M119" i="1"/>
  <c r="J142" i="1"/>
  <c r="S125" i="1"/>
  <c r="J171" i="1"/>
  <c r="B163" i="1"/>
  <c r="D151" i="1"/>
  <c r="AP51" i="1"/>
  <c r="BE15" i="1"/>
  <c r="BS22" i="1"/>
  <c r="BK45" i="1"/>
  <c r="BD46" i="1"/>
  <c r="BA24" i="1"/>
  <c r="BG36" i="1"/>
  <c r="BF8" i="1"/>
  <c r="AX36" i="1"/>
  <c r="BV13" i="1"/>
  <c r="BS20" i="1"/>
  <c r="AX39" i="1"/>
  <c r="BV74" i="1"/>
  <c r="BV154" i="1"/>
  <c r="BW154" i="1" s="1"/>
  <c r="BH140" i="1"/>
  <c r="BH119" i="1"/>
  <c r="J133" i="1"/>
  <c r="J77" i="1"/>
  <c r="L137" i="1"/>
  <c r="R118" i="1"/>
  <c r="H159" i="1"/>
  <c r="C127" i="1"/>
  <c r="Q78" i="1"/>
  <c r="N151" i="1"/>
  <c r="I145" i="1"/>
  <c r="I180" i="1" s="1"/>
  <c r="I125" i="1"/>
  <c r="T77" i="1"/>
  <c r="E133" i="1"/>
  <c r="L117" i="1"/>
  <c r="E125" i="1"/>
  <c r="T159" i="1"/>
  <c r="O133" i="1"/>
  <c r="H171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I24" i="1"/>
  <c r="BC8" i="1"/>
  <c r="BC231" i="1" s="1"/>
  <c r="BK51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O194" i="1" s="1"/>
  <c r="AK73" i="1"/>
  <c r="AT47" i="1"/>
  <c r="BI25" i="1"/>
  <c r="BV149" i="1"/>
  <c r="BW149" i="1" s="1"/>
  <c r="BH152" i="1"/>
  <c r="BI152" i="1" s="1"/>
  <c r="BV117" i="1"/>
  <c r="B126" i="1"/>
  <c r="B154" i="1" s="1"/>
  <c r="R133" i="1"/>
  <c r="D125" i="1"/>
  <c r="F160" i="1"/>
  <c r="K118" i="1"/>
  <c r="D143" i="1"/>
  <c r="U136" i="1"/>
  <c r="U145" i="1"/>
  <c r="U180" i="1" s="1"/>
  <c r="I163" i="1"/>
  <c r="G136" i="1"/>
  <c r="R151" i="1"/>
  <c r="E127" i="1"/>
  <c r="L159" i="1"/>
  <c r="F132" i="1"/>
  <c r="W144" i="1"/>
  <c r="M151" i="1"/>
  <c r="H127" i="1"/>
  <c r="C79" i="1"/>
  <c r="AS51" i="1"/>
  <c r="BT51" i="1"/>
  <c r="BF25" i="1"/>
  <c r="BM9" i="1"/>
  <c r="BW47" i="1"/>
  <c r="BF22" i="1"/>
  <c r="AR21" i="1"/>
  <c r="BU14" i="1"/>
  <c r="AV24" i="1"/>
  <c r="BA23" i="1"/>
  <c r="BA36" i="1"/>
  <c r="AQ13" i="1"/>
  <c r="BJ22" i="1"/>
  <c r="BJ26" i="1" s="1"/>
  <c r="BM45" i="1"/>
  <c r="AQ8" i="1"/>
  <c r="AQ231" i="1" s="1"/>
  <c r="BT39" i="1"/>
  <c r="AO25" i="1"/>
  <c r="BV21" i="1"/>
  <c r="AZ15" i="1"/>
  <c r="BI21" i="1"/>
  <c r="AN51" i="1"/>
  <c r="BO45" i="1"/>
  <c r="BR20" i="1"/>
  <c r="AX8" i="1"/>
  <c r="BG8" i="1"/>
  <c r="BN15" i="1"/>
  <c r="AI36" i="1"/>
  <c r="AI37" i="1" s="1"/>
  <c r="BV8" i="1"/>
  <c r="BV231" i="1" s="1"/>
  <c r="AS9" i="1"/>
  <c r="AS10" i="1" s="1"/>
  <c r="AY45" i="1"/>
  <c r="BN51" i="1"/>
  <c r="BW25" i="1"/>
  <c r="AT45" i="1"/>
  <c r="AQ39" i="1"/>
  <c r="BJ32" i="1"/>
  <c r="AS39" i="1"/>
  <c r="BH9" i="1"/>
  <c r="BQ22" i="1"/>
  <c r="AR36" i="1"/>
  <c r="BF13" i="1"/>
  <c r="AP20" i="1"/>
  <c r="AN21" i="1"/>
  <c r="AN45" i="1"/>
  <c r="BV73" i="1"/>
  <c r="AI73" i="1"/>
  <c r="BH163" i="1"/>
  <c r="BI163" i="1" s="1"/>
  <c r="BH127" i="1"/>
  <c r="BI127" i="1" s="1"/>
  <c r="D118" i="1"/>
  <c r="N124" i="1"/>
  <c r="H143" i="1"/>
  <c r="W153" i="1"/>
  <c r="F144" i="1"/>
  <c r="F179" i="1" s="1"/>
  <c r="J143" i="1"/>
  <c r="O151" i="1"/>
  <c r="K77" i="1"/>
  <c r="G132" i="1"/>
  <c r="S73" i="1"/>
  <c r="R164" i="1"/>
  <c r="O135" i="1"/>
  <c r="O131" i="1" s="1"/>
  <c r="S78" i="1"/>
  <c r="F124" i="1"/>
  <c r="BT20" i="1"/>
  <c r="BI22" i="1"/>
  <c r="AZ9" i="1"/>
  <c r="BG20" i="1"/>
  <c r="BO46" i="1"/>
  <c r="BU25" i="1"/>
  <c r="BT32" i="1"/>
  <c r="BT253" i="1" s="1"/>
  <c r="AY47" i="1"/>
  <c r="BR14" i="1"/>
  <c r="BK39" i="1"/>
  <c r="BQ13" i="1"/>
  <c r="AQ25" i="1"/>
  <c r="AO45" i="1"/>
  <c r="BM25" i="1"/>
  <c r="BU13" i="1"/>
  <c r="BN13" i="1"/>
  <c r="AO39" i="1"/>
  <c r="AV22" i="1"/>
  <c r="BT21" i="1"/>
  <c r="BT26" i="1" s="1"/>
  <c r="AI51" i="1"/>
  <c r="AO36" i="1"/>
  <c r="AO252" i="1" s="1"/>
  <c r="BA14" i="1"/>
  <c r="BT45" i="1"/>
  <c r="BP23" i="1"/>
  <c r="AT9" i="1"/>
  <c r="AT10" i="1" s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AU194" i="1" s="1"/>
  <c r="BU24" i="1"/>
  <c r="AU22" i="1"/>
  <c r="AZ36" i="1"/>
  <c r="AZ252" i="1" s="1"/>
  <c r="AX25" i="1"/>
  <c r="AI32" i="1"/>
  <c r="BH151" i="1"/>
  <c r="BI151" i="1" s="1"/>
  <c r="BV152" i="1"/>
  <c r="BW152" i="1" s="1"/>
  <c r="BV125" i="1"/>
  <c r="BW125" i="1" s="1"/>
  <c r="BH155" i="1"/>
  <c r="BI155" i="1" s="1"/>
  <c r="BV133" i="1"/>
  <c r="K164" i="1"/>
  <c r="L124" i="1"/>
  <c r="L79" i="1"/>
  <c r="G144" i="1"/>
  <c r="G179" i="1" s="1"/>
  <c r="V151" i="1"/>
  <c r="O145" i="1"/>
  <c r="O180" i="1" s="1"/>
  <c r="V146" i="1"/>
  <c r="I122" i="1"/>
  <c r="O155" i="1"/>
  <c r="H67" i="1"/>
  <c r="L136" i="1"/>
  <c r="W119" i="1"/>
  <c r="N146" i="1"/>
  <c r="I135" i="1"/>
  <c r="I131" i="1" s="1"/>
  <c r="B151" i="1"/>
  <c r="H118" i="1"/>
  <c r="H120" i="1" s="1"/>
  <c r="I126" i="1"/>
  <c r="I154" i="1" s="1"/>
  <c r="K127" i="1"/>
  <c r="V164" i="1"/>
  <c r="D77" i="1"/>
  <c r="AU25" i="1"/>
  <c r="AR8" i="1"/>
  <c r="AU46" i="1"/>
  <c r="BD24" i="1"/>
  <c r="BD26" i="1" s="1"/>
  <c r="BD13" i="1"/>
  <c r="AN15" i="1"/>
  <c r="BW8" i="1"/>
  <c r="AW46" i="1"/>
  <c r="BU9" i="1"/>
  <c r="BU10" i="1" s="1"/>
  <c r="BC22" i="1"/>
  <c r="AU21" i="1"/>
  <c r="BF45" i="1"/>
  <c r="AS45" i="1"/>
  <c r="BI9" i="1"/>
  <c r="BI10" i="1" s="1"/>
  <c r="BR9" i="1"/>
  <c r="BR10" i="1" s="1"/>
  <c r="BO14" i="1"/>
  <c r="AZ35" i="1"/>
  <c r="BH154" i="1"/>
  <c r="BI154" i="1" s="1"/>
  <c r="BH73" i="1"/>
  <c r="BV145" i="1"/>
  <c r="BV180" i="1" s="1"/>
  <c r="BW180" i="1" s="1"/>
  <c r="BV143" i="1"/>
  <c r="BW143" i="1" s="1"/>
  <c r="BH126" i="1"/>
  <c r="BI126" i="1" s="1"/>
  <c r="BH159" i="1"/>
  <c r="BH153" i="1"/>
  <c r="M124" i="1"/>
  <c r="F164" i="1"/>
  <c r="S132" i="1"/>
  <c r="C78" i="1"/>
  <c r="B171" i="1"/>
  <c r="O125" i="1"/>
  <c r="C136" i="1"/>
  <c r="C77" i="1"/>
  <c r="J170" i="1"/>
  <c r="P142" i="1"/>
  <c r="L150" i="1"/>
  <c r="O172" i="1"/>
  <c r="P147" i="1"/>
  <c r="W151" i="1"/>
  <c r="L73" i="1"/>
  <c r="L135" i="1"/>
  <c r="L131" i="1" s="1"/>
  <c r="W79" i="1"/>
  <c r="J151" i="1"/>
  <c r="BC39" i="1"/>
  <c r="BO22" i="1"/>
  <c r="BJ9" i="1"/>
  <c r="BJ10" i="1" s="1"/>
  <c r="BJ16" i="1" s="1"/>
  <c r="BJ17" i="1" s="1"/>
  <c r="BM21" i="1"/>
  <c r="BK22" i="1"/>
  <c r="BK26" i="1" s="1"/>
  <c r="BO20" i="1"/>
  <c r="BO26" i="1" s="1"/>
  <c r="BD14" i="1"/>
  <c r="BE21" i="1"/>
  <c r="BK13" i="1"/>
  <c r="BA22" i="1"/>
  <c r="BO8" i="1"/>
  <c r="AN9" i="1"/>
  <c r="BH124" i="1"/>
  <c r="BI124" i="1" s="1"/>
  <c r="BV118" i="1"/>
  <c r="BH142" i="1"/>
  <c r="BI142" i="1" s="1"/>
  <c r="BH122" i="1"/>
  <c r="BI122" i="1" s="1"/>
  <c r="T74" i="1"/>
  <c r="W170" i="1"/>
  <c r="V73" i="1"/>
  <c r="Q149" i="1"/>
  <c r="W73" i="1"/>
  <c r="O127" i="1"/>
  <c r="G122" i="1"/>
  <c r="M153" i="1"/>
  <c r="M183" i="1" s="1"/>
  <c r="M140" i="1"/>
  <c r="T119" i="1"/>
  <c r="V122" i="1"/>
  <c r="G137" i="1"/>
  <c r="T172" i="1"/>
  <c r="K133" i="1"/>
  <c r="C171" i="1"/>
  <c r="Q147" i="1"/>
  <c r="R172" i="1"/>
  <c r="C146" i="1"/>
  <c r="E171" i="1"/>
  <c r="D171" i="1"/>
  <c r="BH24" i="1"/>
  <c r="BA9" i="1"/>
  <c r="BJ39" i="1"/>
  <c r="BM36" i="1"/>
  <c r="BM252" i="1" s="1"/>
  <c r="BQ25" i="1"/>
  <c r="AX14" i="1"/>
  <c r="BH20" i="1"/>
  <c r="BH26" i="1" s="1"/>
  <c r="AS20" i="1"/>
  <c r="BR46" i="1"/>
  <c r="BW45" i="1"/>
  <c r="BF20" i="1"/>
  <c r="BM20" i="1"/>
  <c r="BE24" i="1"/>
  <c r="BG39" i="1"/>
  <c r="BB47" i="1"/>
  <c r="AX45" i="1"/>
  <c r="BI14" i="1"/>
  <c r="BC35" i="1"/>
  <c r="AP8" i="1"/>
  <c r="AP231" i="1" s="1"/>
  <c r="BN47" i="1"/>
  <c r="BC51" i="1"/>
  <c r="BQ46" i="1"/>
  <c r="BP25" i="1"/>
  <c r="BU32" i="1"/>
  <c r="BS35" i="1"/>
  <c r="AM73" i="1"/>
  <c r="AN24" i="1"/>
  <c r="AI8" i="1"/>
  <c r="BP14" i="1"/>
  <c r="BK32" i="1"/>
  <c r="AT32" i="1"/>
  <c r="AT39" i="1"/>
  <c r="BA8" i="1"/>
  <c r="AJ74" i="1"/>
  <c r="AX51" i="1"/>
  <c r="AQ22" i="1"/>
  <c r="BO35" i="1"/>
  <c r="BN46" i="1"/>
  <c r="BV24" i="1"/>
  <c r="BP9" i="1"/>
  <c r="AR20" i="1"/>
  <c r="AR26" i="1" s="1"/>
  <c r="BR13" i="1"/>
  <c r="AT22" i="1"/>
  <c r="AT46" i="1"/>
  <c r="BB39" i="1"/>
  <c r="AV9" i="1"/>
  <c r="BK15" i="1"/>
  <c r="AP36" i="1"/>
  <c r="BG21" i="1"/>
  <c r="BQ21" i="1"/>
  <c r="BE45" i="1"/>
  <c r="AZ45" i="1"/>
  <c r="BN24" i="1"/>
  <c r="BS15" i="1"/>
  <c r="BK36" i="1"/>
  <c r="AO20" i="1"/>
  <c r="BS36" i="1"/>
  <c r="BP36" i="1"/>
  <c r="BP252" i="1" s="1"/>
  <c r="BW39" i="1"/>
  <c r="AU35" i="1"/>
  <c r="AS46" i="1"/>
  <c r="BH137" i="1"/>
  <c r="BI137" i="1" s="1"/>
  <c r="BH149" i="1"/>
  <c r="BI149" i="1" s="1"/>
  <c r="BH117" i="1"/>
  <c r="BI117" i="1" s="1"/>
  <c r="BV124" i="1"/>
  <c r="BW124" i="1" s="1"/>
  <c r="BV150" i="1"/>
  <c r="BV160" i="1"/>
  <c r="BH131" i="1"/>
  <c r="U146" i="1"/>
  <c r="B79" i="1"/>
  <c r="D160" i="1"/>
  <c r="D126" i="1"/>
  <c r="D154" i="1" s="1"/>
  <c r="W160" i="1"/>
  <c r="F118" i="1"/>
  <c r="N137" i="1"/>
  <c r="V135" i="1"/>
  <c r="V131" i="1" s="1"/>
  <c r="D74" i="1"/>
  <c r="V67" i="1"/>
  <c r="W126" i="1"/>
  <c r="W154" i="1" s="1"/>
  <c r="M163" i="1"/>
  <c r="F127" i="1"/>
  <c r="B145" i="1"/>
  <c r="B180" i="1" s="1"/>
  <c r="P159" i="1"/>
  <c r="P161" i="1" s="1"/>
  <c r="Q209" i="1" s="1"/>
  <c r="U144" i="1"/>
  <c r="U179" i="1" s="1"/>
  <c r="S159" i="1"/>
  <c r="C142" i="1"/>
  <c r="C170" i="1"/>
  <c r="BS51" i="1"/>
  <c r="AW36" i="1"/>
  <c r="AQ36" i="1"/>
  <c r="AY23" i="1"/>
  <c r="BP22" i="1"/>
  <c r="BF21" i="1"/>
  <c r="AU45" i="1"/>
  <c r="BS24" i="1"/>
  <c r="BF23" i="1"/>
  <c r="BQ47" i="1"/>
  <c r="AT20" i="1"/>
  <c r="AP32" i="1"/>
  <c r="AP194" i="1" s="1"/>
  <c r="BG25" i="1"/>
  <c r="BK46" i="1"/>
  <c r="BE46" i="1"/>
  <c r="BT22" i="1"/>
  <c r="AI9" i="1"/>
  <c r="BR47" i="1"/>
  <c r="AR51" i="1"/>
  <c r="BR39" i="1"/>
  <c r="AN35" i="1"/>
  <c r="AP9" i="1"/>
  <c r="BF35" i="1"/>
  <c r="AU47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AW39" i="1"/>
  <c r="BO13" i="1"/>
  <c r="BF14" i="1"/>
  <c r="BD32" i="1"/>
  <c r="AY46" i="1"/>
  <c r="BG14" i="1"/>
  <c r="BO15" i="1"/>
  <c r="AN23" i="1"/>
  <c r="AO35" i="1"/>
  <c r="AV13" i="1"/>
  <c r="BM51" i="1"/>
  <c r="AY20" i="1"/>
  <c r="BC32" i="1"/>
  <c r="AZ21" i="1"/>
  <c r="AI35" i="1"/>
  <c r="BH164" i="1"/>
  <c r="BI164" i="1" s="1"/>
  <c r="BH132" i="1"/>
  <c r="BV159" i="1"/>
  <c r="BV161" i="1" s="1"/>
  <c r="BW209" i="1" s="1"/>
  <c r="BV144" i="1"/>
  <c r="BH74" i="1"/>
  <c r="BV127" i="1"/>
  <c r="BW127" i="1" s="1"/>
  <c r="BH144" i="1"/>
  <c r="E172" i="1"/>
  <c r="P124" i="1"/>
  <c r="K137" i="1"/>
  <c r="T79" i="1"/>
  <c r="P143" i="1"/>
  <c r="F146" i="1"/>
  <c r="S155" i="1"/>
  <c r="F135" i="1"/>
  <c r="F131" i="1" s="1"/>
  <c r="Q136" i="1"/>
  <c r="L127" i="1"/>
  <c r="I150" i="1"/>
  <c r="B147" i="1"/>
  <c r="S135" i="1"/>
  <c r="S131" i="1" s="1"/>
  <c r="J160" i="1"/>
  <c r="Q143" i="1"/>
  <c r="P118" i="1"/>
  <c r="Q142" i="1"/>
  <c r="E73" i="1"/>
  <c r="N132" i="1"/>
  <c r="D63" i="1"/>
  <c r="E117" i="1"/>
  <c r="J163" i="1"/>
  <c r="BH32" i="1"/>
  <c r="BH194" i="1" s="1"/>
  <c r="BA45" i="1"/>
  <c r="BO36" i="1"/>
  <c r="BI32" i="1"/>
  <c r="AV51" i="1"/>
  <c r="AU36" i="1"/>
  <c r="BO25" i="1"/>
  <c r="BH36" i="1"/>
  <c r="BP32" i="1"/>
  <c r="BA47" i="1"/>
  <c r="BS39" i="1"/>
  <c r="BD22" i="1"/>
  <c r="AY22" i="1"/>
  <c r="BF47" i="1"/>
  <c r="BK8" i="1"/>
  <c r="AO51" i="1"/>
  <c r="BW23" i="1"/>
  <c r="BP45" i="1"/>
  <c r="BC20" i="1"/>
  <c r="BI8" i="1"/>
  <c r="BI231" i="1" s="1"/>
  <c r="AP21" i="1"/>
  <c r="BV23" i="1"/>
  <c r="AO24" i="1"/>
  <c r="BE32" i="1"/>
  <c r="BE194" i="1" s="1"/>
  <c r="BP35" i="1"/>
  <c r="AY15" i="1"/>
  <c r="AU51" i="1"/>
  <c r="AI14" i="1"/>
  <c r="BT9" i="1"/>
  <c r="BE36" i="1"/>
  <c r="AX24" i="1"/>
  <c r="AY51" i="1"/>
  <c r="BC45" i="1"/>
  <c r="BD23" i="1"/>
  <c r="BF36" i="1"/>
  <c r="AP14" i="1"/>
  <c r="BG45" i="1"/>
  <c r="AN32" i="1"/>
  <c r="AY14" i="1"/>
  <c r="AU39" i="1"/>
  <c r="AS13" i="1"/>
  <c r="AS21" i="1"/>
  <c r="BH146" i="1"/>
  <c r="BI146" i="1" s="1"/>
  <c r="BV153" i="1"/>
  <c r="BV147" i="1"/>
  <c r="BW147" i="1" s="1"/>
  <c r="BV155" i="1"/>
  <c r="BW155" i="1" s="1"/>
  <c r="BV131" i="1"/>
  <c r="W122" i="1"/>
  <c r="W136" i="1"/>
  <c r="J132" i="1"/>
  <c r="N149" i="1"/>
  <c r="C117" i="1"/>
  <c r="D73" i="1"/>
  <c r="O67" i="1"/>
  <c r="E145" i="1"/>
  <c r="E180" i="1" s="1"/>
  <c r="E170" i="1"/>
  <c r="C137" i="1"/>
  <c r="F147" i="1"/>
  <c r="G79" i="1"/>
  <c r="B63" i="1"/>
  <c r="R159" i="1"/>
  <c r="R161" i="1" s="1"/>
  <c r="L142" i="1"/>
  <c r="L164" i="1"/>
  <c r="U132" i="1"/>
  <c r="G142" i="1"/>
  <c r="N126" i="1"/>
  <c r="N154" i="1" s="1"/>
  <c r="V159" i="1"/>
  <c r="C122" i="1"/>
  <c r="K172" i="1"/>
  <c r="L170" i="1"/>
  <c r="C63" i="1"/>
  <c r="D127" i="1"/>
  <c r="W78" i="1"/>
  <c r="W127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M145" i="1"/>
  <c r="M180" i="1" s="1"/>
  <c r="N79" i="1"/>
  <c r="B127" i="1"/>
  <c r="R153" i="1"/>
  <c r="R183" i="1" s="1"/>
  <c r="U122" i="1"/>
  <c r="G145" i="1"/>
  <c r="G180" i="1" s="1"/>
  <c r="I171" i="1"/>
  <c r="B150" i="1"/>
  <c r="J164" i="1"/>
  <c r="M67" i="1"/>
  <c r="S151" i="1"/>
  <c r="Q122" i="1"/>
  <c r="G77" i="1"/>
  <c r="Q119" i="1"/>
  <c r="R124" i="1"/>
  <c r="R74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V202" i="1" s="1"/>
  <c r="K122" i="1"/>
  <c r="G170" i="1"/>
  <c r="G173" i="1" s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U161" i="1" s="1"/>
  <c r="V209" i="1" s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D147" i="1"/>
  <c r="F126" i="1"/>
  <c r="F154" i="1" s="1"/>
  <c r="S140" i="1"/>
  <c r="S127" i="1"/>
  <c r="H126" i="1"/>
  <c r="H154" i="1" s="1"/>
  <c r="E146" i="1"/>
  <c r="E148" i="1" s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B128" i="1" s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Q140" i="1"/>
  <c r="W125" i="1"/>
  <c r="H122" i="1"/>
  <c r="M74" i="1"/>
  <c r="L146" i="1"/>
  <c r="M77" i="1"/>
  <c r="Q144" i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S137" i="1"/>
  <c r="V155" i="1"/>
  <c r="I160" i="1"/>
  <c r="I161" i="1" s="1"/>
  <c r="J209" i="1" s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J117" i="1"/>
  <c r="J120" i="1" s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J161" i="1" s="1"/>
  <c r="N127" i="1"/>
  <c r="L77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BC47" i="1"/>
  <c r="BV36" i="1"/>
  <c r="BV252" i="1" s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V146" i="1"/>
  <c r="BW146" i="1" s="1"/>
  <c r="U171" i="1"/>
  <c r="T150" i="1"/>
  <c r="U164" i="1"/>
  <c r="M155" i="1"/>
  <c r="R171" i="1"/>
  <c r="H146" i="1"/>
  <c r="C74" i="1"/>
  <c r="H172" i="1"/>
  <c r="L133" i="1"/>
  <c r="G155" i="1"/>
  <c r="V133" i="1"/>
  <c r="B67" i="1"/>
  <c r="O163" i="1"/>
  <c r="C119" i="1"/>
  <c r="C120" i="1" s="1"/>
  <c r="C143" i="1"/>
  <c r="M159" i="1"/>
  <c r="M161" i="1" s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Q120" i="1" s="1"/>
  <c r="E143" i="1"/>
  <c r="R126" i="1"/>
  <c r="R154" i="1" s="1"/>
  <c r="F159" i="1"/>
  <c r="F161" i="1" s="1"/>
  <c r="V149" i="1"/>
  <c r="P122" i="1"/>
  <c r="M126" i="1"/>
  <c r="M154" i="1" s="1"/>
  <c r="U155" i="1"/>
  <c r="M118" i="1"/>
  <c r="N73" i="1"/>
  <c r="N172" i="1"/>
  <c r="D142" i="1"/>
  <c r="B153" i="1"/>
  <c r="B183" i="1" s="1"/>
  <c r="U73" i="1"/>
  <c r="U117" i="1"/>
  <c r="U120" i="1" s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B160" i="1"/>
  <c r="BD131" i="1"/>
  <c r="BT153" i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T159" i="1"/>
  <c r="AV149" i="1"/>
  <c r="AW149" i="1" s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35" i="1"/>
  <c r="BG135" i="1" s="1"/>
  <c r="BD150" i="1"/>
  <c r="BE150" i="1" s="1"/>
  <c r="BN150" i="1"/>
  <c r="BO150" i="1" s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BI252" i="1"/>
  <c r="AT231" i="1"/>
  <c r="AN194" i="1"/>
  <c r="AN33" i="1"/>
  <c r="BM10" i="1"/>
  <c r="BN252" i="1"/>
  <c r="BN231" i="1"/>
  <c r="BM231" i="1"/>
  <c r="BU252" i="1"/>
  <c r="BD231" i="1"/>
  <c r="BV10" i="1"/>
  <c r="BD252" i="1"/>
  <c r="AY231" i="1"/>
  <c r="BV183" i="1"/>
  <c r="BM253" i="1"/>
  <c r="BM203" i="1"/>
  <c r="BM201" i="1" s="1"/>
  <c r="BM33" i="1"/>
  <c r="BM194" i="1"/>
  <c r="BP253" i="1"/>
  <c r="BP194" i="1"/>
  <c r="BT194" i="1"/>
  <c r="BW117" i="1"/>
  <c r="AV98" i="1"/>
  <c r="AV99" i="1" s="1"/>
  <c r="BR252" i="1"/>
  <c r="AQ253" i="1"/>
  <c r="AQ194" i="1"/>
  <c r="BI253" i="1"/>
  <c r="BI194" i="1"/>
  <c r="BB231" i="1"/>
  <c r="BC252" i="1"/>
  <c r="AV253" i="1"/>
  <c r="BJ253" i="1"/>
  <c r="BJ194" i="1"/>
  <c r="BG231" i="1"/>
  <c r="AX231" i="1"/>
  <c r="AX10" i="1"/>
  <c r="AO231" i="1"/>
  <c r="AO10" i="1"/>
  <c r="AS253" i="1"/>
  <c r="AS194" i="1"/>
  <c r="BS253" i="1"/>
  <c r="CQ134" i="1"/>
  <c r="DB77" i="1"/>
  <c r="CY65" i="1"/>
  <c r="CZ63" i="1"/>
  <c r="BP10" i="1" l="1"/>
  <c r="BR179" i="1"/>
  <c r="BS179" i="1" s="1"/>
  <c r="BV134" i="1"/>
  <c r="BH180" i="1"/>
  <c r="BI180" i="1" s="1"/>
  <c r="T161" i="1"/>
  <c r="U209" i="1" s="1"/>
  <c r="L161" i="1"/>
  <c r="AV10" i="1"/>
  <c r="AP252" i="1"/>
  <c r="BN26" i="1"/>
  <c r="BK37" i="1"/>
  <c r="BS252" i="1"/>
  <c r="K202" i="1"/>
  <c r="H134" i="1"/>
  <c r="H138" i="1" s="1"/>
  <c r="K120" i="1"/>
  <c r="K128" i="1"/>
  <c r="J202" i="1"/>
  <c r="W202" i="1"/>
  <c r="K161" i="1"/>
  <c r="L202" i="1"/>
  <c r="U134" i="1"/>
  <c r="O202" i="1"/>
  <c r="G161" i="1"/>
  <c r="AT180" i="1"/>
  <c r="AU180" i="1" s="1"/>
  <c r="BN183" i="1"/>
  <c r="BO183" i="1" s="1"/>
  <c r="AV180" i="1"/>
  <c r="AW180" i="1" s="1"/>
  <c r="AX183" i="1"/>
  <c r="AY183" i="1" s="1"/>
  <c r="D202" i="1"/>
  <c r="BU26" i="1"/>
  <c r="AX26" i="1"/>
  <c r="AX27" i="1" s="1"/>
  <c r="BA26" i="1"/>
  <c r="BW26" i="1"/>
  <c r="AV26" i="1"/>
  <c r="AV27" i="1" s="1"/>
  <c r="AQ26" i="1"/>
  <c r="BW252" i="1"/>
  <c r="BC26" i="1"/>
  <c r="BC27" i="1" s="1"/>
  <c r="F173" i="1"/>
  <c r="T173" i="1"/>
  <c r="T134" i="1"/>
  <c r="T33" i="1" s="1"/>
  <c r="BG252" i="1"/>
  <c r="AX252" i="1"/>
  <c r="BS26" i="1"/>
  <c r="H161" i="1"/>
  <c r="BJ98" i="1"/>
  <c r="BJ99" i="1" s="1"/>
  <c r="BJ102" i="1" s="1"/>
  <c r="O134" i="1"/>
  <c r="BE26" i="1"/>
  <c r="N202" i="1"/>
  <c r="T120" i="1"/>
  <c r="F120" i="1"/>
  <c r="C173" i="1"/>
  <c r="AW252" i="1"/>
  <c r="BP26" i="1"/>
  <c r="BP27" i="1" s="1"/>
  <c r="AT26" i="1"/>
  <c r="AP10" i="1"/>
  <c r="BI26" i="1"/>
  <c r="BI27" i="1" s="1"/>
  <c r="AN252" i="1"/>
  <c r="AY26" i="1"/>
  <c r="AZ26" i="1"/>
  <c r="BH134" i="1"/>
  <c r="BV179" i="1"/>
  <c r="BW179" i="1" s="1"/>
  <c r="BH179" i="1"/>
  <c r="BI179" i="1" s="1"/>
  <c r="E173" i="1"/>
  <c r="P128" i="1"/>
  <c r="P148" i="1"/>
  <c r="H173" i="1"/>
  <c r="B120" i="1"/>
  <c r="R202" i="1"/>
  <c r="K173" i="1"/>
  <c r="N128" i="1"/>
  <c r="V161" i="1"/>
  <c r="W209" i="1" s="1"/>
  <c r="D65" i="1"/>
  <c r="C65" i="1"/>
  <c r="M134" i="1"/>
  <c r="AZ183" i="1"/>
  <c r="BA183" i="1" s="1"/>
  <c r="AX179" i="1"/>
  <c r="AY179" i="1" s="1"/>
  <c r="L134" i="1"/>
  <c r="BI128" i="1"/>
  <c r="BH138" i="1"/>
  <c r="P156" i="1"/>
  <c r="P185" i="1" s="1"/>
  <c r="P184" i="1" s="1"/>
  <c r="N134" i="1"/>
  <c r="AM48" i="1"/>
  <c r="BR26" i="1"/>
  <c r="BR27" i="1" s="1"/>
  <c r="AU26" i="1"/>
  <c r="BQ252" i="1"/>
  <c r="BF10" i="1"/>
  <c r="AS26" i="1"/>
  <c r="AS27" i="1" s="1"/>
  <c r="AW26" i="1"/>
  <c r="BO10" i="1"/>
  <c r="BV26" i="1"/>
  <c r="BV27" i="1" s="1"/>
  <c r="L120" i="1"/>
  <c r="BE10" i="1"/>
  <c r="R156" i="1"/>
  <c r="R185" i="1" s="1"/>
  <c r="F134" i="1"/>
  <c r="BF26" i="1"/>
  <c r="BF27" i="1" s="1"/>
  <c r="AO26" i="1"/>
  <c r="AO27" i="1" s="1"/>
  <c r="AP26" i="1"/>
  <c r="AN26" i="1"/>
  <c r="J148" i="1"/>
  <c r="BG26" i="1"/>
  <c r="BG27" i="1" s="1"/>
  <c r="V148" i="1"/>
  <c r="BH161" i="1"/>
  <c r="BI209" i="1" s="1"/>
  <c r="BH183" i="1"/>
  <c r="BI183" i="1" s="1"/>
  <c r="J173" i="1"/>
  <c r="BM26" i="1"/>
  <c r="W173" i="1"/>
  <c r="BM37" i="1"/>
  <c r="BQ26" i="1"/>
  <c r="S134" i="1"/>
  <c r="P120" i="1"/>
  <c r="BO252" i="1"/>
  <c r="BK10" i="1"/>
  <c r="BT10" i="1"/>
  <c r="S120" i="1"/>
  <c r="H128" i="1"/>
  <c r="I128" i="1"/>
  <c r="C202" i="1"/>
  <c r="B148" i="1"/>
  <c r="E202" i="1"/>
  <c r="C156" i="1"/>
  <c r="C185" i="1" s="1"/>
  <c r="L128" i="1"/>
  <c r="L129" i="1" s="1"/>
  <c r="L55" i="1" s="1"/>
  <c r="J156" i="1"/>
  <c r="J185" i="1" s="1"/>
  <c r="R148" i="1"/>
  <c r="D173" i="1"/>
  <c r="C134" i="1"/>
  <c r="S173" i="1"/>
  <c r="V173" i="1"/>
  <c r="T148" i="1"/>
  <c r="I120" i="1"/>
  <c r="F156" i="1"/>
  <c r="F185" i="1" s="1"/>
  <c r="F184" i="1" s="1"/>
  <c r="J128" i="1"/>
  <c r="K148" i="1"/>
  <c r="U148" i="1"/>
  <c r="U182" i="1" s="1"/>
  <c r="U181" i="1" s="1"/>
  <c r="E156" i="1"/>
  <c r="B173" i="1"/>
  <c r="R173" i="1"/>
  <c r="F148" i="1"/>
  <c r="D161" i="1"/>
  <c r="G156" i="1"/>
  <c r="R128" i="1"/>
  <c r="O148" i="1"/>
  <c r="O182" i="1" s="1"/>
  <c r="O181" i="1" s="1"/>
  <c r="G134" i="1"/>
  <c r="BB26" i="1"/>
  <c r="BB27" i="1" s="1"/>
  <c r="T156" i="1"/>
  <c r="T185" i="1" s="1"/>
  <c r="T184" i="1" s="1"/>
  <c r="C175" i="1"/>
  <c r="P134" i="1"/>
  <c r="M148" i="1"/>
  <c r="H156" i="1"/>
  <c r="N173" i="1"/>
  <c r="M120" i="1"/>
  <c r="I202" i="1"/>
  <c r="N161" i="1"/>
  <c r="M156" i="1"/>
  <c r="H148" i="1"/>
  <c r="B134" i="1"/>
  <c r="W134" i="1"/>
  <c r="M173" i="1"/>
  <c r="I148" i="1"/>
  <c r="AZ180" i="1"/>
  <c r="BA180" i="1" s="1"/>
  <c r="BR180" i="1"/>
  <c r="BS180" i="1" s="1"/>
  <c r="AZ179" i="1"/>
  <c r="BA179" i="1" s="1"/>
  <c r="AR183" i="1"/>
  <c r="AS183" i="1" s="1"/>
  <c r="AR179" i="1"/>
  <c r="AS179" i="1" s="1"/>
  <c r="BF180" i="1"/>
  <c r="BG180" i="1" s="1"/>
  <c r="BH202" i="1"/>
  <c r="BT180" i="1"/>
  <c r="BU180" i="1" s="1"/>
  <c r="AP179" i="1"/>
  <c r="AQ179" i="1" s="1"/>
  <c r="AP183" i="1"/>
  <c r="AQ183" i="1" s="1"/>
  <c r="BF179" i="1"/>
  <c r="BG179" i="1" s="1"/>
  <c r="BD179" i="1"/>
  <c r="BE179" i="1" s="1"/>
  <c r="BB179" i="1"/>
  <c r="BC179" i="1" s="1"/>
  <c r="AP180" i="1"/>
  <c r="AQ180" i="1" s="1"/>
  <c r="BR183" i="1"/>
  <c r="BS183" i="1" s="1"/>
  <c r="AN180" i="1"/>
  <c r="AO180" i="1" s="1"/>
  <c r="AN183" i="1"/>
  <c r="AO183" i="1" s="1"/>
  <c r="AN179" i="1"/>
  <c r="AO179" i="1" s="1"/>
  <c r="BS98" i="1"/>
  <c r="BS99" i="1" s="1"/>
  <c r="BQ231" i="1"/>
  <c r="BQ10" i="1"/>
  <c r="AZ231" i="1"/>
  <c r="AZ10" i="1"/>
  <c r="BW194" i="1"/>
  <c r="BW253" i="1"/>
  <c r="BQ194" i="1"/>
  <c r="BQ253" i="1"/>
  <c r="BS231" i="1"/>
  <c r="BV98" i="1"/>
  <c r="BV99" i="1" s="1"/>
  <c r="BS10" i="1"/>
  <c r="BT98" i="1"/>
  <c r="BT99" i="1" s="1"/>
  <c r="BU98" i="1"/>
  <c r="BU99" i="1" s="1"/>
  <c r="BR253" i="1"/>
  <c r="BR194" i="1"/>
  <c r="AW231" i="1"/>
  <c r="AX98" i="1"/>
  <c r="AX99" i="1" s="1"/>
  <c r="AY98" i="1"/>
  <c r="AY99" i="1" s="1"/>
  <c r="AW98" i="1"/>
  <c r="AW99" i="1" s="1"/>
  <c r="AW10" i="1"/>
  <c r="AZ98" i="1"/>
  <c r="AZ99" i="1" s="1"/>
  <c r="AW253" i="1"/>
  <c r="AZ194" i="1"/>
  <c r="AZ253" i="1"/>
  <c r="BA253" i="1"/>
  <c r="BA194" i="1"/>
  <c r="BE231" i="1"/>
  <c r="BG98" i="1"/>
  <c r="BG99" i="1" s="1"/>
  <c r="BE253" i="1"/>
  <c r="BE252" i="1"/>
  <c r="BE98" i="1"/>
  <c r="BE99" i="1" s="1"/>
  <c r="BF98" i="1"/>
  <c r="BF99" i="1" s="1"/>
  <c r="BH98" i="1"/>
  <c r="BH99" i="1" s="1"/>
  <c r="BW140" i="1"/>
  <c r="BX202" i="1" s="1"/>
  <c r="BW202" i="1"/>
  <c r="BH231" i="1"/>
  <c r="BH252" i="1"/>
  <c r="BH10" i="1"/>
  <c r="AR194" i="1"/>
  <c r="AR253" i="1"/>
  <c r="AP98" i="1"/>
  <c r="AP99" i="1" s="1"/>
  <c r="AN98" i="1"/>
  <c r="AN99" i="1" s="1"/>
  <c r="AO98" i="1"/>
  <c r="AO99" i="1" s="1"/>
  <c r="AN231" i="1"/>
  <c r="AN10" i="1"/>
  <c r="AN253" i="1"/>
  <c r="AQ98" i="1"/>
  <c r="AQ99" i="1" s="1"/>
  <c r="BF252" i="1"/>
  <c r="BF231" i="1"/>
  <c r="BI98" i="1"/>
  <c r="BI99" i="1" s="1"/>
  <c r="BI140" i="1"/>
  <c r="BJ202" i="1" s="1"/>
  <c r="AI194" i="1"/>
  <c r="AI33" i="1"/>
  <c r="AR231" i="1"/>
  <c r="AR10" i="1"/>
  <c r="AR252" i="1"/>
  <c r="AT98" i="1"/>
  <c r="AT99" i="1" s="1"/>
  <c r="BZ98" i="1"/>
  <c r="BZ99" i="1" s="1"/>
  <c r="BW10" i="1"/>
  <c r="BW231" i="1"/>
  <c r="BY98" i="1"/>
  <c r="BY99" i="1" s="1"/>
  <c r="BR98" i="1"/>
  <c r="BR99" i="1" s="1"/>
  <c r="BO231" i="1"/>
  <c r="BQ98" i="1"/>
  <c r="BQ99" i="1" s="1"/>
  <c r="BO253" i="1"/>
  <c r="BP98" i="1"/>
  <c r="BP99" i="1" s="1"/>
  <c r="BO98" i="1"/>
  <c r="BO99" i="1" s="1"/>
  <c r="BW118" i="1"/>
  <c r="BV120" i="1"/>
  <c r="BU253" i="1"/>
  <c r="BU194" i="1"/>
  <c r="AI231" i="1"/>
  <c r="AI179" i="1"/>
  <c r="AI180" i="1"/>
  <c r="AL98" i="1"/>
  <c r="AL99" i="1" s="1"/>
  <c r="AI183" i="1"/>
  <c r="AI185" i="1"/>
  <c r="AI184" i="1" s="1"/>
  <c r="AI182" i="1"/>
  <c r="AI186" i="1" s="1"/>
  <c r="BK203" i="1"/>
  <c r="BK201" i="1" s="1"/>
  <c r="BK194" i="1"/>
  <c r="BK33" i="1"/>
  <c r="AT194" i="1"/>
  <c r="AT253" i="1"/>
  <c r="BA231" i="1"/>
  <c r="BD98" i="1"/>
  <c r="BD99" i="1" s="1"/>
  <c r="BA10" i="1"/>
  <c r="BA98" i="1"/>
  <c r="BA99" i="1" s="1"/>
  <c r="BB98" i="1"/>
  <c r="BB99" i="1" s="1"/>
  <c r="BA252" i="1"/>
  <c r="BW150" i="1"/>
  <c r="BV156" i="1"/>
  <c r="BV185" i="1" s="1"/>
  <c r="BV184" i="1" s="1"/>
  <c r="BW98" i="1"/>
  <c r="BW99" i="1" s="1"/>
  <c r="BT252" i="1"/>
  <c r="BT231" i="1"/>
  <c r="BD194" i="1"/>
  <c r="BD253" i="1"/>
  <c r="BC194" i="1"/>
  <c r="BC253" i="1"/>
  <c r="Q179" i="1"/>
  <c r="Q148" i="1"/>
  <c r="L179" i="1"/>
  <c r="L148" i="1"/>
  <c r="BJ28" i="1"/>
  <c r="BK98" i="1"/>
  <c r="BK99" i="1" s="1"/>
  <c r="BV148" i="1"/>
  <c r="BH148" i="1"/>
  <c r="BH182" i="1" s="1"/>
  <c r="Q134" i="1"/>
  <c r="BW128" i="1"/>
  <c r="BX206" i="1" s="1"/>
  <c r="B156" i="1"/>
  <c r="B185" i="1" s="1"/>
  <c r="B184" i="1" s="1"/>
  <c r="M202" i="1"/>
  <c r="N148" i="1"/>
  <c r="U202" i="1"/>
  <c r="AU98" i="1"/>
  <c r="AU99" i="1" s="1"/>
  <c r="V156" i="1"/>
  <c r="O161" i="1"/>
  <c r="P209" i="1" s="1"/>
  <c r="S148" i="1"/>
  <c r="S182" i="1" s="1"/>
  <c r="Q161" i="1"/>
  <c r="R209" i="1" s="1"/>
  <c r="Q128" i="1"/>
  <c r="U173" i="1"/>
  <c r="Q156" i="1"/>
  <c r="O173" i="1"/>
  <c r="V128" i="1"/>
  <c r="P173" i="1"/>
  <c r="G128" i="1"/>
  <c r="F128" i="1"/>
  <c r="C207" i="1"/>
  <c r="T202" i="1"/>
  <c r="H202" i="1"/>
  <c r="C148" i="1"/>
  <c r="G120" i="1"/>
  <c r="BN194" i="1"/>
  <c r="BM98" i="1"/>
  <c r="BM99" i="1" s="1"/>
  <c r="BG253" i="1"/>
  <c r="BK252" i="1"/>
  <c r="V134" i="1"/>
  <c r="W128" i="1"/>
  <c r="W206" i="1" s="1"/>
  <c r="S128" i="1"/>
  <c r="Q173" i="1"/>
  <c r="Q202" i="1"/>
  <c r="R120" i="1"/>
  <c r="V120" i="1"/>
  <c r="D148" i="1"/>
  <c r="E196" i="1" s="1"/>
  <c r="D134" i="1"/>
  <c r="K134" i="1"/>
  <c r="K33" i="1" s="1"/>
  <c r="I173" i="1"/>
  <c r="L173" i="1"/>
  <c r="B65" i="1"/>
  <c r="D156" i="1"/>
  <c r="O128" i="1"/>
  <c r="O249" i="1" s="1"/>
  <c r="O251" i="1" s="1"/>
  <c r="I134" i="1"/>
  <c r="I33" i="1" s="1"/>
  <c r="I156" i="1"/>
  <c r="AU252" i="1"/>
  <c r="BN33" i="1"/>
  <c r="BK231" i="1"/>
  <c r="AQ10" i="1"/>
  <c r="AQ27" i="1" s="1"/>
  <c r="BF253" i="1"/>
  <c r="BX98" i="1"/>
  <c r="BX99" i="1" s="1"/>
  <c r="BV16" i="1"/>
  <c r="BN98" i="1"/>
  <c r="BN99" i="1" s="1"/>
  <c r="AZ16" i="1"/>
  <c r="AZ28" i="1" s="1"/>
  <c r="P202" i="1"/>
  <c r="D120" i="1"/>
  <c r="AS98" i="1"/>
  <c r="AS99" i="1" s="1"/>
  <c r="BJ27" i="1"/>
  <c r="BB253" i="1"/>
  <c r="AP253" i="1"/>
  <c r="F202" i="1"/>
  <c r="D107" i="1"/>
  <c r="P196" i="1"/>
  <c r="AQ252" i="1"/>
  <c r="AU10" i="1"/>
  <c r="AI10" i="1"/>
  <c r="AT16" i="1"/>
  <c r="BV253" i="1"/>
  <c r="M128" i="1"/>
  <c r="M206" i="1" s="1"/>
  <c r="AR98" i="1"/>
  <c r="AR99" i="1" s="1"/>
  <c r="AU253" i="1"/>
  <c r="BL98" i="1"/>
  <c r="BL99" i="1" s="1"/>
  <c r="AY253" i="1"/>
  <c r="BC98" i="1"/>
  <c r="BC99" i="1" s="1"/>
  <c r="BH128" i="1"/>
  <c r="AV179" i="1"/>
  <c r="AW179" i="1" s="1"/>
  <c r="O156" i="1"/>
  <c r="BH253" i="1"/>
  <c r="BK253" i="1"/>
  <c r="AX253" i="1"/>
  <c r="AI203" i="1"/>
  <c r="AI201" i="1" s="1"/>
  <c r="BF183" i="1"/>
  <c r="BG183" i="1" s="1"/>
  <c r="N156" i="1"/>
  <c r="N185" i="1" s="1"/>
  <c r="N184" i="1" s="1"/>
  <c r="BH120" i="1"/>
  <c r="L156" i="1"/>
  <c r="K156" i="1"/>
  <c r="U156" i="1"/>
  <c r="S156" i="1"/>
  <c r="J134" i="1"/>
  <c r="BH156" i="1"/>
  <c r="BH185" i="1" s="1"/>
  <c r="H33" i="1"/>
  <c r="E134" i="1"/>
  <c r="E33" i="1" s="1"/>
  <c r="BV128" i="1"/>
  <c r="E128" i="1"/>
  <c r="AR134" i="1"/>
  <c r="O120" i="1"/>
  <c r="G148" i="1"/>
  <c r="G182" i="1" s="1"/>
  <c r="G181" i="1" s="1"/>
  <c r="D128" i="1"/>
  <c r="S202" i="1"/>
  <c r="C128" i="1"/>
  <c r="C168" i="1" s="1"/>
  <c r="C109" i="1" s="1"/>
  <c r="S161" i="1"/>
  <c r="T209" i="1" s="1"/>
  <c r="E120" i="1"/>
  <c r="G202" i="1"/>
  <c r="C54" i="1"/>
  <c r="BT179" i="1"/>
  <c r="BU179" i="1" s="1"/>
  <c r="T128" i="1"/>
  <c r="T168" i="1" s="1"/>
  <c r="T109" i="1" s="1"/>
  <c r="R134" i="1"/>
  <c r="B161" i="1"/>
  <c r="C209" i="1" s="1"/>
  <c r="BT183" i="1"/>
  <c r="BU183" i="1" s="1"/>
  <c r="U128" i="1"/>
  <c r="N120" i="1"/>
  <c r="R168" i="1"/>
  <c r="R109" i="1" s="1"/>
  <c r="H175" i="1"/>
  <c r="H54" i="1"/>
  <c r="N209" i="1"/>
  <c r="M248" i="1"/>
  <c r="T54" i="1"/>
  <c r="T175" i="1"/>
  <c r="T248" i="1"/>
  <c r="U33" i="1"/>
  <c r="U138" i="1"/>
  <c r="B33" i="1"/>
  <c r="B138" i="1"/>
  <c r="I209" i="1"/>
  <c r="H248" i="1"/>
  <c r="C108" i="1"/>
  <c r="C66" i="1"/>
  <c r="C107" i="1"/>
  <c r="E209" i="1"/>
  <c r="G209" i="1"/>
  <c r="F248" i="1"/>
  <c r="F207" i="1"/>
  <c r="F175" i="1"/>
  <c r="F54" i="1"/>
  <c r="F182" i="1"/>
  <c r="G196" i="1"/>
  <c r="K209" i="1"/>
  <c r="J248" i="1"/>
  <c r="J37" i="1"/>
  <c r="J168" i="1"/>
  <c r="J109" i="1" s="1"/>
  <c r="J129" i="1"/>
  <c r="J55" i="1" s="1"/>
  <c r="U54" i="1"/>
  <c r="U207" i="1"/>
  <c r="J182" i="1"/>
  <c r="J181" i="1" s="1"/>
  <c r="K196" i="1"/>
  <c r="J196" i="1"/>
  <c r="H129" i="1"/>
  <c r="H55" i="1" s="1"/>
  <c r="H37" i="1"/>
  <c r="E182" i="1"/>
  <c r="E181" i="1" s="1"/>
  <c r="F196" i="1"/>
  <c r="K207" i="1"/>
  <c r="V196" i="1"/>
  <c r="V182" i="1"/>
  <c r="V181" i="1" s="1"/>
  <c r="BD161" i="1"/>
  <c r="BE209" i="1" s="1"/>
  <c r="J175" i="1"/>
  <c r="J54" i="1"/>
  <c r="J207" i="1"/>
  <c r="L209" i="1"/>
  <c r="K248" i="1"/>
  <c r="B175" i="1"/>
  <c r="B54" i="1"/>
  <c r="T37" i="1"/>
  <c r="T129" i="1"/>
  <c r="T55" i="1" s="1"/>
  <c r="B37" i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D209" i="1"/>
  <c r="C248" i="1"/>
  <c r="W37" i="1"/>
  <c r="X249" i="1"/>
  <c r="X251" i="1" s="1"/>
  <c r="X206" i="1"/>
  <c r="U248" i="1"/>
  <c r="U175" i="1"/>
  <c r="M138" i="1"/>
  <c r="M33" i="1"/>
  <c r="Q182" i="1"/>
  <c r="R196" i="1"/>
  <c r="H182" i="1"/>
  <c r="I196" i="1"/>
  <c r="D66" i="1"/>
  <c r="D108" i="1"/>
  <c r="Q54" i="1"/>
  <c r="Q175" i="1"/>
  <c r="S209" i="1"/>
  <c r="AN161" i="1"/>
  <c r="AO209" i="1" s="1"/>
  <c r="AV161" i="1"/>
  <c r="AW209" i="1" s="1"/>
  <c r="BN161" i="1"/>
  <c r="BO209" i="1" s="1"/>
  <c r="BR134" i="1"/>
  <c r="AX161" i="1"/>
  <c r="AY209" i="1" s="1"/>
  <c r="BS128" i="1"/>
  <c r="H209" i="1"/>
  <c r="M209" i="1"/>
  <c r="E185" i="1"/>
  <c r="E157" i="1"/>
  <c r="G185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85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AV184" i="1" s="1"/>
  <c r="BF120" i="1"/>
  <c r="BQ128" i="1"/>
  <c r="BR128" i="1"/>
  <c r="BD128" i="1"/>
  <c r="AZ156" i="1"/>
  <c r="AZ185" i="1" s="1"/>
  <c r="AV120" i="1"/>
  <c r="AU128" i="1"/>
  <c r="AW143" i="1"/>
  <c r="AV148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BK27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T12" i="1"/>
  <c r="AT27" i="1"/>
  <c r="AY27" i="1"/>
  <c r="AY16" i="1"/>
  <c r="AP16" i="1"/>
  <c r="AP11" i="1"/>
  <c r="BJ103" i="1"/>
  <c r="BJ104" i="1"/>
  <c r="BQ27" i="1"/>
  <c r="AP27" i="1"/>
  <c r="BM27" i="1"/>
  <c r="BQ11" i="1"/>
  <c r="BM225" i="1"/>
  <c r="BM11" i="1"/>
  <c r="BU11" i="1"/>
  <c r="BQ16" i="1"/>
  <c r="BQ28" i="1" s="1"/>
  <c r="BQ12" i="1"/>
  <c r="BC202" i="1"/>
  <c r="BD202" i="1"/>
  <c r="BS102" i="1"/>
  <c r="BS103" i="1"/>
  <c r="BS104" i="1"/>
  <c r="BU27" i="1"/>
  <c r="BU16" i="1"/>
  <c r="BU104" i="1"/>
  <c r="BM16" i="1"/>
  <c r="BM12" i="1"/>
  <c r="AS16" i="1"/>
  <c r="BY11" i="1"/>
  <c r="BD16" i="1"/>
  <c r="BD27" i="1"/>
  <c r="BV12" i="1"/>
  <c r="BV11" i="1"/>
  <c r="BI16" i="1"/>
  <c r="BP16" i="1"/>
  <c r="BC183" i="1"/>
  <c r="BW183" i="1"/>
  <c r="BC16" i="1"/>
  <c r="BC11" i="1"/>
  <c r="AW183" i="1"/>
  <c r="BR16" i="1"/>
  <c r="BG202" i="1"/>
  <c r="AY12" i="1"/>
  <c r="BZ11" i="1"/>
  <c r="BZ188" i="1"/>
  <c r="BP11" i="1"/>
  <c r="BJ12" i="1"/>
  <c r="BB16" i="1"/>
  <c r="BN11" i="1"/>
  <c r="BN188" i="1"/>
  <c r="BN16" i="1"/>
  <c r="BN12" i="1"/>
  <c r="BR11" i="1"/>
  <c r="AX16" i="1"/>
  <c r="BB11" i="1"/>
  <c r="AV102" i="1"/>
  <c r="AV104" i="1"/>
  <c r="AV103" i="1"/>
  <c r="AX11" i="1"/>
  <c r="BC12" i="1"/>
  <c r="AO11" i="1"/>
  <c r="AS11" i="1"/>
  <c r="AO16" i="1"/>
  <c r="AV16" i="1"/>
  <c r="BN27" i="1"/>
  <c r="BC188" i="1"/>
  <c r="BG16" i="1"/>
  <c r="BV138" i="1"/>
  <c r="BW33" i="1"/>
  <c r="BW134" i="1"/>
  <c r="BD12" i="1"/>
  <c r="BG11" i="1"/>
  <c r="BJ29" i="1"/>
  <c r="BJ34" i="1"/>
  <c r="BJ38" i="1" s="1"/>
  <c r="BJ232" i="1"/>
  <c r="BJ233" i="1" s="1"/>
  <c r="CQ138" i="1"/>
  <c r="CR32" i="1"/>
  <c r="AE77" i="1"/>
  <c r="AB125" i="1"/>
  <c r="AB128" i="1" s="1"/>
  <c r="AB249" i="1" s="1"/>
  <c r="AD142" i="1"/>
  <c r="CZ65" i="1"/>
  <c r="DA63" i="1"/>
  <c r="BI202" i="1" l="1"/>
  <c r="BW27" i="1"/>
  <c r="S207" i="1"/>
  <c r="S54" i="1"/>
  <c r="J157" i="1"/>
  <c r="BS27" i="1"/>
  <c r="T138" i="1"/>
  <c r="T244" i="1" s="1"/>
  <c r="M157" i="1"/>
  <c r="Q157" i="1"/>
  <c r="K197" i="1"/>
  <c r="U197" i="1"/>
  <c r="T197" i="1"/>
  <c r="L175" i="1"/>
  <c r="N129" i="1"/>
  <c r="N55" i="1" s="1"/>
  <c r="U196" i="1"/>
  <c r="N33" i="1"/>
  <c r="N138" i="1"/>
  <c r="C138" i="1"/>
  <c r="C33" i="1"/>
  <c r="L33" i="1"/>
  <c r="L138" i="1"/>
  <c r="T207" i="1"/>
  <c r="I175" i="1"/>
  <c r="I248" i="1"/>
  <c r="I54" i="1"/>
  <c r="I207" i="1"/>
  <c r="S33" i="1"/>
  <c r="S138" i="1"/>
  <c r="F157" i="1"/>
  <c r="J249" i="1"/>
  <c r="J251" i="1" s="1"/>
  <c r="H168" i="1"/>
  <c r="H109" i="1" s="1"/>
  <c r="G249" i="1"/>
  <c r="G251" i="1" s="1"/>
  <c r="Q196" i="1"/>
  <c r="K182" i="1"/>
  <c r="K181" i="1" s="1"/>
  <c r="D182" i="1"/>
  <c r="D181" i="1" s="1"/>
  <c r="I37" i="1"/>
  <c r="I206" i="1"/>
  <c r="J206" i="1"/>
  <c r="P182" i="1"/>
  <c r="P157" i="1"/>
  <c r="P175" i="1"/>
  <c r="S175" i="1"/>
  <c r="P129" i="1"/>
  <c r="P55" i="1" s="1"/>
  <c r="P168" i="1"/>
  <c r="P109" i="1" s="1"/>
  <c r="P37" i="1"/>
  <c r="T182" i="1"/>
  <c r="T157" i="1"/>
  <c r="T165" i="1" s="1"/>
  <c r="T246" i="1"/>
  <c r="N37" i="1"/>
  <c r="L168" i="1"/>
  <c r="L109" i="1" s="1"/>
  <c r="L37" i="1"/>
  <c r="L249" i="1"/>
  <c r="L251" i="1" s="1"/>
  <c r="L206" i="1"/>
  <c r="P54" i="1"/>
  <c r="P248" i="1"/>
  <c r="B182" i="1"/>
  <c r="O138" i="1"/>
  <c r="O33" i="1"/>
  <c r="L248" i="1"/>
  <c r="F197" i="1"/>
  <c r="G197" i="1"/>
  <c r="BR184" i="1"/>
  <c r="AZ184" i="1"/>
  <c r="H157" i="1"/>
  <c r="H165" i="1" s="1"/>
  <c r="BH181" i="1"/>
  <c r="C196" i="1"/>
  <c r="S206" i="1"/>
  <c r="D197" i="1"/>
  <c r="U198" i="1"/>
  <c r="U199" i="1" s="1"/>
  <c r="AP181" i="1"/>
  <c r="L196" i="1"/>
  <c r="H197" i="1"/>
  <c r="H244" i="1"/>
  <c r="H246" i="1"/>
  <c r="AP12" i="1"/>
  <c r="AP188" i="1"/>
  <c r="AT188" i="1"/>
  <c r="AT11" i="1"/>
  <c r="BI134" i="1"/>
  <c r="BI33" i="1"/>
  <c r="BJ206" i="1"/>
  <c r="BJ249" i="1"/>
  <c r="BG188" i="1"/>
  <c r="BG12" i="1"/>
  <c r="BJ188" i="1"/>
  <c r="BJ11" i="1"/>
  <c r="BF16" i="1"/>
  <c r="BF28" i="1" s="1"/>
  <c r="BF11" i="1"/>
  <c r="BO188" i="1"/>
  <c r="BP12" i="1"/>
  <c r="BO27" i="1"/>
  <c r="BO16" i="1"/>
  <c r="BR225" i="1"/>
  <c r="BO225" i="1"/>
  <c r="BP225" i="1"/>
  <c r="V58" i="1"/>
  <c r="BQ225" i="1"/>
  <c r="BP188" i="1"/>
  <c r="BO12" i="1"/>
  <c r="L54" i="1"/>
  <c r="BF225" i="1"/>
  <c r="BG225" i="1"/>
  <c r="BE12" i="1"/>
  <c r="S58" i="1"/>
  <c r="BF12" i="1"/>
  <c r="BI11" i="1"/>
  <c r="BE188" i="1"/>
  <c r="BE16" i="1"/>
  <c r="BE225" i="1"/>
  <c r="F33" i="1"/>
  <c r="F138" i="1"/>
  <c r="BL225" i="1"/>
  <c r="BK188" i="1"/>
  <c r="U58" i="1"/>
  <c r="BN225" i="1"/>
  <c r="BO11" i="1"/>
  <c r="BL244" i="1"/>
  <c r="BT11" i="1"/>
  <c r="BU188" i="1"/>
  <c r="BT27" i="1"/>
  <c r="BX11" i="1"/>
  <c r="BU12" i="1"/>
  <c r="BT16" i="1"/>
  <c r="BY188" i="1"/>
  <c r="R182" i="1"/>
  <c r="R181" i="1" s="1"/>
  <c r="R157" i="1"/>
  <c r="BR12" i="1"/>
  <c r="BV188" i="1"/>
  <c r="BT225" i="1"/>
  <c r="BQ188" i="1"/>
  <c r="BR188" i="1"/>
  <c r="BS225" i="1"/>
  <c r="BD188" i="1"/>
  <c r="BC225" i="1"/>
  <c r="BD11" i="1"/>
  <c r="BB225" i="1"/>
  <c r="AZ11" i="1"/>
  <c r="BV103" i="1"/>
  <c r="BV104" i="1"/>
  <c r="BV102" i="1"/>
  <c r="BS16" i="1"/>
  <c r="BT12" i="1"/>
  <c r="BS12" i="1"/>
  <c r="BU225" i="1"/>
  <c r="BS188" i="1"/>
  <c r="BU102" i="1"/>
  <c r="BU103" i="1"/>
  <c r="AW102" i="1"/>
  <c r="AW104" i="1"/>
  <c r="AW103" i="1"/>
  <c r="AX188" i="1"/>
  <c r="AX12" i="1"/>
  <c r="AZ225" i="1"/>
  <c r="AW188" i="1"/>
  <c r="AW12" i="1"/>
  <c r="AW11" i="1"/>
  <c r="BG103" i="1"/>
  <c r="BG104" i="1"/>
  <c r="BG102" i="1"/>
  <c r="BL11" i="1"/>
  <c r="BI188" i="1"/>
  <c r="BI12" i="1"/>
  <c r="BH27" i="1"/>
  <c r="BH16" i="1"/>
  <c r="BJ225" i="1"/>
  <c r="BJ244" i="1"/>
  <c r="BH12" i="1"/>
  <c r="BH11" i="1"/>
  <c r="AP102" i="1"/>
  <c r="AP104" i="1"/>
  <c r="AP103" i="1"/>
  <c r="AO103" i="1"/>
  <c r="AO102" i="1"/>
  <c r="AO104" i="1"/>
  <c r="AO12" i="1"/>
  <c r="AR11" i="1"/>
  <c r="AO188" i="1"/>
  <c r="AN11" i="1"/>
  <c r="AO225" i="1"/>
  <c r="AN188" i="1"/>
  <c r="AN12" i="1"/>
  <c r="AN225" i="1"/>
  <c r="AN16" i="1"/>
  <c r="AR16" i="1"/>
  <c r="AV11" i="1"/>
  <c r="BA188" i="1"/>
  <c r="BE11" i="1"/>
  <c r="BW103" i="1"/>
  <c r="BW104" i="1"/>
  <c r="BW102" i="1"/>
  <c r="AR138" i="1"/>
  <c r="AS33" i="1"/>
  <c r="AI181" i="1"/>
  <c r="Q181" i="1"/>
  <c r="G138" i="1"/>
  <c r="G33" i="1"/>
  <c r="BT104" i="1"/>
  <c r="BT103" i="1"/>
  <c r="BT102" i="1"/>
  <c r="AX103" i="1"/>
  <c r="AX104" i="1"/>
  <c r="AX102" i="1"/>
  <c r="AY102" i="1"/>
  <c r="AY103" i="1"/>
  <c r="AY104" i="1"/>
  <c r="BH103" i="1"/>
  <c r="BH102" i="1"/>
  <c r="BH104" i="1"/>
  <c r="BI103" i="1"/>
  <c r="BI102" i="1"/>
  <c r="BI104" i="1"/>
  <c r="AT103" i="1"/>
  <c r="AT104" i="1"/>
  <c r="AT102" i="1"/>
  <c r="BZ104" i="1"/>
  <c r="BZ102" i="1"/>
  <c r="BZ103" i="1"/>
  <c r="BW225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BX188" i="1"/>
  <c r="BW11" i="1"/>
  <c r="BW188" i="1"/>
  <c r="BY103" i="1"/>
  <c r="BY102" i="1"/>
  <c r="BY104" i="1"/>
  <c r="BA104" i="1"/>
  <c r="BA102" i="1"/>
  <c r="BA103" i="1"/>
  <c r="BB104" i="1"/>
  <c r="BB103" i="1"/>
  <c r="BB102" i="1"/>
  <c r="BV168" i="1"/>
  <c r="BV129" i="1"/>
  <c r="S157" i="1"/>
  <c r="V249" i="1"/>
  <c r="V251" i="1" s="1"/>
  <c r="BH206" i="1"/>
  <c r="BF184" i="1"/>
  <c r="Q207" i="1"/>
  <c r="I168" i="1"/>
  <c r="I109" i="1" s="1"/>
  <c r="I129" i="1"/>
  <c r="I55" i="1" s="1"/>
  <c r="I249" i="1"/>
  <c r="I251" i="1" s="1"/>
  <c r="R37" i="1"/>
  <c r="R249" i="1"/>
  <c r="R251" i="1" s="1"/>
  <c r="P138" i="1"/>
  <c r="P33" i="1"/>
  <c r="M182" i="1"/>
  <c r="M181" i="1" s="1"/>
  <c r="N196" i="1"/>
  <c r="H185" i="1"/>
  <c r="H184" i="1" s="1"/>
  <c r="I197" i="1"/>
  <c r="M207" i="1"/>
  <c r="M205" i="1" s="1"/>
  <c r="M175" i="1"/>
  <c r="M54" i="1"/>
  <c r="O209" i="1"/>
  <c r="N168" i="1"/>
  <c r="N109" i="1" s="1"/>
  <c r="W33" i="1"/>
  <c r="W138" i="1"/>
  <c r="I182" i="1"/>
  <c r="I181" i="1" s="1"/>
  <c r="I157" i="1"/>
  <c r="BA225" i="1"/>
  <c r="AZ188" i="1"/>
  <c r="AZ12" i="1"/>
  <c r="R58" i="1"/>
  <c r="AZ27" i="1"/>
  <c r="BT188" i="1"/>
  <c r="W58" i="1"/>
  <c r="BV225" i="1"/>
  <c r="BS11" i="1"/>
  <c r="AW16" i="1"/>
  <c r="AY225" i="1"/>
  <c r="AW27" i="1"/>
  <c r="AZ102" i="1"/>
  <c r="AZ104" i="1"/>
  <c r="AZ103" i="1"/>
  <c r="BE104" i="1"/>
  <c r="BE103" i="1"/>
  <c r="BE102" i="1"/>
  <c r="BF102" i="1"/>
  <c r="BF104" i="1"/>
  <c r="BF103" i="1"/>
  <c r="BH188" i="1"/>
  <c r="BK225" i="1"/>
  <c r="BL188" i="1"/>
  <c r="BH225" i="1"/>
  <c r="T58" i="1"/>
  <c r="BI225" i="1"/>
  <c r="BM188" i="1"/>
  <c r="AN103" i="1"/>
  <c r="AN102" i="1"/>
  <c r="AN104" i="1"/>
  <c r="AP225" i="1"/>
  <c r="O58" i="1"/>
  <c r="AQ225" i="1"/>
  <c r="AN27" i="1"/>
  <c r="AQ104" i="1"/>
  <c r="AQ102" i="1"/>
  <c r="AQ103" i="1"/>
  <c r="AR188" i="1"/>
  <c r="AS12" i="1"/>
  <c r="AS188" i="1"/>
  <c r="AR27" i="1"/>
  <c r="BR104" i="1"/>
  <c r="BR103" i="1"/>
  <c r="BR102" i="1"/>
  <c r="BQ102" i="1"/>
  <c r="BQ104" i="1"/>
  <c r="BQ103" i="1"/>
  <c r="BP102" i="1"/>
  <c r="BP103" i="1"/>
  <c r="BP104" i="1"/>
  <c r="BO102" i="1"/>
  <c r="BO104" i="1"/>
  <c r="BO103" i="1"/>
  <c r="BV248" i="1"/>
  <c r="BV92" i="1"/>
  <c r="AL104" i="1"/>
  <c r="AL103" i="1"/>
  <c r="AL102" i="1"/>
  <c r="BD104" i="1"/>
  <c r="BD102" i="1"/>
  <c r="BD103" i="1"/>
  <c r="BA16" i="1"/>
  <c r="BA27" i="1"/>
  <c r="BA11" i="1"/>
  <c r="BB12" i="1"/>
  <c r="BA12" i="1"/>
  <c r="BB188" i="1"/>
  <c r="BF188" i="1"/>
  <c r="BD225" i="1"/>
  <c r="M196" i="1"/>
  <c r="L182" i="1"/>
  <c r="F244" i="1"/>
  <c r="F246" i="1"/>
  <c r="BK104" i="1"/>
  <c r="BK103" i="1"/>
  <c r="BK102" i="1"/>
  <c r="BV182" i="1"/>
  <c r="BV157" i="1"/>
  <c r="BV165" i="1" s="1"/>
  <c r="BV166" i="1" s="1"/>
  <c r="Q33" i="1"/>
  <c r="Q138" i="1"/>
  <c r="N182" i="1"/>
  <c r="N157" i="1"/>
  <c r="O196" i="1"/>
  <c r="AU103" i="1"/>
  <c r="AU102" i="1"/>
  <c r="AU104" i="1"/>
  <c r="V157" i="1"/>
  <c r="V185" i="1"/>
  <c r="Q206" i="1"/>
  <c r="Q129" i="1"/>
  <c r="Q55" i="1" s="1"/>
  <c r="Q249" i="1"/>
  <c r="Q251" i="1" s="1"/>
  <c r="Q197" i="1"/>
  <c r="R197" i="1"/>
  <c r="Q185" i="1"/>
  <c r="V129" i="1"/>
  <c r="V55" i="1" s="1"/>
  <c r="V37" i="1"/>
  <c r="V168" i="1"/>
  <c r="V109" i="1" s="1"/>
  <c r="G206" i="1"/>
  <c r="G37" i="1"/>
  <c r="G168" i="1"/>
  <c r="G109" i="1" s="1"/>
  <c r="H249" i="1"/>
  <c r="H251" i="1" s="1"/>
  <c r="H206" i="1"/>
  <c r="F37" i="1"/>
  <c r="F168" i="1"/>
  <c r="F109" i="1" s="1"/>
  <c r="F249" i="1"/>
  <c r="F251" i="1" s="1"/>
  <c r="G54" i="1"/>
  <c r="G207" i="1"/>
  <c r="G175" i="1"/>
  <c r="G248" i="1"/>
  <c r="BM102" i="1"/>
  <c r="BM104" i="1"/>
  <c r="BM103" i="1"/>
  <c r="V33" i="1"/>
  <c r="V138" i="1"/>
  <c r="R54" i="1"/>
  <c r="R207" i="1"/>
  <c r="R129" i="1"/>
  <c r="R55" i="1" s="1"/>
  <c r="R248" i="1"/>
  <c r="R175" i="1"/>
  <c r="V248" i="1"/>
  <c r="V54" i="1"/>
  <c r="V175" i="1"/>
  <c r="V207" i="1"/>
  <c r="D138" i="1"/>
  <c r="D33" i="1"/>
  <c r="I185" i="1"/>
  <c r="J197" i="1"/>
  <c r="AT225" i="1"/>
  <c r="AQ16" i="1"/>
  <c r="AQ11" i="1"/>
  <c r="AR225" i="1"/>
  <c r="AR12" i="1"/>
  <c r="AU11" i="1"/>
  <c r="P58" i="1"/>
  <c r="AS225" i="1"/>
  <c r="AQ12" i="1"/>
  <c r="AQ188" i="1"/>
  <c r="BX104" i="1"/>
  <c r="BX102" i="1"/>
  <c r="BX103" i="1"/>
  <c r="BV28" i="1"/>
  <c r="BZ18" i="1"/>
  <c r="BV17" i="1"/>
  <c r="BN103" i="1"/>
  <c r="BN102" i="1"/>
  <c r="BN104" i="1"/>
  <c r="D248" i="1"/>
  <c r="D175" i="1"/>
  <c r="AS102" i="1"/>
  <c r="AS104" i="1"/>
  <c r="AS103" i="1"/>
  <c r="AY11" i="1"/>
  <c r="AU16" i="1"/>
  <c r="AU188" i="1"/>
  <c r="Q58" i="1"/>
  <c r="AV12" i="1"/>
  <c r="AU27" i="1"/>
  <c r="AY188" i="1"/>
  <c r="AX225" i="1"/>
  <c r="AW225" i="1"/>
  <c r="AV188" i="1"/>
  <c r="AV225" i="1"/>
  <c r="AU12" i="1"/>
  <c r="AU225" i="1"/>
  <c r="AJ12" i="1"/>
  <c r="AL244" i="1"/>
  <c r="N58" i="1"/>
  <c r="AT17" i="1"/>
  <c r="AT28" i="1"/>
  <c r="AR104" i="1"/>
  <c r="AR103" i="1"/>
  <c r="AR102" i="1"/>
  <c r="BL103" i="1"/>
  <c r="BL102" i="1"/>
  <c r="BL104" i="1"/>
  <c r="BC103" i="1"/>
  <c r="BC102" i="1"/>
  <c r="BC104" i="1"/>
  <c r="BI249" i="1"/>
  <c r="BH168" i="1"/>
  <c r="BH129" i="1"/>
  <c r="BI206" i="1"/>
  <c r="P197" i="1"/>
  <c r="P198" i="1" s="1"/>
  <c r="P199" i="1" s="1"/>
  <c r="O185" i="1"/>
  <c r="BH92" i="1"/>
  <c r="BH248" i="1"/>
  <c r="L185" i="1"/>
  <c r="L184" i="1" s="1"/>
  <c r="M197" i="1"/>
  <c r="J138" i="1"/>
  <c r="J33" i="1"/>
  <c r="BH184" i="1"/>
  <c r="BH186" i="1"/>
  <c r="BL189" i="1" s="1"/>
  <c r="BU202" i="1"/>
  <c r="AS134" i="1"/>
  <c r="S197" i="1"/>
  <c r="B108" i="1"/>
  <c r="B66" i="1"/>
  <c r="S248" i="1"/>
  <c r="M129" i="1"/>
  <c r="M55" i="1" s="1"/>
  <c r="P249" i="1"/>
  <c r="P251" i="1" s="1"/>
  <c r="U129" i="1"/>
  <c r="U55" i="1" s="1"/>
  <c r="W249" i="1"/>
  <c r="W251" i="1" s="1"/>
  <c r="C182" i="1"/>
  <c r="C181" i="1" s="1"/>
  <c r="E129" i="1"/>
  <c r="E55" i="1" s="1"/>
  <c r="M168" i="1"/>
  <c r="M109" i="1" s="1"/>
  <c r="M37" i="1"/>
  <c r="U37" i="1"/>
  <c r="E197" i="1"/>
  <c r="E198" i="1" s="1"/>
  <c r="E199" i="1" s="1"/>
  <c r="D157" i="1"/>
  <c r="T196" i="1"/>
  <c r="V206" i="1"/>
  <c r="D196" i="1"/>
  <c r="D198" i="1" s="1"/>
  <c r="D199" i="1" s="1"/>
  <c r="BA19" i="1"/>
  <c r="M249" i="1"/>
  <c r="M251" i="1" s="1"/>
  <c r="N206" i="1"/>
  <c r="P206" i="1"/>
  <c r="U168" i="1"/>
  <c r="U109" i="1" s="1"/>
  <c r="O157" i="1"/>
  <c r="O165" i="1" s="1"/>
  <c r="D185" i="1"/>
  <c r="O168" i="1"/>
  <c r="O109" i="1" s="1"/>
  <c r="Q248" i="1"/>
  <c r="S185" i="1"/>
  <c r="S184" i="1" s="1"/>
  <c r="C157" i="1"/>
  <c r="C165" i="1" s="1"/>
  <c r="D54" i="1"/>
  <c r="D207" i="1"/>
  <c r="BW249" i="1"/>
  <c r="BV18" i="1"/>
  <c r="AI16" i="1"/>
  <c r="AI27" i="1"/>
  <c r="L197" i="1"/>
  <c r="K157" i="1"/>
  <c r="S129" i="1"/>
  <c r="S55" i="1" s="1"/>
  <c r="O37" i="1"/>
  <c r="O206" i="1"/>
  <c r="S168" i="1"/>
  <c r="S109" i="1" s="1"/>
  <c r="H207" i="1"/>
  <c r="H205" i="1" s="1"/>
  <c r="J198" i="1"/>
  <c r="J199" i="1" s="1"/>
  <c r="AL225" i="1"/>
  <c r="BW206" i="1"/>
  <c r="K185" i="1"/>
  <c r="K184" i="1" s="1"/>
  <c r="N249" i="1"/>
  <c r="N251" i="1" s="1"/>
  <c r="C197" i="1"/>
  <c r="T249" i="1"/>
  <c r="T251" i="1" s="1"/>
  <c r="F129" i="1"/>
  <c r="F55" i="1" s="1"/>
  <c r="S37" i="1"/>
  <c r="C249" i="1"/>
  <c r="C251" i="1" s="1"/>
  <c r="B107" i="1"/>
  <c r="AZ17" i="1"/>
  <c r="AM11" i="1"/>
  <c r="BX249" i="1"/>
  <c r="U157" i="1"/>
  <c r="U165" i="1" s="1"/>
  <c r="U166" i="1" s="1"/>
  <c r="Q37" i="1"/>
  <c r="G129" i="1"/>
  <c r="G55" i="1" s="1"/>
  <c r="K138" i="1"/>
  <c r="L203" i="1" s="1"/>
  <c r="L201" i="1" s="1"/>
  <c r="I138" i="1"/>
  <c r="S249" i="1"/>
  <c r="S251" i="1" s="1"/>
  <c r="Q168" i="1"/>
  <c r="Q109" i="1" s="1"/>
  <c r="V197" i="1"/>
  <c r="U185" i="1"/>
  <c r="R206" i="1"/>
  <c r="B157" i="1"/>
  <c r="B165" i="1" s="1"/>
  <c r="S196" i="1"/>
  <c r="BH157" i="1"/>
  <c r="BH165" i="1" s="1"/>
  <c r="C206" i="1"/>
  <c r="C205" i="1" s="1"/>
  <c r="E138" i="1"/>
  <c r="E246" i="1" s="1"/>
  <c r="O197" i="1"/>
  <c r="E37" i="1"/>
  <c r="L157" i="1"/>
  <c r="E168" i="1"/>
  <c r="E109" i="1" s="1"/>
  <c r="N197" i="1"/>
  <c r="F206" i="1"/>
  <c r="F205" i="1" s="1"/>
  <c r="D249" i="1"/>
  <c r="D251" i="1" s="1"/>
  <c r="D206" i="1"/>
  <c r="D37" i="1"/>
  <c r="D129" i="1"/>
  <c r="D55" i="1" s="1"/>
  <c r="B248" i="1"/>
  <c r="AR181" i="1"/>
  <c r="O207" i="1"/>
  <c r="O54" i="1"/>
  <c r="O175" i="1"/>
  <c r="E206" i="1"/>
  <c r="E207" i="1"/>
  <c r="E54" i="1"/>
  <c r="E175" i="1"/>
  <c r="BT184" i="1"/>
  <c r="G157" i="1"/>
  <c r="O129" i="1"/>
  <c r="O55" i="1" s="1"/>
  <c r="P207" i="1"/>
  <c r="U206" i="1"/>
  <c r="U205" i="1" s="1"/>
  <c r="B168" i="1"/>
  <c r="B109" i="1" s="1"/>
  <c r="T206" i="1"/>
  <c r="T205" i="1" s="1"/>
  <c r="D168" i="1"/>
  <c r="D109" i="1" s="1"/>
  <c r="D110" i="1" s="1"/>
  <c r="D113" i="1" s="1"/>
  <c r="C129" i="1"/>
  <c r="C55" i="1" s="1"/>
  <c r="C37" i="1"/>
  <c r="R138" i="1"/>
  <c r="S203" i="1" s="1"/>
  <c r="S201" i="1" s="1"/>
  <c r="R33" i="1"/>
  <c r="BR249" i="1"/>
  <c r="U249" i="1"/>
  <c r="U251" i="1" s="1"/>
  <c r="C203" i="1"/>
  <c r="C201" i="1" s="1"/>
  <c r="N207" i="1"/>
  <c r="N175" i="1"/>
  <c r="N54" i="1"/>
  <c r="N248" i="1"/>
  <c r="F198" i="1"/>
  <c r="F199" i="1" s="1"/>
  <c r="H196" i="1"/>
  <c r="H198" i="1" s="1"/>
  <c r="H199" i="1" s="1"/>
  <c r="K198" i="1"/>
  <c r="K199" i="1" s="1"/>
  <c r="O248" i="1"/>
  <c r="H166" i="1"/>
  <c r="K205" i="1"/>
  <c r="AX202" i="1"/>
  <c r="AW202" i="1"/>
  <c r="I205" i="1"/>
  <c r="N165" i="1"/>
  <c r="N166" i="1" s="1"/>
  <c r="S165" i="1"/>
  <c r="L244" i="1"/>
  <c r="L246" i="1"/>
  <c r="S246" i="1"/>
  <c r="S244" i="1"/>
  <c r="T203" i="1"/>
  <c r="T201" i="1" s="1"/>
  <c r="C69" i="1"/>
  <c r="C68" i="1"/>
  <c r="F181" i="1"/>
  <c r="F186" i="1"/>
  <c r="S181" i="1"/>
  <c r="S186" i="1"/>
  <c r="T198" i="1"/>
  <c r="T199" i="1" s="1"/>
  <c r="G205" i="1"/>
  <c r="D203" i="1"/>
  <c r="D201" i="1" s="1"/>
  <c r="L165" i="1"/>
  <c r="L166" i="1" s="1"/>
  <c r="S205" i="1"/>
  <c r="G198" i="1"/>
  <c r="G199" i="1" s="1"/>
  <c r="N246" i="1"/>
  <c r="N244" i="1"/>
  <c r="J246" i="1"/>
  <c r="J244" i="1"/>
  <c r="U244" i="1"/>
  <c r="U246" i="1"/>
  <c r="U203" i="1"/>
  <c r="U201" i="1" s="1"/>
  <c r="U213" i="1" s="1"/>
  <c r="D165" i="1"/>
  <c r="J205" i="1"/>
  <c r="I165" i="1"/>
  <c r="I166" i="1" s="1"/>
  <c r="T166" i="1"/>
  <c r="L205" i="1"/>
  <c r="G165" i="1"/>
  <c r="V198" i="1"/>
  <c r="V199" i="1" s="1"/>
  <c r="G203" i="1"/>
  <c r="G201" i="1" s="1"/>
  <c r="G244" i="1"/>
  <c r="G246" i="1"/>
  <c r="H203" i="1"/>
  <c r="H201" i="1" s="1"/>
  <c r="I203" i="1"/>
  <c r="I201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M165" i="1"/>
  <c r="M166" i="1" s="1"/>
  <c r="D69" i="1"/>
  <c r="D68" i="1"/>
  <c r="AR202" i="1"/>
  <c r="AQ202" i="1"/>
  <c r="BB168" i="1"/>
  <c r="J184" i="1"/>
  <c r="J186" i="1"/>
  <c r="AV168" i="1"/>
  <c r="C184" i="1"/>
  <c r="BS33" i="1"/>
  <c r="BS134" i="1"/>
  <c r="BR138" i="1"/>
  <c r="AQ249" i="1"/>
  <c r="AN92" i="1"/>
  <c r="AN95" i="1" s="1"/>
  <c r="AN248" i="1"/>
  <c r="AV249" i="1"/>
  <c r="AR206" i="1"/>
  <c r="AR249" i="1"/>
  <c r="AO134" i="1"/>
  <c r="AO33" i="1"/>
  <c r="AN138" i="1"/>
  <c r="AN246" i="1" s="1"/>
  <c r="BC33" i="1"/>
  <c r="BB138" i="1"/>
  <c r="BC134" i="1"/>
  <c r="AV206" i="1"/>
  <c r="BT129" i="1"/>
  <c r="E184" i="1"/>
  <c r="E186" i="1"/>
  <c r="BN168" i="1"/>
  <c r="BN129" i="1"/>
  <c r="BC206" i="1"/>
  <c r="BC249" i="1"/>
  <c r="G186" i="1"/>
  <c r="G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T19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D17" i="1"/>
  <c r="BD28" i="1"/>
  <c r="BD30" i="1" s="1"/>
  <c r="BD18" i="1"/>
  <c r="BC19" i="1"/>
  <c r="BF29" i="1"/>
  <c r="BF34" i="1"/>
  <c r="BF38" i="1" s="1"/>
  <c r="BF232" i="1"/>
  <c r="BF233" i="1" s="1"/>
  <c r="BO28" i="1"/>
  <c r="V59" i="1"/>
  <c r="BP19" i="1"/>
  <c r="BO18" i="1"/>
  <c r="BO17" i="1"/>
  <c r="BD19" i="1"/>
  <c r="S59" i="1"/>
  <c r="BC28" i="1"/>
  <c r="BC17" i="1"/>
  <c r="BC18" i="1"/>
  <c r="BR28" i="1"/>
  <c r="BR19" i="1"/>
  <c r="BR17" i="1"/>
  <c r="AZ29" i="1"/>
  <c r="AZ232" i="1"/>
  <c r="AZ233" i="1" s="1"/>
  <c r="AZ34" i="1"/>
  <c r="AZ38" i="1" s="1"/>
  <c r="BH18" i="1"/>
  <c r="BB18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BO19" i="1"/>
  <c r="BG19" i="1"/>
  <c r="BG18" i="1"/>
  <c r="BG17" i="1"/>
  <c r="BH19" i="1"/>
  <c r="BK18" i="1"/>
  <c r="T59" i="1"/>
  <c r="BG28" i="1"/>
  <c r="AN18" i="1"/>
  <c r="AN19" i="1"/>
  <c r="AV28" i="1"/>
  <c r="AV17" i="1"/>
  <c r="AW19" i="1"/>
  <c r="AZ18" i="1"/>
  <c r="BU19" i="1"/>
  <c r="BT28" i="1"/>
  <c r="BX18" i="1"/>
  <c r="BT17" i="1"/>
  <c r="BT18" i="1"/>
  <c r="BW138" i="1"/>
  <c r="BX33" i="1"/>
  <c r="AY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J33" i="1"/>
  <c r="BI138" i="1"/>
  <c r="BJ203" i="1" s="1"/>
  <c r="BJ201" i="1" s="1"/>
  <c r="BB17" i="1"/>
  <c r="R59" i="1"/>
  <c r="BB28" i="1"/>
  <c r="BF18" i="1"/>
  <c r="BJ41" i="1"/>
  <c r="BJ40" i="1"/>
  <c r="CR194" i="1"/>
  <c r="CR132" i="1"/>
  <c r="CQ203" i="1"/>
  <c r="CQ201" i="1" s="1"/>
  <c r="AB206" i="1"/>
  <c r="DB63" i="1"/>
  <c r="DB65" i="1" s="1"/>
  <c r="DA65" i="1"/>
  <c r="Q198" i="1" l="1"/>
  <c r="Q199" i="1" s="1"/>
  <c r="N198" i="1"/>
  <c r="N199" i="1" s="1"/>
  <c r="B186" i="1"/>
  <c r="B181" i="1"/>
  <c r="O198" i="1"/>
  <c r="O199" i="1" s="1"/>
  <c r="L198" i="1"/>
  <c r="L199" i="1" s="1"/>
  <c r="K244" i="1"/>
  <c r="K246" i="1"/>
  <c r="P186" i="1"/>
  <c r="P181" i="1"/>
  <c r="O246" i="1"/>
  <c r="P203" i="1"/>
  <c r="P201" i="1" s="1"/>
  <c r="I184" i="1"/>
  <c r="I186" i="1"/>
  <c r="U184" i="1"/>
  <c r="U186" i="1"/>
  <c r="T186" i="1"/>
  <c r="T181" i="1"/>
  <c r="O203" i="1"/>
  <c r="O201" i="1" s="1"/>
  <c r="O244" i="1"/>
  <c r="R186" i="1"/>
  <c r="M186" i="1"/>
  <c r="BI19" i="1"/>
  <c r="BB19" i="1"/>
  <c r="F165" i="1"/>
  <c r="BJ30" i="1"/>
  <c r="S198" i="1"/>
  <c r="S199" i="1" s="1"/>
  <c r="V165" i="1"/>
  <c r="V166" i="1" s="1"/>
  <c r="B110" i="1"/>
  <c r="B113" i="1" s="1"/>
  <c r="V205" i="1"/>
  <c r="S166" i="1"/>
  <c r="V203" i="1"/>
  <c r="V201" i="1" s="1"/>
  <c r="V244" i="1"/>
  <c r="V246" i="1"/>
  <c r="Q246" i="1"/>
  <c r="Q244" i="1"/>
  <c r="Q203" i="1"/>
  <c r="Q201" i="1" s="1"/>
  <c r="P213" i="1"/>
  <c r="Q186" i="1"/>
  <c r="Q184" i="1"/>
  <c r="V184" i="1"/>
  <c r="V186" i="1"/>
  <c r="N186" i="1"/>
  <c r="N181" i="1"/>
  <c r="O186" i="1"/>
  <c r="O184" i="1"/>
  <c r="BF19" i="1"/>
  <c r="BS28" i="1"/>
  <c r="BS17" i="1"/>
  <c r="BH28" i="1"/>
  <c r="BH17" i="1"/>
  <c r="BL18" i="1"/>
  <c r="AN28" i="1"/>
  <c r="AO19" i="1"/>
  <c r="AR18" i="1"/>
  <c r="AN17" i="1"/>
  <c r="AV18" i="1"/>
  <c r="AR165" i="1"/>
  <c r="AR246" i="1"/>
  <c r="AR244" i="1"/>
  <c r="BE18" i="1"/>
  <c r="F166" i="1"/>
  <c r="BI18" i="1"/>
  <c r="BE19" i="1"/>
  <c r="BE28" i="1"/>
  <c r="BE17" i="1"/>
  <c r="BS19" i="1"/>
  <c r="BT19" i="1"/>
  <c r="BS18" i="1"/>
  <c r="AR28" i="1"/>
  <c r="AR17" i="1"/>
  <c r="AS19" i="1"/>
  <c r="AW28" i="1"/>
  <c r="AW30" i="1" s="1"/>
  <c r="AW17" i="1"/>
  <c r="AW18" i="1"/>
  <c r="AX19" i="1"/>
  <c r="BA18" i="1"/>
  <c r="BV95" i="1"/>
  <c r="BV94" i="1"/>
  <c r="BV96" i="1"/>
  <c r="BA28" i="1"/>
  <c r="BA226" i="1" s="1"/>
  <c r="BA17" i="1"/>
  <c r="AU18" i="1"/>
  <c r="AQ19" i="1"/>
  <c r="AQ28" i="1"/>
  <c r="P59" i="1"/>
  <c r="AQ18" i="1"/>
  <c r="AQ17" i="1"/>
  <c r="AR19" i="1"/>
  <c r="AV19" i="1"/>
  <c r="AU28" i="1"/>
  <c r="AY18" i="1"/>
  <c r="AU17" i="1"/>
  <c r="Q59" i="1"/>
  <c r="AU19" i="1"/>
  <c r="AT232" i="1"/>
  <c r="AT233" i="1" s="1"/>
  <c r="AT29" i="1"/>
  <c r="AT34" i="1"/>
  <c r="AT38" i="1" s="1"/>
  <c r="AI17" i="1"/>
  <c r="AJ19" i="1"/>
  <c r="R205" i="1"/>
  <c r="BH166" i="1"/>
  <c r="BW18" i="1"/>
  <c r="BW19" i="1"/>
  <c r="BW17" i="1"/>
  <c r="X59" i="1"/>
  <c r="CA18" i="1"/>
  <c r="BX19" i="1"/>
  <c r="BW28" i="1"/>
  <c r="BX226" i="1" s="1"/>
  <c r="BV109" i="1"/>
  <c r="BW37" i="1"/>
  <c r="X203" i="1"/>
  <c r="X201" i="1" s="1"/>
  <c r="W203" i="1"/>
  <c r="W201" i="1" s="1"/>
  <c r="BV34" i="1"/>
  <c r="BV38" i="1" s="1"/>
  <c r="BZ30" i="1"/>
  <c r="BV29" i="1"/>
  <c r="BV232" i="1"/>
  <c r="BV233" i="1" s="1"/>
  <c r="BH109" i="1"/>
  <c r="BI37" i="1"/>
  <c r="K203" i="1"/>
  <c r="K201" i="1" s="1"/>
  <c r="J165" i="1"/>
  <c r="J166" i="1" s="1"/>
  <c r="AS138" i="1"/>
  <c r="AT33" i="1"/>
  <c r="P246" i="1"/>
  <c r="P244" i="1"/>
  <c r="P165" i="1"/>
  <c r="P166" i="1" s="1"/>
  <c r="BV181" i="1"/>
  <c r="BV186" i="1"/>
  <c r="BH94" i="1"/>
  <c r="BH95" i="1"/>
  <c r="BH96" i="1"/>
  <c r="O166" i="1"/>
  <c r="D205" i="1"/>
  <c r="O205" i="1"/>
  <c r="O210" i="1" s="1"/>
  <c r="O211" i="1" s="1"/>
  <c r="I244" i="1"/>
  <c r="I246" i="1"/>
  <c r="J203" i="1"/>
  <c r="J201" i="1" s="1"/>
  <c r="J213" i="1" s="1"/>
  <c r="C166" i="1"/>
  <c r="C244" i="1"/>
  <c r="N205" i="1"/>
  <c r="E165" i="1"/>
  <c r="E166" i="1" s="1"/>
  <c r="K186" i="1"/>
  <c r="L189" i="1" s="1"/>
  <c r="L190" i="1" s="1"/>
  <c r="P205" i="1"/>
  <c r="P210" i="1" s="1"/>
  <c r="P211" i="1" s="1"/>
  <c r="G166" i="1"/>
  <c r="N59" i="1"/>
  <c r="D111" i="1"/>
  <c r="D114" i="1" s="1"/>
  <c r="AI28" i="1"/>
  <c r="C186" i="1"/>
  <c r="B69" i="1"/>
  <c r="B68" i="1"/>
  <c r="E244" i="1"/>
  <c r="AM18" i="1"/>
  <c r="V189" i="1"/>
  <c r="V190" i="1" s="1"/>
  <c r="F203" i="1"/>
  <c r="F201" i="1" s="1"/>
  <c r="F213" i="1" s="1"/>
  <c r="R203" i="1"/>
  <c r="R201" i="1" s="1"/>
  <c r="E203" i="1"/>
  <c r="E201" i="1" s="1"/>
  <c r="E213" i="1" s="1"/>
  <c r="D213" i="1"/>
  <c r="R244" i="1"/>
  <c r="R246" i="1"/>
  <c r="B111" i="1"/>
  <c r="B114" i="1" s="1"/>
  <c r="S213" i="1"/>
  <c r="E205" i="1"/>
  <c r="R165" i="1"/>
  <c r="R166" i="1" s="1"/>
  <c r="Q213" i="1"/>
  <c r="T210" i="1"/>
  <c r="T211" i="1" s="1"/>
  <c r="T213" i="1"/>
  <c r="U210" i="1"/>
  <c r="U211" i="1" s="1"/>
  <c r="S210" i="1"/>
  <c r="S211" i="1" s="1"/>
  <c r="I213" i="1"/>
  <c r="H213" i="1"/>
  <c r="D70" i="1"/>
  <c r="C85" i="1"/>
  <c r="C86" i="1"/>
  <c r="C87" i="1"/>
  <c r="C70" i="1"/>
  <c r="B89" i="1"/>
  <c r="B166" i="1"/>
  <c r="B244" i="1"/>
  <c r="D244" i="1"/>
  <c r="D166" i="1"/>
  <c r="H210" i="1"/>
  <c r="H211" i="1" s="1"/>
  <c r="Q210" i="1"/>
  <c r="Q211" i="1" s="1"/>
  <c r="I210" i="1"/>
  <c r="I211" i="1" s="1"/>
  <c r="M213" i="1"/>
  <c r="N213" i="1"/>
  <c r="N210" i="1"/>
  <c r="N211" i="1" s="1"/>
  <c r="M210" i="1"/>
  <c r="M211" i="1" s="1"/>
  <c r="I189" i="1"/>
  <c r="I190" i="1" s="1"/>
  <c r="G210" i="1"/>
  <c r="G211" i="1" s="1"/>
  <c r="G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BR165" i="1"/>
  <c r="BR166" i="1" s="1"/>
  <c r="BB109" i="1"/>
  <c r="BC37" i="1"/>
  <c r="L213" i="1"/>
  <c r="L210" i="1"/>
  <c r="L211" i="1" s="1"/>
  <c r="D85" i="1"/>
  <c r="D86" i="1"/>
  <c r="D87" i="1"/>
  <c r="C89" i="1"/>
  <c r="AN165" i="1"/>
  <c r="AN166" i="1" s="1"/>
  <c r="BP165" i="1"/>
  <c r="BP166" i="1" s="1"/>
  <c r="BN109" i="1"/>
  <c r="BO37" i="1"/>
  <c r="AZ33" i="1"/>
  <c r="AY138" i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L112" i="1"/>
  <c r="AT30" i="1"/>
  <c r="BS226" i="1"/>
  <c r="BO30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32" i="1"/>
  <c r="AS233" i="1" s="1"/>
  <c r="AS34" i="1"/>
  <c r="AS38" i="1" s="1"/>
  <c r="AT31" i="1"/>
  <c r="AS250" i="1"/>
  <c r="AS251" i="1" s="1"/>
  <c r="AS29" i="1"/>
  <c r="AT250" i="1"/>
  <c r="AT251" i="1" s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AT41" i="1"/>
  <c r="AT40" i="1"/>
  <c r="CR134" i="1"/>
  <c r="AE142" i="1"/>
  <c r="AC124" i="1"/>
  <c r="AR166" i="1" l="1"/>
  <c r="N189" i="1"/>
  <c r="N190" i="1" s="1"/>
  <c r="D210" i="1"/>
  <c r="D211" i="1" s="1"/>
  <c r="R210" i="1"/>
  <c r="R211" i="1" s="1"/>
  <c r="K210" i="1"/>
  <c r="K211" i="1" s="1"/>
  <c r="K213" i="1"/>
  <c r="J210" i="1"/>
  <c r="J211" i="1" s="1"/>
  <c r="AR232" i="1"/>
  <c r="AR233" i="1" s="1"/>
  <c r="AR34" i="1"/>
  <c r="AR38" i="1" s="1"/>
  <c r="AS31" i="1"/>
  <c r="AR29" i="1"/>
  <c r="AW34" i="1"/>
  <c r="AW38" i="1" s="1"/>
  <c r="AW29" i="1"/>
  <c r="AW232" i="1"/>
  <c r="AW233" i="1" s="1"/>
  <c r="BA30" i="1"/>
  <c r="BA31" i="1"/>
  <c r="BA34" i="1"/>
  <c r="BA38" i="1" s="1"/>
  <c r="BA232" i="1"/>
  <c r="BA233" i="1" s="1"/>
  <c r="BA29" i="1"/>
  <c r="BA250" i="1"/>
  <c r="BA251" i="1" s="1"/>
  <c r="AQ250" i="1"/>
  <c r="AQ251" i="1" s="1"/>
  <c r="AQ31" i="1"/>
  <c r="AS226" i="1"/>
  <c r="AS112" i="1"/>
  <c r="AS203" i="1"/>
  <c r="AS201" i="1" s="1"/>
  <c r="AT203" i="1"/>
  <c r="AT201" i="1" s="1"/>
  <c r="AJ31" i="1"/>
  <c r="AL112" i="1"/>
  <c r="AI29" i="1"/>
  <c r="AM30" i="1"/>
  <c r="AI34" i="1"/>
  <c r="N60" i="1"/>
  <c r="AL226" i="1"/>
  <c r="AI232" i="1"/>
  <c r="AI233" i="1" s="1"/>
  <c r="BV189" i="1"/>
  <c r="BZ189" i="1"/>
  <c r="C189" i="1"/>
  <c r="C190" i="1" s="1"/>
  <c r="D189" i="1"/>
  <c r="D190" i="1" s="1"/>
  <c r="E210" i="1"/>
  <c r="E211" i="1" s="1"/>
  <c r="R213" i="1"/>
  <c r="K189" i="1"/>
  <c r="K190" i="1" s="1"/>
  <c r="B87" i="1"/>
  <c r="B86" i="1"/>
  <c r="B85" i="1"/>
  <c r="F210" i="1"/>
  <c r="F211" i="1" s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V55" i="1"/>
  <c r="BD40" i="1"/>
  <c r="BD41" i="1"/>
  <c r="BO41" i="1"/>
  <c r="BO40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X38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CR138" i="1"/>
  <c r="CS32" i="1"/>
  <c r="BD55" i="1" l="1"/>
  <c r="AL114" i="1"/>
  <c r="AL113" i="1"/>
  <c r="AI38" i="1"/>
  <c r="AL55" i="1"/>
  <c r="AZ55" i="1"/>
  <c r="AR41" i="1"/>
  <c r="AR40" i="1"/>
  <c r="AW41" i="1"/>
  <c r="AW40" i="1"/>
  <c r="BA41" i="1"/>
  <c r="BA40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CS194" i="1"/>
  <c r="CS132" i="1"/>
  <c r="CR203" i="1"/>
  <c r="CR201" i="1" s="1"/>
  <c r="AC125" i="1"/>
  <c r="AC128" i="1" s="1"/>
  <c r="AC249" i="1" s="1"/>
  <c r="AR48" i="1" l="1"/>
  <c r="AR234" i="1"/>
  <c r="AS44" i="1"/>
  <c r="AR42" i="1"/>
  <c r="AR245" i="1" s="1"/>
  <c r="AW42" i="1"/>
  <c r="AW245" i="1" s="1"/>
  <c r="BA43" i="1"/>
  <c r="AW234" i="1"/>
  <c r="AW48" i="1"/>
  <c r="BA42" i="1"/>
  <c r="BA245" i="1" s="1"/>
  <c r="BA48" i="1"/>
  <c r="BA234" i="1"/>
  <c r="BA44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CS134" i="1"/>
  <c r="AC206" i="1"/>
  <c r="CA226" i="1"/>
  <c r="CB226" i="1"/>
  <c r="BU226" i="1"/>
  <c r="AR66" i="1" l="1"/>
  <c r="AR193" i="1"/>
  <c r="AR195" i="1" s="1"/>
  <c r="AR52" i="1"/>
  <c r="AW52" i="1"/>
  <c r="AW119" i="1"/>
  <c r="AW120" i="1" s="1"/>
  <c r="AW54" i="1" s="1"/>
  <c r="AW66" i="1"/>
  <c r="AW193" i="1"/>
  <c r="AW195" i="1" s="1"/>
  <c r="BA119" i="1"/>
  <c r="BA120" i="1" s="1"/>
  <c r="BA66" i="1"/>
  <c r="BA193" i="1"/>
  <c r="BA195" i="1" s="1"/>
  <c r="BA52" i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CS138" i="1"/>
  <c r="CT32" i="1"/>
  <c r="AD124" i="1"/>
  <c r="W59" i="1"/>
  <c r="AX207" i="1" l="1"/>
  <c r="AX205" i="1" s="1"/>
  <c r="BA54" i="1"/>
  <c r="AW92" i="1"/>
  <c r="AW207" i="1"/>
  <c r="AW205" i="1" s="1"/>
  <c r="AW129" i="1"/>
  <c r="AW55" i="1" s="1"/>
  <c r="BA129" i="1"/>
  <c r="BA55" i="1" s="1"/>
  <c r="BA207" i="1"/>
  <c r="BA205" i="1" s="1"/>
  <c r="BB207" i="1"/>
  <c r="BB205" i="1" s="1"/>
  <c r="BA92" i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AW96" i="1" l="1"/>
  <c r="AW94" i="1"/>
  <c r="AW95" i="1"/>
  <c r="BA96" i="1"/>
  <c r="BA94" i="1"/>
  <c r="BA95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3" i="2"/>
  <c r="C111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16" i="1" s="1"/>
  <c r="CU15" i="1" s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44" i="1"/>
  <c r="CY8" i="1"/>
  <c r="CY253" i="1" s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U18" i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28" i="1" l="1"/>
  <c r="CY10" i="1"/>
  <c r="CY231" i="1"/>
  <c r="CU156" i="1"/>
  <c r="CU14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Y145" i="1" l="1"/>
  <c r="CY16" i="1"/>
  <c r="CY15" i="1" s="1"/>
  <c r="CY153" i="1"/>
  <c r="CY146" i="1"/>
  <c r="CY152" i="1"/>
  <c r="CY26" i="1"/>
  <c r="CY23" i="1" s="1"/>
  <c r="CY144" i="1"/>
  <c r="CU157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5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CY18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48" i="1" l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34" i="1"/>
  <c r="CY30" i="1"/>
  <c r="CY29" i="1"/>
  <c r="CY232" i="1"/>
  <c r="CY233" i="1" s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8" i="1"/>
  <c r="AA111" i="1"/>
  <c r="AA87" i="1"/>
  <c r="AA86" i="1"/>
  <c r="AA114" i="1"/>
  <c r="AA85" i="1"/>
  <c r="AA107" i="1"/>
  <c r="AA110" i="1"/>
  <c r="AA113" i="1"/>
  <c r="AA99" i="1"/>
  <c r="AA92" i="1"/>
  <c r="AA94" i="1"/>
  <c r="AA96" i="1"/>
  <c r="AA95" i="1"/>
  <c r="AA103" i="1"/>
  <c r="AA102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AC65" i="1"/>
  <c r="AD63" i="1"/>
  <c r="Z108" i="1"/>
  <c r="Z111" i="1"/>
  <c r="Z114" i="1"/>
  <c r="Z99" i="1"/>
  <c r="Z107" i="1"/>
  <c r="Z110" i="1"/>
  <c r="Z113" i="1"/>
  <c r="Z92" i="1"/>
  <c r="Z66" i="1"/>
  <c r="Y65" i="1"/>
  <c r="X63" i="1"/>
  <c r="AD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Z69" i="1"/>
  <c r="Z94" i="1"/>
  <c r="Z103" i="1"/>
  <c r="S65" i="1"/>
  <c r="S66" i="1"/>
  <c r="S69" i="1"/>
  <c r="P63" i="1"/>
  <c r="O63" i="1"/>
  <c r="N63" i="1"/>
  <c r="M63" i="1"/>
  <c r="L63" i="1"/>
  <c r="K63" i="1"/>
  <c r="K65" i="1"/>
  <c r="K66" i="1"/>
  <c r="K69" i="1"/>
  <c r="K70" i="1"/>
  <c r="V65" i="1"/>
  <c r="V66" i="1"/>
  <c r="V69" i="1"/>
  <c r="U89" i="1"/>
  <c r="V70" i="1"/>
  <c r="J63" i="1"/>
  <c r="I63" i="1"/>
  <c r="H63" i="1"/>
  <c r="H65" i="1"/>
  <c r="H66" i="1"/>
  <c r="V108" i="1"/>
  <c r="V111" i="1"/>
  <c r="V114" i="1"/>
  <c r="R65" i="1"/>
  <c r="R92" i="1"/>
  <c r="R95" i="1"/>
  <c r="O65" i="1"/>
  <c r="O92" i="1"/>
  <c r="O94" i="1"/>
  <c r="V68" i="1"/>
  <c r="K68" i="1"/>
  <c r="V85" i="1"/>
  <c r="G63" i="1"/>
  <c r="F63" i="1"/>
  <c r="E63" i="1"/>
  <c r="E65" i="1"/>
  <c r="E92" i="1"/>
  <c r="E94" i="1"/>
  <c r="AB108" i="1"/>
  <c r="AB111" i="1"/>
  <c r="AC66" i="1"/>
  <c r="AC108" i="1"/>
  <c r="H69" i="1"/>
  <c r="H85" i="1"/>
  <c r="AE63" i="1"/>
  <c r="AE65" i="1"/>
  <c r="X65" i="1"/>
  <c r="X107" i="1"/>
  <c r="X110" i="1"/>
  <c r="X113" i="1"/>
  <c r="X108" i="1"/>
  <c r="X111" i="1"/>
  <c r="X114" i="1"/>
  <c r="Y68" i="1"/>
  <c r="Y69" i="1"/>
  <c r="Y103" i="1"/>
  <c r="Y102" i="1"/>
  <c r="Y104" i="1"/>
  <c r="Y95" i="1"/>
  <c r="Y94" i="1"/>
  <c r="Y96" i="1"/>
  <c r="Z85" i="1"/>
  <c r="Z86" i="1"/>
  <c r="Z87" i="1"/>
  <c r="X99" i="1"/>
  <c r="X104" i="1"/>
  <c r="X102" i="1"/>
  <c r="X92" i="1"/>
  <c r="X94" i="1"/>
  <c r="Y85" i="1"/>
  <c r="Y86" i="1"/>
  <c r="Y87" i="1"/>
  <c r="X66" i="1"/>
  <c r="X69" i="1"/>
  <c r="Y70" i="1"/>
  <c r="X68" i="1"/>
  <c r="X95" i="1"/>
  <c r="X96" i="1"/>
  <c r="Z70" i="1"/>
  <c r="X103" i="1"/>
  <c r="X85" i="1"/>
  <c r="X86" i="1"/>
  <c r="X87" i="1"/>
  <c r="I65" i="1"/>
  <c r="I99" i="1"/>
  <c r="U65" i="1"/>
  <c r="U99" i="1"/>
  <c r="F65" i="1"/>
  <c r="F99" i="1"/>
  <c r="T65" i="1"/>
  <c r="Q65" i="1"/>
  <c r="Q99" i="1"/>
  <c r="R99" i="1"/>
  <c r="N65" i="1"/>
  <c r="N66" i="1"/>
  <c r="N69" i="1"/>
  <c r="E99" i="1"/>
  <c r="V99" i="1"/>
  <c r="H99" i="1"/>
  <c r="G65" i="1"/>
  <c r="G66" i="1"/>
  <c r="G69" i="1"/>
  <c r="R66" i="1"/>
  <c r="R69" i="1"/>
  <c r="K99" i="1"/>
  <c r="L65" i="1"/>
  <c r="L99" i="1"/>
  <c r="T99" i="1"/>
  <c r="P65" i="1"/>
  <c r="P99" i="1"/>
  <c r="G99" i="1"/>
  <c r="S99" i="1"/>
  <c r="J65" i="1"/>
  <c r="J99" i="1"/>
  <c r="N99" i="1"/>
  <c r="U66" i="1"/>
  <c r="U69" i="1"/>
  <c r="Q66" i="1"/>
  <c r="M65" i="1"/>
  <c r="M66" i="1"/>
  <c r="M69" i="1"/>
  <c r="E66" i="1"/>
  <c r="T66" i="1"/>
  <c r="J66" i="1"/>
  <c r="J69" i="1"/>
  <c r="L66" i="1"/>
  <c r="Q69" i="1"/>
  <c r="U70" i="1"/>
  <c r="T68" i="1"/>
  <c r="H68" i="1"/>
  <c r="H108" i="1"/>
  <c r="H102" i="1"/>
  <c r="G107" i="1"/>
  <c r="N107" i="1"/>
  <c r="E68" i="1"/>
  <c r="P89" i="1"/>
  <c r="S86" i="1"/>
  <c r="Q85" i="1"/>
  <c r="F66" i="1"/>
  <c r="F69" i="1"/>
  <c r="F86" i="1"/>
  <c r="S85" i="1"/>
  <c r="G92" i="1"/>
  <c r="U108" i="1"/>
  <c r="U85" i="1"/>
  <c r="G95" i="1"/>
  <c r="P108" i="1"/>
  <c r="P111" i="1"/>
  <c r="P114" i="1"/>
  <c r="N110" i="1"/>
  <c r="N113" i="1"/>
  <c r="F107" i="1"/>
  <c r="G96" i="1"/>
  <c r="N92" i="1"/>
  <c r="V107" i="1"/>
  <c r="V110" i="1"/>
  <c r="V113" i="1"/>
  <c r="T108" i="1"/>
  <c r="T111" i="1"/>
  <c r="T114" i="1"/>
  <c r="R107" i="1"/>
  <c r="R110" i="1"/>
  <c r="R94" i="1"/>
  <c r="E108" i="1"/>
  <c r="E111" i="1"/>
  <c r="E114" i="1"/>
  <c r="O96" i="1"/>
  <c r="Z68" i="1"/>
  <c r="E69" i="1"/>
  <c r="V102" i="1"/>
  <c r="Q87" i="1"/>
  <c r="T104" i="1"/>
  <c r="G103" i="1"/>
  <c r="N94" i="1"/>
  <c r="N96" i="1"/>
  <c r="Z89" i="1"/>
  <c r="AB107" i="1"/>
  <c r="AC68" i="1"/>
  <c r="L104" i="1"/>
  <c r="H104" i="1"/>
  <c r="N103" i="1"/>
  <c r="P104" i="1"/>
  <c r="N86" i="1"/>
  <c r="H107" i="1"/>
  <c r="H103" i="1"/>
  <c r="T103" i="1"/>
  <c r="T69" i="1"/>
  <c r="T86" i="1"/>
  <c r="J86" i="1"/>
  <c r="P66" i="1"/>
  <c r="P69" i="1"/>
  <c r="P87" i="1"/>
  <c r="J103" i="1"/>
  <c r="J89" i="1"/>
  <c r="N85" i="1"/>
  <c r="N102" i="1"/>
  <c r="N104" i="1"/>
  <c r="N108" i="1"/>
  <c r="N87" i="1"/>
  <c r="R108" i="1"/>
  <c r="R111" i="1"/>
  <c r="R114" i="1"/>
  <c r="H92" i="1"/>
  <c r="T92" i="1"/>
  <c r="I92" i="1"/>
  <c r="F92" i="1"/>
  <c r="U92" i="1"/>
  <c r="H111" i="1"/>
  <c r="H114" i="1"/>
  <c r="J92" i="1"/>
  <c r="P103" i="1"/>
  <c r="R102" i="1"/>
  <c r="S87" i="1"/>
  <c r="M87" i="1"/>
  <c r="J108" i="1"/>
  <c r="P102" i="1"/>
  <c r="F102" i="1"/>
  <c r="I89" i="1"/>
  <c r="K107" i="1"/>
  <c r="F87" i="1"/>
  <c r="K92" i="1"/>
  <c r="S92" i="1"/>
  <c r="Q92" i="1"/>
  <c r="O66" i="1"/>
  <c r="O69" i="1"/>
  <c r="O87" i="1"/>
  <c r="G87" i="1"/>
  <c r="R87" i="1"/>
  <c r="R104" i="1"/>
  <c r="U107" i="1"/>
  <c r="G85" i="1"/>
  <c r="P107" i="1"/>
  <c r="K87" i="1"/>
  <c r="K108" i="1"/>
  <c r="O89" i="1"/>
  <c r="R85" i="1"/>
  <c r="S108" i="1"/>
  <c r="J104" i="1"/>
  <c r="P85" i="1"/>
  <c r="M107" i="1"/>
  <c r="F85" i="1"/>
  <c r="I103" i="1"/>
  <c r="F108" i="1"/>
  <c r="I104" i="1"/>
  <c r="P70" i="1"/>
  <c r="N89" i="1"/>
  <c r="O86" i="1"/>
  <c r="O70" i="1"/>
  <c r="O85" i="1"/>
  <c r="T107" i="1"/>
  <c r="T89" i="1"/>
  <c r="E103" i="1"/>
  <c r="E89" i="1"/>
  <c r="E107" i="1"/>
  <c r="S103" i="1"/>
  <c r="S107" i="1"/>
  <c r="S89" i="1"/>
  <c r="G104" i="1"/>
  <c r="G108" i="1"/>
  <c r="U103" i="1"/>
  <c r="U86" i="1"/>
  <c r="G102" i="1"/>
  <c r="P86" i="1"/>
  <c r="K104" i="1"/>
  <c r="S104" i="1"/>
  <c r="M108" i="1"/>
  <c r="J87" i="1"/>
  <c r="M89" i="1"/>
  <c r="M86" i="1"/>
  <c r="I107" i="1"/>
  <c r="K86" i="1"/>
  <c r="K103" i="1"/>
  <c r="F104" i="1"/>
  <c r="I108" i="1"/>
  <c r="M92" i="1"/>
  <c r="V92" i="1"/>
  <c r="U111" i="1"/>
  <c r="S110" i="1"/>
  <c r="S113" i="1"/>
  <c r="F94" i="1"/>
  <c r="T87" i="1"/>
  <c r="L107" i="1"/>
  <c r="T110" i="1"/>
  <c r="Q108" i="1"/>
  <c r="O108" i="1"/>
  <c r="O111" i="1"/>
  <c r="O114" i="1"/>
  <c r="S96" i="1"/>
  <c r="L108" i="1"/>
  <c r="L111" i="1"/>
  <c r="E110" i="1"/>
  <c r="I95" i="1"/>
  <c r="F110" i="1"/>
  <c r="G110" i="1"/>
  <c r="G113" i="1"/>
  <c r="Q107" i="1"/>
  <c r="Q110" i="1"/>
  <c r="K95" i="1"/>
  <c r="U94" i="1"/>
  <c r="O107" i="1"/>
  <c r="O110" i="1"/>
  <c r="Q94" i="1"/>
  <c r="R113" i="1"/>
  <c r="P92" i="1"/>
  <c r="H110" i="1"/>
  <c r="H94" i="1"/>
  <c r="T95" i="1"/>
  <c r="J94" i="1"/>
  <c r="L110" i="1"/>
  <c r="I110" i="1"/>
  <c r="I113" i="1"/>
  <c r="M95" i="1"/>
  <c r="M110" i="1"/>
  <c r="S111" i="1"/>
  <c r="S114" i="1"/>
  <c r="Z104" i="1"/>
  <c r="G70" i="1"/>
  <c r="M85" i="1"/>
  <c r="R70" i="1"/>
  <c r="Q86" i="1"/>
  <c r="E85" i="1"/>
  <c r="S102" i="1"/>
  <c r="N95" i="1"/>
  <c r="X89" i="1"/>
  <c r="W65" i="1"/>
  <c r="W92" i="1"/>
  <c r="W94" i="1"/>
  <c r="W107" i="1"/>
  <c r="W110" i="1"/>
  <c r="W113" i="1"/>
  <c r="AB99" i="1"/>
  <c r="AC99" i="1"/>
  <c r="AE99" i="1"/>
  <c r="AB66" i="1"/>
  <c r="AB114" i="1"/>
  <c r="AC69" i="1"/>
  <c r="AC92" i="1"/>
  <c r="AC85" i="1"/>
  <c r="AC96" i="1"/>
  <c r="AC107" i="1"/>
  <c r="AC110" i="1"/>
  <c r="AC113" i="1"/>
  <c r="AC111" i="1"/>
  <c r="AC114" i="1"/>
  <c r="AD66" i="1"/>
  <c r="AD68" i="1"/>
  <c r="AD69" i="1"/>
  <c r="AD70" i="1"/>
  <c r="AD92" i="1"/>
  <c r="AD94" i="1"/>
  <c r="AD85" i="1"/>
  <c r="AC89" i="1"/>
  <c r="AD96" i="1"/>
  <c r="AD95" i="1"/>
  <c r="AD107" i="1"/>
  <c r="AD86" i="1"/>
  <c r="AD108" i="1"/>
  <c r="AD87" i="1"/>
  <c r="AD111" i="1"/>
  <c r="AD114" i="1"/>
  <c r="AD110" i="1"/>
  <c r="AD113" i="1"/>
  <c r="AE66" i="1"/>
  <c r="AE68" i="1"/>
  <c r="AE69" i="1"/>
  <c r="AE70" i="1"/>
  <c r="AE103" i="1"/>
  <c r="AE104" i="1"/>
  <c r="AE92" i="1"/>
  <c r="AE94" i="1"/>
  <c r="AE85" i="1"/>
  <c r="AD89" i="1"/>
  <c r="AE87" i="1"/>
  <c r="AE96" i="1"/>
  <c r="AE108" i="1"/>
  <c r="AE86" i="1"/>
  <c r="AE107" i="1"/>
  <c r="AE95" i="1"/>
  <c r="AE111" i="1"/>
  <c r="AE114" i="1"/>
  <c r="AE110" i="1"/>
  <c r="AE113" i="1"/>
  <c r="Z96" i="1"/>
  <c r="Z95" i="1"/>
  <c r="Z102" i="1"/>
  <c r="I66" i="1"/>
  <c r="O99" i="1"/>
  <c r="M99" i="1"/>
  <c r="I69" i="1"/>
  <c r="L69" i="1"/>
  <c r="S68" i="1"/>
  <c r="W99" i="1"/>
  <c r="W103" i="1"/>
  <c r="M68" i="1"/>
  <c r="G68" i="1"/>
  <c r="O104" i="1"/>
  <c r="Q68" i="1"/>
  <c r="U68" i="1"/>
  <c r="I68" i="1"/>
  <c r="J68" i="1"/>
  <c r="O102" i="1"/>
  <c r="P68" i="1"/>
  <c r="H70" i="1"/>
  <c r="D89" i="1"/>
  <c r="S70" i="1"/>
  <c r="M70" i="1"/>
  <c r="J85" i="1"/>
  <c r="V87" i="1"/>
  <c r="F103" i="1"/>
  <c r="R89" i="1"/>
  <c r="H87" i="1"/>
  <c r="G89" i="1"/>
  <c r="K85" i="1"/>
  <c r="L85" i="1"/>
  <c r="T85" i="1"/>
  <c r="N70" i="1"/>
  <c r="J70" i="1"/>
  <c r="K102" i="1"/>
  <c r="L68" i="1"/>
  <c r="N68" i="1"/>
  <c r="E104" i="1"/>
  <c r="R103" i="1"/>
  <c r="R68" i="1"/>
  <c r="L102" i="1"/>
  <c r="W102" i="1"/>
  <c r="Q70" i="1"/>
  <c r="I85" i="1"/>
  <c r="Q89" i="1"/>
  <c r="E102" i="1"/>
  <c r="Q102" i="1"/>
  <c r="F89" i="1"/>
  <c r="U104" i="1"/>
  <c r="L89" i="1"/>
  <c r="Q104" i="1"/>
  <c r="L87" i="1"/>
  <c r="L70" i="1"/>
  <c r="I70" i="1"/>
  <c r="K89" i="1"/>
  <c r="E87" i="1"/>
  <c r="W104" i="1"/>
  <c r="O103" i="1"/>
  <c r="I87" i="1"/>
  <c r="E86" i="1"/>
  <c r="M104" i="1"/>
  <c r="H89" i="1"/>
  <c r="M103" i="1"/>
  <c r="O68" i="1"/>
  <c r="F68" i="1"/>
  <c r="I86" i="1"/>
  <c r="L86" i="1"/>
  <c r="M102" i="1"/>
  <c r="Q96" i="1"/>
  <c r="V94" i="1"/>
  <c r="U96" i="1"/>
  <c r="H96" i="1"/>
  <c r="F96" i="1"/>
  <c r="J107" i="1"/>
  <c r="J110" i="1"/>
  <c r="G111" i="1"/>
  <c r="G114" i="1"/>
  <c r="J96" i="1"/>
  <c r="P110" i="1"/>
  <c r="P113" i="1"/>
  <c r="L92" i="1"/>
  <c r="M111" i="1"/>
  <c r="M114" i="1"/>
  <c r="F111" i="1"/>
  <c r="F114" i="1"/>
  <c r="J111" i="1"/>
  <c r="J114" i="1"/>
  <c r="S95" i="1"/>
  <c r="P96" i="1"/>
  <c r="L113" i="1"/>
  <c r="V96" i="1"/>
  <c r="E95" i="1"/>
  <c r="I111" i="1"/>
  <c r="I114" i="1"/>
  <c r="R96" i="1"/>
  <c r="U110" i="1"/>
  <c r="M113" i="1"/>
  <c r="O95" i="1"/>
  <c r="T102" i="1"/>
  <c r="T70" i="1"/>
  <c r="V86" i="1"/>
  <c r="E96" i="1"/>
  <c r="E70" i="1"/>
  <c r="W89" i="1"/>
  <c r="W66" i="1"/>
  <c r="W69" i="1"/>
  <c r="W86" i="1"/>
  <c r="X70" i="1"/>
  <c r="W85" i="1"/>
  <c r="W95" i="1"/>
  <c r="W108" i="1"/>
  <c r="Y89" i="1"/>
  <c r="AD99" i="1"/>
  <c r="AB92" i="1"/>
  <c r="AB69" i="1"/>
  <c r="AA89" i="1"/>
  <c r="AB85" i="1"/>
  <c r="AB86" i="1"/>
  <c r="AB110" i="1"/>
  <c r="AC70" i="1"/>
  <c r="AC94" i="1"/>
  <c r="AC104" i="1"/>
  <c r="I102" i="1"/>
  <c r="H86" i="1"/>
  <c r="J102" i="1"/>
  <c r="U87" i="1"/>
  <c r="L103" i="1"/>
  <c r="R86" i="1"/>
  <c r="U114" i="1"/>
  <c r="F70" i="1"/>
  <c r="Q103" i="1"/>
  <c r="V104" i="1"/>
  <c r="V103" i="1"/>
  <c r="T113" i="1"/>
  <c r="Q111" i="1"/>
  <c r="Q114" i="1"/>
  <c r="J95" i="1"/>
  <c r="K111" i="1"/>
  <c r="K114" i="1"/>
  <c r="E113" i="1"/>
  <c r="T94" i="1"/>
  <c r="F113" i="1"/>
  <c r="Q113" i="1"/>
  <c r="K110" i="1"/>
  <c r="K113" i="1"/>
  <c r="N111" i="1"/>
  <c r="N114" i="1"/>
  <c r="U95" i="1"/>
  <c r="H95" i="1"/>
  <c r="K94" i="1"/>
  <c r="L95" i="1"/>
  <c r="F95" i="1"/>
  <c r="G94" i="1"/>
  <c r="Q95" i="1"/>
  <c r="V95" i="1"/>
  <c r="L94" i="1"/>
  <c r="P95" i="1"/>
  <c r="M94" i="1"/>
  <c r="U102" i="1"/>
  <c r="G86" i="1"/>
  <c r="W111" i="1"/>
  <c r="W114" i="1"/>
  <c r="AC102" i="1"/>
  <c r="AE102" i="1"/>
  <c r="AB94" i="1"/>
  <c r="AB103" i="1"/>
  <c r="AC103" i="1"/>
  <c r="AC95" i="1"/>
  <c r="I94" i="1"/>
  <c r="T96" i="1"/>
  <c r="L114" i="1"/>
  <c r="S94" i="1"/>
  <c r="O113" i="1"/>
  <c r="H113" i="1"/>
  <c r="I96" i="1"/>
  <c r="K96" i="1"/>
  <c r="L96" i="1"/>
  <c r="P94" i="1"/>
  <c r="M96" i="1"/>
  <c r="U113" i="1"/>
  <c r="W68" i="1"/>
  <c r="V89" i="1"/>
  <c r="W70" i="1"/>
  <c r="W87" i="1"/>
  <c r="W96" i="1"/>
  <c r="AB102" i="1"/>
  <c r="AD102" i="1"/>
  <c r="AB68" i="1"/>
  <c r="AB104" i="1"/>
  <c r="AB87" i="1"/>
  <c r="AB113" i="1"/>
  <c r="AB89" i="1"/>
  <c r="AC86" i="1"/>
  <c r="AC87" i="1"/>
  <c r="J113" i="1"/>
  <c r="AB70" i="1"/>
  <c r="AB96" i="1"/>
  <c r="AB95" i="1"/>
  <c r="AD103" i="1"/>
  <c r="AD10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<sst xmlns="http://schemas.openxmlformats.org/spreadsheetml/2006/main" count="662" uniqueCount="523">
  <si>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</si>
  <si>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</si>
  <si>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</si>
  <si>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</si>
  <si>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</si>
  <si>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</si>
  <si>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</si>
  <si>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</si>
  <si>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</si>
  <si>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</si>
  <si>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</si>
  <si>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</si>
  <si>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</si>
  <si>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</si>
  <si>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</si>
  <si>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</si>
  <si>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</si>
  <si>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</si>
  <si>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</si>
  <si>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</si>
  <si>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</si>
  <si>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</si>
  <si>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</si>
  <si>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</si>
  <si>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</si>
  <si>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</si>
  <si>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</si>
  <si>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</si>
  <si>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</si>
  <si>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</si>
  <si>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</si>
  <si>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</si>
  <si>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</si>
  <si>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</si>
  <si>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</si>
  <si>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</si>
  <si>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</si>
  <si>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</si>
  <si>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</si>
  <si>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</si>
  <si>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</si>
  <si>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</si>
  <si>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</si>
  <si>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</si>
  <si>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</si>
  <si>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</si>
  <si>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</si>
  <si>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</si>
  <si>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</si>
  <si>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</si>
  <si>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</si>
  <si>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</si>
  <si>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</si>
  <si>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</si>
  <si>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</si>
  <si>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</si>
  <si>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</si>
  <si>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</si>
  <si>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</si>
  <si>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</si>
  <si>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</si>
  <si>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</si>
  <si>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</si>
  <si>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</si>
  <si>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</si>
  <si>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</si>
  <si>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</si>
  <si>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</si>
  <si>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</si>
  <si>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</si>
  <si>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</si>
  <si>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</si>
  <si>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</si>
  <si>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</si>
  <si>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</si>
  <si>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</si>
  <si>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</si>
  <si>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</si>
  <si>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</si>
  <si>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</si>
  <si>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</si>
  <si>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</si>
  <si>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</si>
  <si>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</si>
  <si>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</si>
  <si>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</si>
  <si>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</si>
  <si>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</si>
  <si>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</si>
  <si>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</si>
  <si>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</si>
  <si>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</si>
  <si>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</si>
  <si>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</si>
  <si>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</si>
  <si>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</si>
  <si>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</si>
  <si>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</si>
  <si>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</si>
  <si>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</si>
  <si>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</si>
  <si>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</si>
  <si>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</si>
  <si>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</si>
  <si>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</si>
  <si>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</si>
  <si>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</si>
  <si>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</si>
  <si>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</si>
  <si>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</si>
  <si>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</si>
  <si>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</si>
  <si>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</si>
  <si>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</si>
  <si>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</si>
  <si>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</si>
  <si>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</si>
  <si>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</si>
  <si>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</si>
  <si>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</si>
  <si>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</si>
  <si>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</si>
  <si>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</si>
  <si>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</si>
  <si>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</si>
  <si>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</si>
  <si>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</si>
  <si>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</si>
  <si>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</si>
  <si>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</si>
  <si>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</si>
  <si>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</si>
  <si>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</si>
  <si>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</si>
  <si>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</si>
  <si>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</si>
  <si>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</si>
  <si>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</si>
  <si>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</si>
  <si>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</si>
  <si>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</si>
  <si>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</si>
  <si>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</si>
  <si>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</si>
  <si>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</si>
  <si>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</si>
  <si>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</si>
  <si>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</si>
  <si>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</si>
  <si>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</si>
  <si>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</si>
  <si>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</si>
  <si>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</si>
  <si>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</si>
  <si>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</si>
  <si>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</si>
  <si>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</si>
  <si>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</si>
  <si>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</si>
  <si>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</si>
  <si>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</si>
  <si>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</si>
  <si>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</si>
  <si>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</si>
  <si>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</si>
  <si>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</si>
  <si>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</si>
  <si>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</si>
  <si>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</si>
  <si>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</si>
  <si>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</si>
  <si>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</si>
  <si>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</si>
  <si>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</si>
  <si>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</si>
  <si>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</si>
  <si>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</si>
  <si>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</si>
  <si>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</si>
  <si>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</si>
  <si>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</si>
  <si>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</si>
  <si>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</si>
  <si>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</si>
  <si>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</si>
  <si>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</si>
  <si>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</si>
  <si>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</si>
  <si>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</si>
  <si>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</si>
  <si>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</si>
  <si>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</si>
  <si>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</si>
  <si>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</si>
  <si>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</si>
  <si>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</si>
  <si>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</si>
  <si>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</si>
  <si>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</si>
  <si>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</si>
  <si>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</si>
  <si>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</si>
  <si>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</si>
  <si>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</si>
  <si>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</si>
  <si>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</si>
  <si>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</si>
  <si>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</si>
  <si>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</si>
  <si>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</si>
  <si>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</si>
  <si>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</si>
  <si>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</si>
  <si>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</si>
  <si>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</si>
  <si>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</si>
  <si>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</si>
  <si>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</si>
  <si>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</si>
  <si>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</si>
  <si>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</si>
  <si>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</si>
  <si>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</si>
  <si>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</si>
  <si>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</si>
  <si>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</si>
  <si>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</si>
  <si>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</si>
  <si>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</si>
  <si>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</si>
  <si>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</si>
  <si>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</si>
  <si>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</si>
  <si>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</si>
  <si>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</si>
  <si>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</si>
  <si>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</si>
  <si>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</si>
  <si>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</si>
  <si>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</si>
  <si>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</si>
  <si>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</si>
  <si>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</si>
  <si>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</si>
  <si>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</si>
  <si>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</si>
  <si>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</si>
  <si>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</si>
  <si>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</si>
  <si>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</si>
  <si>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</si>
  <si>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</si>
  <si>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</si>
  <si>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</si>
  <si>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</si>
  <si>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</si>
  <si>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</si>
  <si>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</si>
  <si>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</si>
  <si>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</si>
  <si>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</si>
  <si>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</si>
  <si>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</si>
  <si>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</si>
  <si>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</si>
  <si>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</si>
  <si>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</si>
  <si>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</si>
  <si>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</si>
  <si>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</si>
  <si>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</si>
  <si>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</si>
  <si>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</si>
  <si>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</si>
  <si>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</si>
  <si>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</si>
  <si>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</si>
  <si>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</si>
  <si>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</si>
  <si>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</si>
  <si>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</si>
  <si>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</si>
  <si>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</si>
  <si>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</si>
  <si>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</si>
  <si>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</si>
  <si>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</si>
  <si>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</si>
  <si>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</si>
  <si>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</si>
  <si>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</si>
  <si>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</si>
  <si>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</si>
  <si>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</si>
  <si>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</si>
  <si>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</si>
  <si>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</si>
  <si>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</si>
  <si>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</si>
  <si>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</si>
  <si>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</si>
  <si>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</si>
  <si>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</si>
  <si>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</si>
  <si>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</si>
  <si>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</si>
  <si>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</si>
  <si>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</si>
  <si>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</si>
  <si>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</si>
  <si>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</si>
  <si>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</si>
  <si>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</si>
  <si>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</si>
  <si>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</si>
  <si>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</si>
  <si>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</si>
  <si>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</si>
  <si>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</si>
  <si>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</si>
  <si>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</si>
  <si>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</si>
  <si>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</si>
  <si>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</si>
  <si>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</si>
  <si>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</si>
  <si>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</si>
  <si>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</si>
  <si>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</si>
  <si>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</si>
  <si>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</si>
  <si>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</si>
  <si>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</si>
  <si>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</si>
  <si>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</si>
  <si>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</si>
  <si>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</si>
  <si>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</si>
  <si>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</si>
  <si>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</si>
  <si>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</si>
  <si>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</si>
  <si>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</si>
  <si>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</si>
  <si>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</si>
  <si>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</si>
  <si>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</si>
  <si>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</si>
  <si>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</si>
  <si>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</si>
  <si>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</si>
  <si>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</si>
  <si>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</si>
  <si>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</si>
  <si>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</si>
  <si>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</si>
  <si>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</si>
  <si>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</si>
  <si>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</si>
  <si>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</si>
  <si>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</si>
  <si>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</si>
  <si>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</si>
  <si>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</si>
  <si>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</si>
  <si>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</si>
  <si>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</si>
  <si>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</si>
  <si>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</si>
  <si>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</si>
  <si>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</si>
  <si>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</si>
  <si>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</si>
  <si>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</si>
  <si>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</si>
  <si>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</si>
  <si>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</si>
  <si>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</si>
  <si>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</si>
  <si>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</si>
  <si>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</si>
  <si>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</si>
  <si>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</si>
  <si>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</si>
  <si>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</si>
  <si>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</si>
  <si>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</si>
  <si>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</si>
  <si>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</si>
  <si>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</si>
  <si>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</si>
  <si>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</si>
  <si>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</si>
  <si>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</si>
  <si>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</si>
  <si>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</si>
  <si>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</si>
  <si>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</si>
  <si>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</si>
  <si>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</si>
  <si>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</si>
  <si>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</si>
  <si>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</si>
  <si>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</si>
  <si>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</si>
  <si>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</si>
  <si>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</si>
  <si>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</si>
  <si>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</si>
  <si>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</si>
  <si>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</si>
  <si>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</si>
  <si>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</si>
  <si>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</si>
  <si>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</si>
  <si>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</si>
  <si>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</si>
  <si>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</si>
  <si>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</si>
  <si>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</si>
  <si>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</si>
  <si>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</si>
  <si>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</si>
  <si>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</si>
  <si>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</si>
  <si>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</si>
  <si>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</si>
  <si>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</si>
  <si>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</si>
  <si>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</si>
  <si>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</si>
  <si>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</si>
  <si>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</si>
  <si>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</si>
  <si>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</si>
  <si>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</si>
  <si>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</si>
  <si>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</si>
  <si>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</si>
  <si>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</si>
  <si>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</si>
  <si>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</si>
  <si>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</si>
  <si>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</si>
  <si>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</si>
  <si>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</si>
  <si>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</si>
  <si>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</si>
  <si>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</si>
  <si>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</si>
  <si>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</si>
  <si>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</si>
  <si>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</si>
  <si>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</si>
  <si>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</si>
  <si>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</si>
  <si>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</si>
  <si>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</si>
  <si>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</si>
  <si>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</si>
  <si>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</si>
  <si>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</si>
  <si>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</si>
  <si>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</si>
  <si>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</si>
  <si>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</si>
  <si>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</si>
  <si>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</si>
  <si>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</si>
  <si>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</si>
  <si>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</si>
  <si>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</si>
  <si>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</si>
  <si>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</si>
  <si>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</si>
  <si>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</si>
  <si>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</si>
  <si>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</si>
  <si>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</si>
  <si>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</si>
  <si>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</si>
  <si>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</si>
  <si>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</si>
  <si>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</si>
  <si>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</si>
  <si>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</si>
  <si>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</si>
  <si>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</si>
  <si>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</si>
  <si>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</si>
  <si>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</si>
  <si>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</si>
  <si>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</si>
  <si>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</si>
  <si>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</si>
  <si>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</si>
  <si>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</si>
  <si>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</si>
  <si>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</si>
  <si>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</si>
  <si>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</si>
  <si>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</si>
  <si>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</si>
  <si>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</si>
  <si>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</si>
  <si>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</si>
  <si>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</si>
  <si>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</si>
  <si>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</si>
  <si>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</si>
  <si>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</si>
  <si>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</si>
  <si>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</si>
  <si>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</si>
  <si>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</si>
  <si>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Glaxosmithkline Pharmaceuticals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</si>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</sst>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3821.67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3821.67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>
        <v>1.932662941508978E-2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4.460000000000016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910.44999999999993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436.15000000000003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2470.61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0.64647392370351187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>
        <v>4.759956671464094E-2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607.25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554.16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1161.4099999999999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0.30390117409404782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1309.2000000000003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0.34257274960946399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0.11197632132548407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66.44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0.2675579896907217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1242.7600000000002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145.36000000000001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2.73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 t="e">
        <v>#DIV/0!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1385.3900000000003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370.03000000000003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0.26709446437465256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1015.3600000000004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0.26568489691679303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0.10019493092900489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0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0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20.62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1035.9800000000002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1035.9800000000002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0.44780411216272248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0.54809430983232055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169.41</v>
      </c>
      <c r="F63" s="3">
        <f t="shared" ca="1" si="725"/>
        <v>169.41</v>
      </c>
      <c r="G63" s="3">
        <f t="shared" ca="1" si="725"/>
        <v>169.41</v>
      </c>
      <c r="H63" s="3">
        <f t="shared" ca="1" si="725"/>
        <v>169.41</v>
      </c>
      <c r="I63" s="3">
        <f t="shared" ca="1" si="725"/>
        <v>169.41</v>
      </c>
      <c r="J63" s="3">
        <f t="shared" ca="1" si="725"/>
        <v>169.41</v>
      </c>
      <c r="K63" s="3">
        <f t="shared" ca="1" si="725"/>
        <v>169.41</v>
      </c>
      <c r="L63" s="3">
        <f t="shared" ca="1" si="725"/>
        <v>169.41</v>
      </c>
      <c r="M63" s="3">
        <f t="shared" ca="1" si="725"/>
        <v>169.41</v>
      </c>
      <c r="N63" s="3">
        <f t="shared" ca="1" si="725"/>
        <v>169.41</v>
      </c>
      <c r="O63" s="3">
        <f t="shared" ca="1" si="725"/>
        <v>169.41</v>
      </c>
      <c r="P63" s="3">
        <f t="shared" ca="1" si="725"/>
        <v>169.41</v>
      </c>
      <c r="Q63" s="3">
        <f t="shared" ca="1" si="725"/>
        <v>169.41</v>
      </c>
      <c r="R63" s="3">
        <f t="shared" ca="1" si="725"/>
        <v>169.41</v>
      </c>
      <c r="S63" s="3">
        <f t="shared" ca="1" si="725"/>
        <v>169.41</v>
      </c>
      <c r="T63" s="3">
        <f t="shared" ca="1" si="725"/>
        <v>169.41</v>
      </c>
      <c r="U63" s="3">
        <f t="shared" ca="1" si="725"/>
        <v>169.41</v>
      </c>
      <c r="V63" s="3">
        <f t="shared" ca="1" si="725"/>
        <v>169.41</v>
      </c>
      <c r="W63" s="3">
        <f t="shared" ca="1" si="725"/>
        <v>169.41</v>
      </c>
      <c r="X63" s="3">
        <f t="shared" ca="1" si="725"/>
        <v>169.41</v>
      </c>
      <c r="Y63" s="3">
        <f t="shared" ca="1" si="725"/>
        <v>169.41</v>
      </c>
      <c r="Z63" s="3">
        <f ca="1">+AA63</f>
        <v>169.41</v>
      </c>
      <c r="AA63" s="3">
        <f ca="1">+AB63</f>
        <v>169.41</v>
      </c>
      <c r="AB63" s="37">
        <f t="shared" ref="AB63:AB64" ca="1" si="726">AA63</f>
        <v>169.41</v>
      </c>
      <c r="AC63" s="37">
        <f t="shared" ref="AC63:AC64" ca="1" si="727">AB63</f>
        <v>169.41</v>
      </c>
      <c r="AD63" s="37">
        <f t="shared" ref="AD63:AD64" ca="1" si="728">AC63</f>
        <v>169.41</v>
      </c>
      <c r="AE63" s="37">
        <f t="shared" ref="AE63:AE64" ca="1" si="729">AD63</f>
        <v>169.41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169.41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10</v>
      </c>
      <c r="F64" s="3">
        <f t="shared" ca="1" si="747"/>
        <v>10</v>
      </c>
      <c r="G64" s="3">
        <f t="shared" ca="1" si="747"/>
        <v>10</v>
      </c>
      <c r="H64" s="3">
        <f t="shared" ca="1" si="747"/>
        <v>10</v>
      </c>
      <c r="I64" s="3">
        <f t="shared" ca="1" si="747"/>
        <v>10</v>
      </c>
      <c r="J64" s="3">
        <f t="shared" ca="1" si="747"/>
        <v>10</v>
      </c>
      <c r="K64" s="3">
        <f t="shared" ca="1" si="747"/>
        <v>10</v>
      </c>
      <c r="L64" s="3">
        <f t="shared" ca="1" si="747"/>
        <v>10</v>
      </c>
      <c r="M64" s="3">
        <f t="shared" ca="1" si="747"/>
        <v>10</v>
      </c>
      <c r="N64" s="3">
        <f t="shared" ca="1" si="747"/>
        <v>10</v>
      </c>
      <c r="O64" s="3">
        <f t="shared" ca="1" si="747"/>
        <v>10</v>
      </c>
      <c r="P64" s="3">
        <f t="shared" ca="1" si="747"/>
        <v>10</v>
      </c>
      <c r="Q64" s="3">
        <f t="shared" ca="1" si="747"/>
        <v>10</v>
      </c>
      <c r="R64" s="3">
        <f t="shared" ca="1" si="747"/>
        <v>10</v>
      </c>
      <c r="S64" s="3">
        <f t="shared" ca="1" si="747"/>
        <v>10</v>
      </c>
      <c r="T64" s="3">
        <f t="shared" ca="1" si="747"/>
        <v>10</v>
      </c>
      <c r="U64" s="3">
        <f t="shared" ca="1" si="747"/>
        <v>10</v>
      </c>
      <c r="V64" s="3">
        <f t="shared" ca="1" si="747"/>
        <v>10</v>
      </c>
      <c r="W64" s="3">
        <f t="shared" ca="1" si="747"/>
        <v>10</v>
      </c>
      <c r="X64" s="3">
        <f t="shared" ca="1" si="747"/>
        <v>10</v>
      </c>
      <c r="Y64" s="3">
        <f t="shared" ca="1" si="747"/>
        <v>10</v>
      </c>
      <c r="Z64" s="3">
        <f ca="1">+AA64</f>
        <v>10</v>
      </c>
      <c r="AA64" s="3">
        <f ca="1">+AB64</f>
        <v>10</v>
      </c>
      <c r="AB64" s="37">
        <f t="shared" ca="1" si="726"/>
        <v>10</v>
      </c>
      <c r="AC64" s="37">
        <f t="shared" ca="1" si="727"/>
        <v>10</v>
      </c>
      <c r="AD64" s="37">
        <f t="shared" ca="1" si="728"/>
        <v>10</v>
      </c>
      <c r="AE64" s="37">
        <f t="shared" ca="1" si="729"/>
        <v>10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16.940999999999999</v>
      </c>
      <c r="F65" s="3">
        <f t="shared" ca="1" si="749"/>
        <v>16.940999999999999</v>
      </c>
      <c r="G65" s="3">
        <f t="shared" ca="1" si="749"/>
        <v>16.940999999999999</v>
      </c>
      <c r="H65" s="3">
        <f t="shared" ca="1" si="749"/>
        <v>16.940999999999999</v>
      </c>
      <c r="I65" s="3">
        <f t="shared" ca="1" si="749"/>
        <v>16.940999999999999</v>
      </c>
      <c r="J65" s="3">
        <f t="shared" ca="1" si="749"/>
        <v>16.940999999999999</v>
      </c>
      <c r="K65" s="3">
        <f t="shared" ca="1" si="749"/>
        <v>16.940999999999999</v>
      </c>
      <c r="L65" s="3">
        <f t="shared" ca="1" si="749"/>
        <v>16.940999999999999</v>
      </c>
      <c r="M65" s="3">
        <f t="shared" ca="1" si="749"/>
        <v>16.940999999999999</v>
      </c>
      <c r="N65" s="3">
        <f t="shared" ca="1" si="749"/>
        <v>16.940999999999999</v>
      </c>
      <c r="O65" s="3">
        <f t="shared" ca="1" si="749"/>
        <v>16.940999999999999</v>
      </c>
      <c r="P65" s="3">
        <f t="shared" ca="1" si="749"/>
        <v>16.940999999999999</v>
      </c>
      <c r="Q65" s="3">
        <f t="shared" ca="1" si="749"/>
        <v>16.940999999999999</v>
      </c>
      <c r="R65" s="3">
        <f t="shared" ca="1" si="749"/>
        <v>16.940999999999999</v>
      </c>
      <c r="S65" s="3">
        <f t="shared" ca="1" si="749"/>
        <v>16.940999999999999</v>
      </c>
      <c r="T65" s="3">
        <f t="shared" ca="1" si="749"/>
        <v>16.940999999999999</v>
      </c>
      <c r="U65" s="3">
        <f t="shared" ca="1" si="749"/>
        <v>16.940999999999999</v>
      </c>
      <c r="V65" s="3">
        <f ca="1">V63/V64</f>
        <v>16.940999999999999</v>
      </c>
      <c r="W65" s="3">
        <f t="shared" ca="1" si="749"/>
        <v>16.940999999999999</v>
      </c>
      <c r="X65" s="3">
        <f t="shared" ref="X65:Y65" ca="1" si="750">X63/X64</f>
        <v>16.940999999999999</v>
      </c>
      <c r="Y65" s="3">
        <f t="shared" ca="1" si="750"/>
        <v>16.940999999999999</v>
      </c>
      <c r="Z65" s="3">
        <f t="shared" ref="Z65:AA65" ca="1" si="751">Z63/Z64</f>
        <v>16.940999999999999</v>
      </c>
      <c r="AA65" s="3">
        <f t="shared" ca="1" si="751"/>
        <v>16.940999999999999</v>
      </c>
      <c r="AB65" s="37">
        <f t="shared" ref="AA65:AD65" ca="1" si="752">AB63/AB64</f>
        <v>16.940999999999999</v>
      </c>
      <c r="AC65" s="37">
        <f t="shared" ca="1" si="752"/>
        <v>16.940999999999999</v>
      </c>
      <c r="AD65" s="37">
        <f t="shared" ca="1" si="752"/>
        <v>16.940999999999999</v>
      </c>
      <c r="AE65" s="37">
        <f t="shared" ref="AE65" ca="1" si="753">AE63/AE64</f>
        <v>16.940999999999999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16.940999999999999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0</v>
      </c>
      <c r="F66" s="53">
        <f t="shared" ca="1" si="764"/>
        <v>0</v>
      </c>
      <c r="G66" s="53">
        <f t="shared" ca="1" si="764"/>
        <v>0</v>
      </c>
      <c r="H66" s="53">
        <f t="shared" ca="1" si="764"/>
        <v>0</v>
      </c>
      <c r="I66" s="53">
        <f t="shared" ca="1" si="764"/>
        <v>0</v>
      </c>
      <c r="J66" s="53">
        <f t="shared" ca="1" si="764"/>
        <v>0</v>
      </c>
      <c r="K66" s="53">
        <f t="shared" ca="1" si="764"/>
        <v>0</v>
      </c>
      <c r="L66" s="53">
        <f t="shared" ca="1" si="764"/>
        <v>0</v>
      </c>
      <c r="M66" s="53">
        <f t="shared" ca="1" si="764"/>
        <v>0</v>
      </c>
      <c r="N66" s="53">
        <f t="shared" ca="1" si="764"/>
        <v>0</v>
      </c>
      <c r="O66" s="53">
        <f t="shared" ca="1" si="764"/>
        <v>0</v>
      </c>
      <c r="P66" s="53">
        <f t="shared" ca="1" si="764"/>
        <v>31.184245321999889</v>
      </c>
      <c r="Q66" s="53">
        <f t="shared" ca="1" si="764"/>
        <v>22.066519095685024</v>
      </c>
      <c r="R66" s="53">
        <f t="shared" ca="1" si="764"/>
        <v>17.182073077150132</v>
      </c>
      <c r="S66" s="53">
        <f t="shared" ca="1" si="764"/>
        <v>19.652163390590875</v>
      </c>
      <c r="T66" s="53">
        <f t="shared" ca="1" si="764"/>
        <v>24.596771146921682</v>
      </c>
      <c r="U66" s="53">
        <f t="shared" ca="1" si="764"/>
        <v>25.659506522637365</v>
      </c>
      <c r="V66" s="53">
        <f t="shared" ca="1" si="764"/>
        <v>27.145139011864732</v>
      </c>
      <c r="W66" s="53">
        <f t="shared" ca="1" si="764"/>
        <v>21.792828050292176</v>
      </c>
      <c r="X66" s="53">
        <f t="shared" ca="1" si="764"/>
        <v>35.925275957735664</v>
      </c>
      <c r="Y66" s="53">
        <f t="shared" ca="1" si="764"/>
        <v>43.301835783011626</v>
      </c>
      <c r="Z66" s="53">
        <f t="shared" ca="1" si="764"/>
        <v>54.476772327489527</v>
      </c>
      <c r="AA66" s="53">
        <f t="shared" ref="AA66" ca="1" si="765">(AA48-AA47)/AA65</f>
        <v>54.476772327489527</v>
      </c>
      <c r="AB66" s="54">
        <f t="shared" ca="1" si="764"/>
        <v>64.90795385342912</v>
      </c>
      <c r="AC66" s="54">
        <f t="shared" ca="1" si="764"/>
        <v>70.361840375410935</v>
      </c>
      <c r="AD66" s="54">
        <f t="shared" ca="1" si="764"/>
        <v>75.86887254090631</v>
      </c>
      <c r="AE66" s="54">
        <f t="shared" ca="1" si="764"/>
        <v>81.557816326122946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59.935068768077464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>
        <f t="shared" ca="1" si="770"/>
        <v>1.0021085864775994</v>
      </c>
      <c r="Q68" s="3">
        <f t="shared" ca="1" si="770"/>
        <v>1.1329380901262582</v>
      </c>
      <c r="R68" s="3">
        <f t="shared" ca="1" si="770"/>
        <v>0.87300292186208894</v>
      </c>
      <c r="S68" s="3">
        <f t="shared" ca="1" si="770"/>
        <v>0.89048720246131807</v>
      </c>
      <c r="T68" s="3">
        <f t="shared" ca="1" si="770"/>
        <v>0.81311485481308898</v>
      </c>
      <c r="U68" s="3">
        <f t="shared" ca="1" si="770"/>
        <v>1.5588764329785978</v>
      </c>
      <c r="V68" s="3">
        <f ca="1">V67/V66</f>
        <v>1.1051702474939418</v>
      </c>
      <c r="W68" s="3">
        <f t="shared" ref="W68" ca="1" si="771">W67/W66</f>
        <v>4.1297990234357567</v>
      </c>
      <c r="X68" s="3">
        <f t="shared" ref="X68:Y68" ca="1" si="772">X67/X66</f>
        <v>0.89073776462138909</v>
      </c>
      <c r="Y68" s="3">
        <f t="shared" ca="1" si="772"/>
        <v>0.73899869188812517</v>
      </c>
      <c r="Z68" s="3">
        <f t="shared" ref="Z68:AA68" ca="1" si="773">Z67/Z66</f>
        <v>0.99124815389899779</v>
      </c>
      <c r="AA68" s="3">
        <f t="shared" ca="1" si="773"/>
        <v>0.99124815389899779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0</v>
      </c>
      <c r="F69" s="3">
        <f t="shared" ca="1" si="776"/>
        <v>0</v>
      </c>
      <c r="G69" s="3">
        <f t="shared" ca="1" si="776"/>
        <v>0</v>
      </c>
      <c r="H69" s="3">
        <f t="shared" ca="1" si="776"/>
        <v>0</v>
      </c>
      <c r="I69" s="3">
        <f t="shared" ca="1" si="776"/>
        <v>0</v>
      </c>
      <c r="J69" s="3">
        <f t="shared" ca="1" si="776"/>
        <v>0</v>
      </c>
      <c r="K69" s="3">
        <f t="shared" ca="1" si="776"/>
        <v>0</v>
      </c>
      <c r="L69" s="3">
        <f t="shared" ca="1" si="776"/>
        <v>0</v>
      </c>
      <c r="M69" s="3">
        <f t="shared" ca="1" si="776"/>
        <v>0</v>
      </c>
      <c r="N69" s="3">
        <f t="shared" ca="1" si="776"/>
        <v>0</v>
      </c>
      <c r="O69" s="3">
        <f t="shared" ca="1" si="776"/>
        <v>0</v>
      </c>
      <c r="P69" s="3">
        <f t="shared" ca="1" si="776"/>
        <v>31.184245321999889</v>
      </c>
      <c r="Q69" s="3">
        <f t="shared" ca="1" si="776"/>
        <v>22.066519095685024</v>
      </c>
      <c r="R69" s="3">
        <f t="shared" ca="1" si="776"/>
        <v>17.182073077150132</v>
      </c>
      <c r="S69" s="3">
        <f t="shared" ca="1" si="776"/>
        <v>19.652163390590875</v>
      </c>
      <c r="T69" s="3">
        <f ca="1">+T66</f>
        <v>24.596771146921682</v>
      </c>
      <c r="U69" s="3">
        <f t="shared" ca="1" si="776"/>
        <v>25.659506522637365</v>
      </c>
      <c r="V69" s="3">
        <f ca="1">+V66</f>
        <v>27.145139011864732</v>
      </c>
      <c r="W69" s="3">
        <f t="shared" ref="W69" ca="1" si="777">+W66</f>
        <v>21.792828050292176</v>
      </c>
      <c r="X69" s="3">
        <f t="shared" ref="X69:Y69" ca="1" si="778">+X66</f>
        <v>35.925275957735664</v>
      </c>
      <c r="Y69" s="3">
        <f t="shared" ca="1" si="778"/>
        <v>43.301835783011626</v>
      </c>
      <c r="Z69" s="3">
        <f t="shared" ref="Z69:AA69" ca="1" si="779">+Z66</f>
        <v>54.476772327489527</v>
      </c>
      <c r="AA69" s="3">
        <f t="shared" ca="1" si="779"/>
        <v>54.476772327489527</v>
      </c>
      <c r="AB69" s="37">
        <f t="shared" ref="AA69:AD69" ca="1" si="780">+AB66</f>
        <v>64.90795385342912</v>
      </c>
      <c r="AC69" s="37">
        <f t="shared" ca="1" si="780"/>
        <v>70.361840375410935</v>
      </c>
      <c r="AD69" s="37">
        <f t="shared" ca="1" si="780"/>
        <v>75.86887254090631</v>
      </c>
      <c r="AE69" s="37">
        <f t="shared" ref="AE69" ca="1" si="781">+AE66</f>
        <v>81.557816326122946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59.935068768077464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>
        <f t="shared" ca="1" si="846"/>
        <v>-0.292382455697348</v>
      </c>
      <c r="R70" s="101">
        <f t="shared" ca="1" si="846"/>
        <v>-0.22135099774254907</v>
      </c>
      <c r="S70" s="101">
        <f t="shared" ca="1" si="846"/>
        <v>0.14375973739313408</v>
      </c>
      <c r="T70" s="101">
        <f t="shared" ca="1" si="846"/>
        <v>0.25160628161163179</v>
      </c>
      <c r="U70" s="101">
        <f t="shared" ca="1" si="846"/>
        <v>4.3206296036489622E-2</v>
      </c>
      <c r="V70" s="101">
        <f t="shared" ca="1" si="846"/>
        <v>5.7897936888096746E-2</v>
      </c>
      <c r="W70" s="101">
        <f t="shared" ca="1" si="846"/>
        <v>-0.19717382766885594</v>
      </c>
      <c r="X70" s="101">
        <f t="shared" ca="1" si="846"/>
        <v>0.64849077296574253</v>
      </c>
      <c r="Y70" s="101">
        <f t="shared" ca="1" si="846"/>
        <v>0.20533063779257055</v>
      </c>
      <c r="Z70" s="101">
        <f t="shared" ca="1" si="846"/>
        <v>0.25807073400943681</v>
      </c>
      <c r="AA70" s="101">
        <f t="shared" ca="1" si="846"/>
        <v>0.25807073400943681</v>
      </c>
      <c r="AB70" s="174">
        <f t="shared" ref="AB70" ca="1" si="847">+AB69/AA69-1</f>
        <v>8.2971208468860747E-2</v>
      </c>
      <c r="AC70" s="174">
        <f t="shared" ref="AC70" ca="1" si="848">+AC69/AB69-1</f>
        <v>8.4024933743827912E-2</v>
      </c>
      <c r="AD70" s="174">
        <f t="shared" ref="AD70" ca="1" si="849">+AD69/AC69-1</f>
        <v>7.8267312738168338E-2</v>
      </c>
      <c r="AE70" s="174">
        <f t="shared" ref="AE70" ca="1" si="850">+AE69/AD69-1</f>
        <v>7.4983897805378952E-2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0.10019493092900489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2283.4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3515.95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2218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0.5397871594989927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-2.8641499518262226E-2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>
        <f t="shared" ca="1" si="878"/>
        <v>54.557196508448058</v>
      </c>
      <c r="Q85" s="13">
        <f t="shared" ca="1" si="878"/>
        <v>86.11802304476727</v>
      </c>
      <c r="R85" s="13">
        <f t="shared" ca="1" si="878"/>
        <v>79.594586395906191</v>
      </c>
      <c r="S85" s="13">
        <f t="shared" ca="1" si="878"/>
        <v>53.057771771795224</v>
      </c>
      <c r="T85" s="13">
        <f t="shared" ca="1" si="878"/>
        <v>52.846367201439683</v>
      </c>
      <c r="U85" s="13">
        <f t="shared" ca="1" si="878"/>
        <v>48.529771954164971</v>
      </c>
      <c r="V85" s="13">
        <f t="shared" ca="1" si="878"/>
        <v>53.062907483009127</v>
      </c>
      <c r="W85" s="13">
        <f t="shared" ca="1" si="878"/>
        <v>76.307214289138798</v>
      </c>
      <c r="X85" s="13">
        <f t="shared" ca="1" si="878"/>
        <v>36.858450344481639</v>
      </c>
      <c r="Y85" s="13">
        <f t="shared" ca="1" si="878"/>
        <v>44.873386193994243</v>
      </c>
      <c r="Z85" s="13">
        <f t="shared" ref="Z85:AA85" ca="1" si="879">+Z77/Z69</f>
        <v>52.8170058002516</v>
      </c>
      <c r="AA85" s="13">
        <f t="shared" ca="1" si="879"/>
        <v>52.8170058002516</v>
      </c>
      <c r="AB85" s="37">
        <f t="shared" ca="1" si="878"/>
        <v>35.179047627294246</v>
      </c>
      <c r="AC85" s="37">
        <f t="shared" ca="1" si="878"/>
        <v>32.45224951219398</v>
      </c>
      <c r="AD85" s="37">
        <f t="shared" ca="1" si="878"/>
        <v>30.096664462343981</v>
      </c>
      <c r="AE85" s="37">
        <f t="shared" ca="1" si="878"/>
        <v>27.997316540077932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38.097895721714458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>
        <f t="shared" ca="1" si="885"/>
        <v>56.919767711927648</v>
      </c>
      <c r="Q86" s="13">
        <f t="shared" ca="1" si="885"/>
        <v>87.236232939721887</v>
      </c>
      <c r="R86" s="13">
        <f t="shared" ca="1" si="885"/>
        <v>111.68617380355658</v>
      </c>
      <c r="S86" s="13">
        <f t="shared" ca="1" si="885"/>
        <v>70.221276536949659</v>
      </c>
      <c r="T86" s="13">
        <f t="shared" ca="1" si="885"/>
        <v>73.66820584606586</v>
      </c>
      <c r="U86" s="13">
        <f t="shared" ca="1" si="885"/>
        <v>68.005984388691331</v>
      </c>
      <c r="V86" s="13">
        <f t="shared" ca="1" si="885"/>
        <v>66.494409890885493</v>
      </c>
      <c r="W86" s="13">
        <f t="shared" ca="1" si="885"/>
        <v>87.96471919918163</v>
      </c>
      <c r="X86" s="13">
        <f t="shared" ca="1" si="885"/>
        <v>46.86672419665728</v>
      </c>
      <c r="Y86" s="13">
        <f t="shared" ca="1" si="885"/>
        <v>61.197174486529285</v>
      </c>
      <c r="Z86" s="13">
        <f t="shared" ref="Z86:AA86" ca="1" si="886">+Z78/Z69</f>
        <v>56.683791422822402</v>
      </c>
      <c r="AA86" s="13">
        <f t="shared" ca="1" si="886"/>
        <v>56.683791422822402</v>
      </c>
      <c r="AB86" s="60">
        <f t="shared" ca="1" si="885"/>
        <v>45.301524730144983</v>
      </c>
      <c r="AC86" s="60">
        <f t="shared" ca="1" si="885"/>
        <v>45.301524730145005</v>
      </c>
      <c r="AD86" s="60">
        <f t="shared" ca="1" si="885"/>
        <v>45.301524730144955</v>
      </c>
      <c r="AE86" s="60">
        <f t="shared" ca="1" si="885"/>
        <v>45.301524730144948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58.662650636227525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>
        <f t="shared" ca="1" si="908"/>
        <v>37.704936831371562</v>
      </c>
      <c r="Q87" s="13">
        <f t="shared" ca="1" si="908"/>
        <v>67.197956939658766</v>
      </c>
      <c r="R87" s="13">
        <f t="shared" ca="1" si="908"/>
        <v>75.660253228047708</v>
      </c>
      <c r="S87" s="13">
        <f t="shared" ca="1" si="908"/>
        <v>51.902682657745395</v>
      </c>
      <c r="T87" s="13">
        <f t="shared" ca="1" si="908"/>
        <v>42.383611807132262</v>
      </c>
      <c r="U87" s="13">
        <f t="shared" ca="1" si="908"/>
        <v>40.780207486720123</v>
      </c>
      <c r="V87" s="13">
        <f t="shared" ca="1" si="908"/>
        <v>42.538002826041819</v>
      </c>
      <c r="W87" s="13">
        <f t="shared" ca="1" si="908"/>
        <v>64.241318142333995</v>
      </c>
      <c r="X87" s="13">
        <f t="shared" ca="1" si="908"/>
        <v>34.257217716235736</v>
      </c>
      <c r="Y87" s="13">
        <f t="shared" ca="1" si="908"/>
        <v>28.359074801206802</v>
      </c>
      <c r="Z87" s="13">
        <f t="shared" ref="Z87:AA87" ca="1" si="909">+Z79/Z69</f>
        <v>33.501434134691955</v>
      </c>
      <c r="AA87" s="13">
        <f t="shared" ca="1" si="909"/>
        <v>33.501434134691955</v>
      </c>
      <c r="AB87" s="60">
        <f t="shared" ca="1" si="908"/>
        <v>34.82913709025383</v>
      </c>
      <c r="AC87" s="60">
        <f t="shared" ca="1" si="908"/>
        <v>34.894278535048684</v>
      </c>
      <c r="AD87" s="60">
        <f t="shared" ca="1" si="908"/>
        <v>34.965303780251524</v>
      </c>
      <c r="AE87" s="60">
        <f t="shared" ca="1" si="908"/>
        <v>35.031032216392653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37.006714859754162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>
        <f t="shared" ca="1" si="914"/>
        <v>0</v>
      </c>
      <c r="P89" s="13">
        <f t="shared" ca="1" si="914"/>
        <v>80.438604398964344</v>
      </c>
      <c r="Q89" s="13">
        <f t="shared" ca="1" si="914"/>
        <v>112.03537497230143</v>
      </c>
      <c r="R89" s="13">
        <f t="shared" ca="1" si="914"/>
        <v>97.64828237275826</v>
      </c>
      <c r="S89" s="13">
        <f t="shared" ca="1" si="914"/>
        <v>56.104924982103142</v>
      </c>
      <c r="T89" s="13">
        <f t="shared" ca="1" si="914"/>
        <v>70.617102413930482</v>
      </c>
      <c r="U89" s="13">
        <f t="shared" ca="1" si="914"/>
        <v>64.284069395897617</v>
      </c>
      <c r="V89" s="13">
        <f t="shared" ca="1" si="914"/>
        <v>82.825413747794897</v>
      </c>
      <c r="W89" s="13">
        <f t="shared" ca="1" si="914"/>
        <v>53.360759211850095</v>
      </c>
      <c r="X89" s="13">
        <f t="shared" ca="1" si="914"/>
        <v>38.882878047876133</v>
      </c>
      <c r="Y89" s="13">
        <f t="shared" ca="1" si="914"/>
        <v>48.643667507863867</v>
      </c>
      <c r="Z89" s="13">
        <f t="shared" ref="Z89:AA89" ca="1" si="915">+Z78/AA69</f>
        <v>51.521589337771807</v>
      </c>
      <c r="AA89" s="13">
        <f t="shared" ca="1" si="915"/>
        <v>51.521589337771807</v>
      </c>
      <c r="AB89" s="37">
        <f t="shared" ca="1" si="914"/>
        <v>41.790113234471455</v>
      </c>
      <c r="AC89" s="37">
        <f t="shared" ca="1" si="914"/>
        <v>42.013259787228101</v>
      </c>
      <c r="AD89" s="37">
        <f t="shared" ca="1" si="914"/>
        <v>42.141584467106682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54.168245819911185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0</v>
      </c>
      <c r="F92" s="162">
        <f t="shared" ca="1" si="919"/>
        <v>0</v>
      </c>
      <c r="G92" s="162">
        <f t="shared" ca="1" si="919"/>
        <v>0</v>
      </c>
      <c r="H92" s="162">
        <f t="shared" ca="1" si="919"/>
        <v>0</v>
      </c>
      <c r="I92" s="162">
        <f t="shared" ca="1" si="919"/>
        <v>0</v>
      </c>
      <c r="J92" s="162">
        <f t="shared" ca="1" si="919"/>
        <v>0</v>
      </c>
      <c r="K92" s="162">
        <f t="shared" ca="1" si="919"/>
        <v>0</v>
      </c>
      <c r="L92" s="162">
        <f t="shared" ca="1" si="919"/>
        <v>0</v>
      </c>
      <c r="M92" s="162">
        <f t="shared" ca="1" si="919"/>
        <v>0</v>
      </c>
      <c r="N92" s="162">
        <f t="shared" ca="1" si="919"/>
        <v>0</v>
      </c>
      <c r="O92" s="162">
        <f t="shared" ca="1" si="919"/>
        <v>0</v>
      </c>
      <c r="P92" s="162">
        <f t="shared" ca="1" si="919"/>
        <v>107.9616374476123</v>
      </c>
      <c r="Q92" s="162">
        <f t="shared" ca="1" si="919"/>
        <v>128.87362021132165</v>
      </c>
      <c r="R92" s="162">
        <f t="shared" ca="1" si="919"/>
        <v>118.46147216811288</v>
      </c>
      <c r="S92" s="162">
        <f t="shared" ca="1" si="919"/>
        <v>121.44081813352223</v>
      </c>
      <c r="T92" s="162">
        <f t="shared" ca="1" si="919"/>
        <v>126.31067823623164</v>
      </c>
      <c r="U92" s="162">
        <f t="shared" ca="1" si="919"/>
        <v>107.46738091021783</v>
      </c>
      <c r="V92" s="162">
        <f t="shared" ca="1" si="919"/>
        <v>87.259305826102363</v>
      </c>
      <c r="W92" s="162">
        <f t="shared" ca="1" si="919"/>
        <v>157.19000059028392</v>
      </c>
      <c r="X92" s="162">
        <f t="shared" ca="1" si="919"/>
        <v>102.78454636680245</v>
      </c>
      <c r="Y92" s="162">
        <f t="shared" ca="1" si="919"/>
        <v>104.93121421403696</v>
      </c>
      <c r="Z92" s="162">
        <f t="shared" ca="1" si="919"/>
        <v>115.18273419514787</v>
      </c>
      <c r="AA92" s="162">
        <f t="shared" ca="1" si="919"/>
        <v>115.18273419514787</v>
      </c>
      <c r="AB92" s="21">
        <f t="shared" ca="1" si="919"/>
        <v>198.75011193146466</v>
      </c>
      <c r="AC92" s="21">
        <f t="shared" ca="1" si="919"/>
        <v>269.11195230687565</v>
      </c>
      <c r="AD92" s="21">
        <f t="shared" ca="1" si="919"/>
        <v>344.98082484778189</v>
      </c>
      <c r="AE92" s="21">
        <f t="shared" ca="1" si="919"/>
        <v>426.53864117390481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133.84215807803554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>
        <f t="shared" ca="1" si="922"/>
        <v>15.758606855380062</v>
      </c>
      <c r="Q94" s="162">
        <f t="shared" ca="1" si="922"/>
        <v>14.745647688673023</v>
      </c>
      <c r="R94" s="162">
        <f t="shared" ca="1" si="922"/>
        <v>11.544681785308139</v>
      </c>
      <c r="S94" s="162">
        <f t="shared" ca="1" si="922"/>
        <v>8.5860752259884165</v>
      </c>
      <c r="T94" s="162">
        <f t="shared" ca="1" si="922"/>
        <v>10.290895577086244</v>
      </c>
      <c r="U94" s="162">
        <f t="shared" ca="1" si="922"/>
        <v>11.587236884839758</v>
      </c>
      <c r="V94" s="162">
        <f t="shared" ca="1" si="922"/>
        <v>16.507121920847613</v>
      </c>
      <c r="W94" s="162">
        <f t="shared" ca="1" si="922"/>
        <v>10.579235280585582</v>
      </c>
      <c r="X94" s="162">
        <f t="shared" ca="1" si="922"/>
        <v>12.88277320672864</v>
      </c>
      <c r="Y94" s="162">
        <f t="shared" ca="1" si="922"/>
        <v>18.517845376653096</v>
      </c>
      <c r="Z94" s="162">
        <f t="shared" ca="1" si="922"/>
        <v>24.980306467852607</v>
      </c>
      <c r="AA94" s="162">
        <f t="shared" ref="AA94" ca="1" si="923">+AA77/AA$92</f>
        <v>24.980306467852607</v>
      </c>
      <c r="AB94" s="21">
        <f t="shared" ca="1" si="922"/>
        <v>11.488798561217358</v>
      </c>
      <c r="AC94" s="21">
        <f t="shared" ca="1" si="922"/>
        <v>8.4849445757659154</v>
      </c>
      <c r="AD94" s="21">
        <f t="shared" ca="1" si="922"/>
        <v>6.6189186051355735</v>
      </c>
      <c r="AE94" s="21">
        <f t="shared" ca="1" si="922"/>
        <v>5.3533250673742154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17.060394368930325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>
        <f t="shared" ca="1" si="922"/>
        <v>16.441025182313556</v>
      </c>
      <c r="Q95" s="162">
        <f t="shared" ca="1" si="922"/>
        <v>14.93711433607176</v>
      </c>
      <c r="R95" s="162">
        <f t="shared" ca="1" si="922"/>
        <v>16.19935971483352</v>
      </c>
      <c r="S95" s="162">
        <f t="shared" ca="1" si="922"/>
        <v>11.363559808059858</v>
      </c>
      <c r="T95" s="162">
        <f t="shared" ca="1" si="922"/>
        <v>14.345580479040102</v>
      </c>
      <c r="U95" s="162">
        <f t="shared" ca="1" si="922"/>
        <v>16.237485134748344</v>
      </c>
      <c r="V95" s="162">
        <f t="shared" ca="1" si="922"/>
        <v>20.685472831942473</v>
      </c>
      <c r="W95" s="162">
        <f t="shared" ca="1" si="922"/>
        <v>12.195432233610488</v>
      </c>
      <c r="X95" s="162">
        <f t="shared" ca="1" si="922"/>
        <v>16.380867158682182</v>
      </c>
      <c r="Y95" s="162">
        <f t="shared" ca="1" si="922"/>
        <v>25.25416311865672</v>
      </c>
      <c r="Z95" s="162">
        <f t="shared" ca="1" si="922"/>
        <v>26.809139595247437</v>
      </c>
      <c r="AA95" s="162">
        <f t="shared" ref="AA95" ca="1" si="926">+AA78/AA$92</f>
        <v>26.809139595247437</v>
      </c>
      <c r="AB95" s="21">
        <f t="shared" ca="1" si="922"/>
        <v>14.794604380842724</v>
      </c>
      <c r="AC95" s="21">
        <f t="shared" ca="1" si="922"/>
        <v>11.844507925052703</v>
      </c>
      <c r="AD95" s="21">
        <f t="shared" ca="1" si="922"/>
        <v>9.962801866383737</v>
      </c>
      <c r="AE95" s="21">
        <f t="shared" ca="1" si="922"/>
        <v>8.6620368627472324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L96" ca="1" si="927">+CJ78/CJ$92</f>
        <v>#NAME?</v>
      </c>
      <c r="CK95" s="162" t="e">
        <f t="shared" ref="CK95" ca="1" si="928">+CK78/CK$92</f>
        <v>#NAME?</v>
      </c>
      <c r="CL95" s="162" t="e">
        <f t="shared" ca="1" si="927"/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26.269376185267834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>
        <f t="shared" ca="1" si="922"/>
        <v>10.890905582740437</v>
      </c>
      <c r="Q96" s="162">
        <f t="shared" ca="1" si="922"/>
        <v>11.50603977422629</v>
      </c>
      <c r="R96" s="162">
        <f t="shared" ca="1" si="922"/>
        <v>10.974032115311921</v>
      </c>
      <c r="S96" s="162">
        <f t="shared" ca="1" si="922"/>
        <v>8.3991529016094599</v>
      </c>
      <c r="T96" s="162">
        <f t="shared" ca="1" si="922"/>
        <v>8.253458967659661</v>
      </c>
      <c r="U96" s="162">
        <f t="shared" ca="1" si="922"/>
        <v>9.7369079914043954</v>
      </c>
      <c r="V96" s="162">
        <f t="shared" ca="1" si="922"/>
        <v>13.2329725645673</v>
      </c>
      <c r="W96" s="162">
        <f t="shared" ca="1" si="922"/>
        <v>8.9064189499502771</v>
      </c>
      <c r="X96" s="162">
        <f t="shared" ca="1" si="922"/>
        <v>11.973589839157903</v>
      </c>
      <c r="Y96" s="162">
        <f t="shared" ca="1" si="922"/>
        <v>11.702904699979417</v>
      </c>
      <c r="Z96" s="162">
        <f t="shared" ca="1" si="922"/>
        <v>15.84482268764272</v>
      </c>
      <c r="AA96" s="162">
        <f t="shared" ref="AA96" ca="1" si="930">+AA79/AA$92</f>
        <v>15.84482268764272</v>
      </c>
      <c r="AB96" s="21">
        <f t="shared" ca="1" si="922"/>
        <v>11.374524527505722</v>
      </c>
      <c r="AC96" s="21">
        <f t="shared" ca="1" si="922"/>
        <v>9.1234359353109049</v>
      </c>
      <c r="AD96" s="21">
        <f t="shared" ca="1" si="922"/>
        <v>7.6896394952631786</v>
      </c>
      <c r="AE96" s="21">
        <f t="shared" ca="1" si="922"/>
        <v>6.6982313334050145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ref="CK96" ca="1" si="931">+CK79/CK$92</f>
        <v>#NAME?</v>
      </c>
      <c r="CL96" s="162" t="e">
        <f t="shared" ca="1" si="927"/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16.571759091831243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3821.67</v>
      </c>
    </row>
    <row r="99" spans="1:110" s="163" customFormat="1" x14ac:dyDescent="0.2">
      <c r="A99" s="163" t="s">
        <v>511</v>
      </c>
      <c r="E99" s="163">
        <f t="shared" ref="E99:AE99" ca="1" si="938">+E98/E65</f>
        <v>0</v>
      </c>
      <c r="F99" s="163">
        <f t="shared" ca="1" si="938"/>
        <v>0</v>
      </c>
      <c r="G99" s="163">
        <f t="shared" ca="1" si="938"/>
        <v>0</v>
      </c>
      <c r="H99" s="163">
        <f t="shared" ca="1" si="938"/>
        <v>0</v>
      </c>
      <c r="I99" s="163">
        <f t="shared" ca="1" si="938"/>
        <v>0</v>
      </c>
      <c r="J99" s="163">
        <f t="shared" ca="1" si="938"/>
        <v>0</v>
      </c>
      <c r="K99" s="163">
        <f t="shared" ca="1" si="938"/>
        <v>0</v>
      </c>
      <c r="L99" s="163">
        <f t="shared" ca="1" si="938"/>
        <v>0</v>
      </c>
      <c r="M99" s="163">
        <f t="shared" ca="1" si="938"/>
        <v>0</v>
      </c>
      <c r="N99" s="163">
        <f t="shared" ca="1" si="938"/>
        <v>0</v>
      </c>
      <c r="O99" s="163">
        <f t="shared" ca="1" si="938"/>
        <v>0</v>
      </c>
      <c r="P99" s="163">
        <f t="shared" ca="1" si="938"/>
        <v>198.50707160144032</v>
      </c>
      <c r="Q99" s="163">
        <f t="shared" ca="1" si="938"/>
        <v>167.51738976447672</v>
      </c>
      <c r="R99" s="163">
        <f t="shared" ca="1" si="938"/>
        <v>171.68223835664958</v>
      </c>
      <c r="S99" s="163">
        <f t="shared" ca="1" si="938"/>
        <v>169.49725517974147</v>
      </c>
      <c r="T99" s="163">
        <f t="shared" ca="1" si="938"/>
        <v>184.64782480373063</v>
      </c>
      <c r="U99" s="163">
        <f t="shared" ca="1" si="938"/>
        <v>190.33001003482676</v>
      </c>
      <c r="V99" s="163">
        <f t="shared" ca="1" si="938"/>
        <v>172.69356590520042</v>
      </c>
      <c r="W99" s="163">
        <f t="shared" ca="1" si="938"/>
        <v>193.49679475827875</v>
      </c>
      <c r="X99" s="163">
        <f t="shared" ca="1" si="938"/>
        <v>191.94398205536865</v>
      </c>
      <c r="Y99" s="163">
        <f t="shared" ca="1" si="938"/>
        <v>203.86672569505933</v>
      </c>
      <c r="Z99" s="163">
        <f t="shared" ref="Z99:AA99" ca="1" si="939">+Z98/Z65</f>
        <v>221.30986364441299</v>
      </c>
      <c r="AA99" s="163">
        <f t="shared" ca="1" si="939"/>
        <v>221.30986364441299</v>
      </c>
      <c r="AB99" s="94">
        <f t="shared" ca="1" si="938"/>
        <v>232.14173716146456</v>
      </c>
      <c r="AC99" s="94">
        <f t="shared" ca="1" si="938"/>
        <v>239.16287148977437</v>
      </c>
      <c r="AD99" s="94">
        <f t="shared" ca="1" si="938"/>
        <v>246.42308916371715</v>
      </c>
      <c r="AE99" s="94">
        <f t="shared" ca="1" si="938"/>
        <v>253.90308341426083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225.58703736497256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>
        <f t="shared" ca="1" si="944"/>
        <v>8.5706014716488106</v>
      </c>
      <c r="Q102" s="163">
        <f t="shared" ca="1" si="944"/>
        <v>11.3440461475181</v>
      </c>
      <c r="R102" s="163">
        <f t="shared" ca="1" si="944"/>
        <v>7.9658793658023752</v>
      </c>
      <c r="S102" s="163">
        <f t="shared" ca="1" si="944"/>
        <v>6.1517220375886348</v>
      </c>
      <c r="T102" s="163">
        <f t="shared" ca="1" si="944"/>
        <v>7.0396171814190671</v>
      </c>
      <c r="U102" s="163">
        <f t="shared" ca="1" si="944"/>
        <v>6.5425835882220733</v>
      </c>
      <c r="V102" s="163">
        <f t="shared" ca="1" si="944"/>
        <v>8.3407855553269599</v>
      </c>
      <c r="W102" s="163">
        <f t="shared" ca="1" si="944"/>
        <v>8.5941992066452606</v>
      </c>
      <c r="X102" s="163">
        <f t="shared" ca="1" si="944"/>
        <v>6.8986273277274845</v>
      </c>
      <c r="Y102" s="163">
        <f t="shared" ca="1" si="944"/>
        <v>9.5312268020945137</v>
      </c>
      <c r="Z102" s="163">
        <f ca="1">+Z77/Z$99</f>
        <v>13.00122801857159</v>
      </c>
      <c r="AA102" s="163">
        <f ca="1">+AA77/AA$99</f>
        <v>13.00122801857159</v>
      </c>
      <c r="AB102" s="50">
        <f t="shared" ref="AA102:AE102" ca="1" si="945">+AB77/AB$99</f>
        <v>9.8362320706327662</v>
      </c>
      <c r="AC102" s="50">
        <f t="shared" ca="1" si="945"/>
        <v>9.5474685756046753</v>
      </c>
      <c r="AD102" s="50">
        <f t="shared" ca="1" si="945"/>
        <v>9.266177157948734</v>
      </c>
      <c r="AE102" s="50">
        <f t="shared" ca="1" si="945"/>
        <v>8.9931952353428954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10.122035497570433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>
        <f t="shared" ca="1" si="944"/>
        <v>8.9417469396950242</v>
      </c>
      <c r="Q103" s="163">
        <f t="shared" ca="1" si="944"/>
        <v>11.49134428793619</v>
      </c>
      <c r="R103" s="163">
        <f t="shared" ca="1" si="944"/>
        <v>11.177626866755453</v>
      </c>
      <c r="S103" s="163">
        <f t="shared" ca="1" si="944"/>
        <v>8.1417247644311086</v>
      </c>
      <c r="T103" s="163">
        <f t="shared" ca="1" si="944"/>
        <v>9.8132756339049507</v>
      </c>
      <c r="U103" s="163">
        <f t="shared" ca="1" si="944"/>
        <v>9.1682861766292056</v>
      </c>
      <c r="V103" s="163">
        <f t="shared" ca="1" si="944"/>
        <v>10.452039660764484</v>
      </c>
      <c r="W103" s="163">
        <f t="shared" ca="1" si="944"/>
        <v>9.9071408515824064</v>
      </c>
      <c r="X103" s="163">
        <f t="shared" ca="1" si="944"/>
        <v>8.7718301036096857</v>
      </c>
      <c r="Y103" s="163">
        <f t="shared" ca="1" si="944"/>
        <v>12.998442933565107</v>
      </c>
      <c r="Z103" s="163">
        <f t="shared" ref="Z103:AA104" ca="1" si="949">+Z78/Z$99</f>
        <v>13.953060876498153</v>
      </c>
      <c r="AA103" s="163">
        <f t="shared" ca="1" si="949"/>
        <v>13.953060876498153</v>
      </c>
      <c r="AB103" s="94">
        <f t="shared" ca="1" si="944"/>
        <v>12.666525686542242</v>
      </c>
      <c r="AC103" s="94">
        <f t="shared" ca="1" si="944"/>
        <v>13.327731984358106</v>
      </c>
      <c r="AD103" s="94">
        <f t="shared" ca="1" si="944"/>
        <v>13.94745767259108</v>
      </c>
      <c r="AE103" s="94">
        <f t="shared" ca="1" si="944"/>
        <v>14.551589463001221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15.58578028715195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>
        <f t="shared" ca="1" si="944"/>
        <v>5.9232146770103711</v>
      </c>
      <c r="Q104" s="163">
        <f t="shared" ca="1" si="944"/>
        <v>8.8517675811734975</v>
      </c>
      <c r="R104" s="163">
        <f t="shared" ca="1" si="944"/>
        <v>7.5721286747170868</v>
      </c>
      <c r="S104" s="163">
        <f t="shared" ca="1" si="944"/>
        <v>6.0177965650142973</v>
      </c>
      <c r="T104" s="163">
        <f t="shared" ca="1" si="944"/>
        <v>5.6458829185131965</v>
      </c>
      <c r="U104" s="163">
        <f t="shared" ca="1" si="944"/>
        <v>5.4978192866617768</v>
      </c>
      <c r="V104" s="163">
        <f t="shared" ca="1" si="944"/>
        <v>6.6864100810441824</v>
      </c>
      <c r="W104" s="163">
        <f t="shared" ca="1" si="944"/>
        <v>7.2352619677701462</v>
      </c>
      <c r="X104" s="163">
        <f t="shared" ca="1" si="944"/>
        <v>6.4117665311590191</v>
      </c>
      <c r="Y104" s="163">
        <f t="shared" ca="1" si="944"/>
        <v>6.0235430564418015</v>
      </c>
      <c r="Z104" s="163">
        <f t="shared" ca="1" si="949"/>
        <v>8.2465822803649527</v>
      </c>
      <c r="AA104" s="163">
        <f t="shared" ca="1" si="949"/>
        <v>8.2465822803649527</v>
      </c>
      <c r="AB104" s="94">
        <f t="shared" ca="1" si="944"/>
        <v>9.7383953900394342</v>
      </c>
      <c r="AC104" s="94">
        <f t="shared" ca="1" si="944"/>
        <v>10.265914776003177</v>
      </c>
      <c r="AD104" s="94">
        <f t="shared" ca="1" si="944"/>
        <v>10.765136436121598</v>
      </c>
      <c r="AE104" s="94">
        <f t="shared" ca="1" si="944"/>
        <v>11.252539562733711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9.8321252227429365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0</v>
      </c>
      <c r="F107" s="162">
        <f t="shared" ca="1" si="958"/>
        <v>0</v>
      </c>
      <c r="G107" s="162">
        <f t="shared" ca="1" si="958"/>
        <v>0</v>
      </c>
      <c r="H107" s="162">
        <f t="shared" ca="1" si="958"/>
        <v>0</v>
      </c>
      <c r="I107" s="162">
        <f t="shared" ca="1" si="958"/>
        <v>0</v>
      </c>
      <c r="J107" s="162">
        <f t="shared" ca="1" si="958"/>
        <v>0</v>
      </c>
      <c r="K107" s="162">
        <f t="shared" ca="1" si="958"/>
        <v>0</v>
      </c>
      <c r="L107" s="162">
        <f t="shared" ca="1" si="958"/>
        <v>0</v>
      </c>
      <c r="M107" s="162">
        <f t="shared" ca="1" si="958"/>
        <v>0</v>
      </c>
      <c r="N107" s="162">
        <f t="shared" ca="1" si="958"/>
        <v>0</v>
      </c>
      <c r="O107" s="162">
        <f t="shared" ca="1" si="958"/>
        <v>0</v>
      </c>
      <c r="P107" s="162">
        <f t="shared" ca="1" si="958"/>
        <v>30070.274999999998</v>
      </c>
      <c r="Q107" s="162">
        <f t="shared" ca="1" si="958"/>
        <v>32611.424999999999</v>
      </c>
      <c r="R107" s="162">
        <f t="shared" ca="1" si="958"/>
        <v>32509.778999999999</v>
      </c>
      <c r="S107" s="162">
        <f t="shared" ca="1" si="958"/>
        <v>23378.579999999998</v>
      </c>
      <c r="T107" s="162">
        <f t="shared" ca="1" si="958"/>
        <v>30697.091999999997</v>
      </c>
      <c r="U107" s="162">
        <f t="shared" ca="1" si="958"/>
        <v>29562.044999999998</v>
      </c>
      <c r="V107" s="162">
        <f t="shared" ca="1" si="958"/>
        <v>30578.504999999997</v>
      </c>
      <c r="W107" s="162">
        <f t="shared" ca="1" si="958"/>
        <v>32475.896999999997</v>
      </c>
      <c r="X107" s="162">
        <f t="shared" ca="1" si="958"/>
        <v>28523.561699999998</v>
      </c>
      <c r="Y107" s="162">
        <f t="shared" ca="1" si="958"/>
        <v>44892.802949999998</v>
      </c>
      <c r="Z107" s="162">
        <f t="shared" ca="1" si="958"/>
        <v>52312.960949999993</v>
      </c>
      <c r="AA107" s="162">
        <f t="shared" ref="AA107" ca="1" si="959">+AA78*AA65</f>
        <v>52312.960949999993</v>
      </c>
      <c r="AB107" s="21">
        <f t="shared" ca="1" si="958"/>
        <v>49813.812376138107</v>
      </c>
      <c r="AC107" s="21">
        <f t="shared" ca="1" si="958"/>
        <v>53999.414660570597</v>
      </c>
      <c r="AD107" s="21">
        <f t="shared" ca="1" si="958"/>
        <v>58225.803735487454</v>
      </c>
      <c r="AE107" s="21">
        <f t="shared" ca="1" si="958"/>
        <v>62591.801452425287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59563.708949999993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0</v>
      </c>
      <c r="F108" s="162">
        <f t="shared" ca="1" si="964"/>
        <v>0</v>
      </c>
      <c r="G108" s="162">
        <f t="shared" ca="1" si="964"/>
        <v>0</v>
      </c>
      <c r="H108" s="162">
        <f t="shared" ca="1" si="964"/>
        <v>0</v>
      </c>
      <c r="I108" s="162">
        <f t="shared" ca="1" si="964"/>
        <v>0</v>
      </c>
      <c r="J108" s="162">
        <f t="shared" ca="1" si="964"/>
        <v>0</v>
      </c>
      <c r="K108" s="162">
        <f t="shared" ca="1" si="964"/>
        <v>0</v>
      </c>
      <c r="L108" s="162">
        <f t="shared" ca="1" si="964"/>
        <v>0</v>
      </c>
      <c r="M108" s="162">
        <f t="shared" ca="1" si="964"/>
        <v>0</v>
      </c>
      <c r="N108" s="162">
        <f t="shared" ca="1" si="964"/>
        <v>0</v>
      </c>
      <c r="O108" s="162">
        <f t="shared" ca="1" si="964"/>
        <v>0</v>
      </c>
      <c r="P108" s="162">
        <f t="shared" ca="1" si="964"/>
        <v>19919.227799999997</v>
      </c>
      <c r="Q108" s="162">
        <f t="shared" ca="1" si="964"/>
        <v>25120.538324999998</v>
      </c>
      <c r="R108" s="162">
        <f t="shared" ca="1" si="964"/>
        <v>22023.3</v>
      </c>
      <c r="S108" s="162">
        <f t="shared" ca="1" si="964"/>
        <v>17279.82</v>
      </c>
      <c r="T108" s="162">
        <f t="shared" ca="1" si="964"/>
        <v>17660.9925</v>
      </c>
      <c r="U108" s="162">
        <f t="shared" ca="1" si="964"/>
        <v>17727.062399999999</v>
      </c>
      <c r="V108" s="162">
        <f t="shared" ca="1" si="964"/>
        <v>19561.772700000001</v>
      </c>
      <c r="W108" s="162">
        <f t="shared" ca="1" si="964"/>
        <v>23717.399999999998</v>
      </c>
      <c r="X108" s="162">
        <f t="shared" ca="1" si="964"/>
        <v>20849.288700000001</v>
      </c>
      <c r="Y108" s="162">
        <f t="shared" ca="1" si="964"/>
        <v>20803.547999999999</v>
      </c>
      <c r="Z108" s="162">
        <f t="shared" ca="1" si="964"/>
        <v>30918.172049999997</v>
      </c>
      <c r="AA108" s="162">
        <f t="shared" ref="AA108" ca="1" si="965">+AA79*AA65</f>
        <v>30918.172049999997</v>
      </c>
      <c r="AB108" s="21">
        <f t="shared" ca="1" si="964"/>
        <v>38298.315797794661</v>
      </c>
      <c r="AC108" s="21">
        <f t="shared" ca="1" si="964"/>
        <v>41593.977843348206</v>
      </c>
      <c r="AD108" s="21">
        <f t="shared" ca="1" si="964"/>
        <v>44940.715077209912</v>
      </c>
      <c r="AE108" s="21">
        <f t="shared" ca="1" si="964"/>
        <v>48401.360135741881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37575.137999999999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-2781.98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0</v>
      </c>
      <c r="F110" s="162">
        <f t="shared" ca="1" si="983"/>
        <v>0</v>
      </c>
      <c r="G110" s="162">
        <f t="shared" ca="1" si="983"/>
        <v>0</v>
      </c>
      <c r="H110" s="162">
        <f t="shared" ca="1" si="983"/>
        <v>0</v>
      </c>
      <c r="I110" s="162">
        <f t="shared" ca="1" si="983"/>
        <v>0</v>
      </c>
      <c r="J110" s="162">
        <f t="shared" ca="1" si="983"/>
        <v>0</v>
      </c>
      <c r="K110" s="162">
        <f t="shared" ca="1" si="983"/>
        <v>0</v>
      </c>
      <c r="L110" s="162">
        <f t="shared" ca="1" si="983"/>
        <v>0</v>
      </c>
      <c r="M110" s="162">
        <f t="shared" ca="1" si="983"/>
        <v>0</v>
      </c>
      <c r="N110" s="162">
        <f t="shared" ca="1" si="983"/>
        <v>0</v>
      </c>
      <c r="O110" s="162">
        <f t="shared" ca="1" si="983"/>
        <v>0</v>
      </c>
      <c r="P110" s="162">
        <f t="shared" ca="1" si="983"/>
        <v>28162.784099999997</v>
      </c>
      <c r="Q110" s="162">
        <f t="shared" ca="1" si="983"/>
        <v>31221.8995</v>
      </c>
      <c r="R110" s="162">
        <f t="shared" ca="1" si="983"/>
        <v>31611.768899999999</v>
      </c>
      <c r="S110" s="162">
        <f t="shared" ca="1" si="983"/>
        <v>22083.158399999997</v>
      </c>
      <c r="T110" s="162">
        <f t="shared" ca="1" si="983"/>
        <v>29526.329199999996</v>
      </c>
      <c r="U110" s="162">
        <f t="shared" ca="1" si="983"/>
        <v>28479.018699999997</v>
      </c>
      <c r="V110" s="162">
        <f t="shared" ca="1" si="983"/>
        <v>29420.564999999999</v>
      </c>
      <c r="W110" s="162">
        <f t="shared" ca="1" si="983"/>
        <v>29625.796899999998</v>
      </c>
      <c r="X110" s="162">
        <f t="shared" ref="X110:Y110" ca="1" si="984">+X107+X109</f>
        <v>26849.344499999999</v>
      </c>
      <c r="Y110" s="162">
        <f t="shared" ca="1" si="984"/>
        <v>43016.361649999999</v>
      </c>
      <c r="Z110" s="162">
        <f t="shared" ref="Z110:AA110" ca="1" si="985">+Z107+Z109</f>
        <v>49791.198449999996</v>
      </c>
      <c r="AA110" s="162">
        <f t="shared" ca="1" si="985"/>
        <v>49791.198449999996</v>
      </c>
      <c r="AB110" s="21">
        <f t="shared" ref="AA110:AD110" ca="1" si="986">+AB107+AB109</f>
        <v>45855.866458002711</v>
      </c>
      <c r="AC110" s="21">
        <f t="shared" ca="1" si="986"/>
        <v>48780.609332853826</v>
      </c>
      <c r="AD110" s="21">
        <f t="shared" ca="1" si="986"/>
        <v>51659.73287229328</v>
      </c>
      <c r="AE110" s="21">
        <f t="shared" ref="AE110" ca="1" si="987">+AE107+AE109</f>
        <v>54587.698048818616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56781.72894999999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0</v>
      </c>
      <c r="F111" s="162">
        <f t="shared" ca="1" si="996"/>
        <v>0</v>
      </c>
      <c r="G111" s="162">
        <f t="shared" ca="1" si="996"/>
        <v>0</v>
      </c>
      <c r="H111" s="162">
        <f t="shared" ca="1" si="996"/>
        <v>0</v>
      </c>
      <c r="I111" s="162">
        <f t="shared" ca="1" si="996"/>
        <v>0</v>
      </c>
      <c r="J111" s="162">
        <f t="shared" ca="1" si="996"/>
        <v>0</v>
      </c>
      <c r="K111" s="162">
        <f t="shared" ca="1" si="996"/>
        <v>0</v>
      </c>
      <c r="L111" s="162">
        <f t="shared" ca="1" si="996"/>
        <v>0</v>
      </c>
      <c r="M111" s="162">
        <f t="shared" ca="1" si="996"/>
        <v>0</v>
      </c>
      <c r="N111" s="162">
        <f t="shared" ca="1" si="996"/>
        <v>0</v>
      </c>
      <c r="O111" s="162">
        <f t="shared" ca="1" si="996"/>
        <v>0</v>
      </c>
      <c r="P111" s="162">
        <f t="shared" ca="1" si="996"/>
        <v>18011.736899999996</v>
      </c>
      <c r="Q111" s="162">
        <f t="shared" ca="1" si="996"/>
        <v>23731.012824999998</v>
      </c>
      <c r="R111" s="162">
        <f t="shared" ca="1" si="996"/>
        <v>21125.2899</v>
      </c>
      <c r="S111" s="162">
        <f t="shared" ca="1" si="996"/>
        <v>15984.3984</v>
      </c>
      <c r="T111" s="162">
        <f t="shared" ca="1" si="996"/>
        <v>16490.2297</v>
      </c>
      <c r="U111" s="162">
        <f t="shared" ca="1" si="996"/>
        <v>16644.036099999998</v>
      </c>
      <c r="V111" s="162">
        <f t="shared" ca="1" si="996"/>
        <v>18403.832700000003</v>
      </c>
      <c r="W111" s="162">
        <f t="shared" ca="1" si="996"/>
        <v>20867.299899999998</v>
      </c>
      <c r="X111" s="162">
        <f t="shared" ref="X111:Y111" ca="1" si="997">+X108+X109</f>
        <v>19175.071500000002</v>
      </c>
      <c r="Y111" s="162">
        <f t="shared" ca="1" si="997"/>
        <v>18927.1067</v>
      </c>
      <c r="Z111" s="162">
        <f t="shared" ref="Z111:AA111" ca="1" si="998">+Z108+Z109</f>
        <v>28396.409549999997</v>
      </c>
      <c r="AA111" s="162">
        <f t="shared" ca="1" si="998"/>
        <v>28396.409549999997</v>
      </c>
      <c r="AB111" s="21">
        <f t="shared" ref="AA111:AD111" ca="1" si="999">+AB108+AB109</f>
        <v>34340.369879659265</v>
      </c>
      <c r="AC111" s="21">
        <f t="shared" ca="1" si="999"/>
        <v>36375.172515631435</v>
      </c>
      <c r="AD111" s="21">
        <f t="shared" ca="1" si="999"/>
        <v>38374.644214015738</v>
      </c>
      <c r="AE111" s="21">
        <f t="shared" ref="AE111" ca="1" si="1000">+AE108+AE109</f>
        <v>40397.256732135211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34793.157999999996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1309.2000000000003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>
        <f t="shared" ca="1" si="1014"/>
        <v>49.014522771747863</v>
      </c>
      <c r="Q113" s="162">
        <f t="shared" ca="1" si="1014"/>
        <v>65.280020030254477</v>
      </c>
      <c r="R113" s="162">
        <f t="shared" ca="1" si="1014"/>
        <v>75.449134471904628</v>
      </c>
      <c r="S113" s="162">
        <f t="shared" ca="1" si="1014"/>
        <v>43.660035033748642</v>
      </c>
      <c r="T113" s="162">
        <f t="shared" ca="1" si="1014"/>
        <v>49.145185569858732</v>
      </c>
      <c r="U113" s="162">
        <f t="shared" ca="1" si="1014"/>
        <v>43.33077016707572</v>
      </c>
      <c r="V113" s="162">
        <f t="shared" ca="1" si="1014"/>
        <v>49.186671704497741</v>
      </c>
      <c r="W113" s="162">
        <f t="shared" ca="1" si="1014"/>
        <v>38.885224274752666</v>
      </c>
      <c r="X113" s="162">
        <f t="shared" ref="X113:Y113" ca="1" si="1015">+X110/X112</f>
        <v>33.382819650166873</v>
      </c>
      <c r="Y113" s="162">
        <f t="shared" ca="1" si="1015"/>
        <v>47.338983659846249</v>
      </c>
      <c r="Z113" s="162">
        <f t="shared" ref="Z113:AA113" ca="1" si="1016">+Z110/Z112</f>
        <v>42.290432085867806</v>
      </c>
      <c r="AA113" s="162">
        <f t="shared" ca="1" si="1016"/>
        <v>42.290432085867806</v>
      </c>
      <c r="AB113" s="21">
        <f t="shared" ref="AA113:AD113" ca="1" si="1017">+AB110/AB112</f>
        <v>33.60538464131853</v>
      </c>
      <c r="AC113" s="21">
        <f t="shared" ca="1" si="1017"/>
        <v>34.631828760984426</v>
      </c>
      <c r="AD113" s="21">
        <f t="shared" ca="1" si="1017"/>
        <v>35.586427984411515</v>
      </c>
      <c r="AE113" s="21">
        <f t="shared" ref="AE113" ca="1" si="1018">+AE110/AE112</f>
        <v>36.494786013442827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43.371317560342177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>
        <f t="shared" ca="1" si="1027"/>
        <v>31.347635422301202</v>
      </c>
      <c r="Q114" s="162">
        <f t="shared" ca="1" si="1027"/>
        <v>49.617768853372475</v>
      </c>
      <c r="R114" s="162">
        <f t="shared" ca="1" si="1027"/>
        <v>50.420615292523813</v>
      </c>
      <c r="S114" s="162">
        <f t="shared" ca="1" si="1027"/>
        <v>31.602336110463071</v>
      </c>
      <c r="T114" s="162">
        <f t="shared" ca="1" si="1027"/>
        <v>27.44721137553719</v>
      </c>
      <c r="U114" s="162">
        <f t="shared" ca="1" si="1027"/>
        <v>25.323867739221338</v>
      </c>
      <c r="V114" s="162">
        <f t="shared" ca="1" si="1027"/>
        <v>30.768385213519878</v>
      </c>
      <c r="W114" s="162">
        <f t="shared" ca="1" si="1027"/>
        <v>27.389293167672523</v>
      </c>
      <c r="X114" s="162">
        <f t="shared" ref="X114:Y114" ca="1" si="1028">+X111/X112</f>
        <v>23.841101732057364</v>
      </c>
      <c r="Y114" s="162">
        <f t="shared" ca="1" si="1028"/>
        <v>20.829051096641656</v>
      </c>
      <c r="Z114" s="162">
        <f t="shared" ref="Z114:AA114" ca="1" si="1029">+Z111/Z112</f>
        <v>24.118648816270117</v>
      </c>
      <c r="AA114" s="162">
        <f t="shared" ca="1" si="1029"/>
        <v>24.118648816270117</v>
      </c>
      <c r="AB114" s="21">
        <f t="shared" ref="AA114:AD114" ca="1" si="1030">+AB111/AB112</f>
        <v>25.166274844855767</v>
      </c>
      <c r="AC114" s="21">
        <f t="shared" ca="1" si="1030"/>
        <v>25.82457994972561</v>
      </c>
      <c r="AD114" s="21">
        <f t="shared" ca="1" si="1030"/>
        <v>26.434834963730669</v>
      </c>
      <c r="AE114" s="21">
        <f t="shared" ref="AE114" ca="1" si="1031">+AE111/AE112</f>
        <v>27.007719553422234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26.575892147876559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169.41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2098.0100000000002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2267.42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0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0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2267.42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ca="1">+CJ131</f>
        <v>#NAME?</v>
      </c>
      <c r="CL131" s="23" t="e">
        <f ca="1">+CL132+CL134</f>
        <v>#NAME?</v>
      </c>
      <c r="CM131" s="24" t="e">
        <f t="shared" ref="CM131:DB131" ca="1" si="1147">+CL131</f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698.59269999999992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450.27269999999999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t="shared" ref="CK134:DB134" ca="1" si="1160">+CK131-CK132-CK133</f>
        <v>#NAME?</v>
      </c>
      <c r="CL134" s="23" t="e">
        <f ca="1">+'QTR Raw'!BF68</f>
        <v>#NAME?</v>
      </c>
      <c r="CM134" s="21" t="e">
        <f t="shared" ca="1" si="1160"/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248.31999999999994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32.93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281.24999999999994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1.53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301.06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457.55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273.11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93.54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1125.26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17.27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260.07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570.22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789.74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419.15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2056.4499999999998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-931.18999999999983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1390.96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1391.02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2781.98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133.85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2267.42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-2781.98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43.699678412840463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26.084185709388827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37.687450774137993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107.47131489636729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54.460563052278189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141.94683214406265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196.40739519634084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-88.936080299973554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1.932662941508978E-2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-4.6579356565713548E-3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1035.9800000000002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66.44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1102.4200000000003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29.219299999999919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100.30480000000034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-71.085500000000422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1031.3344999999999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-51.246299999999877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-1.53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-49.716299999999876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-719.87070000000017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0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-719.87070000000017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2521.7624999999998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2781.9799999999996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980.08820000000003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0.91242189906147564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0.26568489691679303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1.8479240722936199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1.2269363417452435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 t="e">
        <v>#DIV/0!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0.11197632132548407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 t="e">
        <v>#DIV/0!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7.143473926320169E-4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1.7385069877828278E-2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100660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100660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100660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100660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100660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1616.575</v>
      </c>
      <c r="C4" s="116">
        <v>1584.5</v>
      </c>
      <c r="D4" s="116">
        <v>1577.8</v>
      </c>
      <c r="E4" s="116">
        <v>1600</v>
      </c>
      <c r="F4" s="116">
        <v>3169</v>
      </c>
      <c r="G4">
        <v>1031</v>
      </c>
      <c r="H4" s="116"/>
      <c r="I4" s="116"/>
      <c r="L4" s="170">
        <v>42005</v>
      </c>
      <c r="M4" s="116">
        <v>1584.95</v>
      </c>
      <c r="N4" s="116">
        <v>1620</v>
      </c>
      <c r="O4" s="116">
        <v>1578.05</v>
      </c>
      <c r="P4" s="116">
        <v>1589.5</v>
      </c>
      <c r="Q4" s="116">
        <v>3169.9</v>
      </c>
      <c r="R4">
        <v>7760</v>
      </c>
    </row>
    <row r="5" spans="1:18" x14ac:dyDescent="0.25">
      <c r="A5" s="170">
        <v>42006</v>
      </c>
      <c r="B5" s="116">
        <v>1590</v>
      </c>
      <c r="C5" s="116">
        <v>1565</v>
      </c>
      <c r="D5" s="116">
        <v>1556.125</v>
      </c>
      <c r="E5" s="116">
        <v>1585</v>
      </c>
      <c r="F5" s="116">
        <v>3130</v>
      </c>
      <c r="G5">
        <v>1215</v>
      </c>
      <c r="H5" s="116"/>
      <c r="I5" s="116"/>
      <c r="L5" s="170">
        <v>42006</v>
      </c>
      <c r="M5" s="116">
        <v>1565.95</v>
      </c>
      <c r="N5" s="116">
        <v>1594</v>
      </c>
      <c r="O5" s="116">
        <v>1555.5</v>
      </c>
      <c r="P5" s="116">
        <v>1570.5</v>
      </c>
      <c r="Q5" s="116">
        <v>3131.9</v>
      </c>
      <c r="R5">
        <v>7296</v>
      </c>
    </row>
    <row r="6" spans="1:18" x14ac:dyDescent="0.25">
      <c r="A6" s="170">
        <v>42009</v>
      </c>
      <c r="B6" s="116">
        <v>1582.075</v>
      </c>
      <c r="C6" s="116">
        <v>1570.0250000000001</v>
      </c>
      <c r="D6" s="116">
        <v>1560</v>
      </c>
      <c r="E6" s="116">
        <v>1565.5</v>
      </c>
      <c r="F6" s="116">
        <v>3140.05</v>
      </c>
      <c r="G6">
        <v>889</v>
      </c>
      <c r="H6" s="116"/>
      <c r="I6" s="116"/>
      <c r="L6" s="170">
        <v>42009</v>
      </c>
      <c r="M6" s="116">
        <v>1568.075</v>
      </c>
      <c r="N6" s="116">
        <v>1582.5</v>
      </c>
      <c r="O6" s="116">
        <v>1558.5</v>
      </c>
      <c r="P6" s="116">
        <v>1567.5</v>
      </c>
      <c r="Q6" s="116">
        <v>3136.15</v>
      </c>
      <c r="R6">
        <v>4876</v>
      </c>
    </row>
    <row r="7" spans="1:18" x14ac:dyDescent="0.25">
      <c r="A7" s="170">
        <v>42010</v>
      </c>
      <c r="B7" s="116">
        <v>1587.5</v>
      </c>
      <c r="C7" s="116">
        <v>1575.7750000000001</v>
      </c>
      <c r="D7" s="116">
        <v>1535</v>
      </c>
      <c r="E7" s="116">
        <v>1563.075</v>
      </c>
      <c r="F7" s="116">
        <v>3151.55</v>
      </c>
      <c r="G7">
        <v>3180</v>
      </c>
      <c r="H7" s="116"/>
      <c r="I7" s="116"/>
      <c r="L7" s="170">
        <v>42010</v>
      </c>
      <c r="M7" s="116">
        <v>1575.55</v>
      </c>
      <c r="N7" s="116">
        <v>1587.4749999999999</v>
      </c>
      <c r="O7" s="116">
        <v>1540</v>
      </c>
      <c r="P7" s="116">
        <v>1567.5</v>
      </c>
      <c r="Q7" s="116">
        <v>3151.1</v>
      </c>
      <c r="R7">
        <v>13599</v>
      </c>
    </row>
    <row r="8" spans="1:18" x14ac:dyDescent="0.25">
      <c r="A8" s="170">
        <v>42011</v>
      </c>
      <c r="B8" s="116">
        <v>1599.5</v>
      </c>
      <c r="C8" s="116">
        <v>1590.2</v>
      </c>
      <c r="D8" s="116">
        <v>1572.5</v>
      </c>
      <c r="E8" s="116">
        <v>1575.5</v>
      </c>
      <c r="F8" s="116">
        <v>3180.4</v>
      </c>
      <c r="G8">
        <v>2800</v>
      </c>
      <c r="H8" s="116"/>
      <c r="I8" s="116"/>
      <c r="L8" s="170">
        <v>42011</v>
      </c>
      <c r="M8" s="116">
        <v>1590.05</v>
      </c>
      <c r="N8" s="116">
        <v>1600</v>
      </c>
      <c r="O8" s="116">
        <v>1572.675</v>
      </c>
      <c r="P8" s="116">
        <v>1573.9749999999999</v>
      </c>
      <c r="Q8" s="116">
        <v>3180.1</v>
      </c>
      <c r="R8">
        <v>26060</v>
      </c>
    </row>
    <row r="9" spans="1:18" x14ac:dyDescent="0.25">
      <c r="A9" s="170">
        <v>42012</v>
      </c>
      <c r="B9" s="116">
        <v>1624.5</v>
      </c>
      <c r="C9" s="116">
        <v>1602.875</v>
      </c>
      <c r="D9" s="116">
        <v>1592.6</v>
      </c>
      <c r="E9" s="116">
        <v>1592.625</v>
      </c>
      <c r="F9" s="116">
        <v>3205.75</v>
      </c>
      <c r="G9">
        <v>4697</v>
      </c>
      <c r="H9" s="116"/>
      <c r="I9" s="116"/>
      <c r="L9" s="170">
        <v>42012</v>
      </c>
      <c r="M9" s="116">
        <v>1603.75</v>
      </c>
      <c r="N9" s="116">
        <v>1624.95</v>
      </c>
      <c r="O9" s="116">
        <v>1581.25</v>
      </c>
      <c r="P9" s="116">
        <v>1581.3</v>
      </c>
      <c r="Q9" s="116">
        <v>3207.5</v>
      </c>
      <c r="R9">
        <v>14308</v>
      </c>
    </row>
    <row r="10" spans="1:18" x14ac:dyDescent="0.25">
      <c r="A10" s="170">
        <v>42013</v>
      </c>
      <c r="B10" s="116">
        <v>1621.125</v>
      </c>
      <c r="C10" s="116">
        <v>1594.425</v>
      </c>
      <c r="D10" s="116">
        <v>1587.5</v>
      </c>
      <c r="E10" s="116">
        <v>1612.5</v>
      </c>
      <c r="F10" s="116">
        <v>3188.85</v>
      </c>
      <c r="G10">
        <v>2812</v>
      </c>
      <c r="H10" s="116"/>
      <c r="I10" s="116"/>
      <c r="L10" s="170">
        <v>42013</v>
      </c>
      <c r="M10" s="116">
        <v>1596.325</v>
      </c>
      <c r="N10" s="116">
        <v>1620</v>
      </c>
      <c r="O10" s="116">
        <v>1578</v>
      </c>
      <c r="P10" s="116">
        <v>1609.925</v>
      </c>
      <c r="Q10" s="116">
        <v>3192.65</v>
      </c>
      <c r="R10">
        <v>9659</v>
      </c>
    </row>
    <row r="11" spans="1:18" x14ac:dyDescent="0.25">
      <c r="A11" s="170">
        <v>42016</v>
      </c>
      <c r="B11" s="116">
        <v>1610</v>
      </c>
      <c r="C11" s="116">
        <v>1594.85</v>
      </c>
      <c r="D11" s="116">
        <v>1590.175</v>
      </c>
      <c r="E11" s="116">
        <v>1600</v>
      </c>
      <c r="F11" s="116">
        <v>3189.7</v>
      </c>
      <c r="G11">
        <v>1638</v>
      </c>
      <c r="H11" s="116"/>
      <c r="I11" s="116"/>
      <c r="L11" s="170">
        <v>42016</v>
      </c>
      <c r="M11" s="116">
        <v>1596.4</v>
      </c>
      <c r="N11" s="116">
        <v>1620</v>
      </c>
      <c r="O11" s="116">
        <v>1593.825</v>
      </c>
      <c r="P11" s="116">
        <v>1601.45</v>
      </c>
      <c r="Q11" s="116">
        <v>3192.8</v>
      </c>
      <c r="R11">
        <v>10159</v>
      </c>
    </row>
    <row r="12" spans="1:18" x14ac:dyDescent="0.25">
      <c r="A12" s="170">
        <v>42017</v>
      </c>
      <c r="B12" s="116">
        <v>1610</v>
      </c>
      <c r="C12" s="116">
        <v>1590.55</v>
      </c>
      <c r="D12" s="116">
        <v>1582.2249999999999</v>
      </c>
      <c r="E12" s="116">
        <v>1603.35</v>
      </c>
      <c r="F12" s="116">
        <v>3181.1</v>
      </c>
      <c r="G12">
        <v>2025</v>
      </c>
      <c r="H12" s="116"/>
      <c r="I12" s="116"/>
      <c r="L12" s="170">
        <v>42017</v>
      </c>
      <c r="M12" s="116">
        <v>1591.9749999999999</v>
      </c>
      <c r="N12" s="116">
        <v>1612.5</v>
      </c>
      <c r="O12" s="116">
        <v>1581.5</v>
      </c>
      <c r="P12" s="116">
        <v>1597.5</v>
      </c>
      <c r="Q12" s="116">
        <v>3183.95</v>
      </c>
      <c r="R12">
        <v>4795</v>
      </c>
    </row>
    <row r="13" spans="1:18" x14ac:dyDescent="0.25">
      <c r="A13" s="170">
        <v>42018</v>
      </c>
      <c r="B13" s="116">
        <v>1607.5</v>
      </c>
      <c r="C13" s="116">
        <v>1596.875</v>
      </c>
      <c r="D13" s="116">
        <v>1588.55</v>
      </c>
      <c r="E13" s="116">
        <v>1593.25</v>
      </c>
      <c r="F13" s="116">
        <v>3193.75</v>
      </c>
      <c r="G13">
        <v>22483</v>
      </c>
      <c r="H13" s="116"/>
      <c r="I13" s="116"/>
      <c r="L13" s="170">
        <v>42018</v>
      </c>
      <c r="M13" s="116">
        <v>1596.55</v>
      </c>
      <c r="N13" s="116">
        <v>1604.925</v>
      </c>
      <c r="O13" s="116">
        <v>1587.55</v>
      </c>
      <c r="P13" s="116">
        <v>1600</v>
      </c>
      <c r="Q13" s="116">
        <v>3193.1</v>
      </c>
      <c r="R13">
        <v>28123</v>
      </c>
    </row>
    <row r="14" spans="1:18" x14ac:dyDescent="0.25">
      <c r="A14" s="170">
        <v>42019</v>
      </c>
      <c r="B14" s="116">
        <v>1614.45</v>
      </c>
      <c r="C14" s="116">
        <v>1582.875</v>
      </c>
      <c r="D14" s="116">
        <v>1575</v>
      </c>
      <c r="E14" s="116">
        <v>1605</v>
      </c>
      <c r="F14" s="116">
        <v>3165.75</v>
      </c>
      <c r="G14">
        <v>3848</v>
      </c>
      <c r="H14" s="116"/>
      <c r="I14" s="116"/>
      <c r="L14" s="170">
        <v>42019</v>
      </c>
      <c r="M14" s="116">
        <v>1587.575</v>
      </c>
      <c r="N14" s="116">
        <v>1617.5</v>
      </c>
      <c r="O14" s="116">
        <v>1575</v>
      </c>
      <c r="P14" s="116">
        <v>1597</v>
      </c>
      <c r="Q14" s="116">
        <v>3175.15</v>
      </c>
      <c r="R14">
        <v>13247</v>
      </c>
    </row>
    <row r="15" spans="1:18" x14ac:dyDescent="0.25">
      <c r="A15" s="170">
        <v>42020</v>
      </c>
      <c r="B15" s="116">
        <v>1613.625</v>
      </c>
      <c r="C15" s="116">
        <v>1601.25</v>
      </c>
      <c r="D15" s="116">
        <v>1587.5</v>
      </c>
      <c r="E15" s="116">
        <v>1590.2</v>
      </c>
      <c r="F15" s="116">
        <v>3202.5</v>
      </c>
      <c r="G15">
        <v>17920</v>
      </c>
      <c r="H15" s="116"/>
      <c r="I15" s="116"/>
      <c r="L15" s="170">
        <v>42020</v>
      </c>
      <c r="M15" s="116">
        <v>1602.55</v>
      </c>
      <c r="N15" s="116">
        <v>1611.9749999999999</v>
      </c>
      <c r="O15" s="116">
        <v>1576.05</v>
      </c>
      <c r="P15" s="116">
        <v>1588.9749999999999</v>
      </c>
      <c r="Q15" s="116">
        <v>3205.1</v>
      </c>
      <c r="R15">
        <v>24227</v>
      </c>
    </row>
    <row r="16" spans="1:18" x14ac:dyDescent="0.25">
      <c r="A16" s="170">
        <v>42023</v>
      </c>
      <c r="B16" s="116">
        <v>1613.25</v>
      </c>
      <c r="C16" s="116">
        <v>1588.5</v>
      </c>
      <c r="D16" s="116">
        <v>1584</v>
      </c>
      <c r="E16" s="116">
        <v>1612.5</v>
      </c>
      <c r="F16" s="116">
        <v>3177</v>
      </c>
      <c r="G16">
        <v>1846</v>
      </c>
      <c r="H16" s="116"/>
      <c r="I16" s="116"/>
      <c r="L16" s="170">
        <v>42023</v>
      </c>
      <c r="M16" s="116">
        <v>1586.9</v>
      </c>
      <c r="N16" s="116">
        <v>1613.5</v>
      </c>
      <c r="O16" s="116">
        <v>1582.55</v>
      </c>
      <c r="P16" s="116">
        <v>1612.5</v>
      </c>
      <c r="Q16" s="116">
        <v>3173.8</v>
      </c>
      <c r="R16">
        <v>6313</v>
      </c>
    </row>
    <row r="17" spans="1:18" x14ac:dyDescent="0.25">
      <c r="A17" s="170">
        <v>42024</v>
      </c>
      <c r="B17" s="116">
        <v>1591</v>
      </c>
      <c r="C17" s="116">
        <v>1582.625</v>
      </c>
      <c r="D17" s="116">
        <v>1575.5</v>
      </c>
      <c r="E17" s="116">
        <v>1588.65</v>
      </c>
      <c r="F17" s="116">
        <v>3165.25</v>
      </c>
      <c r="G17">
        <v>1699</v>
      </c>
      <c r="H17" s="116"/>
      <c r="I17" s="116"/>
      <c r="L17" s="170">
        <v>42024</v>
      </c>
      <c r="M17" s="116">
        <v>1584.4749999999999</v>
      </c>
      <c r="N17" s="116">
        <v>1592.5</v>
      </c>
      <c r="O17" s="116">
        <v>1580</v>
      </c>
      <c r="P17" s="116">
        <v>1580</v>
      </c>
      <c r="Q17" s="116">
        <v>3168.95</v>
      </c>
      <c r="R17">
        <v>37306</v>
      </c>
    </row>
    <row r="18" spans="1:18" x14ac:dyDescent="0.25">
      <c r="A18" s="170">
        <v>42025</v>
      </c>
      <c r="B18" s="116">
        <v>1587.0250000000001</v>
      </c>
      <c r="C18" s="116">
        <v>1577.75</v>
      </c>
      <c r="D18" s="116">
        <v>1574.2</v>
      </c>
      <c r="E18" s="116">
        <v>1583.2</v>
      </c>
      <c r="F18" s="116">
        <v>3155.5</v>
      </c>
      <c r="G18">
        <v>1643</v>
      </c>
      <c r="H18" s="116"/>
      <c r="I18" s="116"/>
      <c r="L18" s="170">
        <v>42025</v>
      </c>
      <c r="M18" s="116">
        <v>1579.5250000000001</v>
      </c>
      <c r="N18" s="116">
        <v>1584.9749999999999</v>
      </c>
      <c r="O18" s="116">
        <v>1574.45</v>
      </c>
      <c r="P18" s="116">
        <v>1576.5250000000001</v>
      </c>
      <c r="Q18" s="116">
        <v>3159.05</v>
      </c>
      <c r="R18">
        <v>4481</v>
      </c>
    </row>
    <row r="19" spans="1:18" x14ac:dyDescent="0.25">
      <c r="A19" s="170">
        <v>42026</v>
      </c>
      <c r="B19" s="116">
        <v>1589.375</v>
      </c>
      <c r="C19" s="116">
        <v>1573.175</v>
      </c>
      <c r="D19" s="116">
        <v>1567</v>
      </c>
      <c r="E19" s="116">
        <v>1579.5</v>
      </c>
      <c r="F19" s="116">
        <v>3146.35</v>
      </c>
      <c r="G19">
        <v>1745</v>
      </c>
      <c r="H19" s="116"/>
      <c r="I19" s="116"/>
      <c r="L19" s="170">
        <v>42026</v>
      </c>
      <c r="M19" s="116">
        <v>1577</v>
      </c>
      <c r="N19" s="116">
        <v>1595</v>
      </c>
      <c r="O19" s="116">
        <v>1563</v>
      </c>
      <c r="P19" s="116">
        <v>1575.5</v>
      </c>
      <c r="Q19" s="116">
        <v>3154</v>
      </c>
      <c r="R19">
        <v>5592</v>
      </c>
    </row>
    <row r="20" spans="1:18" x14ac:dyDescent="0.25">
      <c r="A20" s="170">
        <v>42027</v>
      </c>
      <c r="B20" s="116">
        <v>1762.5</v>
      </c>
      <c r="C20" s="116">
        <v>1673.7249999999999</v>
      </c>
      <c r="D20" s="116">
        <v>1570</v>
      </c>
      <c r="E20" s="116">
        <v>1575</v>
      </c>
      <c r="F20" s="116">
        <v>3347.45</v>
      </c>
      <c r="G20">
        <v>41937</v>
      </c>
      <c r="H20" s="116"/>
      <c r="I20" s="116"/>
      <c r="L20" s="170">
        <v>42027</v>
      </c>
      <c r="M20" s="116">
        <v>1671.5250000000001</v>
      </c>
      <c r="N20" s="116">
        <v>1762.5</v>
      </c>
      <c r="O20" s="116">
        <v>1574.7</v>
      </c>
      <c r="P20" s="116">
        <v>1576.1</v>
      </c>
      <c r="Q20" s="116">
        <v>3343.05</v>
      </c>
      <c r="R20">
        <v>130958</v>
      </c>
    </row>
    <row r="21" spans="1:18" x14ac:dyDescent="0.25">
      <c r="A21" s="170">
        <v>42031</v>
      </c>
      <c r="B21" s="116">
        <v>1775</v>
      </c>
      <c r="C21" s="116">
        <v>1723.9749999999999</v>
      </c>
      <c r="D21" s="116">
        <v>1671.175</v>
      </c>
      <c r="E21" s="116">
        <v>1685</v>
      </c>
      <c r="F21" s="116">
        <v>3447.95</v>
      </c>
      <c r="G21">
        <v>11378</v>
      </c>
      <c r="H21" s="116"/>
      <c r="I21" s="116"/>
      <c r="L21" s="170">
        <v>42031</v>
      </c>
      <c r="M21" s="116">
        <v>1722.75</v>
      </c>
      <c r="N21" s="116">
        <v>1775</v>
      </c>
      <c r="O21" s="116">
        <v>1675.35</v>
      </c>
      <c r="P21" s="116">
        <v>1687.5</v>
      </c>
      <c r="Q21" s="116">
        <v>3445.5</v>
      </c>
      <c r="R21">
        <v>41759</v>
      </c>
    </row>
    <row r="22" spans="1:18" x14ac:dyDescent="0.25">
      <c r="A22" s="170">
        <v>42032</v>
      </c>
      <c r="B22" s="116">
        <v>1730.8</v>
      </c>
      <c r="C22" s="116">
        <v>1692.15</v>
      </c>
      <c r="D22" s="116">
        <v>1689.0250000000001</v>
      </c>
      <c r="E22" s="116">
        <v>1730</v>
      </c>
      <c r="F22" s="116">
        <v>3384.3</v>
      </c>
      <c r="G22">
        <v>3351</v>
      </c>
      <c r="H22" s="116"/>
      <c r="I22" s="116"/>
      <c r="L22" s="170">
        <v>42032</v>
      </c>
      <c r="M22" s="116">
        <v>1694.85</v>
      </c>
      <c r="N22" s="116">
        <v>1734.9749999999999</v>
      </c>
      <c r="O22" s="116">
        <v>1688</v>
      </c>
      <c r="P22" s="116">
        <v>1722.75</v>
      </c>
      <c r="Q22" s="116">
        <v>3389.7</v>
      </c>
      <c r="R22">
        <v>8693</v>
      </c>
    </row>
    <row r="23" spans="1:18" x14ac:dyDescent="0.25">
      <c r="A23" s="170">
        <v>42033</v>
      </c>
      <c r="B23" s="116">
        <v>1762.5</v>
      </c>
      <c r="C23" s="116">
        <v>1718.625</v>
      </c>
      <c r="D23" s="116">
        <v>1688.4749999999999</v>
      </c>
      <c r="E23" s="116">
        <v>1691.5</v>
      </c>
      <c r="F23" s="116">
        <v>3437.25</v>
      </c>
      <c r="G23">
        <v>5110</v>
      </c>
      <c r="H23" s="116"/>
      <c r="I23" s="116"/>
      <c r="L23" s="170">
        <v>42033</v>
      </c>
      <c r="M23" s="116">
        <v>1722.2750000000001</v>
      </c>
      <c r="N23" s="116">
        <v>1763.325</v>
      </c>
      <c r="O23" s="116">
        <v>1685.0250000000001</v>
      </c>
      <c r="P23" s="116">
        <v>1685.0250000000001</v>
      </c>
      <c r="Q23" s="116">
        <v>3444.55</v>
      </c>
      <c r="R23">
        <v>21807</v>
      </c>
    </row>
    <row r="24" spans="1:18" x14ac:dyDescent="0.25">
      <c r="A24" s="170">
        <v>42034</v>
      </c>
      <c r="B24" s="116">
        <v>1743.85</v>
      </c>
      <c r="C24" s="116">
        <v>1698.15</v>
      </c>
      <c r="D24" s="116">
        <v>1690</v>
      </c>
      <c r="E24" s="116">
        <v>1730</v>
      </c>
      <c r="F24" s="116">
        <v>3396.3</v>
      </c>
      <c r="G24">
        <v>3226</v>
      </c>
      <c r="H24" s="116"/>
      <c r="I24" s="116"/>
      <c r="L24" s="170">
        <v>42034</v>
      </c>
      <c r="M24" s="116">
        <v>1695.1</v>
      </c>
      <c r="N24" s="116">
        <v>1741.5</v>
      </c>
      <c r="O24" s="116">
        <v>1688</v>
      </c>
      <c r="P24" s="116">
        <v>1722.2750000000001</v>
      </c>
      <c r="Q24" s="116">
        <v>3390.2</v>
      </c>
      <c r="R24">
        <v>11954</v>
      </c>
    </row>
    <row r="25" spans="1:18" x14ac:dyDescent="0.25">
      <c r="A25" s="170">
        <v>42037</v>
      </c>
      <c r="B25" s="116">
        <v>1717</v>
      </c>
      <c r="C25" s="116">
        <v>1687.2750000000001</v>
      </c>
      <c r="D25" s="116">
        <v>1627.5</v>
      </c>
      <c r="E25" s="116">
        <v>1665</v>
      </c>
      <c r="F25" s="116">
        <v>3374.55</v>
      </c>
      <c r="G25">
        <v>1628</v>
      </c>
      <c r="H25" s="116"/>
      <c r="I25" s="116"/>
      <c r="L25" s="170">
        <v>42037</v>
      </c>
      <c r="M25" s="116">
        <v>1691.6</v>
      </c>
      <c r="N25" s="116">
        <v>1722.5</v>
      </c>
      <c r="O25" s="116">
        <v>1685.5</v>
      </c>
      <c r="P25" s="116">
        <v>1695.55</v>
      </c>
      <c r="Q25" s="116">
        <v>3383.2</v>
      </c>
      <c r="R25">
        <v>11642</v>
      </c>
    </row>
    <row r="26" spans="1:18" x14ac:dyDescent="0.25">
      <c r="A26" s="170">
        <v>42038</v>
      </c>
      <c r="B26" s="116">
        <v>1711</v>
      </c>
      <c r="C26" s="116">
        <v>1669.15</v>
      </c>
      <c r="D26" s="116">
        <v>1661.2</v>
      </c>
      <c r="E26" s="116">
        <v>1695</v>
      </c>
      <c r="F26" s="116">
        <v>3338.3</v>
      </c>
      <c r="G26">
        <v>1884</v>
      </c>
      <c r="H26" s="116"/>
      <c r="I26" s="116"/>
      <c r="L26" s="170">
        <v>42038</v>
      </c>
      <c r="M26" s="116">
        <v>1668.7</v>
      </c>
      <c r="N26" s="116">
        <v>1712.5</v>
      </c>
      <c r="O26" s="116">
        <v>1660</v>
      </c>
      <c r="P26" s="116">
        <v>1692.5</v>
      </c>
      <c r="Q26" s="116">
        <v>3337.4</v>
      </c>
      <c r="R26">
        <v>9705</v>
      </c>
    </row>
    <row r="27" spans="1:18" x14ac:dyDescent="0.25">
      <c r="A27" s="170">
        <v>42039</v>
      </c>
      <c r="B27" s="116">
        <v>1695.7</v>
      </c>
      <c r="C27" s="116">
        <v>1672.55</v>
      </c>
      <c r="D27" s="116">
        <v>1668.2</v>
      </c>
      <c r="E27" s="116">
        <v>1687.5</v>
      </c>
      <c r="F27" s="116">
        <v>3345.1</v>
      </c>
      <c r="G27">
        <v>1355</v>
      </c>
      <c r="H27" s="116"/>
      <c r="I27" s="116"/>
      <c r="L27" s="170">
        <v>42039</v>
      </c>
      <c r="M27" s="116">
        <v>1674.7249999999999</v>
      </c>
      <c r="N27" s="116">
        <v>1706.55</v>
      </c>
      <c r="O27" s="116">
        <v>1670.55</v>
      </c>
      <c r="P27" s="116">
        <v>1671.0250000000001</v>
      </c>
      <c r="Q27" s="116">
        <v>3349.45</v>
      </c>
      <c r="R27">
        <v>9437</v>
      </c>
    </row>
    <row r="28" spans="1:18" x14ac:dyDescent="0.25">
      <c r="A28" s="170">
        <v>42040</v>
      </c>
      <c r="B28" s="116">
        <v>1694</v>
      </c>
      <c r="C28" s="116">
        <v>1650.7750000000001</v>
      </c>
      <c r="D28" s="116">
        <v>1642.5</v>
      </c>
      <c r="E28" s="116">
        <v>1686.0250000000001</v>
      </c>
      <c r="F28" s="116">
        <v>3301.55</v>
      </c>
      <c r="G28">
        <v>1088</v>
      </c>
      <c r="H28" s="116"/>
      <c r="I28" s="116"/>
      <c r="L28" s="170">
        <v>42040</v>
      </c>
      <c r="M28" s="116">
        <v>1650.7750000000001</v>
      </c>
      <c r="N28" s="116">
        <v>1694</v>
      </c>
      <c r="O28" s="116">
        <v>1640</v>
      </c>
      <c r="P28" s="116">
        <v>1691.95</v>
      </c>
      <c r="Q28" s="116">
        <v>3301.55</v>
      </c>
      <c r="R28">
        <v>7580</v>
      </c>
    </row>
    <row r="29" spans="1:18" x14ac:dyDescent="0.25">
      <c r="A29" s="170">
        <v>42041</v>
      </c>
      <c r="B29" s="116">
        <v>1657.5</v>
      </c>
      <c r="C29" s="116">
        <v>1649.0250000000001</v>
      </c>
      <c r="D29" s="116">
        <v>1628</v>
      </c>
      <c r="E29" s="116">
        <v>1650</v>
      </c>
      <c r="F29" s="116">
        <v>3298.05</v>
      </c>
      <c r="G29">
        <v>1774</v>
      </c>
      <c r="H29" s="116"/>
      <c r="I29" s="116"/>
      <c r="L29" s="170">
        <v>42041</v>
      </c>
      <c r="M29" s="116">
        <v>1647.9749999999999</v>
      </c>
      <c r="N29" s="116">
        <v>1660.5</v>
      </c>
      <c r="O29" s="116">
        <v>1627.5250000000001</v>
      </c>
      <c r="P29" s="116">
        <v>1660.5</v>
      </c>
      <c r="Q29" s="116">
        <v>3295.95</v>
      </c>
      <c r="R29">
        <v>5251</v>
      </c>
    </row>
    <row r="30" spans="1:18" x14ac:dyDescent="0.25">
      <c r="A30" s="170">
        <v>42044</v>
      </c>
      <c r="B30" s="116">
        <v>1660.35</v>
      </c>
      <c r="C30" s="116">
        <v>1638.3</v>
      </c>
      <c r="D30" s="116">
        <v>1615.675</v>
      </c>
      <c r="E30" s="116">
        <v>1650</v>
      </c>
      <c r="F30" s="116">
        <v>3276.6</v>
      </c>
      <c r="G30">
        <v>2903</v>
      </c>
      <c r="H30" s="116"/>
      <c r="I30" s="116"/>
      <c r="L30" s="170">
        <v>42044</v>
      </c>
      <c r="M30" s="116">
        <v>1643.9749999999999</v>
      </c>
      <c r="N30" s="116">
        <v>1662.45</v>
      </c>
      <c r="O30" s="116">
        <v>1619.9749999999999</v>
      </c>
      <c r="P30" s="116">
        <v>1650</v>
      </c>
      <c r="Q30" s="116">
        <v>3287.95</v>
      </c>
      <c r="R30">
        <v>7639</v>
      </c>
    </row>
    <row r="31" spans="1:18" x14ac:dyDescent="0.25">
      <c r="A31" s="170">
        <v>42045</v>
      </c>
      <c r="B31" s="116">
        <v>1697.5</v>
      </c>
      <c r="C31" s="116">
        <v>1662.4749999999999</v>
      </c>
      <c r="D31" s="116">
        <v>1625</v>
      </c>
      <c r="E31" s="116">
        <v>1625</v>
      </c>
      <c r="F31" s="116">
        <v>3324.95</v>
      </c>
      <c r="G31">
        <v>5522</v>
      </c>
      <c r="H31" s="116"/>
      <c r="I31" s="116"/>
      <c r="L31" s="170">
        <v>42045</v>
      </c>
      <c r="M31" s="116">
        <v>1661.2750000000001</v>
      </c>
      <c r="N31" s="116">
        <v>1699.5</v>
      </c>
      <c r="O31" s="116">
        <v>1610.5</v>
      </c>
      <c r="P31" s="116">
        <v>1650.7249999999999</v>
      </c>
      <c r="Q31" s="116">
        <v>3322.55</v>
      </c>
      <c r="R31">
        <v>11479</v>
      </c>
    </row>
    <row r="32" spans="1:18" x14ac:dyDescent="0.25">
      <c r="A32" s="170">
        <v>42046</v>
      </c>
      <c r="B32" s="116">
        <v>1669.675</v>
      </c>
      <c r="C32" s="116">
        <v>1632.8</v>
      </c>
      <c r="D32" s="116">
        <v>1552.5</v>
      </c>
      <c r="E32" s="116">
        <v>1660</v>
      </c>
      <c r="F32" s="116">
        <v>3265.6</v>
      </c>
      <c r="G32">
        <v>5973</v>
      </c>
      <c r="H32" s="116"/>
      <c r="I32" s="116"/>
      <c r="L32" s="170">
        <v>42046</v>
      </c>
      <c r="M32" s="116">
        <v>1647.7750000000001</v>
      </c>
      <c r="N32" s="116">
        <v>1669.125</v>
      </c>
      <c r="O32" s="116">
        <v>1639.375</v>
      </c>
      <c r="P32" s="116">
        <v>1669.1</v>
      </c>
      <c r="Q32" s="116">
        <v>3295.55</v>
      </c>
      <c r="R32">
        <v>6459</v>
      </c>
    </row>
    <row r="33" spans="1:18" x14ac:dyDescent="0.25">
      <c r="A33" s="170">
        <v>42047</v>
      </c>
      <c r="B33" s="116">
        <v>1677.5</v>
      </c>
      <c r="C33" s="116">
        <v>1627</v>
      </c>
      <c r="D33" s="116">
        <v>1584.9749999999999</v>
      </c>
      <c r="E33" s="116">
        <v>1647.5</v>
      </c>
      <c r="F33" s="116">
        <v>3254</v>
      </c>
      <c r="G33">
        <v>6411</v>
      </c>
      <c r="H33" s="116"/>
      <c r="I33" s="116"/>
      <c r="L33" s="170">
        <v>42047</v>
      </c>
      <c r="M33" s="116">
        <v>1626.7</v>
      </c>
      <c r="N33" s="116">
        <v>1679.95</v>
      </c>
      <c r="O33" s="116">
        <v>1582.15</v>
      </c>
      <c r="P33" s="116">
        <v>1650.5</v>
      </c>
      <c r="Q33" s="116">
        <v>3253.4</v>
      </c>
      <c r="R33">
        <v>30163</v>
      </c>
    </row>
    <row r="34" spans="1:18" x14ac:dyDescent="0.25">
      <c r="A34" s="170">
        <v>42048</v>
      </c>
      <c r="B34" s="116">
        <v>1659</v>
      </c>
      <c r="C34" s="116">
        <v>1634</v>
      </c>
      <c r="D34" s="116">
        <v>1611.5</v>
      </c>
      <c r="E34" s="116">
        <v>1617.5</v>
      </c>
      <c r="F34" s="116">
        <v>3268</v>
      </c>
      <c r="G34">
        <v>3491</v>
      </c>
      <c r="H34" s="116"/>
      <c r="I34" s="116"/>
      <c r="L34" s="170">
        <v>42048</v>
      </c>
      <c r="M34" s="116">
        <v>1633.2</v>
      </c>
      <c r="N34" s="116">
        <v>1659</v>
      </c>
      <c r="O34" s="116">
        <v>1621.5</v>
      </c>
      <c r="P34" s="116">
        <v>1625</v>
      </c>
      <c r="Q34" s="116">
        <v>3266.4</v>
      </c>
      <c r="R34">
        <v>8092</v>
      </c>
    </row>
    <row r="35" spans="1:18" x14ac:dyDescent="0.25">
      <c r="A35" s="170">
        <v>42051</v>
      </c>
      <c r="B35" s="116">
        <v>1647.5250000000001</v>
      </c>
      <c r="C35" s="116">
        <v>1621.6</v>
      </c>
      <c r="D35" s="116">
        <v>1613</v>
      </c>
      <c r="E35" s="116">
        <v>1645.05</v>
      </c>
      <c r="F35" s="116">
        <v>3243.2</v>
      </c>
      <c r="G35">
        <v>1656</v>
      </c>
      <c r="H35" s="116"/>
      <c r="I35" s="116"/>
      <c r="L35" s="170">
        <v>42051</v>
      </c>
      <c r="M35" s="116">
        <v>1623.8</v>
      </c>
      <c r="N35" s="116">
        <v>1646</v>
      </c>
      <c r="O35" s="116">
        <v>1614.3</v>
      </c>
      <c r="P35" s="116">
        <v>1625.625</v>
      </c>
      <c r="Q35" s="116">
        <v>3247.6</v>
      </c>
      <c r="R35">
        <v>5842</v>
      </c>
    </row>
    <row r="36" spans="1:18" x14ac:dyDescent="0.25">
      <c r="A36" s="170">
        <v>42053</v>
      </c>
      <c r="B36" s="116">
        <v>1639</v>
      </c>
      <c r="C36" s="116">
        <v>1615.9</v>
      </c>
      <c r="D36" s="116">
        <v>1609</v>
      </c>
      <c r="E36" s="116">
        <v>1635.35</v>
      </c>
      <c r="F36" s="116">
        <v>3231.8</v>
      </c>
      <c r="G36">
        <v>2312</v>
      </c>
      <c r="H36" s="116"/>
      <c r="I36" s="116"/>
      <c r="L36" s="170">
        <v>42053</v>
      </c>
      <c r="M36" s="116">
        <v>1622.5250000000001</v>
      </c>
      <c r="N36" s="116">
        <v>1642</v>
      </c>
      <c r="O36" s="116">
        <v>1612.5</v>
      </c>
      <c r="P36" s="116">
        <v>1638</v>
      </c>
      <c r="Q36" s="116">
        <v>3245.05</v>
      </c>
      <c r="R36">
        <v>5925</v>
      </c>
    </row>
    <row r="37" spans="1:18" x14ac:dyDescent="0.25">
      <c r="A37" s="170">
        <v>42054</v>
      </c>
      <c r="B37" s="116">
        <v>1632.25</v>
      </c>
      <c r="C37" s="116">
        <v>1608.7</v>
      </c>
      <c r="D37" s="116">
        <v>1597.5</v>
      </c>
      <c r="E37" s="116">
        <v>1628.875</v>
      </c>
      <c r="F37" s="116">
        <v>3217.4</v>
      </c>
      <c r="G37">
        <v>2705</v>
      </c>
      <c r="H37" s="116"/>
      <c r="I37" s="116"/>
      <c r="L37" s="170">
        <v>42054</v>
      </c>
      <c r="M37" s="116">
        <v>1610.65</v>
      </c>
      <c r="N37" s="116">
        <v>1633.5</v>
      </c>
      <c r="O37" s="116">
        <v>1595.7</v>
      </c>
      <c r="P37" s="116">
        <v>1612.75</v>
      </c>
      <c r="Q37" s="116">
        <v>3221.3</v>
      </c>
      <c r="R37">
        <v>8389</v>
      </c>
    </row>
    <row r="38" spans="1:18" x14ac:dyDescent="0.25">
      <c r="A38" s="170">
        <v>42055</v>
      </c>
      <c r="B38" s="116">
        <v>1616.5250000000001</v>
      </c>
      <c r="C38" s="116">
        <v>1587.5</v>
      </c>
      <c r="D38" s="116">
        <v>1575</v>
      </c>
      <c r="E38" s="116">
        <v>1615.05</v>
      </c>
      <c r="F38" s="116">
        <v>3175</v>
      </c>
      <c r="G38">
        <v>3966</v>
      </c>
      <c r="H38" s="116"/>
      <c r="I38" s="116"/>
      <c r="L38" s="170">
        <v>42055</v>
      </c>
      <c r="M38" s="116">
        <v>1592.4</v>
      </c>
      <c r="N38" s="116">
        <v>1618</v>
      </c>
      <c r="O38" s="116">
        <v>1580.5</v>
      </c>
      <c r="P38" s="116">
        <v>1610.65</v>
      </c>
      <c r="Q38" s="116">
        <v>3184.8</v>
      </c>
      <c r="R38">
        <v>10264</v>
      </c>
    </row>
    <row r="39" spans="1:18" x14ac:dyDescent="0.25">
      <c r="A39" s="170">
        <v>42058</v>
      </c>
      <c r="B39" s="116">
        <v>1603</v>
      </c>
      <c r="C39" s="116">
        <v>1566.85</v>
      </c>
      <c r="D39" s="116">
        <v>1550</v>
      </c>
      <c r="E39" s="116">
        <v>1587.5</v>
      </c>
      <c r="F39" s="116">
        <v>3133.7</v>
      </c>
      <c r="G39">
        <v>3601</v>
      </c>
      <c r="H39" s="116"/>
      <c r="I39" s="116"/>
      <c r="L39" s="170">
        <v>42058</v>
      </c>
      <c r="M39" s="116">
        <v>1565.5250000000001</v>
      </c>
      <c r="N39" s="116">
        <v>1600</v>
      </c>
      <c r="O39" s="116">
        <v>1555.5</v>
      </c>
      <c r="P39" s="116">
        <v>1576</v>
      </c>
      <c r="Q39" s="116">
        <v>3131.05</v>
      </c>
      <c r="R39">
        <v>10248</v>
      </c>
    </row>
    <row r="40" spans="1:18" x14ac:dyDescent="0.25">
      <c r="A40" s="170">
        <v>42059</v>
      </c>
      <c r="B40" s="116">
        <v>1578.2249999999999</v>
      </c>
      <c r="C40" s="116">
        <v>1553.55</v>
      </c>
      <c r="D40" s="116">
        <v>1538.05</v>
      </c>
      <c r="E40" s="116">
        <v>1578.2249999999999</v>
      </c>
      <c r="F40" s="116">
        <v>3107.1</v>
      </c>
      <c r="G40">
        <v>2086</v>
      </c>
      <c r="H40" s="116"/>
      <c r="I40" s="116"/>
      <c r="L40" s="170">
        <v>42059</v>
      </c>
      <c r="M40" s="116">
        <v>1559.8</v>
      </c>
      <c r="N40" s="116">
        <v>1576.0250000000001</v>
      </c>
      <c r="O40" s="116">
        <v>1537.5</v>
      </c>
      <c r="P40" s="116">
        <v>1576</v>
      </c>
      <c r="Q40" s="116">
        <v>3119.6</v>
      </c>
      <c r="R40">
        <v>10417</v>
      </c>
    </row>
    <row r="41" spans="1:18" x14ac:dyDescent="0.25">
      <c r="A41" s="170">
        <v>42060</v>
      </c>
      <c r="B41" s="116">
        <v>1571.05</v>
      </c>
      <c r="C41" s="116">
        <v>1547.9</v>
      </c>
      <c r="D41" s="116">
        <v>1525.7750000000001</v>
      </c>
      <c r="E41" s="116">
        <v>1567.5</v>
      </c>
      <c r="F41" s="116">
        <v>3095.8</v>
      </c>
      <c r="G41">
        <v>2333</v>
      </c>
      <c r="H41" s="116"/>
      <c r="I41" s="116"/>
      <c r="L41" s="170">
        <v>42060</v>
      </c>
      <c r="M41" s="116">
        <v>1552.55</v>
      </c>
      <c r="N41" s="116">
        <v>1578.675</v>
      </c>
      <c r="O41" s="116">
        <v>1528.0250000000001</v>
      </c>
      <c r="P41" s="116">
        <v>1553.5</v>
      </c>
      <c r="Q41" s="116">
        <v>3105.1</v>
      </c>
      <c r="R41">
        <v>17830</v>
      </c>
    </row>
    <row r="42" spans="1:18" x14ac:dyDescent="0.25">
      <c r="A42" s="170">
        <v>42061</v>
      </c>
      <c r="B42" s="116">
        <v>1558.4749999999999</v>
      </c>
      <c r="C42" s="116">
        <v>1548.0250000000001</v>
      </c>
      <c r="D42" s="116">
        <v>1537.5</v>
      </c>
      <c r="E42" s="116">
        <v>1550</v>
      </c>
      <c r="F42" s="116">
        <v>3096.05</v>
      </c>
      <c r="G42">
        <v>1318</v>
      </c>
      <c r="H42" s="116"/>
      <c r="I42" s="116"/>
      <c r="L42" s="170">
        <v>42061</v>
      </c>
      <c r="M42" s="116">
        <v>1549.45</v>
      </c>
      <c r="N42" s="116">
        <v>1563.5</v>
      </c>
      <c r="O42" s="116">
        <v>1532.55</v>
      </c>
      <c r="P42" s="116">
        <v>1549.5</v>
      </c>
      <c r="Q42" s="116">
        <v>3098.9</v>
      </c>
      <c r="R42">
        <v>10399</v>
      </c>
    </row>
    <row r="43" spans="1:18" x14ac:dyDescent="0.25">
      <c r="A43" s="170">
        <v>42062</v>
      </c>
      <c r="B43" s="116">
        <v>1562</v>
      </c>
      <c r="C43" s="116">
        <v>1547.4</v>
      </c>
      <c r="D43" s="116">
        <v>1539.4749999999999</v>
      </c>
      <c r="E43" s="116">
        <v>1550</v>
      </c>
      <c r="F43" s="116">
        <v>3094.8</v>
      </c>
      <c r="G43">
        <v>1806</v>
      </c>
      <c r="H43" s="116"/>
      <c r="I43" s="116"/>
      <c r="L43" s="170">
        <v>42062</v>
      </c>
      <c r="M43" s="116">
        <v>1549.9749999999999</v>
      </c>
      <c r="N43" s="116">
        <v>1563.7</v>
      </c>
      <c r="O43" s="116">
        <v>1539.5</v>
      </c>
      <c r="P43" s="116">
        <v>1550.5</v>
      </c>
      <c r="Q43" s="116">
        <v>3099.95</v>
      </c>
      <c r="R43">
        <v>9148</v>
      </c>
    </row>
    <row r="44" spans="1:18" x14ac:dyDescent="0.25">
      <c r="A44" s="170">
        <v>42063</v>
      </c>
      <c r="B44" s="116">
        <v>1566.8</v>
      </c>
      <c r="C44" s="116">
        <v>1555.8</v>
      </c>
      <c r="D44" s="116">
        <v>1542.5250000000001</v>
      </c>
      <c r="E44" s="116">
        <v>1550</v>
      </c>
      <c r="F44" s="116">
        <v>3111.6</v>
      </c>
      <c r="G44">
        <v>1149</v>
      </c>
      <c r="H44" s="116"/>
      <c r="I44" s="116"/>
      <c r="L44" s="170">
        <v>42063</v>
      </c>
      <c r="M44" s="116">
        <v>1554.625</v>
      </c>
      <c r="N44" s="116">
        <v>1564.95</v>
      </c>
      <c r="O44" s="116">
        <v>1540.55</v>
      </c>
      <c r="P44" s="116">
        <v>1550</v>
      </c>
      <c r="Q44" s="116">
        <v>3109.25</v>
      </c>
      <c r="R44">
        <v>3802</v>
      </c>
    </row>
    <row r="45" spans="1:18" x14ac:dyDescent="0.25">
      <c r="A45" s="170">
        <v>42065</v>
      </c>
      <c r="B45" s="116">
        <v>1564.9749999999999</v>
      </c>
      <c r="C45" s="116">
        <v>1539.15</v>
      </c>
      <c r="D45" s="116">
        <v>1525</v>
      </c>
      <c r="E45" s="116">
        <v>1558</v>
      </c>
      <c r="F45" s="116">
        <v>3078.3</v>
      </c>
      <c r="G45">
        <v>4493</v>
      </c>
      <c r="H45" s="116"/>
      <c r="I45" s="116"/>
      <c r="L45" s="170">
        <v>42065</v>
      </c>
      <c r="M45" s="116">
        <v>1545.2</v>
      </c>
      <c r="N45" s="116">
        <v>1574.95</v>
      </c>
      <c r="O45" s="116">
        <v>1530</v>
      </c>
      <c r="P45" s="116">
        <v>1565.4749999999999</v>
      </c>
      <c r="Q45" s="116">
        <v>3090.4</v>
      </c>
      <c r="R45">
        <v>10923</v>
      </c>
    </row>
    <row r="46" spans="1:18" x14ac:dyDescent="0.25">
      <c r="A46" s="170">
        <v>42066</v>
      </c>
      <c r="B46" s="116">
        <v>1559</v>
      </c>
      <c r="C46" s="116">
        <v>1549.25</v>
      </c>
      <c r="D46" s="116">
        <v>1539.15</v>
      </c>
      <c r="E46" s="116">
        <v>1546.5</v>
      </c>
      <c r="F46" s="116">
        <v>3098.5</v>
      </c>
      <c r="G46">
        <v>2052</v>
      </c>
      <c r="H46" s="116"/>
      <c r="I46" s="116"/>
      <c r="L46" s="170">
        <v>42066</v>
      </c>
      <c r="M46" s="116">
        <v>1555.45</v>
      </c>
      <c r="N46" s="116">
        <v>1562.5</v>
      </c>
      <c r="O46" s="116">
        <v>1535.575</v>
      </c>
      <c r="P46" s="116">
        <v>1536.0250000000001</v>
      </c>
      <c r="Q46" s="116">
        <v>3110.9</v>
      </c>
      <c r="R46">
        <v>11322</v>
      </c>
    </row>
    <row r="47" spans="1:18" x14ac:dyDescent="0.25">
      <c r="A47" s="170">
        <v>42067</v>
      </c>
      <c r="B47" s="116">
        <v>1592.075</v>
      </c>
      <c r="C47" s="116">
        <v>1573.325</v>
      </c>
      <c r="D47" s="116">
        <v>1550</v>
      </c>
      <c r="E47" s="116">
        <v>1565</v>
      </c>
      <c r="F47" s="116">
        <v>3146.65</v>
      </c>
      <c r="G47">
        <v>9273</v>
      </c>
      <c r="H47" s="116"/>
      <c r="I47" s="116"/>
      <c r="L47" s="170">
        <v>42067</v>
      </c>
      <c r="M47" s="116">
        <v>1569.8</v>
      </c>
      <c r="N47" s="116">
        <v>1599.95</v>
      </c>
      <c r="O47" s="116">
        <v>1540.55</v>
      </c>
      <c r="P47" s="116">
        <v>1570</v>
      </c>
      <c r="Q47" s="116">
        <v>3139.6</v>
      </c>
      <c r="R47">
        <v>10313</v>
      </c>
    </row>
    <row r="48" spans="1:18" x14ac:dyDescent="0.25">
      <c r="A48" s="170">
        <v>42068</v>
      </c>
      <c r="B48" s="116">
        <v>1661.825</v>
      </c>
      <c r="C48" s="116">
        <v>1636.125</v>
      </c>
      <c r="D48" s="116">
        <v>1560</v>
      </c>
      <c r="E48" s="116">
        <v>1580.5</v>
      </c>
      <c r="F48" s="116">
        <v>3272.25</v>
      </c>
      <c r="G48">
        <v>30141</v>
      </c>
      <c r="H48" s="116"/>
      <c r="I48" s="116"/>
      <c r="L48" s="170">
        <v>42068</v>
      </c>
      <c r="M48" s="116">
        <v>1636.625</v>
      </c>
      <c r="N48" s="116">
        <v>1659.5</v>
      </c>
      <c r="O48" s="116">
        <v>1555</v>
      </c>
      <c r="P48" s="116">
        <v>1571</v>
      </c>
      <c r="Q48" s="116">
        <v>3273.25</v>
      </c>
      <c r="R48">
        <v>37837</v>
      </c>
    </row>
    <row r="49" spans="1:18" x14ac:dyDescent="0.25">
      <c r="A49" s="170">
        <v>42072</v>
      </c>
      <c r="B49" s="116">
        <v>1697.5</v>
      </c>
      <c r="C49" s="116">
        <v>1660.55</v>
      </c>
      <c r="D49" s="116">
        <v>1615.05</v>
      </c>
      <c r="E49" s="116">
        <v>1624.5</v>
      </c>
      <c r="F49" s="116">
        <v>3321.1</v>
      </c>
      <c r="G49">
        <v>5601</v>
      </c>
      <c r="H49" s="116"/>
      <c r="I49" s="116"/>
      <c r="L49" s="170">
        <v>42072</v>
      </c>
      <c r="M49" s="116">
        <v>1657.45</v>
      </c>
      <c r="N49" s="116">
        <v>1699.8</v>
      </c>
      <c r="O49" s="116">
        <v>1613</v>
      </c>
      <c r="P49" s="116">
        <v>1637.5</v>
      </c>
      <c r="Q49" s="116">
        <v>3314.9</v>
      </c>
      <c r="R49">
        <v>25566</v>
      </c>
    </row>
    <row r="50" spans="1:18" x14ac:dyDescent="0.25">
      <c r="A50" s="170">
        <v>42073</v>
      </c>
      <c r="B50" s="116">
        <v>1695</v>
      </c>
      <c r="C50" s="116">
        <v>1662.9749999999999</v>
      </c>
      <c r="D50" s="116">
        <v>1617.5250000000001</v>
      </c>
      <c r="E50" s="116">
        <v>1657.95</v>
      </c>
      <c r="F50" s="116">
        <v>3325.95</v>
      </c>
      <c r="G50">
        <v>4804</v>
      </c>
      <c r="H50" s="116"/>
      <c r="I50" s="116"/>
      <c r="L50" s="170">
        <v>42073</v>
      </c>
      <c r="M50" s="116">
        <v>1671.95</v>
      </c>
      <c r="N50" s="116">
        <v>1699</v>
      </c>
      <c r="O50" s="116">
        <v>1615.5</v>
      </c>
      <c r="P50" s="116">
        <v>1661.9749999999999</v>
      </c>
      <c r="Q50" s="116">
        <v>3343.9</v>
      </c>
      <c r="R50">
        <v>16066</v>
      </c>
    </row>
    <row r="51" spans="1:18" x14ac:dyDescent="0.25">
      <c r="A51" s="170">
        <v>42074</v>
      </c>
      <c r="B51" s="116">
        <v>1688.2</v>
      </c>
      <c r="C51" s="116">
        <v>1672</v>
      </c>
      <c r="D51" s="116">
        <v>1647</v>
      </c>
      <c r="E51" s="116">
        <v>1673.5</v>
      </c>
      <c r="F51" s="116">
        <v>3344</v>
      </c>
      <c r="G51">
        <v>3635</v>
      </c>
      <c r="H51" s="116"/>
      <c r="I51" s="116"/>
      <c r="L51" s="170">
        <v>42074</v>
      </c>
      <c r="M51" s="116">
        <v>1679.675</v>
      </c>
      <c r="N51" s="116">
        <v>1690</v>
      </c>
      <c r="O51" s="116">
        <v>1650.5</v>
      </c>
      <c r="P51" s="116">
        <v>1667.5</v>
      </c>
      <c r="Q51" s="116">
        <v>3359.35</v>
      </c>
      <c r="R51">
        <v>50466</v>
      </c>
    </row>
    <row r="52" spans="1:18" x14ac:dyDescent="0.25">
      <c r="A52" s="170">
        <v>42075</v>
      </c>
      <c r="B52" s="116">
        <v>1676.95</v>
      </c>
      <c r="C52" s="116">
        <v>1645.05</v>
      </c>
      <c r="D52" s="116">
        <v>1640</v>
      </c>
      <c r="E52" s="116">
        <v>1670</v>
      </c>
      <c r="F52" s="116">
        <v>3290.1</v>
      </c>
      <c r="G52">
        <v>3074</v>
      </c>
      <c r="H52" s="116"/>
      <c r="I52" s="116"/>
      <c r="L52" s="170">
        <v>42075</v>
      </c>
      <c r="M52" s="116">
        <v>1651.0250000000001</v>
      </c>
      <c r="N52" s="116">
        <v>1680.9749999999999</v>
      </c>
      <c r="O52" s="116">
        <v>1640.0250000000001</v>
      </c>
      <c r="P52" s="116">
        <v>1680</v>
      </c>
      <c r="Q52" s="116">
        <v>3302.05</v>
      </c>
      <c r="R52">
        <v>9683</v>
      </c>
    </row>
    <row r="53" spans="1:18" x14ac:dyDescent="0.25">
      <c r="A53" s="170">
        <v>42076</v>
      </c>
      <c r="B53" s="116">
        <v>1680</v>
      </c>
      <c r="C53" s="116">
        <v>1651.425</v>
      </c>
      <c r="D53" s="116">
        <v>1646.65</v>
      </c>
      <c r="E53" s="116">
        <v>1662.5</v>
      </c>
      <c r="F53" s="116">
        <v>3302.85</v>
      </c>
      <c r="G53">
        <v>3880</v>
      </c>
      <c r="H53" s="116"/>
      <c r="I53" s="116"/>
      <c r="L53" s="170">
        <v>42076</v>
      </c>
      <c r="M53" s="116">
        <v>1652.375</v>
      </c>
      <c r="N53" s="116">
        <v>1681.5</v>
      </c>
      <c r="O53" s="116">
        <v>1645.375</v>
      </c>
      <c r="P53" s="116">
        <v>1657.9</v>
      </c>
      <c r="Q53" s="116">
        <v>3304.75</v>
      </c>
      <c r="R53">
        <v>17375</v>
      </c>
    </row>
    <row r="54" spans="1:18" x14ac:dyDescent="0.25">
      <c r="A54" s="170">
        <v>42079</v>
      </c>
      <c r="B54" s="116">
        <v>1665.05</v>
      </c>
      <c r="C54" s="116">
        <v>1637.45</v>
      </c>
      <c r="D54" s="116">
        <v>1617.85</v>
      </c>
      <c r="E54" s="116">
        <v>1660</v>
      </c>
      <c r="F54" s="116">
        <v>3274.9</v>
      </c>
      <c r="G54">
        <v>2823</v>
      </c>
      <c r="H54" s="116"/>
      <c r="I54" s="116"/>
      <c r="L54" s="170">
        <v>42079</v>
      </c>
      <c r="M54" s="116">
        <v>1643.2</v>
      </c>
      <c r="N54" s="116">
        <v>1666.5</v>
      </c>
      <c r="O54" s="116">
        <v>1615</v>
      </c>
      <c r="P54" s="116">
        <v>1650</v>
      </c>
      <c r="Q54" s="116">
        <v>3286.4</v>
      </c>
      <c r="R54">
        <v>28894</v>
      </c>
    </row>
    <row r="55" spans="1:18" x14ac:dyDescent="0.25">
      <c r="A55" s="170">
        <v>42080</v>
      </c>
      <c r="B55" s="116">
        <v>1654.7</v>
      </c>
      <c r="C55" s="116">
        <v>1626.575</v>
      </c>
      <c r="D55" s="116">
        <v>1611.6</v>
      </c>
      <c r="E55" s="116">
        <v>1642.5</v>
      </c>
      <c r="F55" s="116">
        <v>3253.15</v>
      </c>
      <c r="G55">
        <v>2882</v>
      </c>
      <c r="H55" s="116"/>
      <c r="I55" s="116"/>
      <c r="L55" s="170">
        <v>42080</v>
      </c>
      <c r="M55" s="116">
        <v>1630.8</v>
      </c>
      <c r="N55" s="116">
        <v>1655</v>
      </c>
      <c r="O55" s="116">
        <v>1620</v>
      </c>
      <c r="P55" s="116">
        <v>1649.5</v>
      </c>
      <c r="Q55" s="116">
        <v>3261.6</v>
      </c>
      <c r="R55">
        <v>11247</v>
      </c>
    </row>
    <row r="56" spans="1:18" x14ac:dyDescent="0.25">
      <c r="A56" s="170">
        <v>42081</v>
      </c>
      <c r="B56" s="116">
        <v>1664.5</v>
      </c>
      <c r="C56" s="116">
        <v>1638.75</v>
      </c>
      <c r="D56" s="116">
        <v>1600</v>
      </c>
      <c r="E56" s="116">
        <v>1634.55</v>
      </c>
      <c r="F56" s="116">
        <v>3277.5</v>
      </c>
      <c r="G56">
        <v>4597</v>
      </c>
      <c r="H56" s="116"/>
      <c r="I56" s="116"/>
      <c r="L56" s="170">
        <v>42081</v>
      </c>
      <c r="M56" s="116">
        <v>1639.05</v>
      </c>
      <c r="N56" s="116">
        <v>1664.625</v>
      </c>
      <c r="O56" s="116">
        <v>1564.8</v>
      </c>
      <c r="P56" s="116">
        <v>1630.5</v>
      </c>
      <c r="Q56" s="116">
        <v>3278.1</v>
      </c>
      <c r="R56">
        <v>20994</v>
      </c>
    </row>
    <row r="57" spans="1:18" x14ac:dyDescent="0.25">
      <c r="A57" s="170">
        <v>42082</v>
      </c>
      <c r="B57" s="116">
        <v>1664.85</v>
      </c>
      <c r="C57" s="116">
        <v>1628.35</v>
      </c>
      <c r="D57" s="116">
        <v>1622.5</v>
      </c>
      <c r="E57" s="116">
        <v>1648.5</v>
      </c>
      <c r="F57" s="116">
        <v>3256.7</v>
      </c>
      <c r="G57">
        <v>1979</v>
      </c>
      <c r="H57" s="116"/>
      <c r="I57" s="116"/>
      <c r="L57" s="170">
        <v>42082</v>
      </c>
      <c r="M57" s="116">
        <v>1632.075</v>
      </c>
      <c r="N57" s="116">
        <v>1662.5</v>
      </c>
      <c r="O57" s="116">
        <v>1625</v>
      </c>
      <c r="P57" s="116">
        <v>1630</v>
      </c>
      <c r="Q57" s="116">
        <v>3264.15</v>
      </c>
      <c r="R57">
        <v>14307</v>
      </c>
    </row>
    <row r="58" spans="1:18" x14ac:dyDescent="0.25">
      <c r="A58" s="170">
        <v>42083</v>
      </c>
      <c r="B58" s="116">
        <v>1649.4</v>
      </c>
      <c r="C58" s="116">
        <v>1619.4</v>
      </c>
      <c r="D58" s="116">
        <v>1595.05</v>
      </c>
      <c r="E58" s="116">
        <v>1637.5</v>
      </c>
      <c r="F58" s="116">
        <v>3238.8</v>
      </c>
      <c r="G58">
        <v>29597</v>
      </c>
      <c r="H58" s="116"/>
      <c r="I58" s="116"/>
      <c r="L58" s="170">
        <v>42083</v>
      </c>
      <c r="M58" s="116">
        <v>1627.5250000000001</v>
      </c>
      <c r="N58" s="116">
        <v>1654</v>
      </c>
      <c r="O58" s="116">
        <v>1591.2</v>
      </c>
      <c r="P58" s="116">
        <v>1636.075</v>
      </c>
      <c r="Q58" s="116">
        <v>3255.05</v>
      </c>
      <c r="R58">
        <v>21131</v>
      </c>
    </row>
    <row r="59" spans="1:18" x14ac:dyDescent="0.25">
      <c r="A59" s="170">
        <v>42086</v>
      </c>
      <c r="B59" s="116">
        <v>1650</v>
      </c>
      <c r="C59" s="116">
        <v>1639.25</v>
      </c>
      <c r="D59" s="116">
        <v>1621</v>
      </c>
      <c r="E59" s="116">
        <v>1636.125</v>
      </c>
      <c r="F59" s="116">
        <v>3278.5</v>
      </c>
      <c r="G59">
        <v>8268</v>
      </c>
      <c r="H59" s="116"/>
      <c r="I59" s="116"/>
      <c r="L59" s="170">
        <v>42086</v>
      </c>
      <c r="M59" s="116">
        <v>1641.575</v>
      </c>
      <c r="N59" s="116">
        <v>1651.5</v>
      </c>
      <c r="O59" s="116">
        <v>1602.8</v>
      </c>
      <c r="P59" s="116">
        <v>1643.2</v>
      </c>
      <c r="Q59" s="116">
        <v>3283.15</v>
      </c>
      <c r="R59">
        <v>10540</v>
      </c>
    </row>
    <row r="60" spans="1:18" x14ac:dyDescent="0.25">
      <c r="A60" s="170">
        <v>42087</v>
      </c>
      <c r="B60" s="116">
        <v>1653</v>
      </c>
      <c r="C60" s="116">
        <v>1630.2249999999999</v>
      </c>
      <c r="D60" s="116">
        <v>1612.375</v>
      </c>
      <c r="E60" s="116">
        <v>1639.425</v>
      </c>
      <c r="F60" s="116">
        <v>3260.45</v>
      </c>
      <c r="G60">
        <v>4197</v>
      </c>
      <c r="H60" s="116"/>
      <c r="I60" s="116"/>
      <c r="L60" s="170">
        <v>42087</v>
      </c>
      <c r="M60" s="116">
        <v>1626.375</v>
      </c>
      <c r="N60" s="116">
        <v>1652.5</v>
      </c>
      <c r="O60" s="116">
        <v>1607.1</v>
      </c>
      <c r="P60" s="116">
        <v>1624.9749999999999</v>
      </c>
      <c r="Q60" s="116">
        <v>3252.75</v>
      </c>
      <c r="R60">
        <v>17056</v>
      </c>
    </row>
    <row r="61" spans="1:18" x14ac:dyDescent="0.25">
      <c r="A61" s="170">
        <v>42088</v>
      </c>
      <c r="B61" s="116">
        <v>1647.5</v>
      </c>
      <c r="C61" s="116">
        <v>1637.1</v>
      </c>
      <c r="D61" s="116">
        <v>1629.95</v>
      </c>
      <c r="E61" s="116">
        <v>1629.95</v>
      </c>
      <c r="F61" s="116">
        <v>3274.2</v>
      </c>
      <c r="G61">
        <v>2079</v>
      </c>
      <c r="H61" s="116"/>
      <c r="I61" s="116"/>
      <c r="L61" s="170">
        <v>42088</v>
      </c>
      <c r="M61" s="116">
        <v>1641.925</v>
      </c>
      <c r="N61" s="116">
        <v>1650</v>
      </c>
      <c r="O61" s="116">
        <v>1626.1</v>
      </c>
      <c r="P61" s="116">
        <v>1635</v>
      </c>
      <c r="Q61" s="116">
        <v>3283.85</v>
      </c>
      <c r="R61">
        <v>12925</v>
      </c>
    </row>
    <row r="62" spans="1:18" x14ac:dyDescent="0.25">
      <c r="A62" s="170">
        <v>42089</v>
      </c>
      <c r="B62" s="116">
        <v>1645</v>
      </c>
      <c r="C62" s="116">
        <v>1627.75</v>
      </c>
      <c r="D62" s="116">
        <v>1612.5</v>
      </c>
      <c r="E62" s="116">
        <v>1637.5</v>
      </c>
      <c r="F62" s="116">
        <v>3255.5</v>
      </c>
      <c r="G62">
        <v>1658</v>
      </c>
      <c r="H62" s="116"/>
      <c r="I62" s="116"/>
      <c r="L62" s="170">
        <v>42089</v>
      </c>
      <c r="M62" s="116">
        <v>1631.375</v>
      </c>
      <c r="N62" s="116">
        <v>1649.5</v>
      </c>
      <c r="O62" s="116">
        <v>1615.05</v>
      </c>
      <c r="P62" s="116">
        <v>1637.5</v>
      </c>
      <c r="Q62" s="116">
        <v>3262.75</v>
      </c>
      <c r="R62">
        <v>8048</v>
      </c>
    </row>
    <row r="63" spans="1:18" x14ac:dyDescent="0.25">
      <c r="A63" s="170">
        <v>42090</v>
      </c>
      <c r="B63" s="116">
        <v>1667</v>
      </c>
      <c r="C63" s="116">
        <v>1631.825</v>
      </c>
      <c r="D63" s="116">
        <v>1621.25</v>
      </c>
      <c r="E63" s="116">
        <v>1640.5</v>
      </c>
      <c r="F63" s="116">
        <v>3263.65</v>
      </c>
      <c r="G63">
        <v>1744</v>
      </c>
      <c r="H63" s="116"/>
      <c r="I63" s="116"/>
      <c r="L63" s="170">
        <v>42090</v>
      </c>
      <c r="M63" s="116">
        <v>1637.075</v>
      </c>
      <c r="N63" s="116">
        <v>1670</v>
      </c>
      <c r="O63" s="116">
        <v>1620</v>
      </c>
      <c r="P63" s="116">
        <v>1650</v>
      </c>
      <c r="Q63" s="116">
        <v>3274.15</v>
      </c>
      <c r="R63">
        <v>16217</v>
      </c>
    </row>
    <row r="64" spans="1:18" x14ac:dyDescent="0.25">
      <c r="A64" s="170">
        <v>42093</v>
      </c>
      <c r="B64" s="116">
        <v>1670.5250000000001</v>
      </c>
      <c r="C64" s="116">
        <v>1646.2249999999999</v>
      </c>
      <c r="D64" s="116">
        <v>1637.5</v>
      </c>
      <c r="E64" s="116">
        <v>1648.7</v>
      </c>
      <c r="F64" s="116">
        <v>3292.45</v>
      </c>
      <c r="G64">
        <v>3423</v>
      </c>
      <c r="H64" s="116"/>
      <c r="I64" s="116"/>
      <c r="L64" s="170">
        <v>42093</v>
      </c>
      <c r="M64" s="116">
        <v>1642.6</v>
      </c>
      <c r="N64" s="116">
        <v>1674.4749999999999</v>
      </c>
      <c r="O64" s="116">
        <v>1634.9749999999999</v>
      </c>
      <c r="P64" s="116">
        <v>1650</v>
      </c>
      <c r="Q64" s="116">
        <v>3285.2</v>
      </c>
      <c r="R64">
        <v>17151</v>
      </c>
    </row>
    <row r="65" spans="1:18" x14ac:dyDescent="0.25">
      <c r="A65" s="170">
        <v>42094</v>
      </c>
      <c r="B65" s="116">
        <v>1739.5</v>
      </c>
      <c r="C65" s="116">
        <v>1701.325</v>
      </c>
      <c r="D65" s="116">
        <v>1635</v>
      </c>
      <c r="E65" s="116">
        <v>1641.425</v>
      </c>
      <c r="F65" s="116">
        <v>3402.65</v>
      </c>
      <c r="G65">
        <v>5013</v>
      </c>
      <c r="H65" s="116"/>
      <c r="I65" s="116"/>
      <c r="L65" s="170">
        <v>42094</v>
      </c>
      <c r="M65" s="116">
        <v>1712.825</v>
      </c>
      <c r="N65" s="116">
        <v>1749</v>
      </c>
      <c r="O65" s="116">
        <v>1632.675</v>
      </c>
      <c r="P65" s="116">
        <v>1633.2249999999999</v>
      </c>
      <c r="Q65" s="116">
        <v>3425.65</v>
      </c>
      <c r="R65">
        <v>54614</v>
      </c>
    </row>
    <row r="66" spans="1:18" x14ac:dyDescent="0.25">
      <c r="A66" s="170">
        <v>42095</v>
      </c>
      <c r="B66" s="116">
        <v>1715</v>
      </c>
      <c r="C66" s="116">
        <v>1674.6</v>
      </c>
      <c r="D66" s="116">
        <v>1660.0250000000001</v>
      </c>
      <c r="E66" s="116">
        <v>1715</v>
      </c>
      <c r="F66" s="116">
        <v>3349.2</v>
      </c>
      <c r="G66">
        <v>4256</v>
      </c>
      <c r="H66" s="116"/>
      <c r="I66" s="116"/>
      <c r="L66" s="170">
        <v>42095</v>
      </c>
      <c r="M66" s="116">
        <v>1676.625</v>
      </c>
      <c r="N66" s="116">
        <v>1725</v>
      </c>
      <c r="O66" s="116">
        <v>1656.25</v>
      </c>
      <c r="P66" s="116">
        <v>1725</v>
      </c>
      <c r="Q66" s="116">
        <v>3353.25</v>
      </c>
      <c r="R66">
        <v>22876</v>
      </c>
    </row>
    <row r="67" spans="1:18" x14ac:dyDescent="0.25">
      <c r="A67" s="170">
        <v>42100</v>
      </c>
      <c r="B67" s="116">
        <v>1694.5</v>
      </c>
      <c r="C67" s="116">
        <v>1676.05</v>
      </c>
      <c r="D67" s="116">
        <v>1665</v>
      </c>
      <c r="E67" s="116">
        <v>1675</v>
      </c>
      <c r="F67" s="116">
        <v>3352.1</v>
      </c>
      <c r="G67">
        <v>3128</v>
      </c>
      <c r="H67" s="116"/>
      <c r="I67" s="116"/>
      <c r="L67" s="170">
        <v>42100</v>
      </c>
      <c r="M67" s="116">
        <v>1680.05</v>
      </c>
      <c r="N67" s="116">
        <v>1694.5</v>
      </c>
      <c r="O67" s="116">
        <v>1665.5</v>
      </c>
      <c r="P67" s="116">
        <v>1670</v>
      </c>
      <c r="Q67" s="116">
        <v>3360.1</v>
      </c>
      <c r="R67">
        <v>14965</v>
      </c>
    </row>
    <row r="68" spans="1:18" x14ac:dyDescent="0.25">
      <c r="A68" s="170">
        <v>42101</v>
      </c>
      <c r="B68" s="116">
        <v>1706.45</v>
      </c>
      <c r="C68" s="116">
        <v>1676.15</v>
      </c>
      <c r="D68" s="116">
        <v>1670.75</v>
      </c>
      <c r="E68" s="116">
        <v>1687.75</v>
      </c>
      <c r="F68" s="116">
        <v>3352.3</v>
      </c>
      <c r="G68">
        <v>26661</v>
      </c>
      <c r="H68" s="116"/>
      <c r="I68" s="116"/>
      <c r="L68" s="170">
        <v>42101</v>
      </c>
      <c r="M68" s="116">
        <v>1679.45</v>
      </c>
      <c r="N68" s="116">
        <v>1709.7750000000001</v>
      </c>
      <c r="O68" s="116">
        <v>1675.5</v>
      </c>
      <c r="P68" s="116">
        <v>1693</v>
      </c>
      <c r="Q68" s="116">
        <v>3358.9</v>
      </c>
      <c r="R68">
        <v>17693</v>
      </c>
    </row>
    <row r="69" spans="1:18" x14ac:dyDescent="0.25">
      <c r="A69" s="170">
        <v>42102</v>
      </c>
      <c r="B69" s="116">
        <v>1696</v>
      </c>
      <c r="C69" s="116">
        <v>1678.7</v>
      </c>
      <c r="D69" s="116">
        <v>1670.5</v>
      </c>
      <c r="E69" s="116">
        <v>1690</v>
      </c>
      <c r="F69" s="116">
        <v>3357.4</v>
      </c>
      <c r="G69">
        <v>2455</v>
      </c>
      <c r="H69" s="116"/>
      <c r="I69" s="116"/>
      <c r="L69" s="170">
        <v>42102</v>
      </c>
      <c r="M69" s="116">
        <v>1679.75</v>
      </c>
      <c r="N69" s="116">
        <v>1700</v>
      </c>
      <c r="O69" s="116">
        <v>1669.5</v>
      </c>
      <c r="P69" s="116">
        <v>1687.5</v>
      </c>
      <c r="Q69" s="116">
        <v>3359.5</v>
      </c>
      <c r="R69">
        <v>19455</v>
      </c>
    </row>
    <row r="70" spans="1:18" x14ac:dyDescent="0.25">
      <c r="A70" s="170">
        <v>42103</v>
      </c>
      <c r="B70" s="116">
        <v>1691.9</v>
      </c>
      <c r="C70" s="116">
        <v>1665.9749999999999</v>
      </c>
      <c r="D70" s="116">
        <v>1660</v>
      </c>
      <c r="E70" s="116">
        <v>1691.9</v>
      </c>
      <c r="F70" s="116">
        <v>3331.95</v>
      </c>
      <c r="G70">
        <v>1882</v>
      </c>
      <c r="H70" s="116"/>
      <c r="I70" s="116"/>
      <c r="L70" s="170">
        <v>42103</v>
      </c>
      <c r="M70" s="116">
        <v>1670.425</v>
      </c>
      <c r="N70" s="116">
        <v>1693</v>
      </c>
      <c r="O70" s="116">
        <v>1663</v>
      </c>
      <c r="P70" s="116">
        <v>1682.5</v>
      </c>
      <c r="Q70" s="116">
        <v>3340.85</v>
      </c>
      <c r="R70">
        <v>8829</v>
      </c>
    </row>
    <row r="71" spans="1:18" x14ac:dyDescent="0.25">
      <c r="A71" s="170">
        <v>42104</v>
      </c>
      <c r="B71" s="116">
        <v>1693.925</v>
      </c>
      <c r="C71" s="116">
        <v>1657.1</v>
      </c>
      <c r="D71" s="116">
        <v>1646</v>
      </c>
      <c r="E71" s="116">
        <v>1669.925</v>
      </c>
      <c r="F71" s="116">
        <v>3314.2</v>
      </c>
      <c r="G71">
        <v>1912</v>
      </c>
      <c r="H71" s="116"/>
      <c r="I71" s="116"/>
      <c r="L71" s="170">
        <v>42104</v>
      </c>
      <c r="M71" s="116">
        <v>1657.15</v>
      </c>
      <c r="N71" s="116">
        <v>1692.4749999999999</v>
      </c>
      <c r="O71" s="116">
        <v>1632.75</v>
      </c>
      <c r="P71" s="116">
        <v>1674.4749999999999</v>
      </c>
      <c r="Q71" s="116">
        <v>3314.3</v>
      </c>
      <c r="R71">
        <v>12563</v>
      </c>
    </row>
    <row r="72" spans="1:18" x14ac:dyDescent="0.25">
      <c r="A72" s="170">
        <v>42107</v>
      </c>
      <c r="B72" s="116">
        <v>1680.5</v>
      </c>
      <c r="C72" s="116">
        <v>1670.7750000000001</v>
      </c>
      <c r="D72" s="116">
        <v>1653</v>
      </c>
      <c r="E72" s="116">
        <v>1666.375</v>
      </c>
      <c r="F72" s="116">
        <v>3341.55</v>
      </c>
      <c r="G72">
        <v>1522</v>
      </c>
      <c r="H72" s="116"/>
      <c r="I72" s="116"/>
      <c r="L72" s="170">
        <v>42107</v>
      </c>
      <c r="M72" s="116">
        <v>1674.875</v>
      </c>
      <c r="N72" s="116">
        <v>1685.95</v>
      </c>
      <c r="O72" s="116">
        <v>1643.325</v>
      </c>
      <c r="P72" s="116">
        <v>1657.5</v>
      </c>
      <c r="Q72" s="116">
        <v>3349.75</v>
      </c>
      <c r="R72">
        <v>9818</v>
      </c>
    </row>
    <row r="73" spans="1:18" x14ac:dyDescent="0.25">
      <c r="A73" s="170">
        <v>42109</v>
      </c>
      <c r="B73" s="116">
        <v>1681</v>
      </c>
      <c r="C73" s="116">
        <v>1665.7750000000001</v>
      </c>
      <c r="D73" s="116">
        <v>1659.375</v>
      </c>
      <c r="E73" s="116">
        <v>1680.9</v>
      </c>
      <c r="F73" s="116">
        <v>3331.55</v>
      </c>
      <c r="G73">
        <v>1809</v>
      </c>
      <c r="H73" s="116"/>
      <c r="I73" s="116"/>
      <c r="L73" s="170">
        <v>42109</v>
      </c>
      <c r="M73" s="116">
        <v>1671.4749999999999</v>
      </c>
      <c r="N73" s="116">
        <v>1695</v>
      </c>
      <c r="O73" s="116">
        <v>1660.2750000000001</v>
      </c>
      <c r="P73" s="116">
        <v>1687.5</v>
      </c>
      <c r="Q73" s="116">
        <v>3342.95</v>
      </c>
      <c r="R73">
        <v>8469</v>
      </c>
    </row>
    <row r="74" spans="1:18" x14ac:dyDescent="0.25">
      <c r="A74" s="170">
        <v>42110</v>
      </c>
      <c r="B74" s="116">
        <v>1674.5</v>
      </c>
      <c r="C74" s="116">
        <v>1657.625</v>
      </c>
      <c r="D74" s="116">
        <v>1654.0250000000001</v>
      </c>
      <c r="E74" s="116">
        <v>1674.5</v>
      </c>
      <c r="F74" s="116">
        <v>3315.25</v>
      </c>
      <c r="G74">
        <v>1158</v>
      </c>
      <c r="H74" s="116"/>
      <c r="I74" s="116"/>
      <c r="L74" s="170">
        <v>42110</v>
      </c>
      <c r="M74" s="116">
        <v>1656.375</v>
      </c>
      <c r="N74" s="116">
        <v>1675.5250000000001</v>
      </c>
      <c r="O74" s="116">
        <v>1650</v>
      </c>
      <c r="P74" s="116">
        <v>1671.9749999999999</v>
      </c>
      <c r="Q74" s="116">
        <v>3312.75</v>
      </c>
      <c r="R74">
        <v>9131</v>
      </c>
    </row>
    <row r="75" spans="1:18" x14ac:dyDescent="0.25">
      <c r="A75" s="170">
        <v>42111</v>
      </c>
      <c r="B75" s="116">
        <v>1659</v>
      </c>
      <c r="C75" s="116">
        <v>1627.55</v>
      </c>
      <c r="D75" s="116">
        <v>1620</v>
      </c>
      <c r="E75" s="116">
        <v>1657.7750000000001</v>
      </c>
      <c r="F75" s="116">
        <v>3255.1</v>
      </c>
      <c r="G75">
        <v>2357</v>
      </c>
      <c r="H75" s="116"/>
      <c r="I75" s="116"/>
      <c r="L75" s="170">
        <v>42111</v>
      </c>
      <c r="M75" s="116">
        <v>1636.7249999999999</v>
      </c>
      <c r="N75" s="116">
        <v>1659.075</v>
      </c>
      <c r="O75" s="116">
        <v>1625</v>
      </c>
      <c r="P75" s="116">
        <v>1652.925</v>
      </c>
      <c r="Q75" s="116">
        <v>3273.45</v>
      </c>
      <c r="R75">
        <v>10588</v>
      </c>
    </row>
    <row r="76" spans="1:18" x14ac:dyDescent="0.25">
      <c r="A76" s="170">
        <v>42114</v>
      </c>
      <c r="B76" s="116">
        <v>1635.05</v>
      </c>
      <c r="C76" s="116">
        <v>1598.5250000000001</v>
      </c>
      <c r="D76" s="116">
        <v>1590</v>
      </c>
      <c r="E76" s="116">
        <v>1635.05</v>
      </c>
      <c r="F76" s="116">
        <v>3197.05</v>
      </c>
      <c r="G76">
        <v>2204</v>
      </c>
      <c r="H76" s="116"/>
      <c r="I76" s="116"/>
      <c r="L76" s="170">
        <v>42114</v>
      </c>
      <c r="M76" s="116">
        <v>1599.2</v>
      </c>
      <c r="N76" s="116">
        <v>1640.8</v>
      </c>
      <c r="O76" s="116">
        <v>1590</v>
      </c>
      <c r="P76" s="116">
        <v>1640.8</v>
      </c>
      <c r="Q76" s="116">
        <v>3198.4</v>
      </c>
      <c r="R76">
        <v>11175</v>
      </c>
    </row>
    <row r="77" spans="1:18" x14ac:dyDescent="0.25">
      <c r="A77" s="170">
        <v>42115</v>
      </c>
      <c r="B77" s="116">
        <v>1611.5</v>
      </c>
      <c r="C77" s="116">
        <v>1597.325</v>
      </c>
      <c r="D77" s="116">
        <v>1591.7</v>
      </c>
      <c r="E77" s="116">
        <v>1598.5</v>
      </c>
      <c r="F77" s="116">
        <v>3194.65</v>
      </c>
      <c r="G77">
        <v>3275</v>
      </c>
      <c r="H77" s="116"/>
      <c r="I77" s="116"/>
      <c r="L77" s="170">
        <v>42115</v>
      </c>
      <c r="M77" s="116">
        <v>1595.25</v>
      </c>
      <c r="N77" s="116">
        <v>1614.4749999999999</v>
      </c>
      <c r="O77" s="116">
        <v>1587.5</v>
      </c>
      <c r="P77" s="116">
        <v>1604.9749999999999</v>
      </c>
      <c r="Q77" s="116">
        <v>3190.5</v>
      </c>
      <c r="R77">
        <v>12227</v>
      </c>
    </row>
    <row r="78" spans="1:18" x14ac:dyDescent="0.25">
      <c r="A78" s="170">
        <v>42116</v>
      </c>
      <c r="B78" s="116">
        <v>1632.4</v>
      </c>
      <c r="C78" s="116">
        <v>1599.2</v>
      </c>
      <c r="D78" s="116">
        <v>1581.85</v>
      </c>
      <c r="E78" s="116">
        <v>1600</v>
      </c>
      <c r="F78" s="116">
        <v>3198.4</v>
      </c>
      <c r="G78">
        <v>2061</v>
      </c>
      <c r="H78" s="116"/>
      <c r="I78" s="116"/>
      <c r="L78" s="170">
        <v>42116</v>
      </c>
      <c r="M78" s="116">
        <v>1599.925</v>
      </c>
      <c r="N78" s="116">
        <v>1634.925</v>
      </c>
      <c r="O78" s="116">
        <v>1578.2</v>
      </c>
      <c r="P78" s="116">
        <v>1603.125</v>
      </c>
      <c r="Q78" s="116">
        <v>3199.85</v>
      </c>
      <c r="R78">
        <v>31043</v>
      </c>
    </row>
    <row r="79" spans="1:18" x14ac:dyDescent="0.25">
      <c r="A79" s="170">
        <v>42117</v>
      </c>
      <c r="B79" s="116">
        <v>1609.5</v>
      </c>
      <c r="C79" s="116">
        <v>1595.375</v>
      </c>
      <c r="D79" s="116">
        <v>1586.45</v>
      </c>
      <c r="E79" s="116">
        <v>1607.5</v>
      </c>
      <c r="F79" s="116">
        <v>3190.75</v>
      </c>
      <c r="G79">
        <v>1270</v>
      </c>
      <c r="H79" s="116"/>
      <c r="I79" s="116"/>
      <c r="L79" s="170">
        <v>42117</v>
      </c>
      <c r="M79" s="116">
        <v>1598.6</v>
      </c>
      <c r="N79" s="116">
        <v>1613.25</v>
      </c>
      <c r="O79" s="116">
        <v>1587.3</v>
      </c>
      <c r="P79" s="116">
        <v>1612.5</v>
      </c>
      <c r="Q79" s="116">
        <v>3197.2</v>
      </c>
      <c r="R79">
        <v>4807</v>
      </c>
    </row>
    <row r="80" spans="1:18" x14ac:dyDescent="0.25">
      <c r="A80" s="170">
        <v>42118</v>
      </c>
      <c r="B80" s="116">
        <v>1605.5</v>
      </c>
      <c r="C80" s="116">
        <v>1538.95</v>
      </c>
      <c r="D80" s="116">
        <v>1514</v>
      </c>
      <c r="E80" s="116">
        <v>1602.4749999999999</v>
      </c>
      <c r="F80" s="116">
        <v>3077.9</v>
      </c>
      <c r="G80">
        <v>7505</v>
      </c>
      <c r="H80" s="116"/>
      <c r="I80" s="116"/>
      <c r="L80" s="170">
        <v>42118</v>
      </c>
      <c r="M80" s="116">
        <v>1531.325</v>
      </c>
      <c r="N80" s="116">
        <v>1607.9749999999999</v>
      </c>
      <c r="O80" s="116">
        <v>1510</v>
      </c>
      <c r="P80" s="116">
        <v>1604.5</v>
      </c>
      <c r="Q80" s="116">
        <v>3062.65</v>
      </c>
      <c r="R80">
        <v>24186</v>
      </c>
    </row>
    <row r="81" spans="1:18" x14ac:dyDescent="0.25">
      <c r="A81" s="170">
        <v>42121</v>
      </c>
      <c r="B81" s="116">
        <v>1549</v>
      </c>
      <c r="C81" s="116">
        <v>1497.175</v>
      </c>
      <c r="D81" s="116">
        <v>1482.825</v>
      </c>
      <c r="E81" s="116">
        <v>1548.95</v>
      </c>
      <c r="F81" s="116">
        <v>2994.35</v>
      </c>
      <c r="G81">
        <v>2960</v>
      </c>
      <c r="H81" s="116"/>
      <c r="I81" s="116"/>
      <c r="L81" s="170">
        <v>42121</v>
      </c>
      <c r="M81" s="116">
        <v>1498.0250000000001</v>
      </c>
      <c r="N81" s="116">
        <v>1554</v>
      </c>
      <c r="O81" s="116">
        <v>1480.5</v>
      </c>
      <c r="P81" s="116">
        <v>1553.575</v>
      </c>
      <c r="Q81" s="116">
        <v>2996.05</v>
      </c>
      <c r="R81">
        <v>10090</v>
      </c>
    </row>
    <row r="82" spans="1:18" x14ac:dyDescent="0.25">
      <c r="A82" s="170">
        <v>42122</v>
      </c>
      <c r="B82" s="116">
        <v>1538</v>
      </c>
      <c r="C82" s="116">
        <v>1516.95</v>
      </c>
      <c r="D82" s="116">
        <v>1492.5</v>
      </c>
      <c r="E82" s="116">
        <v>1497.5</v>
      </c>
      <c r="F82" s="116">
        <v>3033.9</v>
      </c>
      <c r="G82">
        <v>2662</v>
      </c>
      <c r="H82" s="116"/>
      <c r="I82" s="116"/>
      <c r="L82" s="170">
        <v>42122</v>
      </c>
      <c r="M82" s="116">
        <v>1519.425</v>
      </c>
      <c r="N82" s="116">
        <v>1542.5</v>
      </c>
      <c r="O82" s="116">
        <v>1481.175</v>
      </c>
      <c r="P82" s="116">
        <v>1481.175</v>
      </c>
      <c r="Q82" s="116">
        <v>3038.85</v>
      </c>
      <c r="R82">
        <v>14302</v>
      </c>
    </row>
    <row r="83" spans="1:18" x14ac:dyDescent="0.25">
      <c r="A83" s="170">
        <v>42123</v>
      </c>
      <c r="B83" s="116">
        <v>1578.7249999999999</v>
      </c>
      <c r="C83" s="116">
        <v>1562.15</v>
      </c>
      <c r="D83" s="116">
        <v>1519.0250000000001</v>
      </c>
      <c r="E83" s="116">
        <v>1527.5</v>
      </c>
      <c r="F83" s="116">
        <v>3124.3</v>
      </c>
      <c r="G83">
        <v>1590</v>
      </c>
      <c r="H83" s="116"/>
      <c r="I83" s="116"/>
      <c r="L83" s="170">
        <v>42123</v>
      </c>
      <c r="M83" s="116">
        <v>1570.0250000000001</v>
      </c>
      <c r="N83" s="116">
        <v>1582.5</v>
      </c>
      <c r="O83" s="116">
        <v>1500.5</v>
      </c>
      <c r="P83" s="116">
        <v>1500.5</v>
      </c>
      <c r="Q83" s="116">
        <v>3140.05</v>
      </c>
      <c r="R83">
        <v>10203</v>
      </c>
    </row>
    <row r="84" spans="1:18" x14ac:dyDescent="0.25">
      <c r="A84" s="170">
        <v>42124</v>
      </c>
      <c r="B84" s="116">
        <v>1570</v>
      </c>
      <c r="C84" s="116">
        <v>1554.575</v>
      </c>
      <c r="D84" s="116">
        <v>1539.9</v>
      </c>
      <c r="E84" s="116">
        <v>1563.625</v>
      </c>
      <c r="F84" s="116">
        <v>3109.15</v>
      </c>
      <c r="G84">
        <v>1291</v>
      </c>
      <c r="H84" s="116"/>
      <c r="I84" s="116"/>
      <c r="L84" s="170">
        <v>42124</v>
      </c>
      <c r="M84" s="116">
        <v>1591.7</v>
      </c>
      <c r="N84" s="116">
        <v>1689.85</v>
      </c>
      <c r="O84" s="116">
        <v>1535.05</v>
      </c>
      <c r="P84" s="116">
        <v>1575</v>
      </c>
      <c r="Q84" s="116">
        <v>3183.4</v>
      </c>
      <c r="R84">
        <v>19098</v>
      </c>
    </row>
    <row r="85" spans="1:18" x14ac:dyDescent="0.25">
      <c r="A85" s="170">
        <v>42128</v>
      </c>
      <c r="B85" s="116">
        <v>1631</v>
      </c>
      <c r="C85" s="116">
        <v>1587.6</v>
      </c>
      <c r="D85" s="116">
        <v>1585</v>
      </c>
      <c r="E85" s="116">
        <v>1600</v>
      </c>
      <c r="F85" s="116">
        <v>3175.2</v>
      </c>
      <c r="G85">
        <v>2436</v>
      </c>
      <c r="H85" s="116"/>
      <c r="I85" s="116"/>
      <c r="L85" s="170">
        <v>42128</v>
      </c>
      <c r="M85" s="116">
        <v>1587.625</v>
      </c>
      <c r="N85" s="116">
        <v>1662.5</v>
      </c>
      <c r="O85" s="116">
        <v>1580</v>
      </c>
      <c r="P85" s="116">
        <v>1602.5</v>
      </c>
      <c r="Q85" s="116">
        <v>3175.25</v>
      </c>
      <c r="R85">
        <v>12936</v>
      </c>
    </row>
    <row r="86" spans="1:18" x14ac:dyDescent="0.25">
      <c r="A86" s="170">
        <v>42129</v>
      </c>
      <c r="B86" s="116">
        <v>1624.45</v>
      </c>
      <c r="C86" s="116">
        <v>1614.325</v>
      </c>
      <c r="D86" s="116">
        <v>1575</v>
      </c>
      <c r="E86" s="116">
        <v>1587.5</v>
      </c>
      <c r="F86" s="116">
        <v>3228.65</v>
      </c>
      <c r="G86">
        <v>1168</v>
      </c>
      <c r="H86" s="116"/>
      <c r="I86" s="116"/>
      <c r="L86" s="170">
        <v>42129</v>
      </c>
      <c r="M86" s="116">
        <v>1617.75</v>
      </c>
      <c r="N86" s="116">
        <v>1624.95</v>
      </c>
      <c r="O86" s="116">
        <v>1580.325</v>
      </c>
      <c r="P86" s="116">
        <v>1587.5</v>
      </c>
      <c r="Q86" s="116">
        <v>3235.5</v>
      </c>
      <c r="R86">
        <v>10543</v>
      </c>
    </row>
    <row r="87" spans="1:18" x14ac:dyDescent="0.25">
      <c r="A87" s="170">
        <v>42130</v>
      </c>
      <c r="B87" s="116">
        <v>1630</v>
      </c>
      <c r="C87" s="116">
        <v>1592.7249999999999</v>
      </c>
      <c r="D87" s="116">
        <v>1575.875</v>
      </c>
      <c r="E87" s="116">
        <v>1606.7249999999999</v>
      </c>
      <c r="F87" s="116">
        <v>3185.45</v>
      </c>
      <c r="G87">
        <v>1994</v>
      </c>
      <c r="H87" s="116"/>
      <c r="I87" s="116"/>
      <c r="L87" s="170">
        <v>42130</v>
      </c>
      <c r="M87" s="116">
        <v>1599.05</v>
      </c>
      <c r="N87" s="116">
        <v>1634.5</v>
      </c>
      <c r="O87" s="116">
        <v>1575</v>
      </c>
      <c r="P87" s="116">
        <v>1617.5</v>
      </c>
      <c r="Q87" s="116">
        <v>3198.1</v>
      </c>
      <c r="R87">
        <v>8374</v>
      </c>
    </row>
    <row r="88" spans="1:18" x14ac:dyDescent="0.25">
      <c r="A88" s="170">
        <v>42131</v>
      </c>
      <c r="B88" s="116">
        <v>1601.5</v>
      </c>
      <c r="C88" s="116">
        <v>1579.675</v>
      </c>
      <c r="D88" s="116">
        <v>1560</v>
      </c>
      <c r="E88" s="116">
        <v>1601.5</v>
      </c>
      <c r="F88" s="116">
        <v>3159.35</v>
      </c>
      <c r="G88">
        <v>1601</v>
      </c>
      <c r="H88" s="116"/>
      <c r="I88" s="116"/>
      <c r="L88" s="170">
        <v>42131</v>
      </c>
      <c r="M88" s="116">
        <v>1586.625</v>
      </c>
      <c r="N88" s="116">
        <v>1610</v>
      </c>
      <c r="O88" s="116">
        <v>1551.25</v>
      </c>
      <c r="P88" s="116">
        <v>1584</v>
      </c>
      <c r="Q88" s="116">
        <v>3173.25</v>
      </c>
      <c r="R88">
        <v>9566</v>
      </c>
    </row>
    <row r="89" spans="1:18" x14ac:dyDescent="0.25">
      <c r="A89" s="170">
        <v>42132</v>
      </c>
      <c r="B89" s="116">
        <v>1599.5</v>
      </c>
      <c r="C89" s="116">
        <v>1590.55</v>
      </c>
      <c r="D89" s="116">
        <v>1581.5</v>
      </c>
      <c r="E89" s="116">
        <v>1586.5</v>
      </c>
      <c r="F89" s="116">
        <v>3181.1</v>
      </c>
      <c r="G89">
        <v>763</v>
      </c>
      <c r="H89" s="116"/>
      <c r="I89" s="116"/>
      <c r="L89" s="170">
        <v>42132</v>
      </c>
      <c r="M89" s="116">
        <v>1592.75</v>
      </c>
      <c r="N89" s="116">
        <v>1600</v>
      </c>
      <c r="O89" s="116">
        <v>1577.5</v>
      </c>
      <c r="P89" s="116">
        <v>1582.375</v>
      </c>
      <c r="Q89" s="116">
        <v>3185.5</v>
      </c>
      <c r="R89">
        <v>4305</v>
      </c>
    </row>
    <row r="90" spans="1:18" x14ac:dyDescent="0.25">
      <c r="A90" s="170">
        <v>42135</v>
      </c>
      <c r="B90" s="116">
        <v>1614</v>
      </c>
      <c r="C90" s="116">
        <v>1591.55</v>
      </c>
      <c r="D90" s="116">
        <v>1585.0250000000001</v>
      </c>
      <c r="E90" s="116">
        <v>1602.5</v>
      </c>
      <c r="F90" s="116">
        <v>3183.1</v>
      </c>
      <c r="G90">
        <v>2636</v>
      </c>
      <c r="H90" s="116"/>
      <c r="I90" s="116"/>
      <c r="L90" s="170">
        <v>42135</v>
      </c>
      <c r="M90" s="116">
        <v>1593.7249999999999</v>
      </c>
      <c r="N90" s="116">
        <v>1616</v>
      </c>
      <c r="O90" s="116">
        <v>1578.55</v>
      </c>
      <c r="P90" s="116">
        <v>1602.5</v>
      </c>
      <c r="Q90" s="116">
        <v>3187.45</v>
      </c>
      <c r="R90">
        <v>15244</v>
      </c>
    </row>
    <row r="91" spans="1:18" x14ac:dyDescent="0.25">
      <c r="A91" s="170">
        <v>42136</v>
      </c>
      <c r="B91" s="116">
        <v>1610</v>
      </c>
      <c r="C91" s="116">
        <v>1592.15</v>
      </c>
      <c r="D91" s="116">
        <v>1579.0250000000001</v>
      </c>
      <c r="E91" s="116">
        <v>1586.2</v>
      </c>
      <c r="F91" s="116">
        <v>3184.3</v>
      </c>
      <c r="G91">
        <v>954</v>
      </c>
      <c r="H91" s="116"/>
      <c r="I91" s="116"/>
      <c r="L91" s="170">
        <v>42136</v>
      </c>
      <c r="M91" s="116">
        <v>1596.5</v>
      </c>
      <c r="N91" s="116">
        <v>1614</v>
      </c>
      <c r="O91" s="116">
        <v>1581.0250000000001</v>
      </c>
      <c r="P91" s="116">
        <v>1600.5</v>
      </c>
      <c r="Q91" s="116">
        <v>3193</v>
      </c>
      <c r="R91">
        <v>6306</v>
      </c>
    </row>
    <row r="92" spans="1:18" x14ac:dyDescent="0.25">
      <c r="A92" s="170">
        <v>42137</v>
      </c>
      <c r="B92" s="116">
        <v>1610.5</v>
      </c>
      <c r="C92" s="116">
        <v>1593.6</v>
      </c>
      <c r="D92" s="116">
        <v>1587.5</v>
      </c>
      <c r="E92" s="116">
        <v>1602.375</v>
      </c>
      <c r="F92" s="116">
        <v>3187.2</v>
      </c>
      <c r="G92">
        <v>570</v>
      </c>
      <c r="H92" s="116"/>
      <c r="I92" s="116"/>
      <c r="L92" s="170">
        <v>42137</v>
      </c>
      <c r="M92" s="116">
        <v>1597.7</v>
      </c>
      <c r="N92" s="116">
        <v>1612.4749999999999</v>
      </c>
      <c r="O92" s="116">
        <v>1585.35</v>
      </c>
      <c r="P92" s="116">
        <v>1597.25</v>
      </c>
      <c r="Q92" s="116">
        <v>3195.4</v>
      </c>
      <c r="R92">
        <v>6108</v>
      </c>
    </row>
    <row r="93" spans="1:18" x14ac:dyDescent="0.25">
      <c r="A93" s="170">
        <v>42138</v>
      </c>
      <c r="B93" s="116">
        <v>1614.95</v>
      </c>
      <c r="C93" s="116">
        <v>1610.2750000000001</v>
      </c>
      <c r="D93" s="116">
        <v>1589.05</v>
      </c>
      <c r="E93" s="116">
        <v>1593.6</v>
      </c>
      <c r="F93" s="116">
        <v>3220.55</v>
      </c>
      <c r="G93">
        <v>1253</v>
      </c>
      <c r="H93" s="116"/>
      <c r="I93" s="116"/>
      <c r="L93" s="170">
        <v>42138</v>
      </c>
      <c r="M93" s="116">
        <v>1612.7</v>
      </c>
      <c r="N93" s="116">
        <v>1624</v>
      </c>
      <c r="O93" s="116">
        <v>1584.9749999999999</v>
      </c>
      <c r="P93" s="116">
        <v>1593.3</v>
      </c>
      <c r="Q93" s="116">
        <v>3225.4</v>
      </c>
      <c r="R93">
        <v>4269</v>
      </c>
    </row>
    <row r="94" spans="1:18" x14ac:dyDescent="0.25">
      <c r="A94" s="170">
        <v>42139</v>
      </c>
      <c r="B94" s="116">
        <v>1626.05</v>
      </c>
      <c r="C94" s="116">
        <v>1618.35</v>
      </c>
      <c r="D94" s="116">
        <v>1594</v>
      </c>
      <c r="E94" s="116">
        <v>1609.5</v>
      </c>
      <c r="F94" s="116">
        <v>3236.7</v>
      </c>
      <c r="G94">
        <v>1967</v>
      </c>
      <c r="H94" s="116"/>
      <c r="I94" s="116"/>
      <c r="L94" s="170">
        <v>42139</v>
      </c>
      <c r="M94" s="116">
        <v>1620.1</v>
      </c>
      <c r="N94" s="116">
        <v>1629.5</v>
      </c>
      <c r="O94" s="116">
        <v>1596</v>
      </c>
      <c r="P94" s="116">
        <v>1615</v>
      </c>
      <c r="Q94" s="116">
        <v>3240.2</v>
      </c>
      <c r="R94">
        <v>7148</v>
      </c>
    </row>
    <row r="95" spans="1:18" x14ac:dyDescent="0.25">
      <c r="A95" s="170">
        <v>42142</v>
      </c>
      <c r="B95" s="116">
        <v>1662.5</v>
      </c>
      <c r="C95" s="116">
        <v>1638.0250000000001</v>
      </c>
      <c r="D95" s="116">
        <v>1610.75</v>
      </c>
      <c r="E95" s="116">
        <v>1615.65</v>
      </c>
      <c r="F95" s="116">
        <v>3276.05</v>
      </c>
      <c r="G95">
        <v>3440</v>
      </c>
      <c r="H95" s="116"/>
      <c r="I95" s="116"/>
      <c r="L95" s="170">
        <v>42142</v>
      </c>
      <c r="M95" s="116">
        <v>1639.7249999999999</v>
      </c>
      <c r="N95" s="116">
        <v>1670</v>
      </c>
      <c r="O95" s="116">
        <v>1605.5</v>
      </c>
      <c r="P95" s="116">
        <v>1617.9749999999999</v>
      </c>
      <c r="Q95" s="116">
        <v>3279.45</v>
      </c>
      <c r="R95">
        <v>21522</v>
      </c>
    </row>
    <row r="96" spans="1:18" x14ac:dyDescent="0.25">
      <c r="A96" s="170">
        <v>42143</v>
      </c>
      <c r="B96" s="116">
        <v>1645</v>
      </c>
      <c r="C96" s="116">
        <v>1630.425</v>
      </c>
      <c r="D96" s="116">
        <v>1616</v>
      </c>
      <c r="E96" s="116">
        <v>1640</v>
      </c>
      <c r="F96" s="116">
        <v>3260.85</v>
      </c>
      <c r="G96">
        <v>3125</v>
      </c>
      <c r="H96" s="116"/>
      <c r="I96" s="116"/>
      <c r="L96" s="170">
        <v>42143</v>
      </c>
      <c r="M96" s="116">
        <v>1625.7</v>
      </c>
      <c r="N96" s="116">
        <v>1642.5</v>
      </c>
      <c r="O96" s="116">
        <v>1612.5</v>
      </c>
      <c r="P96" s="116">
        <v>1621.675</v>
      </c>
      <c r="Q96" s="116">
        <v>3251.4</v>
      </c>
      <c r="R96">
        <v>5905</v>
      </c>
    </row>
    <row r="97" spans="1:18" x14ac:dyDescent="0.25">
      <c r="A97" s="170">
        <v>42144</v>
      </c>
      <c r="B97" s="116">
        <v>1628.9749999999999</v>
      </c>
      <c r="C97" s="116">
        <v>1601.7</v>
      </c>
      <c r="D97" s="116">
        <v>1598.5</v>
      </c>
      <c r="E97" s="116">
        <v>1628.2750000000001</v>
      </c>
      <c r="F97" s="116">
        <v>3203.4</v>
      </c>
      <c r="G97">
        <v>1516</v>
      </c>
      <c r="H97" s="116"/>
      <c r="I97" s="116"/>
      <c r="L97" s="170">
        <v>42144</v>
      </c>
      <c r="M97" s="116">
        <v>1604.75</v>
      </c>
      <c r="N97" s="116">
        <v>1637</v>
      </c>
      <c r="O97" s="116">
        <v>1600</v>
      </c>
      <c r="P97" s="116">
        <v>1637</v>
      </c>
      <c r="Q97" s="116">
        <v>3209.5</v>
      </c>
      <c r="R97">
        <v>7495</v>
      </c>
    </row>
    <row r="98" spans="1:18" x14ac:dyDescent="0.25">
      <c r="A98" s="170">
        <v>42145</v>
      </c>
      <c r="B98" s="116">
        <v>1607.5</v>
      </c>
      <c r="C98" s="116">
        <v>1601.9749999999999</v>
      </c>
      <c r="D98" s="116">
        <v>1589.35</v>
      </c>
      <c r="E98" s="116">
        <v>1596.2249999999999</v>
      </c>
      <c r="F98" s="116">
        <v>3203.95</v>
      </c>
      <c r="G98">
        <v>827</v>
      </c>
      <c r="H98" s="116"/>
      <c r="I98" s="116"/>
      <c r="L98" s="170">
        <v>42145</v>
      </c>
      <c r="M98" s="116">
        <v>1605.375</v>
      </c>
      <c r="N98" s="116">
        <v>1612.5</v>
      </c>
      <c r="O98" s="116">
        <v>1590.05</v>
      </c>
      <c r="P98" s="116">
        <v>1604.9749999999999</v>
      </c>
      <c r="Q98" s="116">
        <v>3210.75</v>
      </c>
      <c r="R98">
        <v>3420</v>
      </c>
    </row>
    <row r="99" spans="1:18" x14ac:dyDescent="0.25">
      <c r="A99" s="170">
        <v>42146</v>
      </c>
      <c r="B99" s="116">
        <v>1615</v>
      </c>
      <c r="C99" s="116">
        <v>1597.925</v>
      </c>
      <c r="D99" s="116">
        <v>1595</v>
      </c>
      <c r="E99" s="116">
        <v>1603.2249999999999</v>
      </c>
      <c r="F99" s="116">
        <v>3195.85</v>
      </c>
      <c r="G99">
        <v>683</v>
      </c>
      <c r="H99" s="116"/>
      <c r="I99" s="116"/>
      <c r="L99" s="170">
        <v>42146</v>
      </c>
      <c r="M99" s="116">
        <v>1596.075</v>
      </c>
      <c r="N99" s="116">
        <v>1612.85</v>
      </c>
      <c r="O99" s="116">
        <v>1590.5</v>
      </c>
      <c r="P99" s="116">
        <v>1610</v>
      </c>
      <c r="Q99" s="116">
        <v>3192.15</v>
      </c>
      <c r="R99">
        <v>4636</v>
      </c>
    </row>
    <row r="100" spans="1:18" x14ac:dyDescent="0.25">
      <c r="A100" s="170">
        <v>42149</v>
      </c>
      <c r="B100" s="116">
        <v>1605.175</v>
      </c>
      <c r="C100" s="116">
        <v>1595.9</v>
      </c>
      <c r="D100" s="116">
        <v>1590</v>
      </c>
      <c r="E100" s="116">
        <v>1597.9</v>
      </c>
      <c r="F100" s="116">
        <v>3191.8</v>
      </c>
      <c r="G100">
        <v>1541</v>
      </c>
      <c r="H100" s="116"/>
      <c r="I100" s="116"/>
      <c r="L100" s="170">
        <v>42149</v>
      </c>
      <c r="M100" s="116">
        <v>1598.875</v>
      </c>
      <c r="N100" s="116">
        <v>1608.0250000000001</v>
      </c>
      <c r="O100" s="116">
        <v>1590</v>
      </c>
      <c r="P100" s="116">
        <v>1596.075</v>
      </c>
      <c r="Q100" s="116">
        <v>3197.75</v>
      </c>
      <c r="R100">
        <v>3489</v>
      </c>
    </row>
    <row r="101" spans="1:18" x14ac:dyDescent="0.25">
      <c r="A101" s="170">
        <v>42150</v>
      </c>
      <c r="B101" s="116">
        <v>1625</v>
      </c>
      <c r="C101" s="116">
        <v>1593.05</v>
      </c>
      <c r="D101" s="116">
        <v>1580</v>
      </c>
      <c r="E101" s="116">
        <v>1590.8</v>
      </c>
      <c r="F101" s="116">
        <v>3186.1</v>
      </c>
      <c r="G101">
        <v>2204</v>
      </c>
      <c r="H101" s="116"/>
      <c r="I101" s="116"/>
      <c r="L101" s="170">
        <v>42150</v>
      </c>
      <c r="M101" s="116">
        <v>1595.75</v>
      </c>
      <c r="N101" s="116">
        <v>1605</v>
      </c>
      <c r="O101" s="116">
        <v>1577.5</v>
      </c>
      <c r="P101" s="116">
        <v>1591.075</v>
      </c>
      <c r="Q101" s="116">
        <v>3191.5</v>
      </c>
      <c r="R101">
        <v>4474</v>
      </c>
    </row>
    <row r="102" spans="1:18" x14ac:dyDescent="0.25">
      <c r="A102" s="170">
        <v>42151</v>
      </c>
      <c r="B102" s="116">
        <v>1593.4</v>
      </c>
      <c r="C102" s="116">
        <v>1580.175</v>
      </c>
      <c r="D102" s="116">
        <v>1575</v>
      </c>
      <c r="E102" s="116">
        <v>1593.2</v>
      </c>
      <c r="F102" s="116">
        <v>3160.35</v>
      </c>
      <c r="G102">
        <v>1600</v>
      </c>
      <c r="H102" s="116"/>
      <c r="I102" s="116"/>
      <c r="L102" s="170">
        <v>42151</v>
      </c>
      <c r="M102" s="116">
        <v>1583.8</v>
      </c>
      <c r="N102" s="116">
        <v>1599.95</v>
      </c>
      <c r="O102" s="116">
        <v>1562.5</v>
      </c>
      <c r="P102" s="116">
        <v>1578</v>
      </c>
      <c r="Q102" s="116">
        <v>3167.6</v>
      </c>
      <c r="R102">
        <v>7988</v>
      </c>
    </row>
    <row r="103" spans="1:18" x14ac:dyDescent="0.25">
      <c r="A103" s="170">
        <v>42152</v>
      </c>
      <c r="B103" s="116">
        <v>1599.85</v>
      </c>
      <c r="C103" s="116">
        <v>1592.85</v>
      </c>
      <c r="D103" s="116">
        <v>1572.5</v>
      </c>
      <c r="E103" s="116">
        <v>1588.5250000000001</v>
      </c>
      <c r="F103" s="116">
        <v>3185.7</v>
      </c>
      <c r="G103">
        <v>1478</v>
      </c>
      <c r="H103" s="116"/>
      <c r="I103" s="116"/>
      <c r="L103" s="170">
        <v>42152</v>
      </c>
      <c r="M103" s="116">
        <v>1600.425</v>
      </c>
      <c r="N103" s="116">
        <v>1615</v>
      </c>
      <c r="O103" s="116">
        <v>1572.5</v>
      </c>
      <c r="P103" s="116">
        <v>1588.4749999999999</v>
      </c>
      <c r="Q103" s="116">
        <v>3200.85</v>
      </c>
      <c r="R103">
        <v>8671</v>
      </c>
    </row>
    <row r="104" spans="1:18" x14ac:dyDescent="0.25">
      <c r="A104" s="170">
        <v>42153</v>
      </c>
      <c r="B104" s="116">
        <v>1619.5</v>
      </c>
      <c r="C104" s="116">
        <v>1613.05</v>
      </c>
      <c r="D104" s="116">
        <v>1594.4</v>
      </c>
      <c r="E104" s="116">
        <v>1600.95</v>
      </c>
      <c r="F104" s="116">
        <v>3226.1</v>
      </c>
      <c r="G104">
        <v>742</v>
      </c>
      <c r="H104" s="116"/>
      <c r="I104" s="116"/>
      <c r="L104" s="170">
        <v>42153</v>
      </c>
      <c r="M104" s="116">
        <v>1614.05</v>
      </c>
      <c r="N104" s="116">
        <v>1620</v>
      </c>
      <c r="O104" s="116">
        <v>1592.5</v>
      </c>
      <c r="P104" s="116">
        <v>1597.5</v>
      </c>
      <c r="Q104" s="116">
        <v>3228.1</v>
      </c>
      <c r="R104">
        <v>8064</v>
      </c>
    </row>
    <row r="105" spans="1:18" x14ac:dyDescent="0.25">
      <c r="A105" s="170">
        <v>42156</v>
      </c>
      <c r="B105" s="116">
        <v>1630</v>
      </c>
      <c r="C105" s="116">
        <v>1621.4749999999999</v>
      </c>
      <c r="D105" s="116">
        <v>1595</v>
      </c>
      <c r="E105" s="116">
        <v>1605.825</v>
      </c>
      <c r="F105" s="116">
        <v>3242.95</v>
      </c>
      <c r="G105">
        <v>2563</v>
      </c>
      <c r="H105" s="116"/>
      <c r="I105" s="116"/>
      <c r="L105" s="170">
        <v>42156</v>
      </c>
      <c r="M105" s="116">
        <v>1623.625</v>
      </c>
      <c r="N105" s="116">
        <v>1632.5</v>
      </c>
      <c r="O105" s="116">
        <v>1565.325</v>
      </c>
      <c r="P105" s="116">
        <v>1598</v>
      </c>
      <c r="Q105" s="116">
        <v>3247.25</v>
      </c>
      <c r="R105">
        <v>10832</v>
      </c>
    </row>
    <row r="106" spans="1:18" x14ac:dyDescent="0.25">
      <c r="A106" s="170">
        <v>42157</v>
      </c>
      <c r="B106" s="116">
        <v>1650</v>
      </c>
      <c r="C106" s="116">
        <v>1643.875</v>
      </c>
      <c r="D106" s="116">
        <v>1615.75</v>
      </c>
      <c r="E106" s="116">
        <v>1625</v>
      </c>
      <c r="F106" s="116">
        <v>3287.75</v>
      </c>
      <c r="G106">
        <v>2872</v>
      </c>
      <c r="H106" s="116"/>
      <c r="I106" s="116"/>
      <c r="L106" s="170">
        <v>42157</v>
      </c>
      <c r="M106" s="116">
        <v>1648.875</v>
      </c>
      <c r="N106" s="116">
        <v>1654.65</v>
      </c>
      <c r="O106" s="116">
        <v>1612.05</v>
      </c>
      <c r="P106" s="116">
        <v>1627</v>
      </c>
      <c r="Q106" s="116">
        <v>3297.75</v>
      </c>
      <c r="R106">
        <v>21970</v>
      </c>
    </row>
    <row r="107" spans="1:18" x14ac:dyDescent="0.25">
      <c r="A107" s="170">
        <v>42158</v>
      </c>
      <c r="B107" s="116">
        <v>1646.5</v>
      </c>
      <c r="C107" s="116">
        <v>1605.6</v>
      </c>
      <c r="D107" s="116">
        <v>1575</v>
      </c>
      <c r="E107" s="116">
        <v>1641</v>
      </c>
      <c r="F107" s="116">
        <v>3211.2</v>
      </c>
      <c r="G107">
        <v>2795</v>
      </c>
      <c r="H107" s="116"/>
      <c r="I107" s="116"/>
      <c r="L107" s="170">
        <v>42158</v>
      </c>
      <c r="M107" s="116">
        <v>1609.3</v>
      </c>
      <c r="N107" s="116">
        <v>1650.425</v>
      </c>
      <c r="O107" s="116">
        <v>1574</v>
      </c>
      <c r="P107" s="116">
        <v>1650</v>
      </c>
      <c r="Q107" s="116">
        <v>3218.6</v>
      </c>
      <c r="R107">
        <v>16525</v>
      </c>
    </row>
    <row r="108" spans="1:18" x14ac:dyDescent="0.25">
      <c r="A108" s="170">
        <v>42159</v>
      </c>
      <c r="B108" s="116">
        <v>1621.4</v>
      </c>
      <c r="C108" s="116">
        <v>1590.55</v>
      </c>
      <c r="D108" s="116">
        <v>1579.5</v>
      </c>
      <c r="E108" s="116">
        <v>1607.5</v>
      </c>
      <c r="F108" s="116">
        <v>3181.1</v>
      </c>
      <c r="G108">
        <v>2117</v>
      </c>
      <c r="H108" s="116"/>
      <c r="I108" s="116"/>
      <c r="L108" s="170">
        <v>42159</v>
      </c>
      <c r="M108" s="116">
        <v>1591.95</v>
      </c>
      <c r="N108" s="116">
        <v>1624.6</v>
      </c>
      <c r="O108" s="116">
        <v>1578.075</v>
      </c>
      <c r="P108" s="116">
        <v>1606.325</v>
      </c>
      <c r="Q108" s="116">
        <v>3183.9</v>
      </c>
      <c r="R108">
        <v>13095</v>
      </c>
    </row>
    <row r="109" spans="1:18" x14ac:dyDescent="0.25">
      <c r="A109" s="170">
        <v>42160</v>
      </c>
      <c r="B109" s="116">
        <v>1614.85</v>
      </c>
      <c r="C109" s="116">
        <v>1596.5250000000001</v>
      </c>
      <c r="D109" s="116">
        <v>1584.7750000000001</v>
      </c>
      <c r="E109" s="116">
        <v>1589.175</v>
      </c>
      <c r="F109" s="116">
        <v>3193.05</v>
      </c>
      <c r="G109">
        <v>1325</v>
      </c>
      <c r="H109" s="116"/>
      <c r="I109" s="116"/>
      <c r="L109" s="170">
        <v>42160</v>
      </c>
      <c r="M109" s="116">
        <v>1599.55</v>
      </c>
      <c r="N109" s="116">
        <v>1619.5</v>
      </c>
      <c r="O109" s="116">
        <v>1583.075</v>
      </c>
      <c r="P109" s="116">
        <v>1583.075</v>
      </c>
      <c r="Q109" s="116">
        <v>3199.1</v>
      </c>
      <c r="R109">
        <v>5493</v>
      </c>
    </row>
    <row r="110" spans="1:18" x14ac:dyDescent="0.25">
      <c r="A110" s="170">
        <v>42163</v>
      </c>
      <c r="B110" s="116">
        <v>1597.5</v>
      </c>
      <c r="C110" s="116">
        <v>1589.0250000000001</v>
      </c>
      <c r="D110" s="116">
        <v>1575.05</v>
      </c>
      <c r="E110" s="116">
        <v>1597.5</v>
      </c>
      <c r="F110" s="116">
        <v>3178.05</v>
      </c>
      <c r="G110">
        <v>713</v>
      </c>
      <c r="H110" s="116"/>
      <c r="I110" s="116"/>
      <c r="L110" s="170">
        <v>42163</v>
      </c>
      <c r="M110" s="116">
        <v>1590.2</v>
      </c>
      <c r="N110" s="116">
        <v>1594.45</v>
      </c>
      <c r="O110" s="116">
        <v>1575.5</v>
      </c>
      <c r="P110" s="116">
        <v>1576.5</v>
      </c>
      <c r="Q110" s="116">
        <v>3180.4</v>
      </c>
      <c r="R110">
        <v>5442</v>
      </c>
    </row>
    <row r="111" spans="1:18" x14ac:dyDescent="0.25">
      <c r="A111" s="170">
        <v>42164</v>
      </c>
      <c r="B111" s="116">
        <v>1617.5</v>
      </c>
      <c r="C111" s="116">
        <v>1598.05</v>
      </c>
      <c r="D111" s="116">
        <v>1562</v>
      </c>
      <c r="E111" s="116">
        <v>1582.5</v>
      </c>
      <c r="F111" s="116">
        <v>3196.1</v>
      </c>
      <c r="G111">
        <v>4546</v>
      </c>
      <c r="H111" s="116"/>
      <c r="I111" s="116"/>
      <c r="L111" s="170">
        <v>42164</v>
      </c>
      <c r="M111" s="116">
        <v>1597.2249999999999</v>
      </c>
      <c r="N111" s="116">
        <v>1619.5</v>
      </c>
      <c r="O111" s="116">
        <v>1562.5</v>
      </c>
      <c r="P111" s="116">
        <v>1572.5</v>
      </c>
      <c r="Q111" s="116">
        <v>3194.45</v>
      </c>
      <c r="R111">
        <v>9820</v>
      </c>
    </row>
    <row r="112" spans="1:18" x14ac:dyDescent="0.25">
      <c r="A112" s="170">
        <v>42165</v>
      </c>
      <c r="B112" s="116">
        <v>1614.9749999999999</v>
      </c>
      <c r="C112" s="116">
        <v>1606.7249999999999</v>
      </c>
      <c r="D112" s="116">
        <v>1597.4</v>
      </c>
      <c r="E112" s="116">
        <v>1603.7249999999999</v>
      </c>
      <c r="F112" s="116">
        <v>3213.45</v>
      </c>
      <c r="G112">
        <v>653</v>
      </c>
      <c r="H112" s="116"/>
      <c r="I112" s="116"/>
      <c r="L112" s="170">
        <v>42165</v>
      </c>
      <c r="M112" s="116">
        <v>1612</v>
      </c>
      <c r="N112" s="116">
        <v>1625</v>
      </c>
      <c r="O112" s="116">
        <v>1595.0250000000001</v>
      </c>
      <c r="P112" s="116">
        <v>1600.575</v>
      </c>
      <c r="Q112" s="116">
        <v>3224</v>
      </c>
      <c r="R112">
        <v>6388</v>
      </c>
    </row>
    <row r="113" spans="1:18" x14ac:dyDescent="0.25">
      <c r="A113" s="170">
        <v>42166</v>
      </c>
      <c r="B113" s="116">
        <v>1618.2750000000001</v>
      </c>
      <c r="C113" s="116">
        <v>1600.55</v>
      </c>
      <c r="D113" s="116">
        <v>1594</v>
      </c>
      <c r="E113" s="116">
        <v>1608.7</v>
      </c>
      <c r="F113" s="116">
        <v>3201.1</v>
      </c>
      <c r="G113">
        <v>715</v>
      </c>
      <c r="H113" s="116"/>
      <c r="I113" s="116"/>
      <c r="L113" s="170">
        <v>42166</v>
      </c>
      <c r="M113" s="116">
        <v>1604.5</v>
      </c>
      <c r="N113" s="116">
        <v>1620.2750000000001</v>
      </c>
      <c r="O113" s="116">
        <v>1595.5</v>
      </c>
      <c r="P113" s="116">
        <v>1595.5</v>
      </c>
      <c r="Q113" s="116">
        <v>3209</v>
      </c>
      <c r="R113">
        <v>5164</v>
      </c>
    </row>
    <row r="114" spans="1:18" x14ac:dyDescent="0.25">
      <c r="A114" s="170">
        <v>42167</v>
      </c>
      <c r="B114" s="116">
        <v>1636</v>
      </c>
      <c r="C114" s="116">
        <v>1615.825</v>
      </c>
      <c r="D114" s="116">
        <v>1587.5</v>
      </c>
      <c r="E114" s="116">
        <v>1597</v>
      </c>
      <c r="F114" s="116">
        <v>3231.65</v>
      </c>
      <c r="G114">
        <v>1180</v>
      </c>
      <c r="H114" s="116"/>
      <c r="I114" s="116"/>
      <c r="L114" s="170">
        <v>42167</v>
      </c>
      <c r="M114" s="116">
        <v>1616.675</v>
      </c>
      <c r="N114" s="116">
        <v>1640.5</v>
      </c>
      <c r="O114" s="116">
        <v>1577.5</v>
      </c>
      <c r="P114" s="116">
        <v>1577.5</v>
      </c>
      <c r="Q114" s="116">
        <v>3233.35</v>
      </c>
      <c r="R114">
        <v>6524</v>
      </c>
    </row>
    <row r="115" spans="1:18" x14ac:dyDescent="0.25">
      <c r="A115" s="170">
        <v>42170</v>
      </c>
      <c r="B115" s="116">
        <v>1631</v>
      </c>
      <c r="C115" s="116">
        <v>1624.65</v>
      </c>
      <c r="D115" s="116">
        <v>1614.5250000000001</v>
      </c>
      <c r="E115" s="116">
        <v>1618.5</v>
      </c>
      <c r="F115" s="116">
        <v>3249.3</v>
      </c>
      <c r="G115">
        <v>1381</v>
      </c>
      <c r="H115" s="116"/>
      <c r="I115" s="116"/>
      <c r="L115" s="170">
        <v>42170</v>
      </c>
      <c r="M115" s="116">
        <v>1629.3</v>
      </c>
      <c r="N115" s="116">
        <v>1636.5</v>
      </c>
      <c r="O115" s="116">
        <v>1616.0250000000001</v>
      </c>
      <c r="P115" s="116">
        <v>1620.5250000000001</v>
      </c>
      <c r="Q115" s="116">
        <v>3258.6</v>
      </c>
      <c r="R115">
        <v>4179</v>
      </c>
    </row>
    <row r="116" spans="1:18" x14ac:dyDescent="0.25">
      <c r="A116" s="170">
        <v>42171</v>
      </c>
      <c r="B116" s="116">
        <v>1640</v>
      </c>
      <c r="C116" s="116">
        <v>1636.125</v>
      </c>
      <c r="D116" s="116">
        <v>1617.5</v>
      </c>
      <c r="E116" s="116">
        <v>1625.425</v>
      </c>
      <c r="F116" s="116">
        <v>3272.25</v>
      </c>
      <c r="G116">
        <v>1684</v>
      </c>
      <c r="H116" s="116"/>
      <c r="I116" s="116"/>
      <c r="L116" s="170">
        <v>42171</v>
      </c>
      <c r="M116" s="116">
        <v>1639.625</v>
      </c>
      <c r="N116" s="116">
        <v>1644.6</v>
      </c>
      <c r="O116" s="116">
        <v>1620</v>
      </c>
      <c r="P116" s="116">
        <v>1632.5</v>
      </c>
      <c r="Q116" s="116">
        <v>3279.25</v>
      </c>
      <c r="R116">
        <v>3694</v>
      </c>
    </row>
    <row r="117" spans="1:18" x14ac:dyDescent="0.25">
      <c r="A117" s="170">
        <v>42172</v>
      </c>
      <c r="B117" s="116">
        <v>1677.5</v>
      </c>
      <c r="C117" s="116">
        <v>1659.3</v>
      </c>
      <c r="D117" s="116">
        <v>1631.575</v>
      </c>
      <c r="E117" s="116">
        <v>1640</v>
      </c>
      <c r="F117" s="116">
        <v>3318.6</v>
      </c>
      <c r="G117">
        <v>3699</v>
      </c>
      <c r="H117" s="116"/>
      <c r="I117" s="116"/>
      <c r="L117" s="170">
        <v>42172</v>
      </c>
      <c r="M117" s="116">
        <v>1662.7</v>
      </c>
      <c r="N117" s="116">
        <v>1681.45</v>
      </c>
      <c r="O117" s="116">
        <v>1634.0250000000001</v>
      </c>
      <c r="P117" s="116">
        <v>1640</v>
      </c>
      <c r="Q117" s="116">
        <v>3325.4</v>
      </c>
      <c r="R117">
        <v>18091</v>
      </c>
    </row>
    <row r="118" spans="1:18" x14ac:dyDescent="0.25">
      <c r="A118" s="170">
        <v>42173</v>
      </c>
      <c r="B118" s="116">
        <v>1670.9749999999999</v>
      </c>
      <c r="C118" s="116">
        <v>1654.35</v>
      </c>
      <c r="D118" s="116">
        <v>1645.5</v>
      </c>
      <c r="E118" s="116">
        <v>1657</v>
      </c>
      <c r="F118" s="116">
        <v>3308.7</v>
      </c>
      <c r="G118">
        <v>1115</v>
      </c>
      <c r="H118" s="116"/>
      <c r="I118" s="116"/>
      <c r="L118" s="170">
        <v>42173</v>
      </c>
      <c r="M118" s="116">
        <v>1656.7750000000001</v>
      </c>
      <c r="N118" s="116">
        <v>1674.5</v>
      </c>
      <c r="O118" s="116">
        <v>1647.4749999999999</v>
      </c>
      <c r="P118" s="116">
        <v>1674.5</v>
      </c>
      <c r="Q118" s="116">
        <v>3313.55</v>
      </c>
      <c r="R118">
        <v>7141</v>
      </c>
    </row>
    <row r="119" spans="1:18" x14ac:dyDescent="0.25">
      <c r="A119" s="170">
        <v>42174</v>
      </c>
      <c r="B119" s="116">
        <v>1662.5</v>
      </c>
      <c r="C119" s="116">
        <v>1648.175</v>
      </c>
      <c r="D119" s="116">
        <v>1644.5250000000001</v>
      </c>
      <c r="E119" s="116">
        <v>1655</v>
      </c>
      <c r="F119" s="116">
        <v>3296.35</v>
      </c>
      <c r="G119">
        <v>1114</v>
      </c>
      <c r="H119" s="116"/>
      <c r="I119" s="116"/>
      <c r="L119" s="170">
        <v>42174</v>
      </c>
      <c r="M119" s="116">
        <v>1648.45</v>
      </c>
      <c r="N119" s="116">
        <v>1665</v>
      </c>
      <c r="O119" s="116">
        <v>1642.55</v>
      </c>
      <c r="P119" s="116">
        <v>1656.7</v>
      </c>
      <c r="Q119" s="116">
        <v>3296.9</v>
      </c>
      <c r="R119">
        <v>13817</v>
      </c>
    </row>
    <row r="120" spans="1:18" x14ac:dyDescent="0.25">
      <c r="A120" s="170">
        <v>42177</v>
      </c>
      <c r="B120" s="116">
        <v>1654.5</v>
      </c>
      <c r="C120" s="116">
        <v>1641.95</v>
      </c>
      <c r="D120" s="116">
        <v>1633.55</v>
      </c>
      <c r="E120" s="116">
        <v>1654.5</v>
      </c>
      <c r="F120" s="116">
        <v>3283.9</v>
      </c>
      <c r="G120">
        <v>629</v>
      </c>
      <c r="H120" s="116"/>
      <c r="I120" s="116"/>
      <c r="L120" s="170">
        <v>42177</v>
      </c>
      <c r="M120" s="116">
        <v>1638.65</v>
      </c>
      <c r="N120" s="116">
        <v>1659.4749999999999</v>
      </c>
      <c r="O120" s="116">
        <v>1632.5</v>
      </c>
      <c r="P120" s="116">
        <v>1646.1</v>
      </c>
      <c r="Q120" s="116">
        <v>3277.3</v>
      </c>
      <c r="R120">
        <v>8243</v>
      </c>
    </row>
    <row r="121" spans="1:18" x14ac:dyDescent="0.25">
      <c r="A121" s="170">
        <v>42178</v>
      </c>
      <c r="B121" s="116">
        <v>1653.175</v>
      </c>
      <c r="C121" s="116">
        <v>1638.7</v>
      </c>
      <c r="D121" s="116">
        <v>1610.125</v>
      </c>
      <c r="E121" s="116">
        <v>1643.95</v>
      </c>
      <c r="F121" s="116">
        <v>3277.4</v>
      </c>
      <c r="G121">
        <v>2168</v>
      </c>
      <c r="H121" s="116"/>
      <c r="I121" s="116"/>
      <c r="L121" s="170">
        <v>42178</v>
      </c>
      <c r="M121" s="116">
        <v>1634.7750000000001</v>
      </c>
      <c r="N121" s="116">
        <v>1652.925</v>
      </c>
      <c r="O121" s="116">
        <v>1624.425</v>
      </c>
      <c r="P121" s="116">
        <v>1649.5</v>
      </c>
      <c r="Q121" s="116">
        <v>3269.55</v>
      </c>
      <c r="R121">
        <v>9256</v>
      </c>
    </row>
    <row r="122" spans="1:18" x14ac:dyDescent="0.25">
      <c r="A122" s="170">
        <v>42179</v>
      </c>
      <c r="B122" s="116">
        <v>1647.875</v>
      </c>
      <c r="C122" s="116">
        <v>1631.55</v>
      </c>
      <c r="D122" s="116">
        <v>1625</v>
      </c>
      <c r="E122" s="116">
        <v>1645.7249999999999</v>
      </c>
      <c r="F122" s="116">
        <v>3263.1</v>
      </c>
      <c r="G122">
        <v>673</v>
      </c>
      <c r="H122" s="116"/>
      <c r="I122" s="116"/>
      <c r="L122" s="170">
        <v>42179</v>
      </c>
      <c r="M122" s="116">
        <v>1630.575</v>
      </c>
      <c r="N122" s="116">
        <v>1647.875</v>
      </c>
      <c r="O122" s="116">
        <v>1622.5</v>
      </c>
      <c r="P122" s="116">
        <v>1637.575</v>
      </c>
      <c r="Q122" s="116">
        <v>3261.15</v>
      </c>
      <c r="R122">
        <v>9064</v>
      </c>
    </row>
    <row r="123" spans="1:18" x14ac:dyDescent="0.25">
      <c r="A123" s="170">
        <v>42180</v>
      </c>
      <c r="B123" s="116">
        <v>1633.2249999999999</v>
      </c>
      <c r="C123" s="116">
        <v>1625.8</v>
      </c>
      <c r="D123" s="116">
        <v>1615.5</v>
      </c>
      <c r="E123" s="116">
        <v>1630.2249999999999</v>
      </c>
      <c r="F123" s="116">
        <v>3251.6</v>
      </c>
      <c r="G123">
        <v>1366</v>
      </c>
      <c r="H123" s="116"/>
      <c r="I123" s="116"/>
      <c r="L123" s="170">
        <v>42180</v>
      </c>
      <c r="M123" s="116">
        <v>1631.7</v>
      </c>
      <c r="N123" s="116">
        <v>1637</v>
      </c>
      <c r="O123" s="116">
        <v>1622.5</v>
      </c>
      <c r="P123" s="116">
        <v>1630.925</v>
      </c>
      <c r="Q123" s="116">
        <v>3263.4</v>
      </c>
      <c r="R123">
        <v>4451</v>
      </c>
    </row>
    <row r="124" spans="1:18" x14ac:dyDescent="0.25">
      <c r="A124" s="170">
        <v>42181</v>
      </c>
      <c r="B124" s="116">
        <v>1649</v>
      </c>
      <c r="C124" s="116">
        <v>1640.925</v>
      </c>
      <c r="D124" s="116">
        <v>1613.875</v>
      </c>
      <c r="E124" s="116">
        <v>1634.325</v>
      </c>
      <c r="F124" s="116">
        <v>3281.85</v>
      </c>
      <c r="G124">
        <v>1083</v>
      </c>
      <c r="H124" s="116"/>
      <c r="I124" s="116"/>
      <c r="L124" s="170">
        <v>42181</v>
      </c>
      <c r="M124" s="116">
        <v>1643.8</v>
      </c>
      <c r="N124" s="116">
        <v>1649.95</v>
      </c>
      <c r="O124" s="116">
        <v>1608.3</v>
      </c>
      <c r="P124" s="116">
        <v>1630.9749999999999</v>
      </c>
      <c r="Q124" s="116">
        <v>3287.6</v>
      </c>
      <c r="R124">
        <v>6752</v>
      </c>
    </row>
    <row r="125" spans="1:18" x14ac:dyDescent="0.25">
      <c r="A125" s="170">
        <v>42184</v>
      </c>
      <c r="B125" s="116">
        <v>1648</v>
      </c>
      <c r="C125" s="116">
        <v>1640.75</v>
      </c>
      <c r="D125" s="116">
        <v>1605</v>
      </c>
      <c r="E125" s="116">
        <v>1640</v>
      </c>
      <c r="F125" s="116">
        <v>3281.5</v>
      </c>
      <c r="G125">
        <v>1183</v>
      </c>
      <c r="H125" s="116"/>
      <c r="I125" s="116"/>
      <c r="L125" s="170">
        <v>42184</v>
      </c>
      <c r="M125" s="116">
        <v>1643.55</v>
      </c>
      <c r="N125" s="116">
        <v>1649.5</v>
      </c>
      <c r="O125" s="116">
        <v>1602</v>
      </c>
      <c r="P125" s="116">
        <v>1618</v>
      </c>
      <c r="Q125" s="116">
        <v>3287.1</v>
      </c>
      <c r="R125">
        <v>7011</v>
      </c>
    </row>
    <row r="126" spans="1:18" x14ac:dyDescent="0.25">
      <c r="A126" s="170">
        <v>42185</v>
      </c>
      <c r="B126" s="116">
        <v>1699.425</v>
      </c>
      <c r="C126" s="116">
        <v>1662.7</v>
      </c>
      <c r="D126" s="116">
        <v>1628.575</v>
      </c>
      <c r="E126" s="116">
        <v>1632.4</v>
      </c>
      <c r="F126" s="116">
        <v>3325.4</v>
      </c>
      <c r="G126">
        <v>2112</v>
      </c>
      <c r="H126" s="116"/>
      <c r="I126" s="116"/>
      <c r="L126" s="170">
        <v>42185</v>
      </c>
      <c r="M126" s="116">
        <v>1674.05</v>
      </c>
      <c r="N126" s="116">
        <v>1700</v>
      </c>
      <c r="O126" s="116">
        <v>1627.5250000000001</v>
      </c>
      <c r="P126" s="116">
        <v>1627.5250000000001</v>
      </c>
      <c r="Q126" s="116">
        <v>3348.1</v>
      </c>
      <c r="R126">
        <v>41103</v>
      </c>
    </row>
    <row r="127" spans="1:18" x14ac:dyDescent="0.25">
      <c r="A127" s="170">
        <v>42186</v>
      </c>
      <c r="B127" s="116">
        <v>1676.05</v>
      </c>
      <c r="C127" s="116">
        <v>1653.4749999999999</v>
      </c>
      <c r="D127" s="116">
        <v>1650</v>
      </c>
      <c r="E127" s="116">
        <v>1670</v>
      </c>
      <c r="F127" s="116">
        <v>3306.95</v>
      </c>
      <c r="G127">
        <v>2538</v>
      </c>
      <c r="H127" s="116"/>
      <c r="I127" s="116"/>
      <c r="L127" s="170">
        <v>42186</v>
      </c>
      <c r="M127" s="116">
        <v>1661.7249999999999</v>
      </c>
      <c r="N127" s="116">
        <v>1680</v>
      </c>
      <c r="O127" s="116">
        <v>1652</v>
      </c>
      <c r="P127" s="116">
        <v>1680</v>
      </c>
      <c r="Q127" s="116">
        <v>3323.45</v>
      </c>
      <c r="R127">
        <v>9350</v>
      </c>
    </row>
    <row r="128" spans="1:18" x14ac:dyDescent="0.25">
      <c r="A128" s="170">
        <v>42187</v>
      </c>
      <c r="B128" s="116">
        <v>1679.45</v>
      </c>
      <c r="C128" s="116">
        <v>1670.95</v>
      </c>
      <c r="D128" s="116">
        <v>1656</v>
      </c>
      <c r="E128" s="116">
        <v>1665.4749999999999</v>
      </c>
      <c r="F128" s="116">
        <v>3341.9</v>
      </c>
      <c r="G128">
        <v>1882</v>
      </c>
      <c r="H128" s="116"/>
      <c r="I128" s="116"/>
      <c r="L128" s="170">
        <v>42187</v>
      </c>
      <c r="M128" s="116">
        <v>1676</v>
      </c>
      <c r="N128" s="116">
        <v>1680</v>
      </c>
      <c r="O128" s="116">
        <v>1654.9749999999999</v>
      </c>
      <c r="P128" s="116">
        <v>1661.7249999999999</v>
      </c>
      <c r="Q128" s="116">
        <v>3352</v>
      </c>
      <c r="R128">
        <v>7144</v>
      </c>
    </row>
    <row r="129" spans="1:18" x14ac:dyDescent="0.25">
      <c r="A129" s="170">
        <v>42188</v>
      </c>
      <c r="B129" s="116">
        <v>1683.5</v>
      </c>
      <c r="C129" s="116">
        <v>1670.9</v>
      </c>
      <c r="D129" s="116">
        <v>1663.925</v>
      </c>
      <c r="E129" s="116">
        <v>1675</v>
      </c>
      <c r="F129" s="116">
        <v>3341.8</v>
      </c>
      <c r="G129">
        <v>1901</v>
      </c>
      <c r="H129" s="116"/>
      <c r="I129" s="116"/>
      <c r="L129" s="170">
        <v>42188</v>
      </c>
      <c r="M129" s="116">
        <v>1673.7</v>
      </c>
      <c r="N129" s="116">
        <v>1680</v>
      </c>
      <c r="O129" s="116">
        <v>1656.825</v>
      </c>
      <c r="P129" s="116">
        <v>1676</v>
      </c>
      <c r="Q129" s="116">
        <v>3347.4</v>
      </c>
      <c r="R129">
        <v>5896</v>
      </c>
    </row>
    <row r="130" spans="1:18" x14ac:dyDescent="0.25">
      <c r="A130" s="170">
        <v>42191</v>
      </c>
      <c r="B130" s="116">
        <v>1681</v>
      </c>
      <c r="C130" s="116">
        <v>1675.675</v>
      </c>
      <c r="D130" s="116">
        <v>1658</v>
      </c>
      <c r="E130" s="116">
        <v>1674.5</v>
      </c>
      <c r="F130" s="116">
        <v>3351.35</v>
      </c>
      <c r="G130">
        <v>2357</v>
      </c>
      <c r="H130" s="116"/>
      <c r="I130" s="116"/>
      <c r="L130" s="170">
        <v>42191</v>
      </c>
      <c r="M130" s="116">
        <v>1676.7750000000001</v>
      </c>
      <c r="N130" s="116">
        <v>1678.5</v>
      </c>
      <c r="O130" s="116">
        <v>1650</v>
      </c>
      <c r="P130" s="116">
        <v>1650</v>
      </c>
      <c r="Q130" s="116">
        <v>3353.55</v>
      </c>
      <c r="R130">
        <v>7234</v>
      </c>
    </row>
    <row r="131" spans="1:18" x14ac:dyDescent="0.25">
      <c r="A131" s="170">
        <v>42192</v>
      </c>
      <c r="B131" s="116">
        <v>1712.5</v>
      </c>
      <c r="C131" s="116">
        <v>1698.55</v>
      </c>
      <c r="D131" s="116">
        <v>1665.125</v>
      </c>
      <c r="E131" s="116">
        <v>1679.95</v>
      </c>
      <c r="F131" s="116">
        <v>3397.1</v>
      </c>
      <c r="G131">
        <v>3606</v>
      </c>
      <c r="H131" s="116"/>
      <c r="I131" s="116"/>
      <c r="L131" s="170">
        <v>42192</v>
      </c>
      <c r="M131" s="116">
        <v>1703.175</v>
      </c>
      <c r="N131" s="116">
        <v>1717</v>
      </c>
      <c r="O131" s="116">
        <v>1667.5</v>
      </c>
      <c r="P131" s="116">
        <v>1679.875</v>
      </c>
      <c r="Q131" s="116">
        <v>3406.35</v>
      </c>
      <c r="R131">
        <v>11452</v>
      </c>
    </row>
    <row r="132" spans="1:18" x14ac:dyDescent="0.25">
      <c r="A132" s="170">
        <v>42193</v>
      </c>
      <c r="B132" s="116">
        <v>1780</v>
      </c>
      <c r="C132" s="116">
        <v>1726.0250000000001</v>
      </c>
      <c r="D132" s="116">
        <v>1672.5</v>
      </c>
      <c r="E132" s="116">
        <v>1692.5</v>
      </c>
      <c r="F132" s="116">
        <v>3452.05</v>
      </c>
      <c r="G132">
        <v>8482</v>
      </c>
      <c r="H132" s="116"/>
      <c r="I132" s="116"/>
      <c r="L132" s="170">
        <v>42193</v>
      </c>
      <c r="M132" s="116">
        <v>1730.4749999999999</v>
      </c>
      <c r="N132" s="116">
        <v>1782.5</v>
      </c>
      <c r="O132" s="116">
        <v>1676</v>
      </c>
      <c r="P132" s="116">
        <v>1687.5</v>
      </c>
      <c r="Q132" s="116">
        <v>3460.95</v>
      </c>
      <c r="R132">
        <v>28669</v>
      </c>
    </row>
    <row r="133" spans="1:18" x14ac:dyDescent="0.25">
      <c r="A133" s="170">
        <v>42194</v>
      </c>
      <c r="B133" s="116">
        <v>1762.05</v>
      </c>
      <c r="C133" s="116">
        <v>1704.2750000000001</v>
      </c>
      <c r="D133" s="116">
        <v>1698.325</v>
      </c>
      <c r="E133" s="116">
        <v>1727.5</v>
      </c>
      <c r="F133" s="116">
        <v>3408.55</v>
      </c>
      <c r="G133">
        <v>2921</v>
      </c>
      <c r="H133" s="116"/>
      <c r="I133" s="116"/>
      <c r="L133" s="170">
        <v>42194</v>
      </c>
      <c r="M133" s="116">
        <v>1708.5</v>
      </c>
      <c r="N133" s="116">
        <v>1762.5</v>
      </c>
      <c r="O133" s="116">
        <v>1700.5</v>
      </c>
      <c r="P133" s="116">
        <v>1730.4749999999999</v>
      </c>
      <c r="Q133" s="116">
        <v>3417</v>
      </c>
      <c r="R133">
        <v>14653</v>
      </c>
    </row>
    <row r="134" spans="1:18" x14ac:dyDescent="0.25">
      <c r="A134" s="170">
        <v>42195</v>
      </c>
      <c r="B134" s="116">
        <v>1722.0250000000001</v>
      </c>
      <c r="C134" s="116">
        <v>1700.425</v>
      </c>
      <c r="D134" s="116">
        <v>1687.5</v>
      </c>
      <c r="E134" s="116">
        <v>1722.0250000000001</v>
      </c>
      <c r="F134" s="116">
        <v>3400.85</v>
      </c>
      <c r="G134">
        <v>1167</v>
      </c>
      <c r="H134" s="116"/>
      <c r="I134" s="116"/>
      <c r="L134" s="170">
        <v>42195</v>
      </c>
      <c r="M134" s="116">
        <v>1701.825</v>
      </c>
      <c r="N134" s="116">
        <v>1729.4749999999999</v>
      </c>
      <c r="O134" s="116">
        <v>1690</v>
      </c>
      <c r="P134" s="116">
        <v>1713.5250000000001</v>
      </c>
      <c r="Q134" s="116">
        <v>3403.65</v>
      </c>
      <c r="R134">
        <v>7393</v>
      </c>
    </row>
    <row r="135" spans="1:18" x14ac:dyDescent="0.25">
      <c r="A135" s="170">
        <v>42198</v>
      </c>
      <c r="B135" s="116">
        <v>1715.5</v>
      </c>
      <c r="C135" s="116">
        <v>1701.5</v>
      </c>
      <c r="D135" s="116">
        <v>1696.5</v>
      </c>
      <c r="E135" s="116">
        <v>1714.3</v>
      </c>
      <c r="F135" s="116">
        <v>3403</v>
      </c>
      <c r="G135">
        <v>1457</v>
      </c>
      <c r="H135" s="116"/>
      <c r="I135" s="116"/>
      <c r="L135" s="170">
        <v>42198</v>
      </c>
      <c r="M135" s="116">
        <v>1705.125</v>
      </c>
      <c r="N135" s="116">
        <v>1716.5</v>
      </c>
      <c r="O135" s="116">
        <v>1692.5</v>
      </c>
      <c r="P135" s="116">
        <v>1716.5</v>
      </c>
      <c r="Q135" s="116">
        <v>3410.25</v>
      </c>
      <c r="R135">
        <v>6004</v>
      </c>
    </row>
    <row r="136" spans="1:18" x14ac:dyDescent="0.25">
      <c r="A136" s="170">
        <v>42199</v>
      </c>
      <c r="B136" s="116">
        <v>1731.9749999999999</v>
      </c>
      <c r="C136" s="116">
        <v>1710.425</v>
      </c>
      <c r="D136" s="116">
        <v>1705</v>
      </c>
      <c r="E136" s="116">
        <v>1727</v>
      </c>
      <c r="F136" s="116">
        <v>3420.85</v>
      </c>
      <c r="G136">
        <v>1118</v>
      </c>
      <c r="H136" s="116"/>
      <c r="I136" s="116"/>
      <c r="L136" s="170">
        <v>42199</v>
      </c>
      <c r="M136" s="116">
        <v>1708.575</v>
      </c>
      <c r="N136" s="116">
        <v>1735</v>
      </c>
      <c r="O136" s="116">
        <v>1700</v>
      </c>
      <c r="P136" s="116">
        <v>1725</v>
      </c>
      <c r="Q136" s="116">
        <v>3417.15</v>
      </c>
      <c r="R136">
        <v>10862</v>
      </c>
    </row>
    <row r="137" spans="1:18" x14ac:dyDescent="0.25">
      <c r="A137" s="170">
        <v>42200</v>
      </c>
      <c r="B137" s="116">
        <v>1725</v>
      </c>
      <c r="C137" s="116">
        <v>1715.125</v>
      </c>
      <c r="D137" s="116">
        <v>1706</v>
      </c>
      <c r="E137" s="116">
        <v>1713.3</v>
      </c>
      <c r="F137" s="116">
        <v>3430.25</v>
      </c>
      <c r="G137">
        <v>2186</v>
      </c>
      <c r="H137" s="116"/>
      <c r="I137" s="116"/>
      <c r="L137" s="170">
        <v>42200</v>
      </c>
      <c r="M137" s="116">
        <v>1711.9749999999999</v>
      </c>
      <c r="N137" s="116">
        <v>1727.5</v>
      </c>
      <c r="O137" s="116">
        <v>1693.55</v>
      </c>
      <c r="P137" s="116">
        <v>1693.55</v>
      </c>
      <c r="Q137" s="116">
        <v>3423.95</v>
      </c>
      <c r="R137">
        <v>12549</v>
      </c>
    </row>
    <row r="138" spans="1:18" x14ac:dyDescent="0.25">
      <c r="A138" s="170">
        <v>42201</v>
      </c>
      <c r="B138" s="116">
        <v>1720.55</v>
      </c>
      <c r="C138" s="116">
        <v>1707.3</v>
      </c>
      <c r="D138" s="116">
        <v>1703.35</v>
      </c>
      <c r="E138" s="116">
        <v>1720.5</v>
      </c>
      <c r="F138" s="116">
        <v>3414.6</v>
      </c>
      <c r="G138">
        <v>757</v>
      </c>
      <c r="H138" s="116"/>
      <c r="I138" s="116"/>
      <c r="L138" s="170">
        <v>42201</v>
      </c>
      <c r="M138" s="116">
        <v>1710.45</v>
      </c>
      <c r="N138" s="116">
        <v>1722.925</v>
      </c>
      <c r="O138" s="116">
        <v>1701.7</v>
      </c>
      <c r="P138" s="116">
        <v>1714.5</v>
      </c>
      <c r="Q138" s="116">
        <v>3420.9</v>
      </c>
      <c r="R138">
        <v>5940</v>
      </c>
    </row>
    <row r="139" spans="1:18" x14ac:dyDescent="0.25">
      <c r="A139" s="170">
        <v>42202</v>
      </c>
      <c r="B139" s="116">
        <v>1722.175</v>
      </c>
      <c r="C139" s="116">
        <v>1706.925</v>
      </c>
      <c r="D139" s="116">
        <v>1700.75</v>
      </c>
      <c r="E139" s="116">
        <v>1714.4</v>
      </c>
      <c r="F139" s="116">
        <v>3413.85</v>
      </c>
      <c r="G139">
        <v>1041</v>
      </c>
      <c r="H139" s="116"/>
      <c r="I139" s="116"/>
      <c r="L139" s="170">
        <v>42202</v>
      </c>
      <c r="M139" s="116">
        <v>1709.35</v>
      </c>
      <c r="N139" s="116">
        <v>1724.5</v>
      </c>
      <c r="O139" s="116">
        <v>1700</v>
      </c>
      <c r="P139" s="116">
        <v>1722</v>
      </c>
      <c r="Q139" s="116">
        <v>3418.7</v>
      </c>
      <c r="R139">
        <v>13274</v>
      </c>
    </row>
    <row r="140" spans="1:18" x14ac:dyDescent="0.25">
      <c r="A140" s="170">
        <v>42205</v>
      </c>
      <c r="B140" s="116">
        <v>1725</v>
      </c>
      <c r="C140" s="116">
        <v>1696.35</v>
      </c>
      <c r="D140" s="116">
        <v>1687.5</v>
      </c>
      <c r="E140" s="116">
        <v>1711</v>
      </c>
      <c r="F140" s="116">
        <v>3392.7</v>
      </c>
      <c r="G140">
        <v>2821</v>
      </c>
      <c r="H140" s="116"/>
      <c r="I140" s="116"/>
      <c r="L140" s="170">
        <v>42205</v>
      </c>
      <c r="M140" s="116">
        <v>1697.875</v>
      </c>
      <c r="N140" s="116">
        <v>1722.5250000000001</v>
      </c>
      <c r="O140" s="116">
        <v>1689</v>
      </c>
      <c r="P140" s="116">
        <v>1709.0250000000001</v>
      </c>
      <c r="Q140" s="116">
        <v>3395.75</v>
      </c>
      <c r="R140">
        <v>20775</v>
      </c>
    </row>
    <row r="141" spans="1:18" x14ac:dyDescent="0.25">
      <c r="A141" s="170">
        <v>42206</v>
      </c>
      <c r="B141" s="116">
        <v>1712.55</v>
      </c>
      <c r="C141" s="116">
        <v>1689.45</v>
      </c>
      <c r="D141" s="116">
        <v>1685</v>
      </c>
      <c r="E141" s="116">
        <v>1701.5</v>
      </c>
      <c r="F141" s="116">
        <v>3378.9</v>
      </c>
      <c r="G141">
        <v>1480</v>
      </c>
      <c r="H141" s="116"/>
      <c r="I141" s="116"/>
      <c r="L141" s="170">
        <v>42206</v>
      </c>
      <c r="M141" s="116">
        <v>1689.45</v>
      </c>
      <c r="N141" s="116">
        <v>1711.9749999999999</v>
      </c>
      <c r="O141" s="116">
        <v>1682.5</v>
      </c>
      <c r="P141" s="116">
        <v>1685.0250000000001</v>
      </c>
      <c r="Q141" s="116">
        <v>3378.9</v>
      </c>
      <c r="R141">
        <v>7847</v>
      </c>
    </row>
    <row r="142" spans="1:18" x14ac:dyDescent="0.25">
      <c r="A142" s="170">
        <v>42207</v>
      </c>
      <c r="B142" s="116">
        <v>1719.9749999999999</v>
      </c>
      <c r="C142" s="116">
        <v>1715.675</v>
      </c>
      <c r="D142" s="116">
        <v>1685.5</v>
      </c>
      <c r="E142" s="116">
        <v>1686.0250000000001</v>
      </c>
      <c r="F142" s="116">
        <v>3431.35</v>
      </c>
      <c r="G142">
        <v>1474</v>
      </c>
      <c r="H142" s="116"/>
      <c r="I142" s="116"/>
      <c r="L142" s="170">
        <v>42207</v>
      </c>
      <c r="M142" s="116">
        <v>1718.45</v>
      </c>
      <c r="N142" s="116">
        <v>1720.5</v>
      </c>
      <c r="O142" s="116">
        <v>1685.075</v>
      </c>
      <c r="P142" s="116">
        <v>1691.95</v>
      </c>
      <c r="Q142" s="116">
        <v>3436.9</v>
      </c>
      <c r="R142">
        <v>11809</v>
      </c>
    </row>
    <row r="143" spans="1:18" x14ac:dyDescent="0.25">
      <c r="A143" s="170">
        <v>42208</v>
      </c>
      <c r="B143" s="116">
        <v>1717.5</v>
      </c>
      <c r="C143" s="116">
        <v>1700.15</v>
      </c>
      <c r="D143" s="116">
        <v>1681.7249999999999</v>
      </c>
      <c r="E143" s="116">
        <v>1717.5</v>
      </c>
      <c r="F143" s="116">
        <v>3400.3</v>
      </c>
      <c r="G143">
        <v>2402</v>
      </c>
      <c r="H143" s="116"/>
      <c r="I143" s="116"/>
      <c r="L143" s="170">
        <v>42208</v>
      </c>
      <c r="M143" s="116">
        <v>1701.5</v>
      </c>
      <c r="N143" s="116">
        <v>1705.5</v>
      </c>
      <c r="O143" s="116">
        <v>1678</v>
      </c>
      <c r="P143" s="116">
        <v>1699</v>
      </c>
      <c r="Q143" s="116">
        <v>3403</v>
      </c>
      <c r="R143">
        <v>15158</v>
      </c>
    </row>
    <row r="144" spans="1:18" x14ac:dyDescent="0.25">
      <c r="A144" s="170">
        <v>42209</v>
      </c>
      <c r="B144" s="116">
        <v>1700</v>
      </c>
      <c r="C144" s="116">
        <v>1694.825</v>
      </c>
      <c r="D144" s="116">
        <v>1682.5</v>
      </c>
      <c r="E144" s="116">
        <v>1700</v>
      </c>
      <c r="F144" s="116">
        <v>3389.65</v>
      </c>
      <c r="G144">
        <v>1593</v>
      </c>
      <c r="H144" s="116"/>
      <c r="I144" s="116"/>
      <c r="L144" s="170">
        <v>42209</v>
      </c>
      <c r="M144" s="116">
        <v>1694.3</v>
      </c>
      <c r="N144" s="116">
        <v>1699.75</v>
      </c>
      <c r="O144" s="116">
        <v>1682.5</v>
      </c>
      <c r="P144" s="116">
        <v>1685</v>
      </c>
      <c r="Q144" s="116">
        <v>3388.6</v>
      </c>
      <c r="R144">
        <v>5267</v>
      </c>
    </row>
    <row r="145" spans="1:18" x14ac:dyDescent="0.25">
      <c r="A145" s="170">
        <v>42212</v>
      </c>
      <c r="B145" s="116">
        <v>1694.875</v>
      </c>
      <c r="C145" s="116">
        <v>1691.6</v>
      </c>
      <c r="D145" s="116">
        <v>1681.5250000000001</v>
      </c>
      <c r="E145" s="116">
        <v>1692.5</v>
      </c>
      <c r="F145" s="116">
        <v>3383.2</v>
      </c>
      <c r="G145">
        <v>818</v>
      </c>
      <c r="H145" s="116"/>
      <c r="I145" s="116"/>
      <c r="L145" s="170">
        <v>42212</v>
      </c>
      <c r="M145" s="116">
        <v>1691.15</v>
      </c>
      <c r="N145" s="116">
        <v>1702.75</v>
      </c>
      <c r="O145" s="116">
        <v>1677.9</v>
      </c>
      <c r="P145" s="116">
        <v>1694.25</v>
      </c>
      <c r="Q145" s="116">
        <v>3382.3</v>
      </c>
      <c r="R145">
        <v>3528</v>
      </c>
    </row>
    <row r="146" spans="1:18" x14ac:dyDescent="0.25">
      <c r="A146" s="170">
        <v>42213</v>
      </c>
      <c r="B146" s="116">
        <v>1708</v>
      </c>
      <c r="C146" s="116">
        <v>1695.075</v>
      </c>
      <c r="D146" s="116">
        <v>1662.5250000000001</v>
      </c>
      <c r="E146" s="116">
        <v>1692.5</v>
      </c>
      <c r="F146" s="116">
        <v>3390.15</v>
      </c>
      <c r="G146">
        <v>1128</v>
      </c>
      <c r="H146" s="116"/>
      <c r="I146" s="116"/>
      <c r="L146" s="170">
        <v>42213</v>
      </c>
      <c r="M146" s="116">
        <v>1696.175</v>
      </c>
      <c r="N146" s="116">
        <v>1709.5</v>
      </c>
      <c r="O146" s="116">
        <v>1663</v>
      </c>
      <c r="P146" s="116">
        <v>1691.7249999999999</v>
      </c>
      <c r="Q146" s="116">
        <v>3392.35</v>
      </c>
      <c r="R146">
        <v>10384</v>
      </c>
    </row>
    <row r="147" spans="1:18" x14ac:dyDescent="0.25">
      <c r="A147" s="170">
        <v>42214</v>
      </c>
      <c r="B147" s="116">
        <v>1740.25</v>
      </c>
      <c r="C147" s="116">
        <v>1717.7249999999999</v>
      </c>
      <c r="D147" s="116">
        <v>1697.5</v>
      </c>
      <c r="E147" s="116">
        <v>1697.5</v>
      </c>
      <c r="F147" s="116">
        <v>3435.45</v>
      </c>
      <c r="G147">
        <v>1595</v>
      </c>
      <c r="H147" s="116"/>
      <c r="I147" s="116"/>
      <c r="L147" s="170">
        <v>42214</v>
      </c>
      <c r="M147" s="116">
        <v>1722.5250000000001</v>
      </c>
      <c r="N147" s="116">
        <v>1742.5</v>
      </c>
      <c r="O147" s="116">
        <v>1696</v>
      </c>
      <c r="P147" s="116">
        <v>1710.5</v>
      </c>
      <c r="Q147" s="116">
        <v>3445.05</v>
      </c>
      <c r="R147">
        <v>12381</v>
      </c>
    </row>
    <row r="148" spans="1:18" x14ac:dyDescent="0.25">
      <c r="A148" s="170">
        <v>42215</v>
      </c>
      <c r="B148" s="116">
        <v>1782.8</v>
      </c>
      <c r="C148" s="116">
        <v>1762.325</v>
      </c>
      <c r="D148" s="116">
        <v>1720.3</v>
      </c>
      <c r="E148" s="116">
        <v>1724.5</v>
      </c>
      <c r="F148" s="116">
        <v>3524.65</v>
      </c>
      <c r="G148">
        <v>6288</v>
      </c>
      <c r="H148" s="116"/>
      <c r="I148" s="116"/>
      <c r="L148" s="170">
        <v>42215</v>
      </c>
      <c r="M148" s="116">
        <v>1765.875</v>
      </c>
      <c r="N148" s="116">
        <v>1787</v>
      </c>
      <c r="O148" s="116">
        <v>1720</v>
      </c>
      <c r="P148" s="116">
        <v>1725</v>
      </c>
      <c r="Q148" s="116">
        <v>3531.75</v>
      </c>
      <c r="R148">
        <v>58311</v>
      </c>
    </row>
    <row r="149" spans="1:18" x14ac:dyDescent="0.25">
      <c r="A149" s="170">
        <v>42216</v>
      </c>
      <c r="B149" s="116">
        <v>1774.7249999999999</v>
      </c>
      <c r="C149" s="116">
        <v>1753.875</v>
      </c>
      <c r="D149" s="116">
        <v>1726.5</v>
      </c>
      <c r="E149" s="116">
        <v>1743.5</v>
      </c>
      <c r="F149" s="116">
        <v>3507.75</v>
      </c>
      <c r="G149">
        <v>3207</v>
      </c>
      <c r="H149" s="116"/>
      <c r="I149" s="116"/>
      <c r="L149" s="170">
        <v>42216</v>
      </c>
      <c r="M149" s="116">
        <v>1761.15</v>
      </c>
      <c r="N149" s="116">
        <v>1782.5</v>
      </c>
      <c r="O149" s="116">
        <v>1726.5</v>
      </c>
      <c r="P149" s="116">
        <v>1782.5</v>
      </c>
      <c r="Q149" s="116">
        <v>3522.3</v>
      </c>
      <c r="R149">
        <v>18956</v>
      </c>
    </row>
    <row r="150" spans="1:18" x14ac:dyDescent="0.25">
      <c r="A150" s="170">
        <v>42219</v>
      </c>
      <c r="B150" s="116">
        <v>1831.5</v>
      </c>
      <c r="C150" s="116">
        <v>1791.15</v>
      </c>
      <c r="D150" s="116">
        <v>1739.2750000000001</v>
      </c>
      <c r="E150" s="116">
        <v>1754.9</v>
      </c>
      <c r="F150" s="116">
        <v>3582.3</v>
      </c>
      <c r="G150">
        <v>5967</v>
      </c>
      <c r="H150" s="116"/>
      <c r="I150" s="116"/>
      <c r="L150" s="170">
        <v>42219</v>
      </c>
      <c r="M150" s="116">
        <v>1796.25</v>
      </c>
      <c r="N150" s="116">
        <v>1837.5</v>
      </c>
      <c r="O150" s="116">
        <v>1735.55</v>
      </c>
      <c r="P150" s="116">
        <v>1745</v>
      </c>
      <c r="Q150" s="116">
        <v>3592.5</v>
      </c>
      <c r="R150">
        <v>29823</v>
      </c>
    </row>
    <row r="151" spans="1:18" x14ac:dyDescent="0.25">
      <c r="A151" s="170">
        <v>42220</v>
      </c>
      <c r="B151" s="116">
        <v>1851</v>
      </c>
      <c r="C151" s="116">
        <v>1841.1</v>
      </c>
      <c r="D151" s="116">
        <v>1765.8</v>
      </c>
      <c r="E151" s="116">
        <v>1798.625</v>
      </c>
      <c r="F151" s="116">
        <v>3682.2</v>
      </c>
      <c r="G151">
        <v>6937</v>
      </c>
      <c r="H151" s="116"/>
      <c r="I151" s="116"/>
      <c r="L151" s="170">
        <v>42220</v>
      </c>
      <c r="M151" s="116">
        <v>1847.45</v>
      </c>
      <c r="N151" s="116">
        <v>1862.5</v>
      </c>
      <c r="O151" s="116">
        <v>1763.55</v>
      </c>
      <c r="P151" s="116">
        <v>1811</v>
      </c>
      <c r="Q151" s="116">
        <v>3694.9</v>
      </c>
      <c r="R151">
        <v>30037</v>
      </c>
    </row>
    <row r="152" spans="1:18" x14ac:dyDescent="0.25">
      <c r="A152" s="170">
        <v>42221</v>
      </c>
      <c r="B152" s="116">
        <v>1912.5</v>
      </c>
      <c r="C152" s="116">
        <v>1873.05</v>
      </c>
      <c r="D152" s="116">
        <v>1848.65</v>
      </c>
      <c r="E152" s="116">
        <v>1851</v>
      </c>
      <c r="F152" s="116">
        <v>3746.1</v>
      </c>
      <c r="G152">
        <v>8805</v>
      </c>
      <c r="H152" s="116"/>
      <c r="I152" s="116"/>
      <c r="L152" s="170">
        <v>42221</v>
      </c>
      <c r="M152" s="116">
        <v>1877.0250000000001</v>
      </c>
      <c r="N152" s="116">
        <v>1912.5</v>
      </c>
      <c r="O152" s="116">
        <v>1835.075</v>
      </c>
      <c r="P152" s="116">
        <v>1847.5</v>
      </c>
      <c r="Q152" s="116">
        <v>3754.05</v>
      </c>
      <c r="R152">
        <v>17112</v>
      </c>
    </row>
    <row r="153" spans="1:18" x14ac:dyDescent="0.25">
      <c r="A153" s="170">
        <v>42222</v>
      </c>
      <c r="B153" s="116">
        <v>1890.9</v>
      </c>
      <c r="C153" s="116">
        <v>1857.875</v>
      </c>
      <c r="D153" s="116">
        <v>1850.4</v>
      </c>
      <c r="E153" s="116">
        <v>1860</v>
      </c>
      <c r="F153" s="116">
        <v>3715.75</v>
      </c>
      <c r="G153">
        <v>1174</v>
      </c>
      <c r="H153" s="116"/>
      <c r="I153" s="116"/>
      <c r="L153" s="170">
        <v>42222</v>
      </c>
      <c r="M153" s="116">
        <v>1865.2750000000001</v>
      </c>
      <c r="N153" s="116">
        <v>1889.2249999999999</v>
      </c>
      <c r="O153" s="116">
        <v>1850</v>
      </c>
      <c r="P153" s="116">
        <v>1882.5</v>
      </c>
      <c r="Q153" s="116">
        <v>3730.55</v>
      </c>
      <c r="R153">
        <v>6239</v>
      </c>
    </row>
    <row r="154" spans="1:18" x14ac:dyDescent="0.25">
      <c r="A154" s="170">
        <v>42223</v>
      </c>
      <c r="B154" s="116">
        <v>1857</v>
      </c>
      <c r="C154" s="116">
        <v>1831.3</v>
      </c>
      <c r="D154" s="116">
        <v>1827.5</v>
      </c>
      <c r="E154" s="116">
        <v>1855</v>
      </c>
      <c r="F154" s="116">
        <v>3662.6</v>
      </c>
      <c r="G154">
        <v>2132</v>
      </c>
      <c r="H154" s="116"/>
      <c r="I154" s="116"/>
      <c r="L154" s="170">
        <v>42223</v>
      </c>
      <c r="M154" s="116">
        <v>1834.925</v>
      </c>
      <c r="N154" s="116">
        <v>1865.0250000000001</v>
      </c>
      <c r="O154" s="116">
        <v>1829.075</v>
      </c>
      <c r="P154" s="116">
        <v>1853</v>
      </c>
      <c r="Q154" s="116">
        <v>3669.85</v>
      </c>
      <c r="R154">
        <v>12326</v>
      </c>
    </row>
    <row r="155" spans="1:18" x14ac:dyDescent="0.25">
      <c r="A155" s="170">
        <v>42226</v>
      </c>
      <c r="B155" s="116">
        <v>1860</v>
      </c>
      <c r="C155" s="116">
        <v>1800.45</v>
      </c>
      <c r="D155" s="116">
        <v>1789.425</v>
      </c>
      <c r="E155" s="116">
        <v>1856.5250000000001</v>
      </c>
      <c r="F155" s="116">
        <v>3600.9</v>
      </c>
      <c r="G155">
        <v>3816</v>
      </c>
      <c r="H155" s="116"/>
      <c r="I155" s="116"/>
      <c r="L155" s="170">
        <v>42226</v>
      </c>
      <c r="M155" s="116">
        <v>1808.45</v>
      </c>
      <c r="N155" s="116">
        <v>1860</v>
      </c>
      <c r="O155" s="116">
        <v>1788.45</v>
      </c>
      <c r="P155" s="116">
        <v>1830.5</v>
      </c>
      <c r="Q155" s="116">
        <v>3616.9</v>
      </c>
      <c r="R155">
        <v>16114</v>
      </c>
    </row>
    <row r="156" spans="1:18" x14ac:dyDescent="0.25">
      <c r="A156" s="170">
        <v>42227</v>
      </c>
      <c r="B156" s="116">
        <v>1824.625</v>
      </c>
      <c r="C156" s="116">
        <v>1806</v>
      </c>
      <c r="D156" s="116">
        <v>1787.75</v>
      </c>
      <c r="E156" s="116">
        <v>1813.2249999999999</v>
      </c>
      <c r="F156" s="116">
        <v>3612</v>
      </c>
      <c r="G156">
        <v>763</v>
      </c>
      <c r="H156" s="116"/>
      <c r="I156" s="116"/>
      <c r="L156" s="170">
        <v>42227</v>
      </c>
      <c r="M156" s="116">
        <v>1806.2</v>
      </c>
      <c r="N156" s="116">
        <v>1825.925</v>
      </c>
      <c r="O156" s="116">
        <v>1787</v>
      </c>
      <c r="P156" s="116">
        <v>1825.925</v>
      </c>
      <c r="Q156" s="116">
        <v>3612.4</v>
      </c>
      <c r="R156">
        <v>5627</v>
      </c>
    </row>
    <row r="157" spans="1:18" x14ac:dyDescent="0.25">
      <c r="A157" s="170">
        <v>42228</v>
      </c>
      <c r="B157" s="116">
        <v>1825.4749999999999</v>
      </c>
      <c r="C157" s="116">
        <v>1801.75</v>
      </c>
      <c r="D157" s="116">
        <v>1785.3</v>
      </c>
      <c r="E157" s="116">
        <v>1793.8</v>
      </c>
      <c r="F157" s="116">
        <v>3603.5</v>
      </c>
      <c r="G157">
        <v>1409</v>
      </c>
      <c r="H157" s="116"/>
      <c r="I157" s="116"/>
      <c r="L157" s="170">
        <v>42228</v>
      </c>
      <c r="M157" s="116">
        <v>1813.45</v>
      </c>
      <c r="N157" s="116">
        <v>1832.5</v>
      </c>
      <c r="O157" s="116">
        <v>1790.05</v>
      </c>
      <c r="P157" s="116">
        <v>1806.2</v>
      </c>
      <c r="Q157" s="116">
        <v>3626.9</v>
      </c>
      <c r="R157">
        <v>5447</v>
      </c>
    </row>
    <row r="158" spans="1:18" x14ac:dyDescent="0.25">
      <c r="A158" s="170">
        <v>42229</v>
      </c>
      <c r="B158" s="116">
        <v>1816.15</v>
      </c>
      <c r="C158" s="116">
        <v>1802.35</v>
      </c>
      <c r="D158" s="116">
        <v>1795</v>
      </c>
      <c r="E158" s="116">
        <v>1814.9</v>
      </c>
      <c r="F158" s="116">
        <v>3604.7</v>
      </c>
      <c r="G158">
        <v>1736</v>
      </c>
      <c r="H158" s="116"/>
      <c r="I158" s="116"/>
      <c r="L158" s="170">
        <v>42229</v>
      </c>
      <c r="M158" s="116">
        <v>1801.375</v>
      </c>
      <c r="N158" s="116">
        <v>1822.5</v>
      </c>
      <c r="O158" s="116">
        <v>1795</v>
      </c>
      <c r="P158" s="116">
        <v>1808.4749999999999</v>
      </c>
      <c r="Q158" s="116">
        <v>3602.75</v>
      </c>
      <c r="R158">
        <v>7160</v>
      </c>
    </row>
    <row r="159" spans="1:18" x14ac:dyDescent="0.25">
      <c r="A159" s="170">
        <v>42230</v>
      </c>
      <c r="B159" s="116">
        <v>1851.4</v>
      </c>
      <c r="C159" s="116">
        <v>1847.3</v>
      </c>
      <c r="D159" s="116">
        <v>1800.5</v>
      </c>
      <c r="E159" s="116">
        <v>1812.5</v>
      </c>
      <c r="F159" s="116">
        <v>3694.6</v>
      </c>
      <c r="G159">
        <v>3767</v>
      </c>
      <c r="H159" s="116"/>
      <c r="I159" s="116"/>
      <c r="L159" s="170">
        <v>42230</v>
      </c>
      <c r="M159" s="116">
        <v>1839.85</v>
      </c>
      <c r="N159" s="116">
        <v>1854.9749999999999</v>
      </c>
      <c r="O159" s="116">
        <v>1799.5</v>
      </c>
      <c r="P159" s="116">
        <v>1800.175</v>
      </c>
      <c r="Q159" s="116">
        <v>3679.7</v>
      </c>
      <c r="R159">
        <v>9569</v>
      </c>
    </row>
    <row r="160" spans="1:18" x14ac:dyDescent="0.25">
      <c r="A160" s="170">
        <v>42233</v>
      </c>
      <c r="B160" s="116">
        <v>1840</v>
      </c>
      <c r="C160" s="116">
        <v>1822.35</v>
      </c>
      <c r="D160" s="116">
        <v>1803.95</v>
      </c>
      <c r="E160" s="116">
        <v>1840</v>
      </c>
      <c r="F160" s="116">
        <v>3644.7</v>
      </c>
      <c r="G160">
        <v>2401</v>
      </c>
      <c r="H160" s="116"/>
      <c r="I160" s="116"/>
      <c r="L160" s="170">
        <v>42233</v>
      </c>
      <c r="M160" s="116">
        <v>1826.05</v>
      </c>
      <c r="N160" s="116">
        <v>1837.5</v>
      </c>
      <c r="O160" s="116">
        <v>1804.4749999999999</v>
      </c>
      <c r="P160" s="116">
        <v>1829.675</v>
      </c>
      <c r="Q160" s="116">
        <v>3652.1</v>
      </c>
      <c r="R160">
        <v>5740</v>
      </c>
    </row>
    <row r="161" spans="1:18" x14ac:dyDescent="0.25">
      <c r="A161" s="170">
        <v>42234</v>
      </c>
      <c r="B161" s="116">
        <v>1844</v>
      </c>
      <c r="C161" s="116">
        <v>1824.3</v>
      </c>
      <c r="D161" s="116">
        <v>1810</v>
      </c>
      <c r="E161" s="116">
        <v>1821.6</v>
      </c>
      <c r="F161" s="116">
        <v>3648.6</v>
      </c>
      <c r="G161">
        <v>924</v>
      </c>
      <c r="H161" s="116"/>
      <c r="I161" s="116"/>
      <c r="L161" s="170">
        <v>42234</v>
      </c>
      <c r="M161" s="116">
        <v>1832.3</v>
      </c>
      <c r="N161" s="116">
        <v>1842.45</v>
      </c>
      <c r="O161" s="116">
        <v>1826.0250000000001</v>
      </c>
      <c r="P161" s="116">
        <v>1826.0250000000001</v>
      </c>
      <c r="Q161" s="116">
        <v>3664.6</v>
      </c>
      <c r="R161">
        <v>3456</v>
      </c>
    </row>
    <row r="162" spans="1:18" x14ac:dyDescent="0.25">
      <c r="A162" s="170">
        <v>42235</v>
      </c>
      <c r="B162" s="116">
        <v>1845.1</v>
      </c>
      <c r="C162" s="116">
        <v>1811.6</v>
      </c>
      <c r="D162" s="116">
        <v>1800.5</v>
      </c>
      <c r="E162" s="116">
        <v>1831.65</v>
      </c>
      <c r="F162" s="116">
        <v>3623.2</v>
      </c>
      <c r="G162">
        <v>2526</v>
      </c>
      <c r="H162" s="116"/>
      <c r="I162" s="116"/>
      <c r="L162" s="170">
        <v>42235</v>
      </c>
      <c r="M162" s="116">
        <v>1810.075</v>
      </c>
      <c r="N162" s="116">
        <v>1849</v>
      </c>
      <c r="O162" s="116">
        <v>1800.575</v>
      </c>
      <c r="P162" s="116">
        <v>1835</v>
      </c>
      <c r="Q162" s="116">
        <v>3620.15</v>
      </c>
      <c r="R162">
        <v>11968</v>
      </c>
    </row>
    <row r="163" spans="1:18" x14ac:dyDescent="0.25">
      <c r="A163" s="170">
        <v>42236</v>
      </c>
      <c r="B163" s="116">
        <v>1830</v>
      </c>
      <c r="C163" s="116">
        <v>1798.425</v>
      </c>
      <c r="D163" s="116">
        <v>1785</v>
      </c>
      <c r="E163" s="116">
        <v>1828.55</v>
      </c>
      <c r="F163" s="116">
        <v>3596.85</v>
      </c>
      <c r="G163">
        <v>2402</v>
      </c>
      <c r="H163" s="116"/>
      <c r="I163" s="116"/>
      <c r="L163" s="170">
        <v>42236</v>
      </c>
      <c r="M163" s="116">
        <v>1802.075</v>
      </c>
      <c r="N163" s="116">
        <v>1832.75</v>
      </c>
      <c r="O163" s="116">
        <v>1795</v>
      </c>
      <c r="P163" s="116">
        <v>1816</v>
      </c>
      <c r="Q163" s="116">
        <v>3604.15</v>
      </c>
      <c r="R163">
        <v>5899</v>
      </c>
    </row>
    <row r="164" spans="1:18" x14ac:dyDescent="0.25">
      <c r="A164" s="170">
        <v>42237</v>
      </c>
      <c r="B164" s="116">
        <v>1807.925</v>
      </c>
      <c r="C164" s="116">
        <v>1788.2750000000001</v>
      </c>
      <c r="D164" s="116">
        <v>1776</v>
      </c>
      <c r="E164" s="116">
        <v>1787.5</v>
      </c>
      <c r="F164" s="116">
        <v>3576.55</v>
      </c>
      <c r="G164">
        <v>1484</v>
      </c>
      <c r="H164" s="116"/>
      <c r="I164" s="116"/>
      <c r="L164" s="170">
        <v>42237</v>
      </c>
      <c r="M164" s="116">
        <v>1793.9749999999999</v>
      </c>
      <c r="N164" s="116">
        <v>1811</v>
      </c>
      <c r="O164" s="116">
        <v>1775</v>
      </c>
      <c r="P164" s="116">
        <v>1793.425</v>
      </c>
      <c r="Q164" s="116">
        <v>3587.95</v>
      </c>
      <c r="R164">
        <v>6546</v>
      </c>
    </row>
    <row r="165" spans="1:18" x14ac:dyDescent="0.25">
      <c r="A165" s="170">
        <v>42240</v>
      </c>
      <c r="B165" s="116">
        <v>1769</v>
      </c>
      <c r="C165" s="116">
        <v>1705.175</v>
      </c>
      <c r="D165" s="116">
        <v>1688.8</v>
      </c>
      <c r="E165" s="116">
        <v>1769</v>
      </c>
      <c r="F165" s="116">
        <v>3410.35</v>
      </c>
      <c r="G165">
        <v>6440</v>
      </c>
      <c r="H165" s="116"/>
      <c r="I165" s="116"/>
      <c r="L165" s="170">
        <v>42240</v>
      </c>
      <c r="M165" s="116">
        <v>1704.55</v>
      </c>
      <c r="N165" s="116">
        <v>1768.9749999999999</v>
      </c>
      <c r="O165" s="116">
        <v>1688.5</v>
      </c>
      <c r="P165" s="116">
        <v>1759</v>
      </c>
      <c r="Q165" s="116">
        <v>3409.1</v>
      </c>
      <c r="R165">
        <v>14814</v>
      </c>
    </row>
    <row r="166" spans="1:18" x14ac:dyDescent="0.25">
      <c r="A166" s="170">
        <v>42241</v>
      </c>
      <c r="B166" s="116">
        <v>1727.9</v>
      </c>
      <c r="C166" s="116">
        <v>1677.325</v>
      </c>
      <c r="D166" s="116">
        <v>1655</v>
      </c>
      <c r="E166" s="116">
        <v>1724.9749999999999</v>
      </c>
      <c r="F166" s="116">
        <v>3354.65</v>
      </c>
      <c r="G166">
        <v>3067</v>
      </c>
      <c r="H166" s="116"/>
      <c r="I166" s="116"/>
      <c r="L166" s="170">
        <v>42241</v>
      </c>
      <c r="M166" s="116">
        <v>1691.125</v>
      </c>
      <c r="N166" s="116">
        <v>1749.5</v>
      </c>
      <c r="O166" s="116">
        <v>1652.5</v>
      </c>
      <c r="P166" s="116">
        <v>1725</v>
      </c>
      <c r="Q166" s="116">
        <v>3382.25</v>
      </c>
      <c r="R166">
        <v>12066</v>
      </c>
    </row>
    <row r="167" spans="1:18" x14ac:dyDescent="0.25">
      <c r="A167" s="170">
        <v>42242</v>
      </c>
      <c r="B167" s="116">
        <v>1709</v>
      </c>
      <c r="C167" s="116">
        <v>1686.5250000000001</v>
      </c>
      <c r="D167" s="116">
        <v>1666.5</v>
      </c>
      <c r="E167" s="116">
        <v>1693.15</v>
      </c>
      <c r="F167" s="116">
        <v>3373.05</v>
      </c>
      <c r="G167">
        <v>973</v>
      </c>
      <c r="H167" s="116"/>
      <c r="I167" s="116"/>
      <c r="L167" s="170">
        <v>42242</v>
      </c>
      <c r="M167" s="116">
        <v>1688.75</v>
      </c>
      <c r="N167" s="116">
        <v>1725</v>
      </c>
      <c r="O167" s="116">
        <v>1668.7750000000001</v>
      </c>
      <c r="P167" s="116">
        <v>1725</v>
      </c>
      <c r="Q167" s="116">
        <v>3377.5</v>
      </c>
      <c r="R167">
        <v>6078</v>
      </c>
    </row>
    <row r="168" spans="1:18" x14ac:dyDescent="0.25">
      <c r="A168" s="170">
        <v>42243</v>
      </c>
      <c r="B168" s="116">
        <v>1707.5</v>
      </c>
      <c r="C168" s="116">
        <v>1679.45</v>
      </c>
      <c r="D168" s="116">
        <v>1672.625</v>
      </c>
      <c r="E168" s="116">
        <v>1694.95</v>
      </c>
      <c r="F168" s="116">
        <v>3358.9</v>
      </c>
      <c r="G168">
        <v>1235</v>
      </c>
      <c r="H168" s="116"/>
      <c r="I168" s="116"/>
      <c r="L168" s="170">
        <v>42243</v>
      </c>
      <c r="M168" s="116">
        <v>1685.4</v>
      </c>
      <c r="N168" s="116">
        <v>1720</v>
      </c>
      <c r="O168" s="116">
        <v>1663.5</v>
      </c>
      <c r="P168" s="116">
        <v>1700.0250000000001</v>
      </c>
      <c r="Q168" s="116">
        <v>3370.8</v>
      </c>
      <c r="R168">
        <v>10795</v>
      </c>
    </row>
    <row r="169" spans="1:18" x14ac:dyDescent="0.25">
      <c r="A169" s="170">
        <v>42244</v>
      </c>
      <c r="B169" s="116">
        <v>1714.075</v>
      </c>
      <c r="C169" s="116">
        <v>1687.675</v>
      </c>
      <c r="D169" s="116">
        <v>1677.0250000000001</v>
      </c>
      <c r="E169" s="116">
        <v>1677.0250000000001</v>
      </c>
      <c r="F169" s="116">
        <v>3375.35</v>
      </c>
      <c r="G169">
        <v>2496</v>
      </c>
      <c r="H169" s="116"/>
      <c r="I169" s="116"/>
      <c r="L169" s="170">
        <v>42244</v>
      </c>
      <c r="M169" s="116">
        <v>1696.7249999999999</v>
      </c>
      <c r="N169" s="116">
        <v>1712.75</v>
      </c>
      <c r="O169" s="116">
        <v>1683.0250000000001</v>
      </c>
      <c r="P169" s="116">
        <v>1685.4</v>
      </c>
      <c r="Q169" s="116">
        <v>3393.45</v>
      </c>
      <c r="R169">
        <v>8242</v>
      </c>
    </row>
    <row r="170" spans="1:18" x14ac:dyDescent="0.25">
      <c r="A170" s="170">
        <v>42247</v>
      </c>
      <c r="B170" s="116">
        <v>1715</v>
      </c>
      <c r="C170" s="116">
        <v>1691.8</v>
      </c>
      <c r="D170" s="116">
        <v>1671.0250000000001</v>
      </c>
      <c r="E170" s="116">
        <v>1671.0250000000001</v>
      </c>
      <c r="F170" s="116">
        <v>3383.6</v>
      </c>
      <c r="G170">
        <v>2273</v>
      </c>
      <c r="H170" s="116"/>
      <c r="I170" s="116"/>
      <c r="L170" s="170">
        <v>42247</v>
      </c>
      <c r="M170" s="116">
        <v>1698.625</v>
      </c>
      <c r="N170" s="116">
        <v>1721.5</v>
      </c>
      <c r="O170" s="116">
        <v>1675.0250000000001</v>
      </c>
      <c r="P170" s="116">
        <v>1675.0250000000001</v>
      </c>
      <c r="Q170" s="116">
        <v>3397.25</v>
      </c>
      <c r="R170">
        <v>7579</v>
      </c>
    </row>
    <row r="171" spans="1:18" x14ac:dyDescent="0.25">
      <c r="A171" s="170">
        <v>42248</v>
      </c>
      <c r="B171" s="116">
        <v>1726.625</v>
      </c>
      <c r="C171" s="116">
        <v>1688.575</v>
      </c>
      <c r="D171" s="116">
        <v>1670</v>
      </c>
      <c r="E171" s="116">
        <v>1675</v>
      </c>
      <c r="F171" s="116">
        <v>3377.15</v>
      </c>
      <c r="G171">
        <v>4280</v>
      </c>
      <c r="H171" s="116"/>
      <c r="I171" s="116"/>
      <c r="L171" s="170">
        <v>42248</v>
      </c>
      <c r="M171" s="116">
        <v>1689.75</v>
      </c>
      <c r="N171" s="116">
        <v>1737.4749999999999</v>
      </c>
      <c r="O171" s="116">
        <v>1665.7750000000001</v>
      </c>
      <c r="P171" s="116">
        <v>1685.0250000000001</v>
      </c>
      <c r="Q171" s="116">
        <v>3379.5</v>
      </c>
      <c r="R171">
        <v>18222</v>
      </c>
    </row>
    <row r="172" spans="1:18" x14ac:dyDescent="0.25">
      <c r="A172" s="170">
        <v>42249</v>
      </c>
      <c r="B172" s="116">
        <v>1713.35</v>
      </c>
      <c r="C172" s="116">
        <v>1684.4</v>
      </c>
      <c r="D172" s="116">
        <v>1675</v>
      </c>
      <c r="E172" s="116">
        <v>1704.25</v>
      </c>
      <c r="F172" s="116">
        <v>3368.8</v>
      </c>
      <c r="G172">
        <v>607</v>
      </c>
      <c r="H172" s="116"/>
      <c r="I172" s="116"/>
      <c r="L172" s="170">
        <v>42249</v>
      </c>
      <c r="M172" s="116">
        <v>1683.125</v>
      </c>
      <c r="N172" s="116">
        <v>1742</v>
      </c>
      <c r="O172" s="116">
        <v>1670</v>
      </c>
      <c r="P172" s="116">
        <v>1742</v>
      </c>
      <c r="Q172" s="116">
        <v>3366.25</v>
      </c>
      <c r="R172">
        <v>19023</v>
      </c>
    </row>
    <row r="173" spans="1:18" x14ac:dyDescent="0.25">
      <c r="A173" s="170">
        <v>42250</v>
      </c>
      <c r="B173" s="116">
        <v>1695.825</v>
      </c>
      <c r="C173" s="116">
        <v>1686.7249999999999</v>
      </c>
      <c r="D173" s="116">
        <v>1680.5</v>
      </c>
      <c r="E173" s="116">
        <v>1695.4749999999999</v>
      </c>
      <c r="F173" s="116">
        <v>3373.45</v>
      </c>
      <c r="G173">
        <v>3160</v>
      </c>
      <c r="H173" s="116"/>
      <c r="I173" s="116"/>
      <c r="L173" s="170">
        <v>42250</v>
      </c>
      <c r="M173" s="116">
        <v>1694.6</v>
      </c>
      <c r="N173" s="116">
        <v>1701.5</v>
      </c>
      <c r="O173" s="116">
        <v>1677.75</v>
      </c>
      <c r="P173" s="116">
        <v>1694.95</v>
      </c>
      <c r="Q173" s="116">
        <v>3389.2</v>
      </c>
      <c r="R173">
        <v>7986</v>
      </c>
    </row>
    <row r="174" spans="1:18" x14ac:dyDescent="0.25">
      <c r="A174" s="170">
        <v>42251</v>
      </c>
      <c r="B174" s="116">
        <v>1692.425</v>
      </c>
      <c r="C174" s="116">
        <v>1682.075</v>
      </c>
      <c r="D174" s="116">
        <v>1675</v>
      </c>
      <c r="E174" s="116">
        <v>1687.5</v>
      </c>
      <c r="F174" s="116">
        <v>3364.15</v>
      </c>
      <c r="G174">
        <v>2187</v>
      </c>
      <c r="H174" s="116"/>
      <c r="I174" s="116"/>
      <c r="L174" s="170">
        <v>42251</v>
      </c>
      <c r="M174" s="116">
        <v>1684.3</v>
      </c>
      <c r="N174" s="116">
        <v>1697.5</v>
      </c>
      <c r="O174" s="116">
        <v>1673.5250000000001</v>
      </c>
      <c r="P174" s="116">
        <v>1694</v>
      </c>
      <c r="Q174" s="116">
        <v>3368.6</v>
      </c>
      <c r="R174">
        <v>8036</v>
      </c>
    </row>
    <row r="175" spans="1:18" x14ac:dyDescent="0.25">
      <c r="A175" s="170">
        <v>42254</v>
      </c>
      <c r="B175" s="116">
        <v>1690.1</v>
      </c>
      <c r="C175" s="116">
        <v>1668.325</v>
      </c>
      <c r="D175" s="116">
        <v>1665</v>
      </c>
      <c r="E175" s="116">
        <v>1690.0250000000001</v>
      </c>
      <c r="F175" s="116">
        <v>3336.65</v>
      </c>
      <c r="G175">
        <v>1588</v>
      </c>
      <c r="H175" s="116"/>
      <c r="I175" s="116"/>
      <c r="L175" s="170">
        <v>42254</v>
      </c>
      <c r="M175" s="116">
        <v>1672.5250000000001</v>
      </c>
      <c r="N175" s="116">
        <v>1695.7249999999999</v>
      </c>
      <c r="O175" s="116">
        <v>1665.2</v>
      </c>
      <c r="P175" s="116">
        <v>1680</v>
      </c>
      <c r="Q175" s="116">
        <v>3345.05</v>
      </c>
      <c r="R175">
        <v>3976</v>
      </c>
    </row>
    <row r="176" spans="1:18" x14ac:dyDescent="0.25">
      <c r="A176" s="170">
        <v>42255</v>
      </c>
      <c r="B176" s="116">
        <v>1674</v>
      </c>
      <c r="C176" s="116">
        <v>1656.7</v>
      </c>
      <c r="D176" s="116">
        <v>1631</v>
      </c>
      <c r="E176" s="116">
        <v>1660</v>
      </c>
      <c r="F176" s="116">
        <v>3313.4</v>
      </c>
      <c r="G176">
        <v>1602</v>
      </c>
      <c r="H176" s="116"/>
      <c r="I176" s="116"/>
      <c r="L176" s="170">
        <v>42255</v>
      </c>
      <c r="M176" s="116">
        <v>1661.55</v>
      </c>
      <c r="N176" s="116">
        <v>1684.9749999999999</v>
      </c>
      <c r="O176" s="116">
        <v>1632.9749999999999</v>
      </c>
      <c r="P176" s="116">
        <v>1649</v>
      </c>
      <c r="Q176" s="116">
        <v>3323.1</v>
      </c>
      <c r="R176">
        <v>6039</v>
      </c>
    </row>
    <row r="177" spans="1:18" x14ac:dyDescent="0.25">
      <c r="A177" s="170">
        <v>42256</v>
      </c>
      <c r="B177" s="116">
        <v>1679.925</v>
      </c>
      <c r="C177" s="116">
        <v>1658.0250000000001</v>
      </c>
      <c r="D177" s="116">
        <v>1649</v>
      </c>
      <c r="E177" s="116">
        <v>1679.925</v>
      </c>
      <c r="F177" s="116">
        <v>3316.05</v>
      </c>
      <c r="G177">
        <v>2854</v>
      </c>
      <c r="H177" s="116"/>
      <c r="I177" s="116"/>
      <c r="L177" s="170">
        <v>42256</v>
      </c>
      <c r="M177" s="116">
        <v>1659.925</v>
      </c>
      <c r="N177" s="116">
        <v>1679.7249999999999</v>
      </c>
      <c r="O177" s="116">
        <v>1646.45</v>
      </c>
      <c r="P177" s="116">
        <v>1667.55</v>
      </c>
      <c r="Q177" s="116">
        <v>3319.85</v>
      </c>
      <c r="R177">
        <v>6646</v>
      </c>
    </row>
    <row r="178" spans="1:18" x14ac:dyDescent="0.25">
      <c r="A178" s="170">
        <v>42257</v>
      </c>
      <c r="B178" s="116">
        <v>1694.575</v>
      </c>
      <c r="C178" s="116">
        <v>1672.05</v>
      </c>
      <c r="D178" s="116">
        <v>1651.05</v>
      </c>
      <c r="E178" s="116">
        <v>1658</v>
      </c>
      <c r="F178" s="116">
        <v>3344.1</v>
      </c>
      <c r="G178">
        <v>1506</v>
      </c>
      <c r="H178" s="116"/>
      <c r="I178" s="116"/>
      <c r="L178" s="170">
        <v>42257</v>
      </c>
      <c r="M178" s="116">
        <v>1675.45</v>
      </c>
      <c r="N178" s="116">
        <v>1697</v>
      </c>
      <c r="O178" s="116">
        <v>1650</v>
      </c>
      <c r="P178" s="116">
        <v>1659.5</v>
      </c>
      <c r="Q178" s="116">
        <v>3350.9</v>
      </c>
      <c r="R178">
        <v>13155</v>
      </c>
    </row>
    <row r="179" spans="1:18" x14ac:dyDescent="0.25">
      <c r="A179" s="170">
        <v>42258</v>
      </c>
      <c r="B179" s="116">
        <v>1688.9749999999999</v>
      </c>
      <c r="C179" s="116">
        <v>1672.5</v>
      </c>
      <c r="D179" s="116">
        <v>1663</v>
      </c>
      <c r="E179" s="116">
        <v>1669.35</v>
      </c>
      <c r="F179" s="116">
        <v>3345</v>
      </c>
      <c r="G179">
        <v>2534</v>
      </c>
      <c r="H179" s="116"/>
      <c r="I179" s="116"/>
      <c r="L179" s="170">
        <v>42258</v>
      </c>
      <c r="M179" s="116">
        <v>1666.875</v>
      </c>
      <c r="N179" s="116">
        <v>1694.9749999999999</v>
      </c>
      <c r="O179" s="116">
        <v>1657.6</v>
      </c>
      <c r="P179" s="116">
        <v>1657.6</v>
      </c>
      <c r="Q179" s="116">
        <v>3333.75</v>
      </c>
      <c r="R179">
        <v>14382</v>
      </c>
    </row>
    <row r="180" spans="1:18" x14ac:dyDescent="0.25">
      <c r="A180" s="170">
        <v>42261</v>
      </c>
      <c r="B180" s="116">
        <v>1682</v>
      </c>
      <c r="C180" s="116">
        <v>1662.5</v>
      </c>
      <c r="D180" s="116">
        <v>1651.2750000000001</v>
      </c>
      <c r="E180" s="116">
        <v>1676.0250000000001</v>
      </c>
      <c r="F180" s="116">
        <v>3325</v>
      </c>
      <c r="G180">
        <v>2910</v>
      </c>
      <c r="H180" s="116"/>
      <c r="I180" s="116"/>
      <c r="L180" s="170">
        <v>42261</v>
      </c>
      <c r="M180" s="116">
        <v>1663.5</v>
      </c>
      <c r="N180" s="116">
        <v>1685</v>
      </c>
      <c r="O180" s="116">
        <v>1652.5</v>
      </c>
      <c r="P180" s="116">
        <v>1682.5</v>
      </c>
      <c r="Q180" s="116">
        <v>3327</v>
      </c>
      <c r="R180">
        <v>6301</v>
      </c>
    </row>
    <row r="181" spans="1:18" x14ac:dyDescent="0.25">
      <c r="A181" s="170">
        <v>42262</v>
      </c>
      <c r="B181" s="116">
        <v>1676</v>
      </c>
      <c r="C181" s="116">
        <v>1662.5</v>
      </c>
      <c r="D181" s="116">
        <v>1651</v>
      </c>
      <c r="E181" s="116">
        <v>1670</v>
      </c>
      <c r="F181" s="116">
        <v>3325</v>
      </c>
      <c r="G181">
        <v>1070</v>
      </c>
      <c r="H181" s="116"/>
      <c r="I181" s="116"/>
      <c r="L181" s="170">
        <v>42262</v>
      </c>
      <c r="M181" s="116">
        <v>1662.75</v>
      </c>
      <c r="N181" s="116">
        <v>1679.5</v>
      </c>
      <c r="O181" s="116">
        <v>1650.5</v>
      </c>
      <c r="P181" s="116">
        <v>1663.5</v>
      </c>
      <c r="Q181" s="116">
        <v>3325.5</v>
      </c>
      <c r="R181">
        <v>9128</v>
      </c>
    </row>
    <row r="182" spans="1:18" x14ac:dyDescent="0.25">
      <c r="A182" s="170">
        <v>42263</v>
      </c>
      <c r="B182" s="116">
        <v>1671.2750000000001</v>
      </c>
      <c r="C182" s="116">
        <v>1653.7249999999999</v>
      </c>
      <c r="D182" s="116">
        <v>1650</v>
      </c>
      <c r="E182" s="116">
        <v>1664.375</v>
      </c>
      <c r="F182" s="116">
        <v>3307.45</v>
      </c>
      <c r="G182">
        <v>957</v>
      </c>
      <c r="H182" s="116"/>
      <c r="I182" s="116"/>
      <c r="L182" s="170">
        <v>42263</v>
      </c>
      <c r="M182" s="116">
        <v>1660.7750000000001</v>
      </c>
      <c r="N182" s="116">
        <v>1672.425</v>
      </c>
      <c r="O182" s="116">
        <v>1651</v>
      </c>
      <c r="P182" s="116">
        <v>1665.075</v>
      </c>
      <c r="Q182" s="116">
        <v>3321.55</v>
      </c>
      <c r="R182">
        <v>4407</v>
      </c>
    </row>
    <row r="183" spans="1:18" x14ac:dyDescent="0.25">
      <c r="A183" s="170">
        <v>42265</v>
      </c>
      <c r="B183" s="116">
        <v>1675.625</v>
      </c>
      <c r="C183" s="116">
        <v>1668.55</v>
      </c>
      <c r="D183" s="116">
        <v>1654.5</v>
      </c>
      <c r="E183" s="116">
        <v>1675.625</v>
      </c>
      <c r="F183" s="116">
        <v>3337.1</v>
      </c>
      <c r="G183">
        <v>3011</v>
      </c>
      <c r="H183" s="116"/>
      <c r="I183" s="116"/>
      <c r="L183" s="170">
        <v>42265</v>
      </c>
      <c r="M183" s="116">
        <v>1674.65</v>
      </c>
      <c r="N183" s="116">
        <v>1682</v>
      </c>
      <c r="O183" s="116">
        <v>1652.8</v>
      </c>
      <c r="P183" s="116">
        <v>1682</v>
      </c>
      <c r="Q183" s="116">
        <v>3349.3</v>
      </c>
      <c r="R183">
        <v>26458</v>
      </c>
    </row>
    <row r="184" spans="1:18" x14ac:dyDescent="0.25">
      <c r="A184" s="170">
        <v>42268</v>
      </c>
      <c r="B184" s="116">
        <v>1687</v>
      </c>
      <c r="C184" s="116">
        <v>1673.675</v>
      </c>
      <c r="D184" s="116">
        <v>1651.875</v>
      </c>
      <c r="E184" s="116">
        <v>1651.875</v>
      </c>
      <c r="F184" s="116">
        <v>3347.35</v>
      </c>
      <c r="G184">
        <v>2084</v>
      </c>
      <c r="H184" s="116"/>
      <c r="I184" s="116"/>
      <c r="L184" s="170">
        <v>42268</v>
      </c>
      <c r="M184" s="116">
        <v>1674.25</v>
      </c>
      <c r="N184" s="116">
        <v>1692</v>
      </c>
      <c r="O184" s="116">
        <v>1659.425</v>
      </c>
      <c r="P184" s="116">
        <v>1673.9749999999999</v>
      </c>
      <c r="Q184" s="116">
        <v>3348.5</v>
      </c>
      <c r="R184">
        <v>6407</v>
      </c>
    </row>
    <row r="185" spans="1:18" x14ac:dyDescent="0.25">
      <c r="A185" s="170">
        <v>42269</v>
      </c>
      <c r="B185" s="116">
        <v>1687.2750000000001</v>
      </c>
      <c r="C185" s="116">
        <v>1676.65</v>
      </c>
      <c r="D185" s="116">
        <v>1670</v>
      </c>
      <c r="E185" s="116">
        <v>1682.075</v>
      </c>
      <c r="F185" s="116">
        <v>3353.3</v>
      </c>
      <c r="G185">
        <v>3329</v>
      </c>
      <c r="H185" s="116"/>
      <c r="I185" s="116"/>
      <c r="L185" s="170">
        <v>42269</v>
      </c>
      <c r="M185" s="116">
        <v>1673.825</v>
      </c>
      <c r="N185" s="116">
        <v>1687.5</v>
      </c>
      <c r="O185" s="116">
        <v>1665</v>
      </c>
      <c r="P185" s="116">
        <v>1686.5</v>
      </c>
      <c r="Q185" s="116">
        <v>3347.65</v>
      </c>
      <c r="R185">
        <v>4608</v>
      </c>
    </row>
    <row r="186" spans="1:18" x14ac:dyDescent="0.25">
      <c r="A186" s="170">
        <v>42270</v>
      </c>
      <c r="B186" s="116">
        <v>1687.25</v>
      </c>
      <c r="C186" s="116">
        <v>1672.2249999999999</v>
      </c>
      <c r="D186" s="116">
        <v>1665</v>
      </c>
      <c r="E186" s="116">
        <v>1677.5</v>
      </c>
      <c r="F186" s="116">
        <v>3344.45</v>
      </c>
      <c r="G186">
        <v>1777</v>
      </c>
      <c r="H186" s="116"/>
      <c r="I186" s="116"/>
      <c r="L186" s="170">
        <v>42270</v>
      </c>
      <c r="M186" s="116">
        <v>1673.4</v>
      </c>
      <c r="N186" s="116">
        <v>1692.5250000000001</v>
      </c>
      <c r="O186" s="116">
        <v>1665.5</v>
      </c>
      <c r="P186" s="116">
        <v>1683.4749999999999</v>
      </c>
      <c r="Q186" s="116">
        <v>3346.8</v>
      </c>
      <c r="R186">
        <v>6165</v>
      </c>
    </row>
    <row r="187" spans="1:18" x14ac:dyDescent="0.25">
      <c r="A187" s="170">
        <v>42271</v>
      </c>
      <c r="B187" s="116">
        <v>1691.625</v>
      </c>
      <c r="C187" s="116">
        <v>1683.825</v>
      </c>
      <c r="D187" s="116">
        <v>1665</v>
      </c>
      <c r="E187" s="116">
        <v>1674.9749999999999</v>
      </c>
      <c r="F187" s="116">
        <v>3367.65</v>
      </c>
      <c r="G187">
        <v>3144</v>
      </c>
      <c r="H187" s="116"/>
      <c r="I187" s="116"/>
      <c r="L187" s="170">
        <v>42271</v>
      </c>
      <c r="M187" s="116">
        <v>1685.7750000000001</v>
      </c>
      <c r="N187" s="116">
        <v>1704.4749999999999</v>
      </c>
      <c r="O187" s="116">
        <v>1661.2750000000001</v>
      </c>
      <c r="P187" s="116">
        <v>1661.2750000000001</v>
      </c>
      <c r="Q187" s="116">
        <v>3371.55</v>
      </c>
      <c r="R187">
        <v>10127</v>
      </c>
    </row>
    <row r="188" spans="1:18" x14ac:dyDescent="0.25">
      <c r="A188" s="170">
        <v>42275</v>
      </c>
      <c r="B188" s="116">
        <v>1678.7</v>
      </c>
      <c r="C188" s="116">
        <v>1655.8</v>
      </c>
      <c r="D188" s="116">
        <v>1640</v>
      </c>
      <c r="E188" s="116">
        <v>1675</v>
      </c>
      <c r="F188" s="116">
        <v>3311.6</v>
      </c>
      <c r="G188">
        <v>3366</v>
      </c>
      <c r="H188" s="116"/>
      <c r="I188" s="116"/>
      <c r="L188" s="170">
        <v>42275</v>
      </c>
      <c r="M188" s="116">
        <v>1658.7</v>
      </c>
      <c r="N188" s="116">
        <v>1699.925</v>
      </c>
      <c r="O188" s="116">
        <v>1655</v>
      </c>
      <c r="P188" s="116">
        <v>1699.925</v>
      </c>
      <c r="Q188" s="116">
        <v>3317.4</v>
      </c>
      <c r="R188">
        <v>10312</v>
      </c>
    </row>
    <row r="189" spans="1:18" x14ac:dyDescent="0.25">
      <c r="A189" s="170">
        <v>42276</v>
      </c>
      <c r="B189" s="116">
        <v>1683.65</v>
      </c>
      <c r="C189" s="116">
        <v>1656.2</v>
      </c>
      <c r="D189" s="116">
        <v>1651.45</v>
      </c>
      <c r="E189" s="116">
        <v>1658.2</v>
      </c>
      <c r="F189" s="116">
        <v>3312.4</v>
      </c>
      <c r="G189">
        <v>863</v>
      </c>
      <c r="H189" s="116"/>
      <c r="I189" s="116"/>
      <c r="L189" s="170">
        <v>42276</v>
      </c>
      <c r="M189" s="116">
        <v>1662.875</v>
      </c>
      <c r="N189" s="116">
        <v>1667.5</v>
      </c>
      <c r="O189" s="116">
        <v>1657.5</v>
      </c>
      <c r="P189" s="116">
        <v>1662.5</v>
      </c>
      <c r="Q189" s="116">
        <v>3325.75</v>
      </c>
      <c r="R189">
        <v>4595</v>
      </c>
    </row>
    <row r="190" spans="1:18" x14ac:dyDescent="0.25">
      <c r="A190" s="170">
        <v>42277</v>
      </c>
      <c r="B190" s="116">
        <v>1690</v>
      </c>
      <c r="C190" s="116">
        <v>1669.7</v>
      </c>
      <c r="D190" s="116">
        <v>1639.65</v>
      </c>
      <c r="E190" s="116">
        <v>1670.575</v>
      </c>
      <c r="F190" s="116">
        <v>3339.4</v>
      </c>
      <c r="G190">
        <v>2104</v>
      </c>
      <c r="H190" s="116"/>
      <c r="I190" s="116"/>
      <c r="L190" s="170">
        <v>42277</v>
      </c>
      <c r="M190" s="116">
        <v>1679.7750000000001</v>
      </c>
      <c r="N190" s="116">
        <v>1699</v>
      </c>
      <c r="O190" s="116">
        <v>1650.5</v>
      </c>
      <c r="P190" s="116">
        <v>1666.5250000000001</v>
      </c>
      <c r="Q190" s="116">
        <v>3359.55</v>
      </c>
      <c r="R190">
        <v>10565</v>
      </c>
    </row>
    <row r="191" spans="1:18" x14ac:dyDescent="0.25">
      <c r="A191" s="170">
        <v>42278</v>
      </c>
      <c r="B191" s="116">
        <v>1689</v>
      </c>
      <c r="C191" s="116">
        <v>1669.7750000000001</v>
      </c>
      <c r="D191" s="116">
        <v>1661.45</v>
      </c>
      <c r="E191" s="116">
        <v>1676.2</v>
      </c>
      <c r="F191" s="116">
        <v>3339.55</v>
      </c>
      <c r="G191">
        <v>1608</v>
      </c>
      <c r="H191" s="116"/>
      <c r="I191" s="116"/>
      <c r="L191" s="170">
        <v>42278</v>
      </c>
      <c r="M191" s="116">
        <v>1681.9749999999999</v>
      </c>
      <c r="N191" s="116">
        <v>1699.5</v>
      </c>
      <c r="O191" s="116">
        <v>1666.5</v>
      </c>
      <c r="P191" s="116">
        <v>1687.5</v>
      </c>
      <c r="Q191" s="116">
        <v>3363.95</v>
      </c>
      <c r="R191">
        <v>10098</v>
      </c>
    </row>
    <row r="192" spans="1:18" x14ac:dyDescent="0.25">
      <c r="A192" s="170">
        <v>42282</v>
      </c>
      <c r="B192" s="116">
        <v>1700</v>
      </c>
      <c r="C192" s="116">
        <v>1673.25</v>
      </c>
      <c r="D192" s="116">
        <v>1670</v>
      </c>
      <c r="E192" s="116">
        <v>1683</v>
      </c>
      <c r="F192" s="116">
        <v>3346.5</v>
      </c>
      <c r="G192">
        <v>1531</v>
      </c>
      <c r="H192" s="116"/>
      <c r="I192" s="116"/>
      <c r="L192" s="170">
        <v>42282</v>
      </c>
      <c r="M192" s="116">
        <v>1677.45</v>
      </c>
      <c r="N192" s="116">
        <v>1698.5</v>
      </c>
      <c r="O192" s="116">
        <v>1672.5</v>
      </c>
      <c r="P192" s="116">
        <v>1685.9</v>
      </c>
      <c r="Q192" s="116">
        <v>3354.9</v>
      </c>
      <c r="R192">
        <v>6096</v>
      </c>
    </row>
    <row r="193" spans="1:18" x14ac:dyDescent="0.25">
      <c r="A193" s="170">
        <v>42283</v>
      </c>
      <c r="B193" s="116">
        <v>1705.5</v>
      </c>
      <c r="C193" s="116">
        <v>1683.15</v>
      </c>
      <c r="D193" s="116">
        <v>1667.6</v>
      </c>
      <c r="E193" s="116">
        <v>1681.925</v>
      </c>
      <c r="F193" s="116">
        <v>3366.3</v>
      </c>
      <c r="G193">
        <v>1420</v>
      </c>
      <c r="H193" s="116"/>
      <c r="I193" s="116"/>
      <c r="L193" s="170">
        <v>42283</v>
      </c>
      <c r="M193" s="116">
        <v>1686.7750000000001</v>
      </c>
      <c r="N193" s="116">
        <v>1712.5250000000001</v>
      </c>
      <c r="O193" s="116">
        <v>1667.6</v>
      </c>
      <c r="P193" s="116">
        <v>1679.925</v>
      </c>
      <c r="Q193" s="116">
        <v>3373.55</v>
      </c>
      <c r="R193">
        <v>10856</v>
      </c>
    </row>
    <row r="194" spans="1:18" x14ac:dyDescent="0.25">
      <c r="A194" s="170">
        <v>42284</v>
      </c>
      <c r="B194" s="116">
        <v>1712.5</v>
      </c>
      <c r="C194" s="116">
        <v>1689.625</v>
      </c>
      <c r="D194" s="116">
        <v>1685</v>
      </c>
      <c r="E194" s="116">
        <v>1687.5</v>
      </c>
      <c r="F194" s="116">
        <v>3379.25</v>
      </c>
      <c r="G194">
        <v>1886</v>
      </c>
      <c r="H194" s="116"/>
      <c r="I194" s="116"/>
      <c r="L194" s="170">
        <v>42284</v>
      </c>
      <c r="M194" s="116">
        <v>1693.95</v>
      </c>
      <c r="N194" s="116">
        <v>1717.5</v>
      </c>
      <c r="O194" s="116">
        <v>1683.375</v>
      </c>
      <c r="P194" s="116">
        <v>1685</v>
      </c>
      <c r="Q194" s="116">
        <v>3387.9</v>
      </c>
      <c r="R194">
        <v>6583</v>
      </c>
    </row>
    <row r="195" spans="1:18" x14ac:dyDescent="0.25">
      <c r="A195" s="170">
        <v>42285</v>
      </c>
      <c r="B195" s="116">
        <v>1700</v>
      </c>
      <c r="C195" s="116">
        <v>1677.9749999999999</v>
      </c>
      <c r="D195" s="116">
        <v>1655.5</v>
      </c>
      <c r="E195" s="116">
        <v>1699.5</v>
      </c>
      <c r="F195" s="116">
        <v>3355.95</v>
      </c>
      <c r="G195">
        <v>1774</v>
      </c>
      <c r="H195" s="116"/>
      <c r="I195" s="116"/>
      <c r="L195" s="170">
        <v>42285</v>
      </c>
      <c r="M195" s="116">
        <v>1682.875</v>
      </c>
      <c r="N195" s="116">
        <v>1711.9749999999999</v>
      </c>
      <c r="O195" s="116">
        <v>1666.175</v>
      </c>
      <c r="P195" s="116">
        <v>1711.9749999999999</v>
      </c>
      <c r="Q195" s="116">
        <v>3365.75</v>
      </c>
      <c r="R195">
        <v>9184</v>
      </c>
    </row>
    <row r="196" spans="1:18" x14ac:dyDescent="0.25">
      <c r="A196" s="170">
        <v>42286</v>
      </c>
      <c r="B196" s="116">
        <v>1687.825</v>
      </c>
      <c r="C196" s="116">
        <v>1656.125</v>
      </c>
      <c r="D196" s="116">
        <v>1646</v>
      </c>
      <c r="E196" s="116">
        <v>1684.625</v>
      </c>
      <c r="F196" s="116">
        <v>3312.25</v>
      </c>
      <c r="G196">
        <v>1672</v>
      </c>
      <c r="H196" s="116"/>
      <c r="I196" s="116"/>
      <c r="L196" s="170">
        <v>42286</v>
      </c>
      <c r="M196" s="116">
        <v>1659.65</v>
      </c>
      <c r="N196" s="116">
        <v>1694</v>
      </c>
      <c r="O196" s="116">
        <v>1645</v>
      </c>
      <c r="P196" s="116">
        <v>1673</v>
      </c>
      <c r="Q196" s="116">
        <v>3319.3</v>
      </c>
      <c r="R196">
        <v>17698</v>
      </c>
    </row>
    <row r="197" spans="1:18" x14ac:dyDescent="0.25">
      <c r="A197" s="170">
        <v>42289</v>
      </c>
      <c r="B197" s="116">
        <v>1672</v>
      </c>
      <c r="C197" s="116">
        <v>1659</v>
      </c>
      <c r="D197" s="116">
        <v>1651</v>
      </c>
      <c r="E197" s="116">
        <v>1665</v>
      </c>
      <c r="F197" s="116">
        <v>3318</v>
      </c>
      <c r="G197">
        <v>1508</v>
      </c>
      <c r="H197" s="116"/>
      <c r="I197" s="116"/>
      <c r="L197" s="170">
        <v>42289</v>
      </c>
      <c r="M197" s="116">
        <v>1659.2249999999999</v>
      </c>
      <c r="N197" s="116">
        <v>1669</v>
      </c>
      <c r="O197" s="116">
        <v>1652.55</v>
      </c>
      <c r="P197" s="116">
        <v>1665.2750000000001</v>
      </c>
      <c r="Q197" s="116">
        <v>3318.45</v>
      </c>
      <c r="R197">
        <v>9573</v>
      </c>
    </row>
    <row r="198" spans="1:18" x14ac:dyDescent="0.25">
      <c r="A198" s="170">
        <v>42290</v>
      </c>
      <c r="B198" s="116">
        <v>1662.35</v>
      </c>
      <c r="C198" s="116">
        <v>1653.925</v>
      </c>
      <c r="D198" s="116">
        <v>1652.5</v>
      </c>
      <c r="E198" s="116">
        <v>1662.35</v>
      </c>
      <c r="F198" s="116">
        <v>3307.85</v>
      </c>
      <c r="G198">
        <v>309</v>
      </c>
      <c r="H198" s="116"/>
      <c r="I198" s="116"/>
      <c r="L198" s="170">
        <v>42290</v>
      </c>
      <c r="M198" s="116">
        <v>1653.875</v>
      </c>
      <c r="N198" s="116">
        <v>1664.2750000000001</v>
      </c>
      <c r="O198" s="116">
        <v>1650</v>
      </c>
      <c r="P198" s="116">
        <v>1650.0250000000001</v>
      </c>
      <c r="Q198" s="116">
        <v>3307.75</v>
      </c>
      <c r="R198">
        <v>7039</v>
      </c>
    </row>
    <row r="199" spans="1:18" x14ac:dyDescent="0.25">
      <c r="A199" s="170">
        <v>42291</v>
      </c>
      <c r="B199" s="116">
        <v>1659</v>
      </c>
      <c r="C199" s="116">
        <v>1652.6</v>
      </c>
      <c r="D199" s="116">
        <v>1647.0250000000001</v>
      </c>
      <c r="E199" s="116">
        <v>1652.95</v>
      </c>
      <c r="F199" s="116">
        <v>3305.2</v>
      </c>
      <c r="G199">
        <v>793</v>
      </c>
      <c r="H199" s="116"/>
      <c r="I199" s="116"/>
      <c r="L199" s="170">
        <v>42291</v>
      </c>
      <c r="M199" s="116">
        <v>1650.075</v>
      </c>
      <c r="N199" s="116">
        <v>1659.2</v>
      </c>
      <c r="O199" s="116">
        <v>1644.7249999999999</v>
      </c>
      <c r="P199" s="116">
        <v>1650.05</v>
      </c>
      <c r="Q199" s="116">
        <v>3300.15</v>
      </c>
      <c r="R199">
        <v>9420</v>
      </c>
    </row>
    <row r="200" spans="1:18" x14ac:dyDescent="0.25">
      <c r="A200" s="170">
        <v>42292</v>
      </c>
      <c r="B200" s="116">
        <v>1660</v>
      </c>
      <c r="C200" s="116">
        <v>1650.575</v>
      </c>
      <c r="D200" s="116">
        <v>1645</v>
      </c>
      <c r="E200" s="116">
        <v>1648.55</v>
      </c>
      <c r="F200" s="116">
        <v>3301.15</v>
      </c>
      <c r="G200">
        <v>649</v>
      </c>
      <c r="H200" s="116"/>
      <c r="I200" s="116"/>
      <c r="L200" s="170">
        <v>42292</v>
      </c>
      <c r="M200" s="116">
        <v>1652.325</v>
      </c>
      <c r="N200" s="116">
        <v>1667.5</v>
      </c>
      <c r="O200" s="116">
        <v>1646.0250000000001</v>
      </c>
      <c r="P200" s="116">
        <v>1653.3</v>
      </c>
      <c r="Q200" s="116">
        <v>3304.65</v>
      </c>
      <c r="R200">
        <v>9053</v>
      </c>
    </row>
    <row r="201" spans="1:18" x14ac:dyDescent="0.25">
      <c r="A201" s="170">
        <v>42293</v>
      </c>
      <c r="B201" s="116">
        <v>1665</v>
      </c>
      <c r="C201" s="116">
        <v>1657.9749999999999</v>
      </c>
      <c r="D201" s="116">
        <v>1651.5</v>
      </c>
      <c r="E201" s="116">
        <v>1660.9749999999999</v>
      </c>
      <c r="F201" s="116">
        <v>3315.95</v>
      </c>
      <c r="G201">
        <v>39688</v>
      </c>
      <c r="H201" s="116"/>
      <c r="I201" s="116"/>
      <c r="L201" s="170">
        <v>42293</v>
      </c>
      <c r="M201" s="116">
        <v>1661.7750000000001</v>
      </c>
      <c r="N201" s="116">
        <v>1674.5</v>
      </c>
      <c r="O201" s="116">
        <v>1655</v>
      </c>
      <c r="P201" s="116">
        <v>1661.95</v>
      </c>
      <c r="Q201" s="116">
        <v>3323.55</v>
      </c>
      <c r="R201">
        <v>10797</v>
      </c>
    </row>
    <row r="202" spans="1:18" x14ac:dyDescent="0.25">
      <c r="A202" s="170">
        <v>42296</v>
      </c>
      <c r="B202" s="116">
        <v>1664.75</v>
      </c>
      <c r="C202" s="116">
        <v>1653.575</v>
      </c>
      <c r="D202" s="116">
        <v>1650</v>
      </c>
      <c r="E202" s="116">
        <v>1655.5</v>
      </c>
      <c r="F202" s="116">
        <v>3307.15</v>
      </c>
      <c r="G202">
        <v>704</v>
      </c>
      <c r="H202" s="116"/>
      <c r="I202" s="116"/>
      <c r="L202" s="170">
        <v>42296</v>
      </c>
      <c r="M202" s="116">
        <v>1657.875</v>
      </c>
      <c r="N202" s="116">
        <v>1668.55</v>
      </c>
      <c r="O202" s="116">
        <v>1650.0250000000001</v>
      </c>
      <c r="P202" s="116">
        <v>1657.125</v>
      </c>
      <c r="Q202" s="116">
        <v>3315.75</v>
      </c>
      <c r="R202">
        <v>8291</v>
      </c>
    </row>
    <row r="203" spans="1:18" x14ac:dyDescent="0.25">
      <c r="A203" s="170">
        <v>42297</v>
      </c>
      <c r="B203" s="116">
        <v>1661.7750000000001</v>
      </c>
      <c r="C203" s="116">
        <v>1649.575</v>
      </c>
      <c r="D203" s="116">
        <v>1647.5</v>
      </c>
      <c r="E203" s="116">
        <v>1654.825</v>
      </c>
      <c r="F203" s="116">
        <v>3299.15</v>
      </c>
      <c r="G203">
        <v>1011</v>
      </c>
      <c r="H203" s="116"/>
      <c r="I203" s="116"/>
      <c r="L203" s="170">
        <v>42297</v>
      </c>
      <c r="M203" s="116">
        <v>1650.05</v>
      </c>
      <c r="N203" s="116">
        <v>1661.9749999999999</v>
      </c>
      <c r="O203" s="116">
        <v>1647.5</v>
      </c>
      <c r="P203" s="116">
        <v>1658.5</v>
      </c>
      <c r="Q203" s="116">
        <v>3300.1</v>
      </c>
      <c r="R203">
        <v>8263</v>
      </c>
    </row>
    <row r="204" spans="1:18" x14ac:dyDescent="0.25">
      <c r="A204" s="170">
        <v>42298</v>
      </c>
      <c r="B204" s="116">
        <v>1656</v>
      </c>
      <c r="C204" s="116">
        <v>1647.925</v>
      </c>
      <c r="D204" s="116">
        <v>1637.5</v>
      </c>
      <c r="E204" s="116">
        <v>1650.05</v>
      </c>
      <c r="F204" s="116">
        <v>3295.85</v>
      </c>
      <c r="G204">
        <v>356</v>
      </c>
      <c r="H204" s="116"/>
      <c r="I204" s="116"/>
      <c r="L204" s="170">
        <v>42298</v>
      </c>
      <c r="M204" s="116">
        <v>1651.75</v>
      </c>
      <c r="N204" s="116">
        <v>1657.5</v>
      </c>
      <c r="O204" s="116">
        <v>1648.15</v>
      </c>
      <c r="P204" s="116">
        <v>1650.0250000000001</v>
      </c>
      <c r="Q204" s="116">
        <v>3303.5</v>
      </c>
      <c r="R204">
        <v>3985</v>
      </c>
    </row>
    <row r="205" spans="1:18" x14ac:dyDescent="0.25">
      <c r="A205" s="170">
        <v>42300</v>
      </c>
      <c r="B205" s="116">
        <v>1662.5</v>
      </c>
      <c r="C205" s="116">
        <v>1655.85</v>
      </c>
      <c r="D205" s="116">
        <v>1627.0250000000001</v>
      </c>
      <c r="E205" s="116">
        <v>1627.0250000000001</v>
      </c>
      <c r="F205" s="116">
        <v>3311.7</v>
      </c>
      <c r="G205">
        <v>1421</v>
      </c>
      <c r="H205" s="116"/>
      <c r="I205" s="116"/>
      <c r="L205" s="170">
        <v>42300</v>
      </c>
      <c r="M205" s="116">
        <v>1660.5</v>
      </c>
      <c r="N205" s="116">
        <v>1667.5</v>
      </c>
      <c r="O205" s="116">
        <v>1640</v>
      </c>
      <c r="P205" s="116">
        <v>1645</v>
      </c>
      <c r="Q205" s="116">
        <v>3321</v>
      </c>
      <c r="R205">
        <v>8576</v>
      </c>
    </row>
    <row r="206" spans="1:18" x14ac:dyDescent="0.25">
      <c r="A206" s="170">
        <v>42303</v>
      </c>
      <c r="B206" s="116">
        <v>1665</v>
      </c>
      <c r="C206" s="116">
        <v>1639.075</v>
      </c>
      <c r="D206" s="116">
        <v>1635</v>
      </c>
      <c r="E206" s="116">
        <v>1659.95</v>
      </c>
      <c r="F206" s="116">
        <v>3278.15</v>
      </c>
      <c r="G206">
        <v>1179</v>
      </c>
      <c r="H206" s="116"/>
      <c r="I206" s="116"/>
      <c r="L206" s="170">
        <v>42303</v>
      </c>
      <c r="M206" s="116">
        <v>1649.25</v>
      </c>
      <c r="N206" s="116">
        <v>1667.5</v>
      </c>
      <c r="O206" s="116">
        <v>1631.175</v>
      </c>
      <c r="P206" s="116">
        <v>1660.5</v>
      </c>
      <c r="Q206" s="116">
        <v>3298.5</v>
      </c>
      <c r="R206">
        <v>9037</v>
      </c>
    </row>
    <row r="207" spans="1:18" x14ac:dyDescent="0.25">
      <c r="A207" s="170">
        <v>42304</v>
      </c>
      <c r="B207" s="116">
        <v>1641.5</v>
      </c>
      <c r="C207" s="116">
        <v>1635.3</v>
      </c>
      <c r="D207" s="116">
        <v>1630</v>
      </c>
      <c r="E207" s="116">
        <v>1641.5</v>
      </c>
      <c r="F207" s="116">
        <v>3270.6</v>
      </c>
      <c r="G207">
        <v>923</v>
      </c>
      <c r="H207" s="116"/>
      <c r="I207" s="116"/>
      <c r="L207" s="170">
        <v>42304</v>
      </c>
      <c r="M207" s="116">
        <v>1641.325</v>
      </c>
      <c r="N207" s="116">
        <v>1650</v>
      </c>
      <c r="O207" s="116">
        <v>1632.5</v>
      </c>
      <c r="P207" s="116">
        <v>1650</v>
      </c>
      <c r="Q207" s="116">
        <v>3282.65</v>
      </c>
      <c r="R207">
        <v>7420</v>
      </c>
    </row>
    <row r="208" spans="1:18" x14ac:dyDescent="0.25">
      <c r="A208" s="170">
        <v>42305</v>
      </c>
      <c r="B208" s="116">
        <v>1653.5</v>
      </c>
      <c r="C208" s="116">
        <v>1635.9</v>
      </c>
      <c r="D208" s="116">
        <v>1631.875</v>
      </c>
      <c r="E208" s="116">
        <v>1647.5</v>
      </c>
      <c r="F208" s="116">
        <v>3271.8</v>
      </c>
      <c r="G208">
        <v>668</v>
      </c>
      <c r="H208" s="116"/>
      <c r="I208" s="116"/>
      <c r="L208" s="170">
        <v>42305</v>
      </c>
      <c r="M208" s="116">
        <v>1641.1</v>
      </c>
      <c r="N208" s="116">
        <v>1655.4749999999999</v>
      </c>
      <c r="O208" s="116">
        <v>1635.05</v>
      </c>
      <c r="P208" s="116">
        <v>1642.5</v>
      </c>
      <c r="Q208" s="116">
        <v>3282.2</v>
      </c>
      <c r="R208">
        <v>4711</v>
      </c>
    </row>
    <row r="209" spans="1:18" x14ac:dyDescent="0.25">
      <c r="A209" s="170">
        <v>42306</v>
      </c>
      <c r="B209" s="116">
        <v>1648.5</v>
      </c>
      <c r="C209" s="116">
        <v>1639.575</v>
      </c>
      <c r="D209" s="116">
        <v>1631</v>
      </c>
      <c r="E209" s="116">
        <v>1635.5</v>
      </c>
      <c r="F209" s="116">
        <v>3279.15</v>
      </c>
      <c r="G209">
        <v>648</v>
      </c>
      <c r="H209" s="116"/>
      <c r="I209" s="116"/>
      <c r="L209" s="170">
        <v>42306</v>
      </c>
      <c r="M209" s="116">
        <v>1638.375</v>
      </c>
      <c r="N209" s="116">
        <v>1653.5</v>
      </c>
      <c r="O209" s="116">
        <v>1627</v>
      </c>
      <c r="P209" s="116">
        <v>1637.5</v>
      </c>
      <c r="Q209" s="116">
        <v>3276.75</v>
      </c>
      <c r="R209">
        <v>4493</v>
      </c>
    </row>
    <row r="210" spans="1:18" x14ac:dyDescent="0.25">
      <c r="A210" s="170">
        <v>42307</v>
      </c>
      <c r="B210" s="116">
        <v>1659</v>
      </c>
      <c r="C210" s="116">
        <v>1647.4</v>
      </c>
      <c r="D210" s="116">
        <v>1627</v>
      </c>
      <c r="E210" s="116">
        <v>1641.4749999999999</v>
      </c>
      <c r="F210" s="116">
        <v>3294.8</v>
      </c>
      <c r="G210">
        <v>721</v>
      </c>
      <c r="H210" s="116"/>
      <c r="I210" s="116"/>
      <c r="L210" s="170">
        <v>42307</v>
      </c>
      <c r="M210" s="116">
        <v>1655.075</v>
      </c>
      <c r="N210" s="116">
        <v>1672.5</v>
      </c>
      <c r="O210" s="116">
        <v>1632.5</v>
      </c>
      <c r="P210" s="116">
        <v>1632.5</v>
      </c>
      <c r="Q210" s="116">
        <v>3310.15</v>
      </c>
      <c r="R210">
        <v>6087</v>
      </c>
    </row>
    <row r="211" spans="1:18" x14ac:dyDescent="0.25">
      <c r="A211" s="170">
        <v>42310</v>
      </c>
      <c r="B211" s="116">
        <v>1633.25</v>
      </c>
      <c r="C211" s="116">
        <v>1612.65</v>
      </c>
      <c r="D211" s="116">
        <v>1575</v>
      </c>
      <c r="E211" s="116">
        <v>1627</v>
      </c>
      <c r="F211" s="116">
        <v>3225.3</v>
      </c>
      <c r="G211">
        <v>7949</v>
      </c>
      <c r="H211" s="116"/>
      <c r="I211" s="116"/>
      <c r="L211" s="170">
        <v>42310</v>
      </c>
      <c r="M211" s="116">
        <v>1620</v>
      </c>
      <c r="N211" s="116">
        <v>1639.875</v>
      </c>
      <c r="O211" s="116">
        <v>1580.5</v>
      </c>
      <c r="P211" s="116">
        <v>1636</v>
      </c>
      <c r="Q211" s="116">
        <v>3240</v>
      </c>
      <c r="R211">
        <v>26184</v>
      </c>
    </row>
    <row r="212" spans="1:18" x14ac:dyDescent="0.25">
      <c r="A212" s="170">
        <v>42311</v>
      </c>
      <c r="B212" s="116">
        <v>1632.5</v>
      </c>
      <c r="C212" s="116">
        <v>1615.425</v>
      </c>
      <c r="D212" s="116">
        <v>1609.9749999999999</v>
      </c>
      <c r="E212" s="116">
        <v>1624.875</v>
      </c>
      <c r="F212" s="116">
        <v>3230.85</v>
      </c>
      <c r="G212">
        <v>993</v>
      </c>
      <c r="H212" s="116"/>
      <c r="I212" s="116"/>
      <c r="L212" s="170">
        <v>42311</v>
      </c>
      <c r="M212" s="116">
        <v>1622.9</v>
      </c>
      <c r="N212" s="116">
        <v>1635.5</v>
      </c>
      <c r="O212" s="116">
        <v>1614.5</v>
      </c>
      <c r="P212" s="116">
        <v>1620</v>
      </c>
      <c r="Q212" s="116">
        <v>3245.8</v>
      </c>
      <c r="R212">
        <v>5640</v>
      </c>
    </row>
    <row r="213" spans="1:18" x14ac:dyDescent="0.25">
      <c r="A213" s="170">
        <v>42312</v>
      </c>
      <c r="B213" s="116">
        <v>1629.9749999999999</v>
      </c>
      <c r="C213" s="116">
        <v>1611.075</v>
      </c>
      <c r="D213" s="116">
        <v>1607.5</v>
      </c>
      <c r="E213" s="116">
        <v>1624.95</v>
      </c>
      <c r="F213" s="116">
        <v>3222.15</v>
      </c>
      <c r="G213">
        <v>438</v>
      </c>
      <c r="H213" s="116"/>
      <c r="I213" s="116"/>
      <c r="L213" s="170">
        <v>42312</v>
      </c>
      <c r="M213" s="116">
        <v>1615.875</v>
      </c>
      <c r="N213" s="116">
        <v>1623</v>
      </c>
      <c r="O213" s="116">
        <v>1611.65</v>
      </c>
      <c r="P213" s="116">
        <v>1622.5</v>
      </c>
      <c r="Q213" s="116">
        <v>3231.75</v>
      </c>
      <c r="R213">
        <v>5772</v>
      </c>
    </row>
    <row r="214" spans="1:18" x14ac:dyDescent="0.25">
      <c r="A214" s="170">
        <v>42313</v>
      </c>
      <c r="B214" s="116">
        <v>1614.125</v>
      </c>
      <c r="C214" s="116">
        <v>1595.2750000000001</v>
      </c>
      <c r="D214" s="116">
        <v>1589</v>
      </c>
      <c r="E214" s="116">
        <v>1602</v>
      </c>
      <c r="F214" s="116">
        <v>3190.55</v>
      </c>
      <c r="G214">
        <v>432</v>
      </c>
      <c r="H214" s="116"/>
      <c r="I214" s="116"/>
      <c r="L214" s="170">
        <v>42313</v>
      </c>
      <c r="M214" s="116">
        <v>1604.625</v>
      </c>
      <c r="N214" s="116">
        <v>1622</v>
      </c>
      <c r="O214" s="116">
        <v>1592.5</v>
      </c>
      <c r="P214" s="116">
        <v>1615.5</v>
      </c>
      <c r="Q214" s="116">
        <v>3209.25</v>
      </c>
      <c r="R214">
        <v>4317</v>
      </c>
    </row>
    <row r="215" spans="1:18" x14ac:dyDescent="0.25">
      <c r="A215" s="170">
        <v>42314</v>
      </c>
      <c r="B215" s="116">
        <v>1611.5</v>
      </c>
      <c r="C215" s="116">
        <v>1595.9</v>
      </c>
      <c r="D215" s="116">
        <v>1585</v>
      </c>
      <c r="E215" s="116">
        <v>1603.95</v>
      </c>
      <c r="F215" s="116">
        <v>3191.8</v>
      </c>
      <c r="G215">
        <v>1116</v>
      </c>
      <c r="H215" s="116"/>
      <c r="I215" s="116"/>
      <c r="L215" s="170">
        <v>42314</v>
      </c>
      <c r="M215" s="116">
        <v>1606.2249999999999</v>
      </c>
      <c r="N215" s="116">
        <v>1620</v>
      </c>
      <c r="O215" s="116">
        <v>1588.75</v>
      </c>
      <c r="P215" s="116">
        <v>1604.5</v>
      </c>
      <c r="Q215" s="116">
        <v>3212.45</v>
      </c>
      <c r="R215">
        <v>5980</v>
      </c>
    </row>
    <row r="216" spans="1:18" x14ac:dyDescent="0.25">
      <c r="A216" s="170">
        <v>42317</v>
      </c>
      <c r="B216" s="116">
        <v>1616.2</v>
      </c>
      <c r="C216" s="116">
        <v>1609.175</v>
      </c>
      <c r="D216" s="116">
        <v>1584.125</v>
      </c>
      <c r="E216" s="116">
        <v>1585.7</v>
      </c>
      <c r="F216" s="116">
        <v>3218.35</v>
      </c>
      <c r="G216">
        <v>1019</v>
      </c>
      <c r="H216" s="116"/>
      <c r="I216" s="116"/>
      <c r="L216" s="170">
        <v>42317</v>
      </c>
      <c r="M216" s="116">
        <v>1615.675</v>
      </c>
      <c r="N216" s="116">
        <v>1620</v>
      </c>
      <c r="O216" s="116">
        <v>1585.9</v>
      </c>
      <c r="P216" s="116">
        <v>1606</v>
      </c>
      <c r="Q216" s="116">
        <v>3231.35</v>
      </c>
      <c r="R216">
        <v>3736</v>
      </c>
    </row>
    <row r="217" spans="1:18" x14ac:dyDescent="0.25">
      <c r="A217" s="170">
        <v>42318</v>
      </c>
      <c r="B217" s="116">
        <v>1599.5</v>
      </c>
      <c r="C217" s="116">
        <v>1569.675</v>
      </c>
      <c r="D217" s="116">
        <v>1565</v>
      </c>
      <c r="E217" s="116">
        <v>1597.5</v>
      </c>
      <c r="F217" s="116">
        <v>3139.35</v>
      </c>
      <c r="G217">
        <v>1103</v>
      </c>
      <c r="H217" s="116"/>
      <c r="I217" s="116"/>
      <c r="L217" s="170">
        <v>42318</v>
      </c>
      <c r="M217" s="116">
        <v>1570.1</v>
      </c>
      <c r="N217" s="116">
        <v>1614.4749999999999</v>
      </c>
      <c r="O217" s="116">
        <v>1565</v>
      </c>
      <c r="P217" s="116">
        <v>1614.4749999999999</v>
      </c>
      <c r="Q217" s="116">
        <v>3140.2</v>
      </c>
      <c r="R217">
        <v>13389</v>
      </c>
    </row>
    <row r="218" spans="1:18" x14ac:dyDescent="0.25">
      <c r="A218" s="170">
        <v>42319</v>
      </c>
      <c r="B218" s="116">
        <v>1586</v>
      </c>
      <c r="C218" s="116">
        <v>1581.25</v>
      </c>
      <c r="D218" s="116">
        <v>1575</v>
      </c>
      <c r="E218" s="116">
        <v>1575</v>
      </c>
      <c r="F218" s="116">
        <v>3162.5</v>
      </c>
      <c r="G218">
        <v>410</v>
      </c>
      <c r="H218" s="116"/>
      <c r="I218" s="116"/>
      <c r="L218" s="170">
        <v>42319</v>
      </c>
      <c r="M218" s="116">
        <v>1585.875</v>
      </c>
      <c r="N218" s="116">
        <v>1590.5</v>
      </c>
      <c r="O218" s="116">
        <v>1572.0250000000001</v>
      </c>
      <c r="P218" s="116">
        <v>1574.9749999999999</v>
      </c>
      <c r="Q218" s="116">
        <v>3171.75</v>
      </c>
      <c r="R218">
        <v>1323</v>
      </c>
    </row>
    <row r="219" spans="1:18" x14ac:dyDescent="0.25">
      <c r="A219" s="170">
        <v>42321</v>
      </c>
      <c r="B219" s="116">
        <v>1583.375</v>
      </c>
      <c r="C219" s="116">
        <v>1576.2249999999999</v>
      </c>
      <c r="D219" s="116">
        <v>1568</v>
      </c>
      <c r="E219" s="116">
        <v>1583.375</v>
      </c>
      <c r="F219" s="116">
        <v>3152.45</v>
      </c>
      <c r="G219">
        <v>549</v>
      </c>
      <c r="H219" s="116"/>
      <c r="I219" s="116"/>
      <c r="L219" s="170">
        <v>42321</v>
      </c>
      <c r="M219" s="116">
        <v>1577.125</v>
      </c>
      <c r="N219" s="116">
        <v>1581.5</v>
      </c>
      <c r="O219" s="116">
        <v>1567.5</v>
      </c>
      <c r="P219" s="116">
        <v>1576</v>
      </c>
      <c r="Q219" s="116">
        <v>3154.25</v>
      </c>
      <c r="R219">
        <v>5069</v>
      </c>
    </row>
    <row r="220" spans="1:18" x14ac:dyDescent="0.25">
      <c r="A220" s="170">
        <v>42324</v>
      </c>
      <c r="B220" s="116">
        <v>1570.3</v>
      </c>
      <c r="C220" s="116">
        <v>1559.375</v>
      </c>
      <c r="D220" s="116">
        <v>1555</v>
      </c>
      <c r="E220" s="116">
        <v>1566.8</v>
      </c>
      <c r="F220" s="116">
        <v>3118.75</v>
      </c>
      <c r="G220">
        <v>883</v>
      </c>
      <c r="H220" s="116"/>
      <c r="I220" s="116"/>
      <c r="L220" s="170">
        <v>42324</v>
      </c>
      <c r="M220" s="116">
        <v>1564.575</v>
      </c>
      <c r="N220" s="116">
        <v>1575</v>
      </c>
      <c r="O220" s="116">
        <v>1550</v>
      </c>
      <c r="P220" s="116">
        <v>1574.5</v>
      </c>
      <c r="Q220" s="116">
        <v>3129.15</v>
      </c>
      <c r="R220">
        <v>7075</v>
      </c>
    </row>
    <row r="221" spans="1:18" x14ac:dyDescent="0.25">
      <c r="A221" s="170">
        <v>42325</v>
      </c>
      <c r="B221" s="116">
        <v>1565</v>
      </c>
      <c r="C221" s="116">
        <v>1557.2249999999999</v>
      </c>
      <c r="D221" s="116">
        <v>1540</v>
      </c>
      <c r="E221" s="116">
        <v>1563.45</v>
      </c>
      <c r="F221" s="116">
        <v>3114.45</v>
      </c>
      <c r="G221">
        <v>2209</v>
      </c>
      <c r="H221" s="116"/>
      <c r="I221" s="116"/>
      <c r="L221" s="170">
        <v>42325</v>
      </c>
      <c r="M221" s="116">
        <v>1564.55</v>
      </c>
      <c r="N221" s="116">
        <v>1575</v>
      </c>
      <c r="O221" s="116">
        <v>1538.5</v>
      </c>
      <c r="P221" s="116">
        <v>1566</v>
      </c>
      <c r="Q221" s="116">
        <v>3129.1</v>
      </c>
      <c r="R221">
        <v>13773</v>
      </c>
    </row>
    <row r="222" spans="1:18" x14ac:dyDescent="0.25">
      <c r="A222" s="170">
        <v>42326</v>
      </c>
      <c r="B222" s="116">
        <v>1579.5</v>
      </c>
      <c r="C222" s="116">
        <v>1556.7750000000001</v>
      </c>
      <c r="D222" s="116">
        <v>1546.0250000000001</v>
      </c>
      <c r="E222" s="116">
        <v>1567.5</v>
      </c>
      <c r="F222" s="116">
        <v>3113.55</v>
      </c>
      <c r="G222">
        <v>477</v>
      </c>
      <c r="H222" s="116"/>
      <c r="I222" s="116"/>
      <c r="L222" s="170">
        <v>42326</v>
      </c>
      <c r="M222" s="116">
        <v>1562.325</v>
      </c>
      <c r="N222" s="116">
        <v>1575</v>
      </c>
      <c r="O222" s="116">
        <v>1544.5</v>
      </c>
      <c r="P222" s="116">
        <v>1567.4749999999999</v>
      </c>
      <c r="Q222" s="116">
        <v>3124.65</v>
      </c>
      <c r="R222">
        <v>4803</v>
      </c>
    </row>
    <row r="223" spans="1:18" x14ac:dyDescent="0.25">
      <c r="A223" s="170">
        <v>42327</v>
      </c>
      <c r="B223" s="116">
        <v>1583.5</v>
      </c>
      <c r="C223" s="116">
        <v>1572.325</v>
      </c>
      <c r="D223" s="116">
        <v>1551.1</v>
      </c>
      <c r="E223" s="116">
        <v>1565</v>
      </c>
      <c r="F223" s="116">
        <v>3144.65</v>
      </c>
      <c r="G223">
        <v>2279</v>
      </c>
      <c r="H223" s="116"/>
      <c r="I223" s="116"/>
      <c r="L223" s="170">
        <v>42327</v>
      </c>
      <c r="M223" s="116">
        <v>1575.925</v>
      </c>
      <c r="N223" s="116">
        <v>1590</v>
      </c>
      <c r="O223" s="116">
        <v>1550</v>
      </c>
      <c r="P223" s="116">
        <v>1550</v>
      </c>
      <c r="Q223" s="116">
        <v>3151.85</v>
      </c>
      <c r="R223">
        <v>9004</v>
      </c>
    </row>
    <row r="224" spans="1:18" x14ac:dyDescent="0.25">
      <c r="A224" s="170">
        <v>42328</v>
      </c>
      <c r="B224" s="116">
        <v>1605</v>
      </c>
      <c r="C224" s="116">
        <v>1596.625</v>
      </c>
      <c r="D224" s="116">
        <v>1572.9749999999999</v>
      </c>
      <c r="E224" s="116">
        <v>1577.4</v>
      </c>
      <c r="F224" s="116">
        <v>3193.25</v>
      </c>
      <c r="G224">
        <v>822</v>
      </c>
      <c r="H224" s="116"/>
      <c r="I224" s="116"/>
      <c r="L224" s="170">
        <v>42328</v>
      </c>
      <c r="M224" s="116">
        <v>1599.375</v>
      </c>
      <c r="N224" s="116">
        <v>1612</v>
      </c>
      <c r="O224" s="116">
        <v>1570.65</v>
      </c>
      <c r="P224" s="116">
        <v>1597.5</v>
      </c>
      <c r="Q224" s="116">
        <v>3198.75</v>
      </c>
      <c r="R224">
        <v>4779</v>
      </c>
    </row>
    <row r="225" spans="1:18" x14ac:dyDescent="0.25">
      <c r="A225" s="170">
        <v>42331</v>
      </c>
      <c r="B225" s="116">
        <v>1622</v>
      </c>
      <c r="C225" s="116">
        <v>1609.075</v>
      </c>
      <c r="D225" s="116">
        <v>1581.2750000000001</v>
      </c>
      <c r="E225" s="116">
        <v>1600.05</v>
      </c>
      <c r="F225" s="116">
        <v>3218.15</v>
      </c>
      <c r="G225">
        <v>1129</v>
      </c>
      <c r="H225" s="116"/>
      <c r="I225" s="116"/>
      <c r="L225" s="170">
        <v>42331</v>
      </c>
      <c r="M225" s="116">
        <v>1616.2</v>
      </c>
      <c r="N225" s="116">
        <v>1632.5</v>
      </c>
      <c r="O225" s="116">
        <v>1586</v>
      </c>
      <c r="P225" s="116">
        <v>1610</v>
      </c>
      <c r="Q225" s="116">
        <v>3232.4</v>
      </c>
      <c r="R225">
        <v>4462</v>
      </c>
    </row>
    <row r="226" spans="1:18" x14ac:dyDescent="0.25">
      <c r="A226" s="170">
        <v>42332</v>
      </c>
      <c r="B226" s="116">
        <v>1630</v>
      </c>
      <c r="C226" s="116">
        <v>1621.825</v>
      </c>
      <c r="D226" s="116">
        <v>1602</v>
      </c>
      <c r="E226" s="116">
        <v>1621.25</v>
      </c>
      <c r="F226" s="116">
        <v>3243.65</v>
      </c>
      <c r="G226">
        <v>850</v>
      </c>
      <c r="H226" s="116"/>
      <c r="I226" s="116"/>
      <c r="L226" s="170">
        <v>42332</v>
      </c>
      <c r="M226" s="116">
        <v>1627.575</v>
      </c>
      <c r="N226" s="116">
        <v>1632.4749999999999</v>
      </c>
      <c r="O226" s="116">
        <v>1602.5</v>
      </c>
      <c r="P226" s="116">
        <v>1629</v>
      </c>
      <c r="Q226" s="116">
        <v>3255.15</v>
      </c>
      <c r="R226">
        <v>5580</v>
      </c>
    </row>
    <row r="227" spans="1:18" x14ac:dyDescent="0.25">
      <c r="A227" s="170">
        <v>42334</v>
      </c>
      <c r="B227" s="116">
        <v>1646.9749999999999</v>
      </c>
      <c r="C227" s="116">
        <v>1637.2</v>
      </c>
      <c r="D227" s="116">
        <v>1613.925</v>
      </c>
      <c r="E227" s="116">
        <v>1615</v>
      </c>
      <c r="F227" s="116">
        <v>3274.4</v>
      </c>
      <c r="G227">
        <v>1006</v>
      </c>
      <c r="H227" s="116"/>
      <c r="I227" s="116"/>
      <c r="L227" s="170">
        <v>42334</v>
      </c>
      <c r="M227" s="116">
        <v>1642.325</v>
      </c>
      <c r="N227" s="116">
        <v>1654.95</v>
      </c>
      <c r="O227" s="116">
        <v>1611.125</v>
      </c>
      <c r="P227" s="116">
        <v>1611.125</v>
      </c>
      <c r="Q227" s="116">
        <v>3284.65</v>
      </c>
      <c r="R227">
        <v>5960</v>
      </c>
    </row>
    <row r="228" spans="1:18" x14ac:dyDescent="0.25">
      <c r="A228" s="170">
        <v>42335</v>
      </c>
      <c r="B228" s="116">
        <v>1653</v>
      </c>
      <c r="C228" s="116">
        <v>1638.2750000000001</v>
      </c>
      <c r="D228" s="116">
        <v>1632.5</v>
      </c>
      <c r="E228" s="116">
        <v>1638.5</v>
      </c>
      <c r="F228" s="116">
        <v>3276.55</v>
      </c>
      <c r="G228">
        <v>924</v>
      </c>
      <c r="H228" s="116"/>
      <c r="I228" s="116"/>
      <c r="L228" s="170">
        <v>42335</v>
      </c>
      <c r="M228" s="116">
        <v>1639.1</v>
      </c>
      <c r="N228" s="116">
        <v>1655.5250000000001</v>
      </c>
      <c r="O228" s="116">
        <v>1630.15</v>
      </c>
      <c r="P228" s="116">
        <v>1639.425</v>
      </c>
      <c r="Q228" s="116">
        <v>3278.2</v>
      </c>
      <c r="R228">
        <v>2640</v>
      </c>
    </row>
    <row r="229" spans="1:18" x14ac:dyDescent="0.25">
      <c r="A229" s="170">
        <v>42338</v>
      </c>
      <c r="B229" s="116">
        <v>1652.4749999999999</v>
      </c>
      <c r="C229" s="116">
        <v>1644.1</v>
      </c>
      <c r="D229" s="116">
        <v>1612.5</v>
      </c>
      <c r="E229" s="116">
        <v>1617.15</v>
      </c>
      <c r="F229" s="116">
        <v>3288.2</v>
      </c>
      <c r="G229">
        <v>1130</v>
      </c>
      <c r="H229" s="116"/>
      <c r="I229" s="116"/>
      <c r="L229" s="170">
        <v>42338</v>
      </c>
      <c r="M229" s="116">
        <v>1648.125</v>
      </c>
      <c r="N229" s="116">
        <v>1656.5</v>
      </c>
      <c r="O229" s="116">
        <v>1605</v>
      </c>
      <c r="P229" s="116">
        <v>1641.5250000000001</v>
      </c>
      <c r="Q229" s="116">
        <v>3296.25</v>
      </c>
      <c r="R229">
        <v>4482</v>
      </c>
    </row>
    <row r="230" spans="1:18" x14ac:dyDescent="0.25">
      <c r="A230" s="170">
        <v>42339</v>
      </c>
      <c r="B230" s="116">
        <v>1656.5</v>
      </c>
      <c r="C230" s="116">
        <v>1637.7249999999999</v>
      </c>
      <c r="D230" s="116">
        <v>1625.125</v>
      </c>
      <c r="E230" s="116">
        <v>1651.8</v>
      </c>
      <c r="F230" s="116">
        <v>3275.45</v>
      </c>
      <c r="G230">
        <v>883</v>
      </c>
      <c r="H230" s="116"/>
      <c r="I230" s="116"/>
      <c r="L230" s="170">
        <v>42339</v>
      </c>
      <c r="M230" s="116">
        <v>1646.75</v>
      </c>
      <c r="N230" s="116">
        <v>1660</v>
      </c>
      <c r="O230" s="116">
        <v>1628.35</v>
      </c>
      <c r="P230" s="116">
        <v>1649.4749999999999</v>
      </c>
      <c r="Q230" s="116">
        <v>3293.5</v>
      </c>
      <c r="R230">
        <v>3785</v>
      </c>
    </row>
    <row r="231" spans="1:18" x14ac:dyDescent="0.25">
      <c r="A231" s="170">
        <v>42340</v>
      </c>
      <c r="B231" s="116">
        <v>1658.5</v>
      </c>
      <c r="C231" s="116">
        <v>1649.4</v>
      </c>
      <c r="D231" s="116">
        <v>1637</v>
      </c>
      <c r="E231" s="116">
        <v>1647.5</v>
      </c>
      <c r="F231" s="116">
        <v>3298.8</v>
      </c>
      <c r="G231">
        <v>623</v>
      </c>
      <c r="H231" s="116"/>
      <c r="I231" s="116"/>
      <c r="L231" s="170">
        <v>42340</v>
      </c>
      <c r="M231" s="116">
        <v>1652.85</v>
      </c>
      <c r="N231" s="116">
        <v>1655</v>
      </c>
      <c r="O231" s="116">
        <v>1637.5</v>
      </c>
      <c r="P231" s="116">
        <v>1646.5250000000001</v>
      </c>
      <c r="Q231" s="116">
        <v>3305.7</v>
      </c>
      <c r="R231">
        <v>5602</v>
      </c>
    </row>
    <row r="232" spans="1:18" x14ac:dyDescent="0.25">
      <c r="A232" s="170">
        <v>42341</v>
      </c>
      <c r="B232" s="116">
        <v>1652</v>
      </c>
      <c r="C232" s="116">
        <v>1629.15</v>
      </c>
      <c r="D232" s="116">
        <v>1625</v>
      </c>
      <c r="E232" s="116">
        <v>1646</v>
      </c>
      <c r="F232" s="116">
        <v>3258.3</v>
      </c>
      <c r="G232">
        <v>1727</v>
      </c>
      <c r="H232" s="116"/>
      <c r="I232" s="116"/>
      <c r="L232" s="170">
        <v>42341</v>
      </c>
      <c r="M232" s="116">
        <v>1634.925</v>
      </c>
      <c r="N232" s="116">
        <v>1652.5</v>
      </c>
      <c r="O232" s="116">
        <v>1627.7249999999999</v>
      </c>
      <c r="P232" s="116">
        <v>1652.4749999999999</v>
      </c>
      <c r="Q232" s="116">
        <v>3269.85</v>
      </c>
      <c r="R232">
        <v>8626</v>
      </c>
    </row>
    <row r="233" spans="1:18" x14ac:dyDescent="0.25">
      <c r="A233" s="170">
        <v>42342</v>
      </c>
      <c r="B233" s="116">
        <v>1645.5</v>
      </c>
      <c r="C233" s="116">
        <v>1636.0250000000001</v>
      </c>
      <c r="D233" s="116">
        <v>1616.65</v>
      </c>
      <c r="E233" s="116">
        <v>1629.5</v>
      </c>
      <c r="F233" s="116">
        <v>3272.05</v>
      </c>
      <c r="G233">
        <v>735</v>
      </c>
      <c r="H233" s="116"/>
      <c r="I233" s="116"/>
      <c r="L233" s="170">
        <v>42342</v>
      </c>
      <c r="M233" s="116">
        <v>1642.4</v>
      </c>
      <c r="N233" s="116">
        <v>1652.5</v>
      </c>
      <c r="O233" s="116">
        <v>1618.5</v>
      </c>
      <c r="P233" s="116">
        <v>1633.7</v>
      </c>
      <c r="Q233" s="116">
        <v>3284.8</v>
      </c>
      <c r="R233">
        <v>4454</v>
      </c>
    </row>
    <row r="234" spans="1:18" x14ac:dyDescent="0.25">
      <c r="A234" s="170">
        <v>42345</v>
      </c>
      <c r="B234" s="116">
        <v>1655</v>
      </c>
      <c r="C234" s="116">
        <v>1633.2</v>
      </c>
      <c r="D234" s="116">
        <v>1630</v>
      </c>
      <c r="E234" s="116">
        <v>1655</v>
      </c>
      <c r="F234" s="116">
        <v>3266.4</v>
      </c>
      <c r="G234">
        <v>913</v>
      </c>
      <c r="H234" s="116"/>
      <c r="I234" s="116"/>
      <c r="L234" s="170">
        <v>42345</v>
      </c>
      <c r="M234" s="116">
        <v>1638.4</v>
      </c>
      <c r="N234" s="116">
        <v>1658.25</v>
      </c>
      <c r="O234" s="116">
        <v>1632.5</v>
      </c>
      <c r="P234" s="116">
        <v>1653.075</v>
      </c>
      <c r="Q234" s="116">
        <v>3276.8</v>
      </c>
      <c r="R234">
        <v>2900</v>
      </c>
    </row>
    <row r="235" spans="1:18" x14ac:dyDescent="0.25">
      <c r="A235" s="170">
        <v>42346</v>
      </c>
      <c r="B235" s="116">
        <v>1645</v>
      </c>
      <c r="C235" s="116">
        <v>1632.7249999999999</v>
      </c>
      <c r="D235" s="116">
        <v>1622.5</v>
      </c>
      <c r="E235" s="116">
        <v>1631.5</v>
      </c>
      <c r="F235" s="116">
        <v>3265.45</v>
      </c>
      <c r="G235">
        <v>524</v>
      </c>
      <c r="H235" s="116"/>
      <c r="I235" s="116"/>
      <c r="L235" s="170">
        <v>42346</v>
      </c>
      <c r="M235" s="116">
        <v>1640.8</v>
      </c>
      <c r="N235" s="116">
        <v>1656.25</v>
      </c>
      <c r="O235" s="116">
        <v>1620</v>
      </c>
      <c r="P235" s="116">
        <v>1656.25</v>
      </c>
      <c r="Q235" s="116">
        <v>3281.6</v>
      </c>
      <c r="R235">
        <v>4517</v>
      </c>
    </row>
    <row r="236" spans="1:18" x14ac:dyDescent="0.25">
      <c r="A236" s="170">
        <v>42347</v>
      </c>
      <c r="B236" s="116">
        <v>1662.5</v>
      </c>
      <c r="C236" s="116">
        <v>1627.375</v>
      </c>
      <c r="D236" s="116">
        <v>1616.5</v>
      </c>
      <c r="E236" s="116">
        <v>1621.0250000000001</v>
      </c>
      <c r="F236" s="116">
        <v>3254.75</v>
      </c>
      <c r="G236">
        <v>784</v>
      </c>
      <c r="H236" s="116"/>
      <c r="I236" s="116"/>
      <c r="L236" s="170">
        <v>42347</v>
      </c>
      <c r="M236" s="116">
        <v>1635.125</v>
      </c>
      <c r="N236" s="116">
        <v>1650</v>
      </c>
      <c r="O236" s="116">
        <v>1617</v>
      </c>
      <c r="P236" s="116">
        <v>1649</v>
      </c>
      <c r="Q236" s="116">
        <v>3270.25</v>
      </c>
      <c r="R236">
        <v>4997</v>
      </c>
    </row>
    <row r="237" spans="1:18" x14ac:dyDescent="0.25">
      <c r="A237" s="170">
        <v>42348</v>
      </c>
      <c r="B237" s="116">
        <v>1642.7</v>
      </c>
      <c r="C237" s="116">
        <v>1619.75</v>
      </c>
      <c r="D237" s="116">
        <v>1615</v>
      </c>
      <c r="E237" s="116">
        <v>1642.7</v>
      </c>
      <c r="F237" s="116">
        <v>3239.5</v>
      </c>
      <c r="G237">
        <v>1040</v>
      </c>
      <c r="H237" s="116"/>
      <c r="I237" s="116"/>
      <c r="L237" s="170">
        <v>42348</v>
      </c>
      <c r="M237" s="116">
        <v>1625.2249999999999</v>
      </c>
      <c r="N237" s="116">
        <v>1650</v>
      </c>
      <c r="O237" s="116">
        <v>1615</v>
      </c>
      <c r="P237" s="116">
        <v>1644.9749999999999</v>
      </c>
      <c r="Q237" s="116">
        <v>3250.45</v>
      </c>
      <c r="R237">
        <v>6725</v>
      </c>
    </row>
    <row r="238" spans="1:18" x14ac:dyDescent="0.25">
      <c r="A238" s="170">
        <v>42349</v>
      </c>
      <c r="B238" s="116">
        <v>1627.5</v>
      </c>
      <c r="C238" s="116">
        <v>1616.575</v>
      </c>
      <c r="D238" s="116">
        <v>1610</v>
      </c>
      <c r="E238" s="116">
        <v>1616.625</v>
      </c>
      <c r="F238" s="116">
        <v>3233.15</v>
      </c>
      <c r="G238">
        <v>644</v>
      </c>
      <c r="H238" s="116"/>
      <c r="I238" s="116"/>
      <c r="L238" s="170">
        <v>42349</v>
      </c>
      <c r="M238" s="116">
        <v>1622.4</v>
      </c>
      <c r="N238" s="116">
        <v>1633.9749999999999</v>
      </c>
      <c r="O238" s="116">
        <v>1608.1</v>
      </c>
      <c r="P238" s="116">
        <v>1625</v>
      </c>
      <c r="Q238" s="116">
        <v>3244.8</v>
      </c>
      <c r="R238">
        <v>5392</v>
      </c>
    </row>
    <row r="239" spans="1:18" x14ac:dyDescent="0.25">
      <c r="A239" s="170">
        <v>42352</v>
      </c>
      <c r="B239" s="116">
        <v>1654.5</v>
      </c>
      <c r="C239" s="116">
        <v>1647.2249999999999</v>
      </c>
      <c r="D239" s="116">
        <v>1608</v>
      </c>
      <c r="E239" s="116">
        <v>1610</v>
      </c>
      <c r="F239" s="116">
        <v>3294.45</v>
      </c>
      <c r="G239">
        <v>1258</v>
      </c>
      <c r="H239" s="116"/>
      <c r="I239" s="116"/>
      <c r="L239" s="170">
        <v>42352</v>
      </c>
      <c r="M239" s="116">
        <v>1652.05</v>
      </c>
      <c r="N239" s="116">
        <v>1662.5</v>
      </c>
      <c r="O239" s="116">
        <v>1608</v>
      </c>
      <c r="P239" s="116">
        <v>1622.5</v>
      </c>
      <c r="Q239" s="116">
        <v>3304.1</v>
      </c>
      <c r="R239">
        <v>7723</v>
      </c>
    </row>
    <row r="240" spans="1:18" x14ac:dyDescent="0.25">
      <c r="A240" s="170">
        <v>42353</v>
      </c>
      <c r="B240" s="116">
        <v>1662.5</v>
      </c>
      <c r="C240" s="116">
        <v>1659.425</v>
      </c>
      <c r="D240" s="116">
        <v>1645</v>
      </c>
      <c r="E240" s="116">
        <v>1657.5</v>
      </c>
      <c r="F240" s="116">
        <v>3318.85</v>
      </c>
      <c r="G240">
        <v>1097</v>
      </c>
      <c r="H240" s="116"/>
      <c r="I240" s="116"/>
      <c r="L240" s="170">
        <v>42353</v>
      </c>
      <c r="M240" s="116">
        <v>1657.05</v>
      </c>
      <c r="N240" s="116">
        <v>1665</v>
      </c>
      <c r="O240" s="116">
        <v>1649.825</v>
      </c>
      <c r="P240" s="116">
        <v>1656</v>
      </c>
      <c r="Q240" s="116">
        <v>3314.1</v>
      </c>
      <c r="R240">
        <v>6030</v>
      </c>
    </row>
    <row r="241" spans="1:18" x14ac:dyDescent="0.25">
      <c r="A241" s="170">
        <v>42354</v>
      </c>
      <c r="B241" s="116">
        <v>1665</v>
      </c>
      <c r="C241" s="116">
        <v>1641.75</v>
      </c>
      <c r="D241" s="116">
        <v>1622</v>
      </c>
      <c r="E241" s="116">
        <v>1657</v>
      </c>
      <c r="F241" s="116">
        <v>3283.5</v>
      </c>
      <c r="G241">
        <v>1453</v>
      </c>
      <c r="H241" s="116"/>
      <c r="I241" s="116"/>
      <c r="L241" s="170">
        <v>42354</v>
      </c>
      <c r="M241" s="116">
        <v>1649.7</v>
      </c>
      <c r="N241" s="116">
        <v>1664.7249999999999</v>
      </c>
      <c r="O241" s="116">
        <v>1575.575</v>
      </c>
      <c r="P241" s="116">
        <v>1664.7249999999999</v>
      </c>
      <c r="Q241" s="116">
        <v>3299.4</v>
      </c>
      <c r="R241">
        <v>25675</v>
      </c>
    </row>
    <row r="242" spans="1:18" x14ac:dyDescent="0.25">
      <c r="A242" s="170">
        <v>42355</v>
      </c>
      <c r="B242" s="116">
        <v>1657.5</v>
      </c>
      <c r="C242" s="116">
        <v>1640.875</v>
      </c>
      <c r="D242" s="116">
        <v>1632.5</v>
      </c>
      <c r="E242" s="116">
        <v>1650</v>
      </c>
      <c r="F242" s="116">
        <v>3281.75</v>
      </c>
      <c r="G242">
        <v>742</v>
      </c>
      <c r="H242" s="116"/>
      <c r="I242" s="116"/>
      <c r="L242" s="170">
        <v>42355</v>
      </c>
      <c r="M242" s="116">
        <v>1648.65</v>
      </c>
      <c r="N242" s="116">
        <v>1654.5</v>
      </c>
      <c r="O242" s="116">
        <v>1635.15</v>
      </c>
      <c r="P242" s="116">
        <v>1653.5</v>
      </c>
      <c r="Q242" s="116">
        <v>3297.3</v>
      </c>
      <c r="R242">
        <v>3708</v>
      </c>
    </row>
    <row r="243" spans="1:18" x14ac:dyDescent="0.25">
      <c r="A243" s="170">
        <v>42356</v>
      </c>
      <c r="B243" s="116">
        <v>1659</v>
      </c>
      <c r="C243" s="116">
        <v>1638.4</v>
      </c>
      <c r="D243" s="116">
        <v>1635</v>
      </c>
      <c r="E243" s="116">
        <v>1642.6</v>
      </c>
      <c r="F243" s="116">
        <v>3276.8</v>
      </c>
      <c r="G243">
        <v>689</v>
      </c>
      <c r="H243" s="116"/>
      <c r="I243" s="116"/>
      <c r="L243" s="170">
        <v>42356</v>
      </c>
      <c r="M243" s="116">
        <v>1637.675</v>
      </c>
      <c r="N243" s="116">
        <v>1662.425</v>
      </c>
      <c r="O243" s="116">
        <v>1625.6</v>
      </c>
      <c r="P243" s="116">
        <v>1637.4749999999999</v>
      </c>
      <c r="Q243" s="116">
        <v>3275.35</v>
      </c>
      <c r="R243">
        <v>6630</v>
      </c>
    </row>
    <row r="244" spans="1:18" x14ac:dyDescent="0.25">
      <c r="A244" s="170">
        <v>42359</v>
      </c>
      <c r="B244" s="116">
        <v>1644.5</v>
      </c>
      <c r="C244" s="116">
        <v>1637</v>
      </c>
      <c r="D244" s="116">
        <v>1626.5</v>
      </c>
      <c r="E244" s="116">
        <v>1637.5</v>
      </c>
      <c r="F244" s="116">
        <v>3274</v>
      </c>
      <c r="G244">
        <v>551</v>
      </c>
      <c r="H244" s="116"/>
      <c r="I244" s="116"/>
      <c r="L244" s="170">
        <v>42359</v>
      </c>
      <c r="M244" s="116">
        <v>1639.075</v>
      </c>
      <c r="N244" s="116">
        <v>1647.5</v>
      </c>
      <c r="O244" s="116">
        <v>1622.5</v>
      </c>
      <c r="P244" s="116">
        <v>1622.5</v>
      </c>
      <c r="Q244" s="116">
        <v>3278.15</v>
      </c>
      <c r="R244">
        <v>2533</v>
      </c>
    </row>
    <row r="245" spans="1:18" x14ac:dyDescent="0.25">
      <c r="A245" s="170">
        <v>42360</v>
      </c>
      <c r="B245" s="116">
        <v>1635</v>
      </c>
      <c r="C245" s="116">
        <v>1630.825</v>
      </c>
      <c r="D245" s="116">
        <v>1622.3</v>
      </c>
      <c r="E245" s="116">
        <v>1632.5</v>
      </c>
      <c r="F245" s="116">
        <v>3261.65</v>
      </c>
      <c r="G245">
        <v>845</v>
      </c>
      <c r="H245" s="116"/>
      <c r="I245" s="116"/>
      <c r="L245" s="170">
        <v>42360</v>
      </c>
      <c r="M245" s="116">
        <v>1634.9749999999999</v>
      </c>
      <c r="N245" s="116">
        <v>1640</v>
      </c>
      <c r="O245" s="116">
        <v>1623</v>
      </c>
      <c r="P245" s="116">
        <v>1638.5</v>
      </c>
      <c r="Q245" s="116">
        <v>3269.95</v>
      </c>
      <c r="R245">
        <v>4511</v>
      </c>
    </row>
    <row r="246" spans="1:18" x14ac:dyDescent="0.25">
      <c r="A246" s="170">
        <v>42361</v>
      </c>
      <c r="B246" s="116">
        <v>1655</v>
      </c>
      <c r="C246" s="116">
        <v>1643</v>
      </c>
      <c r="D246" s="116">
        <v>1623.5</v>
      </c>
      <c r="E246" s="116">
        <v>1636</v>
      </c>
      <c r="F246" s="116">
        <v>3286</v>
      </c>
      <c r="G246">
        <v>1201</v>
      </c>
      <c r="H246" s="116"/>
      <c r="I246" s="116"/>
      <c r="L246" s="170">
        <v>42361</v>
      </c>
      <c r="M246" s="116">
        <v>1648.6</v>
      </c>
      <c r="N246" s="116">
        <v>1662.5</v>
      </c>
      <c r="O246" s="116">
        <v>1621.625</v>
      </c>
      <c r="P246" s="116">
        <v>1621.625</v>
      </c>
      <c r="Q246" s="116">
        <v>3297.2</v>
      </c>
      <c r="R246">
        <v>7677</v>
      </c>
    </row>
    <row r="247" spans="1:18" x14ac:dyDescent="0.25">
      <c r="A247" s="170">
        <v>42362</v>
      </c>
      <c r="B247" s="116">
        <v>1650</v>
      </c>
      <c r="C247" s="116">
        <v>1647.7750000000001</v>
      </c>
      <c r="D247" s="116">
        <v>1635</v>
      </c>
      <c r="E247" s="116">
        <v>1643.5</v>
      </c>
      <c r="F247" s="116">
        <v>3295.55</v>
      </c>
      <c r="G247">
        <v>294</v>
      </c>
      <c r="H247" s="116"/>
      <c r="I247" s="116"/>
      <c r="L247" s="170">
        <v>42362</v>
      </c>
      <c r="M247" s="116">
        <v>1647.7249999999999</v>
      </c>
      <c r="N247" s="116">
        <v>1649.9</v>
      </c>
      <c r="O247" s="116">
        <v>1632</v>
      </c>
      <c r="P247" s="116">
        <v>1632</v>
      </c>
      <c r="Q247" s="116">
        <v>3295.45</v>
      </c>
      <c r="R247">
        <v>2066</v>
      </c>
    </row>
    <row r="248" spans="1:18" x14ac:dyDescent="0.25">
      <c r="A248" s="170">
        <v>42366</v>
      </c>
      <c r="B248" s="116">
        <v>1660</v>
      </c>
      <c r="C248" s="116">
        <v>1642.2249999999999</v>
      </c>
      <c r="D248" s="116">
        <v>1639</v>
      </c>
      <c r="E248" s="116">
        <v>1650</v>
      </c>
      <c r="F248" s="116">
        <v>3284.45</v>
      </c>
      <c r="G248">
        <v>731</v>
      </c>
      <c r="H248" s="116"/>
      <c r="I248" s="116"/>
      <c r="L248" s="170">
        <v>42366</v>
      </c>
      <c r="M248" s="116">
        <v>1639.6</v>
      </c>
      <c r="N248" s="116">
        <v>1662.4</v>
      </c>
      <c r="O248" s="116">
        <v>1631.25</v>
      </c>
      <c r="P248" s="116">
        <v>1647.5</v>
      </c>
      <c r="Q248" s="116">
        <v>3279.2</v>
      </c>
      <c r="R248">
        <v>4240</v>
      </c>
    </row>
    <row r="249" spans="1:18" x14ac:dyDescent="0.25">
      <c r="A249" s="170">
        <v>42367</v>
      </c>
      <c r="B249" s="116">
        <v>1650.5</v>
      </c>
      <c r="C249" s="116">
        <v>1647.4</v>
      </c>
      <c r="D249" s="116">
        <v>1625</v>
      </c>
      <c r="E249" s="116">
        <v>1625</v>
      </c>
      <c r="F249" s="116">
        <v>3294.8</v>
      </c>
      <c r="G249">
        <v>268</v>
      </c>
      <c r="H249" s="116"/>
      <c r="I249" s="116"/>
      <c r="L249" s="170">
        <v>42367</v>
      </c>
      <c r="M249" s="116">
        <v>1648.5250000000001</v>
      </c>
      <c r="N249" s="116">
        <v>1653</v>
      </c>
      <c r="O249" s="116">
        <v>1635.5</v>
      </c>
      <c r="P249" s="116">
        <v>1639.5250000000001</v>
      </c>
      <c r="Q249" s="116">
        <v>3297.05</v>
      </c>
      <c r="R249">
        <v>32238</v>
      </c>
    </row>
    <row r="250" spans="1:18" x14ac:dyDescent="0.25">
      <c r="A250" s="170">
        <v>42368</v>
      </c>
      <c r="B250" s="116">
        <v>1665</v>
      </c>
      <c r="C250" s="116">
        <v>1656.375</v>
      </c>
      <c r="D250" s="116">
        <v>1629.325</v>
      </c>
      <c r="E250" s="116">
        <v>1643.25</v>
      </c>
      <c r="F250" s="116">
        <v>3312.75</v>
      </c>
      <c r="G250">
        <v>1106</v>
      </c>
      <c r="H250" s="116"/>
      <c r="I250" s="116"/>
      <c r="L250" s="170">
        <v>42368</v>
      </c>
      <c r="M250" s="116">
        <v>1662.1</v>
      </c>
      <c r="N250" s="116">
        <v>1672.5</v>
      </c>
      <c r="O250" s="116">
        <v>1637.5</v>
      </c>
      <c r="P250" s="116">
        <v>1652.9749999999999</v>
      </c>
      <c r="Q250" s="116">
        <v>3324.2</v>
      </c>
      <c r="R250">
        <v>30893</v>
      </c>
    </row>
    <row r="251" spans="1:18" x14ac:dyDescent="0.25">
      <c r="A251" s="170">
        <v>42369</v>
      </c>
      <c r="B251" s="116">
        <v>1665.9749999999999</v>
      </c>
      <c r="C251" s="116">
        <v>1660.5250000000001</v>
      </c>
      <c r="D251" s="116">
        <v>1649.15</v>
      </c>
      <c r="E251" s="116">
        <v>1649.55</v>
      </c>
      <c r="F251" s="116">
        <v>3321.05</v>
      </c>
      <c r="G251">
        <v>472</v>
      </c>
      <c r="H251" s="116"/>
      <c r="I251" s="116"/>
      <c r="L251" s="170">
        <v>42369</v>
      </c>
      <c r="M251" s="116">
        <v>1657.0250000000001</v>
      </c>
      <c r="N251" s="116">
        <v>1662.5</v>
      </c>
      <c r="O251" s="116">
        <v>1643.5</v>
      </c>
      <c r="P251" s="116">
        <v>1661.9749999999999</v>
      </c>
      <c r="Q251" s="116">
        <v>3314.05</v>
      </c>
      <c r="R251">
        <v>11220</v>
      </c>
    </row>
    <row r="252" spans="1:18" x14ac:dyDescent="0.25">
      <c r="A252" s="170">
        <v>42370</v>
      </c>
      <c r="B252" s="116">
        <v>1653.875</v>
      </c>
      <c r="C252" s="116">
        <v>1647.75</v>
      </c>
      <c r="D252" s="116">
        <v>1640.85</v>
      </c>
      <c r="E252" s="116">
        <v>1652.5</v>
      </c>
      <c r="F252" s="116">
        <v>3295.5</v>
      </c>
      <c r="G252">
        <v>378</v>
      </c>
      <c r="H252" s="116"/>
      <c r="I252" s="116"/>
      <c r="L252" s="170">
        <v>42370</v>
      </c>
      <c r="M252" s="116">
        <v>1647.425</v>
      </c>
      <c r="N252" s="116">
        <v>1658.575</v>
      </c>
      <c r="O252" s="116">
        <v>1644</v>
      </c>
      <c r="P252" s="116">
        <v>1657.5</v>
      </c>
      <c r="Q252" s="116">
        <v>3294.85</v>
      </c>
      <c r="R252">
        <v>1950</v>
      </c>
    </row>
    <row r="253" spans="1:18" x14ac:dyDescent="0.25">
      <c r="A253" s="170">
        <v>42373</v>
      </c>
      <c r="B253" s="116">
        <v>1647.1</v>
      </c>
      <c r="C253" s="116">
        <v>1626.5250000000001</v>
      </c>
      <c r="D253" s="116">
        <v>1622.5</v>
      </c>
      <c r="E253" s="116">
        <v>1645.5</v>
      </c>
      <c r="F253" s="116">
        <v>3253.05</v>
      </c>
      <c r="G253">
        <v>1691</v>
      </c>
      <c r="H253" s="116"/>
      <c r="I253" s="116"/>
      <c r="L253" s="170">
        <v>42373</v>
      </c>
      <c r="M253" s="116">
        <v>1629.1</v>
      </c>
      <c r="N253" s="116">
        <v>1649.5</v>
      </c>
      <c r="O253" s="116">
        <v>1622.4749999999999</v>
      </c>
      <c r="P253" s="116">
        <v>1638.5</v>
      </c>
      <c r="Q253" s="116">
        <v>3258.2</v>
      </c>
      <c r="R253">
        <v>5653</v>
      </c>
    </row>
    <row r="254" spans="1:18" x14ac:dyDescent="0.25">
      <c r="A254" s="170">
        <v>42374</v>
      </c>
      <c r="B254" s="116">
        <v>1640</v>
      </c>
      <c r="C254" s="116">
        <v>1633.175</v>
      </c>
      <c r="D254" s="116">
        <v>1620</v>
      </c>
      <c r="E254" s="116">
        <v>1632</v>
      </c>
      <c r="F254" s="116">
        <v>3266.35</v>
      </c>
      <c r="G254">
        <v>285</v>
      </c>
      <c r="H254" s="116"/>
      <c r="I254" s="116"/>
      <c r="L254" s="170">
        <v>42374</v>
      </c>
      <c r="M254" s="116">
        <v>1638.9</v>
      </c>
      <c r="N254" s="116">
        <v>1649.5</v>
      </c>
      <c r="O254" s="116">
        <v>1615</v>
      </c>
      <c r="P254" s="116">
        <v>1629.9749999999999</v>
      </c>
      <c r="Q254" s="116">
        <v>3277.8</v>
      </c>
      <c r="R254">
        <v>5485</v>
      </c>
    </row>
    <row r="255" spans="1:18" x14ac:dyDescent="0.25">
      <c r="A255" s="170">
        <v>42375</v>
      </c>
      <c r="B255" s="116">
        <v>1641.45</v>
      </c>
      <c r="C255" s="116">
        <v>1631.15</v>
      </c>
      <c r="D255" s="116">
        <v>1620.0250000000001</v>
      </c>
      <c r="E255" s="116">
        <v>1637.375</v>
      </c>
      <c r="F255" s="116">
        <v>3262.3</v>
      </c>
      <c r="G255">
        <v>947</v>
      </c>
      <c r="H255" s="116"/>
      <c r="I255" s="116"/>
      <c r="L255" s="170">
        <v>42375</v>
      </c>
      <c r="M255" s="116">
        <v>1638.5250000000001</v>
      </c>
      <c r="N255" s="116">
        <v>1647.4749999999999</v>
      </c>
      <c r="O255" s="116">
        <v>1626</v>
      </c>
      <c r="P255" s="116">
        <v>1629.125</v>
      </c>
      <c r="Q255" s="116">
        <v>3277.05</v>
      </c>
      <c r="R255">
        <v>3135</v>
      </c>
    </row>
    <row r="256" spans="1:18" x14ac:dyDescent="0.25">
      <c r="A256" s="170">
        <v>42376</v>
      </c>
      <c r="B256" s="116">
        <v>1623</v>
      </c>
      <c r="C256" s="116">
        <v>1615.75</v>
      </c>
      <c r="D256" s="116">
        <v>1609</v>
      </c>
      <c r="E256" s="116">
        <v>1622.55</v>
      </c>
      <c r="F256" s="116">
        <v>3231.5</v>
      </c>
      <c r="G256">
        <v>529</v>
      </c>
      <c r="H256" s="116"/>
      <c r="I256" s="116"/>
      <c r="L256" s="170">
        <v>42376</v>
      </c>
      <c r="M256" s="116">
        <v>1616.65</v>
      </c>
      <c r="N256" s="116">
        <v>1636.925</v>
      </c>
      <c r="O256" s="116">
        <v>1608</v>
      </c>
      <c r="P256" s="116">
        <v>1633.5</v>
      </c>
      <c r="Q256" s="116">
        <v>3233.3</v>
      </c>
      <c r="R256">
        <v>5982</v>
      </c>
    </row>
    <row r="257" spans="1:18" x14ac:dyDescent="0.25">
      <c r="A257" s="170">
        <v>42377</v>
      </c>
      <c r="B257" s="116">
        <v>1658.9</v>
      </c>
      <c r="C257" s="116">
        <v>1641.7</v>
      </c>
      <c r="D257" s="116">
        <v>1615.575</v>
      </c>
      <c r="E257" s="116">
        <v>1618.5</v>
      </c>
      <c r="F257" s="116">
        <v>3283.4</v>
      </c>
      <c r="G257">
        <v>1039</v>
      </c>
      <c r="H257" s="116"/>
      <c r="I257" s="116"/>
      <c r="L257" s="170">
        <v>42377</v>
      </c>
      <c r="M257" s="116">
        <v>1647.75</v>
      </c>
      <c r="N257" s="116">
        <v>1662.5</v>
      </c>
      <c r="O257" s="116">
        <v>1612.5</v>
      </c>
      <c r="P257" s="116">
        <v>1612.5</v>
      </c>
      <c r="Q257" s="116">
        <v>3295.5</v>
      </c>
      <c r="R257">
        <v>9828</v>
      </c>
    </row>
    <row r="258" spans="1:18" x14ac:dyDescent="0.25">
      <c r="A258" s="170">
        <v>42380</v>
      </c>
      <c r="B258" s="116">
        <v>1641.5</v>
      </c>
      <c r="C258" s="116">
        <v>1618.7</v>
      </c>
      <c r="D258" s="116">
        <v>1612.5</v>
      </c>
      <c r="E258" s="116">
        <v>1641.5</v>
      </c>
      <c r="F258" s="116">
        <v>3237.4</v>
      </c>
      <c r="G258">
        <v>369</v>
      </c>
      <c r="H258" s="116"/>
      <c r="I258" s="116"/>
      <c r="L258" s="170">
        <v>42380</v>
      </c>
      <c r="M258" s="116">
        <v>1615.3</v>
      </c>
      <c r="N258" s="116">
        <v>1647.5</v>
      </c>
      <c r="O258" s="116">
        <v>1609</v>
      </c>
      <c r="P258" s="116">
        <v>1647.5</v>
      </c>
      <c r="Q258" s="116">
        <v>3230.6</v>
      </c>
      <c r="R258">
        <v>6218</v>
      </c>
    </row>
    <row r="259" spans="1:18" x14ac:dyDescent="0.25">
      <c r="A259" s="170">
        <v>42381</v>
      </c>
      <c r="B259" s="116">
        <v>1642</v>
      </c>
      <c r="C259" s="116">
        <v>1619.875</v>
      </c>
      <c r="D259" s="116">
        <v>1610</v>
      </c>
      <c r="E259" s="116">
        <v>1616.9749999999999</v>
      </c>
      <c r="F259" s="116">
        <v>3239.75</v>
      </c>
      <c r="G259">
        <v>3247</v>
      </c>
      <c r="H259" s="116"/>
      <c r="I259" s="116"/>
      <c r="L259" s="170">
        <v>42381</v>
      </c>
      <c r="M259" s="116">
        <v>1635.0250000000001</v>
      </c>
      <c r="N259" s="116">
        <v>1648.9749999999999</v>
      </c>
      <c r="O259" s="116">
        <v>1610.0250000000001</v>
      </c>
      <c r="P259" s="116">
        <v>1610.0250000000001</v>
      </c>
      <c r="Q259" s="116">
        <v>3270.05</v>
      </c>
      <c r="R259">
        <v>6601</v>
      </c>
    </row>
    <row r="260" spans="1:18" x14ac:dyDescent="0.25">
      <c r="A260" s="170">
        <v>42382</v>
      </c>
      <c r="B260" s="116">
        <v>1646.9749999999999</v>
      </c>
      <c r="C260" s="116">
        <v>1638.425</v>
      </c>
      <c r="D260" s="116">
        <v>1602</v>
      </c>
      <c r="E260" s="116">
        <v>1642</v>
      </c>
      <c r="F260" s="116">
        <v>3276.85</v>
      </c>
      <c r="G260">
        <v>1666</v>
      </c>
      <c r="H260" s="116"/>
      <c r="I260" s="116"/>
      <c r="L260" s="170">
        <v>42382</v>
      </c>
      <c r="M260" s="116">
        <v>1647.05</v>
      </c>
      <c r="N260" s="116">
        <v>1655</v>
      </c>
      <c r="O260" s="116">
        <v>1605</v>
      </c>
      <c r="P260" s="116">
        <v>1645</v>
      </c>
      <c r="Q260" s="116">
        <v>3294.1</v>
      </c>
      <c r="R260">
        <v>9048</v>
      </c>
    </row>
    <row r="261" spans="1:18" x14ac:dyDescent="0.25">
      <c r="A261" s="170">
        <v>42383</v>
      </c>
      <c r="B261" s="116">
        <v>1642</v>
      </c>
      <c r="C261" s="116">
        <v>1620.7249999999999</v>
      </c>
      <c r="D261" s="116">
        <v>1612</v>
      </c>
      <c r="E261" s="116">
        <v>1627.75</v>
      </c>
      <c r="F261" s="116">
        <v>3241.45</v>
      </c>
      <c r="G261">
        <v>276</v>
      </c>
      <c r="H261" s="116"/>
      <c r="I261" s="116"/>
      <c r="L261" s="170">
        <v>42383</v>
      </c>
      <c r="M261" s="116">
        <v>1616.55</v>
      </c>
      <c r="N261" s="116">
        <v>1649</v>
      </c>
      <c r="O261" s="116">
        <v>1605</v>
      </c>
      <c r="P261" s="116">
        <v>1644.75</v>
      </c>
      <c r="Q261" s="116">
        <v>3233.1</v>
      </c>
      <c r="R261">
        <v>6809</v>
      </c>
    </row>
    <row r="262" spans="1:18" x14ac:dyDescent="0.25">
      <c r="A262" s="170">
        <v>42384</v>
      </c>
      <c r="B262" s="116">
        <v>1624</v>
      </c>
      <c r="C262" s="116">
        <v>1591.125</v>
      </c>
      <c r="D262" s="116">
        <v>1580</v>
      </c>
      <c r="E262" s="116">
        <v>1615.55</v>
      </c>
      <c r="F262" s="116">
        <v>3182.25</v>
      </c>
      <c r="G262">
        <v>912</v>
      </c>
      <c r="H262" s="116"/>
      <c r="I262" s="116"/>
      <c r="L262" s="170">
        <v>42384</v>
      </c>
      <c r="M262" s="116">
        <v>1603.7249999999999</v>
      </c>
      <c r="N262" s="116">
        <v>1627</v>
      </c>
      <c r="O262" s="116">
        <v>1592.5</v>
      </c>
      <c r="P262" s="116">
        <v>1619.9749999999999</v>
      </c>
      <c r="Q262" s="116">
        <v>3207.45</v>
      </c>
      <c r="R262">
        <v>5288</v>
      </c>
    </row>
    <row r="263" spans="1:18" x14ac:dyDescent="0.25">
      <c r="A263" s="170">
        <v>42387</v>
      </c>
      <c r="B263" s="116">
        <v>1592.4749999999999</v>
      </c>
      <c r="C263" s="116">
        <v>1583.75</v>
      </c>
      <c r="D263" s="116">
        <v>1573.5250000000001</v>
      </c>
      <c r="E263" s="116">
        <v>1586.25</v>
      </c>
      <c r="F263" s="116">
        <v>3167.5</v>
      </c>
      <c r="G263">
        <v>1286</v>
      </c>
      <c r="H263" s="116"/>
      <c r="I263" s="116"/>
      <c r="L263" s="170">
        <v>42387</v>
      </c>
      <c r="M263" s="116">
        <v>1581.125</v>
      </c>
      <c r="N263" s="116">
        <v>1600.575</v>
      </c>
      <c r="O263" s="116">
        <v>1572.45</v>
      </c>
      <c r="P263" s="116">
        <v>1580.5</v>
      </c>
      <c r="Q263" s="116">
        <v>3162.25</v>
      </c>
      <c r="R263">
        <v>7184</v>
      </c>
    </row>
    <row r="264" spans="1:18" x14ac:dyDescent="0.25">
      <c r="A264" s="170">
        <v>42388</v>
      </c>
      <c r="B264" s="116">
        <v>1607.5</v>
      </c>
      <c r="C264" s="116">
        <v>1592.05</v>
      </c>
      <c r="D264" s="116">
        <v>1572</v>
      </c>
      <c r="E264" s="116">
        <v>1584</v>
      </c>
      <c r="F264" s="116">
        <v>3184.1</v>
      </c>
      <c r="G264">
        <v>2473</v>
      </c>
      <c r="H264" s="116"/>
      <c r="I264" s="116"/>
      <c r="L264" s="170">
        <v>42388</v>
      </c>
      <c r="M264" s="116">
        <v>1602.2</v>
      </c>
      <c r="N264" s="116">
        <v>1650</v>
      </c>
      <c r="O264" s="116">
        <v>1572</v>
      </c>
      <c r="P264" s="116">
        <v>1583.4749999999999</v>
      </c>
      <c r="Q264" s="116">
        <v>3204.4</v>
      </c>
      <c r="R264">
        <v>24887</v>
      </c>
    </row>
    <row r="265" spans="1:18" x14ac:dyDescent="0.25">
      <c r="A265" s="170">
        <v>42389</v>
      </c>
      <c r="B265" s="116">
        <v>1581.5</v>
      </c>
      <c r="C265" s="116">
        <v>1571.25</v>
      </c>
      <c r="D265" s="116">
        <v>1562</v>
      </c>
      <c r="E265" s="116">
        <v>1581.5</v>
      </c>
      <c r="F265" s="116">
        <v>3142.5</v>
      </c>
      <c r="G265">
        <v>3262</v>
      </c>
      <c r="H265" s="116"/>
      <c r="I265" s="116"/>
      <c r="L265" s="170">
        <v>42389</v>
      </c>
      <c r="M265" s="116">
        <v>1571.425</v>
      </c>
      <c r="N265" s="116">
        <v>1584</v>
      </c>
      <c r="O265" s="116">
        <v>1550.6</v>
      </c>
      <c r="P265" s="116">
        <v>1584</v>
      </c>
      <c r="Q265" s="116">
        <v>3142.85</v>
      </c>
      <c r="R265">
        <v>11895</v>
      </c>
    </row>
    <row r="266" spans="1:18" x14ac:dyDescent="0.25">
      <c r="A266" s="170">
        <v>42390</v>
      </c>
      <c r="B266" s="116">
        <v>1584.9749999999999</v>
      </c>
      <c r="C266" s="116">
        <v>1531.2</v>
      </c>
      <c r="D266" s="116">
        <v>1517.825</v>
      </c>
      <c r="E266" s="116">
        <v>1584.9749999999999</v>
      </c>
      <c r="F266" s="116">
        <v>3062.4</v>
      </c>
      <c r="G266">
        <v>2118</v>
      </c>
      <c r="H266" s="116"/>
      <c r="I266" s="116"/>
      <c r="L266" s="170">
        <v>42390</v>
      </c>
      <c r="M266" s="116">
        <v>1534.375</v>
      </c>
      <c r="N266" s="116">
        <v>1584.2</v>
      </c>
      <c r="O266" s="116">
        <v>1516.0250000000001</v>
      </c>
      <c r="P266" s="116">
        <v>1575.0250000000001</v>
      </c>
      <c r="Q266" s="116">
        <v>3068.75</v>
      </c>
      <c r="R266">
        <v>12227</v>
      </c>
    </row>
    <row r="267" spans="1:18" x14ac:dyDescent="0.25">
      <c r="A267" s="170">
        <v>42391</v>
      </c>
      <c r="B267" s="116">
        <v>1594.5</v>
      </c>
      <c r="C267" s="116">
        <v>1564.575</v>
      </c>
      <c r="D267" s="116">
        <v>1531</v>
      </c>
      <c r="E267" s="116">
        <v>1531.0250000000001</v>
      </c>
      <c r="F267" s="116">
        <v>3129.15</v>
      </c>
      <c r="G267">
        <v>2041</v>
      </c>
      <c r="H267" s="116"/>
      <c r="I267" s="116"/>
      <c r="L267" s="170">
        <v>42391</v>
      </c>
      <c r="M267" s="116">
        <v>1579.825</v>
      </c>
      <c r="N267" s="116">
        <v>1614.5</v>
      </c>
      <c r="O267" s="116">
        <v>1527.55</v>
      </c>
      <c r="P267" s="116">
        <v>1537</v>
      </c>
      <c r="Q267" s="116">
        <v>3159.65</v>
      </c>
      <c r="R267">
        <v>10922</v>
      </c>
    </row>
    <row r="268" spans="1:18" x14ac:dyDescent="0.25">
      <c r="A268" s="170">
        <v>42394</v>
      </c>
      <c r="B268" s="116">
        <v>1602.5</v>
      </c>
      <c r="C268" s="116">
        <v>1586.675</v>
      </c>
      <c r="D268" s="116">
        <v>1585</v>
      </c>
      <c r="E268" s="116">
        <v>1600</v>
      </c>
      <c r="F268" s="116">
        <v>3173.35</v>
      </c>
      <c r="G268">
        <v>728</v>
      </c>
      <c r="H268" s="116"/>
      <c r="I268" s="116"/>
      <c r="L268" s="170">
        <v>42394</v>
      </c>
      <c r="M268" s="116">
        <v>1592.05</v>
      </c>
      <c r="N268" s="116">
        <v>1606</v>
      </c>
      <c r="O268" s="116">
        <v>1580.6</v>
      </c>
      <c r="P268" s="116">
        <v>1605</v>
      </c>
      <c r="Q268" s="116">
        <v>3184.1</v>
      </c>
      <c r="R268">
        <v>3208</v>
      </c>
    </row>
    <row r="269" spans="1:18" x14ac:dyDescent="0.25">
      <c r="A269" s="170">
        <v>42396</v>
      </c>
      <c r="B269" s="116">
        <v>1616.825</v>
      </c>
      <c r="C269" s="116">
        <v>1608.625</v>
      </c>
      <c r="D269" s="116">
        <v>1582.5</v>
      </c>
      <c r="E269" s="116">
        <v>1591</v>
      </c>
      <c r="F269" s="116">
        <v>3217.25</v>
      </c>
      <c r="G269">
        <v>875</v>
      </c>
      <c r="H269" s="116"/>
      <c r="I269" s="116"/>
      <c r="L269" s="170">
        <v>42396</v>
      </c>
      <c r="M269" s="116">
        <v>1615.325</v>
      </c>
      <c r="N269" s="116">
        <v>1624.2</v>
      </c>
      <c r="O269" s="116">
        <v>1580</v>
      </c>
      <c r="P269" s="116">
        <v>1597</v>
      </c>
      <c r="Q269" s="116">
        <v>3230.65</v>
      </c>
      <c r="R269">
        <v>3737</v>
      </c>
    </row>
    <row r="270" spans="1:18" x14ac:dyDescent="0.25">
      <c r="A270" s="170">
        <v>42397</v>
      </c>
      <c r="B270" s="116">
        <v>1612.5</v>
      </c>
      <c r="C270" s="116">
        <v>1609.2249999999999</v>
      </c>
      <c r="D270" s="116">
        <v>1592.5</v>
      </c>
      <c r="E270" s="116">
        <v>1610</v>
      </c>
      <c r="F270" s="116">
        <v>3218.45</v>
      </c>
      <c r="G270">
        <v>972</v>
      </c>
      <c r="H270" s="116"/>
      <c r="I270" s="116"/>
      <c r="L270" s="170">
        <v>42397</v>
      </c>
      <c r="M270" s="116">
        <v>1614.8</v>
      </c>
      <c r="N270" s="116">
        <v>1624</v>
      </c>
      <c r="O270" s="116">
        <v>1593.625</v>
      </c>
      <c r="P270" s="116">
        <v>1600.5</v>
      </c>
      <c r="Q270" s="116">
        <v>3229.6</v>
      </c>
      <c r="R270">
        <v>3367</v>
      </c>
    </row>
    <row r="271" spans="1:18" x14ac:dyDescent="0.25">
      <c r="A271" s="170">
        <v>42398</v>
      </c>
      <c r="B271" s="116">
        <v>1632.5</v>
      </c>
      <c r="C271" s="116">
        <v>1612.05</v>
      </c>
      <c r="D271" s="116">
        <v>1605</v>
      </c>
      <c r="E271" s="116">
        <v>1612.5</v>
      </c>
      <c r="F271" s="116">
        <v>3224.1</v>
      </c>
      <c r="G271">
        <v>480</v>
      </c>
      <c r="H271" s="116"/>
      <c r="I271" s="116"/>
      <c r="L271" s="170">
        <v>42398</v>
      </c>
      <c r="M271" s="116">
        <v>1618.2</v>
      </c>
      <c r="N271" s="116">
        <v>1637.5</v>
      </c>
      <c r="O271" s="116">
        <v>1605.575</v>
      </c>
      <c r="P271" s="116">
        <v>1610.5</v>
      </c>
      <c r="Q271" s="116">
        <v>3236.4</v>
      </c>
      <c r="R271">
        <v>5783</v>
      </c>
    </row>
    <row r="272" spans="1:18" x14ac:dyDescent="0.25">
      <c r="A272" s="170">
        <v>42401</v>
      </c>
      <c r="B272" s="116">
        <v>1649.9749999999999</v>
      </c>
      <c r="C272" s="116">
        <v>1641.175</v>
      </c>
      <c r="D272" s="116">
        <v>1608.5</v>
      </c>
      <c r="E272" s="116">
        <v>1612</v>
      </c>
      <c r="F272" s="116">
        <v>3282.35</v>
      </c>
      <c r="G272">
        <v>1313</v>
      </c>
      <c r="H272" s="116"/>
      <c r="I272" s="116"/>
      <c r="L272" s="170">
        <v>42401</v>
      </c>
      <c r="M272" s="116">
        <v>1648.6</v>
      </c>
      <c r="N272" s="116">
        <v>1656.35</v>
      </c>
      <c r="O272" s="116">
        <v>1600</v>
      </c>
      <c r="P272" s="116">
        <v>1618.5</v>
      </c>
      <c r="Q272" s="116">
        <v>3297.2</v>
      </c>
      <c r="R272">
        <v>7952</v>
      </c>
    </row>
    <row r="273" spans="1:18" x14ac:dyDescent="0.25">
      <c r="A273" s="170">
        <v>42402</v>
      </c>
      <c r="B273" s="116">
        <v>1653.25</v>
      </c>
      <c r="C273" s="116">
        <v>1633.2750000000001</v>
      </c>
      <c r="D273" s="116">
        <v>1624.5</v>
      </c>
      <c r="E273" s="116">
        <v>1640</v>
      </c>
      <c r="F273" s="116">
        <v>3266.55</v>
      </c>
      <c r="G273">
        <v>792</v>
      </c>
      <c r="H273" s="116"/>
      <c r="I273" s="116"/>
      <c r="L273" s="170">
        <v>42402</v>
      </c>
      <c r="M273" s="116">
        <v>1631.1</v>
      </c>
      <c r="N273" s="116">
        <v>1650</v>
      </c>
      <c r="O273" s="116">
        <v>1618</v>
      </c>
      <c r="P273" s="116">
        <v>1647.95</v>
      </c>
      <c r="Q273" s="116">
        <v>3262.2</v>
      </c>
      <c r="R273">
        <v>15388</v>
      </c>
    </row>
    <row r="274" spans="1:18" x14ac:dyDescent="0.25">
      <c r="A274" s="170">
        <v>42403</v>
      </c>
      <c r="B274" s="116">
        <v>1625.2750000000001</v>
      </c>
      <c r="C274" s="116">
        <v>1605.4749999999999</v>
      </c>
      <c r="D274" s="116">
        <v>1601.5</v>
      </c>
      <c r="E274" s="116">
        <v>1625.2750000000001</v>
      </c>
      <c r="F274" s="116">
        <v>3210.95</v>
      </c>
      <c r="G274">
        <v>554</v>
      </c>
      <c r="H274" s="116"/>
      <c r="I274" s="116"/>
      <c r="L274" s="170">
        <v>42403</v>
      </c>
      <c r="M274" s="116">
        <v>1604.05</v>
      </c>
      <c r="N274" s="116">
        <v>1631</v>
      </c>
      <c r="O274" s="116">
        <v>1600.05</v>
      </c>
      <c r="P274" s="116">
        <v>1631</v>
      </c>
      <c r="Q274" s="116">
        <v>3208.1</v>
      </c>
      <c r="R274">
        <v>11349</v>
      </c>
    </row>
    <row r="275" spans="1:18" x14ac:dyDescent="0.25">
      <c r="A275" s="170">
        <v>42404</v>
      </c>
      <c r="B275" s="116">
        <v>1625</v>
      </c>
      <c r="C275" s="116">
        <v>1607.1</v>
      </c>
      <c r="D275" s="116">
        <v>1587.5</v>
      </c>
      <c r="E275" s="116">
        <v>1615</v>
      </c>
      <c r="F275" s="116">
        <v>3214.2</v>
      </c>
      <c r="G275">
        <v>1959</v>
      </c>
      <c r="H275" s="116"/>
      <c r="I275" s="116"/>
      <c r="L275" s="170">
        <v>42404</v>
      </c>
      <c r="M275" s="116">
        <v>1613.4</v>
      </c>
      <c r="N275" s="116">
        <v>1622.75</v>
      </c>
      <c r="O275" s="116">
        <v>1591.175</v>
      </c>
      <c r="P275" s="116">
        <v>1605</v>
      </c>
      <c r="Q275" s="116">
        <v>3226.8</v>
      </c>
      <c r="R275">
        <v>4454</v>
      </c>
    </row>
    <row r="276" spans="1:18" x14ac:dyDescent="0.25">
      <c r="A276" s="170">
        <v>42405</v>
      </c>
      <c r="B276" s="116">
        <v>1655</v>
      </c>
      <c r="C276" s="116">
        <v>1645.4</v>
      </c>
      <c r="D276" s="116">
        <v>1613</v>
      </c>
      <c r="E276" s="116">
        <v>1613</v>
      </c>
      <c r="F276" s="116">
        <v>3290.8</v>
      </c>
      <c r="G276">
        <v>1328</v>
      </c>
      <c r="H276" s="116"/>
      <c r="I276" s="116"/>
      <c r="L276" s="170">
        <v>42405</v>
      </c>
      <c r="M276" s="116">
        <v>1653.15</v>
      </c>
      <c r="N276" s="116">
        <v>1674.4</v>
      </c>
      <c r="O276" s="116">
        <v>1607.5</v>
      </c>
      <c r="P276" s="116">
        <v>1613</v>
      </c>
      <c r="Q276" s="116">
        <v>3306.3</v>
      </c>
      <c r="R276">
        <v>8560</v>
      </c>
    </row>
    <row r="277" spans="1:18" x14ac:dyDescent="0.25">
      <c r="A277" s="170">
        <v>42408</v>
      </c>
      <c r="B277" s="116">
        <v>1648.9749999999999</v>
      </c>
      <c r="C277" s="116">
        <v>1645.55</v>
      </c>
      <c r="D277" s="116">
        <v>1635</v>
      </c>
      <c r="E277" s="116">
        <v>1644.5</v>
      </c>
      <c r="F277" s="116">
        <v>3291.1</v>
      </c>
      <c r="G277">
        <v>403</v>
      </c>
      <c r="H277" s="116"/>
      <c r="I277" s="116"/>
      <c r="L277" s="170">
        <v>42408</v>
      </c>
      <c r="M277" s="116">
        <v>1648.3</v>
      </c>
      <c r="N277" s="116">
        <v>1653</v>
      </c>
      <c r="O277" s="116">
        <v>1626.325</v>
      </c>
      <c r="P277" s="116">
        <v>1645</v>
      </c>
      <c r="Q277" s="116">
        <v>3296.6</v>
      </c>
      <c r="R277">
        <v>2651</v>
      </c>
    </row>
    <row r="278" spans="1:18" x14ac:dyDescent="0.25">
      <c r="A278" s="170">
        <v>42409</v>
      </c>
      <c r="B278" s="116">
        <v>1638.75</v>
      </c>
      <c r="C278" s="116">
        <v>1614.175</v>
      </c>
      <c r="D278" s="116">
        <v>1605.575</v>
      </c>
      <c r="E278" s="116">
        <v>1625.175</v>
      </c>
      <c r="F278" s="116">
        <v>3228.35</v>
      </c>
      <c r="G278">
        <v>422</v>
      </c>
      <c r="H278" s="116"/>
      <c r="I278" s="116"/>
      <c r="L278" s="170">
        <v>42409</v>
      </c>
      <c r="M278" s="116">
        <v>1621.85</v>
      </c>
      <c r="N278" s="116">
        <v>1644.65</v>
      </c>
      <c r="O278" s="116">
        <v>1614.45</v>
      </c>
      <c r="P278" s="116">
        <v>1630.325</v>
      </c>
      <c r="Q278" s="116">
        <v>3243.7</v>
      </c>
      <c r="R278">
        <v>2173</v>
      </c>
    </row>
    <row r="279" spans="1:18" x14ac:dyDescent="0.25">
      <c r="A279" s="170">
        <v>42410</v>
      </c>
      <c r="B279" s="116">
        <v>1639.925</v>
      </c>
      <c r="C279" s="116">
        <v>1619.4749999999999</v>
      </c>
      <c r="D279" s="116">
        <v>1607.425</v>
      </c>
      <c r="E279" s="116">
        <v>1622</v>
      </c>
      <c r="F279" s="116">
        <v>3238.95</v>
      </c>
      <c r="G279">
        <v>617</v>
      </c>
      <c r="H279" s="116"/>
      <c r="I279" s="116"/>
      <c r="L279" s="170">
        <v>42410</v>
      </c>
      <c r="M279" s="116">
        <v>1622.35</v>
      </c>
      <c r="N279" s="116">
        <v>1641.9749999999999</v>
      </c>
      <c r="O279" s="116">
        <v>1610</v>
      </c>
      <c r="P279" s="116">
        <v>1620.5</v>
      </c>
      <c r="Q279" s="116">
        <v>3244.7</v>
      </c>
      <c r="R279">
        <v>6291</v>
      </c>
    </row>
    <row r="280" spans="1:18" x14ac:dyDescent="0.25">
      <c r="A280" s="170">
        <v>42411</v>
      </c>
      <c r="B280" s="116">
        <v>1627.5</v>
      </c>
      <c r="C280" s="116">
        <v>1606.325</v>
      </c>
      <c r="D280" s="116">
        <v>1597.5</v>
      </c>
      <c r="E280" s="116">
        <v>1612.55</v>
      </c>
      <c r="F280" s="116">
        <v>3212.65</v>
      </c>
      <c r="G280">
        <v>4481</v>
      </c>
      <c r="H280" s="116"/>
      <c r="I280" s="116"/>
      <c r="L280" s="170">
        <v>42411</v>
      </c>
      <c r="M280" s="116">
        <v>1601.1</v>
      </c>
      <c r="N280" s="116">
        <v>1620</v>
      </c>
      <c r="O280" s="116">
        <v>1590</v>
      </c>
      <c r="P280" s="116">
        <v>1620</v>
      </c>
      <c r="Q280" s="116">
        <v>3202.2</v>
      </c>
      <c r="R280">
        <v>9254</v>
      </c>
    </row>
    <row r="281" spans="1:18" x14ac:dyDescent="0.25">
      <c r="A281" s="170">
        <v>42412</v>
      </c>
      <c r="B281" s="116">
        <v>1620</v>
      </c>
      <c r="C281" s="116">
        <v>1601.85</v>
      </c>
      <c r="D281" s="116">
        <v>1565</v>
      </c>
      <c r="E281" s="116">
        <v>1607.5</v>
      </c>
      <c r="F281" s="116">
        <v>3203.7</v>
      </c>
      <c r="G281">
        <v>1224</v>
      </c>
      <c r="H281" s="116"/>
      <c r="I281" s="116"/>
      <c r="L281" s="170">
        <v>42412</v>
      </c>
      <c r="M281" s="116">
        <v>1611.125</v>
      </c>
      <c r="N281" s="116">
        <v>1625</v>
      </c>
      <c r="O281" s="116">
        <v>1558.5</v>
      </c>
      <c r="P281" s="116">
        <v>1618.4749999999999</v>
      </c>
      <c r="Q281" s="116">
        <v>3222.25</v>
      </c>
      <c r="R281">
        <v>6089</v>
      </c>
    </row>
    <row r="282" spans="1:18" x14ac:dyDescent="0.25">
      <c r="A282" s="170">
        <v>42415</v>
      </c>
      <c r="B282" s="116">
        <v>1622.5</v>
      </c>
      <c r="C282" s="116">
        <v>1611.2</v>
      </c>
      <c r="D282" s="116">
        <v>1600</v>
      </c>
      <c r="E282" s="116">
        <v>1602</v>
      </c>
      <c r="F282" s="116">
        <v>3222.4</v>
      </c>
      <c r="G282">
        <v>793</v>
      </c>
      <c r="H282" s="116"/>
      <c r="I282" s="116"/>
      <c r="L282" s="170">
        <v>42415</v>
      </c>
      <c r="M282" s="116">
        <v>1607.8</v>
      </c>
      <c r="N282" s="116">
        <v>1623</v>
      </c>
      <c r="O282" s="116">
        <v>1595.6</v>
      </c>
      <c r="P282" s="116">
        <v>1597.5</v>
      </c>
      <c r="Q282" s="116">
        <v>3215.6</v>
      </c>
      <c r="R282">
        <v>3736</v>
      </c>
    </row>
    <row r="283" spans="1:18" x14ac:dyDescent="0.25">
      <c r="A283" s="170">
        <v>42416</v>
      </c>
      <c r="B283" s="116">
        <v>1605.5</v>
      </c>
      <c r="C283" s="116">
        <v>1580.4</v>
      </c>
      <c r="D283" s="116">
        <v>1575</v>
      </c>
      <c r="E283" s="116">
        <v>1600</v>
      </c>
      <c r="F283" s="116">
        <v>3160.8</v>
      </c>
      <c r="G283">
        <v>514</v>
      </c>
      <c r="H283" s="116"/>
      <c r="I283" s="116"/>
      <c r="L283" s="170">
        <v>42416</v>
      </c>
      <c r="M283" s="116">
        <v>1589.9</v>
      </c>
      <c r="N283" s="116">
        <v>1612.5</v>
      </c>
      <c r="O283" s="116">
        <v>1577.5</v>
      </c>
      <c r="P283" s="116">
        <v>1593</v>
      </c>
      <c r="Q283" s="116">
        <v>3179.8</v>
      </c>
      <c r="R283">
        <v>3453</v>
      </c>
    </row>
    <row r="284" spans="1:18" x14ac:dyDescent="0.25">
      <c r="A284" s="170">
        <v>42417</v>
      </c>
      <c r="B284" s="116">
        <v>1610.5</v>
      </c>
      <c r="C284" s="116">
        <v>1597.4749999999999</v>
      </c>
      <c r="D284" s="116">
        <v>1573.65</v>
      </c>
      <c r="E284" s="116">
        <v>1582</v>
      </c>
      <c r="F284" s="116">
        <v>3194.95</v>
      </c>
      <c r="G284">
        <v>973</v>
      </c>
      <c r="H284" s="116"/>
      <c r="I284" s="116"/>
      <c r="L284" s="170">
        <v>42417</v>
      </c>
      <c r="M284" s="116">
        <v>1608.575</v>
      </c>
      <c r="N284" s="116">
        <v>1624.25</v>
      </c>
      <c r="O284" s="116">
        <v>1575</v>
      </c>
      <c r="P284" s="116">
        <v>1586</v>
      </c>
      <c r="Q284" s="116">
        <v>3217.15</v>
      </c>
      <c r="R284">
        <v>5743</v>
      </c>
    </row>
    <row r="285" spans="1:18" x14ac:dyDescent="0.25">
      <c r="A285" s="170">
        <v>42418</v>
      </c>
      <c r="B285" s="116">
        <v>1606.9</v>
      </c>
      <c r="C285" s="116">
        <v>1600.25</v>
      </c>
      <c r="D285" s="116">
        <v>1556.5</v>
      </c>
      <c r="E285" s="116">
        <v>1595.125</v>
      </c>
      <c r="F285" s="116">
        <v>3200.5</v>
      </c>
      <c r="G285">
        <v>761</v>
      </c>
      <c r="H285" s="116"/>
      <c r="I285" s="116"/>
      <c r="L285" s="170">
        <v>42418</v>
      </c>
      <c r="M285" s="116">
        <v>1602.6</v>
      </c>
      <c r="N285" s="116">
        <v>1620</v>
      </c>
      <c r="O285" s="116">
        <v>1593</v>
      </c>
      <c r="P285" s="116">
        <v>1620</v>
      </c>
      <c r="Q285" s="116">
        <v>3205.2</v>
      </c>
      <c r="R285">
        <v>7327</v>
      </c>
    </row>
    <row r="286" spans="1:18" x14ac:dyDescent="0.25">
      <c r="A286" s="170">
        <v>42419</v>
      </c>
      <c r="B286" s="116">
        <v>1618</v>
      </c>
      <c r="C286" s="116">
        <v>1602.2750000000001</v>
      </c>
      <c r="D286" s="116">
        <v>1582.5</v>
      </c>
      <c r="E286" s="116">
        <v>1593.125</v>
      </c>
      <c r="F286" s="116">
        <v>3204.55</v>
      </c>
      <c r="G286">
        <v>447</v>
      </c>
      <c r="H286" s="116"/>
      <c r="I286" s="116"/>
      <c r="L286" s="170">
        <v>42419</v>
      </c>
      <c r="M286" s="116">
        <v>1611.5250000000001</v>
      </c>
      <c r="N286" s="116">
        <v>1624</v>
      </c>
      <c r="O286" s="116">
        <v>1575.0250000000001</v>
      </c>
      <c r="P286" s="116">
        <v>1575.0250000000001</v>
      </c>
      <c r="Q286" s="116">
        <v>3223.05</v>
      </c>
      <c r="R286">
        <v>3088</v>
      </c>
    </row>
    <row r="287" spans="1:18" x14ac:dyDescent="0.25">
      <c r="A287" s="170">
        <v>42422</v>
      </c>
      <c r="B287" s="116">
        <v>1615</v>
      </c>
      <c r="C287" s="116">
        <v>1609.55</v>
      </c>
      <c r="D287" s="116">
        <v>1581.875</v>
      </c>
      <c r="E287" s="116">
        <v>1614</v>
      </c>
      <c r="F287" s="116">
        <v>3219.1</v>
      </c>
      <c r="G287">
        <v>459</v>
      </c>
      <c r="H287" s="116"/>
      <c r="I287" s="116"/>
      <c r="L287" s="170">
        <v>42422</v>
      </c>
      <c r="M287" s="116">
        <v>1614.15</v>
      </c>
      <c r="N287" s="116">
        <v>1617.5</v>
      </c>
      <c r="O287" s="116">
        <v>1589.0250000000001</v>
      </c>
      <c r="P287" s="116">
        <v>1611.4749999999999</v>
      </c>
      <c r="Q287" s="116">
        <v>3228.3</v>
      </c>
      <c r="R287">
        <v>3155</v>
      </c>
    </row>
    <row r="288" spans="1:18" x14ac:dyDescent="0.25">
      <c r="A288" s="170">
        <v>42423</v>
      </c>
      <c r="B288" s="116">
        <v>1611</v>
      </c>
      <c r="C288" s="116">
        <v>1608.35</v>
      </c>
      <c r="D288" s="116">
        <v>1594</v>
      </c>
      <c r="E288" s="116">
        <v>1601.5</v>
      </c>
      <c r="F288" s="116">
        <v>3216.7</v>
      </c>
      <c r="G288">
        <v>69493</v>
      </c>
      <c r="H288" s="116"/>
      <c r="I288" s="116"/>
      <c r="L288" s="170">
        <v>42423</v>
      </c>
      <c r="M288" s="116">
        <v>1613.65</v>
      </c>
      <c r="N288" s="116">
        <v>1622.5</v>
      </c>
      <c r="O288" s="116">
        <v>1592.5</v>
      </c>
      <c r="P288" s="116">
        <v>1599.375</v>
      </c>
      <c r="Q288" s="116">
        <v>3227.3</v>
      </c>
      <c r="R288">
        <v>2917</v>
      </c>
    </row>
    <row r="289" spans="1:18" x14ac:dyDescent="0.25">
      <c r="A289" s="170">
        <v>42424</v>
      </c>
      <c r="B289" s="116">
        <v>1607.125</v>
      </c>
      <c r="C289" s="116">
        <v>1602.625</v>
      </c>
      <c r="D289" s="116">
        <v>1593.625</v>
      </c>
      <c r="E289" s="116">
        <v>1601.25</v>
      </c>
      <c r="F289" s="116">
        <v>3205.25</v>
      </c>
      <c r="G289">
        <v>370</v>
      </c>
      <c r="H289" s="116"/>
      <c r="I289" s="116"/>
      <c r="L289" s="170">
        <v>42424</v>
      </c>
      <c r="M289" s="116">
        <v>1606.9</v>
      </c>
      <c r="N289" s="116">
        <v>1613.5</v>
      </c>
      <c r="O289" s="116">
        <v>1590.075</v>
      </c>
      <c r="P289" s="116">
        <v>1609.4749999999999</v>
      </c>
      <c r="Q289" s="116">
        <v>3213.8</v>
      </c>
      <c r="R289">
        <v>12433</v>
      </c>
    </row>
    <row r="290" spans="1:18" x14ac:dyDescent="0.25">
      <c r="A290" s="170">
        <v>42425</v>
      </c>
      <c r="B290" s="116">
        <v>1602.5</v>
      </c>
      <c r="C290" s="116">
        <v>1577.6</v>
      </c>
      <c r="D290" s="116">
        <v>1532</v>
      </c>
      <c r="E290" s="116">
        <v>1602.5</v>
      </c>
      <c r="F290" s="116">
        <v>3155.2</v>
      </c>
      <c r="G290">
        <v>2171</v>
      </c>
      <c r="H290" s="116"/>
      <c r="I290" s="116"/>
      <c r="L290" s="170">
        <v>42425</v>
      </c>
      <c r="M290" s="116">
        <v>1573.9</v>
      </c>
      <c r="N290" s="116">
        <v>1605.4749999999999</v>
      </c>
      <c r="O290" s="116">
        <v>1562.5</v>
      </c>
      <c r="P290" s="116">
        <v>1605.4749999999999</v>
      </c>
      <c r="Q290" s="116">
        <v>3147.8</v>
      </c>
      <c r="R290">
        <v>8685</v>
      </c>
    </row>
    <row r="291" spans="1:18" x14ac:dyDescent="0.25">
      <c r="A291" s="170">
        <v>42426</v>
      </c>
      <c r="B291" s="116">
        <v>1581</v>
      </c>
      <c r="C291" s="116">
        <v>1574.9749999999999</v>
      </c>
      <c r="D291" s="116">
        <v>1566.5</v>
      </c>
      <c r="E291" s="116">
        <v>1579.9</v>
      </c>
      <c r="F291" s="116">
        <v>3149.95</v>
      </c>
      <c r="G291">
        <v>877</v>
      </c>
      <c r="H291" s="116"/>
      <c r="I291" s="116"/>
      <c r="L291" s="170">
        <v>42426</v>
      </c>
      <c r="M291" s="116">
        <v>1573.05</v>
      </c>
      <c r="N291" s="116">
        <v>1584.5</v>
      </c>
      <c r="O291" s="116">
        <v>1559.15</v>
      </c>
      <c r="P291" s="116">
        <v>1573.5</v>
      </c>
      <c r="Q291" s="116">
        <v>3146.1</v>
      </c>
      <c r="R291">
        <v>5590</v>
      </c>
    </row>
    <row r="292" spans="1:18" x14ac:dyDescent="0.25">
      <c r="A292" s="170">
        <v>42429</v>
      </c>
      <c r="B292" s="116">
        <v>1594.5</v>
      </c>
      <c r="C292" s="116">
        <v>1578</v>
      </c>
      <c r="D292" s="116">
        <v>1550</v>
      </c>
      <c r="E292" s="116">
        <v>1569.5</v>
      </c>
      <c r="F292" s="116">
        <v>3156</v>
      </c>
      <c r="G292">
        <v>550</v>
      </c>
      <c r="H292" s="116"/>
      <c r="I292" s="116"/>
      <c r="L292" s="170">
        <v>42429</v>
      </c>
      <c r="M292" s="116">
        <v>1578.7</v>
      </c>
      <c r="N292" s="116">
        <v>1601.375</v>
      </c>
      <c r="O292" s="116">
        <v>1545.0250000000001</v>
      </c>
      <c r="P292" s="116">
        <v>1571</v>
      </c>
      <c r="Q292" s="116">
        <v>3157.4</v>
      </c>
      <c r="R292">
        <v>7043</v>
      </c>
    </row>
    <row r="293" spans="1:18" x14ac:dyDescent="0.25">
      <c r="A293" s="170">
        <v>42430</v>
      </c>
      <c r="B293" s="116">
        <v>1602.5</v>
      </c>
      <c r="C293" s="116">
        <v>1592.25</v>
      </c>
      <c r="D293" s="116">
        <v>1582.25</v>
      </c>
      <c r="E293" s="116">
        <v>1582.25</v>
      </c>
      <c r="F293" s="116">
        <v>3184.5</v>
      </c>
      <c r="G293">
        <v>584</v>
      </c>
      <c r="H293" s="116"/>
      <c r="I293" s="116"/>
      <c r="L293" s="170">
        <v>42430</v>
      </c>
      <c r="M293" s="116">
        <v>1598</v>
      </c>
      <c r="N293" s="116">
        <v>1612.2</v>
      </c>
      <c r="O293" s="116">
        <v>1578.4749999999999</v>
      </c>
      <c r="P293" s="116">
        <v>1578.5</v>
      </c>
      <c r="Q293" s="116">
        <v>3196</v>
      </c>
      <c r="R293">
        <v>7245</v>
      </c>
    </row>
    <row r="294" spans="1:18" x14ac:dyDescent="0.25">
      <c r="A294" s="170">
        <v>42431</v>
      </c>
      <c r="B294" s="116">
        <v>1625</v>
      </c>
      <c r="C294" s="116">
        <v>1618.425</v>
      </c>
      <c r="D294" s="116">
        <v>1587.5</v>
      </c>
      <c r="E294" s="116">
        <v>1592.4</v>
      </c>
      <c r="F294" s="116">
        <v>3236.85</v>
      </c>
      <c r="G294">
        <v>11734</v>
      </c>
      <c r="H294" s="116"/>
      <c r="I294" s="116"/>
      <c r="L294" s="170">
        <v>42431</v>
      </c>
      <c r="M294" s="116">
        <v>1624.5</v>
      </c>
      <c r="N294" s="116">
        <v>1638.5</v>
      </c>
      <c r="O294" s="116">
        <v>1592.8</v>
      </c>
      <c r="P294" s="116">
        <v>1596.875</v>
      </c>
      <c r="Q294" s="116">
        <v>3249</v>
      </c>
      <c r="R294">
        <v>14065</v>
      </c>
    </row>
    <row r="295" spans="1:18" x14ac:dyDescent="0.25">
      <c r="A295" s="170">
        <v>42432</v>
      </c>
      <c r="B295" s="116">
        <v>1617.5</v>
      </c>
      <c r="C295" s="116">
        <v>1594</v>
      </c>
      <c r="D295" s="116">
        <v>1592.5</v>
      </c>
      <c r="E295" s="116">
        <v>1616.875</v>
      </c>
      <c r="F295" s="116">
        <v>3188</v>
      </c>
      <c r="G295">
        <v>582</v>
      </c>
      <c r="H295" s="116"/>
      <c r="I295" s="116"/>
      <c r="L295" s="170">
        <v>42432</v>
      </c>
      <c r="M295" s="116">
        <v>1599.25</v>
      </c>
      <c r="N295" s="116">
        <v>1616.075</v>
      </c>
      <c r="O295" s="116">
        <v>1590</v>
      </c>
      <c r="P295" s="116">
        <v>1616.075</v>
      </c>
      <c r="Q295" s="116">
        <v>3198.5</v>
      </c>
      <c r="R295">
        <v>6019</v>
      </c>
    </row>
    <row r="296" spans="1:18" x14ac:dyDescent="0.25">
      <c r="A296" s="170">
        <v>42433</v>
      </c>
      <c r="B296" s="116">
        <v>1627</v>
      </c>
      <c r="C296" s="116">
        <v>1621.9749999999999</v>
      </c>
      <c r="D296" s="116">
        <v>1590</v>
      </c>
      <c r="E296" s="116">
        <v>1592.05</v>
      </c>
      <c r="F296" s="116">
        <v>3243.95</v>
      </c>
      <c r="G296">
        <v>2577</v>
      </c>
      <c r="H296" s="116"/>
      <c r="I296" s="116"/>
      <c r="L296" s="170">
        <v>42433</v>
      </c>
      <c r="M296" s="116">
        <v>1625.675</v>
      </c>
      <c r="N296" s="116">
        <v>1635</v>
      </c>
      <c r="O296" s="116">
        <v>1596.05</v>
      </c>
      <c r="P296" s="116">
        <v>1599.25</v>
      </c>
      <c r="Q296" s="116">
        <v>3251.35</v>
      </c>
      <c r="R296">
        <v>7148</v>
      </c>
    </row>
    <row r="297" spans="1:18" x14ac:dyDescent="0.25">
      <c r="A297" s="170">
        <v>42437</v>
      </c>
      <c r="B297" s="116">
        <v>1622.5</v>
      </c>
      <c r="C297" s="116">
        <v>1599.7750000000001</v>
      </c>
      <c r="D297" s="116">
        <v>1595</v>
      </c>
      <c r="E297" s="116">
        <v>1613</v>
      </c>
      <c r="F297" s="116">
        <v>3199.55</v>
      </c>
      <c r="G297">
        <v>473</v>
      </c>
      <c r="H297" s="116"/>
      <c r="I297" s="116"/>
      <c r="L297" s="170">
        <v>42437</v>
      </c>
      <c r="M297" s="116">
        <v>1602</v>
      </c>
      <c r="N297" s="116">
        <v>1624.9749999999999</v>
      </c>
      <c r="O297" s="116">
        <v>1595</v>
      </c>
      <c r="P297" s="116">
        <v>1607.5250000000001</v>
      </c>
      <c r="Q297" s="116">
        <v>3204</v>
      </c>
      <c r="R297">
        <v>5396</v>
      </c>
    </row>
    <row r="298" spans="1:18" x14ac:dyDescent="0.25">
      <c r="A298" s="170">
        <v>42438</v>
      </c>
      <c r="B298" s="116">
        <v>1625</v>
      </c>
      <c r="C298" s="116">
        <v>1619.1</v>
      </c>
      <c r="D298" s="116">
        <v>1591.25</v>
      </c>
      <c r="E298" s="116">
        <v>1591.25</v>
      </c>
      <c r="F298" s="116">
        <v>3238.2</v>
      </c>
      <c r="G298">
        <v>918</v>
      </c>
      <c r="H298" s="116"/>
      <c r="I298" s="116"/>
      <c r="L298" s="170">
        <v>42438</v>
      </c>
      <c r="M298" s="116">
        <v>1624.675</v>
      </c>
      <c r="N298" s="116">
        <v>1629.5</v>
      </c>
      <c r="O298" s="116">
        <v>1598.75</v>
      </c>
      <c r="P298" s="116">
        <v>1604.9</v>
      </c>
      <c r="Q298" s="116">
        <v>3249.35</v>
      </c>
      <c r="R298">
        <v>4502</v>
      </c>
    </row>
    <row r="299" spans="1:18" x14ac:dyDescent="0.25">
      <c r="A299" s="170">
        <v>42439</v>
      </c>
      <c r="B299" s="116">
        <v>1616.5</v>
      </c>
      <c r="C299" s="116">
        <v>1609.125</v>
      </c>
      <c r="D299" s="116">
        <v>1602.5250000000001</v>
      </c>
      <c r="E299" s="116">
        <v>1616.05</v>
      </c>
      <c r="F299" s="116">
        <v>3218.25</v>
      </c>
      <c r="G299">
        <v>491</v>
      </c>
      <c r="H299" s="116"/>
      <c r="I299" s="116"/>
      <c r="L299" s="170">
        <v>42439</v>
      </c>
      <c r="M299" s="116">
        <v>1615.4749999999999</v>
      </c>
      <c r="N299" s="116">
        <v>1627.5</v>
      </c>
      <c r="O299" s="116">
        <v>1602.5</v>
      </c>
      <c r="P299" s="116">
        <v>1613.9</v>
      </c>
      <c r="Q299" s="116">
        <v>3230.95</v>
      </c>
      <c r="R299">
        <v>4719</v>
      </c>
    </row>
    <row r="300" spans="1:18" x14ac:dyDescent="0.25">
      <c r="A300" s="170">
        <v>42440</v>
      </c>
      <c r="B300" s="116">
        <v>1627</v>
      </c>
      <c r="C300" s="116">
        <v>1619.9</v>
      </c>
      <c r="D300" s="116">
        <v>1605.0250000000001</v>
      </c>
      <c r="E300" s="116">
        <v>1617</v>
      </c>
      <c r="F300" s="116">
        <v>3239.8</v>
      </c>
      <c r="G300">
        <v>402</v>
      </c>
      <c r="H300" s="116"/>
      <c r="I300" s="116"/>
      <c r="L300" s="170">
        <v>42440</v>
      </c>
      <c r="M300" s="116">
        <v>1622.425</v>
      </c>
      <c r="N300" s="116">
        <v>1635</v>
      </c>
      <c r="O300" s="116">
        <v>1602.55</v>
      </c>
      <c r="P300" s="116">
        <v>1612.2249999999999</v>
      </c>
      <c r="Q300" s="116">
        <v>3244.85</v>
      </c>
      <c r="R300">
        <v>3970</v>
      </c>
    </row>
    <row r="301" spans="1:18" x14ac:dyDescent="0.25">
      <c r="A301" s="170">
        <v>42443</v>
      </c>
      <c r="B301" s="116">
        <v>1635</v>
      </c>
      <c r="C301" s="116">
        <v>1628.35</v>
      </c>
      <c r="D301" s="116">
        <v>1605</v>
      </c>
      <c r="E301" s="116">
        <v>1626.7</v>
      </c>
      <c r="F301" s="116">
        <v>3256.7</v>
      </c>
      <c r="G301">
        <v>663</v>
      </c>
      <c r="H301" s="116"/>
      <c r="I301" s="116"/>
      <c r="L301" s="170">
        <v>42443</v>
      </c>
      <c r="M301" s="116">
        <v>1629.95</v>
      </c>
      <c r="N301" s="116">
        <v>1647.2</v>
      </c>
      <c r="O301" s="116">
        <v>1602.675</v>
      </c>
      <c r="P301" s="116">
        <v>1614.9749999999999</v>
      </c>
      <c r="Q301" s="116">
        <v>3259.9</v>
      </c>
      <c r="R301">
        <v>4988</v>
      </c>
    </row>
    <row r="302" spans="1:18" x14ac:dyDescent="0.25">
      <c r="A302" s="170">
        <v>42444</v>
      </c>
      <c r="B302" s="116">
        <v>1674.9749999999999</v>
      </c>
      <c r="C302" s="116">
        <v>1632.7750000000001</v>
      </c>
      <c r="D302" s="116">
        <v>1614</v>
      </c>
      <c r="E302" s="116">
        <v>1618.5</v>
      </c>
      <c r="F302" s="116">
        <v>3265.55</v>
      </c>
      <c r="G302">
        <v>1087</v>
      </c>
      <c r="H302" s="116"/>
      <c r="I302" s="116"/>
      <c r="L302" s="170">
        <v>42444</v>
      </c>
      <c r="M302" s="116">
        <v>1638.75</v>
      </c>
      <c r="N302" s="116">
        <v>1874.45</v>
      </c>
      <c r="O302" s="116">
        <v>1609.95</v>
      </c>
      <c r="P302" s="116">
        <v>1629</v>
      </c>
      <c r="Q302" s="116">
        <v>3277.5</v>
      </c>
      <c r="R302">
        <v>10897</v>
      </c>
    </row>
    <row r="303" spans="1:18" x14ac:dyDescent="0.25">
      <c r="A303" s="170">
        <v>42445</v>
      </c>
      <c r="B303" s="116">
        <v>1668.5</v>
      </c>
      <c r="C303" s="116">
        <v>1659.4</v>
      </c>
      <c r="D303" s="116">
        <v>1620</v>
      </c>
      <c r="E303" s="116">
        <v>1627.6</v>
      </c>
      <c r="F303" s="116">
        <v>3318.8</v>
      </c>
      <c r="G303">
        <v>1069</v>
      </c>
      <c r="H303" s="116"/>
      <c r="I303" s="116"/>
      <c r="L303" s="170">
        <v>42445</v>
      </c>
      <c r="M303" s="116">
        <v>1662.5250000000001</v>
      </c>
      <c r="N303" s="116">
        <v>1675</v>
      </c>
      <c r="O303" s="116">
        <v>1620.25</v>
      </c>
      <c r="P303" s="116">
        <v>1638.5</v>
      </c>
      <c r="Q303" s="116">
        <v>3325.05</v>
      </c>
      <c r="R303">
        <v>13604</v>
      </c>
    </row>
    <row r="304" spans="1:18" x14ac:dyDescent="0.25">
      <c r="A304" s="170">
        <v>42446</v>
      </c>
      <c r="B304" s="116">
        <v>1687.5</v>
      </c>
      <c r="C304" s="116">
        <v>1675.2249999999999</v>
      </c>
      <c r="D304" s="116">
        <v>1625</v>
      </c>
      <c r="E304" s="116">
        <v>1662.4749999999999</v>
      </c>
      <c r="F304" s="116">
        <v>3350.45</v>
      </c>
      <c r="G304">
        <v>1036</v>
      </c>
      <c r="H304" s="116"/>
      <c r="I304" s="116"/>
      <c r="L304" s="170">
        <v>42446</v>
      </c>
      <c r="M304" s="116">
        <v>1683.2</v>
      </c>
      <c r="N304" s="116">
        <v>1694</v>
      </c>
      <c r="O304" s="116">
        <v>1650</v>
      </c>
      <c r="P304" s="116">
        <v>1662.5</v>
      </c>
      <c r="Q304" s="116">
        <v>3366.4</v>
      </c>
      <c r="R304">
        <v>7450</v>
      </c>
    </row>
    <row r="305" spans="1:18" x14ac:dyDescent="0.25">
      <c r="A305" s="170">
        <v>42447</v>
      </c>
      <c r="B305" s="116">
        <v>1701</v>
      </c>
      <c r="C305" s="116">
        <v>1698.8</v>
      </c>
      <c r="D305" s="116">
        <v>1665.0250000000001</v>
      </c>
      <c r="E305" s="116">
        <v>1676.5</v>
      </c>
      <c r="F305" s="116">
        <v>3397.6</v>
      </c>
      <c r="G305">
        <v>1220</v>
      </c>
      <c r="H305" s="116"/>
      <c r="I305" s="116"/>
      <c r="L305" s="170">
        <v>42447</v>
      </c>
      <c r="M305" s="116">
        <v>1699.8</v>
      </c>
      <c r="N305" s="116">
        <v>1704.9</v>
      </c>
      <c r="O305" s="116">
        <v>1666.5</v>
      </c>
      <c r="P305" s="116">
        <v>1682.9749999999999</v>
      </c>
      <c r="Q305" s="116">
        <v>3399.6</v>
      </c>
      <c r="R305">
        <v>8270</v>
      </c>
    </row>
    <row r="306" spans="1:18" x14ac:dyDescent="0.25">
      <c r="A306" s="170">
        <v>42450</v>
      </c>
      <c r="B306" s="116">
        <v>1764.5</v>
      </c>
      <c r="C306" s="116">
        <v>1719.0250000000001</v>
      </c>
      <c r="D306" s="116">
        <v>1679.6</v>
      </c>
      <c r="E306" s="116">
        <v>1682</v>
      </c>
      <c r="F306" s="116">
        <v>3438.05</v>
      </c>
      <c r="G306">
        <v>2059</v>
      </c>
      <c r="H306" s="116"/>
      <c r="I306" s="116"/>
      <c r="L306" s="170">
        <v>42450</v>
      </c>
      <c r="M306" s="116">
        <v>1728.75</v>
      </c>
      <c r="N306" s="116">
        <v>1767.5</v>
      </c>
      <c r="O306" s="116">
        <v>1685.325</v>
      </c>
      <c r="P306" s="116">
        <v>1699.4749999999999</v>
      </c>
      <c r="Q306" s="116">
        <v>3457.5</v>
      </c>
      <c r="R306">
        <v>14728</v>
      </c>
    </row>
    <row r="307" spans="1:18" x14ac:dyDescent="0.25">
      <c r="A307" s="170">
        <v>42451</v>
      </c>
      <c r="B307" s="116">
        <v>1792.5</v>
      </c>
      <c r="C307" s="116">
        <v>1757.175</v>
      </c>
      <c r="D307" s="116">
        <v>1702.5</v>
      </c>
      <c r="E307" s="116">
        <v>1725</v>
      </c>
      <c r="F307" s="116">
        <v>3514.35</v>
      </c>
      <c r="G307">
        <v>4373</v>
      </c>
      <c r="H307" s="116"/>
      <c r="I307" s="116"/>
      <c r="L307" s="170">
        <v>42451</v>
      </c>
      <c r="M307" s="116">
        <v>1769.5</v>
      </c>
      <c r="N307" s="116">
        <v>1799.5</v>
      </c>
      <c r="O307" s="116">
        <v>1704.5</v>
      </c>
      <c r="P307" s="116">
        <v>1730.5</v>
      </c>
      <c r="Q307" s="116">
        <v>3539</v>
      </c>
      <c r="R307">
        <v>18517</v>
      </c>
    </row>
    <row r="308" spans="1:18" x14ac:dyDescent="0.25">
      <c r="A308" s="170">
        <v>42452</v>
      </c>
      <c r="B308" s="116">
        <v>1850</v>
      </c>
      <c r="C308" s="116">
        <v>1841.875</v>
      </c>
      <c r="D308" s="116">
        <v>1745.9749999999999</v>
      </c>
      <c r="E308" s="116">
        <v>1770</v>
      </c>
      <c r="F308" s="116">
        <v>3683.75</v>
      </c>
      <c r="G308">
        <v>4371</v>
      </c>
      <c r="H308" s="116"/>
      <c r="I308" s="116"/>
      <c r="L308" s="170">
        <v>42452</v>
      </c>
      <c r="M308" s="116">
        <v>1847.85</v>
      </c>
      <c r="N308" s="116">
        <v>1859.5</v>
      </c>
      <c r="O308" s="116">
        <v>1745</v>
      </c>
      <c r="P308" s="116">
        <v>1774.5</v>
      </c>
      <c r="Q308" s="116">
        <v>3695.7</v>
      </c>
      <c r="R308">
        <v>23748</v>
      </c>
    </row>
    <row r="309" spans="1:18" x14ac:dyDescent="0.25">
      <c r="A309" s="170">
        <v>42457</v>
      </c>
      <c r="B309" s="116">
        <v>1850</v>
      </c>
      <c r="C309" s="116">
        <v>1844.125</v>
      </c>
      <c r="D309" s="116">
        <v>1800.5</v>
      </c>
      <c r="E309" s="116">
        <v>1845</v>
      </c>
      <c r="F309" s="116">
        <v>3688.25</v>
      </c>
      <c r="G309">
        <v>2377</v>
      </c>
      <c r="H309" s="116"/>
      <c r="I309" s="116"/>
      <c r="L309" s="170">
        <v>42457</v>
      </c>
      <c r="M309" s="116">
        <v>1849.0250000000001</v>
      </c>
      <c r="N309" s="116">
        <v>1859</v>
      </c>
      <c r="O309" s="116">
        <v>1797.5250000000001</v>
      </c>
      <c r="P309" s="116">
        <v>1850</v>
      </c>
      <c r="Q309" s="116">
        <v>3698.05</v>
      </c>
      <c r="R309">
        <v>12314</v>
      </c>
    </row>
    <row r="310" spans="1:18" x14ac:dyDescent="0.25">
      <c r="A310" s="170">
        <v>42458</v>
      </c>
      <c r="B310" s="116">
        <v>1852.5</v>
      </c>
      <c r="C310" s="116">
        <v>1830.2249999999999</v>
      </c>
      <c r="D310" s="116">
        <v>1799.5</v>
      </c>
      <c r="E310" s="116">
        <v>1824</v>
      </c>
      <c r="F310" s="116">
        <v>3660.45</v>
      </c>
      <c r="G310">
        <v>2461</v>
      </c>
      <c r="H310" s="116"/>
      <c r="I310" s="116"/>
      <c r="L310" s="170">
        <v>42458</v>
      </c>
      <c r="M310" s="116">
        <v>1838.05</v>
      </c>
      <c r="N310" s="116">
        <v>1873.5</v>
      </c>
      <c r="O310" s="116">
        <v>1801.05</v>
      </c>
      <c r="P310" s="116">
        <v>1825.0250000000001</v>
      </c>
      <c r="Q310" s="116">
        <v>3676.1</v>
      </c>
      <c r="R310">
        <v>21017</v>
      </c>
    </row>
    <row r="311" spans="1:18" x14ac:dyDescent="0.25">
      <c r="A311" s="170">
        <v>42459</v>
      </c>
      <c r="B311" s="116">
        <v>1886.95</v>
      </c>
      <c r="C311" s="116">
        <v>1868.4749999999999</v>
      </c>
      <c r="D311" s="116">
        <v>1829</v>
      </c>
      <c r="E311" s="116">
        <v>1852.925</v>
      </c>
      <c r="F311" s="116">
        <v>3736.95</v>
      </c>
      <c r="G311">
        <v>1669</v>
      </c>
      <c r="H311" s="116"/>
      <c r="I311" s="116"/>
      <c r="L311" s="170">
        <v>42459</v>
      </c>
      <c r="M311" s="116">
        <v>1886.4749999999999</v>
      </c>
      <c r="N311" s="116">
        <v>1899.5</v>
      </c>
      <c r="O311" s="116">
        <v>1831.6</v>
      </c>
      <c r="P311" s="116">
        <v>1838</v>
      </c>
      <c r="Q311" s="116">
        <v>3772.95</v>
      </c>
      <c r="R311">
        <v>20297</v>
      </c>
    </row>
    <row r="312" spans="1:18" x14ac:dyDescent="0.25">
      <c r="A312" s="170">
        <v>42460</v>
      </c>
      <c r="B312" s="116">
        <v>1925</v>
      </c>
      <c r="C312" s="116">
        <v>1900.325</v>
      </c>
      <c r="D312" s="116">
        <v>1860</v>
      </c>
      <c r="E312" s="116">
        <v>1874</v>
      </c>
      <c r="F312" s="116">
        <v>3800.65</v>
      </c>
      <c r="G312">
        <v>1749</v>
      </c>
      <c r="H312" s="116"/>
      <c r="I312" s="116"/>
      <c r="L312" s="170">
        <v>42460</v>
      </c>
      <c r="M312" s="116">
        <v>1907.375</v>
      </c>
      <c r="N312" s="116">
        <v>1936</v>
      </c>
      <c r="O312" s="116">
        <v>1855.075</v>
      </c>
      <c r="P312" s="116">
        <v>1884.9749999999999</v>
      </c>
      <c r="Q312" s="116">
        <v>3814.75</v>
      </c>
      <c r="R312">
        <v>16038</v>
      </c>
    </row>
    <row r="313" spans="1:18" x14ac:dyDescent="0.25">
      <c r="A313" s="170">
        <v>42461</v>
      </c>
      <c r="B313" s="116">
        <v>1919</v>
      </c>
      <c r="C313" s="116">
        <v>1906.35</v>
      </c>
      <c r="D313" s="116">
        <v>1885</v>
      </c>
      <c r="E313" s="116">
        <v>1900</v>
      </c>
      <c r="F313" s="116">
        <v>3812.7</v>
      </c>
      <c r="G313">
        <v>1478</v>
      </c>
      <c r="H313" s="116"/>
      <c r="I313" s="116"/>
      <c r="L313" s="170">
        <v>42461</v>
      </c>
      <c r="M313" s="116">
        <v>1905.55</v>
      </c>
      <c r="N313" s="116">
        <v>1925</v>
      </c>
      <c r="O313" s="116">
        <v>1883.7750000000001</v>
      </c>
      <c r="P313" s="116">
        <v>1901</v>
      </c>
      <c r="Q313" s="116">
        <v>3811.1</v>
      </c>
      <c r="R313">
        <v>8840</v>
      </c>
    </row>
    <row r="314" spans="1:18" x14ac:dyDescent="0.25">
      <c r="A314" s="170">
        <v>42464</v>
      </c>
      <c r="B314" s="116">
        <v>1904.925</v>
      </c>
      <c r="C314" s="116">
        <v>1875.925</v>
      </c>
      <c r="D314" s="116">
        <v>1865</v>
      </c>
      <c r="E314" s="116">
        <v>1904.925</v>
      </c>
      <c r="F314" s="116">
        <v>3751.85</v>
      </c>
      <c r="G314">
        <v>988</v>
      </c>
      <c r="H314" s="116"/>
      <c r="I314" s="116"/>
      <c r="L314" s="170">
        <v>42464</v>
      </c>
      <c r="M314" s="116">
        <v>1879.0250000000001</v>
      </c>
      <c r="N314" s="116">
        <v>1902.4749999999999</v>
      </c>
      <c r="O314" s="116">
        <v>1860</v>
      </c>
      <c r="P314" s="116">
        <v>1897.4749999999999</v>
      </c>
      <c r="Q314" s="116">
        <v>3758.05</v>
      </c>
      <c r="R314">
        <v>9820</v>
      </c>
    </row>
    <row r="315" spans="1:18" x14ac:dyDescent="0.25">
      <c r="A315" s="170">
        <v>42465</v>
      </c>
      <c r="B315" s="116">
        <v>1879</v>
      </c>
      <c r="C315" s="116">
        <v>1849.25</v>
      </c>
      <c r="D315" s="116">
        <v>1841.15</v>
      </c>
      <c r="E315" s="116">
        <v>1879</v>
      </c>
      <c r="F315" s="116">
        <v>3698.5</v>
      </c>
      <c r="G315">
        <v>426</v>
      </c>
      <c r="H315" s="116"/>
      <c r="I315" s="116"/>
      <c r="L315" s="170">
        <v>42465</v>
      </c>
      <c r="M315" s="116">
        <v>1852.8</v>
      </c>
      <c r="N315" s="116">
        <v>1874.9749999999999</v>
      </c>
      <c r="O315" s="116">
        <v>1840.875</v>
      </c>
      <c r="P315" s="116">
        <v>1874.9749999999999</v>
      </c>
      <c r="Q315" s="116">
        <v>3705.6</v>
      </c>
      <c r="R315">
        <v>3413</v>
      </c>
    </row>
    <row r="316" spans="1:18" x14ac:dyDescent="0.25">
      <c r="A316" s="170">
        <v>42466</v>
      </c>
      <c r="B316" s="116">
        <v>1867.5</v>
      </c>
      <c r="C316" s="116">
        <v>1860.575</v>
      </c>
      <c r="D316" s="116">
        <v>1822.8</v>
      </c>
      <c r="E316" s="116">
        <v>1840.5</v>
      </c>
      <c r="F316" s="116">
        <v>3721.15</v>
      </c>
      <c r="G316">
        <v>846</v>
      </c>
      <c r="H316" s="116"/>
      <c r="I316" s="116"/>
      <c r="L316" s="170">
        <v>42466</v>
      </c>
      <c r="M316" s="116">
        <v>1860.2249999999999</v>
      </c>
      <c r="N316" s="116">
        <v>1868</v>
      </c>
      <c r="O316" s="116">
        <v>1820.425</v>
      </c>
      <c r="P316" s="116">
        <v>1850</v>
      </c>
      <c r="Q316" s="116">
        <v>3720.45</v>
      </c>
      <c r="R316">
        <v>5705</v>
      </c>
    </row>
    <row r="317" spans="1:18" x14ac:dyDescent="0.25">
      <c r="A317" s="170">
        <v>42467</v>
      </c>
      <c r="B317" s="116">
        <v>1847.5</v>
      </c>
      <c r="C317" s="116">
        <v>1832.9749999999999</v>
      </c>
      <c r="D317" s="116">
        <v>1827.5</v>
      </c>
      <c r="E317" s="116">
        <v>1847.5</v>
      </c>
      <c r="F317" s="116">
        <v>3665.95</v>
      </c>
      <c r="G317">
        <v>15403</v>
      </c>
      <c r="H317" s="116"/>
      <c r="I317" s="116"/>
      <c r="L317" s="170">
        <v>42467</v>
      </c>
      <c r="M317" s="116">
        <v>1837.65</v>
      </c>
      <c r="N317" s="116">
        <v>1849.5</v>
      </c>
      <c r="O317" s="116">
        <v>1825.5</v>
      </c>
      <c r="P317" s="116">
        <v>1839.875</v>
      </c>
      <c r="Q317" s="116">
        <v>3675.3</v>
      </c>
      <c r="R317">
        <v>5204</v>
      </c>
    </row>
    <row r="318" spans="1:18" x14ac:dyDescent="0.25">
      <c r="A318" s="170">
        <v>42468</v>
      </c>
      <c r="B318" s="116">
        <v>1844.5</v>
      </c>
      <c r="C318" s="116">
        <v>1839.875</v>
      </c>
      <c r="D318" s="116">
        <v>1833.3</v>
      </c>
      <c r="E318" s="116">
        <v>1833.3</v>
      </c>
      <c r="F318" s="116">
        <v>3679.75</v>
      </c>
      <c r="G318">
        <v>160</v>
      </c>
      <c r="H318" s="116"/>
      <c r="I318" s="116"/>
      <c r="L318" s="170">
        <v>42468</v>
      </c>
      <c r="M318" s="116">
        <v>1841.6</v>
      </c>
      <c r="N318" s="116">
        <v>1849.2249999999999</v>
      </c>
      <c r="O318" s="116">
        <v>1827.5</v>
      </c>
      <c r="P318" s="116">
        <v>1827.5250000000001</v>
      </c>
      <c r="Q318" s="116">
        <v>3683.2</v>
      </c>
      <c r="R318">
        <v>2469</v>
      </c>
    </row>
    <row r="319" spans="1:18" x14ac:dyDescent="0.25">
      <c r="A319" s="170">
        <v>42471</v>
      </c>
      <c r="B319" s="116">
        <v>1842.5</v>
      </c>
      <c r="C319" s="116">
        <v>1833.95</v>
      </c>
      <c r="D319" s="116">
        <v>1823</v>
      </c>
      <c r="E319" s="116">
        <v>1842.4</v>
      </c>
      <c r="F319" s="116">
        <v>3667.9</v>
      </c>
      <c r="G319">
        <v>398</v>
      </c>
      <c r="H319" s="116"/>
      <c r="I319" s="116"/>
      <c r="L319" s="170">
        <v>42471</v>
      </c>
      <c r="M319" s="116">
        <v>1838.825</v>
      </c>
      <c r="N319" s="116">
        <v>1844.35</v>
      </c>
      <c r="O319" s="116">
        <v>1820.5</v>
      </c>
      <c r="P319" s="116">
        <v>1825.75</v>
      </c>
      <c r="Q319" s="116">
        <v>3677.65</v>
      </c>
      <c r="R319">
        <v>3606</v>
      </c>
    </row>
    <row r="320" spans="1:18" x14ac:dyDescent="0.25">
      <c r="A320" s="170">
        <v>42472</v>
      </c>
      <c r="B320" s="116">
        <v>1845</v>
      </c>
      <c r="C320" s="116">
        <v>1837.7750000000001</v>
      </c>
      <c r="D320" s="116">
        <v>1833.2750000000001</v>
      </c>
      <c r="E320" s="116">
        <v>1837.5</v>
      </c>
      <c r="F320" s="116">
        <v>3675.55</v>
      </c>
      <c r="G320">
        <v>291</v>
      </c>
      <c r="H320" s="116"/>
      <c r="I320" s="116"/>
      <c r="L320" s="170">
        <v>42472</v>
      </c>
      <c r="M320" s="116">
        <v>1837.925</v>
      </c>
      <c r="N320" s="116">
        <v>1845.6</v>
      </c>
      <c r="O320" s="116">
        <v>1830</v>
      </c>
      <c r="P320" s="116">
        <v>1837.5</v>
      </c>
      <c r="Q320" s="116">
        <v>3675.85</v>
      </c>
      <c r="R320">
        <v>2777</v>
      </c>
    </row>
    <row r="321" spans="1:18" x14ac:dyDescent="0.25">
      <c r="A321" s="170">
        <v>42473</v>
      </c>
      <c r="B321" s="116">
        <v>1869.9749999999999</v>
      </c>
      <c r="C321" s="116">
        <v>1861.4</v>
      </c>
      <c r="D321" s="116">
        <v>1831.9</v>
      </c>
      <c r="E321" s="116">
        <v>1848</v>
      </c>
      <c r="F321" s="116">
        <v>3722.8</v>
      </c>
      <c r="G321">
        <v>1979</v>
      </c>
      <c r="H321" s="116"/>
      <c r="I321" s="116"/>
      <c r="L321" s="170">
        <v>42473</v>
      </c>
      <c r="M321" s="116">
        <v>1868.7249999999999</v>
      </c>
      <c r="N321" s="116">
        <v>1875</v>
      </c>
      <c r="O321" s="116">
        <v>1835.6</v>
      </c>
      <c r="P321" s="116">
        <v>1840.425</v>
      </c>
      <c r="Q321" s="116">
        <v>3737.45</v>
      </c>
      <c r="R321">
        <v>6587</v>
      </c>
    </row>
    <row r="322" spans="1:18" x14ac:dyDescent="0.25">
      <c r="A322" s="170">
        <v>42478</v>
      </c>
      <c r="B322" s="116">
        <v>1869</v>
      </c>
      <c r="C322" s="116">
        <v>1853.6</v>
      </c>
      <c r="D322" s="116">
        <v>1850</v>
      </c>
      <c r="E322" s="116">
        <v>1861.4</v>
      </c>
      <c r="F322" s="116">
        <v>3707.2</v>
      </c>
      <c r="G322">
        <v>1247</v>
      </c>
      <c r="H322" s="116"/>
      <c r="I322" s="116"/>
      <c r="L322" s="170">
        <v>42478</v>
      </c>
      <c r="M322" s="116">
        <v>1856.7249999999999</v>
      </c>
      <c r="N322" s="116">
        <v>1870</v>
      </c>
      <c r="O322" s="116">
        <v>1842.5</v>
      </c>
      <c r="P322" s="116">
        <v>1868.5</v>
      </c>
      <c r="Q322" s="116">
        <v>3713.45</v>
      </c>
      <c r="R322">
        <v>4194</v>
      </c>
    </row>
    <row r="323" spans="1:18" x14ac:dyDescent="0.25">
      <c r="A323" s="170">
        <v>42480</v>
      </c>
      <c r="B323" s="116">
        <v>1859</v>
      </c>
      <c r="C323" s="116">
        <v>1839.125</v>
      </c>
      <c r="D323" s="116">
        <v>1829.075</v>
      </c>
      <c r="E323" s="116">
        <v>1850.0250000000001</v>
      </c>
      <c r="F323" s="116">
        <v>3678.25</v>
      </c>
      <c r="G323">
        <v>914</v>
      </c>
      <c r="H323" s="116"/>
      <c r="I323" s="116"/>
      <c r="L323" s="170">
        <v>42480</v>
      </c>
      <c r="M323" s="116">
        <v>1855.25</v>
      </c>
      <c r="N323" s="116">
        <v>1877.85</v>
      </c>
      <c r="O323" s="116">
        <v>1835</v>
      </c>
      <c r="P323" s="116">
        <v>1845</v>
      </c>
      <c r="Q323" s="116">
        <v>3710.5</v>
      </c>
      <c r="R323">
        <v>5121</v>
      </c>
    </row>
    <row r="324" spans="1:18" x14ac:dyDescent="0.25">
      <c r="A324" s="170">
        <v>42481</v>
      </c>
      <c r="B324" s="116">
        <v>1865</v>
      </c>
      <c r="C324" s="116">
        <v>1839.1</v>
      </c>
      <c r="D324" s="116">
        <v>1832.5</v>
      </c>
      <c r="E324" s="116">
        <v>1865</v>
      </c>
      <c r="F324" s="116">
        <v>3678.2</v>
      </c>
      <c r="G324">
        <v>1038</v>
      </c>
      <c r="H324" s="116"/>
      <c r="I324" s="116"/>
      <c r="L324" s="170">
        <v>42481</v>
      </c>
      <c r="M324" s="116">
        <v>1851.55</v>
      </c>
      <c r="N324" s="116">
        <v>1866.5250000000001</v>
      </c>
      <c r="O324" s="116">
        <v>1838.1</v>
      </c>
      <c r="P324" s="116">
        <v>1859.4749999999999</v>
      </c>
      <c r="Q324" s="116">
        <v>3703.1</v>
      </c>
      <c r="R324">
        <v>4758</v>
      </c>
    </row>
    <row r="325" spans="1:18" x14ac:dyDescent="0.25">
      <c r="A325" s="170">
        <v>42482</v>
      </c>
      <c r="B325" s="116">
        <v>1849.325</v>
      </c>
      <c r="C325" s="116">
        <v>1827.175</v>
      </c>
      <c r="D325" s="116">
        <v>1820.05</v>
      </c>
      <c r="E325" s="116">
        <v>1845.2750000000001</v>
      </c>
      <c r="F325" s="116">
        <v>3654.35</v>
      </c>
      <c r="G325">
        <v>902</v>
      </c>
      <c r="H325" s="116"/>
      <c r="I325" s="116"/>
      <c r="L325" s="170">
        <v>42482</v>
      </c>
      <c r="M325" s="116">
        <v>1833.2750000000001</v>
      </c>
      <c r="N325" s="116">
        <v>1854.9749999999999</v>
      </c>
      <c r="O325" s="116">
        <v>1825</v>
      </c>
      <c r="P325" s="116">
        <v>1852.0250000000001</v>
      </c>
      <c r="Q325" s="116">
        <v>3666.55</v>
      </c>
      <c r="R325">
        <v>5441</v>
      </c>
    </row>
    <row r="326" spans="1:18" x14ac:dyDescent="0.25">
      <c r="A326" s="170">
        <v>42485</v>
      </c>
      <c r="B326" s="116">
        <v>1832.4749999999999</v>
      </c>
      <c r="C326" s="116">
        <v>1825.625</v>
      </c>
      <c r="D326" s="116">
        <v>1804.95</v>
      </c>
      <c r="E326" s="116">
        <v>1821</v>
      </c>
      <c r="F326" s="116">
        <v>3651.25</v>
      </c>
      <c r="G326">
        <v>341</v>
      </c>
      <c r="H326" s="116"/>
      <c r="I326" s="116"/>
      <c r="L326" s="170">
        <v>42485</v>
      </c>
      <c r="M326" s="116">
        <v>1832.0250000000001</v>
      </c>
      <c r="N326" s="116">
        <v>1840</v>
      </c>
      <c r="O326" s="116">
        <v>1812.6</v>
      </c>
      <c r="P326" s="116">
        <v>1823.3</v>
      </c>
      <c r="Q326" s="116">
        <v>3664.05</v>
      </c>
      <c r="R326">
        <v>2337</v>
      </c>
    </row>
    <row r="327" spans="1:18" x14ac:dyDescent="0.25">
      <c r="A327" s="170">
        <v>42486</v>
      </c>
      <c r="B327" s="116">
        <v>1889.95</v>
      </c>
      <c r="C327" s="116">
        <v>1868.5</v>
      </c>
      <c r="D327" s="116">
        <v>1821.075</v>
      </c>
      <c r="E327" s="116">
        <v>1825</v>
      </c>
      <c r="F327" s="116">
        <v>3737</v>
      </c>
      <c r="G327">
        <v>1448</v>
      </c>
      <c r="H327" s="116"/>
      <c r="I327" s="116"/>
      <c r="L327" s="170">
        <v>42486</v>
      </c>
      <c r="M327" s="116">
        <v>1872.5</v>
      </c>
      <c r="N327" s="116">
        <v>1897</v>
      </c>
      <c r="O327" s="116">
        <v>1812</v>
      </c>
      <c r="P327" s="116">
        <v>1812</v>
      </c>
      <c r="Q327" s="116">
        <v>3745</v>
      </c>
      <c r="R327">
        <v>8403</v>
      </c>
    </row>
    <row r="328" spans="1:18" x14ac:dyDescent="0.25">
      <c r="A328" s="170">
        <v>42487</v>
      </c>
      <c r="B328" s="116">
        <v>1902.925</v>
      </c>
      <c r="C328" s="116">
        <v>1878.375</v>
      </c>
      <c r="D328" s="116">
        <v>1857.1</v>
      </c>
      <c r="E328" s="116">
        <v>1872.5</v>
      </c>
      <c r="F328" s="116">
        <v>3756.75</v>
      </c>
      <c r="G328">
        <v>1555</v>
      </c>
      <c r="H328" s="116"/>
      <c r="I328" s="116"/>
      <c r="L328" s="170">
        <v>42487</v>
      </c>
      <c r="M328" s="116">
        <v>1884.45</v>
      </c>
      <c r="N328" s="116">
        <v>1909</v>
      </c>
      <c r="O328" s="116">
        <v>1850.6</v>
      </c>
      <c r="P328" s="116">
        <v>1850.6</v>
      </c>
      <c r="Q328" s="116">
        <v>3768.9</v>
      </c>
      <c r="R328">
        <v>7064</v>
      </c>
    </row>
    <row r="329" spans="1:18" x14ac:dyDescent="0.25">
      <c r="A329" s="170">
        <v>42488</v>
      </c>
      <c r="B329" s="116">
        <v>1892.5</v>
      </c>
      <c r="C329" s="116">
        <v>1877</v>
      </c>
      <c r="D329" s="116">
        <v>1852.5</v>
      </c>
      <c r="E329" s="116">
        <v>1885</v>
      </c>
      <c r="F329" s="116">
        <v>3754</v>
      </c>
      <c r="G329">
        <v>728</v>
      </c>
      <c r="H329" s="116"/>
      <c r="I329" s="116"/>
      <c r="L329" s="170">
        <v>42488</v>
      </c>
      <c r="M329" s="116">
        <v>1873.35</v>
      </c>
      <c r="N329" s="116">
        <v>1896.5</v>
      </c>
      <c r="O329" s="116">
        <v>1860</v>
      </c>
      <c r="P329" s="116">
        <v>1882.175</v>
      </c>
      <c r="Q329" s="116">
        <v>3746.7</v>
      </c>
      <c r="R329">
        <v>5557</v>
      </c>
    </row>
    <row r="330" spans="1:18" x14ac:dyDescent="0.25">
      <c r="A330" s="170">
        <v>42489</v>
      </c>
      <c r="B330" s="116">
        <v>1885.9749999999999</v>
      </c>
      <c r="C330" s="116">
        <v>1868.625</v>
      </c>
      <c r="D330" s="116">
        <v>1845.05</v>
      </c>
      <c r="E330" s="116">
        <v>1864.8</v>
      </c>
      <c r="F330" s="116">
        <v>3737.25</v>
      </c>
      <c r="G330">
        <v>593</v>
      </c>
      <c r="H330" s="116"/>
      <c r="I330" s="116"/>
      <c r="L330" s="170">
        <v>42489</v>
      </c>
      <c r="M330" s="116">
        <v>1865.7</v>
      </c>
      <c r="N330" s="116">
        <v>1887.5</v>
      </c>
      <c r="O330" s="116">
        <v>1845</v>
      </c>
      <c r="P330" s="116">
        <v>1873</v>
      </c>
      <c r="Q330" s="116">
        <v>3731.4</v>
      </c>
      <c r="R330">
        <v>4364</v>
      </c>
    </row>
    <row r="331" spans="1:18" x14ac:dyDescent="0.25">
      <c r="A331" s="170">
        <v>42492</v>
      </c>
      <c r="B331" s="116">
        <v>1866.175</v>
      </c>
      <c r="C331" s="116">
        <v>1834.75</v>
      </c>
      <c r="D331" s="116">
        <v>1829.5</v>
      </c>
      <c r="E331" s="116">
        <v>1859.2249999999999</v>
      </c>
      <c r="F331" s="116">
        <v>3669.5</v>
      </c>
      <c r="G331">
        <v>1173</v>
      </c>
      <c r="H331" s="116"/>
      <c r="I331" s="116"/>
      <c r="L331" s="170">
        <v>42492</v>
      </c>
      <c r="M331" s="116">
        <v>1836.2750000000001</v>
      </c>
      <c r="N331" s="116">
        <v>1868.5</v>
      </c>
      <c r="O331" s="116">
        <v>1831.2249999999999</v>
      </c>
      <c r="P331" s="116">
        <v>1865.15</v>
      </c>
      <c r="Q331" s="116">
        <v>3672.55</v>
      </c>
      <c r="R331">
        <v>8228</v>
      </c>
    </row>
    <row r="332" spans="1:18" x14ac:dyDescent="0.25">
      <c r="A332" s="170">
        <v>42493</v>
      </c>
      <c r="B332" s="116">
        <v>1840.5</v>
      </c>
      <c r="C332" s="116">
        <v>1813.325</v>
      </c>
      <c r="D332" s="116">
        <v>1805</v>
      </c>
      <c r="E332" s="116">
        <v>1840</v>
      </c>
      <c r="F332" s="116">
        <v>3626.65</v>
      </c>
      <c r="G332">
        <v>656</v>
      </c>
      <c r="H332" s="116"/>
      <c r="I332" s="116"/>
      <c r="L332" s="170">
        <v>42493</v>
      </c>
      <c r="M332" s="116">
        <v>1813.1</v>
      </c>
      <c r="N332" s="116">
        <v>1838.45</v>
      </c>
      <c r="O332" s="116">
        <v>1802.5</v>
      </c>
      <c r="P332" s="116">
        <v>1837.5</v>
      </c>
      <c r="Q332" s="116">
        <v>3626.2</v>
      </c>
      <c r="R332">
        <v>5190</v>
      </c>
    </row>
    <row r="333" spans="1:18" x14ac:dyDescent="0.25">
      <c r="A333" s="170">
        <v>42494</v>
      </c>
      <c r="B333" s="116">
        <v>1815</v>
      </c>
      <c r="C333" s="116">
        <v>1811.625</v>
      </c>
      <c r="D333" s="116">
        <v>1772.425</v>
      </c>
      <c r="E333" s="116">
        <v>1800</v>
      </c>
      <c r="F333" s="116">
        <v>3623.25</v>
      </c>
      <c r="G333">
        <v>379</v>
      </c>
      <c r="H333" s="116"/>
      <c r="I333" s="116"/>
      <c r="L333" s="170">
        <v>42494</v>
      </c>
      <c r="M333" s="116">
        <v>1813.85</v>
      </c>
      <c r="N333" s="116">
        <v>1820</v>
      </c>
      <c r="O333" s="116">
        <v>1770</v>
      </c>
      <c r="P333" s="116">
        <v>1819.9749999999999</v>
      </c>
      <c r="Q333" s="116">
        <v>3627.7</v>
      </c>
      <c r="R333">
        <v>7801</v>
      </c>
    </row>
    <row r="334" spans="1:18" x14ac:dyDescent="0.25">
      <c r="A334" s="170">
        <v>42495</v>
      </c>
      <c r="B334" s="116">
        <v>1806.4749999999999</v>
      </c>
      <c r="C334" s="116">
        <v>1798.675</v>
      </c>
      <c r="D334" s="116">
        <v>1779.55</v>
      </c>
      <c r="E334" s="116">
        <v>1805</v>
      </c>
      <c r="F334" s="116">
        <v>3597.35</v>
      </c>
      <c r="G334">
        <v>243</v>
      </c>
      <c r="H334" s="116"/>
      <c r="I334" s="116"/>
      <c r="L334" s="170">
        <v>42495</v>
      </c>
      <c r="M334" s="116">
        <v>1804.7</v>
      </c>
      <c r="N334" s="116">
        <v>1814.4749999999999</v>
      </c>
      <c r="O334" s="116">
        <v>1778.125</v>
      </c>
      <c r="P334" s="116">
        <v>1813.6</v>
      </c>
      <c r="Q334" s="116">
        <v>3609.4</v>
      </c>
      <c r="R334">
        <v>3960</v>
      </c>
    </row>
    <row r="335" spans="1:18" x14ac:dyDescent="0.25">
      <c r="A335" s="170">
        <v>42496</v>
      </c>
      <c r="B335" s="116">
        <v>1810.2249999999999</v>
      </c>
      <c r="C335" s="116">
        <v>1791.625</v>
      </c>
      <c r="D335" s="116">
        <v>1780.5</v>
      </c>
      <c r="E335" s="116">
        <v>1790.5</v>
      </c>
      <c r="F335" s="116">
        <v>3583.25</v>
      </c>
      <c r="G335">
        <v>450</v>
      </c>
      <c r="H335" s="116"/>
      <c r="I335" s="116"/>
      <c r="L335" s="170">
        <v>42496</v>
      </c>
      <c r="M335" s="116">
        <v>1791.125</v>
      </c>
      <c r="N335" s="116">
        <v>1811.9749999999999</v>
      </c>
      <c r="O335" s="116">
        <v>1782.575</v>
      </c>
      <c r="P335" s="116">
        <v>1804.5250000000001</v>
      </c>
      <c r="Q335" s="116">
        <v>3582.25</v>
      </c>
      <c r="R335">
        <v>2120</v>
      </c>
    </row>
    <row r="336" spans="1:18" x14ac:dyDescent="0.25">
      <c r="A336" s="170">
        <v>42499</v>
      </c>
      <c r="B336" s="116">
        <v>1800.25</v>
      </c>
      <c r="C336" s="116">
        <v>1788.7750000000001</v>
      </c>
      <c r="D336" s="116">
        <v>1782.5</v>
      </c>
      <c r="E336" s="116">
        <v>1796.2</v>
      </c>
      <c r="F336" s="116">
        <v>3577.55</v>
      </c>
      <c r="G336">
        <v>437</v>
      </c>
      <c r="H336" s="116"/>
      <c r="I336" s="116"/>
      <c r="L336" s="170">
        <v>42499</v>
      </c>
      <c r="M336" s="116">
        <v>1796.05</v>
      </c>
      <c r="N336" s="116">
        <v>1802.5</v>
      </c>
      <c r="O336" s="116">
        <v>1782.5</v>
      </c>
      <c r="P336" s="116">
        <v>1791</v>
      </c>
      <c r="Q336" s="116">
        <v>3592.1</v>
      </c>
      <c r="R336">
        <v>4881</v>
      </c>
    </row>
    <row r="337" spans="1:18" x14ac:dyDescent="0.25">
      <c r="A337" s="170">
        <v>42500</v>
      </c>
      <c r="B337" s="116">
        <v>1802</v>
      </c>
      <c r="C337" s="116">
        <v>1764.625</v>
      </c>
      <c r="D337" s="116">
        <v>1752.5250000000001</v>
      </c>
      <c r="E337" s="116">
        <v>1786.35</v>
      </c>
      <c r="F337" s="116">
        <v>3529.25</v>
      </c>
      <c r="G337">
        <v>802</v>
      </c>
      <c r="H337" s="116"/>
      <c r="I337" s="116"/>
      <c r="L337" s="170">
        <v>42500</v>
      </c>
      <c r="M337" s="116">
        <v>1766.925</v>
      </c>
      <c r="N337" s="116">
        <v>1807.5</v>
      </c>
      <c r="O337" s="116">
        <v>1752.75</v>
      </c>
      <c r="P337" s="116">
        <v>1796.0250000000001</v>
      </c>
      <c r="Q337" s="116">
        <v>3533.85</v>
      </c>
      <c r="R337">
        <v>7071</v>
      </c>
    </row>
    <row r="338" spans="1:18" x14ac:dyDescent="0.25">
      <c r="A338" s="170">
        <v>42501</v>
      </c>
      <c r="B338" s="116">
        <v>1770.5250000000001</v>
      </c>
      <c r="C338" s="116">
        <v>1752.425</v>
      </c>
      <c r="D338" s="116">
        <v>1750</v>
      </c>
      <c r="E338" s="116">
        <v>1765.8</v>
      </c>
      <c r="F338" s="116">
        <v>3504.85</v>
      </c>
      <c r="G338">
        <v>875</v>
      </c>
      <c r="H338" s="116"/>
      <c r="I338" s="116"/>
      <c r="L338" s="170">
        <v>42501</v>
      </c>
      <c r="M338" s="116">
        <v>1768.375</v>
      </c>
      <c r="N338" s="116">
        <v>1799</v>
      </c>
      <c r="O338" s="116">
        <v>1750</v>
      </c>
      <c r="P338" s="116">
        <v>1766.5</v>
      </c>
      <c r="Q338" s="116">
        <v>3536.75</v>
      </c>
      <c r="R338">
        <v>5510</v>
      </c>
    </row>
    <row r="339" spans="1:18" x14ac:dyDescent="0.25">
      <c r="A339" s="170">
        <v>42502</v>
      </c>
      <c r="B339" s="116">
        <v>1773.5</v>
      </c>
      <c r="C339" s="116">
        <v>1730.75</v>
      </c>
      <c r="D339" s="116">
        <v>1725</v>
      </c>
      <c r="E339" s="116">
        <v>1769.85</v>
      </c>
      <c r="F339" s="116">
        <v>3461.5</v>
      </c>
      <c r="G339">
        <v>1026</v>
      </c>
      <c r="H339" s="116"/>
      <c r="I339" s="116"/>
      <c r="L339" s="170">
        <v>42502</v>
      </c>
      <c r="M339" s="116">
        <v>1733.825</v>
      </c>
      <c r="N339" s="116">
        <v>1780.0250000000001</v>
      </c>
      <c r="O339" s="116">
        <v>1719.9749999999999</v>
      </c>
      <c r="P339" s="116">
        <v>1768.5</v>
      </c>
      <c r="Q339" s="116">
        <v>3467.65</v>
      </c>
      <c r="R339">
        <v>15875</v>
      </c>
    </row>
    <row r="340" spans="1:18" x14ac:dyDescent="0.25">
      <c r="A340" s="170">
        <v>42503</v>
      </c>
      <c r="B340" s="116">
        <v>1735</v>
      </c>
      <c r="C340" s="116">
        <v>1703.55</v>
      </c>
      <c r="D340" s="116">
        <v>1682.5</v>
      </c>
      <c r="E340" s="116">
        <v>1729.35</v>
      </c>
      <c r="F340" s="116">
        <v>3407.1</v>
      </c>
      <c r="G340">
        <v>707</v>
      </c>
      <c r="H340" s="116"/>
      <c r="I340" s="116"/>
      <c r="L340" s="170">
        <v>42503</v>
      </c>
      <c r="M340" s="116">
        <v>1707.55</v>
      </c>
      <c r="N340" s="116">
        <v>1732.85</v>
      </c>
      <c r="O340" s="116">
        <v>1691</v>
      </c>
      <c r="P340" s="116">
        <v>1724.9749999999999</v>
      </c>
      <c r="Q340" s="116">
        <v>3415.1</v>
      </c>
      <c r="R340">
        <v>12560</v>
      </c>
    </row>
    <row r="341" spans="1:18" x14ac:dyDescent="0.25">
      <c r="A341" s="170">
        <v>42506</v>
      </c>
      <c r="B341" s="116">
        <v>1730</v>
      </c>
      <c r="C341" s="116">
        <v>1715.75</v>
      </c>
      <c r="D341" s="116">
        <v>1705</v>
      </c>
      <c r="E341" s="116">
        <v>1720</v>
      </c>
      <c r="F341" s="116">
        <v>3431.5</v>
      </c>
      <c r="G341">
        <v>775</v>
      </c>
      <c r="H341" s="116"/>
      <c r="I341" s="116"/>
      <c r="L341" s="170">
        <v>42506</v>
      </c>
      <c r="M341" s="116">
        <v>1717.7</v>
      </c>
      <c r="N341" s="116">
        <v>1731.9749999999999</v>
      </c>
      <c r="O341" s="116">
        <v>1707.5</v>
      </c>
      <c r="P341" s="116">
        <v>1707.5</v>
      </c>
      <c r="Q341" s="116">
        <v>3435.4</v>
      </c>
      <c r="R341">
        <v>4181</v>
      </c>
    </row>
    <row r="342" spans="1:18" x14ac:dyDescent="0.25">
      <c r="A342" s="170">
        <v>42507</v>
      </c>
      <c r="B342" s="116">
        <v>1719.95</v>
      </c>
      <c r="C342" s="116">
        <v>1714.325</v>
      </c>
      <c r="D342" s="116">
        <v>1705.5</v>
      </c>
      <c r="E342" s="116">
        <v>1710</v>
      </c>
      <c r="F342" s="116">
        <v>3428.65</v>
      </c>
      <c r="G342">
        <v>275</v>
      </c>
      <c r="H342" s="116"/>
      <c r="I342" s="116"/>
      <c r="L342" s="170">
        <v>42507</v>
      </c>
      <c r="M342" s="116">
        <v>1708.8</v>
      </c>
      <c r="N342" s="116">
        <v>1722.4749999999999</v>
      </c>
      <c r="O342" s="116">
        <v>1702</v>
      </c>
      <c r="P342" s="116">
        <v>1722.4749999999999</v>
      </c>
      <c r="Q342" s="116">
        <v>3417.6</v>
      </c>
      <c r="R342">
        <v>3474</v>
      </c>
    </row>
    <row r="343" spans="1:18" x14ac:dyDescent="0.25">
      <c r="A343" s="170">
        <v>42508</v>
      </c>
      <c r="B343" s="116">
        <v>1725</v>
      </c>
      <c r="C343" s="116">
        <v>1697.9749999999999</v>
      </c>
      <c r="D343" s="116">
        <v>1690.5</v>
      </c>
      <c r="E343" s="116">
        <v>1724</v>
      </c>
      <c r="F343" s="116">
        <v>3395.95</v>
      </c>
      <c r="G343">
        <v>620</v>
      </c>
      <c r="H343" s="116"/>
      <c r="I343" s="116"/>
      <c r="L343" s="170">
        <v>42508</v>
      </c>
      <c r="M343" s="116">
        <v>1694.35</v>
      </c>
      <c r="N343" s="116">
        <v>1739</v>
      </c>
      <c r="O343" s="116">
        <v>1688</v>
      </c>
      <c r="P343" s="116">
        <v>1717.5</v>
      </c>
      <c r="Q343" s="116">
        <v>3388.7</v>
      </c>
      <c r="R343">
        <v>7407</v>
      </c>
    </row>
    <row r="344" spans="1:18" x14ac:dyDescent="0.25">
      <c r="A344" s="170">
        <v>42509</v>
      </c>
      <c r="B344" s="116">
        <v>1700</v>
      </c>
      <c r="C344" s="116">
        <v>1672.325</v>
      </c>
      <c r="D344" s="116">
        <v>1669.5</v>
      </c>
      <c r="E344" s="116">
        <v>1700</v>
      </c>
      <c r="F344" s="116">
        <v>3344.65</v>
      </c>
      <c r="G344">
        <v>427</v>
      </c>
      <c r="H344" s="116"/>
      <c r="I344" s="116"/>
      <c r="L344" s="170">
        <v>42509</v>
      </c>
      <c r="M344" s="116">
        <v>1672.6</v>
      </c>
      <c r="N344" s="116">
        <v>1699.75</v>
      </c>
      <c r="O344" s="116">
        <v>1663.075</v>
      </c>
      <c r="P344" s="116">
        <v>1694.4749999999999</v>
      </c>
      <c r="Q344" s="116">
        <v>3345.2</v>
      </c>
      <c r="R344">
        <v>3609</v>
      </c>
    </row>
    <row r="345" spans="1:18" x14ac:dyDescent="0.25">
      <c r="A345" s="170">
        <v>42510</v>
      </c>
      <c r="B345" s="116">
        <v>1700</v>
      </c>
      <c r="C345" s="116">
        <v>1690.75</v>
      </c>
      <c r="D345" s="116">
        <v>1682.5</v>
      </c>
      <c r="E345" s="116">
        <v>1683</v>
      </c>
      <c r="F345" s="116">
        <v>3381.5</v>
      </c>
      <c r="G345">
        <v>394</v>
      </c>
      <c r="H345" s="116"/>
      <c r="I345" s="116"/>
      <c r="L345" s="170">
        <v>42510</v>
      </c>
      <c r="M345" s="116">
        <v>1695.45</v>
      </c>
      <c r="N345" s="116">
        <v>1705</v>
      </c>
      <c r="O345" s="116">
        <v>1674.5</v>
      </c>
      <c r="P345" s="116">
        <v>1674.5</v>
      </c>
      <c r="Q345" s="116">
        <v>3390.9</v>
      </c>
      <c r="R345">
        <v>2686</v>
      </c>
    </row>
    <row r="346" spans="1:18" x14ac:dyDescent="0.25">
      <c r="A346" s="170">
        <v>42513</v>
      </c>
      <c r="B346" s="116">
        <v>1705</v>
      </c>
      <c r="C346" s="116">
        <v>1679.825</v>
      </c>
      <c r="D346" s="116">
        <v>1675</v>
      </c>
      <c r="E346" s="116">
        <v>1691</v>
      </c>
      <c r="F346" s="116">
        <v>3359.65</v>
      </c>
      <c r="G346">
        <v>413</v>
      </c>
      <c r="H346" s="116"/>
      <c r="I346" s="116"/>
      <c r="L346" s="170">
        <v>42513</v>
      </c>
      <c r="M346" s="116">
        <v>1689.15</v>
      </c>
      <c r="N346" s="116">
        <v>1703.4749999999999</v>
      </c>
      <c r="O346" s="116">
        <v>1676.175</v>
      </c>
      <c r="P346" s="116">
        <v>1700</v>
      </c>
      <c r="Q346" s="116">
        <v>3378.3</v>
      </c>
      <c r="R346">
        <v>2593</v>
      </c>
    </row>
    <row r="347" spans="1:18" x14ac:dyDescent="0.25">
      <c r="A347" s="170">
        <v>42514</v>
      </c>
      <c r="B347" s="116">
        <v>1707.5</v>
      </c>
      <c r="C347" s="116">
        <v>1696.575</v>
      </c>
      <c r="D347" s="116">
        <v>1674</v>
      </c>
      <c r="E347" s="116">
        <v>1675</v>
      </c>
      <c r="F347" s="116">
        <v>3393.15</v>
      </c>
      <c r="G347">
        <v>1021</v>
      </c>
      <c r="H347" s="116"/>
      <c r="I347" s="116"/>
      <c r="L347" s="170">
        <v>42514</v>
      </c>
      <c r="M347" s="116">
        <v>1701.7750000000001</v>
      </c>
      <c r="N347" s="116">
        <v>1712.5250000000001</v>
      </c>
      <c r="O347" s="116">
        <v>1675</v>
      </c>
      <c r="P347" s="116">
        <v>1689</v>
      </c>
      <c r="Q347" s="116">
        <v>3403.55</v>
      </c>
      <c r="R347">
        <v>3690</v>
      </c>
    </row>
    <row r="348" spans="1:18" x14ac:dyDescent="0.25">
      <c r="A348" s="170">
        <v>42515</v>
      </c>
      <c r="B348" s="116">
        <v>1760</v>
      </c>
      <c r="C348" s="116">
        <v>1712.65</v>
      </c>
      <c r="D348" s="116">
        <v>1679.5</v>
      </c>
      <c r="E348" s="116">
        <v>1695</v>
      </c>
      <c r="F348" s="116">
        <v>3425.3</v>
      </c>
      <c r="G348">
        <v>1917</v>
      </c>
      <c r="H348" s="116"/>
      <c r="I348" s="116"/>
      <c r="L348" s="170">
        <v>42515</v>
      </c>
      <c r="M348" s="116">
        <v>1718</v>
      </c>
      <c r="N348" s="116">
        <v>1763</v>
      </c>
      <c r="O348" s="116">
        <v>1676</v>
      </c>
      <c r="P348" s="116">
        <v>1702.5</v>
      </c>
      <c r="Q348" s="116">
        <v>3436</v>
      </c>
      <c r="R348">
        <v>16457</v>
      </c>
    </row>
    <row r="349" spans="1:18" x14ac:dyDescent="0.25">
      <c r="A349" s="170">
        <v>42516</v>
      </c>
      <c r="B349" s="116">
        <v>1762.5</v>
      </c>
      <c r="C349" s="116">
        <v>1751.125</v>
      </c>
      <c r="D349" s="116">
        <v>1715</v>
      </c>
      <c r="E349" s="116">
        <v>1733</v>
      </c>
      <c r="F349" s="116">
        <v>3502.25</v>
      </c>
      <c r="G349">
        <v>1301</v>
      </c>
      <c r="H349" s="116"/>
      <c r="I349" s="116"/>
      <c r="L349" s="170">
        <v>42516</v>
      </c>
      <c r="M349" s="116">
        <v>1752.85</v>
      </c>
      <c r="N349" s="116">
        <v>1772.5</v>
      </c>
      <c r="O349" s="116">
        <v>1720.2249999999999</v>
      </c>
      <c r="P349" s="116">
        <v>1737.5</v>
      </c>
      <c r="Q349" s="116">
        <v>3505.7</v>
      </c>
      <c r="R349">
        <v>10921</v>
      </c>
    </row>
    <row r="350" spans="1:18" x14ac:dyDescent="0.25">
      <c r="A350" s="170">
        <v>42517</v>
      </c>
      <c r="B350" s="116">
        <v>1801.5</v>
      </c>
      <c r="C350" s="116">
        <v>1749.45</v>
      </c>
      <c r="D350" s="116">
        <v>1733.15</v>
      </c>
      <c r="E350" s="116">
        <v>1734.2249999999999</v>
      </c>
      <c r="F350" s="116">
        <v>3498.9</v>
      </c>
      <c r="G350">
        <v>713</v>
      </c>
      <c r="H350" s="116"/>
      <c r="I350" s="116"/>
      <c r="L350" s="170">
        <v>42517</v>
      </c>
      <c r="M350" s="116">
        <v>1764.175</v>
      </c>
      <c r="N350" s="116">
        <v>1810</v>
      </c>
      <c r="O350" s="116">
        <v>1718.1</v>
      </c>
      <c r="P350" s="116">
        <v>1727.5</v>
      </c>
      <c r="Q350" s="116">
        <v>3528.35</v>
      </c>
      <c r="R350">
        <v>9321</v>
      </c>
    </row>
    <row r="351" spans="1:18" x14ac:dyDescent="0.25">
      <c r="A351" s="170">
        <v>42520</v>
      </c>
      <c r="B351" s="116">
        <v>1793.925</v>
      </c>
      <c r="C351" s="116">
        <v>1787.8</v>
      </c>
      <c r="D351" s="116">
        <v>1740.0250000000001</v>
      </c>
      <c r="E351" s="116">
        <v>1740.05</v>
      </c>
      <c r="F351" s="116">
        <v>3575.6</v>
      </c>
      <c r="G351">
        <v>827</v>
      </c>
      <c r="H351" s="116"/>
      <c r="I351" s="116"/>
      <c r="L351" s="170">
        <v>42520</v>
      </c>
      <c r="M351" s="116">
        <v>1786.125</v>
      </c>
      <c r="N351" s="116">
        <v>1797</v>
      </c>
      <c r="O351" s="116">
        <v>1741</v>
      </c>
      <c r="P351" s="116">
        <v>1741</v>
      </c>
      <c r="Q351" s="116">
        <v>3572.25</v>
      </c>
      <c r="R351">
        <v>5264</v>
      </c>
    </row>
    <row r="352" spans="1:18" x14ac:dyDescent="0.25">
      <c r="A352" s="170">
        <v>42521</v>
      </c>
      <c r="B352" s="116">
        <v>1777.5</v>
      </c>
      <c r="C352" s="116">
        <v>1773.6</v>
      </c>
      <c r="D352" s="116">
        <v>1768</v>
      </c>
      <c r="E352" s="116">
        <v>1770</v>
      </c>
      <c r="F352" s="116">
        <v>3547.2</v>
      </c>
      <c r="G352">
        <v>481</v>
      </c>
      <c r="H352" s="116"/>
      <c r="I352" s="116"/>
      <c r="L352" s="170">
        <v>42521</v>
      </c>
      <c r="M352" s="116">
        <v>1777.2249999999999</v>
      </c>
      <c r="N352" s="116">
        <v>1784.7</v>
      </c>
      <c r="O352" s="116">
        <v>1763</v>
      </c>
      <c r="P352" s="116">
        <v>1764.25</v>
      </c>
      <c r="Q352" s="116">
        <v>3554.45</v>
      </c>
      <c r="R352">
        <v>3945</v>
      </c>
    </row>
    <row r="353" spans="1:18" x14ac:dyDescent="0.25">
      <c r="A353" s="170">
        <v>42522</v>
      </c>
      <c r="B353" s="116">
        <v>1787</v>
      </c>
      <c r="C353" s="116">
        <v>1757.7750000000001</v>
      </c>
      <c r="D353" s="116">
        <v>1727</v>
      </c>
      <c r="E353" s="116">
        <v>1780</v>
      </c>
      <c r="F353" s="116">
        <v>3515.55</v>
      </c>
      <c r="G353">
        <v>549</v>
      </c>
      <c r="H353" s="116"/>
      <c r="I353" s="116"/>
      <c r="L353" s="170">
        <v>42522</v>
      </c>
      <c r="M353" s="116">
        <v>1766.15</v>
      </c>
      <c r="N353" s="116">
        <v>1787.175</v>
      </c>
      <c r="O353" s="116">
        <v>1762.5</v>
      </c>
      <c r="P353" s="116">
        <v>1777</v>
      </c>
      <c r="Q353" s="116">
        <v>3532.3</v>
      </c>
      <c r="R353">
        <v>3099</v>
      </c>
    </row>
    <row r="354" spans="1:18" x14ac:dyDescent="0.25">
      <c r="A354" s="170">
        <v>42523</v>
      </c>
      <c r="B354" s="116">
        <v>1766</v>
      </c>
      <c r="C354" s="116">
        <v>1757.55</v>
      </c>
      <c r="D354" s="116">
        <v>1742</v>
      </c>
      <c r="E354" s="116">
        <v>1764.4</v>
      </c>
      <c r="F354" s="116">
        <v>3515.1</v>
      </c>
      <c r="G354">
        <v>325</v>
      </c>
      <c r="H354" s="116"/>
      <c r="I354" s="116"/>
      <c r="L354" s="170">
        <v>42523</v>
      </c>
      <c r="M354" s="116">
        <v>1766.95</v>
      </c>
      <c r="N354" s="116">
        <v>1787.1</v>
      </c>
      <c r="O354" s="116">
        <v>1731.25</v>
      </c>
      <c r="P354" s="116">
        <v>1779.825</v>
      </c>
      <c r="Q354" s="116">
        <v>3533.9</v>
      </c>
      <c r="R354">
        <v>3614</v>
      </c>
    </row>
    <row r="355" spans="1:18" x14ac:dyDescent="0.25">
      <c r="A355" s="170">
        <v>42524</v>
      </c>
      <c r="B355" s="116">
        <v>1770</v>
      </c>
      <c r="C355" s="116">
        <v>1762.9</v>
      </c>
      <c r="D355" s="116">
        <v>1750</v>
      </c>
      <c r="E355" s="116">
        <v>1757.5</v>
      </c>
      <c r="F355" s="116">
        <v>3525.8</v>
      </c>
      <c r="G355">
        <v>294</v>
      </c>
      <c r="H355" s="116"/>
      <c r="I355" s="116"/>
      <c r="L355" s="170">
        <v>42524</v>
      </c>
      <c r="M355" s="116">
        <v>1769.3</v>
      </c>
      <c r="N355" s="116">
        <v>1777.5</v>
      </c>
      <c r="O355" s="116">
        <v>1753</v>
      </c>
      <c r="P355" s="116">
        <v>1766.4749999999999</v>
      </c>
      <c r="Q355" s="116">
        <v>3538.6</v>
      </c>
      <c r="R355">
        <v>2728</v>
      </c>
    </row>
    <row r="356" spans="1:18" x14ac:dyDescent="0.25">
      <c r="A356" s="170">
        <v>42527</v>
      </c>
      <c r="B356" s="116">
        <v>1768</v>
      </c>
      <c r="C356" s="116">
        <v>1761.05</v>
      </c>
      <c r="D356" s="116">
        <v>1751.5</v>
      </c>
      <c r="E356" s="116">
        <v>1762.5</v>
      </c>
      <c r="F356" s="116">
        <v>3522.1</v>
      </c>
      <c r="G356">
        <v>351</v>
      </c>
      <c r="H356" s="116"/>
      <c r="I356" s="116"/>
      <c r="L356" s="170">
        <v>42527</v>
      </c>
      <c r="M356" s="116">
        <v>1758.375</v>
      </c>
      <c r="N356" s="116">
        <v>1774.75</v>
      </c>
      <c r="O356" s="116">
        <v>1750.2750000000001</v>
      </c>
      <c r="P356" s="116">
        <v>1766.95</v>
      </c>
      <c r="Q356" s="116">
        <v>3516.75</v>
      </c>
      <c r="R356">
        <v>3359</v>
      </c>
    </row>
    <row r="357" spans="1:18" x14ac:dyDescent="0.25">
      <c r="A357" s="170">
        <v>42528</v>
      </c>
      <c r="B357" s="116">
        <v>1765</v>
      </c>
      <c r="C357" s="116">
        <v>1757.7</v>
      </c>
      <c r="D357" s="116">
        <v>1745</v>
      </c>
      <c r="E357" s="116">
        <v>1750.375</v>
      </c>
      <c r="F357" s="116">
        <v>3515.4</v>
      </c>
      <c r="G357">
        <v>639</v>
      </c>
      <c r="H357" s="116"/>
      <c r="I357" s="116"/>
      <c r="L357" s="170">
        <v>42528</v>
      </c>
      <c r="M357" s="116">
        <v>1762.4</v>
      </c>
      <c r="N357" s="116">
        <v>1774</v>
      </c>
      <c r="O357" s="116">
        <v>1742.7</v>
      </c>
      <c r="P357" s="116">
        <v>1766.4749999999999</v>
      </c>
      <c r="Q357" s="116">
        <v>3524.8</v>
      </c>
      <c r="R357">
        <v>3086</v>
      </c>
    </row>
    <row r="358" spans="1:18" x14ac:dyDescent="0.25">
      <c r="A358" s="170">
        <v>42529</v>
      </c>
      <c r="B358" s="116">
        <v>1760</v>
      </c>
      <c r="C358" s="116">
        <v>1751.85</v>
      </c>
      <c r="D358" s="116">
        <v>1747.9</v>
      </c>
      <c r="E358" s="116">
        <v>1759</v>
      </c>
      <c r="F358" s="116">
        <v>3503.7</v>
      </c>
      <c r="G358">
        <v>427</v>
      </c>
      <c r="H358" s="116"/>
      <c r="I358" s="116"/>
      <c r="L358" s="170">
        <v>42529</v>
      </c>
      <c r="M358" s="116">
        <v>1759.8</v>
      </c>
      <c r="N358" s="116">
        <v>1764</v>
      </c>
      <c r="O358" s="116">
        <v>1751.0250000000001</v>
      </c>
      <c r="P358" s="116">
        <v>1757.5</v>
      </c>
      <c r="Q358" s="116">
        <v>3519.6</v>
      </c>
      <c r="R358">
        <v>2579</v>
      </c>
    </row>
    <row r="359" spans="1:18" x14ac:dyDescent="0.25">
      <c r="A359" s="170">
        <v>42530</v>
      </c>
      <c r="B359" s="116">
        <v>1754.65</v>
      </c>
      <c r="C359" s="116">
        <v>1745.6</v>
      </c>
      <c r="D359" s="116">
        <v>1738</v>
      </c>
      <c r="E359" s="116">
        <v>1747.5250000000001</v>
      </c>
      <c r="F359" s="116">
        <v>3491.2</v>
      </c>
      <c r="G359">
        <v>364</v>
      </c>
      <c r="H359" s="116"/>
      <c r="I359" s="116"/>
      <c r="L359" s="170">
        <v>42530</v>
      </c>
      <c r="M359" s="116">
        <v>1752.3</v>
      </c>
      <c r="N359" s="116">
        <v>1767</v>
      </c>
      <c r="O359" s="116">
        <v>1742.5</v>
      </c>
      <c r="P359" s="116">
        <v>1750.5</v>
      </c>
      <c r="Q359" s="116">
        <v>3504.6</v>
      </c>
      <c r="R359">
        <v>2803</v>
      </c>
    </row>
    <row r="360" spans="1:18" x14ac:dyDescent="0.25">
      <c r="A360" s="170">
        <v>42531</v>
      </c>
      <c r="B360" s="116">
        <v>1754.45</v>
      </c>
      <c r="C360" s="116">
        <v>1741.35</v>
      </c>
      <c r="D360" s="116">
        <v>1740</v>
      </c>
      <c r="E360" s="116">
        <v>1746.5</v>
      </c>
      <c r="F360" s="116">
        <v>3482.7</v>
      </c>
      <c r="G360">
        <v>109</v>
      </c>
      <c r="H360" s="116"/>
      <c r="I360" s="116"/>
      <c r="L360" s="170">
        <v>42531</v>
      </c>
      <c r="M360" s="116">
        <v>1748.4749999999999</v>
      </c>
      <c r="N360" s="116">
        <v>1757.5250000000001</v>
      </c>
      <c r="O360" s="116">
        <v>1740</v>
      </c>
      <c r="P360" s="116">
        <v>1749.9749999999999</v>
      </c>
      <c r="Q360" s="116">
        <v>3496.95</v>
      </c>
      <c r="R360">
        <v>2053</v>
      </c>
    </row>
    <row r="361" spans="1:18" x14ac:dyDescent="0.25">
      <c r="A361" s="170">
        <v>42534</v>
      </c>
      <c r="B361" s="116">
        <v>1770</v>
      </c>
      <c r="C361" s="116">
        <v>1756.35</v>
      </c>
      <c r="D361" s="116">
        <v>1735</v>
      </c>
      <c r="E361" s="116">
        <v>1740.0250000000001</v>
      </c>
      <c r="F361" s="116">
        <v>3512.7</v>
      </c>
      <c r="G361">
        <v>423</v>
      </c>
      <c r="H361" s="116"/>
      <c r="I361" s="116"/>
      <c r="L361" s="170">
        <v>42534</v>
      </c>
      <c r="M361" s="116">
        <v>1749.2750000000001</v>
      </c>
      <c r="N361" s="116">
        <v>1762</v>
      </c>
      <c r="O361" s="116">
        <v>1733</v>
      </c>
      <c r="P361" s="116">
        <v>1748</v>
      </c>
      <c r="Q361" s="116">
        <v>3498.55</v>
      </c>
      <c r="R361">
        <v>1826</v>
      </c>
    </row>
    <row r="362" spans="1:18" x14ac:dyDescent="0.25">
      <c r="A362" s="170">
        <v>42535</v>
      </c>
      <c r="B362" s="116">
        <v>1749.45</v>
      </c>
      <c r="C362" s="116">
        <v>1735.75</v>
      </c>
      <c r="D362" s="116">
        <v>1734</v>
      </c>
      <c r="E362" s="116">
        <v>1747</v>
      </c>
      <c r="F362" s="116">
        <v>3471.5</v>
      </c>
      <c r="G362">
        <v>446</v>
      </c>
      <c r="H362" s="116"/>
      <c r="I362" s="116"/>
      <c r="L362" s="170">
        <v>42535</v>
      </c>
      <c r="M362" s="116">
        <v>1745.575</v>
      </c>
      <c r="N362" s="116">
        <v>1749.5</v>
      </c>
      <c r="O362" s="116">
        <v>1737.5</v>
      </c>
      <c r="P362" s="116">
        <v>1747.05</v>
      </c>
      <c r="Q362" s="116">
        <v>3491.15</v>
      </c>
      <c r="R362">
        <v>1930</v>
      </c>
    </row>
    <row r="363" spans="1:18" x14ac:dyDescent="0.25">
      <c r="A363" s="170">
        <v>42536</v>
      </c>
      <c r="B363" s="116">
        <v>1767.5</v>
      </c>
      <c r="C363" s="116">
        <v>1741.5250000000001</v>
      </c>
      <c r="D363" s="116">
        <v>1716</v>
      </c>
      <c r="E363" s="116">
        <v>1738.075</v>
      </c>
      <c r="F363" s="116">
        <v>3483.05</v>
      </c>
      <c r="G363">
        <v>683</v>
      </c>
      <c r="H363" s="116"/>
      <c r="I363" s="116"/>
      <c r="L363" s="170">
        <v>42536</v>
      </c>
      <c r="M363" s="116">
        <v>1759.65</v>
      </c>
      <c r="N363" s="116">
        <v>1775</v>
      </c>
      <c r="O363" s="116">
        <v>1737.5</v>
      </c>
      <c r="P363" s="116">
        <v>1749.4749999999999</v>
      </c>
      <c r="Q363" s="116">
        <v>3519.3</v>
      </c>
      <c r="R363">
        <v>3620</v>
      </c>
    </row>
    <row r="364" spans="1:18" x14ac:dyDescent="0.25">
      <c r="A364" s="170">
        <v>42537</v>
      </c>
      <c r="B364" s="116">
        <v>1750</v>
      </c>
      <c r="C364" s="116">
        <v>1736.95</v>
      </c>
      <c r="D364" s="116">
        <v>1734.5250000000001</v>
      </c>
      <c r="E364" s="116">
        <v>1750</v>
      </c>
      <c r="F364" s="116">
        <v>3473.9</v>
      </c>
      <c r="G364">
        <v>400</v>
      </c>
      <c r="H364" s="116"/>
      <c r="I364" s="116"/>
      <c r="L364" s="170">
        <v>42537</v>
      </c>
      <c r="M364" s="116">
        <v>1741.9</v>
      </c>
      <c r="N364" s="116">
        <v>1759</v>
      </c>
      <c r="O364" s="116">
        <v>1737.5</v>
      </c>
      <c r="P364" s="116">
        <v>1758.5</v>
      </c>
      <c r="Q364" s="116">
        <v>3483.8</v>
      </c>
      <c r="R364">
        <v>2903</v>
      </c>
    </row>
    <row r="365" spans="1:18" x14ac:dyDescent="0.25">
      <c r="A365" s="170">
        <v>42538</v>
      </c>
      <c r="B365" s="116">
        <v>1785</v>
      </c>
      <c r="C365" s="116">
        <v>1756.5250000000001</v>
      </c>
      <c r="D365" s="116">
        <v>1735</v>
      </c>
      <c r="E365" s="116">
        <v>1741.7</v>
      </c>
      <c r="F365" s="116">
        <v>3513.05</v>
      </c>
      <c r="G365">
        <v>950</v>
      </c>
      <c r="H365" s="116"/>
      <c r="I365" s="116"/>
      <c r="L365" s="170">
        <v>42538</v>
      </c>
      <c r="M365" s="116">
        <v>1763.7249999999999</v>
      </c>
      <c r="N365" s="116">
        <v>1785.45</v>
      </c>
      <c r="O365" s="116">
        <v>1742.5</v>
      </c>
      <c r="P365" s="116">
        <v>1742.5</v>
      </c>
      <c r="Q365" s="116">
        <v>3527.45</v>
      </c>
      <c r="R365">
        <v>5382</v>
      </c>
    </row>
    <row r="366" spans="1:18" x14ac:dyDescent="0.25">
      <c r="A366" s="170">
        <v>42541</v>
      </c>
      <c r="B366" s="116">
        <v>1751</v>
      </c>
      <c r="C366" s="116">
        <v>1743.45</v>
      </c>
      <c r="D366" s="116">
        <v>1738.5</v>
      </c>
      <c r="E366" s="116">
        <v>1751</v>
      </c>
      <c r="F366" s="116">
        <v>3486.9</v>
      </c>
      <c r="G366">
        <v>494</v>
      </c>
      <c r="H366" s="116"/>
      <c r="I366" s="116"/>
      <c r="L366" s="170">
        <v>42541</v>
      </c>
      <c r="M366" s="116">
        <v>1749.425</v>
      </c>
      <c r="N366" s="116">
        <v>1757.2249999999999</v>
      </c>
      <c r="O366" s="116">
        <v>1738.55</v>
      </c>
      <c r="P366" s="116">
        <v>1742.625</v>
      </c>
      <c r="Q366" s="116">
        <v>3498.85</v>
      </c>
      <c r="R366">
        <v>3041</v>
      </c>
    </row>
    <row r="367" spans="1:18" x14ac:dyDescent="0.25">
      <c r="A367" s="170">
        <v>42542</v>
      </c>
      <c r="B367" s="116">
        <v>1764.5</v>
      </c>
      <c r="C367" s="116">
        <v>1753.35</v>
      </c>
      <c r="D367" s="116">
        <v>1743.625</v>
      </c>
      <c r="E367" s="116">
        <v>1743.625</v>
      </c>
      <c r="F367" s="116">
        <v>3506.7</v>
      </c>
      <c r="G367">
        <v>206</v>
      </c>
      <c r="H367" s="116"/>
      <c r="I367" s="116"/>
      <c r="L367" s="170">
        <v>42542</v>
      </c>
      <c r="M367" s="116">
        <v>1757.15</v>
      </c>
      <c r="N367" s="116">
        <v>1766.5</v>
      </c>
      <c r="O367" s="116">
        <v>1741.15</v>
      </c>
      <c r="P367" s="116">
        <v>1749</v>
      </c>
      <c r="Q367" s="116">
        <v>3514.3</v>
      </c>
      <c r="R367">
        <v>7036</v>
      </c>
    </row>
    <row r="368" spans="1:18" x14ac:dyDescent="0.25">
      <c r="A368" s="170">
        <v>42543</v>
      </c>
      <c r="B368" s="116">
        <v>1770</v>
      </c>
      <c r="C368" s="116">
        <v>1725.65</v>
      </c>
      <c r="D368" s="116">
        <v>1717.5250000000001</v>
      </c>
      <c r="E368" s="116">
        <v>1765</v>
      </c>
      <c r="F368" s="116">
        <v>3451.3</v>
      </c>
      <c r="G368">
        <v>694</v>
      </c>
      <c r="H368" s="116"/>
      <c r="I368" s="116"/>
      <c r="L368" s="170">
        <v>42543</v>
      </c>
      <c r="M368" s="116">
        <v>1728.7750000000001</v>
      </c>
      <c r="N368" s="116">
        <v>1774</v>
      </c>
      <c r="O368" s="116">
        <v>1720</v>
      </c>
      <c r="P368" s="116">
        <v>1755</v>
      </c>
      <c r="Q368" s="116">
        <v>3457.55</v>
      </c>
      <c r="R368">
        <v>9345</v>
      </c>
    </row>
    <row r="369" spans="1:18" x14ac:dyDescent="0.25">
      <c r="A369" s="170">
        <v>42544</v>
      </c>
      <c r="B369" s="116">
        <v>1741.9749999999999</v>
      </c>
      <c r="C369" s="116">
        <v>1704.5</v>
      </c>
      <c r="D369" s="116">
        <v>1700</v>
      </c>
      <c r="E369" s="116">
        <v>1741.9749999999999</v>
      </c>
      <c r="F369" s="116">
        <v>3409</v>
      </c>
      <c r="G369">
        <v>1656</v>
      </c>
      <c r="H369" s="116"/>
      <c r="I369" s="116"/>
      <c r="L369" s="170">
        <v>42544</v>
      </c>
      <c r="M369" s="116">
        <v>1708.1</v>
      </c>
      <c r="N369" s="116">
        <v>1742</v>
      </c>
      <c r="O369" s="116">
        <v>1700.675</v>
      </c>
      <c r="P369" s="116">
        <v>1728.5</v>
      </c>
      <c r="Q369" s="116">
        <v>3416.2</v>
      </c>
      <c r="R369">
        <v>10222</v>
      </c>
    </row>
    <row r="370" spans="1:18" x14ac:dyDescent="0.25">
      <c r="A370" s="170">
        <v>42545</v>
      </c>
      <c r="B370" s="116">
        <v>1740.0250000000001</v>
      </c>
      <c r="C370" s="116">
        <v>1732.2</v>
      </c>
      <c r="D370" s="116">
        <v>1685.5</v>
      </c>
      <c r="E370" s="116">
        <v>1685.5</v>
      </c>
      <c r="F370" s="116">
        <v>3464.4</v>
      </c>
      <c r="G370">
        <v>592</v>
      </c>
      <c r="H370" s="116"/>
      <c r="I370" s="116"/>
      <c r="L370" s="170">
        <v>42545</v>
      </c>
      <c r="M370" s="116">
        <v>1737.625</v>
      </c>
      <c r="N370" s="116">
        <v>1745</v>
      </c>
      <c r="O370" s="116">
        <v>1687.5</v>
      </c>
      <c r="P370" s="116">
        <v>1687.5</v>
      </c>
      <c r="Q370" s="116">
        <v>3475.25</v>
      </c>
      <c r="R370">
        <v>9981</v>
      </c>
    </row>
    <row r="371" spans="1:18" x14ac:dyDescent="0.25">
      <c r="A371" s="170">
        <v>42548</v>
      </c>
      <c r="B371" s="116">
        <v>1753.5</v>
      </c>
      <c r="C371" s="116">
        <v>1737.2249999999999</v>
      </c>
      <c r="D371" s="116">
        <v>1731.4749999999999</v>
      </c>
      <c r="E371" s="116">
        <v>1740.5250000000001</v>
      </c>
      <c r="F371" s="116">
        <v>3474.45</v>
      </c>
      <c r="G371">
        <v>509</v>
      </c>
      <c r="H371" s="116"/>
      <c r="I371" s="116"/>
      <c r="L371" s="170">
        <v>42548</v>
      </c>
      <c r="M371" s="116">
        <v>1745.075</v>
      </c>
      <c r="N371" s="116">
        <v>1756</v>
      </c>
      <c r="O371" s="116">
        <v>1718</v>
      </c>
      <c r="P371" s="116">
        <v>1737.5</v>
      </c>
      <c r="Q371" s="116">
        <v>3490.15</v>
      </c>
      <c r="R371">
        <v>4493</v>
      </c>
    </row>
    <row r="372" spans="1:18" x14ac:dyDescent="0.25">
      <c r="A372" s="170">
        <v>42549</v>
      </c>
      <c r="B372" s="116">
        <v>1753</v>
      </c>
      <c r="C372" s="116">
        <v>1744.5250000000001</v>
      </c>
      <c r="D372" s="116">
        <v>1741.6</v>
      </c>
      <c r="E372" s="116">
        <v>1741.6</v>
      </c>
      <c r="F372" s="116">
        <v>3489.05</v>
      </c>
      <c r="G372">
        <v>486</v>
      </c>
      <c r="H372" s="116"/>
      <c r="I372" s="116"/>
      <c r="L372" s="170">
        <v>42549</v>
      </c>
      <c r="M372" s="116">
        <v>1751.925</v>
      </c>
      <c r="N372" s="116">
        <v>1756</v>
      </c>
      <c r="O372" s="116">
        <v>1738</v>
      </c>
      <c r="P372" s="116">
        <v>1749</v>
      </c>
      <c r="Q372" s="116">
        <v>3503.85</v>
      </c>
      <c r="R372">
        <v>3236</v>
      </c>
    </row>
    <row r="373" spans="1:18" x14ac:dyDescent="0.25">
      <c r="A373" s="170">
        <v>42550</v>
      </c>
      <c r="B373" s="116">
        <v>1750</v>
      </c>
      <c r="C373" s="116">
        <v>1741.1</v>
      </c>
      <c r="D373" s="116">
        <v>1735</v>
      </c>
      <c r="E373" s="116">
        <v>1750</v>
      </c>
      <c r="F373" s="116">
        <v>3482.2</v>
      </c>
      <c r="G373">
        <v>234</v>
      </c>
      <c r="H373" s="116"/>
      <c r="I373" s="116"/>
      <c r="L373" s="170">
        <v>42550</v>
      </c>
      <c r="M373" s="116">
        <v>1749.875</v>
      </c>
      <c r="N373" s="116">
        <v>1762.5</v>
      </c>
      <c r="O373" s="116">
        <v>1732.5</v>
      </c>
      <c r="P373" s="116">
        <v>1755</v>
      </c>
      <c r="Q373" s="116">
        <v>3499.75</v>
      </c>
      <c r="R373">
        <v>3250</v>
      </c>
    </row>
    <row r="374" spans="1:18" x14ac:dyDescent="0.25">
      <c r="A374" s="170">
        <v>42551</v>
      </c>
      <c r="B374" s="116">
        <v>1763.9</v>
      </c>
      <c r="C374" s="116">
        <v>1737</v>
      </c>
      <c r="D374" s="116">
        <v>1726.5</v>
      </c>
      <c r="E374" s="116">
        <v>1745.1</v>
      </c>
      <c r="F374" s="116">
        <v>3474</v>
      </c>
      <c r="G374">
        <v>573</v>
      </c>
      <c r="H374" s="116"/>
      <c r="I374" s="116"/>
      <c r="L374" s="170">
        <v>42551</v>
      </c>
      <c r="M374" s="116">
        <v>1743.7</v>
      </c>
      <c r="N374" s="116">
        <v>1762.5</v>
      </c>
      <c r="O374" s="116">
        <v>1733</v>
      </c>
      <c r="P374" s="116">
        <v>1759.45</v>
      </c>
      <c r="Q374" s="116">
        <v>3487.4</v>
      </c>
      <c r="R374">
        <v>5556</v>
      </c>
    </row>
    <row r="375" spans="1:18" x14ac:dyDescent="0.25">
      <c r="A375" s="170">
        <v>42552</v>
      </c>
      <c r="B375" s="116">
        <v>1755</v>
      </c>
      <c r="C375" s="116">
        <v>1734.425</v>
      </c>
      <c r="D375" s="116">
        <v>1722</v>
      </c>
      <c r="E375" s="116">
        <v>1731.625</v>
      </c>
      <c r="F375" s="116">
        <v>3468.85</v>
      </c>
      <c r="G375">
        <v>688</v>
      </c>
      <c r="H375" s="116"/>
      <c r="I375" s="116"/>
      <c r="L375" s="170">
        <v>42552</v>
      </c>
      <c r="M375" s="116">
        <v>1734.45</v>
      </c>
      <c r="N375" s="116">
        <v>1755</v>
      </c>
      <c r="O375" s="116">
        <v>1725</v>
      </c>
      <c r="P375" s="116">
        <v>1752</v>
      </c>
      <c r="Q375" s="116">
        <v>3468.9</v>
      </c>
      <c r="R375">
        <v>12043</v>
      </c>
    </row>
    <row r="376" spans="1:18" x14ac:dyDescent="0.25">
      <c r="A376" s="170">
        <v>42555</v>
      </c>
      <c r="B376" s="116">
        <v>1755</v>
      </c>
      <c r="C376" s="116">
        <v>1750.75</v>
      </c>
      <c r="D376" s="116">
        <v>1731.2</v>
      </c>
      <c r="E376" s="116">
        <v>1731.2</v>
      </c>
      <c r="F376" s="116">
        <v>3501.5</v>
      </c>
      <c r="G376">
        <v>435</v>
      </c>
      <c r="H376" s="116"/>
      <c r="I376" s="116"/>
      <c r="L376" s="170">
        <v>42555</v>
      </c>
      <c r="M376" s="116">
        <v>1751.55</v>
      </c>
      <c r="N376" s="116">
        <v>1757.5</v>
      </c>
      <c r="O376" s="116">
        <v>1735.55</v>
      </c>
      <c r="P376" s="116">
        <v>1744.5</v>
      </c>
      <c r="Q376" s="116">
        <v>3503.1</v>
      </c>
      <c r="R376">
        <v>3180</v>
      </c>
    </row>
    <row r="377" spans="1:18" x14ac:dyDescent="0.25">
      <c r="A377" s="170">
        <v>42556</v>
      </c>
      <c r="B377" s="116">
        <v>1753</v>
      </c>
      <c r="C377" s="116">
        <v>1732.9749999999999</v>
      </c>
      <c r="D377" s="116">
        <v>1705.65</v>
      </c>
      <c r="E377" s="116">
        <v>1750</v>
      </c>
      <c r="F377" s="116">
        <v>3465.95</v>
      </c>
      <c r="G377">
        <v>823</v>
      </c>
      <c r="H377" s="116"/>
      <c r="I377" s="116"/>
      <c r="L377" s="170">
        <v>42556</v>
      </c>
      <c r="M377" s="116">
        <v>1747.575</v>
      </c>
      <c r="N377" s="116">
        <v>1756.7750000000001</v>
      </c>
      <c r="O377" s="116">
        <v>1740</v>
      </c>
      <c r="P377" s="116">
        <v>1751.55</v>
      </c>
      <c r="Q377" s="116">
        <v>3495.15</v>
      </c>
      <c r="R377">
        <v>3788</v>
      </c>
    </row>
    <row r="378" spans="1:18" x14ac:dyDescent="0.25">
      <c r="A378" s="170">
        <v>42558</v>
      </c>
      <c r="B378" s="116">
        <v>1769.95</v>
      </c>
      <c r="C378" s="116">
        <v>1755.925</v>
      </c>
      <c r="D378" s="116">
        <v>1737.5</v>
      </c>
      <c r="E378" s="116">
        <v>1737.5</v>
      </c>
      <c r="F378" s="116">
        <v>3511.85</v>
      </c>
      <c r="G378">
        <v>842</v>
      </c>
      <c r="H378" s="116"/>
      <c r="I378" s="116"/>
      <c r="L378" s="170">
        <v>42558</v>
      </c>
      <c r="M378" s="116">
        <v>1759.65</v>
      </c>
      <c r="N378" s="116">
        <v>1772.5250000000001</v>
      </c>
      <c r="O378" s="116">
        <v>1732</v>
      </c>
      <c r="P378" s="116">
        <v>1735</v>
      </c>
      <c r="Q378" s="116">
        <v>3519.3</v>
      </c>
      <c r="R378">
        <v>8984</v>
      </c>
    </row>
    <row r="379" spans="1:18" x14ac:dyDescent="0.25">
      <c r="A379" s="170">
        <v>42559</v>
      </c>
      <c r="B379" s="116">
        <v>1756.825</v>
      </c>
      <c r="C379" s="116">
        <v>1739.675</v>
      </c>
      <c r="D379" s="116">
        <v>1737.85</v>
      </c>
      <c r="E379" s="116">
        <v>1755</v>
      </c>
      <c r="F379" s="116">
        <v>3479.35</v>
      </c>
      <c r="G379">
        <v>462</v>
      </c>
      <c r="H379" s="116"/>
      <c r="I379" s="116"/>
      <c r="L379" s="170">
        <v>42559</v>
      </c>
      <c r="M379" s="116">
        <v>1743.9</v>
      </c>
      <c r="N379" s="116">
        <v>1764</v>
      </c>
      <c r="O379" s="116">
        <v>1740.5</v>
      </c>
      <c r="P379" s="116">
        <v>1759.65</v>
      </c>
      <c r="Q379" s="116">
        <v>3487.8</v>
      </c>
      <c r="R379">
        <v>2879</v>
      </c>
    </row>
    <row r="380" spans="1:18" x14ac:dyDescent="0.25">
      <c r="A380" s="170">
        <v>42562</v>
      </c>
      <c r="B380" s="116">
        <v>1760</v>
      </c>
      <c r="C380" s="116">
        <v>1758.2249999999999</v>
      </c>
      <c r="D380" s="116">
        <v>1747</v>
      </c>
      <c r="E380" s="116">
        <v>1749.9749999999999</v>
      </c>
      <c r="F380" s="116">
        <v>3516.45</v>
      </c>
      <c r="G380">
        <v>724</v>
      </c>
      <c r="H380" s="116"/>
      <c r="I380" s="116"/>
      <c r="L380" s="170">
        <v>42562</v>
      </c>
      <c r="M380" s="116">
        <v>1759.8</v>
      </c>
      <c r="N380" s="116">
        <v>1765</v>
      </c>
      <c r="O380" s="116">
        <v>1740.55</v>
      </c>
      <c r="P380" s="116">
        <v>1740.55</v>
      </c>
      <c r="Q380" s="116">
        <v>3519.6</v>
      </c>
      <c r="R380">
        <v>5622</v>
      </c>
    </row>
    <row r="381" spans="1:18" x14ac:dyDescent="0.25">
      <c r="A381" s="170">
        <v>42563</v>
      </c>
      <c r="B381" s="116">
        <v>1760</v>
      </c>
      <c r="C381" s="116">
        <v>1752.925</v>
      </c>
      <c r="D381" s="116">
        <v>1745.0250000000001</v>
      </c>
      <c r="E381" s="116">
        <v>1749.125</v>
      </c>
      <c r="F381" s="116">
        <v>3505.85</v>
      </c>
      <c r="G381">
        <v>1691</v>
      </c>
      <c r="H381" s="116"/>
      <c r="I381" s="116"/>
      <c r="L381" s="170">
        <v>42563</v>
      </c>
      <c r="M381" s="116">
        <v>1756.3</v>
      </c>
      <c r="N381" s="116">
        <v>1768.5</v>
      </c>
      <c r="O381" s="116">
        <v>1750</v>
      </c>
      <c r="P381" s="116">
        <v>1761.15</v>
      </c>
      <c r="Q381" s="116">
        <v>3512.6</v>
      </c>
      <c r="R381">
        <v>5326</v>
      </c>
    </row>
    <row r="382" spans="1:18" x14ac:dyDescent="0.25">
      <c r="A382" s="170">
        <v>42564</v>
      </c>
      <c r="B382" s="116">
        <v>1765</v>
      </c>
      <c r="C382" s="116">
        <v>1752.625</v>
      </c>
      <c r="D382" s="116">
        <v>1746</v>
      </c>
      <c r="E382" s="116">
        <v>1764</v>
      </c>
      <c r="F382" s="116">
        <v>3505.25</v>
      </c>
      <c r="G382">
        <v>497</v>
      </c>
      <c r="H382" s="116"/>
      <c r="I382" s="116"/>
      <c r="L382" s="170">
        <v>42564</v>
      </c>
      <c r="M382" s="116">
        <v>1752.7</v>
      </c>
      <c r="N382" s="116">
        <v>1765</v>
      </c>
      <c r="O382" s="116">
        <v>1743.0250000000001</v>
      </c>
      <c r="P382" s="116">
        <v>1762.9749999999999</v>
      </c>
      <c r="Q382" s="116">
        <v>3505.4</v>
      </c>
      <c r="R382">
        <v>3612</v>
      </c>
    </row>
    <row r="383" spans="1:18" x14ac:dyDescent="0.25">
      <c r="A383" s="170">
        <v>42565</v>
      </c>
      <c r="B383" s="116">
        <v>1762.5</v>
      </c>
      <c r="C383" s="116">
        <v>1759.7249999999999</v>
      </c>
      <c r="D383" s="116">
        <v>1746</v>
      </c>
      <c r="E383" s="116">
        <v>1750</v>
      </c>
      <c r="F383" s="116">
        <v>3519.45</v>
      </c>
      <c r="G383">
        <v>644</v>
      </c>
      <c r="H383" s="116"/>
      <c r="I383" s="116"/>
      <c r="L383" s="170">
        <v>42565</v>
      </c>
      <c r="M383" s="116">
        <v>1761.0250000000001</v>
      </c>
      <c r="N383" s="116">
        <v>1762.5</v>
      </c>
      <c r="O383" s="116">
        <v>1745.65</v>
      </c>
      <c r="P383" s="116">
        <v>1752.7</v>
      </c>
      <c r="Q383" s="116">
        <v>3522.05</v>
      </c>
      <c r="R383">
        <v>3174</v>
      </c>
    </row>
    <row r="384" spans="1:18" x14ac:dyDescent="0.25">
      <c r="A384" s="170">
        <v>42566</v>
      </c>
      <c r="B384" s="116">
        <v>1744.7750000000001</v>
      </c>
      <c r="C384" s="116">
        <v>1732.35</v>
      </c>
      <c r="D384" s="116">
        <v>1727.5</v>
      </c>
      <c r="E384" s="116">
        <v>1740.0250000000001</v>
      </c>
      <c r="F384" s="116">
        <v>3464.7</v>
      </c>
      <c r="G384">
        <v>433</v>
      </c>
      <c r="H384" s="116"/>
      <c r="I384" s="116"/>
      <c r="L384" s="170">
        <v>42566</v>
      </c>
      <c r="M384" s="116">
        <v>1729.4749999999999</v>
      </c>
      <c r="N384" s="116">
        <v>1750.0250000000001</v>
      </c>
      <c r="O384" s="116">
        <v>1727</v>
      </c>
      <c r="P384" s="116">
        <v>1750.0250000000001</v>
      </c>
      <c r="Q384" s="116">
        <v>3458.95</v>
      </c>
      <c r="R384">
        <v>3913</v>
      </c>
    </row>
    <row r="385" spans="1:18" x14ac:dyDescent="0.25">
      <c r="A385" s="170">
        <v>42569</v>
      </c>
      <c r="B385" s="116">
        <v>1735</v>
      </c>
      <c r="C385" s="116">
        <v>1705.8</v>
      </c>
      <c r="D385" s="116">
        <v>1702.5</v>
      </c>
      <c r="E385" s="116">
        <v>1735</v>
      </c>
      <c r="F385" s="116">
        <v>3411.6</v>
      </c>
      <c r="G385">
        <v>989</v>
      </c>
      <c r="H385" s="116"/>
      <c r="I385" s="116"/>
      <c r="L385" s="170">
        <v>42569</v>
      </c>
      <c r="M385" s="116">
        <v>1706.2</v>
      </c>
      <c r="N385" s="116">
        <v>1740</v>
      </c>
      <c r="O385" s="116">
        <v>1699.925</v>
      </c>
      <c r="P385" s="116">
        <v>1737.5</v>
      </c>
      <c r="Q385" s="116">
        <v>3412.4</v>
      </c>
      <c r="R385">
        <v>4275</v>
      </c>
    </row>
    <row r="386" spans="1:18" x14ac:dyDescent="0.25">
      <c r="A386" s="170">
        <v>42570</v>
      </c>
      <c r="B386" s="116">
        <v>1719.05</v>
      </c>
      <c r="C386" s="116">
        <v>1708.2</v>
      </c>
      <c r="D386" s="116">
        <v>1705.7249999999999</v>
      </c>
      <c r="E386" s="116">
        <v>1707.5250000000001</v>
      </c>
      <c r="F386" s="116">
        <v>3416.4</v>
      </c>
      <c r="G386">
        <v>303</v>
      </c>
      <c r="H386" s="116"/>
      <c r="I386" s="116"/>
      <c r="L386" s="170">
        <v>42570</v>
      </c>
      <c r="M386" s="116">
        <v>1714.2249999999999</v>
      </c>
      <c r="N386" s="116">
        <v>1724</v>
      </c>
      <c r="O386" s="116">
        <v>1706</v>
      </c>
      <c r="P386" s="116">
        <v>1706.25</v>
      </c>
      <c r="Q386" s="116">
        <v>3428.45</v>
      </c>
      <c r="R386">
        <v>3343</v>
      </c>
    </row>
    <row r="387" spans="1:18" x14ac:dyDescent="0.25">
      <c r="A387" s="170">
        <v>42571</v>
      </c>
      <c r="B387" s="116">
        <v>1718.95</v>
      </c>
      <c r="C387" s="116">
        <v>1699.65</v>
      </c>
      <c r="D387" s="116">
        <v>1691.5</v>
      </c>
      <c r="E387" s="116">
        <v>1715</v>
      </c>
      <c r="F387" s="116">
        <v>3399.3</v>
      </c>
      <c r="G387">
        <v>952</v>
      </c>
      <c r="H387" s="116"/>
      <c r="I387" s="116"/>
      <c r="L387" s="170">
        <v>42571</v>
      </c>
      <c r="M387" s="116">
        <v>1700.55</v>
      </c>
      <c r="N387" s="116">
        <v>1724.5</v>
      </c>
      <c r="O387" s="116">
        <v>1690.5</v>
      </c>
      <c r="P387" s="116">
        <v>1718</v>
      </c>
      <c r="Q387" s="116">
        <v>3401.1</v>
      </c>
      <c r="R387">
        <v>4390</v>
      </c>
    </row>
    <row r="388" spans="1:18" x14ac:dyDescent="0.25">
      <c r="A388" s="170">
        <v>42572</v>
      </c>
      <c r="B388" s="116">
        <v>1716</v>
      </c>
      <c r="C388" s="116">
        <v>1691.625</v>
      </c>
      <c r="D388" s="116">
        <v>1690</v>
      </c>
      <c r="E388" s="116">
        <v>1703.2</v>
      </c>
      <c r="F388" s="116">
        <v>3383.25</v>
      </c>
      <c r="G388">
        <v>1415</v>
      </c>
      <c r="H388" s="116"/>
      <c r="I388" s="116"/>
      <c r="L388" s="170">
        <v>42572</v>
      </c>
      <c r="M388" s="116">
        <v>1698.425</v>
      </c>
      <c r="N388" s="116">
        <v>1712.5</v>
      </c>
      <c r="O388" s="116">
        <v>1690.05</v>
      </c>
      <c r="P388" s="116">
        <v>1704</v>
      </c>
      <c r="Q388" s="116">
        <v>3396.85</v>
      </c>
      <c r="R388">
        <v>3266</v>
      </c>
    </row>
    <row r="389" spans="1:18" x14ac:dyDescent="0.25">
      <c r="A389" s="170">
        <v>42573</v>
      </c>
      <c r="B389" s="116">
        <v>1701.0250000000001</v>
      </c>
      <c r="C389" s="116">
        <v>1695.425</v>
      </c>
      <c r="D389" s="116">
        <v>1692.375</v>
      </c>
      <c r="E389" s="116">
        <v>1695</v>
      </c>
      <c r="F389" s="116">
        <v>3390.85</v>
      </c>
      <c r="G389">
        <v>393</v>
      </c>
      <c r="H389" s="116"/>
      <c r="I389" s="116"/>
      <c r="L389" s="170">
        <v>42573</v>
      </c>
      <c r="M389" s="116">
        <v>1699.55</v>
      </c>
      <c r="N389" s="116">
        <v>1706.9749999999999</v>
      </c>
      <c r="O389" s="116">
        <v>1690.05</v>
      </c>
      <c r="P389" s="116">
        <v>1698.5</v>
      </c>
      <c r="Q389" s="116">
        <v>3399.1</v>
      </c>
      <c r="R389">
        <v>2319</v>
      </c>
    </row>
    <row r="390" spans="1:18" x14ac:dyDescent="0.25">
      <c r="A390" s="170">
        <v>42576</v>
      </c>
      <c r="B390" s="116">
        <v>1710</v>
      </c>
      <c r="C390" s="116">
        <v>1702</v>
      </c>
      <c r="D390" s="116">
        <v>1677.5</v>
      </c>
      <c r="E390" s="116">
        <v>1695.7249999999999</v>
      </c>
      <c r="F390" s="116">
        <v>3404</v>
      </c>
      <c r="G390">
        <v>1742</v>
      </c>
      <c r="H390" s="116"/>
      <c r="I390" s="116"/>
      <c r="L390" s="170">
        <v>42576</v>
      </c>
      <c r="M390" s="116">
        <v>1705.05</v>
      </c>
      <c r="N390" s="116">
        <v>1715</v>
      </c>
      <c r="O390" s="116">
        <v>1695</v>
      </c>
      <c r="P390" s="116">
        <v>1712.5</v>
      </c>
      <c r="Q390" s="116">
        <v>3410.1</v>
      </c>
      <c r="R390">
        <v>4116</v>
      </c>
    </row>
    <row r="391" spans="1:18" x14ac:dyDescent="0.25">
      <c r="A391" s="170">
        <v>42577</v>
      </c>
      <c r="B391" s="116">
        <v>1715</v>
      </c>
      <c r="C391" s="116">
        <v>1693.6</v>
      </c>
      <c r="D391" s="116">
        <v>1684.75</v>
      </c>
      <c r="E391" s="116">
        <v>1700</v>
      </c>
      <c r="F391" s="116">
        <v>3387.2</v>
      </c>
      <c r="G391">
        <v>507</v>
      </c>
      <c r="H391" s="116"/>
      <c r="I391" s="116"/>
      <c r="L391" s="170">
        <v>42577</v>
      </c>
      <c r="M391" s="116">
        <v>1695.425</v>
      </c>
      <c r="N391" s="116">
        <v>1719.925</v>
      </c>
      <c r="O391" s="116">
        <v>1685</v>
      </c>
      <c r="P391" s="116">
        <v>1705.5</v>
      </c>
      <c r="Q391" s="116">
        <v>3390.85</v>
      </c>
      <c r="R391">
        <v>5022</v>
      </c>
    </row>
    <row r="392" spans="1:18" x14ac:dyDescent="0.25">
      <c r="A392" s="170">
        <v>42578</v>
      </c>
      <c r="B392" s="116">
        <v>1702.5</v>
      </c>
      <c r="C392" s="116">
        <v>1688.7750000000001</v>
      </c>
      <c r="D392" s="116">
        <v>1682</v>
      </c>
      <c r="E392" s="116">
        <v>1693.2249999999999</v>
      </c>
      <c r="F392" s="116">
        <v>3377.55</v>
      </c>
      <c r="G392">
        <v>536</v>
      </c>
      <c r="H392" s="116"/>
      <c r="I392" s="116"/>
      <c r="L392" s="170">
        <v>42578</v>
      </c>
      <c r="M392" s="116">
        <v>1683.2</v>
      </c>
      <c r="N392" s="116">
        <v>1705.7</v>
      </c>
      <c r="O392" s="116">
        <v>1677.5250000000001</v>
      </c>
      <c r="P392" s="116">
        <v>1697.5</v>
      </c>
      <c r="Q392" s="116">
        <v>3366.4</v>
      </c>
      <c r="R392">
        <v>4292</v>
      </c>
    </row>
    <row r="393" spans="1:18" x14ac:dyDescent="0.25">
      <c r="A393" s="170">
        <v>42579</v>
      </c>
      <c r="B393" s="116">
        <v>1705</v>
      </c>
      <c r="C393" s="116">
        <v>1673.75</v>
      </c>
      <c r="D393" s="116">
        <v>1665</v>
      </c>
      <c r="E393" s="116">
        <v>1696.4749999999999</v>
      </c>
      <c r="F393" s="116">
        <v>3347.5</v>
      </c>
      <c r="G393">
        <v>1263</v>
      </c>
      <c r="H393" s="116"/>
      <c r="I393" s="116"/>
      <c r="L393" s="170">
        <v>42579</v>
      </c>
      <c r="M393" s="116">
        <v>1673.25</v>
      </c>
      <c r="N393" s="116">
        <v>1705</v>
      </c>
      <c r="O393" s="116">
        <v>1662.5</v>
      </c>
      <c r="P393" s="116">
        <v>1696.925</v>
      </c>
      <c r="Q393" s="116">
        <v>3346.5</v>
      </c>
      <c r="R393">
        <v>15131</v>
      </c>
    </row>
    <row r="394" spans="1:18" x14ac:dyDescent="0.25">
      <c r="A394" s="170">
        <v>42580</v>
      </c>
      <c r="B394" s="116">
        <v>1675</v>
      </c>
      <c r="C394" s="116">
        <v>1657.3</v>
      </c>
      <c r="D394" s="116">
        <v>1637.5</v>
      </c>
      <c r="E394" s="116">
        <v>1672.5</v>
      </c>
      <c r="F394" s="116">
        <v>3314.6</v>
      </c>
      <c r="G394">
        <v>846</v>
      </c>
      <c r="H394" s="116"/>
      <c r="I394" s="116"/>
      <c r="L394" s="170">
        <v>42580</v>
      </c>
      <c r="M394" s="116">
        <v>1657.4749999999999</v>
      </c>
      <c r="N394" s="116">
        <v>1680.0250000000001</v>
      </c>
      <c r="O394" s="116">
        <v>1650</v>
      </c>
      <c r="P394" s="116">
        <v>1662.65</v>
      </c>
      <c r="Q394" s="116">
        <v>3314.95</v>
      </c>
      <c r="R394">
        <v>7355</v>
      </c>
    </row>
    <row r="395" spans="1:18" x14ac:dyDescent="0.25">
      <c r="A395" s="170">
        <v>42583</v>
      </c>
      <c r="B395" s="116">
        <v>1666.6</v>
      </c>
      <c r="C395" s="116">
        <v>1618</v>
      </c>
      <c r="D395" s="116">
        <v>1610</v>
      </c>
      <c r="E395" s="116">
        <v>1665.2249999999999</v>
      </c>
      <c r="F395" s="116">
        <v>3236</v>
      </c>
      <c r="G395">
        <v>1662</v>
      </c>
      <c r="H395" s="116"/>
      <c r="I395" s="116"/>
      <c r="L395" s="170">
        <v>42583</v>
      </c>
      <c r="M395" s="116">
        <v>1611.2750000000001</v>
      </c>
      <c r="N395" s="116">
        <v>1662.45</v>
      </c>
      <c r="O395" s="116">
        <v>1606.3</v>
      </c>
      <c r="P395" s="116">
        <v>1662.25</v>
      </c>
      <c r="Q395" s="116">
        <v>3222.55</v>
      </c>
      <c r="R395">
        <v>12846</v>
      </c>
    </row>
    <row r="396" spans="1:18" x14ac:dyDescent="0.25">
      <c r="A396" s="170">
        <v>42584</v>
      </c>
      <c r="B396" s="116">
        <v>1634</v>
      </c>
      <c r="C396" s="116">
        <v>1594.75</v>
      </c>
      <c r="D396" s="116">
        <v>1585</v>
      </c>
      <c r="E396" s="116">
        <v>1618.55</v>
      </c>
      <c r="F396" s="116">
        <v>3189.5</v>
      </c>
      <c r="G396">
        <v>1115</v>
      </c>
      <c r="H396" s="116"/>
      <c r="I396" s="116"/>
      <c r="L396" s="170">
        <v>42584</v>
      </c>
      <c r="M396" s="116">
        <v>1599.25</v>
      </c>
      <c r="N396" s="116">
        <v>1636</v>
      </c>
      <c r="O396" s="116">
        <v>1596.2249999999999</v>
      </c>
      <c r="P396" s="116">
        <v>1612</v>
      </c>
      <c r="Q396" s="116">
        <v>3198.5</v>
      </c>
      <c r="R396">
        <v>7453</v>
      </c>
    </row>
    <row r="397" spans="1:18" x14ac:dyDescent="0.25">
      <c r="A397" s="170">
        <v>42585</v>
      </c>
      <c r="B397" s="116">
        <v>1600</v>
      </c>
      <c r="C397" s="116">
        <v>1569.675</v>
      </c>
      <c r="D397" s="116">
        <v>1555.5</v>
      </c>
      <c r="E397" s="116">
        <v>1598.4749999999999</v>
      </c>
      <c r="F397" s="116">
        <v>3139.35</v>
      </c>
      <c r="G397">
        <v>1056</v>
      </c>
      <c r="H397" s="116"/>
      <c r="I397" s="116"/>
      <c r="L397" s="170">
        <v>42585</v>
      </c>
      <c r="M397" s="116">
        <v>1571.325</v>
      </c>
      <c r="N397" s="116">
        <v>1611.95</v>
      </c>
      <c r="O397" s="116">
        <v>1550</v>
      </c>
      <c r="P397" s="116">
        <v>1599.7750000000001</v>
      </c>
      <c r="Q397" s="116">
        <v>3142.65</v>
      </c>
      <c r="R397">
        <v>10729</v>
      </c>
    </row>
    <row r="398" spans="1:18" x14ac:dyDescent="0.25">
      <c r="A398" s="170">
        <v>42586</v>
      </c>
      <c r="B398" s="116">
        <v>1595</v>
      </c>
      <c r="C398" s="116">
        <v>1554.95</v>
      </c>
      <c r="D398" s="116">
        <v>1547</v>
      </c>
      <c r="E398" s="116">
        <v>1575.4749999999999</v>
      </c>
      <c r="F398" s="116">
        <v>3109.9</v>
      </c>
      <c r="G398">
        <v>1601</v>
      </c>
      <c r="H398" s="116"/>
      <c r="I398" s="116"/>
      <c r="L398" s="170">
        <v>42586</v>
      </c>
      <c r="M398" s="116">
        <v>1547.125</v>
      </c>
      <c r="N398" s="116">
        <v>1599</v>
      </c>
      <c r="O398" s="116">
        <v>1539.125</v>
      </c>
      <c r="P398" s="116">
        <v>1571</v>
      </c>
      <c r="Q398" s="116">
        <v>3094.25</v>
      </c>
      <c r="R398">
        <v>11966</v>
      </c>
    </row>
    <row r="399" spans="1:18" x14ac:dyDescent="0.25">
      <c r="A399" s="170">
        <v>42587</v>
      </c>
      <c r="B399" s="116">
        <v>1580</v>
      </c>
      <c r="C399" s="116">
        <v>1573.5250000000001</v>
      </c>
      <c r="D399" s="116">
        <v>1550</v>
      </c>
      <c r="E399" s="116">
        <v>1562</v>
      </c>
      <c r="F399" s="116">
        <v>3147.05</v>
      </c>
      <c r="G399">
        <v>1155</v>
      </c>
      <c r="H399" s="116"/>
      <c r="I399" s="116"/>
      <c r="L399" s="170">
        <v>42587</v>
      </c>
      <c r="M399" s="116">
        <v>1570.25</v>
      </c>
      <c r="N399" s="116">
        <v>1585</v>
      </c>
      <c r="O399" s="116">
        <v>1547</v>
      </c>
      <c r="P399" s="116">
        <v>1547</v>
      </c>
      <c r="Q399" s="116">
        <v>3140.5</v>
      </c>
      <c r="R399">
        <v>6015</v>
      </c>
    </row>
    <row r="400" spans="1:18" x14ac:dyDescent="0.25">
      <c r="A400" s="170">
        <v>42590</v>
      </c>
      <c r="B400" s="116">
        <v>1570</v>
      </c>
      <c r="C400" s="116">
        <v>1557.4749999999999</v>
      </c>
      <c r="D400" s="116">
        <v>1549.65</v>
      </c>
      <c r="E400" s="116">
        <v>1567.425</v>
      </c>
      <c r="F400" s="116">
        <v>3114.95</v>
      </c>
      <c r="G400">
        <v>874</v>
      </c>
      <c r="H400" s="116"/>
      <c r="I400" s="116"/>
      <c r="L400" s="170">
        <v>42590</v>
      </c>
      <c r="M400" s="116">
        <v>1560.55</v>
      </c>
      <c r="N400" s="116">
        <v>1578</v>
      </c>
      <c r="O400" s="116">
        <v>1554.05</v>
      </c>
      <c r="P400" s="116">
        <v>1576</v>
      </c>
      <c r="Q400" s="116">
        <v>3121.1</v>
      </c>
      <c r="R400">
        <v>5913</v>
      </c>
    </row>
    <row r="401" spans="1:18" x14ac:dyDescent="0.25">
      <c r="A401" s="170">
        <v>42591</v>
      </c>
      <c r="B401" s="116">
        <v>1575</v>
      </c>
      <c r="C401" s="116">
        <v>1552</v>
      </c>
      <c r="D401" s="116">
        <v>1550.5</v>
      </c>
      <c r="E401" s="116">
        <v>1562.5</v>
      </c>
      <c r="F401" s="116">
        <v>3104</v>
      </c>
      <c r="G401">
        <v>575</v>
      </c>
      <c r="H401" s="116"/>
      <c r="I401" s="116"/>
      <c r="L401" s="170">
        <v>42591</v>
      </c>
      <c r="M401" s="116">
        <v>1554.1</v>
      </c>
      <c r="N401" s="116">
        <v>1569.5250000000001</v>
      </c>
      <c r="O401" s="116">
        <v>1550</v>
      </c>
      <c r="P401" s="116">
        <v>1560.5</v>
      </c>
      <c r="Q401" s="116">
        <v>3108.2</v>
      </c>
      <c r="R401">
        <v>6529</v>
      </c>
    </row>
    <row r="402" spans="1:18" x14ac:dyDescent="0.25">
      <c r="A402" s="170">
        <v>42592</v>
      </c>
      <c r="B402" s="116">
        <v>1565.95</v>
      </c>
      <c r="C402" s="116">
        <v>1537.875</v>
      </c>
      <c r="D402" s="116">
        <v>1526</v>
      </c>
      <c r="E402" s="116">
        <v>1550.0250000000001</v>
      </c>
      <c r="F402" s="116">
        <v>3075.75</v>
      </c>
      <c r="G402">
        <v>836</v>
      </c>
      <c r="H402" s="116"/>
      <c r="I402" s="116"/>
      <c r="L402" s="170">
        <v>42592</v>
      </c>
      <c r="M402" s="116">
        <v>1531.75</v>
      </c>
      <c r="N402" s="116">
        <v>1574.5</v>
      </c>
      <c r="O402" s="116">
        <v>1520</v>
      </c>
      <c r="P402" s="116">
        <v>1554</v>
      </c>
      <c r="Q402" s="116">
        <v>3063.5</v>
      </c>
      <c r="R402">
        <v>11650</v>
      </c>
    </row>
    <row r="403" spans="1:18" x14ac:dyDescent="0.25">
      <c r="A403" s="170">
        <v>42593</v>
      </c>
      <c r="B403" s="116">
        <v>1565</v>
      </c>
      <c r="C403" s="116">
        <v>1554.2750000000001</v>
      </c>
      <c r="D403" s="116">
        <v>1525.5</v>
      </c>
      <c r="E403" s="116">
        <v>1536.5</v>
      </c>
      <c r="F403" s="116">
        <v>3108.55</v>
      </c>
      <c r="G403">
        <v>877</v>
      </c>
      <c r="H403" s="116"/>
      <c r="I403" s="116"/>
      <c r="L403" s="170">
        <v>42593</v>
      </c>
      <c r="M403" s="116">
        <v>1559.9</v>
      </c>
      <c r="N403" s="116">
        <v>1571.5250000000001</v>
      </c>
      <c r="O403" s="116">
        <v>1525.5</v>
      </c>
      <c r="P403" s="116">
        <v>1530</v>
      </c>
      <c r="Q403" s="116">
        <v>3119.8</v>
      </c>
      <c r="R403">
        <v>4967</v>
      </c>
    </row>
    <row r="404" spans="1:18" x14ac:dyDescent="0.25">
      <c r="A404" s="170">
        <v>42594</v>
      </c>
      <c r="B404" s="116">
        <v>1566.7249999999999</v>
      </c>
      <c r="C404" s="116">
        <v>1550.95</v>
      </c>
      <c r="D404" s="116">
        <v>1542.5</v>
      </c>
      <c r="E404" s="116">
        <v>1550.5</v>
      </c>
      <c r="F404" s="116">
        <v>3101.9</v>
      </c>
      <c r="G404">
        <v>928</v>
      </c>
      <c r="H404" s="116"/>
      <c r="I404" s="116"/>
      <c r="L404" s="170">
        <v>42594</v>
      </c>
      <c r="M404" s="116">
        <v>1559.425</v>
      </c>
      <c r="N404" s="116">
        <v>1570</v>
      </c>
      <c r="O404" s="116">
        <v>1518.05</v>
      </c>
      <c r="P404" s="116">
        <v>1565</v>
      </c>
      <c r="Q404" s="116">
        <v>3118.85</v>
      </c>
      <c r="R404">
        <v>5148</v>
      </c>
    </row>
    <row r="405" spans="1:18" x14ac:dyDescent="0.25">
      <c r="A405" s="170">
        <v>42598</v>
      </c>
      <c r="B405" s="116">
        <v>1559.95</v>
      </c>
      <c r="C405" s="116">
        <v>1524.2750000000001</v>
      </c>
      <c r="D405" s="116">
        <v>1522</v>
      </c>
      <c r="E405" s="116">
        <v>1555</v>
      </c>
      <c r="F405" s="116">
        <v>3048.55</v>
      </c>
      <c r="G405">
        <v>1426</v>
      </c>
      <c r="H405" s="116"/>
      <c r="I405" s="116"/>
      <c r="L405" s="170">
        <v>42598</v>
      </c>
      <c r="M405" s="116">
        <v>1525.45</v>
      </c>
      <c r="N405" s="116">
        <v>1569.25</v>
      </c>
      <c r="O405" s="116">
        <v>1522.5</v>
      </c>
      <c r="P405" s="116">
        <v>1559</v>
      </c>
      <c r="Q405" s="116">
        <v>3050.9</v>
      </c>
      <c r="R405">
        <v>11395</v>
      </c>
    </row>
    <row r="406" spans="1:18" x14ac:dyDescent="0.25">
      <c r="A406" s="170">
        <v>42599</v>
      </c>
      <c r="B406" s="116">
        <v>1592.45</v>
      </c>
      <c r="C406" s="116">
        <v>1587.4</v>
      </c>
      <c r="D406" s="116">
        <v>1525</v>
      </c>
      <c r="E406" s="116">
        <v>1537</v>
      </c>
      <c r="F406" s="116">
        <v>3174.8</v>
      </c>
      <c r="G406">
        <v>1333</v>
      </c>
      <c r="H406" s="116"/>
      <c r="I406" s="116"/>
      <c r="L406" s="170">
        <v>42599</v>
      </c>
      <c r="M406" s="116">
        <v>1584.2249999999999</v>
      </c>
      <c r="N406" s="116">
        <v>1588</v>
      </c>
      <c r="O406" s="116">
        <v>1525</v>
      </c>
      <c r="P406" s="116">
        <v>1532.5</v>
      </c>
      <c r="Q406" s="116">
        <v>3168.45</v>
      </c>
      <c r="R406">
        <v>9423</v>
      </c>
    </row>
    <row r="407" spans="1:18" x14ac:dyDescent="0.25">
      <c r="A407" s="170">
        <v>42600</v>
      </c>
      <c r="B407" s="116">
        <v>1589.15</v>
      </c>
      <c r="C407" s="116">
        <v>1572.325</v>
      </c>
      <c r="D407" s="116">
        <v>1555.55</v>
      </c>
      <c r="E407" s="116">
        <v>1589.15</v>
      </c>
      <c r="F407" s="116">
        <v>3144.65</v>
      </c>
      <c r="G407">
        <v>527</v>
      </c>
      <c r="H407" s="116"/>
      <c r="I407" s="116"/>
      <c r="L407" s="170">
        <v>42600</v>
      </c>
      <c r="M407" s="116">
        <v>1571.5250000000001</v>
      </c>
      <c r="N407" s="116">
        <v>1594</v>
      </c>
      <c r="O407" s="116">
        <v>1550.75</v>
      </c>
      <c r="P407" s="116">
        <v>1588</v>
      </c>
      <c r="Q407" s="116">
        <v>3143.05</v>
      </c>
      <c r="R407">
        <v>6046</v>
      </c>
    </row>
    <row r="408" spans="1:18" x14ac:dyDescent="0.25">
      <c r="A408" s="170">
        <v>42601</v>
      </c>
      <c r="B408" s="116">
        <v>1574.05</v>
      </c>
      <c r="C408" s="116">
        <v>1559.2249999999999</v>
      </c>
      <c r="D408" s="116">
        <v>1555</v>
      </c>
      <c r="E408" s="116">
        <v>1567.5</v>
      </c>
      <c r="F408" s="116">
        <v>3118.45</v>
      </c>
      <c r="G408">
        <v>462</v>
      </c>
      <c r="H408" s="116"/>
      <c r="I408" s="116"/>
      <c r="L408" s="170">
        <v>42601</v>
      </c>
      <c r="M408" s="116">
        <v>1560.8</v>
      </c>
      <c r="N408" s="116">
        <v>1580.0250000000001</v>
      </c>
      <c r="O408" s="116">
        <v>1551.1</v>
      </c>
      <c r="P408" s="116">
        <v>1572.5</v>
      </c>
      <c r="Q408" s="116">
        <v>3121.6</v>
      </c>
      <c r="R408">
        <v>4058</v>
      </c>
    </row>
    <row r="409" spans="1:18" x14ac:dyDescent="0.25">
      <c r="A409" s="170">
        <v>42604</v>
      </c>
      <c r="B409" s="116">
        <v>1566.8</v>
      </c>
      <c r="C409" s="116">
        <v>1536.575</v>
      </c>
      <c r="D409" s="116">
        <v>1532.5</v>
      </c>
      <c r="E409" s="116">
        <v>1562.5</v>
      </c>
      <c r="F409" s="116">
        <v>3073.15</v>
      </c>
      <c r="G409">
        <v>941</v>
      </c>
      <c r="H409" s="116"/>
      <c r="I409" s="116"/>
      <c r="L409" s="170">
        <v>42604</v>
      </c>
      <c r="M409" s="116">
        <v>1537.8</v>
      </c>
      <c r="N409" s="116">
        <v>1574.25</v>
      </c>
      <c r="O409" s="116">
        <v>1533.325</v>
      </c>
      <c r="P409" s="116">
        <v>1560.5</v>
      </c>
      <c r="Q409" s="116">
        <v>3075.6</v>
      </c>
      <c r="R409">
        <v>5169</v>
      </c>
    </row>
    <row r="410" spans="1:18" x14ac:dyDescent="0.25">
      <c r="A410" s="170">
        <v>42605</v>
      </c>
      <c r="B410" s="116">
        <v>1557.5</v>
      </c>
      <c r="C410" s="116">
        <v>1537.95</v>
      </c>
      <c r="D410" s="116">
        <v>1533.825</v>
      </c>
      <c r="E410" s="116">
        <v>1549.5</v>
      </c>
      <c r="F410" s="116">
        <v>3075.9</v>
      </c>
      <c r="G410">
        <v>962</v>
      </c>
      <c r="H410" s="116"/>
      <c r="I410" s="116"/>
      <c r="L410" s="170">
        <v>42605</v>
      </c>
      <c r="M410" s="116">
        <v>1540.9749999999999</v>
      </c>
      <c r="N410" s="116">
        <v>1555</v>
      </c>
      <c r="O410" s="116">
        <v>1533.1</v>
      </c>
      <c r="P410" s="116">
        <v>1537.5</v>
      </c>
      <c r="Q410" s="116">
        <v>3081.95</v>
      </c>
      <c r="R410">
        <v>4126</v>
      </c>
    </row>
    <row r="411" spans="1:18" x14ac:dyDescent="0.25">
      <c r="A411" s="170">
        <v>42606</v>
      </c>
      <c r="B411" s="116">
        <v>1549</v>
      </c>
      <c r="C411" s="116">
        <v>1523.675</v>
      </c>
      <c r="D411" s="116">
        <v>1518</v>
      </c>
      <c r="E411" s="116">
        <v>1549</v>
      </c>
      <c r="F411" s="116">
        <v>3047.35</v>
      </c>
      <c r="G411">
        <v>1130</v>
      </c>
      <c r="H411" s="116"/>
      <c r="I411" s="116"/>
      <c r="L411" s="170">
        <v>42606</v>
      </c>
      <c r="M411" s="116">
        <v>1525.575</v>
      </c>
      <c r="N411" s="116">
        <v>1547</v>
      </c>
      <c r="O411" s="116">
        <v>1520.5</v>
      </c>
      <c r="P411" s="116">
        <v>1540.5</v>
      </c>
      <c r="Q411" s="116">
        <v>3051.15</v>
      </c>
      <c r="R411">
        <v>11444</v>
      </c>
    </row>
    <row r="412" spans="1:18" x14ac:dyDescent="0.25">
      <c r="A412" s="170">
        <v>42607</v>
      </c>
      <c r="B412" s="116">
        <v>1528.9749999999999</v>
      </c>
      <c r="C412" s="116">
        <v>1505.35</v>
      </c>
      <c r="D412" s="116">
        <v>1495</v>
      </c>
      <c r="E412" s="116">
        <v>1525.5</v>
      </c>
      <c r="F412" s="116">
        <v>3010.7</v>
      </c>
      <c r="G412">
        <v>1586</v>
      </c>
      <c r="H412" s="116"/>
      <c r="I412" s="116"/>
      <c r="L412" s="170">
        <v>42607</v>
      </c>
      <c r="M412" s="116">
        <v>1506.325</v>
      </c>
      <c r="N412" s="116">
        <v>1528</v>
      </c>
      <c r="O412" s="116">
        <v>1495.0250000000001</v>
      </c>
      <c r="P412" s="116">
        <v>1521</v>
      </c>
      <c r="Q412" s="116">
        <v>3012.65</v>
      </c>
      <c r="R412">
        <v>14145</v>
      </c>
    </row>
    <row r="413" spans="1:18" x14ac:dyDescent="0.25">
      <c r="A413" s="170">
        <v>42608</v>
      </c>
      <c r="B413" s="116">
        <v>1523.35</v>
      </c>
      <c r="C413" s="116">
        <v>1492.05</v>
      </c>
      <c r="D413" s="116">
        <v>1490.5</v>
      </c>
      <c r="E413" s="116">
        <v>1514</v>
      </c>
      <c r="F413" s="116">
        <v>2984.1</v>
      </c>
      <c r="G413">
        <v>1999</v>
      </c>
      <c r="H413" s="116"/>
      <c r="I413" s="116"/>
      <c r="L413" s="170">
        <v>42608</v>
      </c>
      <c r="M413" s="116">
        <v>1490.85</v>
      </c>
      <c r="N413" s="116">
        <v>1521.7249999999999</v>
      </c>
      <c r="O413" s="116">
        <v>1485.7</v>
      </c>
      <c r="P413" s="116">
        <v>1506.5250000000001</v>
      </c>
      <c r="Q413" s="116">
        <v>2981.7</v>
      </c>
      <c r="R413">
        <v>12888</v>
      </c>
    </row>
    <row r="414" spans="1:18" x14ac:dyDescent="0.25">
      <c r="A414" s="170">
        <v>42611</v>
      </c>
      <c r="B414" s="116">
        <v>1498.5</v>
      </c>
      <c r="C414" s="116">
        <v>1490.075</v>
      </c>
      <c r="D414" s="116">
        <v>1482.5</v>
      </c>
      <c r="E414" s="116">
        <v>1492.4</v>
      </c>
      <c r="F414" s="116">
        <v>2980.15</v>
      </c>
      <c r="G414">
        <v>1233</v>
      </c>
      <c r="H414" s="116"/>
      <c r="I414" s="116"/>
      <c r="L414" s="170">
        <v>42611</v>
      </c>
      <c r="M414" s="116">
        <v>1489.625</v>
      </c>
      <c r="N414" s="116">
        <v>1497.7</v>
      </c>
      <c r="O414" s="116">
        <v>1481.05</v>
      </c>
      <c r="P414" s="116">
        <v>1491</v>
      </c>
      <c r="Q414" s="116">
        <v>2979.25</v>
      </c>
      <c r="R414">
        <v>5939</v>
      </c>
    </row>
    <row r="415" spans="1:18" x14ac:dyDescent="0.25">
      <c r="A415" s="170">
        <v>42612</v>
      </c>
      <c r="B415" s="116">
        <v>1509.95</v>
      </c>
      <c r="C415" s="116">
        <v>1505.5</v>
      </c>
      <c r="D415" s="116">
        <v>1490.075</v>
      </c>
      <c r="E415" s="116">
        <v>1490.075</v>
      </c>
      <c r="F415" s="116">
        <v>3011</v>
      </c>
      <c r="G415">
        <v>712</v>
      </c>
      <c r="H415" s="116"/>
      <c r="I415" s="116"/>
      <c r="L415" s="170">
        <v>42612</v>
      </c>
      <c r="M415" s="116">
        <v>1505.2249999999999</v>
      </c>
      <c r="N415" s="116">
        <v>1520</v>
      </c>
      <c r="O415" s="116">
        <v>1484.5</v>
      </c>
      <c r="P415" s="116">
        <v>1485</v>
      </c>
      <c r="Q415" s="116">
        <v>3010.45</v>
      </c>
      <c r="R415">
        <v>4603</v>
      </c>
    </row>
    <row r="416" spans="1:18" x14ac:dyDescent="0.25">
      <c r="A416" s="170">
        <v>42613</v>
      </c>
      <c r="B416" s="116">
        <v>1671.25</v>
      </c>
      <c r="C416" s="116">
        <v>1517.5</v>
      </c>
      <c r="D416" s="116">
        <v>1490.5</v>
      </c>
      <c r="E416" s="116">
        <v>1507.5</v>
      </c>
      <c r="F416" s="116">
        <v>3035</v>
      </c>
      <c r="G416">
        <v>17301</v>
      </c>
      <c r="H416" s="116"/>
      <c r="I416" s="116"/>
      <c r="L416" s="170">
        <v>42613</v>
      </c>
      <c r="M416" s="116">
        <v>1516.9749999999999</v>
      </c>
      <c r="N416" s="116">
        <v>1661.5</v>
      </c>
      <c r="O416" s="116">
        <v>1486.0250000000001</v>
      </c>
      <c r="P416" s="116">
        <v>1505</v>
      </c>
      <c r="Q416" s="116">
        <v>3033.95</v>
      </c>
      <c r="R416">
        <v>86171</v>
      </c>
    </row>
    <row r="417" spans="1:18" x14ac:dyDescent="0.25">
      <c r="A417" s="170">
        <v>42614</v>
      </c>
      <c r="B417" s="116">
        <v>1550.35</v>
      </c>
      <c r="C417" s="116">
        <v>1496.7750000000001</v>
      </c>
      <c r="D417" s="116">
        <v>1490</v>
      </c>
      <c r="E417" s="116">
        <v>1525</v>
      </c>
      <c r="F417" s="116">
        <v>2993.55</v>
      </c>
      <c r="G417">
        <v>4358</v>
      </c>
      <c r="H417" s="116"/>
      <c r="I417" s="116"/>
      <c r="L417" s="170">
        <v>42614</v>
      </c>
      <c r="M417" s="116">
        <v>1492.575</v>
      </c>
      <c r="N417" s="116">
        <v>1544.9749999999999</v>
      </c>
      <c r="O417" s="116">
        <v>1485.7750000000001</v>
      </c>
      <c r="P417" s="116">
        <v>1531</v>
      </c>
      <c r="Q417" s="116">
        <v>2985.15</v>
      </c>
      <c r="R417">
        <v>25854</v>
      </c>
    </row>
    <row r="418" spans="1:18" x14ac:dyDescent="0.25">
      <c r="A418" s="170">
        <v>42615</v>
      </c>
      <c r="B418" s="116">
        <v>1525.75</v>
      </c>
      <c r="C418" s="116">
        <v>1488.65</v>
      </c>
      <c r="D418" s="116">
        <v>1482.625</v>
      </c>
      <c r="E418" s="116">
        <v>1499.5</v>
      </c>
      <c r="F418" s="116">
        <v>2977.3</v>
      </c>
      <c r="G418">
        <v>2261</v>
      </c>
      <c r="H418" s="116"/>
      <c r="I418" s="116"/>
      <c r="L418" s="170">
        <v>42615</v>
      </c>
      <c r="M418" s="116">
        <v>1487.0250000000001</v>
      </c>
      <c r="N418" s="116">
        <v>1526.9749999999999</v>
      </c>
      <c r="O418" s="116">
        <v>1482.5</v>
      </c>
      <c r="P418" s="116">
        <v>1500</v>
      </c>
      <c r="Q418" s="116">
        <v>2974.05</v>
      </c>
      <c r="R418">
        <v>19297</v>
      </c>
    </row>
    <row r="419" spans="1:18" x14ac:dyDescent="0.25">
      <c r="A419" s="170">
        <v>42619</v>
      </c>
      <c r="B419" s="116">
        <v>1515</v>
      </c>
      <c r="C419" s="116">
        <v>1500.7</v>
      </c>
      <c r="D419" s="116">
        <v>1481</v>
      </c>
      <c r="E419" s="116">
        <v>1487.5</v>
      </c>
      <c r="F419" s="116">
        <v>3001.4</v>
      </c>
      <c r="G419">
        <v>1701</v>
      </c>
      <c r="H419" s="116"/>
      <c r="I419" s="116"/>
      <c r="L419" s="170">
        <v>42619</v>
      </c>
      <c r="M419" s="116">
        <v>1500.0250000000001</v>
      </c>
      <c r="N419" s="116">
        <v>1509.5</v>
      </c>
      <c r="O419" s="116">
        <v>1487</v>
      </c>
      <c r="P419" s="116">
        <v>1487</v>
      </c>
      <c r="Q419" s="116">
        <v>3000.05</v>
      </c>
      <c r="R419">
        <v>11029</v>
      </c>
    </row>
    <row r="420" spans="1:18" x14ac:dyDescent="0.25">
      <c r="A420" s="170">
        <v>42620</v>
      </c>
      <c r="B420" s="116">
        <v>1510</v>
      </c>
      <c r="C420" s="116">
        <v>1503.85</v>
      </c>
      <c r="D420" s="116">
        <v>1500</v>
      </c>
      <c r="E420" s="116">
        <v>1510</v>
      </c>
      <c r="F420" s="116">
        <v>3007.7</v>
      </c>
      <c r="G420">
        <v>879</v>
      </c>
      <c r="H420" s="116"/>
      <c r="I420" s="116"/>
      <c r="L420" s="170">
        <v>42620</v>
      </c>
      <c r="M420" s="116">
        <v>1505.3</v>
      </c>
      <c r="N420" s="116">
        <v>1512.4</v>
      </c>
      <c r="O420" s="116">
        <v>1500.7</v>
      </c>
      <c r="P420" s="116">
        <v>1512.4</v>
      </c>
      <c r="Q420" s="116">
        <v>3010.6</v>
      </c>
      <c r="R420">
        <v>6283</v>
      </c>
    </row>
    <row r="421" spans="1:18" x14ac:dyDescent="0.25">
      <c r="A421" s="170">
        <v>42621</v>
      </c>
      <c r="B421" s="116">
        <v>1517.5</v>
      </c>
      <c r="C421" s="116">
        <v>1499.875</v>
      </c>
      <c r="D421" s="116">
        <v>1492.55</v>
      </c>
      <c r="E421" s="116">
        <v>1504</v>
      </c>
      <c r="F421" s="116">
        <v>2999.75</v>
      </c>
      <c r="G421">
        <v>1806</v>
      </c>
      <c r="H421" s="116"/>
      <c r="I421" s="116"/>
      <c r="L421" s="170">
        <v>42621</v>
      </c>
      <c r="M421" s="116">
        <v>1501.7</v>
      </c>
      <c r="N421" s="116">
        <v>1510</v>
      </c>
      <c r="O421" s="116">
        <v>1491</v>
      </c>
      <c r="P421" s="116">
        <v>1510</v>
      </c>
      <c r="Q421" s="116">
        <v>3003.4</v>
      </c>
      <c r="R421">
        <v>8677</v>
      </c>
    </row>
    <row r="422" spans="1:18" x14ac:dyDescent="0.25">
      <c r="A422" s="170">
        <v>42622</v>
      </c>
      <c r="B422" s="116">
        <v>1516.4749999999999</v>
      </c>
      <c r="C422" s="116">
        <v>1496.5250000000001</v>
      </c>
      <c r="D422" s="116">
        <v>1490</v>
      </c>
      <c r="E422" s="116">
        <v>1504.325</v>
      </c>
      <c r="F422" s="116">
        <v>2993.05</v>
      </c>
      <c r="G422">
        <v>968</v>
      </c>
      <c r="H422" s="116"/>
      <c r="I422" s="116"/>
      <c r="L422" s="170">
        <v>42622</v>
      </c>
      <c r="M422" s="116">
        <v>1500.5250000000001</v>
      </c>
      <c r="N422" s="116">
        <v>1516.5</v>
      </c>
      <c r="O422" s="116">
        <v>1495</v>
      </c>
      <c r="P422" s="116">
        <v>1501.5</v>
      </c>
      <c r="Q422" s="116">
        <v>3001.05</v>
      </c>
      <c r="R422">
        <v>5977</v>
      </c>
    </row>
    <row r="423" spans="1:18" x14ac:dyDescent="0.25">
      <c r="A423" s="170">
        <v>42625</v>
      </c>
      <c r="B423" s="116">
        <v>1501.6</v>
      </c>
      <c r="C423" s="116">
        <v>1490.375</v>
      </c>
      <c r="D423" s="116">
        <v>1488.25</v>
      </c>
      <c r="E423" s="116">
        <v>1501</v>
      </c>
      <c r="F423" s="116">
        <v>2980.75</v>
      </c>
      <c r="G423">
        <v>1283</v>
      </c>
      <c r="H423" s="116"/>
      <c r="I423" s="116"/>
      <c r="L423" s="170">
        <v>42625</v>
      </c>
      <c r="M423" s="116">
        <v>1493.175</v>
      </c>
      <c r="N423" s="116">
        <v>1504.2249999999999</v>
      </c>
      <c r="O423" s="116">
        <v>1487.5</v>
      </c>
      <c r="P423" s="116">
        <v>1495</v>
      </c>
      <c r="Q423" s="116">
        <v>2986.35</v>
      </c>
      <c r="R423">
        <v>6391</v>
      </c>
    </row>
    <row r="424" spans="1:18" x14ac:dyDescent="0.25">
      <c r="A424" s="170">
        <v>42627</v>
      </c>
      <c r="B424" s="116">
        <v>1502.7750000000001</v>
      </c>
      <c r="C424" s="116">
        <v>1479.65</v>
      </c>
      <c r="D424" s="116">
        <v>1477.5</v>
      </c>
      <c r="E424" s="116">
        <v>1497.5</v>
      </c>
      <c r="F424" s="116">
        <v>2959.3</v>
      </c>
      <c r="G424">
        <v>1559</v>
      </c>
      <c r="H424" s="116"/>
      <c r="I424" s="116"/>
      <c r="L424" s="170">
        <v>42627</v>
      </c>
      <c r="M424" s="116">
        <v>1478.625</v>
      </c>
      <c r="N424" s="116">
        <v>1502.5</v>
      </c>
      <c r="O424" s="116">
        <v>1475.05</v>
      </c>
      <c r="P424" s="116">
        <v>1493</v>
      </c>
      <c r="Q424" s="116">
        <v>2957.25</v>
      </c>
      <c r="R424">
        <v>12254</v>
      </c>
    </row>
    <row r="425" spans="1:18" x14ac:dyDescent="0.25">
      <c r="A425" s="170">
        <v>42628</v>
      </c>
      <c r="B425" s="116">
        <v>1498.5</v>
      </c>
      <c r="C425" s="116">
        <v>1488.55</v>
      </c>
      <c r="D425" s="116">
        <v>1479.5</v>
      </c>
      <c r="E425" s="116">
        <v>1482.5</v>
      </c>
      <c r="F425" s="116">
        <v>2977.1</v>
      </c>
      <c r="G425">
        <v>578</v>
      </c>
      <c r="H425" s="116"/>
      <c r="I425" s="116"/>
      <c r="L425" s="170">
        <v>42628</v>
      </c>
      <c r="M425" s="116">
        <v>1484.125</v>
      </c>
      <c r="N425" s="116">
        <v>1499.5</v>
      </c>
      <c r="O425" s="116">
        <v>1475.625</v>
      </c>
      <c r="P425" s="116">
        <v>1487</v>
      </c>
      <c r="Q425" s="116">
        <v>2968.25</v>
      </c>
      <c r="R425">
        <v>7047</v>
      </c>
    </row>
    <row r="426" spans="1:18" x14ac:dyDescent="0.25">
      <c r="A426" s="170">
        <v>42629</v>
      </c>
      <c r="B426" s="116">
        <v>1490</v>
      </c>
      <c r="C426" s="116">
        <v>1419.9749999999999</v>
      </c>
      <c r="D426" s="116">
        <v>1401.625</v>
      </c>
      <c r="E426" s="116">
        <v>1487.5</v>
      </c>
      <c r="F426" s="116">
        <v>2839.95</v>
      </c>
      <c r="G426">
        <v>9536</v>
      </c>
      <c r="H426" s="116"/>
      <c r="I426" s="116"/>
      <c r="L426" s="170">
        <v>42629</v>
      </c>
      <c r="M426" s="116">
        <v>1413.2249999999999</v>
      </c>
      <c r="N426" s="116">
        <v>1492.5</v>
      </c>
      <c r="O426" s="116">
        <v>1399.9749999999999</v>
      </c>
      <c r="P426" s="116">
        <v>1492.5</v>
      </c>
      <c r="Q426" s="116">
        <v>2826.45</v>
      </c>
      <c r="R426">
        <v>343527</v>
      </c>
    </row>
    <row r="427" spans="1:18" x14ac:dyDescent="0.25">
      <c r="A427" s="170">
        <v>42632</v>
      </c>
      <c r="B427" s="116">
        <v>1448</v>
      </c>
      <c r="C427" s="116">
        <v>1420.05</v>
      </c>
      <c r="D427" s="116">
        <v>1415</v>
      </c>
      <c r="E427" s="116">
        <v>1425</v>
      </c>
      <c r="F427" s="116">
        <v>2840.1</v>
      </c>
      <c r="G427">
        <v>3905</v>
      </c>
      <c r="H427" s="116"/>
      <c r="I427" s="116"/>
      <c r="L427" s="170">
        <v>42632</v>
      </c>
      <c r="M427" s="116">
        <v>1420.75</v>
      </c>
      <c r="N427" s="116">
        <v>1438.5</v>
      </c>
      <c r="O427" s="116">
        <v>1418.175</v>
      </c>
      <c r="P427" s="116">
        <v>1418.175</v>
      </c>
      <c r="Q427" s="116">
        <v>2841.5</v>
      </c>
      <c r="R427">
        <v>20160</v>
      </c>
    </row>
    <row r="428" spans="1:18" x14ac:dyDescent="0.25">
      <c r="A428" s="170">
        <v>42633</v>
      </c>
      <c r="B428" s="116">
        <v>1425</v>
      </c>
      <c r="C428" s="116">
        <v>1414.875</v>
      </c>
      <c r="D428" s="116">
        <v>1413</v>
      </c>
      <c r="E428" s="116">
        <v>1425</v>
      </c>
      <c r="F428" s="116">
        <v>2829.75</v>
      </c>
      <c r="G428">
        <v>2308</v>
      </c>
      <c r="H428" s="116"/>
      <c r="I428" s="116"/>
      <c r="L428" s="170">
        <v>42633</v>
      </c>
      <c r="M428" s="116">
        <v>1414.4</v>
      </c>
      <c r="N428" s="116">
        <v>1425</v>
      </c>
      <c r="O428" s="116">
        <v>1412.5</v>
      </c>
      <c r="P428" s="116">
        <v>1420.75</v>
      </c>
      <c r="Q428" s="116">
        <v>2828.8</v>
      </c>
      <c r="R428">
        <v>12004</v>
      </c>
    </row>
    <row r="429" spans="1:18" x14ac:dyDescent="0.25">
      <c r="A429" s="170">
        <v>42634</v>
      </c>
      <c r="B429" s="116">
        <v>1425</v>
      </c>
      <c r="C429" s="116">
        <v>1406.2</v>
      </c>
      <c r="D429" s="116">
        <v>1400.5</v>
      </c>
      <c r="E429" s="116">
        <v>1415</v>
      </c>
      <c r="F429" s="116">
        <v>2812.4</v>
      </c>
      <c r="G429">
        <v>3171</v>
      </c>
      <c r="H429" s="116"/>
      <c r="I429" s="116"/>
      <c r="L429" s="170">
        <v>42634</v>
      </c>
      <c r="M429" s="116">
        <v>1405.2750000000001</v>
      </c>
      <c r="N429" s="116">
        <v>1424</v>
      </c>
      <c r="O429" s="116">
        <v>1400.5</v>
      </c>
      <c r="P429" s="116">
        <v>1414.4</v>
      </c>
      <c r="Q429" s="116">
        <v>2810.55</v>
      </c>
      <c r="R429">
        <v>13545</v>
      </c>
    </row>
    <row r="430" spans="1:18" x14ac:dyDescent="0.25">
      <c r="A430" s="170">
        <v>42635</v>
      </c>
      <c r="B430" s="116">
        <v>1417.5</v>
      </c>
      <c r="C430" s="116">
        <v>1397.4749999999999</v>
      </c>
      <c r="D430" s="116">
        <v>1393.25</v>
      </c>
      <c r="E430" s="116">
        <v>1408.95</v>
      </c>
      <c r="F430" s="116">
        <v>2794.95</v>
      </c>
      <c r="G430">
        <v>12483</v>
      </c>
      <c r="H430" s="116"/>
      <c r="I430" s="116"/>
      <c r="L430" s="170">
        <v>42635</v>
      </c>
      <c r="M430" s="116">
        <v>1397.425</v>
      </c>
      <c r="N430" s="116">
        <v>1417.5</v>
      </c>
      <c r="O430" s="116">
        <v>1393.125</v>
      </c>
      <c r="P430" s="116">
        <v>1417.4</v>
      </c>
      <c r="Q430" s="116">
        <v>2794.85</v>
      </c>
      <c r="R430">
        <v>34401</v>
      </c>
    </row>
    <row r="431" spans="1:18" x14ac:dyDescent="0.25">
      <c r="A431" s="170">
        <v>42636</v>
      </c>
      <c r="B431" s="116">
        <v>1411</v>
      </c>
      <c r="C431" s="116">
        <v>1400.6</v>
      </c>
      <c r="D431" s="116">
        <v>1396.5</v>
      </c>
      <c r="E431" s="116">
        <v>1400.0250000000001</v>
      </c>
      <c r="F431" s="116">
        <v>2801.2</v>
      </c>
      <c r="G431">
        <v>2309</v>
      </c>
      <c r="H431" s="116"/>
      <c r="I431" s="116"/>
      <c r="L431" s="170">
        <v>42636</v>
      </c>
      <c r="M431" s="116">
        <v>1402.625</v>
      </c>
      <c r="N431" s="116">
        <v>1413.2249999999999</v>
      </c>
      <c r="O431" s="116">
        <v>1396.675</v>
      </c>
      <c r="P431" s="116">
        <v>1400.0250000000001</v>
      </c>
      <c r="Q431" s="116">
        <v>2805.25</v>
      </c>
      <c r="R431">
        <v>41160</v>
      </c>
    </row>
    <row r="432" spans="1:18" x14ac:dyDescent="0.25">
      <c r="A432" s="170">
        <v>42639</v>
      </c>
      <c r="B432" s="116">
        <v>1411.7249999999999</v>
      </c>
      <c r="C432" s="116">
        <v>1398.5250000000001</v>
      </c>
      <c r="D432" s="116">
        <v>1393</v>
      </c>
      <c r="E432" s="116">
        <v>1399.25</v>
      </c>
      <c r="F432" s="116">
        <v>2797.05</v>
      </c>
      <c r="G432">
        <v>1697</v>
      </c>
      <c r="H432" s="116"/>
      <c r="I432" s="116"/>
      <c r="L432" s="170">
        <v>42639</v>
      </c>
      <c r="M432" s="116">
        <v>1399.175</v>
      </c>
      <c r="N432" s="116">
        <v>1410.95</v>
      </c>
      <c r="O432" s="116">
        <v>1395</v>
      </c>
      <c r="P432" s="116">
        <v>1404</v>
      </c>
      <c r="Q432" s="116">
        <v>2798.35</v>
      </c>
      <c r="R432">
        <v>56247</v>
      </c>
    </row>
    <row r="433" spans="1:18" x14ac:dyDescent="0.25">
      <c r="A433" s="170">
        <v>42640</v>
      </c>
      <c r="B433" s="116">
        <v>1417.5</v>
      </c>
      <c r="C433" s="116">
        <v>1407.5</v>
      </c>
      <c r="D433" s="116">
        <v>1395.0250000000001</v>
      </c>
      <c r="E433" s="116">
        <v>1395.0250000000001</v>
      </c>
      <c r="F433" s="116">
        <v>2815</v>
      </c>
      <c r="G433">
        <v>41554</v>
      </c>
      <c r="H433" s="116"/>
      <c r="I433" s="116"/>
      <c r="L433" s="170">
        <v>42640</v>
      </c>
      <c r="M433" s="116">
        <v>1411.45</v>
      </c>
      <c r="N433" s="116">
        <v>1422.5</v>
      </c>
      <c r="O433" s="116">
        <v>1397.5</v>
      </c>
      <c r="P433" s="116">
        <v>1409.5</v>
      </c>
      <c r="Q433" s="116">
        <v>2822.9</v>
      </c>
      <c r="R433">
        <v>15395</v>
      </c>
    </row>
    <row r="434" spans="1:18" x14ac:dyDescent="0.25">
      <c r="A434" s="170">
        <v>42641</v>
      </c>
      <c r="B434" s="116">
        <v>1425</v>
      </c>
      <c r="C434" s="116">
        <v>1414.95</v>
      </c>
      <c r="D434" s="116">
        <v>1383</v>
      </c>
      <c r="E434" s="116">
        <v>1410</v>
      </c>
      <c r="F434" s="116">
        <v>2829.9</v>
      </c>
      <c r="G434">
        <v>12370</v>
      </c>
      <c r="H434" s="116"/>
      <c r="I434" s="116"/>
      <c r="L434" s="170">
        <v>42641</v>
      </c>
      <c r="M434" s="116">
        <v>1419.875</v>
      </c>
      <c r="N434" s="116">
        <v>1425</v>
      </c>
      <c r="O434" s="116">
        <v>1410</v>
      </c>
      <c r="P434" s="116">
        <v>1411.45</v>
      </c>
      <c r="Q434" s="116">
        <v>2839.75</v>
      </c>
      <c r="R434">
        <v>23206</v>
      </c>
    </row>
    <row r="435" spans="1:18" x14ac:dyDescent="0.25">
      <c r="A435" s="170">
        <v>42642</v>
      </c>
      <c r="B435" s="116">
        <v>1437.5</v>
      </c>
      <c r="C435" s="116">
        <v>1402.2750000000001</v>
      </c>
      <c r="D435" s="116">
        <v>1390</v>
      </c>
      <c r="E435" s="116">
        <v>1407.5</v>
      </c>
      <c r="F435" s="116">
        <v>2804.55</v>
      </c>
      <c r="G435">
        <v>3350</v>
      </c>
      <c r="H435" s="116"/>
      <c r="I435" s="116"/>
      <c r="L435" s="170">
        <v>42642</v>
      </c>
      <c r="M435" s="116">
        <v>1403.625</v>
      </c>
      <c r="N435" s="116">
        <v>1435</v>
      </c>
      <c r="O435" s="116">
        <v>1387.5</v>
      </c>
      <c r="P435" s="116">
        <v>1425</v>
      </c>
      <c r="Q435" s="116">
        <v>2807.25</v>
      </c>
      <c r="R435">
        <v>62678</v>
      </c>
    </row>
    <row r="436" spans="1:18" x14ac:dyDescent="0.25">
      <c r="A436" s="170">
        <v>42643</v>
      </c>
      <c r="B436" s="116">
        <v>1406.375</v>
      </c>
      <c r="C436" s="116">
        <v>1390.9</v>
      </c>
      <c r="D436" s="116">
        <v>1376.0250000000001</v>
      </c>
      <c r="E436" s="116">
        <v>1405.0250000000001</v>
      </c>
      <c r="F436" s="116">
        <v>2781.8</v>
      </c>
      <c r="G436">
        <v>3159</v>
      </c>
      <c r="H436" s="116"/>
      <c r="I436" s="116"/>
      <c r="L436" s="170">
        <v>42643</v>
      </c>
      <c r="M436" s="116">
        <v>1390.4749999999999</v>
      </c>
      <c r="N436" s="116">
        <v>1405</v>
      </c>
      <c r="O436" s="116">
        <v>1376</v>
      </c>
      <c r="P436" s="116">
        <v>1403.5</v>
      </c>
      <c r="Q436" s="116">
        <v>2780.95</v>
      </c>
      <c r="R436">
        <v>35018</v>
      </c>
    </row>
    <row r="437" spans="1:18" x14ac:dyDescent="0.25">
      <c r="A437" s="170">
        <v>42646</v>
      </c>
      <c r="B437" s="116">
        <v>1412.25</v>
      </c>
      <c r="C437" s="116">
        <v>1406.625</v>
      </c>
      <c r="D437" s="116">
        <v>1392.5</v>
      </c>
      <c r="E437" s="116">
        <v>1392.875</v>
      </c>
      <c r="F437" s="116">
        <v>2813.25</v>
      </c>
      <c r="G437">
        <v>769</v>
      </c>
      <c r="H437" s="116"/>
      <c r="I437" s="116"/>
      <c r="L437" s="170">
        <v>42646</v>
      </c>
      <c r="M437" s="116">
        <v>1410.05</v>
      </c>
      <c r="N437" s="116">
        <v>1414.4</v>
      </c>
      <c r="O437" s="116">
        <v>1390.25</v>
      </c>
      <c r="P437" s="116">
        <v>1395</v>
      </c>
      <c r="Q437" s="116">
        <v>2820.1</v>
      </c>
      <c r="R437">
        <v>6986</v>
      </c>
    </row>
    <row r="438" spans="1:18" x14ac:dyDescent="0.25">
      <c r="A438" s="170">
        <v>42647</v>
      </c>
      <c r="B438" s="116">
        <v>1455</v>
      </c>
      <c r="C438" s="116">
        <v>1436.1</v>
      </c>
      <c r="D438" s="116">
        <v>1400.0250000000001</v>
      </c>
      <c r="E438" s="116">
        <v>1400.0250000000001</v>
      </c>
      <c r="F438" s="116">
        <v>2872.2</v>
      </c>
      <c r="G438">
        <v>1130</v>
      </c>
      <c r="H438" s="116"/>
      <c r="I438" s="116"/>
      <c r="L438" s="170">
        <v>42647</v>
      </c>
      <c r="M438" s="116">
        <v>1434.175</v>
      </c>
      <c r="N438" s="116">
        <v>1457.35</v>
      </c>
      <c r="O438" s="116">
        <v>1406.675</v>
      </c>
      <c r="P438" s="116">
        <v>1407.5</v>
      </c>
      <c r="Q438" s="116">
        <v>2868.35</v>
      </c>
      <c r="R438">
        <v>10483</v>
      </c>
    </row>
    <row r="439" spans="1:18" x14ac:dyDescent="0.25">
      <c r="A439" s="170">
        <v>42648</v>
      </c>
      <c r="B439" s="116">
        <v>1440.0250000000001</v>
      </c>
      <c r="C439" s="116">
        <v>1437.75</v>
      </c>
      <c r="D439" s="116">
        <v>1412.5</v>
      </c>
      <c r="E439" s="116">
        <v>1436</v>
      </c>
      <c r="F439" s="116">
        <v>2875.5</v>
      </c>
      <c r="G439">
        <v>1233</v>
      </c>
      <c r="H439" s="116"/>
      <c r="I439" s="116"/>
      <c r="L439" s="170">
        <v>42648</v>
      </c>
      <c r="M439" s="116">
        <v>1437.3</v>
      </c>
      <c r="N439" s="116">
        <v>1440</v>
      </c>
      <c r="O439" s="116">
        <v>1417.5</v>
      </c>
      <c r="P439" s="116">
        <v>1417.5</v>
      </c>
      <c r="Q439" s="116">
        <v>2874.6</v>
      </c>
      <c r="R439">
        <v>8863</v>
      </c>
    </row>
    <row r="440" spans="1:18" x14ac:dyDescent="0.25">
      <c r="A440" s="170">
        <v>42649</v>
      </c>
      <c r="B440" s="116">
        <v>1474.375</v>
      </c>
      <c r="C440" s="116">
        <v>1457.825</v>
      </c>
      <c r="D440" s="116">
        <v>1436</v>
      </c>
      <c r="E440" s="116">
        <v>1438.075</v>
      </c>
      <c r="F440" s="116">
        <v>2915.65</v>
      </c>
      <c r="G440">
        <v>1900</v>
      </c>
      <c r="H440" s="116"/>
      <c r="I440" s="116"/>
      <c r="L440" s="170">
        <v>42649</v>
      </c>
      <c r="M440" s="116">
        <v>1459.45</v>
      </c>
      <c r="N440" s="116">
        <v>1472.9</v>
      </c>
      <c r="O440" s="116">
        <v>1425.75</v>
      </c>
      <c r="P440" s="116">
        <v>1448.9749999999999</v>
      </c>
      <c r="Q440" s="116">
        <v>2918.9</v>
      </c>
      <c r="R440">
        <v>11685</v>
      </c>
    </row>
    <row r="441" spans="1:18" x14ac:dyDescent="0.25">
      <c r="A441" s="170">
        <v>42650</v>
      </c>
      <c r="B441" s="116">
        <v>1477.7</v>
      </c>
      <c r="C441" s="116">
        <v>1457.45</v>
      </c>
      <c r="D441" s="116">
        <v>1434.575</v>
      </c>
      <c r="E441" s="116">
        <v>1453.125</v>
      </c>
      <c r="F441" s="116">
        <v>2914.9</v>
      </c>
      <c r="G441">
        <v>1589</v>
      </c>
      <c r="H441" s="116"/>
      <c r="I441" s="116"/>
      <c r="L441" s="170">
        <v>42650</v>
      </c>
      <c r="M441" s="116">
        <v>1459.8</v>
      </c>
      <c r="N441" s="116">
        <v>1472.5</v>
      </c>
      <c r="O441" s="116">
        <v>1431.175</v>
      </c>
      <c r="P441" s="116">
        <v>1459.45</v>
      </c>
      <c r="Q441" s="116">
        <v>2919.6</v>
      </c>
      <c r="R441">
        <v>9347</v>
      </c>
    </row>
    <row r="442" spans="1:18" x14ac:dyDescent="0.25">
      <c r="A442" s="170">
        <v>42653</v>
      </c>
      <c r="B442" s="116">
        <v>1470.5</v>
      </c>
      <c r="C442" s="116">
        <v>1462.0250000000001</v>
      </c>
      <c r="D442" s="116">
        <v>1450.9</v>
      </c>
      <c r="E442" s="116">
        <v>1470.4749999999999</v>
      </c>
      <c r="F442" s="116">
        <v>2924.05</v>
      </c>
      <c r="G442">
        <v>1889</v>
      </c>
      <c r="H442" s="116"/>
      <c r="I442" s="116"/>
      <c r="L442" s="170">
        <v>42653</v>
      </c>
      <c r="M442" s="116">
        <v>1463.65</v>
      </c>
      <c r="N442" s="116">
        <v>1468.2750000000001</v>
      </c>
      <c r="O442" s="116">
        <v>1450</v>
      </c>
      <c r="P442" s="116">
        <v>1459.5</v>
      </c>
      <c r="Q442" s="116">
        <v>2927.3</v>
      </c>
      <c r="R442">
        <v>6664</v>
      </c>
    </row>
    <row r="443" spans="1:18" x14ac:dyDescent="0.25">
      <c r="A443" s="170">
        <v>42656</v>
      </c>
      <c r="B443" s="116">
        <v>1474.55</v>
      </c>
      <c r="C443" s="116">
        <v>1462.55</v>
      </c>
      <c r="D443" s="116">
        <v>1451</v>
      </c>
      <c r="E443" s="116">
        <v>1460.5</v>
      </c>
      <c r="F443" s="116">
        <v>2925.1</v>
      </c>
      <c r="G443">
        <v>1351</v>
      </c>
      <c r="H443" s="116"/>
      <c r="I443" s="116"/>
      <c r="L443" s="170">
        <v>42656</v>
      </c>
      <c r="M443" s="116">
        <v>1468.825</v>
      </c>
      <c r="N443" s="116">
        <v>1474.95</v>
      </c>
      <c r="O443" s="116">
        <v>1453.85</v>
      </c>
      <c r="P443" s="116">
        <v>1460</v>
      </c>
      <c r="Q443" s="116">
        <v>2937.65</v>
      </c>
      <c r="R443">
        <v>8918</v>
      </c>
    </row>
    <row r="444" spans="1:18" x14ac:dyDescent="0.25">
      <c r="A444" s="170">
        <v>42657</v>
      </c>
      <c r="B444" s="116">
        <v>1482.9749999999999</v>
      </c>
      <c r="C444" s="116">
        <v>1478.55</v>
      </c>
      <c r="D444" s="116">
        <v>1465</v>
      </c>
      <c r="E444" s="116">
        <v>1469.05</v>
      </c>
      <c r="F444" s="116">
        <v>2957.1</v>
      </c>
      <c r="G444">
        <v>2519</v>
      </c>
      <c r="H444" s="116"/>
      <c r="I444" s="116"/>
      <c r="L444" s="170">
        <v>42657</v>
      </c>
      <c r="M444" s="116">
        <v>1478.125</v>
      </c>
      <c r="N444" s="116">
        <v>1484.5</v>
      </c>
      <c r="O444" s="116">
        <v>1460.2750000000001</v>
      </c>
      <c r="P444" s="116">
        <v>1467.5</v>
      </c>
      <c r="Q444" s="116">
        <v>2956.25</v>
      </c>
      <c r="R444">
        <v>16880</v>
      </c>
    </row>
    <row r="445" spans="1:18" x14ac:dyDescent="0.25">
      <c r="A445" s="170">
        <v>42660</v>
      </c>
      <c r="B445" s="116">
        <v>1490</v>
      </c>
      <c r="C445" s="116">
        <v>1479.5</v>
      </c>
      <c r="D445" s="116">
        <v>1464</v>
      </c>
      <c r="E445" s="116">
        <v>1464</v>
      </c>
      <c r="F445" s="116">
        <v>2959</v>
      </c>
      <c r="G445">
        <v>861</v>
      </c>
      <c r="H445" s="116"/>
      <c r="I445" s="116"/>
      <c r="L445" s="170">
        <v>42660</v>
      </c>
      <c r="M445" s="116">
        <v>1487.7</v>
      </c>
      <c r="N445" s="116">
        <v>1499.95</v>
      </c>
      <c r="O445" s="116">
        <v>1464.9749999999999</v>
      </c>
      <c r="P445" s="116">
        <v>1475.5</v>
      </c>
      <c r="Q445" s="116">
        <v>2975.4</v>
      </c>
      <c r="R445">
        <v>6113</v>
      </c>
    </row>
    <row r="446" spans="1:18" x14ac:dyDescent="0.25">
      <c r="A446" s="170">
        <v>42661</v>
      </c>
      <c r="B446" s="116">
        <v>1495</v>
      </c>
      <c r="C446" s="116">
        <v>1485.875</v>
      </c>
      <c r="D446" s="116">
        <v>1479.5250000000001</v>
      </c>
      <c r="E446" s="116">
        <v>1479.5250000000001</v>
      </c>
      <c r="F446" s="116">
        <v>2971.75</v>
      </c>
      <c r="G446">
        <v>1057</v>
      </c>
      <c r="H446" s="116"/>
      <c r="I446" s="116"/>
      <c r="L446" s="170">
        <v>42661</v>
      </c>
      <c r="M446" s="116">
        <v>1485.55</v>
      </c>
      <c r="N446" s="116">
        <v>1498.375</v>
      </c>
      <c r="O446" s="116">
        <v>1478</v>
      </c>
      <c r="P446" s="116">
        <v>1478.175</v>
      </c>
      <c r="Q446" s="116">
        <v>2971.1</v>
      </c>
      <c r="R446">
        <v>5957</v>
      </c>
    </row>
    <row r="447" spans="1:18" x14ac:dyDescent="0.25">
      <c r="A447" s="170">
        <v>42662</v>
      </c>
      <c r="B447" s="116">
        <v>1497.5</v>
      </c>
      <c r="C447" s="116">
        <v>1488</v>
      </c>
      <c r="D447" s="116">
        <v>1475.9749999999999</v>
      </c>
      <c r="E447" s="116">
        <v>1487.5</v>
      </c>
      <c r="F447" s="116">
        <v>2976</v>
      </c>
      <c r="G447">
        <v>605</v>
      </c>
      <c r="H447" s="116"/>
      <c r="I447" s="116"/>
      <c r="L447" s="170">
        <v>42662</v>
      </c>
      <c r="M447" s="116">
        <v>1488.625</v>
      </c>
      <c r="N447" s="116">
        <v>1495</v>
      </c>
      <c r="O447" s="116">
        <v>1473.4</v>
      </c>
      <c r="P447" s="116">
        <v>1490</v>
      </c>
      <c r="Q447" s="116">
        <v>2977.25</v>
      </c>
      <c r="R447">
        <v>6402</v>
      </c>
    </row>
    <row r="448" spans="1:18" x14ac:dyDescent="0.25">
      <c r="A448" s="170">
        <v>42663</v>
      </c>
      <c r="B448" s="116">
        <v>1494.5</v>
      </c>
      <c r="C448" s="116">
        <v>1479.7750000000001</v>
      </c>
      <c r="D448" s="116">
        <v>1475</v>
      </c>
      <c r="E448" s="116">
        <v>1480.0250000000001</v>
      </c>
      <c r="F448" s="116">
        <v>2959.55</v>
      </c>
      <c r="G448">
        <v>1853</v>
      </c>
      <c r="H448" s="116"/>
      <c r="I448" s="116"/>
      <c r="L448" s="170">
        <v>42663</v>
      </c>
      <c r="M448" s="116">
        <v>1490.2</v>
      </c>
      <c r="N448" s="116">
        <v>1500</v>
      </c>
      <c r="O448" s="116">
        <v>1480.0250000000001</v>
      </c>
      <c r="P448" s="116">
        <v>1494.5</v>
      </c>
      <c r="Q448" s="116">
        <v>2980.4</v>
      </c>
      <c r="R448">
        <v>7352</v>
      </c>
    </row>
    <row r="449" spans="1:18" x14ac:dyDescent="0.25">
      <c r="A449" s="170">
        <v>42664</v>
      </c>
      <c r="B449" s="116">
        <v>1485</v>
      </c>
      <c r="C449" s="116">
        <v>1480.1</v>
      </c>
      <c r="D449" s="116">
        <v>1474</v>
      </c>
      <c r="E449" s="116">
        <v>1480.15</v>
      </c>
      <c r="F449" s="116">
        <v>2960.2</v>
      </c>
      <c r="G449">
        <v>524</v>
      </c>
      <c r="H449" s="116"/>
      <c r="I449" s="116"/>
      <c r="L449" s="170">
        <v>42664</v>
      </c>
      <c r="M449" s="116">
        <v>1483.175</v>
      </c>
      <c r="N449" s="116">
        <v>1490.2</v>
      </c>
      <c r="O449" s="116">
        <v>1474.1</v>
      </c>
      <c r="P449" s="116">
        <v>1490.2</v>
      </c>
      <c r="Q449" s="116">
        <v>2966.35</v>
      </c>
      <c r="R449">
        <v>3797</v>
      </c>
    </row>
    <row r="450" spans="1:18" x14ac:dyDescent="0.25">
      <c r="A450" s="170">
        <v>42667</v>
      </c>
      <c r="B450" s="116">
        <v>1494</v>
      </c>
      <c r="C450" s="116">
        <v>1473.4749999999999</v>
      </c>
      <c r="D450" s="116">
        <v>1464.5</v>
      </c>
      <c r="E450" s="116">
        <v>1483.65</v>
      </c>
      <c r="F450" s="116">
        <v>2946.95</v>
      </c>
      <c r="G450">
        <v>922</v>
      </c>
      <c r="H450" s="116"/>
      <c r="I450" s="116"/>
      <c r="L450" s="170">
        <v>42667</v>
      </c>
      <c r="M450" s="116">
        <v>1480.9</v>
      </c>
      <c r="N450" s="116">
        <v>1491.7249999999999</v>
      </c>
      <c r="O450" s="116">
        <v>1466.5</v>
      </c>
      <c r="P450" s="116">
        <v>1483.15</v>
      </c>
      <c r="Q450" s="116">
        <v>2961.8</v>
      </c>
      <c r="R450">
        <v>5684</v>
      </c>
    </row>
    <row r="451" spans="1:18" x14ac:dyDescent="0.25">
      <c r="A451" s="170">
        <v>42668</v>
      </c>
      <c r="B451" s="116">
        <v>1484.9749999999999</v>
      </c>
      <c r="C451" s="116">
        <v>1467.75</v>
      </c>
      <c r="D451" s="116">
        <v>1462.5</v>
      </c>
      <c r="E451" s="116">
        <v>1475.3</v>
      </c>
      <c r="F451" s="116">
        <v>2935.5</v>
      </c>
      <c r="G451">
        <v>1150</v>
      </c>
      <c r="H451" s="116"/>
      <c r="I451" s="116"/>
      <c r="L451" s="170">
        <v>42668</v>
      </c>
      <c r="M451" s="116">
        <v>1476.125</v>
      </c>
      <c r="N451" s="116">
        <v>1483.325</v>
      </c>
      <c r="O451" s="116">
        <v>1466.5</v>
      </c>
      <c r="P451" s="116">
        <v>1481</v>
      </c>
      <c r="Q451" s="116">
        <v>2952.25</v>
      </c>
      <c r="R451">
        <v>4439</v>
      </c>
    </row>
    <row r="452" spans="1:18" x14ac:dyDescent="0.25">
      <c r="A452" s="170">
        <v>42669</v>
      </c>
      <c r="B452" s="116">
        <v>1474.7750000000001</v>
      </c>
      <c r="C452" s="116">
        <v>1460.1</v>
      </c>
      <c r="D452" s="116">
        <v>1456.5250000000001</v>
      </c>
      <c r="E452" s="116">
        <v>1457.55</v>
      </c>
      <c r="F452" s="116">
        <v>2920.2</v>
      </c>
      <c r="G452">
        <v>580</v>
      </c>
      <c r="H452" s="116"/>
      <c r="I452" s="116"/>
      <c r="L452" s="170">
        <v>42669</v>
      </c>
      <c r="M452" s="116">
        <v>1462.4749999999999</v>
      </c>
      <c r="N452" s="116">
        <v>1473.925</v>
      </c>
      <c r="O452" s="116">
        <v>1452.4</v>
      </c>
      <c r="P452" s="116">
        <v>1472</v>
      </c>
      <c r="Q452" s="116">
        <v>2924.95</v>
      </c>
      <c r="R452">
        <v>5833</v>
      </c>
    </row>
    <row r="453" spans="1:18" x14ac:dyDescent="0.25">
      <c r="A453" s="170">
        <v>42670</v>
      </c>
      <c r="B453" s="116">
        <v>1468.9</v>
      </c>
      <c r="C453" s="116">
        <v>1454.9749999999999</v>
      </c>
      <c r="D453" s="116">
        <v>1450.5</v>
      </c>
      <c r="E453" s="116">
        <v>1456.5</v>
      </c>
      <c r="F453" s="116">
        <v>2909.95</v>
      </c>
      <c r="G453">
        <v>1368</v>
      </c>
      <c r="H453" s="116"/>
      <c r="I453" s="116"/>
      <c r="L453" s="170">
        <v>42670</v>
      </c>
      <c r="M453" s="116">
        <v>1462.425</v>
      </c>
      <c r="N453" s="116">
        <v>1472.5</v>
      </c>
      <c r="O453" s="116">
        <v>1451.5</v>
      </c>
      <c r="P453" s="116">
        <v>1458.575</v>
      </c>
      <c r="Q453" s="116">
        <v>2924.85</v>
      </c>
      <c r="R453">
        <v>6875</v>
      </c>
    </row>
    <row r="454" spans="1:18" x14ac:dyDescent="0.25">
      <c r="A454" s="170">
        <v>42671</v>
      </c>
      <c r="B454" s="116">
        <v>1499.95</v>
      </c>
      <c r="C454" s="116">
        <v>1454.95</v>
      </c>
      <c r="D454" s="116">
        <v>1450</v>
      </c>
      <c r="E454" s="116">
        <v>1466.0250000000001</v>
      </c>
      <c r="F454" s="116">
        <v>2909.9</v>
      </c>
      <c r="G454">
        <v>1112</v>
      </c>
      <c r="H454" s="116"/>
      <c r="I454" s="116"/>
      <c r="L454" s="170">
        <v>42671</v>
      </c>
      <c r="M454" s="116">
        <v>1455.05</v>
      </c>
      <c r="N454" s="116">
        <v>1489</v>
      </c>
      <c r="O454" s="116">
        <v>1447.45</v>
      </c>
      <c r="P454" s="116">
        <v>1469</v>
      </c>
      <c r="Q454" s="116">
        <v>2910.1</v>
      </c>
      <c r="R454">
        <v>11060</v>
      </c>
    </row>
    <row r="455" spans="1:18" x14ac:dyDescent="0.25">
      <c r="A455" s="170">
        <v>42673</v>
      </c>
      <c r="B455" s="116">
        <v>1485</v>
      </c>
      <c r="C455" s="116">
        <v>1472.125</v>
      </c>
      <c r="D455" s="116">
        <v>1454.075</v>
      </c>
      <c r="E455" s="116">
        <v>1485</v>
      </c>
      <c r="F455" s="116">
        <v>2944.25</v>
      </c>
      <c r="G455">
        <v>381</v>
      </c>
      <c r="H455" s="116"/>
      <c r="I455" s="116"/>
      <c r="L455" s="170">
        <v>42673</v>
      </c>
      <c r="M455" s="116">
        <v>1471.825</v>
      </c>
      <c r="N455" s="116">
        <v>1475</v>
      </c>
      <c r="O455" s="116">
        <v>1460</v>
      </c>
      <c r="P455" s="116">
        <v>1467.45</v>
      </c>
      <c r="Q455" s="116">
        <v>2943.65</v>
      </c>
      <c r="R455">
        <v>1513</v>
      </c>
    </row>
    <row r="456" spans="1:18" x14ac:dyDescent="0.25">
      <c r="A456" s="170">
        <v>42675</v>
      </c>
      <c r="B456" s="116">
        <v>1479.4749999999999</v>
      </c>
      <c r="C456" s="116">
        <v>1429.95</v>
      </c>
      <c r="D456" s="116">
        <v>1412</v>
      </c>
      <c r="E456" s="116">
        <v>1471.5</v>
      </c>
      <c r="F456" s="116">
        <v>2859.9</v>
      </c>
      <c r="G456">
        <v>1135</v>
      </c>
      <c r="H456" s="116"/>
      <c r="I456" s="116"/>
      <c r="L456" s="170">
        <v>42675</v>
      </c>
      <c r="M456" s="116">
        <v>1428.1</v>
      </c>
      <c r="N456" s="116">
        <v>1485.95</v>
      </c>
      <c r="O456" s="116">
        <v>1411.4749999999999</v>
      </c>
      <c r="P456" s="116">
        <v>1485.95</v>
      </c>
      <c r="Q456" s="116">
        <v>2856.2</v>
      </c>
      <c r="R456">
        <v>11162</v>
      </c>
    </row>
    <row r="457" spans="1:18" x14ac:dyDescent="0.25">
      <c r="A457" s="170">
        <v>42676</v>
      </c>
      <c r="B457" s="116">
        <v>1443.95</v>
      </c>
      <c r="C457" s="116">
        <v>1406.325</v>
      </c>
      <c r="D457" s="116">
        <v>1401.1</v>
      </c>
      <c r="E457" s="116">
        <v>1421.5</v>
      </c>
      <c r="F457" s="116">
        <v>2812.65</v>
      </c>
      <c r="G457">
        <v>1945</v>
      </c>
      <c r="H457" s="116"/>
      <c r="I457" s="116"/>
      <c r="L457" s="170">
        <v>42676</v>
      </c>
      <c r="M457" s="116">
        <v>1410.4</v>
      </c>
      <c r="N457" s="116">
        <v>1444</v>
      </c>
      <c r="O457" s="116">
        <v>1400</v>
      </c>
      <c r="P457" s="116">
        <v>1423</v>
      </c>
      <c r="Q457" s="116">
        <v>2820.8</v>
      </c>
      <c r="R457">
        <v>20893</v>
      </c>
    </row>
    <row r="458" spans="1:18" x14ac:dyDescent="0.25">
      <c r="A458" s="170">
        <v>42677</v>
      </c>
      <c r="B458" s="116">
        <v>1423.425</v>
      </c>
      <c r="C458" s="116">
        <v>1407.45</v>
      </c>
      <c r="D458" s="116">
        <v>1388.35</v>
      </c>
      <c r="E458" s="116">
        <v>1404.0250000000001</v>
      </c>
      <c r="F458" s="116">
        <v>2814.9</v>
      </c>
      <c r="G458">
        <v>1478</v>
      </c>
      <c r="H458" s="116"/>
      <c r="I458" s="116"/>
      <c r="L458" s="170">
        <v>42677</v>
      </c>
      <c r="M458" s="116">
        <v>1409.15</v>
      </c>
      <c r="N458" s="116">
        <v>1422.5</v>
      </c>
      <c r="O458" s="116">
        <v>1387.5</v>
      </c>
      <c r="P458" s="116">
        <v>1411</v>
      </c>
      <c r="Q458" s="116">
        <v>2818.3</v>
      </c>
      <c r="R458">
        <v>14429</v>
      </c>
    </row>
    <row r="459" spans="1:18" x14ac:dyDescent="0.25">
      <c r="A459" s="170">
        <v>42678</v>
      </c>
      <c r="B459" s="116">
        <v>1432.5</v>
      </c>
      <c r="C459" s="116">
        <v>1387.4</v>
      </c>
      <c r="D459" s="116">
        <v>1365.55</v>
      </c>
      <c r="E459" s="116">
        <v>1399.5</v>
      </c>
      <c r="F459" s="116">
        <v>2774.8</v>
      </c>
      <c r="G459">
        <v>3286</v>
      </c>
      <c r="H459" s="116"/>
      <c r="I459" s="116"/>
      <c r="L459" s="170">
        <v>42678</v>
      </c>
      <c r="M459" s="116">
        <v>1400.375</v>
      </c>
      <c r="N459" s="116">
        <v>1439</v>
      </c>
      <c r="O459" s="116">
        <v>1365.55</v>
      </c>
      <c r="P459" s="116">
        <v>1400</v>
      </c>
      <c r="Q459" s="116">
        <v>2800.75</v>
      </c>
      <c r="R459">
        <v>26638</v>
      </c>
    </row>
    <row r="460" spans="1:18" x14ac:dyDescent="0.25">
      <c r="A460" s="170">
        <v>42681</v>
      </c>
      <c r="B460" s="116">
        <v>1425</v>
      </c>
      <c r="C460" s="116">
        <v>1385.625</v>
      </c>
      <c r="D460" s="116">
        <v>1378.3</v>
      </c>
      <c r="E460" s="116">
        <v>1403.875</v>
      </c>
      <c r="F460" s="116">
        <v>2771.25</v>
      </c>
      <c r="G460">
        <v>2724</v>
      </c>
      <c r="H460" s="116"/>
      <c r="I460" s="116"/>
      <c r="L460" s="170">
        <v>42681</v>
      </c>
      <c r="M460" s="116">
        <v>1393.35</v>
      </c>
      <c r="N460" s="116">
        <v>1412</v>
      </c>
      <c r="O460" s="116">
        <v>1380</v>
      </c>
      <c r="P460" s="116">
        <v>1405</v>
      </c>
      <c r="Q460" s="116">
        <v>2786.7</v>
      </c>
      <c r="R460">
        <v>9187</v>
      </c>
    </row>
    <row r="461" spans="1:18" x14ac:dyDescent="0.25">
      <c r="A461" s="170">
        <v>42682</v>
      </c>
      <c r="B461" s="116">
        <v>1395.2</v>
      </c>
      <c r="C461" s="116">
        <v>1359.5250000000001</v>
      </c>
      <c r="D461" s="116">
        <v>1355</v>
      </c>
      <c r="E461" s="116">
        <v>1392.5</v>
      </c>
      <c r="F461" s="116">
        <v>2719.05</v>
      </c>
      <c r="G461">
        <v>1763</v>
      </c>
      <c r="H461" s="116"/>
      <c r="I461" s="116"/>
      <c r="L461" s="170">
        <v>42682</v>
      </c>
      <c r="M461" s="116">
        <v>1361.0250000000001</v>
      </c>
      <c r="N461" s="116">
        <v>1405.9749999999999</v>
      </c>
      <c r="O461" s="116">
        <v>1355.5250000000001</v>
      </c>
      <c r="P461" s="116">
        <v>1405.9749999999999</v>
      </c>
      <c r="Q461" s="116">
        <v>2722.05</v>
      </c>
      <c r="R461">
        <v>21865</v>
      </c>
    </row>
    <row r="462" spans="1:18" x14ac:dyDescent="0.25">
      <c r="A462" s="170">
        <v>42683</v>
      </c>
      <c r="B462" s="116">
        <v>1361.4</v>
      </c>
      <c r="C462" s="116">
        <v>1328.2750000000001</v>
      </c>
      <c r="D462" s="116">
        <v>1312.5</v>
      </c>
      <c r="E462" s="116">
        <v>1350.5</v>
      </c>
      <c r="F462" s="116">
        <v>2656.55</v>
      </c>
      <c r="G462">
        <v>3073</v>
      </c>
      <c r="H462" s="116"/>
      <c r="I462" s="116"/>
      <c r="L462" s="170">
        <v>42683</v>
      </c>
      <c r="M462" s="116">
        <v>1327.2750000000001</v>
      </c>
      <c r="N462" s="116">
        <v>1355.0250000000001</v>
      </c>
      <c r="O462" s="116">
        <v>1305</v>
      </c>
      <c r="P462" s="116">
        <v>1350.5</v>
      </c>
      <c r="Q462" s="116">
        <v>2654.55</v>
      </c>
      <c r="R462">
        <v>26809</v>
      </c>
    </row>
    <row r="463" spans="1:18" x14ac:dyDescent="0.25">
      <c r="A463" s="170">
        <v>42684</v>
      </c>
      <c r="B463" s="116">
        <v>1333.5</v>
      </c>
      <c r="C463" s="116">
        <v>1308.2249999999999</v>
      </c>
      <c r="D463" s="116">
        <v>1302.7</v>
      </c>
      <c r="E463" s="116">
        <v>1327</v>
      </c>
      <c r="F463" s="116">
        <v>2616.4499999999998</v>
      </c>
      <c r="G463">
        <v>3585</v>
      </c>
      <c r="H463" s="116"/>
      <c r="I463" s="116"/>
      <c r="L463" s="170">
        <v>42684</v>
      </c>
      <c r="M463" s="116">
        <v>1305.8499999999999</v>
      </c>
      <c r="N463" s="116">
        <v>1333.65</v>
      </c>
      <c r="O463" s="116">
        <v>1300</v>
      </c>
      <c r="P463" s="116">
        <v>1315.05</v>
      </c>
      <c r="Q463" s="116">
        <v>2611.6999999999998</v>
      </c>
      <c r="R463">
        <v>60014</v>
      </c>
    </row>
    <row r="464" spans="1:18" x14ac:dyDescent="0.25">
      <c r="A464" s="170">
        <v>42685</v>
      </c>
      <c r="B464" s="116">
        <v>1325</v>
      </c>
      <c r="C464" s="116">
        <v>1318.5250000000001</v>
      </c>
      <c r="D464" s="116">
        <v>1301</v>
      </c>
      <c r="E464" s="116">
        <v>1309</v>
      </c>
      <c r="F464" s="116">
        <v>2637.05</v>
      </c>
      <c r="G464">
        <v>1429</v>
      </c>
      <c r="H464" s="116"/>
      <c r="I464" s="116"/>
      <c r="L464" s="170">
        <v>42685</v>
      </c>
      <c r="M464" s="116">
        <v>1321.95</v>
      </c>
      <c r="N464" s="116">
        <v>1334.5</v>
      </c>
      <c r="O464" s="116">
        <v>1300</v>
      </c>
      <c r="P464" s="116">
        <v>1334.5</v>
      </c>
      <c r="Q464" s="116">
        <v>2643.9</v>
      </c>
      <c r="R464">
        <v>14704</v>
      </c>
    </row>
    <row r="465" spans="1:18" x14ac:dyDescent="0.25">
      <c r="A465" s="170">
        <v>42689</v>
      </c>
      <c r="B465" s="116">
        <v>1337.9749999999999</v>
      </c>
      <c r="C465" s="116">
        <v>1325.0250000000001</v>
      </c>
      <c r="D465" s="116">
        <v>1300</v>
      </c>
      <c r="E465" s="116">
        <v>1322.1</v>
      </c>
      <c r="F465" s="116">
        <v>2650.05</v>
      </c>
      <c r="G465">
        <v>1269</v>
      </c>
      <c r="H465" s="116"/>
      <c r="I465" s="116"/>
      <c r="L465" s="170">
        <v>42689</v>
      </c>
      <c r="M465" s="116">
        <v>1329.15</v>
      </c>
      <c r="N465" s="116">
        <v>1349</v>
      </c>
      <c r="O465" s="116">
        <v>1300</v>
      </c>
      <c r="P465" s="116">
        <v>1344</v>
      </c>
      <c r="Q465" s="116">
        <v>2658.3</v>
      </c>
      <c r="R465">
        <v>11221</v>
      </c>
    </row>
    <row r="466" spans="1:18" x14ac:dyDescent="0.25">
      <c r="A466" s="170">
        <v>42690</v>
      </c>
      <c r="B466" s="116">
        <v>1339.95</v>
      </c>
      <c r="C466" s="116">
        <v>1327.1</v>
      </c>
      <c r="D466" s="116">
        <v>1314.05</v>
      </c>
      <c r="E466" s="116">
        <v>1324.4</v>
      </c>
      <c r="F466" s="116">
        <v>2654.2</v>
      </c>
      <c r="G466">
        <v>890</v>
      </c>
      <c r="H466" s="116"/>
      <c r="I466" s="116"/>
      <c r="L466" s="170">
        <v>42690</v>
      </c>
      <c r="M466" s="116">
        <v>1334.7249999999999</v>
      </c>
      <c r="N466" s="116">
        <v>1347.4749999999999</v>
      </c>
      <c r="O466" s="116">
        <v>1309.425</v>
      </c>
      <c r="P466" s="116">
        <v>1329.175</v>
      </c>
      <c r="Q466" s="116">
        <v>2669.45</v>
      </c>
      <c r="R466">
        <v>6805</v>
      </c>
    </row>
    <row r="467" spans="1:18" x14ac:dyDescent="0.25">
      <c r="A467" s="170">
        <v>42691</v>
      </c>
      <c r="B467" s="116">
        <v>1350</v>
      </c>
      <c r="C467" s="116">
        <v>1343.65</v>
      </c>
      <c r="D467" s="116">
        <v>1314</v>
      </c>
      <c r="E467" s="116">
        <v>1314</v>
      </c>
      <c r="F467" s="116">
        <v>2687.3</v>
      </c>
      <c r="G467">
        <v>794</v>
      </c>
      <c r="H467" s="116"/>
      <c r="I467" s="116"/>
      <c r="L467" s="170">
        <v>42691</v>
      </c>
      <c r="M467" s="116">
        <v>1347.75</v>
      </c>
      <c r="N467" s="116">
        <v>1357</v>
      </c>
      <c r="O467" s="116">
        <v>1320.675</v>
      </c>
      <c r="P467" s="116">
        <v>1339.5</v>
      </c>
      <c r="Q467" s="116">
        <v>2695.5</v>
      </c>
      <c r="R467">
        <v>6539</v>
      </c>
    </row>
    <row r="468" spans="1:18" x14ac:dyDescent="0.25">
      <c r="A468" s="170">
        <v>42692</v>
      </c>
      <c r="B468" s="116">
        <v>1362.5</v>
      </c>
      <c r="C468" s="116">
        <v>1354.85</v>
      </c>
      <c r="D468" s="116">
        <v>1337.5</v>
      </c>
      <c r="E468" s="116">
        <v>1347.5</v>
      </c>
      <c r="F468" s="116">
        <v>2709.7</v>
      </c>
      <c r="G468">
        <v>1341</v>
      </c>
      <c r="H468" s="116"/>
      <c r="I468" s="116"/>
      <c r="L468" s="170">
        <v>42692</v>
      </c>
      <c r="M468" s="116">
        <v>1355.8</v>
      </c>
      <c r="N468" s="116">
        <v>1369.95</v>
      </c>
      <c r="O468" s="116">
        <v>1335.65</v>
      </c>
      <c r="P468" s="116">
        <v>1344.95</v>
      </c>
      <c r="Q468" s="116">
        <v>2711.6</v>
      </c>
      <c r="R468">
        <v>7160</v>
      </c>
    </row>
    <row r="469" spans="1:18" x14ac:dyDescent="0.25">
      <c r="A469" s="170">
        <v>42695</v>
      </c>
      <c r="B469" s="116">
        <v>1356.2249999999999</v>
      </c>
      <c r="C469" s="116">
        <v>1338.65</v>
      </c>
      <c r="D469" s="116">
        <v>1331</v>
      </c>
      <c r="E469" s="116">
        <v>1355</v>
      </c>
      <c r="F469" s="116">
        <v>2677.3</v>
      </c>
      <c r="G469">
        <v>1588</v>
      </c>
      <c r="H469" s="116"/>
      <c r="I469" s="116"/>
      <c r="L469" s="170">
        <v>42695</v>
      </c>
      <c r="M469" s="116">
        <v>1344.75</v>
      </c>
      <c r="N469" s="116">
        <v>1364.5</v>
      </c>
      <c r="O469" s="116">
        <v>1334</v>
      </c>
      <c r="P469" s="116">
        <v>1355.8</v>
      </c>
      <c r="Q469" s="116">
        <v>2689.5</v>
      </c>
      <c r="R469">
        <v>6167</v>
      </c>
    </row>
    <row r="470" spans="1:18" x14ac:dyDescent="0.25">
      <c r="A470" s="170">
        <v>42696</v>
      </c>
      <c r="B470" s="116">
        <v>1350</v>
      </c>
      <c r="C470" s="116">
        <v>1309.7750000000001</v>
      </c>
      <c r="D470" s="116">
        <v>1305</v>
      </c>
      <c r="E470" s="116">
        <v>1342.5250000000001</v>
      </c>
      <c r="F470" s="116">
        <v>2619.5500000000002</v>
      </c>
      <c r="G470">
        <v>1150</v>
      </c>
      <c r="H470" s="116"/>
      <c r="I470" s="116"/>
      <c r="L470" s="170">
        <v>42696</v>
      </c>
      <c r="M470" s="116">
        <v>1305.05</v>
      </c>
      <c r="N470" s="116">
        <v>1350.0250000000001</v>
      </c>
      <c r="O470" s="116">
        <v>1300</v>
      </c>
      <c r="P470" s="116">
        <v>1350.0250000000001</v>
      </c>
      <c r="Q470" s="116">
        <v>2610.1</v>
      </c>
      <c r="R470">
        <v>17780</v>
      </c>
    </row>
    <row r="471" spans="1:18" x14ac:dyDescent="0.25">
      <c r="A471" s="170">
        <v>42697</v>
      </c>
      <c r="B471" s="116">
        <v>1326.5</v>
      </c>
      <c r="C471" s="116">
        <v>1323.425</v>
      </c>
      <c r="D471" s="116">
        <v>1309</v>
      </c>
      <c r="E471" s="116">
        <v>1309.7750000000001</v>
      </c>
      <c r="F471" s="116">
        <v>2646.85</v>
      </c>
      <c r="G471">
        <v>859</v>
      </c>
      <c r="H471" s="116"/>
      <c r="I471" s="116"/>
      <c r="L471" s="170">
        <v>42697</v>
      </c>
      <c r="M471" s="116">
        <v>1328.15</v>
      </c>
      <c r="N471" s="116">
        <v>1340</v>
      </c>
      <c r="O471" s="116">
        <v>1307.0250000000001</v>
      </c>
      <c r="P471" s="116">
        <v>1309.5</v>
      </c>
      <c r="Q471" s="116">
        <v>2656.3</v>
      </c>
      <c r="R471">
        <v>4064</v>
      </c>
    </row>
    <row r="472" spans="1:18" x14ac:dyDescent="0.25">
      <c r="A472" s="170">
        <v>42698</v>
      </c>
      <c r="B472" s="116">
        <v>1333.425</v>
      </c>
      <c r="C472" s="116">
        <v>1326.15</v>
      </c>
      <c r="D472" s="116">
        <v>1313.5250000000001</v>
      </c>
      <c r="E472" s="116">
        <v>1330.5</v>
      </c>
      <c r="F472" s="116">
        <v>2652.3</v>
      </c>
      <c r="G472">
        <v>1018</v>
      </c>
      <c r="H472" s="116"/>
      <c r="I472" s="116"/>
      <c r="L472" s="170">
        <v>42698</v>
      </c>
      <c r="M472" s="116">
        <v>1332.5</v>
      </c>
      <c r="N472" s="116">
        <v>1341</v>
      </c>
      <c r="O472" s="116">
        <v>1312.4749999999999</v>
      </c>
      <c r="P472" s="116">
        <v>1315.0250000000001</v>
      </c>
      <c r="Q472" s="116">
        <v>2665</v>
      </c>
      <c r="R472">
        <v>3785</v>
      </c>
    </row>
    <row r="473" spans="1:18" x14ac:dyDescent="0.25">
      <c r="A473" s="170">
        <v>42699</v>
      </c>
      <c r="B473" s="116">
        <v>1346</v>
      </c>
      <c r="C473" s="116">
        <v>1334.625</v>
      </c>
      <c r="D473" s="116">
        <v>1311.925</v>
      </c>
      <c r="E473" s="116">
        <v>1323.5</v>
      </c>
      <c r="F473" s="116">
        <v>2669.25</v>
      </c>
      <c r="G473">
        <v>1689</v>
      </c>
      <c r="H473" s="116"/>
      <c r="I473" s="116"/>
      <c r="L473" s="170">
        <v>42699</v>
      </c>
      <c r="M473" s="116">
        <v>1339.25</v>
      </c>
      <c r="N473" s="116">
        <v>1355</v>
      </c>
      <c r="O473" s="116">
        <v>1306</v>
      </c>
      <c r="P473" s="116">
        <v>1324</v>
      </c>
      <c r="Q473" s="116">
        <v>2678.5</v>
      </c>
      <c r="R473">
        <v>21719</v>
      </c>
    </row>
    <row r="474" spans="1:18" x14ac:dyDescent="0.25">
      <c r="A474" s="170">
        <v>42702</v>
      </c>
      <c r="B474" s="116">
        <v>1365</v>
      </c>
      <c r="C474" s="116">
        <v>1360.4</v>
      </c>
      <c r="D474" s="116">
        <v>1332.5</v>
      </c>
      <c r="E474" s="116">
        <v>1335</v>
      </c>
      <c r="F474" s="116">
        <v>2720.8</v>
      </c>
      <c r="G474">
        <v>1217</v>
      </c>
      <c r="H474" s="116"/>
      <c r="I474" s="116"/>
      <c r="L474" s="170">
        <v>42702</v>
      </c>
      <c r="M474" s="116">
        <v>1362.875</v>
      </c>
      <c r="N474" s="116">
        <v>1370</v>
      </c>
      <c r="O474" s="116">
        <v>1332.4749999999999</v>
      </c>
      <c r="P474" s="116">
        <v>1337.5</v>
      </c>
      <c r="Q474" s="116">
        <v>2725.75</v>
      </c>
      <c r="R474">
        <v>5994</v>
      </c>
    </row>
    <row r="475" spans="1:18" x14ac:dyDescent="0.25">
      <c r="A475" s="170">
        <v>42703</v>
      </c>
      <c r="B475" s="116">
        <v>1363.45</v>
      </c>
      <c r="C475" s="116">
        <v>1343.2249999999999</v>
      </c>
      <c r="D475" s="116">
        <v>1340.55</v>
      </c>
      <c r="E475" s="116">
        <v>1363</v>
      </c>
      <c r="F475" s="116">
        <v>2686.45</v>
      </c>
      <c r="G475">
        <v>930</v>
      </c>
      <c r="H475" s="116"/>
      <c r="I475" s="116"/>
      <c r="L475" s="170">
        <v>42703</v>
      </c>
      <c r="M475" s="116">
        <v>1342.15</v>
      </c>
      <c r="N475" s="116">
        <v>1365.5</v>
      </c>
      <c r="O475" s="116">
        <v>1337.5</v>
      </c>
      <c r="P475" s="116">
        <v>1362.5</v>
      </c>
      <c r="Q475" s="116">
        <v>2684.3</v>
      </c>
      <c r="R475">
        <v>9940</v>
      </c>
    </row>
    <row r="476" spans="1:18" x14ac:dyDescent="0.25">
      <c r="A476" s="170">
        <v>42704</v>
      </c>
      <c r="B476" s="116">
        <v>1357.5</v>
      </c>
      <c r="C476" s="116">
        <v>1346.75</v>
      </c>
      <c r="D476" s="116">
        <v>1316</v>
      </c>
      <c r="E476" s="116">
        <v>1340.575</v>
      </c>
      <c r="F476" s="116">
        <v>2693.5</v>
      </c>
      <c r="G476">
        <v>1091</v>
      </c>
      <c r="H476" s="116"/>
      <c r="I476" s="116"/>
      <c r="L476" s="170">
        <v>42704</v>
      </c>
      <c r="M476" s="116">
        <v>1357.1</v>
      </c>
      <c r="N476" s="116">
        <v>1365</v>
      </c>
      <c r="O476" s="116">
        <v>1340.425</v>
      </c>
      <c r="P476" s="116">
        <v>1342.575</v>
      </c>
      <c r="Q476" s="116">
        <v>2714.2</v>
      </c>
      <c r="R476">
        <v>5145</v>
      </c>
    </row>
    <row r="477" spans="1:18" x14ac:dyDescent="0.25">
      <c r="A477" s="170">
        <v>42705</v>
      </c>
      <c r="B477" s="116">
        <v>1365</v>
      </c>
      <c r="C477" s="116">
        <v>1344.1</v>
      </c>
      <c r="D477" s="116">
        <v>1318.5</v>
      </c>
      <c r="E477" s="116">
        <v>1338.2</v>
      </c>
      <c r="F477" s="116">
        <v>2688.2</v>
      </c>
      <c r="G477">
        <v>1709</v>
      </c>
      <c r="H477" s="116"/>
      <c r="I477" s="116"/>
      <c r="L477" s="170">
        <v>42705</v>
      </c>
      <c r="M477" s="116">
        <v>1341.85</v>
      </c>
      <c r="N477" s="116">
        <v>1380</v>
      </c>
      <c r="O477" s="116">
        <v>1315</v>
      </c>
      <c r="P477" s="116">
        <v>1356</v>
      </c>
      <c r="Q477" s="116">
        <v>2683.7</v>
      </c>
      <c r="R477">
        <v>18542</v>
      </c>
    </row>
    <row r="478" spans="1:18" x14ac:dyDescent="0.25">
      <c r="A478" s="170">
        <v>42706</v>
      </c>
      <c r="B478" s="116">
        <v>1365</v>
      </c>
      <c r="C478" s="116">
        <v>1357.65</v>
      </c>
      <c r="D478" s="116">
        <v>1335</v>
      </c>
      <c r="E478" s="116">
        <v>1350</v>
      </c>
      <c r="F478" s="116">
        <v>2715.3</v>
      </c>
      <c r="G478">
        <v>982</v>
      </c>
      <c r="H478" s="116"/>
      <c r="I478" s="116"/>
      <c r="L478" s="170">
        <v>42706</v>
      </c>
      <c r="M478" s="116">
        <v>1360.7750000000001</v>
      </c>
      <c r="N478" s="116">
        <v>1374.25</v>
      </c>
      <c r="O478" s="116">
        <v>1342.575</v>
      </c>
      <c r="P478" s="116">
        <v>1349.4</v>
      </c>
      <c r="Q478" s="116">
        <v>2721.55</v>
      </c>
      <c r="R478">
        <v>3856</v>
      </c>
    </row>
    <row r="479" spans="1:18" x14ac:dyDescent="0.25">
      <c r="A479" s="170">
        <v>42709</v>
      </c>
      <c r="B479" s="116">
        <v>1392.5</v>
      </c>
      <c r="C479" s="116">
        <v>1385.8</v>
      </c>
      <c r="D479" s="116">
        <v>1344</v>
      </c>
      <c r="E479" s="116">
        <v>1344</v>
      </c>
      <c r="F479" s="116">
        <v>2771.6</v>
      </c>
      <c r="G479">
        <v>1613</v>
      </c>
      <c r="H479" s="116"/>
      <c r="I479" s="116"/>
      <c r="L479" s="170">
        <v>42709</v>
      </c>
      <c r="M479" s="116">
        <v>1386.75</v>
      </c>
      <c r="N479" s="116">
        <v>1393.5</v>
      </c>
      <c r="O479" s="116">
        <v>1351.5</v>
      </c>
      <c r="P479" s="116">
        <v>1363.5</v>
      </c>
      <c r="Q479" s="116">
        <v>2773.5</v>
      </c>
      <c r="R479">
        <v>8040</v>
      </c>
    </row>
    <row r="480" spans="1:18" x14ac:dyDescent="0.25">
      <c r="A480" s="170">
        <v>42710</v>
      </c>
      <c r="B480" s="116">
        <v>1385.8</v>
      </c>
      <c r="C480" s="116">
        <v>1380.4</v>
      </c>
      <c r="D480" s="116">
        <v>1365</v>
      </c>
      <c r="E480" s="116">
        <v>1382.5</v>
      </c>
      <c r="F480" s="116">
        <v>2760.8</v>
      </c>
      <c r="G480">
        <v>763</v>
      </c>
      <c r="H480" s="116"/>
      <c r="I480" s="116"/>
      <c r="L480" s="170">
        <v>42710</v>
      </c>
      <c r="M480" s="116">
        <v>1385.1</v>
      </c>
      <c r="N480" s="116">
        <v>1390</v>
      </c>
      <c r="O480" s="116">
        <v>1370.25</v>
      </c>
      <c r="P480" s="116">
        <v>1389.9749999999999</v>
      </c>
      <c r="Q480" s="116">
        <v>2770.2</v>
      </c>
      <c r="R480">
        <v>4432</v>
      </c>
    </row>
    <row r="481" spans="1:18" x14ac:dyDescent="0.25">
      <c r="A481" s="170">
        <v>42711</v>
      </c>
      <c r="B481" s="116">
        <v>1380</v>
      </c>
      <c r="C481" s="116">
        <v>1361.65</v>
      </c>
      <c r="D481" s="116">
        <v>1357</v>
      </c>
      <c r="E481" s="116">
        <v>1366.5</v>
      </c>
      <c r="F481" s="116">
        <v>2723.3</v>
      </c>
      <c r="G481">
        <v>671</v>
      </c>
      <c r="H481" s="116"/>
      <c r="I481" s="116"/>
      <c r="L481" s="170">
        <v>42711</v>
      </c>
      <c r="M481" s="116">
        <v>1367.325</v>
      </c>
      <c r="N481" s="116">
        <v>1385.5</v>
      </c>
      <c r="O481" s="116">
        <v>1352.5</v>
      </c>
      <c r="P481" s="116">
        <v>1385.5</v>
      </c>
      <c r="Q481" s="116">
        <v>2734.65</v>
      </c>
      <c r="R481">
        <v>8221</v>
      </c>
    </row>
    <row r="482" spans="1:18" x14ac:dyDescent="0.25">
      <c r="A482" s="170">
        <v>42712</v>
      </c>
      <c r="B482" s="116">
        <v>1375</v>
      </c>
      <c r="C482" s="116">
        <v>1366.3</v>
      </c>
      <c r="D482" s="116">
        <v>1358</v>
      </c>
      <c r="E482" s="116">
        <v>1358</v>
      </c>
      <c r="F482" s="116">
        <v>2732.6</v>
      </c>
      <c r="G482">
        <v>244</v>
      </c>
      <c r="H482" s="116"/>
      <c r="I482" s="116"/>
      <c r="L482" s="170">
        <v>42712</v>
      </c>
      <c r="M482" s="116">
        <v>1369.7249999999999</v>
      </c>
      <c r="N482" s="116">
        <v>1382.5</v>
      </c>
      <c r="O482" s="116">
        <v>1360.5</v>
      </c>
      <c r="P482" s="116">
        <v>1366.05</v>
      </c>
      <c r="Q482" s="116">
        <v>2739.45</v>
      </c>
      <c r="R482">
        <v>4023</v>
      </c>
    </row>
    <row r="483" spans="1:18" x14ac:dyDescent="0.25">
      <c r="A483" s="170">
        <v>42713</v>
      </c>
      <c r="B483" s="116">
        <v>1380</v>
      </c>
      <c r="C483" s="116">
        <v>1373.45</v>
      </c>
      <c r="D483" s="116">
        <v>1358.325</v>
      </c>
      <c r="E483" s="116">
        <v>1358.325</v>
      </c>
      <c r="F483" s="116">
        <v>2746.9</v>
      </c>
      <c r="G483">
        <v>1031</v>
      </c>
      <c r="H483" s="116"/>
      <c r="I483" s="116"/>
      <c r="L483" s="170">
        <v>42713</v>
      </c>
      <c r="M483" s="116">
        <v>1369.0250000000001</v>
      </c>
      <c r="N483" s="116">
        <v>1387.2</v>
      </c>
      <c r="O483" s="116">
        <v>1362.5</v>
      </c>
      <c r="P483" s="116">
        <v>1362.5</v>
      </c>
      <c r="Q483" s="116">
        <v>2738.05</v>
      </c>
      <c r="R483">
        <v>5957</v>
      </c>
    </row>
    <row r="484" spans="1:18" x14ac:dyDescent="0.25">
      <c r="A484" s="170">
        <v>42716</v>
      </c>
      <c r="B484" s="116">
        <v>1380</v>
      </c>
      <c r="C484" s="116">
        <v>1367.55</v>
      </c>
      <c r="D484" s="116">
        <v>1357.5</v>
      </c>
      <c r="E484" s="116">
        <v>1373.9749999999999</v>
      </c>
      <c r="F484" s="116">
        <v>2735.1</v>
      </c>
      <c r="G484">
        <v>683</v>
      </c>
      <c r="H484" s="116"/>
      <c r="I484" s="116"/>
      <c r="L484" s="170">
        <v>42716</v>
      </c>
      <c r="M484" s="116">
        <v>1367.875</v>
      </c>
      <c r="N484" s="116">
        <v>1372.4749999999999</v>
      </c>
      <c r="O484" s="116">
        <v>1358</v>
      </c>
      <c r="P484" s="116">
        <v>1368.4749999999999</v>
      </c>
      <c r="Q484" s="116">
        <v>2735.75</v>
      </c>
      <c r="R484">
        <v>4206</v>
      </c>
    </row>
    <row r="485" spans="1:18" x14ac:dyDescent="0.25">
      <c r="A485" s="170">
        <v>42717</v>
      </c>
      <c r="B485" s="116">
        <v>1367.4749999999999</v>
      </c>
      <c r="C485" s="116">
        <v>1365.0250000000001</v>
      </c>
      <c r="D485" s="116">
        <v>1357</v>
      </c>
      <c r="E485" s="116">
        <v>1362.5</v>
      </c>
      <c r="F485" s="116">
        <v>2730.05</v>
      </c>
      <c r="G485">
        <v>154</v>
      </c>
      <c r="H485" s="116"/>
      <c r="I485" s="116"/>
      <c r="L485" s="170">
        <v>42717</v>
      </c>
      <c r="M485" s="116">
        <v>1367.925</v>
      </c>
      <c r="N485" s="116">
        <v>1373</v>
      </c>
      <c r="O485" s="116">
        <v>1353.425</v>
      </c>
      <c r="P485" s="116">
        <v>1373</v>
      </c>
      <c r="Q485" s="116">
        <v>2735.85</v>
      </c>
      <c r="R485">
        <v>5848</v>
      </c>
    </row>
    <row r="486" spans="1:18" x14ac:dyDescent="0.25">
      <c r="A486" s="170">
        <v>42718</v>
      </c>
      <c r="B486" s="116">
        <v>1371</v>
      </c>
      <c r="C486" s="116">
        <v>1363.9</v>
      </c>
      <c r="D486" s="116">
        <v>1356</v>
      </c>
      <c r="E486" s="116">
        <v>1356</v>
      </c>
      <c r="F486" s="116">
        <v>2727.8</v>
      </c>
      <c r="G486">
        <v>295</v>
      </c>
      <c r="H486" s="116"/>
      <c r="I486" s="116"/>
      <c r="L486" s="170">
        <v>42718</v>
      </c>
      <c r="M486" s="116">
        <v>1369.75</v>
      </c>
      <c r="N486" s="116">
        <v>1379.9</v>
      </c>
      <c r="O486" s="116">
        <v>1357.5</v>
      </c>
      <c r="P486" s="116">
        <v>1365</v>
      </c>
      <c r="Q486" s="116">
        <v>2739.5</v>
      </c>
      <c r="R486">
        <v>3585</v>
      </c>
    </row>
    <row r="487" spans="1:18" x14ac:dyDescent="0.25">
      <c r="A487" s="170">
        <v>42719</v>
      </c>
      <c r="B487" s="116">
        <v>1374.5</v>
      </c>
      <c r="C487" s="116">
        <v>1363.0250000000001</v>
      </c>
      <c r="D487" s="116">
        <v>1352</v>
      </c>
      <c r="E487" s="116">
        <v>1352</v>
      </c>
      <c r="F487" s="116">
        <v>2726.05</v>
      </c>
      <c r="G487">
        <v>589</v>
      </c>
      <c r="H487" s="116"/>
      <c r="I487" s="116"/>
      <c r="L487" s="170">
        <v>42719</v>
      </c>
      <c r="M487" s="116">
        <v>1370.625</v>
      </c>
      <c r="N487" s="116">
        <v>1375</v>
      </c>
      <c r="O487" s="116">
        <v>1354.375</v>
      </c>
      <c r="P487" s="116">
        <v>1368.25</v>
      </c>
      <c r="Q487" s="116">
        <v>2741.25</v>
      </c>
      <c r="R487">
        <v>5309</v>
      </c>
    </row>
    <row r="488" spans="1:18" x14ac:dyDescent="0.25">
      <c r="A488" s="170">
        <v>42720</v>
      </c>
      <c r="B488" s="116">
        <v>1375</v>
      </c>
      <c r="C488" s="116">
        <v>1361.2</v>
      </c>
      <c r="D488" s="116">
        <v>1356.5</v>
      </c>
      <c r="E488" s="116">
        <v>1373.15</v>
      </c>
      <c r="F488" s="116">
        <v>2722.4</v>
      </c>
      <c r="G488">
        <v>640</v>
      </c>
      <c r="H488" s="116"/>
      <c r="I488" s="116"/>
      <c r="L488" s="170">
        <v>42720</v>
      </c>
      <c r="M488" s="116">
        <v>1356.15</v>
      </c>
      <c r="N488" s="116">
        <v>1373.9749999999999</v>
      </c>
      <c r="O488" s="116">
        <v>1351</v>
      </c>
      <c r="P488" s="116">
        <v>1365.125</v>
      </c>
      <c r="Q488" s="116">
        <v>2712.3</v>
      </c>
      <c r="R488">
        <v>5916</v>
      </c>
    </row>
    <row r="489" spans="1:18" x14ac:dyDescent="0.25">
      <c r="A489" s="170">
        <v>42723</v>
      </c>
      <c r="B489" s="116">
        <v>1354.9749999999999</v>
      </c>
      <c r="C489" s="116">
        <v>1349.7</v>
      </c>
      <c r="D489" s="116">
        <v>1337.5</v>
      </c>
      <c r="E489" s="116">
        <v>1352.2750000000001</v>
      </c>
      <c r="F489" s="116">
        <v>2699.4</v>
      </c>
      <c r="G489">
        <v>2386</v>
      </c>
      <c r="H489" s="116"/>
      <c r="I489" s="116"/>
      <c r="L489" s="170">
        <v>42723</v>
      </c>
      <c r="M489" s="116">
        <v>1356.4749999999999</v>
      </c>
      <c r="N489" s="116">
        <v>1367.4749999999999</v>
      </c>
      <c r="O489" s="116">
        <v>1335</v>
      </c>
      <c r="P489" s="116">
        <v>1367.4749999999999</v>
      </c>
      <c r="Q489" s="116">
        <v>2712.95</v>
      </c>
      <c r="R489">
        <v>5821</v>
      </c>
    </row>
    <row r="490" spans="1:18" x14ac:dyDescent="0.25">
      <c r="A490" s="170">
        <v>42724</v>
      </c>
      <c r="B490" s="116">
        <v>1361.95</v>
      </c>
      <c r="C490" s="116">
        <v>1351.8</v>
      </c>
      <c r="D490" s="116">
        <v>1345.0250000000001</v>
      </c>
      <c r="E490" s="116">
        <v>1351</v>
      </c>
      <c r="F490" s="116">
        <v>2703.6</v>
      </c>
      <c r="G490">
        <v>304</v>
      </c>
      <c r="H490" s="116"/>
      <c r="I490" s="116"/>
      <c r="L490" s="170">
        <v>42724</v>
      </c>
      <c r="M490" s="116">
        <v>1354.9749999999999</v>
      </c>
      <c r="N490" s="116">
        <v>1359.8</v>
      </c>
      <c r="O490" s="116">
        <v>1346</v>
      </c>
      <c r="P490" s="116">
        <v>1349.5</v>
      </c>
      <c r="Q490" s="116">
        <v>2709.95</v>
      </c>
      <c r="R490">
        <v>3394</v>
      </c>
    </row>
    <row r="491" spans="1:18" x14ac:dyDescent="0.25">
      <c r="A491" s="170">
        <v>42725</v>
      </c>
      <c r="B491" s="116">
        <v>1371</v>
      </c>
      <c r="C491" s="116">
        <v>1360.7750000000001</v>
      </c>
      <c r="D491" s="116">
        <v>1349.5</v>
      </c>
      <c r="E491" s="116">
        <v>1360</v>
      </c>
      <c r="F491" s="116">
        <v>2721.55</v>
      </c>
      <c r="G491">
        <v>976</v>
      </c>
      <c r="H491" s="116"/>
      <c r="I491" s="116"/>
      <c r="L491" s="170">
        <v>42725</v>
      </c>
      <c r="M491" s="116">
        <v>1362.175</v>
      </c>
      <c r="N491" s="116">
        <v>1380</v>
      </c>
      <c r="O491" s="116">
        <v>1346.0250000000001</v>
      </c>
      <c r="P491" s="116">
        <v>1358.5</v>
      </c>
      <c r="Q491" s="116">
        <v>2724.35</v>
      </c>
      <c r="R491">
        <v>17305</v>
      </c>
    </row>
    <row r="492" spans="1:18" x14ac:dyDescent="0.25">
      <c r="A492" s="170">
        <v>42726</v>
      </c>
      <c r="B492" s="116">
        <v>1357.9749999999999</v>
      </c>
      <c r="C492" s="116">
        <v>1353.25</v>
      </c>
      <c r="D492" s="116">
        <v>1346.5</v>
      </c>
      <c r="E492" s="116">
        <v>1357.9749999999999</v>
      </c>
      <c r="F492" s="116">
        <v>2706.5</v>
      </c>
      <c r="G492">
        <v>435</v>
      </c>
      <c r="H492" s="116"/>
      <c r="I492" s="116"/>
      <c r="L492" s="170">
        <v>42726</v>
      </c>
      <c r="M492" s="116">
        <v>1356.75</v>
      </c>
      <c r="N492" s="116">
        <v>1360.95</v>
      </c>
      <c r="O492" s="116">
        <v>1347.625</v>
      </c>
      <c r="P492" s="116">
        <v>1350.5</v>
      </c>
      <c r="Q492" s="116">
        <v>2713.5</v>
      </c>
      <c r="R492">
        <v>5413</v>
      </c>
    </row>
    <row r="493" spans="1:18" x14ac:dyDescent="0.25">
      <c r="A493" s="170">
        <v>42727</v>
      </c>
      <c r="B493" s="116">
        <v>1367.5</v>
      </c>
      <c r="C493" s="116">
        <v>1359.2249999999999</v>
      </c>
      <c r="D493" s="116">
        <v>1348.5</v>
      </c>
      <c r="E493" s="116">
        <v>1353.25</v>
      </c>
      <c r="F493" s="116">
        <v>2718.45</v>
      </c>
      <c r="G493">
        <v>404</v>
      </c>
      <c r="H493" s="116"/>
      <c r="I493" s="116"/>
      <c r="L493" s="170">
        <v>42727</v>
      </c>
      <c r="M493" s="116">
        <v>1363.5</v>
      </c>
      <c r="N493" s="116">
        <v>1397.35</v>
      </c>
      <c r="O493" s="116">
        <v>1350.35</v>
      </c>
      <c r="P493" s="116">
        <v>1354.95</v>
      </c>
      <c r="Q493" s="116">
        <v>2727</v>
      </c>
      <c r="R493">
        <v>11153</v>
      </c>
    </row>
    <row r="494" spans="1:18" x14ac:dyDescent="0.25">
      <c r="A494" s="170">
        <v>42730</v>
      </c>
      <c r="B494" s="116">
        <v>1364.4</v>
      </c>
      <c r="C494" s="116">
        <v>1352.875</v>
      </c>
      <c r="D494" s="116">
        <v>1332.5</v>
      </c>
      <c r="E494" s="116">
        <v>1348</v>
      </c>
      <c r="F494" s="116">
        <v>2705.75</v>
      </c>
      <c r="G494">
        <v>1295</v>
      </c>
      <c r="H494" s="116"/>
      <c r="I494" s="116"/>
      <c r="L494" s="170">
        <v>42730</v>
      </c>
      <c r="M494" s="116">
        <v>1361.75</v>
      </c>
      <c r="N494" s="116">
        <v>1370</v>
      </c>
      <c r="O494" s="116">
        <v>1338.5</v>
      </c>
      <c r="P494" s="116">
        <v>1351.5</v>
      </c>
      <c r="Q494" s="116">
        <v>2723.5</v>
      </c>
      <c r="R494">
        <v>3953</v>
      </c>
    </row>
    <row r="495" spans="1:18" x14ac:dyDescent="0.25">
      <c r="A495" s="170">
        <v>42731</v>
      </c>
      <c r="B495" s="116">
        <v>1361.75</v>
      </c>
      <c r="C495" s="116">
        <v>1350.75</v>
      </c>
      <c r="D495" s="116">
        <v>1338</v>
      </c>
      <c r="E495" s="116">
        <v>1360.35</v>
      </c>
      <c r="F495" s="116">
        <v>2701.5</v>
      </c>
      <c r="G495">
        <v>657</v>
      </c>
      <c r="H495" s="116"/>
      <c r="I495" s="116"/>
      <c r="L495" s="170">
        <v>42731</v>
      </c>
      <c r="M495" s="116">
        <v>1350.875</v>
      </c>
      <c r="N495" s="116">
        <v>1362.5</v>
      </c>
      <c r="O495" s="116">
        <v>1341.5</v>
      </c>
      <c r="P495" s="116">
        <v>1361.4749999999999</v>
      </c>
      <c r="Q495" s="116">
        <v>2701.75</v>
      </c>
      <c r="R495">
        <v>10600</v>
      </c>
    </row>
    <row r="496" spans="1:18" x14ac:dyDescent="0.25">
      <c r="A496" s="170">
        <v>42732</v>
      </c>
      <c r="B496" s="116">
        <v>1357.9</v>
      </c>
      <c r="C496" s="116">
        <v>1347.125</v>
      </c>
      <c r="D496" s="116">
        <v>1338.075</v>
      </c>
      <c r="E496" s="116">
        <v>1338.075</v>
      </c>
      <c r="F496" s="116">
        <v>2694.25</v>
      </c>
      <c r="G496">
        <v>651</v>
      </c>
      <c r="H496" s="116"/>
      <c r="I496" s="116"/>
      <c r="L496" s="170">
        <v>42732</v>
      </c>
      <c r="M496" s="116">
        <v>1351.075</v>
      </c>
      <c r="N496" s="116">
        <v>1359</v>
      </c>
      <c r="O496" s="116">
        <v>1345</v>
      </c>
      <c r="P496" s="116">
        <v>1350.875</v>
      </c>
      <c r="Q496" s="116">
        <v>2702.15</v>
      </c>
      <c r="R496">
        <v>6050</v>
      </c>
    </row>
    <row r="497" spans="1:18" x14ac:dyDescent="0.25">
      <c r="A497" s="170">
        <v>42733</v>
      </c>
      <c r="B497" s="116">
        <v>1362.5</v>
      </c>
      <c r="C497" s="116">
        <v>1359.9</v>
      </c>
      <c r="D497" s="116">
        <v>1346</v>
      </c>
      <c r="E497" s="116">
        <v>1350</v>
      </c>
      <c r="F497" s="116">
        <v>2719.8</v>
      </c>
      <c r="G497">
        <v>368</v>
      </c>
      <c r="H497" s="116"/>
      <c r="I497" s="116"/>
      <c r="L497" s="170">
        <v>42733</v>
      </c>
      <c r="M497" s="116">
        <v>1363.95</v>
      </c>
      <c r="N497" s="116">
        <v>1369.5</v>
      </c>
      <c r="O497" s="116">
        <v>1345.9749999999999</v>
      </c>
      <c r="P497" s="116">
        <v>1351.0250000000001</v>
      </c>
      <c r="Q497" s="116">
        <v>2727.9</v>
      </c>
      <c r="R497">
        <v>7649</v>
      </c>
    </row>
    <row r="498" spans="1:18" x14ac:dyDescent="0.25">
      <c r="A498" s="170">
        <v>42734</v>
      </c>
      <c r="B498" s="116">
        <v>1375</v>
      </c>
      <c r="C498" s="116">
        <v>1365.175</v>
      </c>
      <c r="D498" s="116">
        <v>1333.425</v>
      </c>
      <c r="E498" s="116">
        <v>1365</v>
      </c>
      <c r="F498" s="116">
        <v>2730.35</v>
      </c>
      <c r="G498">
        <v>760</v>
      </c>
      <c r="H498" s="116"/>
      <c r="I498" s="116"/>
      <c r="L498" s="170">
        <v>42734</v>
      </c>
      <c r="M498" s="116">
        <v>1364.9</v>
      </c>
      <c r="N498" s="116">
        <v>1370.2249999999999</v>
      </c>
      <c r="O498" s="116">
        <v>1352.5</v>
      </c>
      <c r="P498" s="116">
        <v>1365</v>
      </c>
      <c r="Q498" s="116">
        <v>2729.8</v>
      </c>
      <c r="R498">
        <v>6513</v>
      </c>
    </row>
    <row r="499" spans="1:18" x14ac:dyDescent="0.25">
      <c r="A499" s="170">
        <v>42737</v>
      </c>
      <c r="B499" s="116">
        <v>1369.425</v>
      </c>
      <c r="C499" s="116">
        <v>1363.7249999999999</v>
      </c>
      <c r="D499" s="116">
        <v>1357.5</v>
      </c>
      <c r="E499" s="116">
        <v>1369.425</v>
      </c>
      <c r="F499" s="116">
        <v>2727.45</v>
      </c>
      <c r="G499">
        <v>519</v>
      </c>
      <c r="H499" s="116"/>
      <c r="I499" s="116"/>
      <c r="L499" s="170">
        <v>42737</v>
      </c>
      <c r="M499" s="116">
        <v>1365.25</v>
      </c>
      <c r="N499" s="116">
        <v>1366</v>
      </c>
      <c r="O499" s="116">
        <v>1355.9</v>
      </c>
      <c r="P499" s="116">
        <v>1362.5</v>
      </c>
      <c r="Q499" s="116">
        <v>2730.5</v>
      </c>
      <c r="R499">
        <v>2424</v>
      </c>
    </row>
    <row r="500" spans="1:18" x14ac:dyDescent="0.25">
      <c r="A500" s="170">
        <v>42738</v>
      </c>
      <c r="B500" s="116">
        <v>1372.5</v>
      </c>
      <c r="C500" s="116">
        <v>1370.0250000000001</v>
      </c>
      <c r="D500" s="116">
        <v>1357.5</v>
      </c>
      <c r="E500" s="116">
        <v>1362</v>
      </c>
      <c r="F500" s="116">
        <v>2740.05</v>
      </c>
      <c r="G500">
        <v>420</v>
      </c>
      <c r="H500" s="116"/>
      <c r="I500" s="116"/>
      <c r="L500" s="170">
        <v>42738</v>
      </c>
      <c r="M500" s="116">
        <v>1372.7750000000001</v>
      </c>
      <c r="N500" s="116">
        <v>1376.0250000000001</v>
      </c>
      <c r="O500" s="116">
        <v>1352.6</v>
      </c>
      <c r="P500" s="116">
        <v>1371.9749999999999</v>
      </c>
      <c r="Q500" s="116">
        <v>2745.55</v>
      </c>
      <c r="R500">
        <v>3567</v>
      </c>
    </row>
    <row r="501" spans="1:18" x14ac:dyDescent="0.25">
      <c r="A501" s="170">
        <v>42739</v>
      </c>
      <c r="B501" s="116">
        <v>1375</v>
      </c>
      <c r="C501" s="116">
        <v>1373.425</v>
      </c>
      <c r="D501" s="116">
        <v>1363.45</v>
      </c>
      <c r="E501" s="116">
        <v>1370</v>
      </c>
      <c r="F501" s="116">
        <v>2746.85</v>
      </c>
      <c r="G501">
        <v>359</v>
      </c>
      <c r="H501" s="116"/>
      <c r="I501" s="116"/>
      <c r="L501" s="170">
        <v>42739</v>
      </c>
      <c r="M501" s="116">
        <v>1374</v>
      </c>
      <c r="N501" s="116">
        <v>1375.5</v>
      </c>
      <c r="O501" s="116">
        <v>1366.9</v>
      </c>
      <c r="P501" s="116">
        <v>1372.9749999999999</v>
      </c>
      <c r="Q501" s="116">
        <v>2748</v>
      </c>
      <c r="R501">
        <v>2402</v>
      </c>
    </row>
    <row r="502" spans="1:18" x14ac:dyDescent="0.25">
      <c r="A502" s="170">
        <v>42740</v>
      </c>
      <c r="B502" s="116">
        <v>1375</v>
      </c>
      <c r="C502" s="116">
        <v>1364.2</v>
      </c>
      <c r="D502" s="116">
        <v>1362</v>
      </c>
      <c r="E502" s="116">
        <v>1370</v>
      </c>
      <c r="F502" s="116">
        <v>2728.4</v>
      </c>
      <c r="G502">
        <v>1847</v>
      </c>
      <c r="H502" s="116"/>
      <c r="I502" s="116"/>
      <c r="L502" s="170">
        <v>42740</v>
      </c>
      <c r="M502" s="116">
        <v>1369.65</v>
      </c>
      <c r="N502" s="116">
        <v>1380.0250000000001</v>
      </c>
      <c r="O502" s="116">
        <v>1365</v>
      </c>
      <c r="P502" s="116">
        <v>1365.0250000000001</v>
      </c>
      <c r="Q502" s="116">
        <v>2739.3</v>
      </c>
      <c r="R502">
        <v>4525</v>
      </c>
    </row>
    <row r="503" spans="1:18" x14ac:dyDescent="0.25">
      <c r="A503" s="170">
        <v>42741</v>
      </c>
      <c r="B503" s="116">
        <v>1370</v>
      </c>
      <c r="C503" s="116">
        <v>1357.7249999999999</v>
      </c>
      <c r="D503" s="116">
        <v>1353.425</v>
      </c>
      <c r="E503" s="116">
        <v>1370</v>
      </c>
      <c r="F503" s="116">
        <v>2715.45</v>
      </c>
      <c r="G503">
        <v>1352</v>
      </c>
      <c r="H503" s="116"/>
      <c r="I503" s="116"/>
      <c r="L503" s="170">
        <v>42741</v>
      </c>
      <c r="M503" s="116">
        <v>1363.075</v>
      </c>
      <c r="N503" s="116">
        <v>1371.8</v>
      </c>
      <c r="O503" s="116">
        <v>1357.5</v>
      </c>
      <c r="P503" s="116">
        <v>1371.8</v>
      </c>
      <c r="Q503" s="116">
        <v>2726.15</v>
      </c>
      <c r="R503">
        <v>3982</v>
      </c>
    </row>
    <row r="504" spans="1:18" x14ac:dyDescent="0.25">
      <c r="A504" s="170">
        <v>42744</v>
      </c>
      <c r="B504" s="116">
        <v>1362.5</v>
      </c>
      <c r="C504" s="116">
        <v>1354.55</v>
      </c>
      <c r="D504" s="116">
        <v>1350.5</v>
      </c>
      <c r="E504" s="116">
        <v>1360</v>
      </c>
      <c r="F504" s="116">
        <v>2709.1</v>
      </c>
      <c r="G504">
        <v>1700</v>
      </c>
      <c r="H504" s="116"/>
      <c r="I504" s="116"/>
      <c r="L504" s="170">
        <v>42744</v>
      </c>
      <c r="M504" s="116">
        <v>1362.05</v>
      </c>
      <c r="N504" s="116">
        <v>1365.5</v>
      </c>
      <c r="O504" s="116">
        <v>1354.45</v>
      </c>
      <c r="P504" s="116">
        <v>1364</v>
      </c>
      <c r="Q504" s="116">
        <v>2724.1</v>
      </c>
      <c r="R504">
        <v>2952</v>
      </c>
    </row>
    <row r="505" spans="1:18" x14ac:dyDescent="0.25">
      <c r="A505" s="170">
        <v>42745</v>
      </c>
      <c r="B505" s="116">
        <v>1372.0250000000001</v>
      </c>
      <c r="C505" s="116">
        <v>1365.7</v>
      </c>
      <c r="D505" s="116">
        <v>1349.7</v>
      </c>
      <c r="E505" s="116">
        <v>1354.5</v>
      </c>
      <c r="F505" s="116">
        <v>2731.4</v>
      </c>
      <c r="G505">
        <v>1081</v>
      </c>
      <c r="H505" s="116"/>
      <c r="I505" s="116"/>
      <c r="L505" s="170">
        <v>42745</v>
      </c>
      <c r="M505" s="116">
        <v>1364.575</v>
      </c>
      <c r="N505" s="116">
        <v>1371.65</v>
      </c>
      <c r="O505" s="116">
        <v>1355</v>
      </c>
      <c r="P505" s="116">
        <v>1361</v>
      </c>
      <c r="Q505" s="116">
        <v>2729.15</v>
      </c>
      <c r="R505">
        <v>5602</v>
      </c>
    </row>
    <row r="506" spans="1:18" x14ac:dyDescent="0.25">
      <c r="A506" s="170">
        <v>42746</v>
      </c>
      <c r="B506" s="116">
        <v>1364</v>
      </c>
      <c r="C506" s="116">
        <v>1361.175</v>
      </c>
      <c r="D506" s="116">
        <v>1355</v>
      </c>
      <c r="E506" s="116">
        <v>1362.5</v>
      </c>
      <c r="F506" s="116">
        <v>2722.35</v>
      </c>
      <c r="G506">
        <v>559</v>
      </c>
      <c r="H506" s="116"/>
      <c r="I506" s="116"/>
      <c r="L506" s="170">
        <v>42746</v>
      </c>
      <c r="M506" s="116">
        <v>1361.675</v>
      </c>
      <c r="N506" s="116">
        <v>1367.4749999999999</v>
      </c>
      <c r="O506" s="116">
        <v>1355.65</v>
      </c>
      <c r="P506" s="116">
        <v>1355.675</v>
      </c>
      <c r="Q506" s="116">
        <v>2723.35</v>
      </c>
      <c r="R506">
        <v>5418</v>
      </c>
    </row>
    <row r="507" spans="1:18" x14ac:dyDescent="0.25">
      <c r="A507" s="170">
        <v>42747</v>
      </c>
      <c r="B507" s="116">
        <v>1362.5</v>
      </c>
      <c r="C507" s="116">
        <v>1358.075</v>
      </c>
      <c r="D507" s="116">
        <v>1350</v>
      </c>
      <c r="E507" s="116">
        <v>1362.5</v>
      </c>
      <c r="F507" s="116">
        <v>2716.15</v>
      </c>
      <c r="G507">
        <v>859</v>
      </c>
      <c r="H507" s="116"/>
      <c r="I507" s="116"/>
      <c r="L507" s="170">
        <v>42747</v>
      </c>
      <c r="M507" s="116">
        <v>1360.675</v>
      </c>
      <c r="N507" s="116">
        <v>1367.35</v>
      </c>
      <c r="O507" s="116">
        <v>1352.5</v>
      </c>
      <c r="P507" s="116">
        <v>1360</v>
      </c>
      <c r="Q507" s="116">
        <v>2721.35</v>
      </c>
      <c r="R507">
        <v>6275</v>
      </c>
    </row>
    <row r="508" spans="1:18" x14ac:dyDescent="0.25">
      <c r="A508" s="170">
        <v>42748</v>
      </c>
      <c r="B508" s="116">
        <v>1366.5</v>
      </c>
      <c r="C508" s="116">
        <v>1353.6</v>
      </c>
      <c r="D508" s="116">
        <v>1350</v>
      </c>
      <c r="E508" s="116">
        <v>1360</v>
      </c>
      <c r="F508" s="116">
        <v>2707.2</v>
      </c>
      <c r="G508">
        <v>1626</v>
      </c>
      <c r="H508" s="116"/>
      <c r="I508" s="116"/>
      <c r="L508" s="170">
        <v>42748</v>
      </c>
      <c r="M508" s="116">
        <v>1359.2750000000001</v>
      </c>
      <c r="N508" s="116">
        <v>1366.5</v>
      </c>
      <c r="O508" s="116">
        <v>1355.5</v>
      </c>
      <c r="P508" s="116">
        <v>1357.5250000000001</v>
      </c>
      <c r="Q508" s="116">
        <v>2718.55</v>
      </c>
      <c r="R508">
        <v>4965</v>
      </c>
    </row>
    <row r="509" spans="1:18" x14ac:dyDescent="0.25">
      <c r="A509" s="170">
        <v>42751</v>
      </c>
      <c r="B509" s="116">
        <v>1369.7249999999999</v>
      </c>
      <c r="C509" s="116">
        <v>1363.65</v>
      </c>
      <c r="D509" s="116">
        <v>1354</v>
      </c>
      <c r="E509" s="116">
        <v>1360</v>
      </c>
      <c r="F509" s="116">
        <v>2727.3</v>
      </c>
      <c r="G509">
        <v>843</v>
      </c>
      <c r="H509" s="116"/>
      <c r="I509" s="116"/>
      <c r="L509" s="170">
        <v>42751</v>
      </c>
      <c r="M509" s="116">
        <v>1366.25</v>
      </c>
      <c r="N509" s="116">
        <v>1371.4749999999999</v>
      </c>
      <c r="O509" s="116">
        <v>1355.5250000000001</v>
      </c>
      <c r="P509" s="116">
        <v>1355.5250000000001</v>
      </c>
      <c r="Q509" s="116">
        <v>2732.5</v>
      </c>
      <c r="R509">
        <v>4151</v>
      </c>
    </row>
    <row r="510" spans="1:18" x14ac:dyDescent="0.25">
      <c r="A510" s="170">
        <v>42752</v>
      </c>
      <c r="B510" s="116">
        <v>1367</v>
      </c>
      <c r="C510" s="116">
        <v>1358.175</v>
      </c>
      <c r="D510" s="116">
        <v>1354</v>
      </c>
      <c r="E510" s="116">
        <v>1359.5</v>
      </c>
      <c r="F510" s="116">
        <v>2716.35</v>
      </c>
      <c r="G510">
        <v>1101</v>
      </c>
      <c r="H510" s="116"/>
      <c r="I510" s="116"/>
      <c r="L510" s="170">
        <v>42752</v>
      </c>
      <c r="M510" s="116">
        <v>1362.2249999999999</v>
      </c>
      <c r="N510" s="116">
        <v>1369.8</v>
      </c>
      <c r="O510" s="116">
        <v>1356.25</v>
      </c>
      <c r="P510" s="116">
        <v>1367.625</v>
      </c>
      <c r="Q510" s="116">
        <v>2724.45</v>
      </c>
      <c r="R510">
        <v>4769</v>
      </c>
    </row>
    <row r="511" spans="1:18" x14ac:dyDescent="0.25">
      <c r="A511" s="170">
        <v>42753</v>
      </c>
      <c r="B511" s="116">
        <v>1379.125</v>
      </c>
      <c r="C511" s="116">
        <v>1372.375</v>
      </c>
      <c r="D511" s="116">
        <v>1355</v>
      </c>
      <c r="E511" s="116">
        <v>1361.9</v>
      </c>
      <c r="F511" s="116">
        <v>2744.75</v>
      </c>
      <c r="G511">
        <v>1067</v>
      </c>
      <c r="H511" s="116"/>
      <c r="I511" s="116"/>
      <c r="L511" s="170">
        <v>42753</v>
      </c>
      <c r="M511" s="116">
        <v>1374.9</v>
      </c>
      <c r="N511" s="116">
        <v>1387.1</v>
      </c>
      <c r="O511" s="116">
        <v>1357.5</v>
      </c>
      <c r="P511" s="116">
        <v>1360.9749999999999</v>
      </c>
      <c r="Q511" s="116">
        <v>2749.8</v>
      </c>
      <c r="R511">
        <v>5209</v>
      </c>
    </row>
    <row r="512" spans="1:18" x14ac:dyDescent="0.25">
      <c r="A512" s="170">
        <v>42754</v>
      </c>
      <c r="B512" s="116">
        <v>1379.5</v>
      </c>
      <c r="C512" s="116">
        <v>1375.125</v>
      </c>
      <c r="D512" s="116">
        <v>1365</v>
      </c>
      <c r="E512" s="116">
        <v>1372.375</v>
      </c>
      <c r="F512" s="116">
        <v>2750.25</v>
      </c>
      <c r="G512">
        <v>721</v>
      </c>
      <c r="H512" s="116"/>
      <c r="I512" s="116"/>
      <c r="L512" s="170">
        <v>42754</v>
      </c>
      <c r="M512" s="116">
        <v>1379</v>
      </c>
      <c r="N512" s="116">
        <v>1382.5</v>
      </c>
      <c r="O512" s="116">
        <v>1365.5</v>
      </c>
      <c r="P512" s="116">
        <v>1368.7750000000001</v>
      </c>
      <c r="Q512" s="116">
        <v>2758</v>
      </c>
      <c r="R512">
        <v>5506</v>
      </c>
    </row>
    <row r="513" spans="1:18" x14ac:dyDescent="0.25">
      <c r="A513" s="170">
        <v>42755</v>
      </c>
      <c r="B513" s="116">
        <v>1379.4</v>
      </c>
      <c r="C513" s="116">
        <v>1376.05</v>
      </c>
      <c r="D513" s="116">
        <v>1368</v>
      </c>
      <c r="E513" s="116">
        <v>1374</v>
      </c>
      <c r="F513" s="116">
        <v>2752.1</v>
      </c>
      <c r="G513">
        <v>1497</v>
      </c>
      <c r="H513" s="116"/>
      <c r="I513" s="116"/>
      <c r="L513" s="170">
        <v>42755</v>
      </c>
      <c r="M513" s="116">
        <v>1378.425</v>
      </c>
      <c r="N513" s="116">
        <v>1382.5</v>
      </c>
      <c r="O513" s="116">
        <v>1365.5250000000001</v>
      </c>
      <c r="P513" s="116">
        <v>1365.5250000000001</v>
      </c>
      <c r="Q513" s="116">
        <v>2756.85</v>
      </c>
      <c r="R513">
        <v>5016</v>
      </c>
    </row>
    <row r="514" spans="1:18" x14ac:dyDescent="0.25">
      <c r="A514" s="170">
        <v>42758</v>
      </c>
      <c r="B514" s="116">
        <v>1376</v>
      </c>
      <c r="C514" s="116">
        <v>1361.1</v>
      </c>
      <c r="D514" s="116">
        <v>1358</v>
      </c>
      <c r="E514" s="116">
        <v>1376</v>
      </c>
      <c r="F514" s="116">
        <v>2722.2</v>
      </c>
      <c r="G514">
        <v>644</v>
      </c>
      <c r="H514" s="116"/>
      <c r="I514" s="116"/>
      <c r="L514" s="170">
        <v>42758</v>
      </c>
      <c r="M514" s="116">
        <v>1363.5250000000001</v>
      </c>
      <c r="N514" s="116">
        <v>1380</v>
      </c>
      <c r="O514" s="116">
        <v>1358.25</v>
      </c>
      <c r="P514" s="116">
        <v>1371.0250000000001</v>
      </c>
      <c r="Q514" s="116">
        <v>2727.05</v>
      </c>
      <c r="R514">
        <v>5061</v>
      </c>
    </row>
    <row r="515" spans="1:18" x14ac:dyDescent="0.25">
      <c r="A515" s="170">
        <v>42759</v>
      </c>
      <c r="B515" s="116">
        <v>1365</v>
      </c>
      <c r="C515" s="116">
        <v>1358.5250000000001</v>
      </c>
      <c r="D515" s="116">
        <v>1351.5</v>
      </c>
      <c r="E515" s="116">
        <v>1361</v>
      </c>
      <c r="F515" s="116">
        <v>2717.05</v>
      </c>
      <c r="G515">
        <v>1091</v>
      </c>
      <c r="H515" s="116"/>
      <c r="I515" s="116"/>
      <c r="L515" s="170">
        <v>42759</v>
      </c>
      <c r="M515" s="116">
        <v>1361.2</v>
      </c>
      <c r="N515" s="116">
        <v>1377.5</v>
      </c>
      <c r="O515" s="116">
        <v>1355</v>
      </c>
      <c r="P515" s="116">
        <v>1368.9749999999999</v>
      </c>
      <c r="Q515" s="116">
        <v>2722.4</v>
      </c>
      <c r="R515">
        <v>5581</v>
      </c>
    </row>
    <row r="516" spans="1:18" x14ac:dyDescent="0.25">
      <c r="A516" s="170">
        <v>42760</v>
      </c>
      <c r="B516" s="116">
        <v>1366.5250000000001</v>
      </c>
      <c r="C516" s="116">
        <v>1363.2249999999999</v>
      </c>
      <c r="D516" s="116">
        <v>1358.5250000000001</v>
      </c>
      <c r="E516" s="116">
        <v>1362.5</v>
      </c>
      <c r="F516" s="116">
        <v>2726.45</v>
      </c>
      <c r="G516">
        <v>481</v>
      </c>
      <c r="H516" s="116"/>
      <c r="I516" s="116"/>
      <c r="L516" s="170">
        <v>42760</v>
      </c>
      <c r="M516" s="116">
        <v>1364.125</v>
      </c>
      <c r="N516" s="116">
        <v>1369.95</v>
      </c>
      <c r="O516" s="116">
        <v>1360</v>
      </c>
      <c r="P516" s="116">
        <v>1363.5</v>
      </c>
      <c r="Q516" s="116">
        <v>2728.25</v>
      </c>
      <c r="R516">
        <v>7644</v>
      </c>
    </row>
    <row r="517" spans="1:18" x14ac:dyDescent="0.25">
      <c r="A517" s="170">
        <v>42762</v>
      </c>
      <c r="B517" s="116">
        <v>1379.95</v>
      </c>
      <c r="C517" s="116">
        <v>1366.2</v>
      </c>
      <c r="D517" s="116">
        <v>1350</v>
      </c>
      <c r="E517" s="116">
        <v>1363.2249999999999</v>
      </c>
      <c r="F517" s="116">
        <v>2732.4</v>
      </c>
      <c r="G517">
        <v>1366</v>
      </c>
      <c r="H517" s="116"/>
      <c r="I517" s="116"/>
      <c r="L517" s="170">
        <v>42762</v>
      </c>
      <c r="M517" s="116">
        <v>1371.925</v>
      </c>
      <c r="N517" s="116">
        <v>1387</v>
      </c>
      <c r="O517" s="116">
        <v>1355</v>
      </c>
      <c r="P517" s="116">
        <v>1360</v>
      </c>
      <c r="Q517" s="116">
        <v>2743.85</v>
      </c>
      <c r="R517">
        <v>10898</v>
      </c>
    </row>
    <row r="518" spans="1:18" x14ac:dyDescent="0.25">
      <c r="A518" s="170">
        <v>42765</v>
      </c>
      <c r="B518" s="116">
        <v>1374.5</v>
      </c>
      <c r="C518" s="116">
        <v>1363.75</v>
      </c>
      <c r="D518" s="116">
        <v>1360</v>
      </c>
      <c r="E518" s="116">
        <v>1374.5</v>
      </c>
      <c r="F518" s="116">
        <v>2727.5</v>
      </c>
      <c r="G518">
        <v>909</v>
      </c>
      <c r="H518" s="116"/>
      <c r="I518" s="116"/>
      <c r="L518" s="170">
        <v>42765</v>
      </c>
      <c r="M518" s="116">
        <v>1369</v>
      </c>
      <c r="N518" s="116">
        <v>1375</v>
      </c>
      <c r="O518" s="116">
        <v>1361.675</v>
      </c>
      <c r="P518" s="116">
        <v>1374.5</v>
      </c>
      <c r="Q518" s="116">
        <v>2738</v>
      </c>
      <c r="R518">
        <v>5618</v>
      </c>
    </row>
    <row r="519" spans="1:18" x14ac:dyDescent="0.25">
      <c r="A519" s="170">
        <v>42766</v>
      </c>
      <c r="B519" s="116">
        <v>1365</v>
      </c>
      <c r="C519" s="116">
        <v>1358.075</v>
      </c>
      <c r="D519" s="116">
        <v>1353.5</v>
      </c>
      <c r="E519" s="116">
        <v>1363</v>
      </c>
      <c r="F519" s="116">
        <v>2716.15</v>
      </c>
      <c r="G519">
        <v>1193</v>
      </c>
      <c r="H519" s="116"/>
      <c r="I519" s="116"/>
      <c r="L519" s="170">
        <v>42766</v>
      </c>
      <c r="M519" s="116">
        <v>1362.05</v>
      </c>
      <c r="N519" s="116">
        <v>1366.45</v>
      </c>
      <c r="O519" s="116">
        <v>1355</v>
      </c>
      <c r="P519" s="116">
        <v>1363.55</v>
      </c>
      <c r="Q519" s="116">
        <v>2724.1</v>
      </c>
      <c r="R519">
        <v>5372</v>
      </c>
    </row>
    <row r="520" spans="1:18" x14ac:dyDescent="0.25">
      <c r="A520" s="170">
        <v>42767</v>
      </c>
      <c r="B520" s="116">
        <v>1365</v>
      </c>
      <c r="C520" s="116">
        <v>1361.3</v>
      </c>
      <c r="D520" s="116">
        <v>1350</v>
      </c>
      <c r="E520" s="116">
        <v>1358</v>
      </c>
      <c r="F520" s="116">
        <v>2722.6</v>
      </c>
      <c r="G520">
        <v>994</v>
      </c>
      <c r="H520" s="116"/>
      <c r="I520" s="116"/>
      <c r="L520" s="170">
        <v>42767</v>
      </c>
      <c r="M520" s="116">
        <v>1359.2750000000001</v>
      </c>
      <c r="N520" s="116">
        <v>1363.5</v>
      </c>
      <c r="O520" s="116">
        <v>1349.0250000000001</v>
      </c>
      <c r="P520" s="116">
        <v>1356.675</v>
      </c>
      <c r="Q520" s="116">
        <v>2718.55</v>
      </c>
      <c r="R520">
        <v>5661</v>
      </c>
    </row>
    <row r="521" spans="1:18" x14ac:dyDescent="0.25">
      <c r="A521" s="170">
        <v>42768</v>
      </c>
      <c r="B521" s="116">
        <v>1363.9749999999999</v>
      </c>
      <c r="C521" s="116">
        <v>1340.7750000000001</v>
      </c>
      <c r="D521" s="116">
        <v>1337.4749999999999</v>
      </c>
      <c r="E521" s="116">
        <v>1350.65</v>
      </c>
      <c r="F521" s="116">
        <v>2681.55</v>
      </c>
      <c r="G521">
        <v>2105</v>
      </c>
      <c r="H521" s="116"/>
      <c r="I521" s="116"/>
      <c r="L521" s="170">
        <v>42768</v>
      </c>
      <c r="M521" s="116">
        <v>1343.4</v>
      </c>
      <c r="N521" s="116">
        <v>1359.2750000000001</v>
      </c>
      <c r="O521" s="116">
        <v>1339.85</v>
      </c>
      <c r="P521" s="116">
        <v>1355.2</v>
      </c>
      <c r="Q521" s="116">
        <v>2686.8</v>
      </c>
      <c r="R521">
        <v>15234</v>
      </c>
    </row>
    <row r="522" spans="1:18" x14ac:dyDescent="0.25">
      <c r="A522" s="170">
        <v>42769</v>
      </c>
      <c r="B522" s="116">
        <v>1352.5</v>
      </c>
      <c r="C522" s="116">
        <v>1349.675</v>
      </c>
      <c r="D522" s="116">
        <v>1330</v>
      </c>
      <c r="E522" s="116">
        <v>1342.75</v>
      </c>
      <c r="F522" s="116">
        <v>2699.35</v>
      </c>
      <c r="G522">
        <v>3080</v>
      </c>
      <c r="H522" s="116"/>
      <c r="I522" s="116"/>
      <c r="L522" s="170">
        <v>42769</v>
      </c>
      <c r="M522" s="116">
        <v>1353.325</v>
      </c>
      <c r="N522" s="116">
        <v>1359.5</v>
      </c>
      <c r="O522" s="116">
        <v>1333.05</v>
      </c>
      <c r="P522" s="116">
        <v>1343.425</v>
      </c>
      <c r="Q522" s="116">
        <v>2706.65</v>
      </c>
      <c r="R522">
        <v>8285</v>
      </c>
    </row>
    <row r="523" spans="1:18" x14ac:dyDescent="0.25">
      <c r="A523" s="170">
        <v>42772</v>
      </c>
      <c r="B523" s="116">
        <v>1397.5</v>
      </c>
      <c r="C523" s="116">
        <v>1367.95</v>
      </c>
      <c r="D523" s="116">
        <v>1347.5</v>
      </c>
      <c r="E523" s="116">
        <v>1350</v>
      </c>
      <c r="F523" s="116">
        <v>2735.9</v>
      </c>
      <c r="G523">
        <v>2138</v>
      </c>
      <c r="H523" s="116"/>
      <c r="I523" s="116"/>
      <c r="L523" s="170">
        <v>42772</v>
      </c>
      <c r="M523" s="116">
        <v>1369.425</v>
      </c>
      <c r="N523" s="116">
        <v>1395</v>
      </c>
      <c r="O523" s="116">
        <v>1345.5</v>
      </c>
      <c r="P523" s="116">
        <v>1353.325</v>
      </c>
      <c r="Q523" s="116">
        <v>2738.85</v>
      </c>
      <c r="R523">
        <v>18096</v>
      </c>
    </row>
    <row r="524" spans="1:18" x14ac:dyDescent="0.25">
      <c r="A524" s="170">
        <v>42773</v>
      </c>
      <c r="B524" s="116">
        <v>1371</v>
      </c>
      <c r="C524" s="116">
        <v>1365.55</v>
      </c>
      <c r="D524" s="116">
        <v>1359.5</v>
      </c>
      <c r="E524" s="116">
        <v>1366</v>
      </c>
      <c r="F524" s="116">
        <v>2731.1</v>
      </c>
      <c r="G524">
        <v>763</v>
      </c>
      <c r="H524" s="116"/>
      <c r="I524" s="116"/>
      <c r="L524" s="170">
        <v>42773</v>
      </c>
      <c r="M524" s="116">
        <v>1368.8</v>
      </c>
      <c r="N524" s="116">
        <v>1374.5</v>
      </c>
      <c r="O524" s="116">
        <v>1357.5</v>
      </c>
      <c r="P524" s="116">
        <v>1371.375</v>
      </c>
      <c r="Q524" s="116">
        <v>2737.6</v>
      </c>
      <c r="R524">
        <v>5277</v>
      </c>
    </row>
    <row r="525" spans="1:18" x14ac:dyDescent="0.25">
      <c r="A525" s="170">
        <v>42774</v>
      </c>
      <c r="B525" s="116">
        <v>1370</v>
      </c>
      <c r="C525" s="116">
        <v>1363.8</v>
      </c>
      <c r="D525" s="116">
        <v>1357.5</v>
      </c>
      <c r="E525" s="116">
        <v>1365.5</v>
      </c>
      <c r="F525" s="116">
        <v>2727.6</v>
      </c>
      <c r="G525">
        <v>597</v>
      </c>
      <c r="H525" s="116"/>
      <c r="I525" s="116"/>
      <c r="L525" s="170">
        <v>42774</v>
      </c>
      <c r="M525" s="116">
        <v>1365.1</v>
      </c>
      <c r="N525" s="116">
        <v>1375</v>
      </c>
      <c r="O525" s="116">
        <v>1360</v>
      </c>
      <c r="P525" s="116">
        <v>1364</v>
      </c>
      <c r="Q525" s="116">
        <v>2730.2</v>
      </c>
      <c r="R525">
        <v>3901</v>
      </c>
    </row>
    <row r="526" spans="1:18" x14ac:dyDescent="0.25">
      <c r="A526" s="170">
        <v>42775</v>
      </c>
      <c r="B526" s="116">
        <v>1369.9749999999999</v>
      </c>
      <c r="C526" s="116">
        <v>1366.1</v>
      </c>
      <c r="D526" s="116">
        <v>1356.175</v>
      </c>
      <c r="E526" s="116">
        <v>1365</v>
      </c>
      <c r="F526" s="116">
        <v>2732.2</v>
      </c>
      <c r="G526">
        <v>594</v>
      </c>
      <c r="H526" s="116"/>
      <c r="I526" s="116"/>
      <c r="L526" s="170">
        <v>42775</v>
      </c>
      <c r="M526" s="116">
        <v>1367.925</v>
      </c>
      <c r="N526" s="116">
        <v>1374.9</v>
      </c>
      <c r="O526" s="116">
        <v>1356.35</v>
      </c>
      <c r="P526" s="116">
        <v>1366.4</v>
      </c>
      <c r="Q526" s="116">
        <v>2735.85</v>
      </c>
      <c r="R526">
        <v>4432</v>
      </c>
    </row>
    <row r="527" spans="1:18" x14ac:dyDescent="0.25">
      <c r="A527" s="170">
        <v>42776</v>
      </c>
      <c r="B527" s="116">
        <v>1383</v>
      </c>
      <c r="C527" s="116">
        <v>1370.5250000000001</v>
      </c>
      <c r="D527" s="116">
        <v>1363.25</v>
      </c>
      <c r="E527" s="116">
        <v>1369.25</v>
      </c>
      <c r="F527" s="116">
        <v>2741.05</v>
      </c>
      <c r="G527">
        <v>831</v>
      </c>
      <c r="H527" s="116"/>
      <c r="I527" s="116"/>
      <c r="L527" s="170">
        <v>42776</v>
      </c>
      <c r="M527" s="116">
        <v>1372.35</v>
      </c>
      <c r="N527" s="116">
        <v>1399.25</v>
      </c>
      <c r="O527" s="116">
        <v>1361.5</v>
      </c>
      <c r="P527" s="116">
        <v>1362.375</v>
      </c>
      <c r="Q527" s="116">
        <v>2744.7</v>
      </c>
      <c r="R527">
        <v>6317</v>
      </c>
    </row>
    <row r="528" spans="1:18" x14ac:dyDescent="0.25">
      <c r="A528" s="170">
        <v>42779</v>
      </c>
      <c r="B528" s="116">
        <v>1365</v>
      </c>
      <c r="C528" s="116">
        <v>1349.7750000000001</v>
      </c>
      <c r="D528" s="116">
        <v>1341</v>
      </c>
      <c r="E528" s="116">
        <v>1365</v>
      </c>
      <c r="F528" s="116">
        <v>2699.55</v>
      </c>
      <c r="G528">
        <v>1902</v>
      </c>
      <c r="H528" s="116"/>
      <c r="I528" s="116"/>
      <c r="L528" s="170">
        <v>42779</v>
      </c>
      <c r="M528" s="116">
        <v>1349.9</v>
      </c>
      <c r="N528" s="116">
        <v>1363.95</v>
      </c>
      <c r="O528" s="116">
        <v>1343.5</v>
      </c>
      <c r="P528" s="116">
        <v>1357.5</v>
      </c>
      <c r="Q528" s="116">
        <v>2699.8</v>
      </c>
      <c r="R528">
        <v>9919</v>
      </c>
    </row>
    <row r="529" spans="1:18" x14ac:dyDescent="0.25">
      <c r="A529" s="170">
        <v>42780</v>
      </c>
      <c r="B529" s="116">
        <v>1354</v>
      </c>
      <c r="C529" s="116">
        <v>1341.55</v>
      </c>
      <c r="D529" s="116">
        <v>1335.5250000000001</v>
      </c>
      <c r="E529" s="116">
        <v>1350</v>
      </c>
      <c r="F529" s="116">
        <v>2683.1</v>
      </c>
      <c r="G529">
        <v>1214</v>
      </c>
      <c r="H529" s="116"/>
      <c r="I529" s="116"/>
      <c r="L529" s="170">
        <v>42780</v>
      </c>
      <c r="M529" s="116">
        <v>1346.4</v>
      </c>
      <c r="N529" s="116">
        <v>1353.4749999999999</v>
      </c>
      <c r="O529" s="116">
        <v>1335.5250000000001</v>
      </c>
      <c r="P529" s="116">
        <v>1351.2</v>
      </c>
      <c r="Q529" s="116">
        <v>2692.8</v>
      </c>
      <c r="R529">
        <v>5989</v>
      </c>
    </row>
    <row r="530" spans="1:18" x14ac:dyDescent="0.25">
      <c r="A530" s="170">
        <v>42781</v>
      </c>
      <c r="B530" s="116">
        <v>1352.0250000000001</v>
      </c>
      <c r="C530" s="116">
        <v>1339.2249999999999</v>
      </c>
      <c r="D530" s="116">
        <v>1331.5</v>
      </c>
      <c r="E530" s="116">
        <v>1347.4</v>
      </c>
      <c r="F530" s="116">
        <v>2678.45</v>
      </c>
      <c r="G530">
        <v>1869</v>
      </c>
      <c r="H530" s="116"/>
      <c r="I530" s="116"/>
      <c r="L530" s="170">
        <v>42781</v>
      </c>
      <c r="M530" s="116">
        <v>1344.7</v>
      </c>
      <c r="N530" s="116">
        <v>1352.25</v>
      </c>
      <c r="O530" s="116">
        <v>1332.5</v>
      </c>
      <c r="P530" s="116">
        <v>1346.4</v>
      </c>
      <c r="Q530" s="116">
        <v>2689.4</v>
      </c>
      <c r="R530">
        <v>5123</v>
      </c>
    </row>
    <row r="531" spans="1:18" x14ac:dyDescent="0.25">
      <c r="A531" s="170">
        <v>42782</v>
      </c>
      <c r="B531" s="116">
        <v>1350</v>
      </c>
      <c r="C531" s="116">
        <v>1333.0250000000001</v>
      </c>
      <c r="D531" s="116">
        <v>1329</v>
      </c>
      <c r="E531" s="116">
        <v>1340</v>
      </c>
      <c r="F531" s="116">
        <v>2666.05</v>
      </c>
      <c r="G531">
        <v>2632</v>
      </c>
      <c r="H531" s="116"/>
      <c r="I531" s="116"/>
      <c r="L531" s="170">
        <v>42782</v>
      </c>
      <c r="M531" s="116">
        <v>1334.9</v>
      </c>
      <c r="N531" s="116">
        <v>1344.9</v>
      </c>
      <c r="O531" s="116">
        <v>1328.5</v>
      </c>
      <c r="P531" s="116">
        <v>1342.65</v>
      </c>
      <c r="Q531" s="116">
        <v>2669.8</v>
      </c>
      <c r="R531">
        <v>7858</v>
      </c>
    </row>
    <row r="532" spans="1:18" x14ac:dyDescent="0.25">
      <c r="A532" s="170">
        <v>42783</v>
      </c>
      <c r="B532" s="116">
        <v>1346</v>
      </c>
      <c r="C532" s="116">
        <v>1342.85</v>
      </c>
      <c r="D532" s="116">
        <v>1335.5</v>
      </c>
      <c r="E532" s="116">
        <v>1346</v>
      </c>
      <c r="F532" s="116">
        <v>2685.7</v>
      </c>
      <c r="G532">
        <v>3827</v>
      </c>
      <c r="H532" s="116"/>
      <c r="I532" s="116"/>
      <c r="L532" s="170">
        <v>42783</v>
      </c>
      <c r="M532" s="116">
        <v>1346.1</v>
      </c>
      <c r="N532" s="116">
        <v>1350</v>
      </c>
      <c r="O532" s="116">
        <v>1338.2750000000001</v>
      </c>
      <c r="P532" s="116">
        <v>1339.925</v>
      </c>
      <c r="Q532" s="116">
        <v>2692.2</v>
      </c>
      <c r="R532">
        <v>4317</v>
      </c>
    </row>
    <row r="533" spans="1:18" x14ac:dyDescent="0.25">
      <c r="A533" s="170">
        <v>42786</v>
      </c>
      <c r="B533" s="116">
        <v>1352.5250000000001</v>
      </c>
      <c r="C533" s="116">
        <v>1340.575</v>
      </c>
      <c r="D533" s="116">
        <v>1333.5</v>
      </c>
      <c r="E533" s="116">
        <v>1350.5</v>
      </c>
      <c r="F533" s="116">
        <v>2681.15</v>
      </c>
      <c r="G533">
        <v>1284</v>
      </c>
      <c r="H533" s="116"/>
      <c r="I533" s="116"/>
      <c r="L533" s="170">
        <v>42786</v>
      </c>
      <c r="M533" s="116">
        <v>1339.6</v>
      </c>
      <c r="N533" s="116">
        <v>1362.5</v>
      </c>
      <c r="O533" s="116">
        <v>1331</v>
      </c>
      <c r="P533" s="116">
        <v>1347.5</v>
      </c>
      <c r="Q533" s="116">
        <v>2679.2</v>
      </c>
      <c r="R533">
        <v>10633</v>
      </c>
    </row>
    <row r="534" spans="1:18" x14ac:dyDescent="0.25">
      <c r="A534" s="170">
        <v>42787</v>
      </c>
      <c r="B534" s="116">
        <v>1347.5</v>
      </c>
      <c r="C534" s="116">
        <v>1341.7</v>
      </c>
      <c r="D534" s="116">
        <v>1336</v>
      </c>
      <c r="E534" s="116">
        <v>1340.575</v>
      </c>
      <c r="F534" s="116">
        <v>2683.4</v>
      </c>
      <c r="G534">
        <v>1302</v>
      </c>
      <c r="H534" s="116"/>
      <c r="I534" s="116"/>
      <c r="L534" s="170">
        <v>42787</v>
      </c>
      <c r="M534" s="116">
        <v>1346.45</v>
      </c>
      <c r="N534" s="116">
        <v>1350</v>
      </c>
      <c r="O534" s="116">
        <v>1336.5</v>
      </c>
      <c r="P534" s="116">
        <v>1340.0250000000001</v>
      </c>
      <c r="Q534" s="116">
        <v>2692.9</v>
      </c>
      <c r="R534">
        <v>4653</v>
      </c>
    </row>
    <row r="535" spans="1:18" x14ac:dyDescent="0.25">
      <c r="A535" s="170">
        <v>42788</v>
      </c>
      <c r="B535" s="116">
        <v>1347.4749999999999</v>
      </c>
      <c r="C535" s="116">
        <v>1337</v>
      </c>
      <c r="D535" s="116">
        <v>1332.5</v>
      </c>
      <c r="E535" s="116">
        <v>1341.65</v>
      </c>
      <c r="F535" s="116">
        <v>2674</v>
      </c>
      <c r="G535">
        <v>1678</v>
      </c>
      <c r="H535" s="116"/>
      <c r="I535" s="116"/>
      <c r="L535" s="170">
        <v>42788</v>
      </c>
      <c r="M535" s="116">
        <v>1337.9</v>
      </c>
      <c r="N535" s="116">
        <v>1348.75</v>
      </c>
      <c r="O535" s="116">
        <v>1332.5</v>
      </c>
      <c r="P535" s="116">
        <v>1344.75</v>
      </c>
      <c r="Q535" s="116">
        <v>2675.8</v>
      </c>
      <c r="R535">
        <v>7792</v>
      </c>
    </row>
    <row r="536" spans="1:18" x14ac:dyDescent="0.25">
      <c r="A536" s="170">
        <v>42789</v>
      </c>
      <c r="B536" s="116">
        <v>1344.375</v>
      </c>
      <c r="C536" s="116">
        <v>1333.2</v>
      </c>
      <c r="D536" s="116">
        <v>1330</v>
      </c>
      <c r="E536" s="116">
        <v>1344.375</v>
      </c>
      <c r="F536" s="116">
        <v>2666.4</v>
      </c>
      <c r="G536">
        <v>929</v>
      </c>
      <c r="H536" s="116"/>
      <c r="I536" s="116"/>
      <c r="L536" s="170">
        <v>42789</v>
      </c>
      <c r="M536" s="116">
        <v>1333.7249999999999</v>
      </c>
      <c r="N536" s="116">
        <v>1346</v>
      </c>
      <c r="O536" s="116">
        <v>1329.925</v>
      </c>
      <c r="P536" s="116">
        <v>1338.0250000000001</v>
      </c>
      <c r="Q536" s="116">
        <v>2667.45</v>
      </c>
      <c r="R536">
        <v>8258</v>
      </c>
    </row>
    <row r="537" spans="1:18" x14ac:dyDescent="0.25">
      <c r="A537" s="170">
        <v>42793</v>
      </c>
      <c r="B537" s="116">
        <v>1345.9749999999999</v>
      </c>
      <c r="C537" s="116">
        <v>1336.35</v>
      </c>
      <c r="D537" s="116">
        <v>1330</v>
      </c>
      <c r="E537" s="116">
        <v>1339.1</v>
      </c>
      <c r="F537" s="116">
        <v>2672.7</v>
      </c>
      <c r="G537">
        <v>601</v>
      </c>
      <c r="H537" s="116"/>
      <c r="I537" s="116"/>
      <c r="L537" s="170">
        <v>42793</v>
      </c>
      <c r="M537" s="116">
        <v>1336.45</v>
      </c>
      <c r="N537" s="116">
        <v>1339.5</v>
      </c>
      <c r="O537" s="116">
        <v>1328.1</v>
      </c>
      <c r="P537" s="116">
        <v>1339.5</v>
      </c>
      <c r="Q537" s="116">
        <v>2672.9</v>
      </c>
      <c r="R537">
        <v>7259</v>
      </c>
    </row>
    <row r="538" spans="1:18" x14ac:dyDescent="0.25">
      <c r="A538" s="170">
        <v>42794</v>
      </c>
      <c r="B538" s="116">
        <v>1372.5</v>
      </c>
      <c r="C538" s="116">
        <v>1337.2249999999999</v>
      </c>
      <c r="D538" s="116">
        <v>1333.0250000000001</v>
      </c>
      <c r="E538" s="116">
        <v>1336.5</v>
      </c>
      <c r="F538" s="116">
        <v>2674.45</v>
      </c>
      <c r="G538">
        <v>644</v>
      </c>
      <c r="H538" s="116"/>
      <c r="I538" s="116"/>
      <c r="L538" s="170">
        <v>42794</v>
      </c>
      <c r="M538" s="116">
        <v>1341.625</v>
      </c>
      <c r="N538" s="116">
        <v>1344.85</v>
      </c>
      <c r="O538" s="116">
        <v>1330.2750000000001</v>
      </c>
      <c r="P538" s="116">
        <v>1336.45</v>
      </c>
      <c r="Q538" s="116">
        <v>2683.25</v>
      </c>
      <c r="R538">
        <v>7421</v>
      </c>
    </row>
    <row r="539" spans="1:18" x14ac:dyDescent="0.25">
      <c r="A539" s="170">
        <v>42795</v>
      </c>
      <c r="B539" s="116">
        <v>1350</v>
      </c>
      <c r="C539" s="116">
        <v>1341.5</v>
      </c>
      <c r="D539" s="116">
        <v>1338.125</v>
      </c>
      <c r="E539" s="116">
        <v>1345.5</v>
      </c>
      <c r="F539" s="116">
        <v>2683</v>
      </c>
      <c r="G539">
        <v>9307</v>
      </c>
      <c r="H539" s="116"/>
      <c r="I539" s="116"/>
      <c r="L539" s="170">
        <v>42795</v>
      </c>
      <c r="M539" s="116">
        <v>1341.675</v>
      </c>
      <c r="N539" s="116">
        <v>1349.5</v>
      </c>
      <c r="O539" s="116">
        <v>1337.5</v>
      </c>
      <c r="P539" s="116">
        <v>1349.5</v>
      </c>
      <c r="Q539" s="116">
        <v>2683.35</v>
      </c>
      <c r="R539">
        <v>34023</v>
      </c>
    </row>
    <row r="540" spans="1:18" x14ac:dyDescent="0.25">
      <c r="A540" s="170">
        <v>42796</v>
      </c>
      <c r="B540" s="116">
        <v>1348.05</v>
      </c>
      <c r="C540" s="116">
        <v>1344.375</v>
      </c>
      <c r="D540" s="116">
        <v>1337.5</v>
      </c>
      <c r="E540" s="116">
        <v>1341.5</v>
      </c>
      <c r="F540" s="116">
        <v>2688.75</v>
      </c>
      <c r="G540">
        <v>847</v>
      </c>
      <c r="H540" s="116"/>
      <c r="I540" s="116"/>
      <c r="L540" s="170">
        <v>42796</v>
      </c>
      <c r="M540" s="116">
        <v>1347.2750000000001</v>
      </c>
      <c r="N540" s="116">
        <v>1354</v>
      </c>
      <c r="O540" s="116">
        <v>1331</v>
      </c>
      <c r="P540" s="116">
        <v>1346.95</v>
      </c>
      <c r="Q540" s="116">
        <v>2694.55</v>
      </c>
      <c r="R540">
        <v>14588</v>
      </c>
    </row>
    <row r="541" spans="1:18" x14ac:dyDescent="0.25">
      <c r="A541" s="170">
        <v>42797</v>
      </c>
      <c r="B541" s="116">
        <v>1355.15</v>
      </c>
      <c r="C541" s="116">
        <v>1352.65</v>
      </c>
      <c r="D541" s="116">
        <v>1340</v>
      </c>
      <c r="E541" s="116">
        <v>1348.5250000000001</v>
      </c>
      <c r="F541" s="116">
        <v>2705.3</v>
      </c>
      <c r="G541">
        <v>1003</v>
      </c>
      <c r="H541" s="116"/>
      <c r="I541" s="116"/>
      <c r="L541" s="170">
        <v>42797</v>
      </c>
      <c r="M541" s="116">
        <v>1352.9749999999999</v>
      </c>
      <c r="N541" s="116">
        <v>1357.5</v>
      </c>
      <c r="O541" s="116">
        <v>1340.0250000000001</v>
      </c>
      <c r="P541" s="116">
        <v>1348.9</v>
      </c>
      <c r="Q541" s="116">
        <v>2705.95</v>
      </c>
      <c r="R541">
        <v>4582</v>
      </c>
    </row>
    <row r="542" spans="1:18" x14ac:dyDescent="0.25">
      <c r="A542" s="170">
        <v>42800</v>
      </c>
      <c r="B542" s="116">
        <v>1374.5</v>
      </c>
      <c r="C542" s="116">
        <v>1345.5</v>
      </c>
      <c r="D542" s="116">
        <v>1335</v>
      </c>
      <c r="E542" s="116">
        <v>1374.5</v>
      </c>
      <c r="F542" s="116">
        <v>2691</v>
      </c>
      <c r="G542">
        <v>1025</v>
      </c>
      <c r="H542" s="116"/>
      <c r="I542" s="116"/>
      <c r="L542" s="170">
        <v>42800</v>
      </c>
      <c r="M542" s="116">
        <v>1347.7750000000001</v>
      </c>
      <c r="N542" s="116">
        <v>1356.7249999999999</v>
      </c>
      <c r="O542" s="116">
        <v>1335.2</v>
      </c>
      <c r="P542" s="116">
        <v>1355.0250000000001</v>
      </c>
      <c r="Q542" s="116">
        <v>2695.55</v>
      </c>
      <c r="R542">
        <v>8168</v>
      </c>
    </row>
    <row r="543" spans="1:18" x14ac:dyDescent="0.25">
      <c r="A543" s="170">
        <v>42801</v>
      </c>
      <c r="B543" s="116">
        <v>1359</v>
      </c>
      <c r="C543" s="116">
        <v>1346.2750000000001</v>
      </c>
      <c r="D543" s="116">
        <v>1342.5</v>
      </c>
      <c r="E543" s="116">
        <v>1349.95</v>
      </c>
      <c r="F543" s="116">
        <v>2692.55</v>
      </c>
      <c r="G543">
        <v>2197</v>
      </c>
      <c r="H543" s="116"/>
      <c r="I543" s="116"/>
      <c r="L543" s="170">
        <v>42801</v>
      </c>
      <c r="M543" s="116">
        <v>1347.2</v>
      </c>
      <c r="N543" s="116">
        <v>1359.5</v>
      </c>
      <c r="O543" s="116">
        <v>1341.2</v>
      </c>
      <c r="P543" s="116">
        <v>1350</v>
      </c>
      <c r="Q543" s="116">
        <v>2694.4</v>
      </c>
      <c r="R543">
        <v>6908</v>
      </c>
    </row>
    <row r="544" spans="1:18" x14ac:dyDescent="0.25">
      <c r="A544" s="170">
        <v>42802</v>
      </c>
      <c r="B544" s="116">
        <v>1355</v>
      </c>
      <c r="C544" s="116">
        <v>1348.6</v>
      </c>
      <c r="D544" s="116">
        <v>1340.5</v>
      </c>
      <c r="E544" s="116">
        <v>1353.9749999999999</v>
      </c>
      <c r="F544" s="116">
        <v>2697.2</v>
      </c>
      <c r="G544">
        <v>1102</v>
      </c>
      <c r="H544" s="116"/>
      <c r="I544" s="116"/>
      <c r="L544" s="170">
        <v>42802</v>
      </c>
      <c r="M544" s="116">
        <v>1347.7</v>
      </c>
      <c r="N544" s="116">
        <v>1357.5</v>
      </c>
      <c r="O544" s="116">
        <v>1342.1</v>
      </c>
      <c r="P544" s="116">
        <v>1347.85</v>
      </c>
      <c r="Q544" s="116">
        <v>2695.4</v>
      </c>
      <c r="R544">
        <v>6844</v>
      </c>
    </row>
    <row r="545" spans="1:18" x14ac:dyDescent="0.25">
      <c r="A545" s="170">
        <v>42803</v>
      </c>
      <c r="B545" s="116">
        <v>1353.5</v>
      </c>
      <c r="C545" s="116">
        <v>1346.675</v>
      </c>
      <c r="D545" s="116">
        <v>1342</v>
      </c>
      <c r="E545" s="116">
        <v>1350</v>
      </c>
      <c r="F545" s="116">
        <v>2693.35</v>
      </c>
      <c r="G545">
        <v>1195</v>
      </c>
      <c r="H545" s="116"/>
      <c r="I545" s="116"/>
      <c r="L545" s="170">
        <v>42803</v>
      </c>
      <c r="M545" s="116">
        <v>1352.45</v>
      </c>
      <c r="N545" s="116">
        <v>1356.5</v>
      </c>
      <c r="O545" s="116">
        <v>1340.05</v>
      </c>
      <c r="P545" s="116">
        <v>1351.4</v>
      </c>
      <c r="Q545" s="116">
        <v>2704.9</v>
      </c>
      <c r="R545">
        <v>5404</v>
      </c>
    </row>
    <row r="546" spans="1:18" x14ac:dyDescent="0.25">
      <c r="A546" s="170">
        <v>42804</v>
      </c>
      <c r="B546" s="116">
        <v>1355.5</v>
      </c>
      <c r="C546" s="116">
        <v>1349.8</v>
      </c>
      <c r="D546" s="116">
        <v>1344</v>
      </c>
      <c r="E546" s="116">
        <v>1355.5</v>
      </c>
      <c r="F546" s="116">
        <v>2699.6</v>
      </c>
      <c r="G546">
        <v>999</v>
      </c>
      <c r="H546" s="116"/>
      <c r="I546" s="116"/>
      <c r="L546" s="170">
        <v>42804</v>
      </c>
      <c r="M546" s="116">
        <v>1352.95</v>
      </c>
      <c r="N546" s="116">
        <v>1357.5</v>
      </c>
      <c r="O546" s="116">
        <v>1343.0250000000001</v>
      </c>
      <c r="P546" s="116">
        <v>1357</v>
      </c>
      <c r="Q546" s="116">
        <v>2705.9</v>
      </c>
      <c r="R546">
        <v>3845</v>
      </c>
    </row>
    <row r="547" spans="1:18" x14ac:dyDescent="0.25">
      <c r="A547" s="170">
        <v>42808</v>
      </c>
      <c r="B547" s="116">
        <v>1360</v>
      </c>
      <c r="C547" s="116">
        <v>1347.575</v>
      </c>
      <c r="D547" s="116">
        <v>1340</v>
      </c>
      <c r="E547" s="116">
        <v>1359.95</v>
      </c>
      <c r="F547" s="116">
        <v>2695.15</v>
      </c>
      <c r="G547">
        <v>1870</v>
      </c>
      <c r="H547" s="116"/>
      <c r="I547" s="116"/>
      <c r="L547" s="170">
        <v>42808</v>
      </c>
      <c r="M547" s="116">
        <v>1349.675</v>
      </c>
      <c r="N547" s="116">
        <v>1363.45</v>
      </c>
      <c r="O547" s="116">
        <v>1342.05</v>
      </c>
      <c r="P547" s="116">
        <v>1363</v>
      </c>
      <c r="Q547" s="116">
        <v>2699.35</v>
      </c>
      <c r="R547">
        <v>6578</v>
      </c>
    </row>
    <row r="548" spans="1:18" x14ac:dyDescent="0.25">
      <c r="A548" s="170">
        <v>42809</v>
      </c>
      <c r="B548" s="116">
        <v>1353.5</v>
      </c>
      <c r="C548" s="116">
        <v>1351.175</v>
      </c>
      <c r="D548" s="116">
        <v>1340</v>
      </c>
      <c r="E548" s="116">
        <v>1349</v>
      </c>
      <c r="F548" s="116">
        <v>2702.35</v>
      </c>
      <c r="G548">
        <v>1759</v>
      </c>
      <c r="H548" s="116"/>
      <c r="I548" s="116"/>
      <c r="L548" s="170">
        <v>42809</v>
      </c>
      <c r="M548" s="116">
        <v>1353.7</v>
      </c>
      <c r="N548" s="116">
        <v>1357.4</v>
      </c>
      <c r="O548" s="116">
        <v>1341.5250000000001</v>
      </c>
      <c r="P548" s="116">
        <v>1348.175</v>
      </c>
      <c r="Q548" s="116">
        <v>2707.4</v>
      </c>
      <c r="R548">
        <v>6780</v>
      </c>
    </row>
    <row r="549" spans="1:18" x14ac:dyDescent="0.25">
      <c r="A549" s="170">
        <v>42810</v>
      </c>
      <c r="B549" s="116">
        <v>1385</v>
      </c>
      <c r="C549" s="116">
        <v>1370.65</v>
      </c>
      <c r="D549" s="116">
        <v>1345</v>
      </c>
      <c r="E549" s="116">
        <v>1350</v>
      </c>
      <c r="F549" s="116">
        <v>2741.3</v>
      </c>
      <c r="G549">
        <v>4589</v>
      </c>
      <c r="H549" s="116"/>
      <c r="I549" s="116"/>
      <c r="L549" s="170">
        <v>42810</v>
      </c>
      <c r="M549" s="116">
        <v>1373.8</v>
      </c>
      <c r="N549" s="116">
        <v>1390.0250000000001</v>
      </c>
      <c r="O549" s="116">
        <v>1345.125</v>
      </c>
      <c r="P549" s="116">
        <v>1354</v>
      </c>
      <c r="Q549" s="116">
        <v>2747.6</v>
      </c>
      <c r="R549">
        <v>21978</v>
      </c>
    </row>
    <row r="550" spans="1:18" x14ac:dyDescent="0.25">
      <c r="A550" s="170">
        <v>42811</v>
      </c>
      <c r="B550" s="116">
        <v>1381</v>
      </c>
      <c r="C550" s="116">
        <v>1378.175</v>
      </c>
      <c r="D550" s="116">
        <v>1362.5</v>
      </c>
      <c r="E550" s="116">
        <v>1380</v>
      </c>
      <c r="F550" s="116">
        <v>2756.35</v>
      </c>
      <c r="G550">
        <v>1386</v>
      </c>
      <c r="H550" s="116"/>
      <c r="I550" s="116"/>
      <c r="L550" s="170">
        <v>42811</v>
      </c>
      <c r="M550" s="116">
        <v>1377.325</v>
      </c>
      <c r="N550" s="116">
        <v>1382.5</v>
      </c>
      <c r="O550" s="116">
        <v>1363.5</v>
      </c>
      <c r="P550" s="116">
        <v>1381</v>
      </c>
      <c r="Q550" s="116">
        <v>2754.65</v>
      </c>
      <c r="R550">
        <v>14365</v>
      </c>
    </row>
    <row r="551" spans="1:18" x14ac:dyDescent="0.25">
      <c r="A551" s="170">
        <v>42814</v>
      </c>
      <c r="B551" s="116">
        <v>1379.4749999999999</v>
      </c>
      <c r="C551" s="116">
        <v>1376.2249999999999</v>
      </c>
      <c r="D551" s="116">
        <v>1361</v>
      </c>
      <c r="E551" s="116">
        <v>1375</v>
      </c>
      <c r="F551" s="116">
        <v>2752.45</v>
      </c>
      <c r="G551">
        <v>1431</v>
      </c>
      <c r="H551" s="116"/>
      <c r="I551" s="116"/>
      <c r="L551" s="170">
        <v>42814</v>
      </c>
      <c r="M551" s="116">
        <v>1378.0250000000001</v>
      </c>
      <c r="N551" s="116">
        <v>1382.5</v>
      </c>
      <c r="O551" s="116">
        <v>1351.05</v>
      </c>
      <c r="P551" s="116">
        <v>1378</v>
      </c>
      <c r="Q551" s="116">
        <v>2756.05</v>
      </c>
      <c r="R551">
        <v>13965</v>
      </c>
    </row>
    <row r="552" spans="1:18" x14ac:dyDescent="0.25">
      <c r="A552" s="170">
        <v>42815</v>
      </c>
      <c r="B552" s="116">
        <v>1382.5</v>
      </c>
      <c r="C552" s="116">
        <v>1376.25</v>
      </c>
      <c r="D552" s="116">
        <v>1370</v>
      </c>
      <c r="E552" s="116">
        <v>1375.05</v>
      </c>
      <c r="F552" s="116">
        <v>2752.5</v>
      </c>
      <c r="G552">
        <v>2146</v>
      </c>
      <c r="H552" s="116"/>
      <c r="I552" s="116"/>
      <c r="L552" s="170">
        <v>42815</v>
      </c>
      <c r="M552" s="116">
        <v>1377.15</v>
      </c>
      <c r="N552" s="116">
        <v>1390</v>
      </c>
      <c r="O552" s="116">
        <v>1370</v>
      </c>
      <c r="P552" s="116">
        <v>1374.375</v>
      </c>
      <c r="Q552" s="116">
        <v>2754.3</v>
      </c>
      <c r="R552">
        <v>10362</v>
      </c>
    </row>
    <row r="553" spans="1:18" x14ac:dyDescent="0.25">
      <c r="A553" s="170">
        <v>42816</v>
      </c>
      <c r="B553" s="116">
        <v>1380.5250000000001</v>
      </c>
      <c r="C553" s="116">
        <v>1377.8</v>
      </c>
      <c r="D553" s="116">
        <v>1360</v>
      </c>
      <c r="E553" s="116">
        <v>1376.5</v>
      </c>
      <c r="F553" s="116">
        <v>2755.6</v>
      </c>
      <c r="G553">
        <v>875</v>
      </c>
      <c r="H553" s="116"/>
      <c r="I553" s="116"/>
      <c r="L553" s="170">
        <v>42816</v>
      </c>
      <c r="M553" s="116">
        <v>1375.125</v>
      </c>
      <c r="N553" s="116">
        <v>1380</v>
      </c>
      <c r="O553" s="116">
        <v>1362.625</v>
      </c>
      <c r="P553" s="116">
        <v>1362.625</v>
      </c>
      <c r="Q553" s="116">
        <v>2750.25</v>
      </c>
      <c r="R553">
        <v>5166</v>
      </c>
    </row>
    <row r="554" spans="1:18" x14ac:dyDescent="0.25">
      <c r="A554" s="170">
        <v>42817</v>
      </c>
      <c r="B554" s="116">
        <v>1381.75</v>
      </c>
      <c r="C554" s="116">
        <v>1378.0250000000001</v>
      </c>
      <c r="D554" s="116">
        <v>1362.5</v>
      </c>
      <c r="E554" s="116">
        <v>1365</v>
      </c>
      <c r="F554" s="116">
        <v>2756.05</v>
      </c>
      <c r="G554">
        <v>2062</v>
      </c>
      <c r="H554" s="116"/>
      <c r="I554" s="116"/>
      <c r="L554" s="170">
        <v>42817</v>
      </c>
      <c r="M554" s="116">
        <v>1380.6</v>
      </c>
      <c r="N554" s="116">
        <v>1388.65</v>
      </c>
      <c r="O554" s="116">
        <v>1364</v>
      </c>
      <c r="P554" s="116">
        <v>1365.675</v>
      </c>
      <c r="Q554" s="116">
        <v>2761.2</v>
      </c>
      <c r="R554">
        <v>7941</v>
      </c>
    </row>
    <row r="555" spans="1:18" x14ac:dyDescent="0.25">
      <c r="A555" s="170">
        <v>42818</v>
      </c>
      <c r="B555" s="116">
        <v>1384.0250000000001</v>
      </c>
      <c r="C555" s="116">
        <v>1377.175</v>
      </c>
      <c r="D555" s="116">
        <v>1366.55</v>
      </c>
      <c r="E555" s="116">
        <v>1384.0250000000001</v>
      </c>
      <c r="F555" s="116">
        <v>2754.35</v>
      </c>
      <c r="G555">
        <v>1588</v>
      </c>
      <c r="H555" s="116"/>
      <c r="I555" s="116"/>
      <c r="L555" s="170">
        <v>42818</v>
      </c>
      <c r="M555" s="116">
        <v>1374.7750000000001</v>
      </c>
      <c r="N555" s="116">
        <v>1383.5</v>
      </c>
      <c r="O555" s="116">
        <v>1367.55</v>
      </c>
      <c r="P555" s="116">
        <v>1380.5</v>
      </c>
      <c r="Q555" s="116">
        <v>2749.55</v>
      </c>
      <c r="R555">
        <v>9247</v>
      </c>
    </row>
    <row r="556" spans="1:18" x14ac:dyDescent="0.25">
      <c r="A556" s="170">
        <v>42821</v>
      </c>
      <c r="B556" s="116">
        <v>1375.95</v>
      </c>
      <c r="C556" s="116">
        <v>1368.75</v>
      </c>
      <c r="D556" s="116">
        <v>1360</v>
      </c>
      <c r="E556" s="116">
        <v>1375</v>
      </c>
      <c r="F556" s="116">
        <v>2737.5</v>
      </c>
      <c r="G556">
        <v>520</v>
      </c>
      <c r="H556" s="116"/>
      <c r="I556" s="116"/>
      <c r="L556" s="170">
        <v>42821</v>
      </c>
      <c r="M556" s="116">
        <v>1368.35</v>
      </c>
      <c r="N556" s="116">
        <v>1375.9749999999999</v>
      </c>
      <c r="O556" s="116">
        <v>1362.5</v>
      </c>
      <c r="P556" s="116">
        <v>1369.5</v>
      </c>
      <c r="Q556" s="116">
        <v>2736.7</v>
      </c>
      <c r="R556">
        <v>4754</v>
      </c>
    </row>
    <row r="557" spans="1:18" x14ac:dyDescent="0.25">
      <c r="A557" s="170">
        <v>42822</v>
      </c>
      <c r="B557" s="116">
        <v>1371.95</v>
      </c>
      <c r="C557" s="116">
        <v>1351.05</v>
      </c>
      <c r="D557" s="116">
        <v>1343</v>
      </c>
      <c r="E557" s="116">
        <v>1367.5</v>
      </c>
      <c r="F557" s="116">
        <v>2702.1</v>
      </c>
      <c r="G557">
        <v>2187</v>
      </c>
      <c r="H557" s="116"/>
      <c r="I557" s="116"/>
      <c r="L557" s="170">
        <v>42822</v>
      </c>
      <c r="M557" s="116">
        <v>1353.15</v>
      </c>
      <c r="N557" s="116">
        <v>1367</v>
      </c>
      <c r="O557" s="116">
        <v>1344</v>
      </c>
      <c r="P557" s="116">
        <v>1362.5</v>
      </c>
      <c r="Q557" s="116">
        <v>2706.3</v>
      </c>
      <c r="R557">
        <v>17720</v>
      </c>
    </row>
    <row r="558" spans="1:18" x14ac:dyDescent="0.25">
      <c r="A558" s="170">
        <v>42823</v>
      </c>
      <c r="B558" s="116">
        <v>1356.5</v>
      </c>
      <c r="C558" s="116">
        <v>1343.75</v>
      </c>
      <c r="D558" s="116">
        <v>1342.55</v>
      </c>
      <c r="E558" s="116">
        <v>1356.5</v>
      </c>
      <c r="F558" s="116">
        <v>2687.5</v>
      </c>
      <c r="G558">
        <v>690</v>
      </c>
      <c r="H558" s="116"/>
      <c r="I558" s="116"/>
      <c r="L558" s="170">
        <v>42823</v>
      </c>
      <c r="M558" s="116">
        <v>1348.125</v>
      </c>
      <c r="N558" s="116">
        <v>1364.5</v>
      </c>
      <c r="O558" s="116">
        <v>1342.5</v>
      </c>
      <c r="P558" s="116">
        <v>1364.5</v>
      </c>
      <c r="Q558" s="116">
        <v>2696.25</v>
      </c>
      <c r="R558">
        <v>15020</v>
      </c>
    </row>
    <row r="559" spans="1:18" x14ac:dyDescent="0.25">
      <c r="A559" s="170">
        <v>42824</v>
      </c>
      <c r="B559" s="116">
        <v>1377.5</v>
      </c>
      <c r="C559" s="116">
        <v>1361.35</v>
      </c>
      <c r="D559" s="116">
        <v>1340.55</v>
      </c>
      <c r="E559" s="116">
        <v>1345.95</v>
      </c>
      <c r="F559" s="116">
        <v>2722.7</v>
      </c>
      <c r="G559">
        <v>740</v>
      </c>
      <c r="H559" s="116"/>
      <c r="I559" s="116"/>
      <c r="L559" s="170">
        <v>42824</v>
      </c>
      <c r="M559" s="116">
        <v>1365.7249999999999</v>
      </c>
      <c r="N559" s="116">
        <v>1388.5</v>
      </c>
      <c r="O559" s="116">
        <v>1337.5</v>
      </c>
      <c r="P559" s="116">
        <v>1346</v>
      </c>
      <c r="Q559" s="116">
        <v>2731.45</v>
      </c>
      <c r="R559">
        <v>19214</v>
      </c>
    </row>
    <row r="560" spans="1:18" x14ac:dyDescent="0.25">
      <c r="A560" s="170">
        <v>42825</v>
      </c>
      <c r="B560" s="116">
        <v>1372</v>
      </c>
      <c r="C560" s="116">
        <v>1367.6</v>
      </c>
      <c r="D560" s="116">
        <v>1352.7750000000001</v>
      </c>
      <c r="E560" s="116">
        <v>1363.125</v>
      </c>
      <c r="F560" s="116">
        <v>2735.2</v>
      </c>
      <c r="G560">
        <v>1257</v>
      </c>
      <c r="H560" s="116"/>
      <c r="I560" s="116"/>
      <c r="L560" s="170">
        <v>42825</v>
      </c>
      <c r="M560" s="116">
        <v>1372.2750000000001</v>
      </c>
      <c r="N560" s="116">
        <v>1389.95</v>
      </c>
      <c r="O560" s="116">
        <v>1357.5</v>
      </c>
      <c r="P560" s="116">
        <v>1365.7249999999999</v>
      </c>
      <c r="Q560" s="116">
        <v>2744.55</v>
      </c>
      <c r="R560">
        <v>12625</v>
      </c>
    </row>
    <row r="561" spans="1:18" x14ac:dyDescent="0.25">
      <c r="A561" s="170">
        <v>42828</v>
      </c>
      <c r="B561" s="116">
        <v>1380</v>
      </c>
      <c r="C561" s="116">
        <v>1362.175</v>
      </c>
      <c r="D561" s="116">
        <v>1352.7750000000001</v>
      </c>
      <c r="E561" s="116">
        <v>1380</v>
      </c>
      <c r="F561" s="116">
        <v>2724.35</v>
      </c>
      <c r="G561">
        <v>1396</v>
      </c>
      <c r="H561" s="116"/>
      <c r="I561" s="116"/>
      <c r="L561" s="170">
        <v>42828</v>
      </c>
      <c r="M561" s="116">
        <v>1367.7249999999999</v>
      </c>
      <c r="N561" s="116">
        <v>1387.5</v>
      </c>
      <c r="O561" s="116">
        <v>1354</v>
      </c>
      <c r="P561" s="116">
        <v>1372.5</v>
      </c>
      <c r="Q561" s="116">
        <v>2735.45</v>
      </c>
      <c r="R561">
        <v>16128</v>
      </c>
    </row>
    <row r="562" spans="1:18" x14ac:dyDescent="0.25">
      <c r="A562" s="170">
        <v>42830</v>
      </c>
      <c r="B562" s="116">
        <v>1375</v>
      </c>
      <c r="C562" s="116">
        <v>1369.2</v>
      </c>
      <c r="D562" s="116">
        <v>1360</v>
      </c>
      <c r="E562" s="116">
        <v>1362</v>
      </c>
      <c r="F562" s="116">
        <v>2738.4</v>
      </c>
      <c r="G562">
        <v>1597</v>
      </c>
      <c r="H562" s="116"/>
      <c r="I562" s="116"/>
      <c r="L562" s="170">
        <v>42830</v>
      </c>
      <c r="M562" s="116">
        <v>1373.625</v>
      </c>
      <c r="N562" s="116">
        <v>1381.7</v>
      </c>
      <c r="O562" s="116">
        <v>1360.5</v>
      </c>
      <c r="P562" s="116">
        <v>1369.5</v>
      </c>
      <c r="Q562" s="116">
        <v>2747.25</v>
      </c>
      <c r="R562">
        <v>8377</v>
      </c>
    </row>
    <row r="563" spans="1:18" x14ac:dyDescent="0.25">
      <c r="A563" s="170">
        <v>42831</v>
      </c>
      <c r="B563" s="116">
        <v>1369</v>
      </c>
      <c r="C563" s="116">
        <v>1365.25</v>
      </c>
      <c r="D563" s="116">
        <v>1360.5250000000001</v>
      </c>
      <c r="E563" s="116">
        <v>1360.55</v>
      </c>
      <c r="F563" s="116">
        <v>2730.5</v>
      </c>
      <c r="G563">
        <v>613</v>
      </c>
      <c r="H563" s="116"/>
      <c r="I563" s="116"/>
      <c r="L563" s="170">
        <v>42831</v>
      </c>
      <c r="M563" s="116">
        <v>1368.2</v>
      </c>
      <c r="N563" s="116">
        <v>1374.4</v>
      </c>
      <c r="O563" s="116">
        <v>1361</v>
      </c>
      <c r="P563" s="116">
        <v>1373.35</v>
      </c>
      <c r="Q563" s="116">
        <v>2736.4</v>
      </c>
      <c r="R563">
        <v>9376</v>
      </c>
    </row>
    <row r="564" spans="1:18" x14ac:dyDescent="0.25">
      <c r="A564" s="170">
        <v>42832</v>
      </c>
      <c r="B564" s="116">
        <v>1370</v>
      </c>
      <c r="C564" s="116">
        <v>1362.9</v>
      </c>
      <c r="D564" s="116">
        <v>1355</v>
      </c>
      <c r="E564" s="116">
        <v>1362.5</v>
      </c>
      <c r="F564" s="116">
        <v>2725.8</v>
      </c>
      <c r="G564">
        <v>1296</v>
      </c>
      <c r="H564" s="116"/>
      <c r="I564" s="116"/>
      <c r="L564" s="170">
        <v>42832</v>
      </c>
      <c r="M564" s="116">
        <v>1367.7</v>
      </c>
      <c r="N564" s="116">
        <v>1379</v>
      </c>
      <c r="O564" s="116">
        <v>1356.4749999999999</v>
      </c>
      <c r="P564" s="116">
        <v>1360</v>
      </c>
      <c r="Q564" s="116">
        <v>2735.4</v>
      </c>
      <c r="R564">
        <v>10826</v>
      </c>
    </row>
    <row r="565" spans="1:18" x14ac:dyDescent="0.25">
      <c r="A565" s="170">
        <v>42835</v>
      </c>
      <c r="B565" s="116">
        <v>1370.2249999999999</v>
      </c>
      <c r="C565" s="116">
        <v>1367.7249999999999</v>
      </c>
      <c r="D565" s="116">
        <v>1337.5</v>
      </c>
      <c r="E565" s="116">
        <v>1362.5</v>
      </c>
      <c r="F565" s="116">
        <v>2735.45</v>
      </c>
      <c r="G565">
        <v>1764</v>
      </c>
      <c r="H565" s="116"/>
      <c r="I565" s="116"/>
      <c r="L565" s="170">
        <v>42835</v>
      </c>
      <c r="M565" s="116">
        <v>1362.85</v>
      </c>
      <c r="N565" s="116">
        <v>1367.7</v>
      </c>
      <c r="O565" s="116">
        <v>1354.5</v>
      </c>
      <c r="P565" s="116">
        <v>1367.7</v>
      </c>
      <c r="Q565" s="116">
        <v>2725.7</v>
      </c>
      <c r="R565">
        <v>10791</v>
      </c>
    </row>
    <row r="566" spans="1:18" x14ac:dyDescent="0.25">
      <c r="A566" s="170">
        <v>42836</v>
      </c>
      <c r="B566" s="116">
        <v>1366.9</v>
      </c>
      <c r="C566" s="116">
        <v>1354.675</v>
      </c>
      <c r="D566" s="116">
        <v>1352</v>
      </c>
      <c r="E566" s="116">
        <v>1366.9</v>
      </c>
      <c r="F566" s="116">
        <v>2709.35</v>
      </c>
      <c r="G566">
        <v>528</v>
      </c>
      <c r="H566" s="116"/>
      <c r="I566" s="116"/>
      <c r="L566" s="170">
        <v>42836</v>
      </c>
      <c r="M566" s="116">
        <v>1357.9749999999999</v>
      </c>
      <c r="N566" s="116">
        <v>1366.4749999999999</v>
      </c>
      <c r="O566" s="116">
        <v>1351</v>
      </c>
      <c r="P566" s="116">
        <v>1366.4749999999999</v>
      </c>
      <c r="Q566" s="116">
        <v>2715.95</v>
      </c>
      <c r="R566">
        <v>8645</v>
      </c>
    </row>
    <row r="567" spans="1:18" x14ac:dyDescent="0.25">
      <c r="A567" s="170">
        <v>42837</v>
      </c>
      <c r="B567" s="116">
        <v>1357.675</v>
      </c>
      <c r="C567" s="116">
        <v>1335.65</v>
      </c>
      <c r="D567" s="116">
        <v>1333.825</v>
      </c>
      <c r="E567" s="116">
        <v>1355.5</v>
      </c>
      <c r="F567" s="116">
        <v>2671.3</v>
      </c>
      <c r="G567">
        <v>2496</v>
      </c>
      <c r="H567" s="116"/>
      <c r="I567" s="116"/>
      <c r="L567" s="170">
        <v>42837</v>
      </c>
      <c r="M567" s="116">
        <v>1341.325</v>
      </c>
      <c r="N567" s="116">
        <v>1358.925</v>
      </c>
      <c r="O567" s="116">
        <v>1336</v>
      </c>
      <c r="P567" s="116">
        <v>1358.9</v>
      </c>
      <c r="Q567" s="116">
        <v>2682.65</v>
      </c>
      <c r="R567">
        <v>14009</v>
      </c>
    </row>
    <row r="568" spans="1:18" x14ac:dyDescent="0.25">
      <c r="A568" s="170">
        <v>42838</v>
      </c>
      <c r="B568" s="116">
        <v>1345</v>
      </c>
      <c r="C568" s="116">
        <v>1340.325</v>
      </c>
      <c r="D568" s="116">
        <v>1335.7</v>
      </c>
      <c r="E568" s="116">
        <v>1340</v>
      </c>
      <c r="F568" s="116">
        <v>2680.65</v>
      </c>
      <c r="G568">
        <v>1458</v>
      </c>
      <c r="H568" s="116"/>
      <c r="I568" s="116"/>
      <c r="L568" s="170">
        <v>42838</v>
      </c>
      <c r="M568" s="116">
        <v>1341.95</v>
      </c>
      <c r="N568" s="116">
        <v>1349.5</v>
      </c>
      <c r="O568" s="116">
        <v>1335.5</v>
      </c>
      <c r="P568" s="116">
        <v>1337.5</v>
      </c>
      <c r="Q568" s="116">
        <v>2683.9</v>
      </c>
      <c r="R568">
        <v>8385</v>
      </c>
    </row>
    <row r="569" spans="1:18" x14ac:dyDescent="0.25">
      <c r="A569" s="170">
        <v>42842</v>
      </c>
      <c r="B569" s="116">
        <v>1349.5</v>
      </c>
      <c r="C569" s="116">
        <v>1336.825</v>
      </c>
      <c r="D569" s="116">
        <v>1332</v>
      </c>
      <c r="E569" s="116">
        <v>1345</v>
      </c>
      <c r="F569" s="116">
        <v>2673.65</v>
      </c>
      <c r="G569">
        <v>827</v>
      </c>
      <c r="H569" s="116"/>
      <c r="I569" s="116"/>
      <c r="L569" s="170">
        <v>42842</v>
      </c>
      <c r="M569" s="116">
        <v>1335.2750000000001</v>
      </c>
      <c r="N569" s="116">
        <v>1345.4749999999999</v>
      </c>
      <c r="O569" s="116">
        <v>1332</v>
      </c>
      <c r="P569" s="116">
        <v>1340.05</v>
      </c>
      <c r="Q569" s="116">
        <v>2670.55</v>
      </c>
      <c r="R569">
        <v>4271</v>
      </c>
    </row>
    <row r="570" spans="1:18" x14ac:dyDescent="0.25">
      <c r="A570" s="170">
        <v>42843</v>
      </c>
      <c r="B570" s="116">
        <v>1339.7249999999999</v>
      </c>
      <c r="C570" s="116">
        <v>1320.375</v>
      </c>
      <c r="D570" s="116">
        <v>1315</v>
      </c>
      <c r="E570" s="116">
        <v>1336.5</v>
      </c>
      <c r="F570" s="116">
        <v>2640.75</v>
      </c>
      <c r="G570">
        <v>1836</v>
      </c>
      <c r="H570" s="116"/>
      <c r="I570" s="116"/>
      <c r="L570" s="170">
        <v>42843</v>
      </c>
      <c r="M570" s="116">
        <v>1319.1</v>
      </c>
      <c r="N570" s="116">
        <v>1340.95</v>
      </c>
      <c r="O570" s="116">
        <v>1310.5</v>
      </c>
      <c r="P570" s="116">
        <v>1336.5</v>
      </c>
      <c r="Q570" s="116">
        <v>2638.2</v>
      </c>
      <c r="R570">
        <v>13383</v>
      </c>
    </row>
    <row r="571" spans="1:18" x14ac:dyDescent="0.25">
      <c r="A571" s="170">
        <v>42844</v>
      </c>
      <c r="B571" s="116">
        <v>1325</v>
      </c>
      <c r="C571" s="116">
        <v>1303.0250000000001</v>
      </c>
      <c r="D571" s="116">
        <v>1290.55</v>
      </c>
      <c r="E571" s="116">
        <v>1324</v>
      </c>
      <c r="F571" s="116">
        <v>2606.0500000000002</v>
      </c>
      <c r="G571">
        <v>3610</v>
      </c>
      <c r="H571" s="116"/>
      <c r="I571" s="116"/>
      <c r="L571" s="170">
        <v>42844</v>
      </c>
      <c r="M571" s="116">
        <v>1306.95</v>
      </c>
      <c r="N571" s="116">
        <v>1334.925</v>
      </c>
      <c r="O571" s="116">
        <v>1287.5</v>
      </c>
      <c r="P571" s="116">
        <v>1320</v>
      </c>
      <c r="Q571" s="116">
        <v>2613.9</v>
      </c>
      <c r="R571">
        <v>25105</v>
      </c>
    </row>
    <row r="572" spans="1:18" x14ac:dyDescent="0.25">
      <c r="A572" s="170">
        <v>42845</v>
      </c>
      <c r="B572" s="116">
        <v>1322.4749999999999</v>
      </c>
      <c r="C572" s="116">
        <v>1306.375</v>
      </c>
      <c r="D572" s="116">
        <v>1302.5</v>
      </c>
      <c r="E572" s="116">
        <v>1317.5</v>
      </c>
      <c r="F572" s="116">
        <v>2612.75</v>
      </c>
      <c r="G572">
        <v>918</v>
      </c>
      <c r="H572" s="116"/>
      <c r="I572" s="116"/>
      <c r="L572" s="170">
        <v>42845</v>
      </c>
      <c r="M572" s="116">
        <v>1305.4000000000001</v>
      </c>
      <c r="N572" s="116">
        <v>1320</v>
      </c>
      <c r="O572" s="116">
        <v>1300.0250000000001</v>
      </c>
      <c r="P572" s="116">
        <v>1306.5</v>
      </c>
      <c r="Q572" s="116">
        <v>2610.8000000000002</v>
      </c>
      <c r="R572">
        <v>5611</v>
      </c>
    </row>
    <row r="573" spans="1:18" x14ac:dyDescent="0.25">
      <c r="A573" s="170">
        <v>42846</v>
      </c>
      <c r="B573" s="116">
        <v>1305</v>
      </c>
      <c r="C573" s="116">
        <v>1297.825</v>
      </c>
      <c r="D573" s="116">
        <v>1293.5</v>
      </c>
      <c r="E573" s="116">
        <v>1305</v>
      </c>
      <c r="F573" s="116">
        <v>2595.65</v>
      </c>
      <c r="G573">
        <v>742</v>
      </c>
      <c r="H573" s="116"/>
      <c r="I573" s="116"/>
      <c r="L573" s="170">
        <v>42846</v>
      </c>
      <c r="M573" s="116">
        <v>1295.1500000000001</v>
      </c>
      <c r="N573" s="116">
        <v>1308.4749999999999</v>
      </c>
      <c r="O573" s="116">
        <v>1292.5</v>
      </c>
      <c r="P573" s="116">
        <v>1305.4000000000001</v>
      </c>
      <c r="Q573" s="116">
        <v>2590.3000000000002</v>
      </c>
      <c r="R573">
        <v>6379</v>
      </c>
    </row>
    <row r="574" spans="1:18" x14ac:dyDescent="0.25">
      <c r="A574" s="170">
        <v>42849</v>
      </c>
      <c r="B574" s="116">
        <v>1302.5</v>
      </c>
      <c r="C574" s="116">
        <v>1288.325</v>
      </c>
      <c r="D574" s="116">
        <v>1285</v>
      </c>
      <c r="E574" s="116">
        <v>1295.0250000000001</v>
      </c>
      <c r="F574" s="116">
        <v>2576.65</v>
      </c>
      <c r="G574">
        <v>1427</v>
      </c>
      <c r="H574" s="116"/>
      <c r="I574" s="116"/>
      <c r="L574" s="170">
        <v>42849</v>
      </c>
      <c r="M574" s="116">
        <v>1288.45</v>
      </c>
      <c r="N574" s="116">
        <v>1304.9749999999999</v>
      </c>
      <c r="O574" s="116">
        <v>1285</v>
      </c>
      <c r="P574" s="116">
        <v>1292.5</v>
      </c>
      <c r="Q574" s="116">
        <v>2576.9</v>
      </c>
      <c r="R574">
        <v>9464</v>
      </c>
    </row>
    <row r="575" spans="1:18" x14ac:dyDescent="0.25">
      <c r="A575" s="170">
        <v>42850</v>
      </c>
      <c r="B575" s="116">
        <v>1295.5</v>
      </c>
      <c r="C575" s="116">
        <v>1283.625</v>
      </c>
      <c r="D575" s="116">
        <v>1280</v>
      </c>
      <c r="E575" s="116">
        <v>1292.5</v>
      </c>
      <c r="F575" s="116">
        <v>2567.25</v>
      </c>
      <c r="G575">
        <v>1170</v>
      </c>
      <c r="H575" s="116"/>
      <c r="I575" s="116"/>
      <c r="L575" s="170">
        <v>42850</v>
      </c>
      <c r="M575" s="116">
        <v>1283.55</v>
      </c>
      <c r="N575" s="116">
        <v>1299.8499999999999</v>
      </c>
      <c r="O575" s="116">
        <v>1282.075</v>
      </c>
      <c r="P575" s="116">
        <v>1292</v>
      </c>
      <c r="Q575" s="116">
        <v>2567.1</v>
      </c>
      <c r="R575">
        <v>7850</v>
      </c>
    </row>
    <row r="576" spans="1:18" x14ac:dyDescent="0.25">
      <c r="A576" s="170">
        <v>42851</v>
      </c>
      <c r="B576" s="116">
        <v>1297.5</v>
      </c>
      <c r="C576" s="116">
        <v>1275.325</v>
      </c>
      <c r="D576" s="116">
        <v>1272.5</v>
      </c>
      <c r="E576" s="116">
        <v>1289.9749999999999</v>
      </c>
      <c r="F576" s="116">
        <v>2550.65</v>
      </c>
      <c r="G576">
        <v>2077</v>
      </c>
      <c r="H576" s="116"/>
      <c r="I576" s="116"/>
      <c r="L576" s="170">
        <v>42851</v>
      </c>
      <c r="M576" s="116">
        <v>1280.7</v>
      </c>
      <c r="N576" s="116">
        <v>1299.5</v>
      </c>
      <c r="O576" s="116">
        <v>1273.5</v>
      </c>
      <c r="P576" s="116">
        <v>1293.5</v>
      </c>
      <c r="Q576" s="116">
        <v>2561.4</v>
      </c>
      <c r="R576">
        <v>9804</v>
      </c>
    </row>
    <row r="577" spans="1:18" x14ac:dyDescent="0.25">
      <c r="A577" s="170">
        <v>42852</v>
      </c>
      <c r="B577" s="116">
        <v>1285.6500000000001</v>
      </c>
      <c r="C577" s="116">
        <v>1279.0250000000001</v>
      </c>
      <c r="D577" s="116">
        <v>1272.5</v>
      </c>
      <c r="E577" s="116">
        <v>1276</v>
      </c>
      <c r="F577" s="116">
        <v>2558.0500000000002</v>
      </c>
      <c r="G577">
        <v>1541</v>
      </c>
      <c r="H577" s="116"/>
      <c r="I577" s="116"/>
      <c r="L577" s="170">
        <v>42852</v>
      </c>
      <c r="M577" s="116">
        <v>1282.2</v>
      </c>
      <c r="N577" s="116">
        <v>1289</v>
      </c>
      <c r="O577" s="116">
        <v>1271</v>
      </c>
      <c r="P577" s="116">
        <v>1274</v>
      </c>
      <c r="Q577" s="116">
        <v>2564.4</v>
      </c>
      <c r="R577">
        <v>8540</v>
      </c>
    </row>
    <row r="578" spans="1:18" x14ac:dyDescent="0.25">
      <c r="A578" s="170">
        <v>42853</v>
      </c>
      <c r="B578" s="116">
        <v>1282.5</v>
      </c>
      <c r="C578" s="116">
        <v>1250.2249999999999</v>
      </c>
      <c r="D578" s="116">
        <v>1248</v>
      </c>
      <c r="E578" s="116">
        <v>1281.5250000000001</v>
      </c>
      <c r="F578" s="116">
        <v>2500.4499999999998</v>
      </c>
      <c r="G578">
        <v>3493</v>
      </c>
      <c r="H578" s="116"/>
      <c r="I578" s="116"/>
      <c r="L578" s="170">
        <v>42853</v>
      </c>
      <c r="M578" s="116">
        <v>1248.175</v>
      </c>
      <c r="N578" s="116">
        <v>1288.675</v>
      </c>
      <c r="O578" s="116">
        <v>1245</v>
      </c>
      <c r="P578" s="116">
        <v>1284</v>
      </c>
      <c r="Q578" s="116">
        <v>2496.35</v>
      </c>
      <c r="R578">
        <v>27080</v>
      </c>
    </row>
    <row r="579" spans="1:18" x14ac:dyDescent="0.25">
      <c r="A579" s="170">
        <v>42857</v>
      </c>
      <c r="B579" s="116">
        <v>1272.4749999999999</v>
      </c>
      <c r="C579" s="116">
        <v>1211.625</v>
      </c>
      <c r="D579" s="116">
        <v>1199.5</v>
      </c>
      <c r="E579" s="116">
        <v>1264.825</v>
      </c>
      <c r="F579" s="116">
        <v>2423.25</v>
      </c>
      <c r="G579">
        <v>4766</v>
      </c>
      <c r="H579" s="116"/>
      <c r="I579" s="116"/>
      <c r="L579" s="170">
        <v>42857</v>
      </c>
      <c r="M579" s="116">
        <v>1209.075</v>
      </c>
      <c r="N579" s="116">
        <v>1259.4000000000001</v>
      </c>
      <c r="O579" s="116">
        <v>1198.2750000000001</v>
      </c>
      <c r="P579" s="116">
        <v>1249.3</v>
      </c>
      <c r="Q579" s="116">
        <v>2418.15</v>
      </c>
      <c r="R579">
        <v>28774</v>
      </c>
    </row>
    <row r="580" spans="1:18" x14ac:dyDescent="0.25">
      <c r="A580" s="170">
        <v>42858</v>
      </c>
      <c r="B580" s="116">
        <v>1225</v>
      </c>
      <c r="C580" s="116">
        <v>1210.875</v>
      </c>
      <c r="D580" s="116">
        <v>1207.5</v>
      </c>
      <c r="E580" s="116">
        <v>1207.5</v>
      </c>
      <c r="F580" s="116">
        <v>2421.75</v>
      </c>
      <c r="G580">
        <v>2218</v>
      </c>
      <c r="H580" s="116"/>
      <c r="I580" s="116"/>
      <c r="L580" s="170">
        <v>42858</v>
      </c>
      <c r="M580" s="116">
        <v>1212.2</v>
      </c>
      <c r="N580" s="116">
        <v>1224.8499999999999</v>
      </c>
      <c r="O580" s="116">
        <v>1209</v>
      </c>
      <c r="P580" s="116">
        <v>1213.45</v>
      </c>
      <c r="Q580" s="116">
        <v>2424.4</v>
      </c>
      <c r="R580">
        <v>13087</v>
      </c>
    </row>
    <row r="581" spans="1:18" x14ac:dyDescent="0.25">
      <c r="A581" s="170">
        <v>42859</v>
      </c>
      <c r="B581" s="116">
        <v>1238.5</v>
      </c>
      <c r="C581" s="116">
        <v>1229.7750000000001</v>
      </c>
      <c r="D581" s="116">
        <v>1214.0250000000001</v>
      </c>
      <c r="E581" s="116">
        <v>1214.125</v>
      </c>
      <c r="F581" s="116">
        <v>2459.5500000000002</v>
      </c>
      <c r="G581">
        <v>1074</v>
      </c>
      <c r="H581" s="116"/>
      <c r="I581" s="116"/>
      <c r="L581" s="170">
        <v>42859</v>
      </c>
      <c r="M581" s="116">
        <v>1233.8</v>
      </c>
      <c r="N581" s="116">
        <v>1240</v>
      </c>
      <c r="O581" s="116">
        <v>1212</v>
      </c>
      <c r="P581" s="116">
        <v>1212</v>
      </c>
      <c r="Q581" s="116">
        <v>2467.6</v>
      </c>
      <c r="R581">
        <v>7048</v>
      </c>
    </row>
    <row r="582" spans="1:18" x14ac:dyDescent="0.25">
      <c r="A582" s="170">
        <v>42860</v>
      </c>
      <c r="B582" s="116">
        <v>1240</v>
      </c>
      <c r="C582" s="116">
        <v>1222.5</v>
      </c>
      <c r="D582" s="116">
        <v>1219</v>
      </c>
      <c r="E582" s="116">
        <v>1232.5</v>
      </c>
      <c r="F582" s="116">
        <v>2445</v>
      </c>
      <c r="G582">
        <v>923</v>
      </c>
      <c r="H582" s="116"/>
      <c r="I582" s="116"/>
      <c r="L582" s="170">
        <v>42860</v>
      </c>
      <c r="M582" s="116">
        <v>1223.575</v>
      </c>
      <c r="N582" s="116">
        <v>1239</v>
      </c>
      <c r="O582" s="116">
        <v>1217.45</v>
      </c>
      <c r="P582" s="116">
        <v>1234</v>
      </c>
      <c r="Q582" s="116">
        <v>2447.15</v>
      </c>
      <c r="R582">
        <v>7689</v>
      </c>
    </row>
    <row r="583" spans="1:18" x14ac:dyDescent="0.25">
      <c r="A583" s="170">
        <v>42863</v>
      </c>
      <c r="B583" s="116">
        <v>1237.2</v>
      </c>
      <c r="C583" s="116">
        <v>1219.7249999999999</v>
      </c>
      <c r="D583" s="116">
        <v>1207.5</v>
      </c>
      <c r="E583" s="116">
        <v>1237.2</v>
      </c>
      <c r="F583" s="116">
        <v>2439.4499999999998</v>
      </c>
      <c r="G583">
        <v>1022</v>
      </c>
      <c r="H583" s="116"/>
      <c r="I583" s="116"/>
      <c r="L583" s="170">
        <v>42863</v>
      </c>
      <c r="M583" s="116">
        <v>1217.7249999999999</v>
      </c>
      <c r="N583" s="116">
        <v>1226</v>
      </c>
      <c r="O583" s="116">
        <v>1214.0999999999999</v>
      </c>
      <c r="P583" s="116">
        <v>1225.0250000000001</v>
      </c>
      <c r="Q583" s="116">
        <v>2435.4499999999998</v>
      </c>
      <c r="R583">
        <v>5133</v>
      </c>
    </row>
    <row r="584" spans="1:18" x14ac:dyDescent="0.25">
      <c r="A584" s="170">
        <v>42864</v>
      </c>
      <c r="B584" s="116">
        <v>1222.5</v>
      </c>
      <c r="C584" s="116">
        <v>1210.1500000000001</v>
      </c>
      <c r="D584" s="116">
        <v>1206</v>
      </c>
      <c r="E584" s="116">
        <v>1222.5</v>
      </c>
      <c r="F584" s="116">
        <v>2420.3000000000002</v>
      </c>
      <c r="G584">
        <v>1068</v>
      </c>
      <c r="H584" s="116"/>
      <c r="I584" s="116"/>
      <c r="L584" s="170">
        <v>42864</v>
      </c>
      <c r="M584" s="116">
        <v>1212.075</v>
      </c>
      <c r="N584" s="116">
        <v>1220</v>
      </c>
      <c r="O584" s="116">
        <v>1207.05</v>
      </c>
      <c r="P584" s="116">
        <v>1219</v>
      </c>
      <c r="Q584" s="116">
        <v>2424.15</v>
      </c>
      <c r="R584">
        <v>10341</v>
      </c>
    </row>
    <row r="585" spans="1:18" x14ac:dyDescent="0.25">
      <c r="A585" s="170">
        <v>42865</v>
      </c>
      <c r="B585" s="116">
        <v>1222.5</v>
      </c>
      <c r="C585" s="116">
        <v>1211.125</v>
      </c>
      <c r="D585" s="116">
        <v>1203</v>
      </c>
      <c r="E585" s="116">
        <v>1214.95</v>
      </c>
      <c r="F585" s="116">
        <v>2422.25</v>
      </c>
      <c r="G585">
        <v>4485</v>
      </c>
      <c r="H585" s="116"/>
      <c r="I585" s="116"/>
      <c r="L585" s="170">
        <v>42865</v>
      </c>
      <c r="M585" s="116">
        <v>1218.325</v>
      </c>
      <c r="N585" s="116">
        <v>1244</v>
      </c>
      <c r="O585" s="116">
        <v>1206</v>
      </c>
      <c r="P585" s="116">
        <v>1212.5</v>
      </c>
      <c r="Q585" s="116">
        <v>2436.65</v>
      </c>
      <c r="R585">
        <v>12276</v>
      </c>
    </row>
    <row r="586" spans="1:18" x14ac:dyDescent="0.25">
      <c r="A586" s="170">
        <v>42866</v>
      </c>
      <c r="B586" s="116">
        <v>1227</v>
      </c>
      <c r="C586" s="116">
        <v>1217.425</v>
      </c>
      <c r="D586" s="116">
        <v>1212.425</v>
      </c>
      <c r="E586" s="116">
        <v>1222.5</v>
      </c>
      <c r="F586" s="116">
        <v>2434.85</v>
      </c>
      <c r="G586">
        <v>1105</v>
      </c>
      <c r="H586" s="116"/>
      <c r="I586" s="116"/>
      <c r="L586" s="170">
        <v>42866</v>
      </c>
      <c r="M586" s="116">
        <v>1222.2750000000001</v>
      </c>
      <c r="N586" s="116">
        <v>1230</v>
      </c>
      <c r="O586" s="116">
        <v>1210</v>
      </c>
      <c r="P586" s="116">
        <v>1223.9000000000001</v>
      </c>
      <c r="Q586" s="116">
        <v>2444.5500000000002</v>
      </c>
      <c r="R586">
        <v>7824</v>
      </c>
    </row>
    <row r="587" spans="1:18" x14ac:dyDescent="0.25">
      <c r="A587" s="170">
        <v>42867</v>
      </c>
      <c r="B587" s="116">
        <v>1223.25</v>
      </c>
      <c r="C587" s="116">
        <v>1209.2249999999999</v>
      </c>
      <c r="D587" s="116">
        <v>1204.5</v>
      </c>
      <c r="E587" s="116">
        <v>1218.5</v>
      </c>
      <c r="F587" s="116">
        <v>2418.4499999999998</v>
      </c>
      <c r="G587">
        <v>1931</v>
      </c>
      <c r="H587" s="116"/>
      <c r="I587" s="116"/>
      <c r="L587" s="170">
        <v>42867</v>
      </c>
      <c r="M587" s="116">
        <v>1208.8499999999999</v>
      </c>
      <c r="N587" s="116">
        <v>1222.0250000000001</v>
      </c>
      <c r="O587" s="116">
        <v>1205.0999999999999</v>
      </c>
      <c r="P587" s="116">
        <v>1222.0250000000001</v>
      </c>
      <c r="Q587" s="116">
        <v>2417.6999999999998</v>
      </c>
      <c r="R587">
        <v>8928</v>
      </c>
    </row>
    <row r="588" spans="1:18" x14ac:dyDescent="0.25">
      <c r="A588" s="170">
        <v>42870</v>
      </c>
      <c r="B588" s="116">
        <v>1218.9000000000001</v>
      </c>
      <c r="C588" s="116">
        <v>1213.75</v>
      </c>
      <c r="D588" s="116">
        <v>1198.5</v>
      </c>
      <c r="E588" s="116">
        <v>1207.3499999999999</v>
      </c>
      <c r="F588" s="116">
        <v>2427.5</v>
      </c>
      <c r="G588">
        <v>3398</v>
      </c>
      <c r="H588" s="116"/>
      <c r="I588" s="116"/>
      <c r="L588" s="170">
        <v>42870</v>
      </c>
      <c r="M588" s="116">
        <v>1214.6500000000001</v>
      </c>
      <c r="N588" s="116">
        <v>1221.5</v>
      </c>
      <c r="O588" s="116">
        <v>1201</v>
      </c>
      <c r="P588" s="116">
        <v>1210</v>
      </c>
      <c r="Q588" s="116">
        <v>2429.3000000000002</v>
      </c>
      <c r="R588">
        <v>9772</v>
      </c>
    </row>
    <row r="589" spans="1:18" x14ac:dyDescent="0.25">
      <c r="A589" s="170">
        <v>42871</v>
      </c>
      <c r="B589" s="116">
        <v>1226</v>
      </c>
      <c r="C589" s="116">
        <v>1213.8499999999999</v>
      </c>
      <c r="D589" s="116">
        <v>1208.575</v>
      </c>
      <c r="E589" s="116">
        <v>1213.75</v>
      </c>
      <c r="F589" s="116">
        <v>2427.6999999999998</v>
      </c>
      <c r="G589">
        <v>1372</v>
      </c>
      <c r="H589" s="116"/>
      <c r="I589" s="116"/>
      <c r="L589" s="170">
        <v>42871</v>
      </c>
      <c r="M589" s="116">
        <v>1215.3</v>
      </c>
      <c r="N589" s="116">
        <v>1220</v>
      </c>
      <c r="O589" s="116">
        <v>1209.55</v>
      </c>
      <c r="P589" s="116">
        <v>1214.6500000000001</v>
      </c>
      <c r="Q589" s="116">
        <v>2430.6</v>
      </c>
      <c r="R589">
        <v>6582</v>
      </c>
    </row>
    <row r="590" spans="1:18" x14ac:dyDescent="0.25">
      <c r="A590" s="170">
        <v>42872</v>
      </c>
      <c r="B590" s="116">
        <v>1223</v>
      </c>
      <c r="C590" s="116">
        <v>1212.0999999999999</v>
      </c>
      <c r="D590" s="116">
        <v>1207.5250000000001</v>
      </c>
      <c r="E590" s="116">
        <v>1222.4749999999999</v>
      </c>
      <c r="F590" s="116">
        <v>2424.1999999999998</v>
      </c>
      <c r="G590">
        <v>1655</v>
      </c>
      <c r="H590" s="116"/>
      <c r="I590" s="116"/>
      <c r="L590" s="170">
        <v>42872</v>
      </c>
      <c r="M590" s="116">
        <v>1211.2249999999999</v>
      </c>
      <c r="N590" s="116">
        <v>1222.5</v>
      </c>
      <c r="O590" s="116">
        <v>1207.5</v>
      </c>
      <c r="P590" s="116">
        <v>1222.5</v>
      </c>
      <c r="Q590" s="116">
        <v>2422.4499999999998</v>
      </c>
      <c r="R590">
        <v>7333</v>
      </c>
    </row>
    <row r="591" spans="1:18" x14ac:dyDescent="0.25">
      <c r="A591" s="170">
        <v>42873</v>
      </c>
      <c r="B591" s="116">
        <v>1222</v>
      </c>
      <c r="C591" s="116">
        <v>1202.1500000000001</v>
      </c>
      <c r="D591" s="116">
        <v>1199.5</v>
      </c>
      <c r="E591" s="116">
        <v>1216.9749999999999</v>
      </c>
      <c r="F591" s="116">
        <v>2404.3000000000002</v>
      </c>
      <c r="G591">
        <v>1017</v>
      </c>
      <c r="H591" s="116"/>
      <c r="I591" s="116"/>
      <c r="L591" s="170">
        <v>42873</v>
      </c>
      <c r="M591" s="116">
        <v>1203.3</v>
      </c>
      <c r="N591" s="116">
        <v>1206</v>
      </c>
      <c r="O591" s="116">
        <v>1199</v>
      </c>
      <c r="P591" s="116">
        <v>1203.875</v>
      </c>
      <c r="Q591" s="116">
        <v>2406.6</v>
      </c>
      <c r="R591">
        <v>8869</v>
      </c>
    </row>
    <row r="592" spans="1:18" x14ac:dyDescent="0.25">
      <c r="A592" s="170">
        <v>42874</v>
      </c>
      <c r="B592" s="116">
        <v>1238.4749999999999</v>
      </c>
      <c r="C592" s="116">
        <v>1221.125</v>
      </c>
      <c r="D592" s="116">
        <v>1203.0250000000001</v>
      </c>
      <c r="E592" s="116">
        <v>1212</v>
      </c>
      <c r="F592" s="116">
        <v>2442.25</v>
      </c>
      <c r="G592">
        <v>1475</v>
      </c>
      <c r="H592" s="116"/>
      <c r="I592" s="116"/>
      <c r="L592" s="170">
        <v>42874</v>
      </c>
      <c r="M592" s="116">
        <v>1224.05</v>
      </c>
      <c r="N592" s="116">
        <v>1243.05</v>
      </c>
      <c r="O592" s="116">
        <v>1200</v>
      </c>
      <c r="P592" s="116">
        <v>1204.2</v>
      </c>
      <c r="Q592" s="116">
        <v>2448.1</v>
      </c>
      <c r="R592">
        <v>16192</v>
      </c>
    </row>
    <row r="593" spans="1:18" x14ac:dyDescent="0.25">
      <c r="A593" s="170">
        <v>42877</v>
      </c>
      <c r="B593" s="116">
        <v>1227.7750000000001</v>
      </c>
      <c r="C593" s="116">
        <v>1214.0250000000001</v>
      </c>
      <c r="D593" s="116">
        <v>1212</v>
      </c>
      <c r="E593" s="116">
        <v>1223.0250000000001</v>
      </c>
      <c r="F593" s="116">
        <v>2428.0500000000002</v>
      </c>
      <c r="G593">
        <v>804</v>
      </c>
      <c r="H593" s="116"/>
      <c r="I593" s="116"/>
      <c r="L593" s="170">
        <v>42877</v>
      </c>
      <c r="M593" s="116">
        <v>1214.9749999999999</v>
      </c>
      <c r="N593" s="116">
        <v>1227.5</v>
      </c>
      <c r="O593" s="116">
        <v>1210</v>
      </c>
      <c r="P593" s="116">
        <v>1224.05</v>
      </c>
      <c r="Q593" s="116">
        <v>2429.9499999999998</v>
      </c>
      <c r="R593">
        <v>6241</v>
      </c>
    </row>
    <row r="594" spans="1:18" x14ac:dyDescent="0.25">
      <c r="A594" s="170">
        <v>42878</v>
      </c>
      <c r="B594" s="116">
        <v>1216.3499999999999</v>
      </c>
      <c r="C594" s="116">
        <v>1209.375</v>
      </c>
      <c r="D594" s="116">
        <v>1197.5</v>
      </c>
      <c r="E594" s="116">
        <v>1214.0250000000001</v>
      </c>
      <c r="F594" s="116">
        <v>2418.75</v>
      </c>
      <c r="G594">
        <v>6858</v>
      </c>
      <c r="H594" s="116"/>
      <c r="I594" s="116"/>
      <c r="L594" s="170">
        <v>42878</v>
      </c>
      <c r="M594" s="116">
        <v>1211.0250000000001</v>
      </c>
      <c r="N594" s="116">
        <v>1222.5</v>
      </c>
      <c r="O594" s="116">
        <v>1196.5</v>
      </c>
      <c r="P594" s="116">
        <v>1207.875</v>
      </c>
      <c r="Q594" s="116">
        <v>2422.0500000000002</v>
      </c>
      <c r="R594">
        <v>8303</v>
      </c>
    </row>
    <row r="595" spans="1:18" x14ac:dyDescent="0.25">
      <c r="A595" s="170">
        <v>42879</v>
      </c>
      <c r="B595" s="116">
        <v>1210</v>
      </c>
      <c r="C595" s="116">
        <v>1199.8</v>
      </c>
      <c r="D595" s="116">
        <v>1187.5</v>
      </c>
      <c r="E595" s="116">
        <v>1210</v>
      </c>
      <c r="F595" s="116">
        <v>2399.6</v>
      </c>
      <c r="G595">
        <v>2007</v>
      </c>
      <c r="H595" s="116"/>
      <c r="I595" s="116"/>
      <c r="L595" s="170">
        <v>42879</v>
      </c>
      <c r="M595" s="116">
        <v>1202.25</v>
      </c>
      <c r="N595" s="116">
        <v>1211</v>
      </c>
      <c r="O595" s="116">
        <v>1190.5</v>
      </c>
      <c r="P595" s="116">
        <v>1210</v>
      </c>
      <c r="Q595" s="116">
        <v>2404.5</v>
      </c>
      <c r="R595">
        <v>8857</v>
      </c>
    </row>
    <row r="596" spans="1:18" x14ac:dyDescent="0.25">
      <c r="A596" s="170">
        <v>42880</v>
      </c>
      <c r="B596" s="116">
        <v>1207.5</v>
      </c>
      <c r="C596" s="116">
        <v>1184.4000000000001</v>
      </c>
      <c r="D596" s="116">
        <v>1180</v>
      </c>
      <c r="E596" s="116">
        <v>1202</v>
      </c>
      <c r="F596" s="116">
        <v>2368.8000000000002</v>
      </c>
      <c r="G596">
        <v>2313</v>
      </c>
      <c r="H596" s="116"/>
      <c r="I596" s="116"/>
      <c r="L596" s="170">
        <v>42880</v>
      </c>
      <c r="M596" s="116">
        <v>1186</v>
      </c>
      <c r="N596" s="116">
        <v>1206.7</v>
      </c>
      <c r="O596" s="116">
        <v>1180.5</v>
      </c>
      <c r="P596" s="116">
        <v>1202</v>
      </c>
      <c r="Q596" s="116">
        <v>2372</v>
      </c>
      <c r="R596">
        <v>10916</v>
      </c>
    </row>
    <row r="597" spans="1:18" x14ac:dyDescent="0.25">
      <c r="A597" s="170">
        <v>42881</v>
      </c>
      <c r="B597" s="116">
        <v>1191.5</v>
      </c>
      <c r="C597" s="116">
        <v>1183.45</v>
      </c>
      <c r="D597" s="116">
        <v>1176.45</v>
      </c>
      <c r="E597" s="116">
        <v>1184.4000000000001</v>
      </c>
      <c r="F597" s="116">
        <v>2366.9</v>
      </c>
      <c r="G597">
        <v>1441</v>
      </c>
      <c r="H597" s="116"/>
      <c r="I597" s="116"/>
      <c r="L597" s="170">
        <v>42881</v>
      </c>
      <c r="M597" s="116">
        <v>1182.95</v>
      </c>
      <c r="N597" s="116">
        <v>1193</v>
      </c>
      <c r="O597" s="116">
        <v>1176.45</v>
      </c>
      <c r="P597" s="116">
        <v>1180.5999999999999</v>
      </c>
      <c r="Q597" s="116">
        <v>2365.9</v>
      </c>
      <c r="R597">
        <v>7409</v>
      </c>
    </row>
    <row r="598" spans="1:18" x14ac:dyDescent="0.25">
      <c r="A598" s="170">
        <v>42884</v>
      </c>
      <c r="B598" s="116">
        <v>1184.25</v>
      </c>
      <c r="C598" s="116">
        <v>1165.0999999999999</v>
      </c>
      <c r="D598" s="116">
        <v>1155</v>
      </c>
      <c r="E598" s="116">
        <v>1183</v>
      </c>
      <c r="F598" s="116">
        <v>2330.1999999999998</v>
      </c>
      <c r="G598">
        <v>1554</v>
      </c>
      <c r="H598" s="116"/>
      <c r="I598" s="116"/>
      <c r="L598" s="170">
        <v>42884</v>
      </c>
      <c r="M598" s="116">
        <v>1165.2750000000001</v>
      </c>
      <c r="N598" s="116">
        <v>1182.55</v>
      </c>
      <c r="O598" s="116">
        <v>1150.875</v>
      </c>
      <c r="P598" s="116">
        <v>1182.5250000000001</v>
      </c>
      <c r="Q598" s="116">
        <v>2330.5500000000002</v>
      </c>
      <c r="R598">
        <v>33156</v>
      </c>
    </row>
    <row r="599" spans="1:18" x14ac:dyDescent="0.25">
      <c r="A599" s="170">
        <v>42885</v>
      </c>
      <c r="B599" s="116">
        <v>1205</v>
      </c>
      <c r="C599" s="116">
        <v>1188.3499999999999</v>
      </c>
      <c r="D599" s="116">
        <v>1154.5250000000001</v>
      </c>
      <c r="E599" s="116">
        <v>1164.5</v>
      </c>
      <c r="F599" s="116">
        <v>2376.6999999999998</v>
      </c>
      <c r="G599">
        <v>1563</v>
      </c>
      <c r="H599" s="116"/>
      <c r="I599" s="116"/>
      <c r="L599" s="170">
        <v>42885</v>
      </c>
      <c r="M599" s="116">
        <v>1195.05</v>
      </c>
      <c r="N599" s="116">
        <v>1218.9749999999999</v>
      </c>
      <c r="O599" s="116">
        <v>1150.5</v>
      </c>
      <c r="P599" s="116">
        <v>1165.5</v>
      </c>
      <c r="Q599" s="116">
        <v>2390.1</v>
      </c>
      <c r="R599">
        <v>11376</v>
      </c>
    </row>
    <row r="600" spans="1:18" x14ac:dyDescent="0.25">
      <c r="A600" s="170">
        <v>42886</v>
      </c>
      <c r="B600" s="116">
        <v>1224.9749999999999</v>
      </c>
      <c r="C600" s="116">
        <v>1213.55</v>
      </c>
      <c r="D600" s="116">
        <v>1188</v>
      </c>
      <c r="E600" s="116">
        <v>1194.3499999999999</v>
      </c>
      <c r="F600" s="116">
        <v>2427.1</v>
      </c>
      <c r="G600">
        <v>2142</v>
      </c>
      <c r="H600" s="116"/>
      <c r="I600" s="116"/>
      <c r="L600" s="170">
        <v>42886</v>
      </c>
      <c r="M600" s="116">
        <v>1215.0999999999999</v>
      </c>
      <c r="N600" s="116">
        <v>1232.0999999999999</v>
      </c>
      <c r="O600" s="116">
        <v>1185.825</v>
      </c>
      <c r="P600" s="116">
        <v>1195.7</v>
      </c>
      <c r="Q600" s="116">
        <v>2430.1999999999998</v>
      </c>
      <c r="R600">
        <v>12013</v>
      </c>
    </row>
    <row r="601" spans="1:18" x14ac:dyDescent="0.25">
      <c r="A601" s="170">
        <v>42887</v>
      </c>
      <c r="B601" s="116">
        <v>1242.6500000000001</v>
      </c>
      <c r="C601" s="116">
        <v>1230.0999999999999</v>
      </c>
      <c r="D601" s="116">
        <v>1213.55</v>
      </c>
      <c r="E601" s="116">
        <v>1224</v>
      </c>
      <c r="F601" s="116">
        <v>2460.1999999999998</v>
      </c>
      <c r="G601">
        <v>1662</v>
      </c>
      <c r="H601" s="116"/>
      <c r="I601" s="116"/>
      <c r="L601" s="170">
        <v>42887</v>
      </c>
      <c r="M601" s="116">
        <v>1231.675</v>
      </c>
      <c r="N601" s="116">
        <v>1241.8</v>
      </c>
      <c r="O601" s="116">
        <v>1218.5</v>
      </c>
      <c r="P601" s="116">
        <v>1220</v>
      </c>
      <c r="Q601" s="116">
        <v>2463.35</v>
      </c>
      <c r="R601">
        <v>7089</v>
      </c>
    </row>
    <row r="602" spans="1:18" x14ac:dyDescent="0.25">
      <c r="A602" s="170">
        <v>42888</v>
      </c>
      <c r="B602" s="116">
        <v>1250</v>
      </c>
      <c r="C602" s="116">
        <v>1229.8499999999999</v>
      </c>
      <c r="D602" s="116">
        <v>1225</v>
      </c>
      <c r="E602" s="116">
        <v>1250</v>
      </c>
      <c r="F602" s="116">
        <v>2459.6999999999998</v>
      </c>
      <c r="G602">
        <v>447</v>
      </c>
      <c r="H602" s="116"/>
      <c r="I602" s="116"/>
      <c r="L602" s="170">
        <v>42888</v>
      </c>
      <c r="M602" s="116">
        <v>1233.7</v>
      </c>
      <c r="N602" s="116">
        <v>1242.5</v>
      </c>
      <c r="O602" s="116">
        <v>1226.2750000000001</v>
      </c>
      <c r="P602" s="116">
        <v>1240.075</v>
      </c>
      <c r="Q602" s="116">
        <v>2467.4</v>
      </c>
      <c r="R602">
        <v>5308</v>
      </c>
    </row>
    <row r="603" spans="1:18" x14ac:dyDescent="0.25">
      <c r="A603" s="170">
        <v>42891</v>
      </c>
      <c r="B603" s="116">
        <v>1240.5</v>
      </c>
      <c r="C603" s="116">
        <v>1234.6500000000001</v>
      </c>
      <c r="D603" s="116">
        <v>1229.5</v>
      </c>
      <c r="E603" s="116">
        <v>1234.5</v>
      </c>
      <c r="F603" s="116">
        <v>2469.3000000000002</v>
      </c>
      <c r="G603">
        <v>929</v>
      </c>
      <c r="H603" s="116"/>
      <c r="I603" s="116"/>
      <c r="L603" s="170">
        <v>42891</v>
      </c>
      <c r="M603" s="116">
        <v>1233.175</v>
      </c>
      <c r="N603" s="116">
        <v>1239.95</v>
      </c>
      <c r="O603" s="116">
        <v>1226.0250000000001</v>
      </c>
      <c r="P603" s="116">
        <v>1234</v>
      </c>
      <c r="Q603" s="116">
        <v>2466.35</v>
      </c>
      <c r="R603">
        <v>3820</v>
      </c>
    </row>
    <row r="604" spans="1:18" x14ac:dyDescent="0.25">
      <c r="A604" s="170">
        <v>42892</v>
      </c>
      <c r="B604" s="116">
        <v>1242.4749999999999</v>
      </c>
      <c r="C604" s="116">
        <v>1224.9749999999999</v>
      </c>
      <c r="D604" s="116">
        <v>1202.75</v>
      </c>
      <c r="E604" s="116">
        <v>1242.4749999999999</v>
      </c>
      <c r="F604" s="116">
        <v>2449.9499999999998</v>
      </c>
      <c r="G604">
        <v>1424</v>
      </c>
      <c r="H604" s="116"/>
      <c r="I604" s="116"/>
      <c r="L604" s="170">
        <v>42892</v>
      </c>
      <c r="M604" s="116">
        <v>1226.9749999999999</v>
      </c>
      <c r="N604" s="116">
        <v>1239.95</v>
      </c>
      <c r="O604" s="116">
        <v>1212.55</v>
      </c>
      <c r="P604" s="116">
        <v>1239.95</v>
      </c>
      <c r="Q604" s="116">
        <v>2453.9499999999998</v>
      </c>
      <c r="R604">
        <v>5734</v>
      </c>
    </row>
    <row r="605" spans="1:18" x14ac:dyDescent="0.25">
      <c r="A605" s="170">
        <v>42893</v>
      </c>
      <c r="B605" s="116">
        <v>1233.9749999999999</v>
      </c>
      <c r="C605" s="116">
        <v>1224.1500000000001</v>
      </c>
      <c r="D605" s="116">
        <v>1205.825</v>
      </c>
      <c r="E605" s="116">
        <v>1226</v>
      </c>
      <c r="F605" s="116">
        <v>2448.3000000000002</v>
      </c>
      <c r="G605">
        <v>1271</v>
      </c>
      <c r="H605" s="116"/>
      <c r="I605" s="116"/>
      <c r="L605" s="170">
        <v>42893</v>
      </c>
      <c r="M605" s="116">
        <v>1230.3</v>
      </c>
      <c r="N605" s="116">
        <v>1237</v>
      </c>
      <c r="O605" s="116">
        <v>1215.5</v>
      </c>
      <c r="P605" s="116">
        <v>1234</v>
      </c>
      <c r="Q605" s="116">
        <v>2460.6</v>
      </c>
      <c r="R605">
        <v>3414</v>
      </c>
    </row>
    <row r="606" spans="1:18" x14ac:dyDescent="0.25">
      <c r="A606" s="170">
        <v>42894</v>
      </c>
      <c r="B606" s="116">
        <v>1240.25</v>
      </c>
      <c r="C606" s="116">
        <v>1234.675</v>
      </c>
      <c r="D606" s="116">
        <v>1211.325</v>
      </c>
      <c r="E606" s="116">
        <v>1230</v>
      </c>
      <c r="F606" s="116">
        <v>2469.35</v>
      </c>
      <c r="G606">
        <v>1018</v>
      </c>
      <c r="H606" s="116"/>
      <c r="I606" s="116"/>
      <c r="L606" s="170">
        <v>42894</v>
      </c>
      <c r="M606" s="116">
        <v>1237.5250000000001</v>
      </c>
      <c r="N606" s="116">
        <v>1249.5</v>
      </c>
      <c r="O606" s="116">
        <v>1220.3499999999999</v>
      </c>
      <c r="P606" s="116">
        <v>1235</v>
      </c>
      <c r="Q606" s="116">
        <v>2475.0500000000002</v>
      </c>
      <c r="R606">
        <v>6926</v>
      </c>
    </row>
    <row r="607" spans="1:18" x14ac:dyDescent="0.25">
      <c r="A607" s="170">
        <v>42895</v>
      </c>
      <c r="B607" s="116">
        <v>1236.5999999999999</v>
      </c>
      <c r="C607" s="116">
        <v>1231.325</v>
      </c>
      <c r="D607" s="116">
        <v>1220</v>
      </c>
      <c r="E607" s="116">
        <v>1236</v>
      </c>
      <c r="F607" s="116">
        <v>2462.65</v>
      </c>
      <c r="G607">
        <v>764</v>
      </c>
      <c r="H607" s="116"/>
      <c r="I607" s="116"/>
      <c r="L607" s="170">
        <v>42895</v>
      </c>
      <c r="M607" s="116">
        <v>1235</v>
      </c>
      <c r="N607" s="116">
        <v>1242.5</v>
      </c>
      <c r="O607" s="116">
        <v>1230</v>
      </c>
      <c r="P607" s="116">
        <v>1240.45</v>
      </c>
      <c r="Q607" s="116">
        <v>2470</v>
      </c>
      <c r="R607">
        <v>3930</v>
      </c>
    </row>
    <row r="608" spans="1:18" x14ac:dyDescent="0.25">
      <c r="A608" s="170">
        <v>42898</v>
      </c>
      <c r="B608" s="116">
        <v>1237.5</v>
      </c>
      <c r="C608" s="116">
        <v>1232.7249999999999</v>
      </c>
      <c r="D608" s="116">
        <v>1225.5999999999999</v>
      </c>
      <c r="E608" s="116">
        <v>1235</v>
      </c>
      <c r="F608" s="116">
        <v>2465.4499999999998</v>
      </c>
      <c r="G608">
        <v>1240</v>
      </c>
      <c r="H608" s="116"/>
      <c r="I608" s="116"/>
      <c r="L608" s="170">
        <v>42898</v>
      </c>
      <c r="M608" s="116">
        <v>1232.5</v>
      </c>
      <c r="N608" s="116">
        <v>1237.3</v>
      </c>
      <c r="O608" s="116">
        <v>1227.5</v>
      </c>
      <c r="P608" s="116">
        <v>1233.95</v>
      </c>
      <c r="Q608" s="116">
        <v>2465</v>
      </c>
      <c r="R608">
        <v>3327</v>
      </c>
    </row>
    <row r="609" spans="1:18" x14ac:dyDescent="0.25">
      <c r="A609" s="170">
        <v>42899</v>
      </c>
      <c r="B609" s="116">
        <v>1238.5</v>
      </c>
      <c r="C609" s="116">
        <v>1227.9749999999999</v>
      </c>
      <c r="D609" s="116">
        <v>1225.25</v>
      </c>
      <c r="E609" s="116">
        <v>1235</v>
      </c>
      <c r="F609" s="116">
        <v>2455.9499999999998</v>
      </c>
      <c r="G609">
        <v>611</v>
      </c>
      <c r="H609" s="116"/>
      <c r="I609" s="116"/>
      <c r="L609" s="170">
        <v>42899</v>
      </c>
      <c r="M609" s="116">
        <v>1232.875</v>
      </c>
      <c r="N609" s="116">
        <v>1240</v>
      </c>
      <c r="O609" s="116">
        <v>1230</v>
      </c>
      <c r="P609" s="116">
        <v>1230</v>
      </c>
      <c r="Q609" s="116">
        <v>2465.75</v>
      </c>
      <c r="R609">
        <v>3443</v>
      </c>
    </row>
    <row r="610" spans="1:18" x14ac:dyDescent="0.25">
      <c r="A610" s="170">
        <v>42900</v>
      </c>
      <c r="B610" s="116">
        <v>1235</v>
      </c>
      <c r="C610" s="116">
        <v>1228.825</v>
      </c>
      <c r="D610" s="116">
        <v>1222.5</v>
      </c>
      <c r="E610" s="116">
        <v>1235</v>
      </c>
      <c r="F610" s="116">
        <v>2457.65</v>
      </c>
      <c r="G610">
        <v>383</v>
      </c>
      <c r="H610" s="116"/>
      <c r="I610" s="116"/>
      <c r="L610" s="170">
        <v>42900</v>
      </c>
      <c r="M610" s="116">
        <v>1230.625</v>
      </c>
      <c r="N610" s="116">
        <v>1235.5</v>
      </c>
      <c r="O610" s="116">
        <v>1225</v>
      </c>
      <c r="P610" s="116">
        <v>1230</v>
      </c>
      <c r="Q610" s="116">
        <v>2461.25</v>
      </c>
      <c r="R610">
        <v>4235</v>
      </c>
    </row>
    <row r="611" spans="1:18" x14ac:dyDescent="0.25">
      <c r="A611" s="170">
        <v>42901</v>
      </c>
      <c r="B611" s="116">
        <v>1229.925</v>
      </c>
      <c r="C611" s="116">
        <v>1227.4749999999999</v>
      </c>
      <c r="D611" s="116">
        <v>1217.825</v>
      </c>
      <c r="E611" s="116">
        <v>1229.925</v>
      </c>
      <c r="F611" s="116">
        <v>2454.9499999999998</v>
      </c>
      <c r="G611">
        <v>645</v>
      </c>
      <c r="H611" s="116"/>
      <c r="I611" s="116"/>
      <c r="L611" s="170">
        <v>42901</v>
      </c>
      <c r="M611" s="116">
        <v>1224.8</v>
      </c>
      <c r="N611" s="116">
        <v>1231.9000000000001</v>
      </c>
      <c r="O611" s="116">
        <v>1220.5999999999999</v>
      </c>
      <c r="P611" s="116">
        <v>1226.675</v>
      </c>
      <c r="Q611" s="116">
        <v>2449.6</v>
      </c>
      <c r="R611">
        <v>17860</v>
      </c>
    </row>
    <row r="612" spans="1:18" x14ac:dyDescent="0.25">
      <c r="A612" s="170">
        <v>42902</v>
      </c>
      <c r="B612" s="116">
        <v>1243.1500000000001</v>
      </c>
      <c r="C612" s="116">
        <v>1231.2750000000001</v>
      </c>
      <c r="D612" s="116">
        <v>1165.25</v>
      </c>
      <c r="E612" s="116">
        <v>1220.05</v>
      </c>
      <c r="F612" s="116">
        <v>2462.5500000000002</v>
      </c>
      <c r="G612">
        <v>2596</v>
      </c>
      <c r="H612" s="116"/>
      <c r="I612" s="116"/>
      <c r="L612" s="170">
        <v>42902</v>
      </c>
      <c r="M612" s="116">
        <v>1231.5250000000001</v>
      </c>
      <c r="N612" s="116">
        <v>1245</v>
      </c>
      <c r="O612" s="116">
        <v>1100.5999999999999</v>
      </c>
      <c r="P612" s="116">
        <v>1221</v>
      </c>
      <c r="Q612" s="116">
        <v>2463.0500000000002</v>
      </c>
      <c r="R612">
        <v>37583</v>
      </c>
    </row>
    <row r="613" spans="1:18" x14ac:dyDescent="0.25">
      <c r="A613" s="170">
        <v>42905</v>
      </c>
      <c r="B613" s="116">
        <v>1227.5</v>
      </c>
      <c r="C613" s="116">
        <v>1218.6500000000001</v>
      </c>
      <c r="D613" s="116">
        <v>1205.075</v>
      </c>
      <c r="E613" s="116">
        <v>1227.5</v>
      </c>
      <c r="F613" s="116">
        <v>2437.3000000000002</v>
      </c>
      <c r="G613">
        <v>62331</v>
      </c>
      <c r="H613" s="116"/>
      <c r="I613" s="116"/>
      <c r="L613" s="170">
        <v>42905</v>
      </c>
      <c r="M613" s="116">
        <v>1218.7</v>
      </c>
      <c r="N613" s="116">
        <v>1231.75</v>
      </c>
      <c r="O613" s="116">
        <v>1208</v>
      </c>
      <c r="P613" s="116">
        <v>1231.5</v>
      </c>
      <c r="Q613" s="116">
        <v>2437.4</v>
      </c>
      <c r="R613">
        <v>8351</v>
      </c>
    </row>
    <row r="614" spans="1:18" x14ac:dyDescent="0.25">
      <c r="A614" s="170">
        <v>42906</v>
      </c>
      <c r="B614" s="116">
        <v>1237.5</v>
      </c>
      <c r="C614" s="116">
        <v>1231.2249999999999</v>
      </c>
      <c r="D614" s="116">
        <v>1215</v>
      </c>
      <c r="E614" s="116">
        <v>1218.5</v>
      </c>
      <c r="F614" s="116">
        <v>2462.4499999999998</v>
      </c>
      <c r="G614">
        <v>978</v>
      </c>
      <c r="H614" s="116"/>
      <c r="I614" s="116"/>
      <c r="L614" s="170">
        <v>42906</v>
      </c>
      <c r="M614" s="116">
        <v>1234.8</v>
      </c>
      <c r="N614" s="116">
        <v>1244.75</v>
      </c>
      <c r="O614" s="116">
        <v>1215.0250000000001</v>
      </c>
      <c r="P614" s="116">
        <v>1219.0250000000001</v>
      </c>
      <c r="Q614" s="116">
        <v>2469.6</v>
      </c>
      <c r="R614">
        <v>7139</v>
      </c>
    </row>
    <row r="615" spans="1:18" x14ac:dyDescent="0.25">
      <c r="A615" s="170">
        <v>42907</v>
      </c>
      <c r="B615" s="116">
        <v>1241.5</v>
      </c>
      <c r="C615" s="116">
        <v>1228.95</v>
      </c>
      <c r="D615" s="116">
        <v>1222.5</v>
      </c>
      <c r="E615" s="116">
        <v>1227.825</v>
      </c>
      <c r="F615" s="116">
        <v>2457.9</v>
      </c>
      <c r="G615">
        <v>330</v>
      </c>
      <c r="H615" s="116"/>
      <c r="I615" s="116"/>
      <c r="L615" s="170">
        <v>42907</v>
      </c>
      <c r="M615" s="116">
        <v>1234.1500000000001</v>
      </c>
      <c r="N615" s="116">
        <v>1245</v>
      </c>
      <c r="O615" s="116">
        <v>1224</v>
      </c>
      <c r="P615" s="116">
        <v>1230.2</v>
      </c>
      <c r="Q615" s="116">
        <v>2468.3000000000002</v>
      </c>
      <c r="R615">
        <v>7852</v>
      </c>
    </row>
    <row r="616" spans="1:18" x14ac:dyDescent="0.25">
      <c r="A616" s="170">
        <v>42908</v>
      </c>
      <c r="B616" s="116">
        <v>1240</v>
      </c>
      <c r="C616" s="116">
        <v>1232.425</v>
      </c>
      <c r="D616" s="116">
        <v>1227</v>
      </c>
      <c r="E616" s="116">
        <v>1228</v>
      </c>
      <c r="F616" s="116">
        <v>2464.85</v>
      </c>
      <c r="G616">
        <v>1175</v>
      </c>
      <c r="H616" s="116"/>
      <c r="I616" s="116"/>
      <c r="L616" s="170">
        <v>42908</v>
      </c>
      <c r="M616" s="116">
        <v>1234.575</v>
      </c>
      <c r="N616" s="116">
        <v>1244</v>
      </c>
      <c r="O616" s="116">
        <v>1225</v>
      </c>
      <c r="P616" s="116">
        <v>1237.875</v>
      </c>
      <c r="Q616" s="116">
        <v>2469.15</v>
      </c>
      <c r="R616">
        <v>5442</v>
      </c>
    </row>
    <row r="617" spans="1:18" x14ac:dyDescent="0.25">
      <c r="A617" s="170">
        <v>42909</v>
      </c>
      <c r="B617" s="116">
        <v>1238.5</v>
      </c>
      <c r="C617" s="116">
        <v>1232.375</v>
      </c>
      <c r="D617" s="116">
        <v>1218.5</v>
      </c>
      <c r="E617" s="116">
        <v>1234.55</v>
      </c>
      <c r="F617" s="116">
        <v>2464.75</v>
      </c>
      <c r="G617">
        <v>2468</v>
      </c>
      <c r="H617" s="116"/>
      <c r="I617" s="116"/>
      <c r="L617" s="170">
        <v>42909</v>
      </c>
      <c r="M617" s="116">
        <v>1237.875</v>
      </c>
      <c r="N617" s="116">
        <v>1244.9749999999999</v>
      </c>
      <c r="O617" s="116">
        <v>1217.0250000000001</v>
      </c>
      <c r="P617" s="116">
        <v>1229.9749999999999</v>
      </c>
      <c r="Q617" s="116">
        <v>2475.75</v>
      </c>
      <c r="R617">
        <v>10033</v>
      </c>
    </row>
    <row r="618" spans="1:18" x14ac:dyDescent="0.25">
      <c r="A618" s="170">
        <v>42913</v>
      </c>
      <c r="B618" s="116">
        <v>1242.5</v>
      </c>
      <c r="C618" s="116">
        <v>1232.825</v>
      </c>
      <c r="D618" s="116">
        <v>1220</v>
      </c>
      <c r="E618" s="116">
        <v>1242.5</v>
      </c>
      <c r="F618" s="116">
        <v>2465.65</v>
      </c>
      <c r="G618">
        <v>1257</v>
      </c>
      <c r="H618" s="116"/>
      <c r="I618" s="116"/>
      <c r="L618" s="170">
        <v>42913</v>
      </c>
      <c r="M618" s="116">
        <v>1237.75</v>
      </c>
      <c r="N618" s="116">
        <v>1249.95</v>
      </c>
      <c r="O618" s="116">
        <v>1221.0999999999999</v>
      </c>
      <c r="P618" s="116">
        <v>1247.5</v>
      </c>
      <c r="Q618" s="116">
        <v>2475.5</v>
      </c>
      <c r="R618">
        <v>7943</v>
      </c>
    </row>
    <row r="619" spans="1:18" x14ac:dyDescent="0.25">
      <c r="A619" s="170">
        <v>42914</v>
      </c>
      <c r="B619" s="116">
        <v>1234.5</v>
      </c>
      <c r="C619" s="116">
        <v>1226.175</v>
      </c>
      <c r="D619" s="116">
        <v>1216.0999999999999</v>
      </c>
      <c r="E619" s="116">
        <v>1217.6500000000001</v>
      </c>
      <c r="F619" s="116">
        <v>2452.35</v>
      </c>
      <c r="G619">
        <v>2357</v>
      </c>
      <c r="H619" s="116"/>
      <c r="I619" s="116"/>
      <c r="L619" s="170">
        <v>42914</v>
      </c>
      <c r="M619" s="116">
        <v>1232.1500000000001</v>
      </c>
      <c r="N619" s="116">
        <v>1239.45</v>
      </c>
      <c r="O619" s="116">
        <v>1216</v>
      </c>
      <c r="P619" s="116">
        <v>1221.5</v>
      </c>
      <c r="Q619" s="116">
        <v>2464.3000000000002</v>
      </c>
      <c r="R619">
        <v>11798</v>
      </c>
    </row>
    <row r="620" spans="1:18" x14ac:dyDescent="0.25">
      <c r="A620" s="170">
        <v>42915</v>
      </c>
      <c r="B620" s="116">
        <v>1247</v>
      </c>
      <c r="C620" s="116">
        <v>1238.575</v>
      </c>
      <c r="D620" s="116">
        <v>1219</v>
      </c>
      <c r="E620" s="116">
        <v>1223.325</v>
      </c>
      <c r="F620" s="116">
        <v>2477.15</v>
      </c>
      <c r="G620">
        <v>1163</v>
      </c>
      <c r="H620" s="116"/>
      <c r="I620" s="116"/>
      <c r="L620" s="170">
        <v>42915</v>
      </c>
      <c r="M620" s="116">
        <v>1244.7249999999999</v>
      </c>
      <c r="N620" s="116">
        <v>1250</v>
      </c>
      <c r="O620" s="116">
        <v>1219.5</v>
      </c>
      <c r="P620" s="116">
        <v>1233.45</v>
      </c>
      <c r="Q620" s="116">
        <v>2489.4499999999998</v>
      </c>
      <c r="R620">
        <v>8704</v>
      </c>
    </row>
    <row r="621" spans="1:18" x14ac:dyDescent="0.25">
      <c r="A621" s="170">
        <v>42916</v>
      </c>
      <c r="B621" s="116">
        <v>1265</v>
      </c>
      <c r="C621" s="116">
        <v>1249.3</v>
      </c>
      <c r="D621" s="116">
        <v>1229.5</v>
      </c>
      <c r="E621" s="116">
        <v>1242.4000000000001</v>
      </c>
      <c r="F621" s="116">
        <v>2498.6</v>
      </c>
      <c r="G621">
        <v>509</v>
      </c>
      <c r="H621" s="116"/>
      <c r="I621" s="116"/>
      <c r="L621" s="170">
        <v>42916</v>
      </c>
      <c r="M621" s="116">
        <v>1254.875</v>
      </c>
      <c r="N621" s="116">
        <v>1272.5</v>
      </c>
      <c r="O621" s="116">
        <v>1230.5250000000001</v>
      </c>
      <c r="P621" s="116">
        <v>1237.5</v>
      </c>
      <c r="Q621" s="116">
        <v>2509.75</v>
      </c>
      <c r="R621">
        <v>6773</v>
      </c>
    </row>
    <row r="622" spans="1:18" x14ac:dyDescent="0.25">
      <c r="A622" s="170">
        <v>42919</v>
      </c>
      <c r="B622" s="116">
        <v>1273.5</v>
      </c>
      <c r="C622" s="116">
        <v>1268.6500000000001</v>
      </c>
      <c r="D622" s="116">
        <v>1251.55</v>
      </c>
      <c r="E622" s="116">
        <v>1264.5</v>
      </c>
      <c r="F622" s="116">
        <v>2537.3000000000002</v>
      </c>
      <c r="G622">
        <v>1020</v>
      </c>
      <c r="H622" s="116"/>
      <c r="I622" s="116"/>
      <c r="L622" s="170">
        <v>42919</v>
      </c>
      <c r="M622" s="116">
        <v>1269.675</v>
      </c>
      <c r="N622" s="116">
        <v>1284</v>
      </c>
      <c r="O622" s="116">
        <v>1252.5999999999999</v>
      </c>
      <c r="P622" s="116">
        <v>1264</v>
      </c>
      <c r="Q622" s="116">
        <v>2539.35</v>
      </c>
      <c r="R622">
        <v>7031</v>
      </c>
    </row>
    <row r="623" spans="1:18" x14ac:dyDescent="0.25">
      <c r="A623" s="170">
        <v>42920</v>
      </c>
      <c r="B623" s="116">
        <v>1270</v>
      </c>
      <c r="C623" s="116">
        <v>1263.2750000000001</v>
      </c>
      <c r="D623" s="116">
        <v>1245</v>
      </c>
      <c r="E623" s="116">
        <v>1245</v>
      </c>
      <c r="F623" s="116">
        <v>2526.5500000000002</v>
      </c>
      <c r="G623">
        <v>719</v>
      </c>
      <c r="H623" s="116"/>
      <c r="I623" s="116"/>
      <c r="L623" s="170">
        <v>42920</v>
      </c>
      <c r="M623" s="116">
        <v>1265.675</v>
      </c>
      <c r="N623" s="116">
        <v>1272.4000000000001</v>
      </c>
      <c r="O623" s="116">
        <v>1247.5</v>
      </c>
      <c r="P623" s="116">
        <v>1266.5250000000001</v>
      </c>
      <c r="Q623" s="116">
        <v>2531.35</v>
      </c>
      <c r="R623">
        <v>8500</v>
      </c>
    </row>
    <row r="624" spans="1:18" x14ac:dyDescent="0.25">
      <c r="A624" s="170">
        <v>42921</v>
      </c>
      <c r="B624" s="116">
        <v>1290</v>
      </c>
      <c r="C624" s="116">
        <v>1283.05</v>
      </c>
      <c r="D624" s="116">
        <v>1259.0250000000001</v>
      </c>
      <c r="E624" s="116">
        <v>1265.375</v>
      </c>
      <c r="F624" s="116">
        <v>2566.1</v>
      </c>
      <c r="G624">
        <v>778</v>
      </c>
      <c r="H624" s="116"/>
      <c r="I624" s="116"/>
      <c r="L624" s="170">
        <v>42921</v>
      </c>
      <c r="M624" s="116">
        <v>1286.375</v>
      </c>
      <c r="N624" s="116">
        <v>1293.0999999999999</v>
      </c>
      <c r="O624" s="116">
        <v>1256.0250000000001</v>
      </c>
      <c r="P624" s="116">
        <v>1263.75</v>
      </c>
      <c r="Q624" s="116">
        <v>2572.75</v>
      </c>
      <c r="R624">
        <v>7775</v>
      </c>
    </row>
    <row r="625" spans="1:18" x14ac:dyDescent="0.25">
      <c r="A625" s="170">
        <v>42922</v>
      </c>
      <c r="B625" s="116">
        <v>1300</v>
      </c>
      <c r="C625" s="116">
        <v>1281.75</v>
      </c>
      <c r="D625" s="116">
        <v>1270</v>
      </c>
      <c r="E625" s="116">
        <v>1300</v>
      </c>
      <c r="F625" s="116">
        <v>2563.5</v>
      </c>
      <c r="G625">
        <v>819</v>
      </c>
      <c r="H625" s="116"/>
      <c r="I625" s="116"/>
      <c r="L625" s="170">
        <v>42922</v>
      </c>
      <c r="M625" s="116">
        <v>1290.8</v>
      </c>
      <c r="N625" s="116">
        <v>1299.5</v>
      </c>
      <c r="O625" s="116">
        <v>1270.5</v>
      </c>
      <c r="P625" s="116">
        <v>1275.7</v>
      </c>
      <c r="Q625" s="116">
        <v>2581.6</v>
      </c>
      <c r="R625">
        <v>6829</v>
      </c>
    </row>
    <row r="626" spans="1:18" x14ac:dyDescent="0.25">
      <c r="A626" s="170">
        <v>42923</v>
      </c>
      <c r="B626" s="116">
        <v>1300</v>
      </c>
      <c r="C626" s="116">
        <v>1287.1500000000001</v>
      </c>
      <c r="D626" s="116">
        <v>1278.5250000000001</v>
      </c>
      <c r="E626" s="116">
        <v>1287.5</v>
      </c>
      <c r="F626" s="116">
        <v>2574.3000000000002</v>
      </c>
      <c r="G626">
        <v>1202</v>
      </c>
      <c r="H626" s="116"/>
      <c r="I626" s="116"/>
      <c r="L626" s="170">
        <v>42923</v>
      </c>
      <c r="M626" s="116">
        <v>1291.7249999999999</v>
      </c>
      <c r="N626" s="116">
        <v>1300</v>
      </c>
      <c r="O626" s="116">
        <v>1280</v>
      </c>
      <c r="P626" s="116">
        <v>1297.8499999999999</v>
      </c>
      <c r="Q626" s="116">
        <v>2583.4499999999998</v>
      </c>
      <c r="R626">
        <v>10698</v>
      </c>
    </row>
    <row r="627" spans="1:18" x14ac:dyDescent="0.25">
      <c r="A627" s="170">
        <v>42926</v>
      </c>
      <c r="B627" s="116">
        <v>1311</v>
      </c>
      <c r="C627" s="116">
        <v>1301.125</v>
      </c>
      <c r="D627" s="116">
        <v>1250</v>
      </c>
      <c r="E627" s="116">
        <v>1282.5</v>
      </c>
      <c r="F627" s="116">
        <v>2602.25</v>
      </c>
      <c r="G627">
        <v>2776</v>
      </c>
      <c r="H627" s="116"/>
      <c r="I627" s="116"/>
      <c r="L627" s="170">
        <v>42926</v>
      </c>
      <c r="M627" s="116">
        <v>1305.95</v>
      </c>
      <c r="N627" s="116">
        <v>1333</v>
      </c>
      <c r="O627" s="116">
        <v>1277</v>
      </c>
      <c r="P627" s="116">
        <v>1297.5250000000001</v>
      </c>
      <c r="Q627" s="116">
        <v>2611.9</v>
      </c>
      <c r="R627">
        <v>4665</v>
      </c>
    </row>
    <row r="628" spans="1:18" x14ac:dyDescent="0.25">
      <c r="A628" s="170">
        <v>42927</v>
      </c>
      <c r="B628" s="116">
        <v>1304.5</v>
      </c>
      <c r="C628" s="116">
        <v>1300.7249999999999</v>
      </c>
      <c r="D628" s="116">
        <v>1287.5</v>
      </c>
      <c r="E628" s="116">
        <v>1301.5</v>
      </c>
      <c r="F628" s="116">
        <v>2601.4499999999998</v>
      </c>
      <c r="G628">
        <v>1224</v>
      </c>
      <c r="H628" s="116"/>
      <c r="I628" s="116"/>
      <c r="L628" s="170">
        <v>42927</v>
      </c>
      <c r="M628" s="116">
        <v>1301.1500000000001</v>
      </c>
      <c r="N628" s="116">
        <v>1307.4000000000001</v>
      </c>
      <c r="O628" s="116">
        <v>1290.075</v>
      </c>
      <c r="P628" s="116">
        <v>1305</v>
      </c>
      <c r="Q628" s="116">
        <v>2602.3000000000002</v>
      </c>
      <c r="R628">
        <v>10787</v>
      </c>
    </row>
    <row r="629" spans="1:18" x14ac:dyDescent="0.25">
      <c r="A629" s="170">
        <v>42928</v>
      </c>
      <c r="B629" s="116">
        <v>1330</v>
      </c>
      <c r="C629" s="116">
        <v>1292.8499999999999</v>
      </c>
      <c r="D629" s="116">
        <v>1280.325</v>
      </c>
      <c r="E629" s="116">
        <v>1306.9000000000001</v>
      </c>
      <c r="F629" s="116">
        <v>2585.6999999999998</v>
      </c>
      <c r="G629">
        <v>563</v>
      </c>
      <c r="H629" s="116"/>
      <c r="I629" s="116"/>
      <c r="L629" s="170">
        <v>42928</v>
      </c>
      <c r="M629" s="116">
        <v>1297.325</v>
      </c>
      <c r="N629" s="116">
        <v>1309.5</v>
      </c>
      <c r="O629" s="116">
        <v>1288.5</v>
      </c>
      <c r="P629" s="116">
        <v>1299.9749999999999</v>
      </c>
      <c r="Q629" s="116">
        <v>2594.65</v>
      </c>
      <c r="R629">
        <v>6828</v>
      </c>
    </row>
    <row r="630" spans="1:18" x14ac:dyDescent="0.25">
      <c r="A630" s="170">
        <v>42929</v>
      </c>
      <c r="B630" s="116">
        <v>1309.75</v>
      </c>
      <c r="C630" s="116">
        <v>1291.4749999999999</v>
      </c>
      <c r="D630" s="116">
        <v>1287.5</v>
      </c>
      <c r="E630" s="116">
        <v>1302</v>
      </c>
      <c r="F630" s="116">
        <v>2582.9499999999998</v>
      </c>
      <c r="G630">
        <v>2108</v>
      </c>
      <c r="H630" s="116"/>
      <c r="I630" s="116"/>
      <c r="L630" s="170">
        <v>42929</v>
      </c>
      <c r="M630" s="116">
        <v>1293.5250000000001</v>
      </c>
      <c r="N630" s="116">
        <v>1312.5</v>
      </c>
      <c r="O630" s="116">
        <v>1285</v>
      </c>
      <c r="P630" s="116">
        <v>1300.0250000000001</v>
      </c>
      <c r="Q630" s="116">
        <v>2587.0500000000002</v>
      </c>
      <c r="R630">
        <v>11644</v>
      </c>
    </row>
    <row r="631" spans="1:18" x14ac:dyDescent="0.25">
      <c r="A631" s="170">
        <v>42930</v>
      </c>
      <c r="B631" s="116">
        <v>1288.5</v>
      </c>
      <c r="C631" s="116">
        <v>1275.575</v>
      </c>
      <c r="D631" s="116">
        <v>1267.5</v>
      </c>
      <c r="E631" s="116">
        <v>1275</v>
      </c>
      <c r="F631" s="116">
        <v>2551.15</v>
      </c>
      <c r="G631">
        <v>2107</v>
      </c>
      <c r="H631" s="116"/>
      <c r="I631" s="116"/>
      <c r="L631" s="170">
        <v>42930</v>
      </c>
      <c r="M631" s="116">
        <v>1280.425</v>
      </c>
      <c r="N631" s="116">
        <v>1287.5</v>
      </c>
      <c r="O631" s="116">
        <v>1262.625</v>
      </c>
      <c r="P631" s="116">
        <v>1278</v>
      </c>
      <c r="Q631" s="116">
        <v>2560.85</v>
      </c>
      <c r="R631">
        <v>10111</v>
      </c>
    </row>
    <row r="632" spans="1:18" x14ac:dyDescent="0.25">
      <c r="A632" s="170">
        <v>42933</v>
      </c>
      <c r="B632" s="116">
        <v>1282.5</v>
      </c>
      <c r="C632" s="116">
        <v>1266.5999999999999</v>
      </c>
      <c r="D632" s="116">
        <v>1259.9749999999999</v>
      </c>
      <c r="E632" s="116">
        <v>1276</v>
      </c>
      <c r="F632" s="116">
        <v>2533.1999999999998</v>
      </c>
      <c r="G632">
        <v>932</v>
      </c>
      <c r="H632" s="116"/>
      <c r="I632" s="116"/>
      <c r="L632" s="170">
        <v>42933</v>
      </c>
      <c r="M632" s="116">
        <v>1271.425</v>
      </c>
      <c r="N632" s="116">
        <v>1283.325</v>
      </c>
      <c r="O632" s="116">
        <v>1262.5</v>
      </c>
      <c r="P632" s="116">
        <v>1274.5250000000001</v>
      </c>
      <c r="Q632" s="116">
        <v>2542.85</v>
      </c>
      <c r="R632">
        <v>6366</v>
      </c>
    </row>
    <row r="633" spans="1:18" x14ac:dyDescent="0.25">
      <c r="A633" s="170">
        <v>42934</v>
      </c>
      <c r="B633" s="116">
        <v>1271.925</v>
      </c>
      <c r="C633" s="116">
        <v>1261.675</v>
      </c>
      <c r="D633" s="116">
        <v>1255.5</v>
      </c>
      <c r="E633" s="116">
        <v>1267</v>
      </c>
      <c r="F633" s="116">
        <v>2523.35</v>
      </c>
      <c r="G633">
        <v>835</v>
      </c>
      <c r="H633" s="116"/>
      <c r="I633" s="116"/>
      <c r="L633" s="170">
        <v>42934</v>
      </c>
      <c r="M633" s="116">
        <v>1265.9749999999999</v>
      </c>
      <c r="N633" s="116">
        <v>1273.4749999999999</v>
      </c>
      <c r="O633" s="116">
        <v>1256</v>
      </c>
      <c r="P633" s="116">
        <v>1267.4749999999999</v>
      </c>
      <c r="Q633" s="116">
        <v>2531.9499999999998</v>
      </c>
      <c r="R633">
        <v>4144</v>
      </c>
    </row>
    <row r="634" spans="1:18" x14ac:dyDescent="0.25">
      <c r="A634" s="170">
        <v>42935</v>
      </c>
      <c r="B634" s="116">
        <v>1282</v>
      </c>
      <c r="C634" s="116">
        <v>1277.45</v>
      </c>
      <c r="D634" s="116">
        <v>1258</v>
      </c>
      <c r="E634" s="116">
        <v>1260</v>
      </c>
      <c r="F634" s="116">
        <v>2554.9</v>
      </c>
      <c r="G634">
        <v>982</v>
      </c>
      <c r="H634" s="116"/>
      <c r="I634" s="116"/>
      <c r="L634" s="170">
        <v>42935</v>
      </c>
      <c r="M634" s="116">
        <v>1280.125</v>
      </c>
      <c r="N634" s="116">
        <v>1286.9749999999999</v>
      </c>
      <c r="O634" s="116">
        <v>1255.5</v>
      </c>
      <c r="P634" s="116">
        <v>1265.5</v>
      </c>
      <c r="Q634" s="116">
        <v>2560.25</v>
      </c>
      <c r="R634">
        <v>8585</v>
      </c>
    </row>
    <row r="635" spans="1:18" x14ac:dyDescent="0.25">
      <c r="A635" s="170">
        <v>42936</v>
      </c>
      <c r="B635" s="116">
        <v>1285</v>
      </c>
      <c r="C635" s="116">
        <v>1273.3499999999999</v>
      </c>
      <c r="D635" s="116">
        <v>1263.925</v>
      </c>
      <c r="E635" s="116">
        <v>1277</v>
      </c>
      <c r="F635" s="116">
        <v>2546.6999999999998</v>
      </c>
      <c r="G635">
        <v>771</v>
      </c>
      <c r="H635" s="116"/>
      <c r="I635" s="116"/>
      <c r="L635" s="170">
        <v>42936</v>
      </c>
      <c r="M635" s="116">
        <v>1274.5250000000001</v>
      </c>
      <c r="N635" s="116">
        <v>1285.9749999999999</v>
      </c>
      <c r="O635" s="116">
        <v>1267.5</v>
      </c>
      <c r="P635" s="116">
        <v>1277.5250000000001</v>
      </c>
      <c r="Q635" s="116">
        <v>2549.0500000000002</v>
      </c>
      <c r="R635">
        <v>8512</v>
      </c>
    </row>
    <row r="636" spans="1:18" x14ac:dyDescent="0.25">
      <c r="A636" s="170">
        <v>42937</v>
      </c>
      <c r="B636" s="116">
        <v>1279.4749999999999</v>
      </c>
      <c r="C636" s="116">
        <v>1268.8</v>
      </c>
      <c r="D636" s="116">
        <v>1234</v>
      </c>
      <c r="E636" s="116">
        <v>1260</v>
      </c>
      <c r="F636" s="116">
        <v>2537.6</v>
      </c>
      <c r="G636">
        <v>5763</v>
      </c>
      <c r="H636" s="116"/>
      <c r="I636" s="116"/>
      <c r="L636" s="170">
        <v>42937</v>
      </c>
      <c r="M636" s="116">
        <v>1272.3</v>
      </c>
      <c r="N636" s="116">
        <v>1284.2249999999999</v>
      </c>
      <c r="O636" s="116">
        <v>1237.075</v>
      </c>
      <c r="P636" s="116">
        <v>1270.0250000000001</v>
      </c>
      <c r="Q636" s="116">
        <v>2544.6</v>
      </c>
      <c r="R636">
        <v>11155</v>
      </c>
    </row>
    <row r="637" spans="1:18" x14ac:dyDescent="0.25">
      <c r="A637" s="170">
        <v>42940</v>
      </c>
      <c r="B637" s="116">
        <v>1295</v>
      </c>
      <c r="C637" s="116">
        <v>1278</v>
      </c>
      <c r="D637" s="116">
        <v>1251.05</v>
      </c>
      <c r="E637" s="116">
        <v>1274</v>
      </c>
      <c r="F637" s="116">
        <v>2556</v>
      </c>
      <c r="G637">
        <v>709</v>
      </c>
      <c r="H637" s="116"/>
      <c r="I637" s="116"/>
      <c r="L637" s="170">
        <v>42940</v>
      </c>
      <c r="M637" s="116">
        <v>1284.425</v>
      </c>
      <c r="N637" s="116">
        <v>1297.5</v>
      </c>
      <c r="O637" s="116">
        <v>1259.5999999999999</v>
      </c>
      <c r="P637" s="116">
        <v>1262.5</v>
      </c>
      <c r="Q637" s="116">
        <v>2568.85</v>
      </c>
      <c r="R637">
        <v>6207</v>
      </c>
    </row>
    <row r="638" spans="1:18" x14ac:dyDescent="0.25">
      <c r="A638" s="170">
        <v>42941</v>
      </c>
      <c r="B638" s="116">
        <v>1290</v>
      </c>
      <c r="C638" s="116">
        <v>1255.0250000000001</v>
      </c>
      <c r="D638" s="116">
        <v>1230.3</v>
      </c>
      <c r="E638" s="116">
        <v>1285</v>
      </c>
      <c r="F638" s="116">
        <v>2510.0500000000002</v>
      </c>
      <c r="G638">
        <v>2858</v>
      </c>
      <c r="H638" s="116"/>
      <c r="I638" s="116"/>
      <c r="L638" s="170">
        <v>42941</v>
      </c>
      <c r="M638" s="116">
        <v>1254.95</v>
      </c>
      <c r="N638" s="116">
        <v>1296.375</v>
      </c>
      <c r="O638" s="116">
        <v>1231</v>
      </c>
      <c r="P638" s="116">
        <v>1291.9749999999999</v>
      </c>
      <c r="Q638" s="116">
        <v>2509.9</v>
      </c>
      <c r="R638">
        <v>30686</v>
      </c>
    </row>
    <row r="639" spans="1:18" x14ac:dyDescent="0.25">
      <c r="A639" s="170">
        <v>42942</v>
      </c>
      <c r="B639" s="116">
        <v>1256.075</v>
      </c>
      <c r="C639" s="116">
        <v>1239.25</v>
      </c>
      <c r="D639" s="116">
        <v>1235.5</v>
      </c>
      <c r="E639" s="116">
        <v>1254.9000000000001</v>
      </c>
      <c r="F639" s="116">
        <v>2478.5</v>
      </c>
      <c r="G639">
        <v>1210</v>
      </c>
      <c r="H639" s="116"/>
      <c r="I639" s="116"/>
      <c r="L639" s="170">
        <v>42942</v>
      </c>
      <c r="M639" s="116">
        <v>1245.925</v>
      </c>
      <c r="N639" s="116">
        <v>1255.0250000000001</v>
      </c>
      <c r="O639" s="116">
        <v>1235</v>
      </c>
      <c r="P639" s="116">
        <v>1255</v>
      </c>
      <c r="Q639" s="116">
        <v>2491.85</v>
      </c>
      <c r="R639">
        <v>8295</v>
      </c>
    </row>
    <row r="640" spans="1:18" x14ac:dyDescent="0.25">
      <c r="A640" s="170">
        <v>42943</v>
      </c>
      <c r="B640" s="116">
        <v>1245</v>
      </c>
      <c r="C640" s="116">
        <v>1233.875</v>
      </c>
      <c r="D640" s="116">
        <v>1228.5</v>
      </c>
      <c r="E640" s="116">
        <v>1240.05</v>
      </c>
      <c r="F640" s="116">
        <v>2467.75</v>
      </c>
      <c r="G640">
        <v>752</v>
      </c>
      <c r="H640" s="116"/>
      <c r="I640" s="116"/>
      <c r="L640" s="170">
        <v>42943</v>
      </c>
      <c r="M640" s="116">
        <v>1236.7249999999999</v>
      </c>
      <c r="N640" s="116">
        <v>1247</v>
      </c>
      <c r="O640" s="116">
        <v>1227.6500000000001</v>
      </c>
      <c r="P640" s="116">
        <v>1245.9000000000001</v>
      </c>
      <c r="Q640" s="116">
        <v>2473.4499999999998</v>
      </c>
      <c r="R640">
        <v>8974</v>
      </c>
    </row>
    <row r="641" spans="1:18" x14ac:dyDescent="0.25">
      <c r="A641" s="170">
        <v>42944</v>
      </c>
      <c r="B641" s="116">
        <v>1236.0999999999999</v>
      </c>
      <c r="C641" s="116">
        <v>1215.7</v>
      </c>
      <c r="D641" s="116">
        <v>1207</v>
      </c>
      <c r="E641" s="116">
        <v>1233.875</v>
      </c>
      <c r="F641" s="116">
        <v>2431.4</v>
      </c>
      <c r="G641">
        <v>2859</v>
      </c>
      <c r="H641" s="116"/>
      <c r="I641" s="116"/>
      <c r="L641" s="170">
        <v>42944</v>
      </c>
      <c r="M641" s="116">
        <v>1221.575</v>
      </c>
      <c r="N641" s="116">
        <v>1232.5</v>
      </c>
      <c r="O641" s="116">
        <v>1213.125</v>
      </c>
      <c r="P641" s="116">
        <v>1232.5</v>
      </c>
      <c r="Q641" s="116">
        <v>2443.15</v>
      </c>
      <c r="R641">
        <v>12135</v>
      </c>
    </row>
    <row r="642" spans="1:18" x14ac:dyDescent="0.25">
      <c r="A642" s="170">
        <v>42947</v>
      </c>
      <c r="B642" s="116">
        <v>1215.9749999999999</v>
      </c>
      <c r="C642" s="116">
        <v>1198</v>
      </c>
      <c r="D642" s="116">
        <v>1194.5</v>
      </c>
      <c r="E642" s="116">
        <v>1215.9749999999999</v>
      </c>
      <c r="F642" s="116">
        <v>2396</v>
      </c>
      <c r="G642">
        <v>853</v>
      </c>
      <c r="H642" s="116"/>
      <c r="I642" s="116"/>
      <c r="L642" s="170">
        <v>42947</v>
      </c>
      <c r="M642" s="116">
        <v>1200.4749999999999</v>
      </c>
      <c r="N642" s="116">
        <v>1220</v>
      </c>
      <c r="O642" s="116">
        <v>1191.5999999999999</v>
      </c>
      <c r="P642" s="116">
        <v>1220</v>
      </c>
      <c r="Q642" s="116">
        <v>2400.9499999999998</v>
      </c>
      <c r="R642">
        <v>9029</v>
      </c>
    </row>
    <row r="643" spans="1:18" x14ac:dyDescent="0.25">
      <c r="A643" s="170">
        <v>42948</v>
      </c>
      <c r="B643" s="116">
        <v>1205</v>
      </c>
      <c r="C643" s="116">
        <v>1188.6500000000001</v>
      </c>
      <c r="D643" s="116">
        <v>1183.5</v>
      </c>
      <c r="E643" s="116">
        <v>1198</v>
      </c>
      <c r="F643" s="116">
        <v>2377.3000000000002</v>
      </c>
      <c r="G643">
        <v>616</v>
      </c>
      <c r="H643" s="116"/>
      <c r="I643" s="116"/>
      <c r="L643" s="170">
        <v>42948</v>
      </c>
      <c r="M643" s="116">
        <v>1192.825</v>
      </c>
      <c r="N643" s="116">
        <v>1205</v>
      </c>
      <c r="O643" s="116">
        <v>1185</v>
      </c>
      <c r="P643" s="116">
        <v>1199.5</v>
      </c>
      <c r="Q643" s="116">
        <v>2385.65</v>
      </c>
      <c r="R643">
        <v>6298</v>
      </c>
    </row>
    <row r="644" spans="1:18" x14ac:dyDescent="0.25">
      <c r="A644" s="170">
        <v>42949</v>
      </c>
      <c r="B644" s="116">
        <v>1199.5</v>
      </c>
      <c r="C644" s="116">
        <v>1180.2</v>
      </c>
      <c r="D644" s="116">
        <v>1178</v>
      </c>
      <c r="E644" s="116">
        <v>1195</v>
      </c>
      <c r="F644" s="116">
        <v>2360.4</v>
      </c>
      <c r="G644">
        <v>669</v>
      </c>
      <c r="H644" s="116"/>
      <c r="I644" s="116"/>
      <c r="L644" s="170">
        <v>42949</v>
      </c>
      <c r="M644" s="116">
        <v>1183.825</v>
      </c>
      <c r="N644" s="116">
        <v>1197.9749999999999</v>
      </c>
      <c r="O644" s="116">
        <v>1177.05</v>
      </c>
      <c r="P644" s="116">
        <v>1185</v>
      </c>
      <c r="Q644" s="116">
        <v>2367.65</v>
      </c>
      <c r="R644">
        <v>7369</v>
      </c>
    </row>
    <row r="645" spans="1:18" x14ac:dyDescent="0.25">
      <c r="A645" s="170">
        <v>42950</v>
      </c>
      <c r="B645" s="116">
        <v>1190</v>
      </c>
      <c r="C645" s="116">
        <v>1174.0999999999999</v>
      </c>
      <c r="D645" s="116">
        <v>1168.5</v>
      </c>
      <c r="E645" s="116">
        <v>1175</v>
      </c>
      <c r="F645" s="116">
        <v>2348.1999999999998</v>
      </c>
      <c r="G645">
        <v>1455</v>
      </c>
      <c r="H645" s="116"/>
      <c r="I645" s="116"/>
      <c r="L645" s="170">
        <v>42950</v>
      </c>
      <c r="M645" s="116">
        <v>1180.75</v>
      </c>
      <c r="N645" s="116">
        <v>1187.5</v>
      </c>
      <c r="O645" s="116">
        <v>1172.8499999999999</v>
      </c>
      <c r="P645" s="116">
        <v>1176.6500000000001</v>
      </c>
      <c r="Q645" s="116">
        <v>2361.5</v>
      </c>
      <c r="R645">
        <v>5792</v>
      </c>
    </row>
    <row r="646" spans="1:18" x14ac:dyDescent="0.25">
      <c r="A646" s="170">
        <v>42951</v>
      </c>
      <c r="B646" s="116">
        <v>1237</v>
      </c>
      <c r="C646" s="116">
        <v>1200.325</v>
      </c>
      <c r="D646" s="116">
        <v>1160</v>
      </c>
      <c r="E646" s="116">
        <v>1196.9000000000001</v>
      </c>
      <c r="F646" s="116">
        <v>2400.65</v>
      </c>
      <c r="G646">
        <v>4425</v>
      </c>
      <c r="H646" s="116"/>
      <c r="I646" s="116"/>
      <c r="L646" s="170">
        <v>42951</v>
      </c>
      <c r="M646" s="116">
        <v>1212.55</v>
      </c>
      <c r="N646" s="116">
        <v>1255.5</v>
      </c>
      <c r="O646" s="116">
        <v>1164.05</v>
      </c>
      <c r="P646" s="116">
        <v>1172.5</v>
      </c>
      <c r="Q646" s="116">
        <v>2425.1</v>
      </c>
      <c r="R646">
        <v>15387</v>
      </c>
    </row>
    <row r="647" spans="1:18" x14ac:dyDescent="0.25">
      <c r="A647" s="170">
        <v>42954</v>
      </c>
      <c r="B647" s="116">
        <v>1219.4000000000001</v>
      </c>
      <c r="C647" s="116">
        <v>1195.825</v>
      </c>
      <c r="D647" s="116">
        <v>1192.5</v>
      </c>
      <c r="E647" s="116">
        <v>1210.55</v>
      </c>
      <c r="F647" s="116">
        <v>2391.65</v>
      </c>
      <c r="G647">
        <v>744</v>
      </c>
      <c r="H647" s="116"/>
      <c r="I647" s="116"/>
      <c r="L647" s="170">
        <v>42954</v>
      </c>
      <c r="M647" s="116">
        <v>1199.9000000000001</v>
      </c>
      <c r="N647" s="116">
        <v>1230</v>
      </c>
      <c r="O647" s="116">
        <v>1195.05</v>
      </c>
      <c r="P647" s="116">
        <v>1209.55</v>
      </c>
      <c r="Q647" s="116">
        <v>2399.8000000000002</v>
      </c>
      <c r="R647">
        <v>6545</v>
      </c>
    </row>
    <row r="648" spans="1:18" x14ac:dyDescent="0.25">
      <c r="A648" s="170">
        <v>42955</v>
      </c>
      <c r="B648" s="116">
        <v>1198.4000000000001</v>
      </c>
      <c r="C648" s="116">
        <v>1190.4749999999999</v>
      </c>
      <c r="D648" s="116">
        <v>1180</v>
      </c>
      <c r="E648" s="116">
        <v>1192.5</v>
      </c>
      <c r="F648" s="116">
        <v>2380.9499999999998</v>
      </c>
      <c r="G648">
        <v>585</v>
      </c>
      <c r="H648" s="116"/>
      <c r="I648" s="116"/>
      <c r="L648" s="170">
        <v>42955</v>
      </c>
      <c r="M648" s="116">
        <v>1190</v>
      </c>
      <c r="N648" s="116">
        <v>1197.5</v>
      </c>
      <c r="O648" s="116">
        <v>1176.7750000000001</v>
      </c>
      <c r="P648" s="116">
        <v>1197.5</v>
      </c>
      <c r="Q648" s="116">
        <v>2380</v>
      </c>
      <c r="R648">
        <v>5133</v>
      </c>
    </row>
    <row r="649" spans="1:18" x14ac:dyDescent="0.25">
      <c r="A649" s="170">
        <v>42956</v>
      </c>
      <c r="B649" s="116">
        <v>1203.5</v>
      </c>
      <c r="C649" s="116">
        <v>1190.8499999999999</v>
      </c>
      <c r="D649" s="116">
        <v>1162.7249999999999</v>
      </c>
      <c r="E649" s="116">
        <v>1193.575</v>
      </c>
      <c r="F649" s="116">
        <v>2381.6999999999998</v>
      </c>
      <c r="G649">
        <v>980</v>
      </c>
      <c r="H649" s="116"/>
      <c r="I649" s="116"/>
      <c r="L649" s="170">
        <v>42956</v>
      </c>
      <c r="M649" s="116">
        <v>1196.05</v>
      </c>
      <c r="N649" s="116">
        <v>1212</v>
      </c>
      <c r="O649" s="116">
        <v>1158.05</v>
      </c>
      <c r="P649" s="116">
        <v>1187.5</v>
      </c>
      <c r="Q649" s="116">
        <v>2392.1</v>
      </c>
      <c r="R649">
        <v>10473</v>
      </c>
    </row>
    <row r="650" spans="1:18" x14ac:dyDescent="0.25">
      <c r="A650" s="170">
        <v>42957</v>
      </c>
      <c r="B650" s="116">
        <v>1199.5</v>
      </c>
      <c r="C650" s="116">
        <v>1185.8499999999999</v>
      </c>
      <c r="D650" s="116">
        <v>1162.5</v>
      </c>
      <c r="E650" s="116">
        <v>1177.125</v>
      </c>
      <c r="F650" s="116">
        <v>2371.6999999999998</v>
      </c>
      <c r="G650">
        <v>867</v>
      </c>
      <c r="H650" s="116"/>
      <c r="I650" s="116"/>
      <c r="L650" s="170">
        <v>42957</v>
      </c>
      <c r="M650" s="116">
        <v>1187.2750000000001</v>
      </c>
      <c r="N650" s="116">
        <v>1205</v>
      </c>
      <c r="O650" s="116">
        <v>1162</v>
      </c>
      <c r="P650" s="116">
        <v>1177.5250000000001</v>
      </c>
      <c r="Q650" s="116">
        <v>2374.5500000000002</v>
      </c>
      <c r="R650">
        <v>10605</v>
      </c>
    </row>
    <row r="651" spans="1:18" x14ac:dyDescent="0.25">
      <c r="A651" s="170">
        <v>42958</v>
      </c>
      <c r="B651" s="116">
        <v>1197.8</v>
      </c>
      <c r="C651" s="116">
        <v>1184.05</v>
      </c>
      <c r="D651" s="116">
        <v>1162.25</v>
      </c>
      <c r="E651" s="116">
        <v>1162.25</v>
      </c>
      <c r="F651" s="116">
        <v>2368.1</v>
      </c>
      <c r="G651">
        <v>810</v>
      </c>
      <c r="H651" s="116"/>
      <c r="I651" s="116"/>
      <c r="L651" s="170">
        <v>42958</v>
      </c>
      <c r="M651" s="116">
        <v>1190.45</v>
      </c>
      <c r="N651" s="116">
        <v>1199.75</v>
      </c>
      <c r="O651" s="116">
        <v>1163.675</v>
      </c>
      <c r="P651" s="116">
        <v>1174.5</v>
      </c>
      <c r="Q651" s="116">
        <v>2380.9</v>
      </c>
      <c r="R651">
        <v>6296</v>
      </c>
    </row>
    <row r="652" spans="1:18" x14ac:dyDescent="0.25">
      <c r="A652" s="170">
        <v>42961</v>
      </c>
      <c r="B652" s="116">
        <v>1205</v>
      </c>
      <c r="C652" s="116">
        <v>1199.175</v>
      </c>
      <c r="D652" s="116">
        <v>1175</v>
      </c>
      <c r="E652" s="116">
        <v>1194</v>
      </c>
      <c r="F652" s="116">
        <v>2398.35</v>
      </c>
      <c r="G652">
        <v>938</v>
      </c>
      <c r="H652" s="116"/>
      <c r="I652" s="116"/>
      <c r="L652" s="170">
        <v>42961</v>
      </c>
      <c r="M652" s="116">
        <v>1201.375</v>
      </c>
      <c r="N652" s="116">
        <v>1209.95</v>
      </c>
      <c r="O652" s="116">
        <v>1177.2750000000001</v>
      </c>
      <c r="P652" s="116">
        <v>1198.5</v>
      </c>
      <c r="Q652" s="116">
        <v>2402.75</v>
      </c>
      <c r="R652">
        <v>8247</v>
      </c>
    </row>
    <row r="653" spans="1:18" x14ac:dyDescent="0.25">
      <c r="A653" s="170">
        <v>42963</v>
      </c>
      <c r="B653" s="116">
        <v>1196</v>
      </c>
      <c r="C653" s="116">
        <v>1182.5250000000001</v>
      </c>
      <c r="D653" s="116">
        <v>1176.6500000000001</v>
      </c>
      <c r="E653" s="116">
        <v>1194.45</v>
      </c>
      <c r="F653" s="116">
        <v>2365.0500000000002</v>
      </c>
      <c r="G653">
        <v>332</v>
      </c>
      <c r="H653" s="116"/>
      <c r="I653" s="116"/>
      <c r="L653" s="170">
        <v>42963</v>
      </c>
      <c r="M653" s="116">
        <v>1190.7750000000001</v>
      </c>
      <c r="N653" s="116">
        <v>1202</v>
      </c>
      <c r="O653" s="116">
        <v>1177.825</v>
      </c>
      <c r="P653" s="116">
        <v>1202</v>
      </c>
      <c r="Q653" s="116">
        <v>2381.5500000000002</v>
      </c>
      <c r="R653">
        <v>11416</v>
      </c>
    </row>
    <row r="654" spans="1:18" x14ac:dyDescent="0.25">
      <c r="A654" s="170">
        <v>42964</v>
      </c>
      <c r="B654" s="116">
        <v>1199.375</v>
      </c>
      <c r="C654" s="116">
        <v>1192.5250000000001</v>
      </c>
      <c r="D654" s="116">
        <v>1176.3</v>
      </c>
      <c r="E654" s="116">
        <v>1184.125</v>
      </c>
      <c r="F654" s="116">
        <v>2385.0500000000002</v>
      </c>
      <c r="G654">
        <v>400</v>
      </c>
      <c r="H654" s="116"/>
      <c r="I654" s="116"/>
      <c r="L654" s="170">
        <v>42964</v>
      </c>
      <c r="M654" s="116">
        <v>1196.2750000000001</v>
      </c>
      <c r="N654" s="116">
        <v>1200</v>
      </c>
      <c r="O654" s="116">
        <v>1180.5</v>
      </c>
      <c r="P654" s="116">
        <v>1199</v>
      </c>
      <c r="Q654" s="116">
        <v>2392.5500000000002</v>
      </c>
      <c r="R654">
        <v>5830</v>
      </c>
    </row>
    <row r="655" spans="1:18" x14ac:dyDescent="0.25">
      <c r="A655" s="170">
        <v>42965</v>
      </c>
      <c r="B655" s="116">
        <v>1198.4749999999999</v>
      </c>
      <c r="C655" s="116">
        <v>1195.45</v>
      </c>
      <c r="D655" s="116">
        <v>1175</v>
      </c>
      <c r="E655" s="116">
        <v>1188.9000000000001</v>
      </c>
      <c r="F655" s="116">
        <v>2390.9</v>
      </c>
      <c r="G655">
        <v>3243</v>
      </c>
      <c r="H655" s="116"/>
      <c r="I655" s="116"/>
      <c r="L655" s="170">
        <v>42965</v>
      </c>
      <c r="M655" s="116">
        <v>1197.9000000000001</v>
      </c>
      <c r="N655" s="116">
        <v>1200</v>
      </c>
      <c r="O655" s="116">
        <v>1181</v>
      </c>
      <c r="P655" s="116">
        <v>1193.5</v>
      </c>
      <c r="Q655" s="116">
        <v>2395.8000000000002</v>
      </c>
      <c r="R655">
        <v>6629</v>
      </c>
    </row>
    <row r="656" spans="1:18" x14ac:dyDescent="0.25">
      <c r="A656" s="170">
        <v>42968</v>
      </c>
      <c r="B656" s="116">
        <v>1195</v>
      </c>
      <c r="C656" s="116">
        <v>1190.675</v>
      </c>
      <c r="D656" s="116">
        <v>1184</v>
      </c>
      <c r="E656" s="116">
        <v>1195</v>
      </c>
      <c r="F656" s="116">
        <v>2381.35</v>
      </c>
      <c r="G656">
        <v>519</v>
      </c>
      <c r="H656" s="116"/>
      <c r="I656" s="116"/>
      <c r="L656" s="170">
        <v>42968</v>
      </c>
      <c r="M656" s="116">
        <v>1192.75</v>
      </c>
      <c r="N656" s="116">
        <v>1197.4749999999999</v>
      </c>
      <c r="O656" s="116">
        <v>1180.0250000000001</v>
      </c>
      <c r="P656" s="116">
        <v>1194</v>
      </c>
      <c r="Q656" s="116">
        <v>2385.5</v>
      </c>
      <c r="R656">
        <v>5204</v>
      </c>
    </row>
    <row r="657" spans="1:18" x14ac:dyDescent="0.25">
      <c r="A657" s="170">
        <v>42969</v>
      </c>
      <c r="B657" s="116">
        <v>1192.4749999999999</v>
      </c>
      <c r="C657" s="116">
        <v>1177.925</v>
      </c>
      <c r="D657" s="116">
        <v>1174.9749999999999</v>
      </c>
      <c r="E657" s="116">
        <v>1192.4749999999999</v>
      </c>
      <c r="F657" s="116">
        <v>2355.85</v>
      </c>
      <c r="G657">
        <v>1236</v>
      </c>
      <c r="H657" s="116"/>
      <c r="I657" s="116"/>
      <c r="L657" s="170">
        <v>42969</v>
      </c>
      <c r="M657" s="116">
        <v>1182.675</v>
      </c>
      <c r="N657" s="116">
        <v>1192.75</v>
      </c>
      <c r="O657" s="116">
        <v>1176</v>
      </c>
      <c r="P657" s="116">
        <v>1191.05</v>
      </c>
      <c r="Q657" s="116">
        <v>2365.35</v>
      </c>
      <c r="R657">
        <v>7928</v>
      </c>
    </row>
    <row r="658" spans="1:18" x14ac:dyDescent="0.25">
      <c r="A658" s="170">
        <v>42970</v>
      </c>
      <c r="B658" s="116">
        <v>1197.5</v>
      </c>
      <c r="C658" s="116">
        <v>1190.2750000000001</v>
      </c>
      <c r="D658" s="116">
        <v>1179</v>
      </c>
      <c r="E658" s="116">
        <v>1188.25</v>
      </c>
      <c r="F658" s="116">
        <v>2380.5500000000002</v>
      </c>
      <c r="G658">
        <v>1009</v>
      </c>
      <c r="H658" s="116"/>
      <c r="I658" s="116"/>
      <c r="L658" s="170">
        <v>42970</v>
      </c>
      <c r="M658" s="116">
        <v>1195.3</v>
      </c>
      <c r="N658" s="116">
        <v>1205</v>
      </c>
      <c r="O658" s="116">
        <v>1180</v>
      </c>
      <c r="P658" s="116">
        <v>1193.25</v>
      </c>
      <c r="Q658" s="116">
        <v>2390.6</v>
      </c>
      <c r="R658">
        <v>9525</v>
      </c>
    </row>
    <row r="659" spans="1:18" x14ac:dyDescent="0.25">
      <c r="A659" s="170">
        <v>42971</v>
      </c>
      <c r="B659" s="116">
        <v>1210.7249999999999</v>
      </c>
      <c r="C659" s="116">
        <v>1192.425</v>
      </c>
      <c r="D659" s="116">
        <v>1180.05</v>
      </c>
      <c r="E659" s="116">
        <v>1190.2750000000001</v>
      </c>
      <c r="F659" s="116">
        <v>2384.85</v>
      </c>
      <c r="G659">
        <v>1206</v>
      </c>
      <c r="H659" s="116"/>
      <c r="I659" s="116"/>
      <c r="L659" s="170">
        <v>42971</v>
      </c>
      <c r="M659" s="116">
        <v>1199.175</v>
      </c>
      <c r="N659" s="116">
        <v>1210.5</v>
      </c>
      <c r="O659" s="116">
        <v>1186.9749999999999</v>
      </c>
      <c r="P659" s="116">
        <v>1190.2750000000001</v>
      </c>
      <c r="Q659" s="116">
        <v>2398.35</v>
      </c>
      <c r="R659">
        <v>8346</v>
      </c>
    </row>
    <row r="660" spans="1:18" x14ac:dyDescent="0.25">
      <c r="A660" s="170">
        <v>42975</v>
      </c>
      <c r="B660" s="116">
        <v>1215</v>
      </c>
      <c r="C660" s="116">
        <v>1205.325</v>
      </c>
      <c r="D660" s="116">
        <v>1192.625</v>
      </c>
      <c r="E660" s="116">
        <v>1192.625</v>
      </c>
      <c r="F660" s="116">
        <v>2410.65</v>
      </c>
      <c r="G660">
        <v>1091</v>
      </c>
      <c r="H660" s="116"/>
      <c r="I660" s="116"/>
      <c r="L660" s="170">
        <v>42975</v>
      </c>
      <c r="M660" s="116">
        <v>1211.45</v>
      </c>
      <c r="N660" s="116">
        <v>1230</v>
      </c>
      <c r="O660" s="116">
        <v>1188.5</v>
      </c>
      <c r="P660" s="116">
        <v>1207.4749999999999</v>
      </c>
      <c r="Q660" s="116">
        <v>2422.9</v>
      </c>
      <c r="R660">
        <v>11646</v>
      </c>
    </row>
    <row r="661" spans="1:18" x14ac:dyDescent="0.25">
      <c r="A661" s="170">
        <v>42976</v>
      </c>
      <c r="B661" s="116">
        <v>1220</v>
      </c>
      <c r="C661" s="116">
        <v>1215.8499999999999</v>
      </c>
      <c r="D661" s="116">
        <v>1195.75</v>
      </c>
      <c r="E661" s="116">
        <v>1199</v>
      </c>
      <c r="F661" s="116">
        <v>2431.6999999999998</v>
      </c>
      <c r="G661">
        <v>333</v>
      </c>
      <c r="H661" s="116"/>
      <c r="I661" s="116"/>
      <c r="L661" s="170">
        <v>42976</v>
      </c>
      <c r="M661" s="116">
        <v>1217.9000000000001</v>
      </c>
      <c r="N661" s="116">
        <v>1225</v>
      </c>
      <c r="O661" s="116">
        <v>1197.5</v>
      </c>
      <c r="P661" s="116">
        <v>1201.0250000000001</v>
      </c>
      <c r="Q661" s="116">
        <v>2435.8000000000002</v>
      </c>
      <c r="R661">
        <v>5327</v>
      </c>
    </row>
    <row r="662" spans="1:18" x14ac:dyDescent="0.25">
      <c r="A662" s="170">
        <v>42977</v>
      </c>
      <c r="B662" s="116">
        <v>1214.925</v>
      </c>
      <c r="C662" s="116">
        <v>1210.825</v>
      </c>
      <c r="D662" s="116">
        <v>1187.05</v>
      </c>
      <c r="E662" s="116">
        <v>1207.575</v>
      </c>
      <c r="F662" s="116">
        <v>2421.65</v>
      </c>
      <c r="G662">
        <v>562</v>
      </c>
      <c r="H662" s="116"/>
      <c r="I662" s="116"/>
      <c r="L662" s="170">
        <v>42977</v>
      </c>
      <c r="M662" s="116">
        <v>1212.9000000000001</v>
      </c>
      <c r="N662" s="116">
        <v>1216.5</v>
      </c>
      <c r="O662" s="116">
        <v>1200.55</v>
      </c>
      <c r="P662" s="116">
        <v>1205.625</v>
      </c>
      <c r="Q662" s="116">
        <v>2425.8000000000002</v>
      </c>
      <c r="R662">
        <v>7679</v>
      </c>
    </row>
    <row r="663" spans="1:18" x14ac:dyDescent="0.25">
      <c r="A663" s="170">
        <v>42978</v>
      </c>
      <c r="B663" s="116">
        <v>1212.5</v>
      </c>
      <c r="C663" s="116">
        <v>1195.75</v>
      </c>
      <c r="D663" s="116">
        <v>1190</v>
      </c>
      <c r="E663" s="116">
        <v>1210.7249999999999</v>
      </c>
      <c r="F663" s="116">
        <v>2391.5</v>
      </c>
      <c r="G663">
        <v>547</v>
      </c>
      <c r="H663" s="116"/>
      <c r="I663" s="116"/>
      <c r="L663" s="170">
        <v>42978</v>
      </c>
      <c r="M663" s="116">
        <v>1200.8499999999999</v>
      </c>
      <c r="N663" s="116">
        <v>1213.5</v>
      </c>
      <c r="O663" s="116">
        <v>1193.0250000000001</v>
      </c>
      <c r="P663" s="116">
        <v>1207.825</v>
      </c>
      <c r="Q663" s="116">
        <v>2401.6999999999998</v>
      </c>
      <c r="R663">
        <v>9577</v>
      </c>
    </row>
    <row r="664" spans="1:18" x14ac:dyDescent="0.25">
      <c r="A664" s="170">
        <v>42979</v>
      </c>
      <c r="B664" s="116">
        <v>1218</v>
      </c>
      <c r="C664" s="116">
        <v>1212.325</v>
      </c>
      <c r="D664" s="116">
        <v>1205.5</v>
      </c>
      <c r="E664" s="116">
        <v>1205.5</v>
      </c>
      <c r="F664" s="116">
        <v>2424.65</v>
      </c>
      <c r="G664">
        <v>654</v>
      </c>
      <c r="H664" s="116"/>
      <c r="I664" s="116"/>
      <c r="L664" s="170">
        <v>42979</v>
      </c>
      <c r="M664" s="116">
        <v>1215.25</v>
      </c>
      <c r="N664" s="116">
        <v>1227.2</v>
      </c>
      <c r="O664" s="116">
        <v>1203.5</v>
      </c>
      <c r="P664" s="116">
        <v>1209</v>
      </c>
      <c r="Q664" s="116">
        <v>2430.5</v>
      </c>
      <c r="R664">
        <v>4976</v>
      </c>
    </row>
    <row r="665" spans="1:18" x14ac:dyDescent="0.25">
      <c r="A665" s="170">
        <v>42982</v>
      </c>
      <c r="B665" s="116">
        <v>1249.5</v>
      </c>
      <c r="C665" s="116">
        <v>1211.575</v>
      </c>
      <c r="D665" s="116">
        <v>1200</v>
      </c>
      <c r="E665" s="116">
        <v>1249.5</v>
      </c>
      <c r="F665" s="116">
        <v>2423.15</v>
      </c>
      <c r="G665">
        <v>838</v>
      </c>
      <c r="H665" s="116"/>
      <c r="I665" s="116"/>
      <c r="L665" s="170">
        <v>42982</v>
      </c>
      <c r="M665" s="116">
        <v>1214.625</v>
      </c>
      <c r="N665" s="116">
        <v>1234.9749999999999</v>
      </c>
      <c r="O665" s="116">
        <v>1196.575</v>
      </c>
      <c r="P665" s="116">
        <v>1219.95</v>
      </c>
      <c r="Q665" s="116">
        <v>2429.25</v>
      </c>
      <c r="R665">
        <v>5256</v>
      </c>
    </row>
    <row r="666" spans="1:18" x14ac:dyDescent="0.25">
      <c r="A666" s="170">
        <v>42983</v>
      </c>
      <c r="B666" s="116">
        <v>1247.5</v>
      </c>
      <c r="C666" s="116">
        <v>1221.425</v>
      </c>
      <c r="D666" s="116">
        <v>1205.5</v>
      </c>
      <c r="E666" s="116">
        <v>1209.075</v>
      </c>
      <c r="F666" s="116">
        <v>2442.85</v>
      </c>
      <c r="G666">
        <v>624</v>
      </c>
      <c r="H666" s="116"/>
      <c r="I666" s="116"/>
      <c r="L666" s="170">
        <v>42983</v>
      </c>
      <c r="M666" s="116">
        <v>1227.25</v>
      </c>
      <c r="N666" s="116">
        <v>1234.5</v>
      </c>
      <c r="O666" s="116">
        <v>1208.25</v>
      </c>
      <c r="P666" s="116">
        <v>1212.5</v>
      </c>
      <c r="Q666" s="116">
        <v>2454.5</v>
      </c>
      <c r="R666">
        <v>5446</v>
      </c>
    </row>
    <row r="667" spans="1:18" x14ac:dyDescent="0.25">
      <c r="A667" s="170">
        <v>42984</v>
      </c>
      <c r="B667" s="116">
        <v>1230</v>
      </c>
      <c r="C667" s="116">
        <v>1223.55</v>
      </c>
      <c r="D667" s="116">
        <v>1212.5</v>
      </c>
      <c r="E667" s="116">
        <v>1212.7</v>
      </c>
      <c r="F667" s="116">
        <v>2447.1</v>
      </c>
      <c r="G667">
        <v>525</v>
      </c>
      <c r="H667" s="116"/>
      <c r="I667" s="116"/>
      <c r="L667" s="170">
        <v>42984</v>
      </c>
      <c r="M667" s="116">
        <v>1226.675</v>
      </c>
      <c r="N667" s="116">
        <v>1234.9749999999999</v>
      </c>
      <c r="O667" s="116">
        <v>1211</v>
      </c>
      <c r="P667" s="116">
        <v>1211</v>
      </c>
      <c r="Q667" s="116">
        <v>2453.35</v>
      </c>
      <c r="R667">
        <v>4804</v>
      </c>
    </row>
    <row r="668" spans="1:18" x14ac:dyDescent="0.25">
      <c r="A668" s="170">
        <v>42985</v>
      </c>
      <c r="B668" s="116">
        <v>1232</v>
      </c>
      <c r="C668" s="116">
        <v>1224.175</v>
      </c>
      <c r="D668" s="116">
        <v>1206</v>
      </c>
      <c r="E668" s="116">
        <v>1220.55</v>
      </c>
      <c r="F668" s="116">
        <v>2448.35</v>
      </c>
      <c r="G668">
        <v>992</v>
      </c>
      <c r="H668" s="116"/>
      <c r="I668" s="116"/>
      <c r="L668" s="170">
        <v>42985</v>
      </c>
      <c r="M668" s="116">
        <v>1230.3499999999999</v>
      </c>
      <c r="N668" s="116">
        <v>1237.45</v>
      </c>
      <c r="O668" s="116">
        <v>1215.3</v>
      </c>
      <c r="P668" s="116">
        <v>1226.675</v>
      </c>
      <c r="Q668" s="116">
        <v>2460.6999999999998</v>
      </c>
      <c r="R668">
        <v>5617</v>
      </c>
    </row>
    <row r="669" spans="1:18" x14ac:dyDescent="0.25">
      <c r="A669" s="170">
        <v>42986</v>
      </c>
      <c r="B669" s="116">
        <v>1239.95</v>
      </c>
      <c r="C669" s="116">
        <v>1228.75</v>
      </c>
      <c r="D669" s="116">
        <v>1218.0999999999999</v>
      </c>
      <c r="E669" s="116">
        <v>1234.5999999999999</v>
      </c>
      <c r="F669" s="116">
        <v>2457.5</v>
      </c>
      <c r="G669">
        <v>627</v>
      </c>
      <c r="H669" s="116"/>
      <c r="I669" s="116"/>
      <c r="L669" s="170">
        <v>42986</v>
      </c>
      <c r="M669" s="116">
        <v>1235.2750000000001</v>
      </c>
      <c r="N669" s="116">
        <v>1245</v>
      </c>
      <c r="O669" s="116">
        <v>1218.95</v>
      </c>
      <c r="P669" s="116">
        <v>1227.3499999999999</v>
      </c>
      <c r="Q669" s="116">
        <v>2470.5500000000002</v>
      </c>
      <c r="R669">
        <v>6660</v>
      </c>
    </row>
    <row r="670" spans="1:18" x14ac:dyDescent="0.25">
      <c r="A670" s="170">
        <v>42989</v>
      </c>
      <c r="B670" s="116">
        <v>1235</v>
      </c>
      <c r="C670" s="116">
        <v>1217.075</v>
      </c>
      <c r="D670" s="116">
        <v>1212.5</v>
      </c>
      <c r="E670" s="116">
        <v>1235</v>
      </c>
      <c r="F670" s="116">
        <v>2434.15</v>
      </c>
      <c r="G670">
        <v>1443</v>
      </c>
      <c r="H670" s="116"/>
      <c r="I670" s="116"/>
      <c r="L670" s="170">
        <v>42989</v>
      </c>
      <c r="M670" s="116">
        <v>1220.5999999999999</v>
      </c>
      <c r="N670" s="116">
        <v>1233.875</v>
      </c>
      <c r="O670" s="116">
        <v>1212.75</v>
      </c>
      <c r="P670" s="116">
        <v>1233.875</v>
      </c>
      <c r="Q670" s="116">
        <v>2441.1999999999998</v>
      </c>
      <c r="R670">
        <v>8625</v>
      </c>
    </row>
    <row r="671" spans="1:18" x14ac:dyDescent="0.25">
      <c r="A671" s="170">
        <v>42990</v>
      </c>
      <c r="B671" s="116">
        <v>1229.75</v>
      </c>
      <c r="C671" s="116">
        <v>1215</v>
      </c>
      <c r="D671" s="116">
        <v>1208.675</v>
      </c>
      <c r="E671" s="116">
        <v>1218.0250000000001</v>
      </c>
      <c r="F671" s="116">
        <v>2430</v>
      </c>
      <c r="G671">
        <v>286</v>
      </c>
      <c r="H671" s="116"/>
      <c r="I671" s="116"/>
      <c r="L671" s="170">
        <v>42990</v>
      </c>
      <c r="M671" s="116">
        <v>1221.5999999999999</v>
      </c>
      <c r="N671" s="116">
        <v>1239.3499999999999</v>
      </c>
      <c r="O671" s="116">
        <v>1210</v>
      </c>
      <c r="P671" s="116">
        <v>1217.5</v>
      </c>
      <c r="Q671" s="116">
        <v>2443.1999999999998</v>
      </c>
      <c r="R671">
        <v>8008</v>
      </c>
    </row>
    <row r="672" spans="1:18" x14ac:dyDescent="0.25">
      <c r="A672" s="170">
        <v>42991</v>
      </c>
      <c r="B672" s="116">
        <v>1225</v>
      </c>
      <c r="C672" s="116">
        <v>1207.6500000000001</v>
      </c>
      <c r="D672" s="116">
        <v>1200.5250000000001</v>
      </c>
      <c r="E672" s="116">
        <v>1225</v>
      </c>
      <c r="F672" s="116">
        <v>2415.3000000000002</v>
      </c>
      <c r="G672">
        <v>792</v>
      </c>
      <c r="H672" s="116"/>
      <c r="I672" s="116"/>
      <c r="L672" s="170">
        <v>42991</v>
      </c>
      <c r="M672" s="116">
        <v>1208.675</v>
      </c>
      <c r="N672" s="116">
        <v>1229.95</v>
      </c>
      <c r="O672" s="116">
        <v>1198.5999999999999</v>
      </c>
      <c r="P672" s="116">
        <v>1221.0250000000001</v>
      </c>
      <c r="Q672" s="116">
        <v>2417.35</v>
      </c>
      <c r="R672">
        <v>7253</v>
      </c>
    </row>
    <row r="673" spans="1:18" x14ac:dyDescent="0.25">
      <c r="A673" s="170">
        <v>42992</v>
      </c>
      <c r="B673" s="116">
        <v>1224.4000000000001</v>
      </c>
      <c r="C673" s="116">
        <v>1190.5250000000001</v>
      </c>
      <c r="D673" s="116">
        <v>1186.1500000000001</v>
      </c>
      <c r="E673" s="116">
        <v>1224.4000000000001</v>
      </c>
      <c r="F673" s="116">
        <v>2381.0500000000002</v>
      </c>
      <c r="G673">
        <v>983</v>
      </c>
      <c r="H673" s="116"/>
      <c r="I673" s="116"/>
      <c r="L673" s="170">
        <v>42992</v>
      </c>
      <c r="M673" s="116">
        <v>1196.825</v>
      </c>
      <c r="N673" s="116">
        <v>1210</v>
      </c>
      <c r="O673" s="116">
        <v>1185</v>
      </c>
      <c r="P673" s="116">
        <v>1204.0250000000001</v>
      </c>
      <c r="Q673" s="116">
        <v>2393.65</v>
      </c>
      <c r="R673">
        <v>9646</v>
      </c>
    </row>
    <row r="674" spans="1:18" x14ac:dyDescent="0.25">
      <c r="A674" s="170">
        <v>42993</v>
      </c>
      <c r="B674" s="116">
        <v>1227.7750000000001</v>
      </c>
      <c r="C674" s="116">
        <v>1205.45</v>
      </c>
      <c r="D674" s="116">
        <v>1185</v>
      </c>
      <c r="E674" s="116">
        <v>1190.8499999999999</v>
      </c>
      <c r="F674" s="116">
        <v>2410.9</v>
      </c>
      <c r="G674">
        <v>1022</v>
      </c>
      <c r="H674" s="116"/>
      <c r="I674" s="116"/>
      <c r="L674" s="170">
        <v>42993</v>
      </c>
      <c r="M674" s="116">
        <v>1215.175</v>
      </c>
      <c r="N674" s="116">
        <v>1234.5</v>
      </c>
      <c r="O674" s="116">
        <v>1187.55</v>
      </c>
      <c r="P674" s="116">
        <v>1192.8499999999999</v>
      </c>
      <c r="Q674" s="116">
        <v>2430.35</v>
      </c>
      <c r="R674">
        <v>20875</v>
      </c>
    </row>
    <row r="675" spans="1:18" x14ac:dyDescent="0.25">
      <c r="A675" s="170">
        <v>42996</v>
      </c>
      <c r="B675" s="116">
        <v>1224.5250000000001</v>
      </c>
      <c r="C675" s="116">
        <v>1204.7750000000001</v>
      </c>
      <c r="D675" s="116">
        <v>1200</v>
      </c>
      <c r="E675" s="116">
        <v>1222.125</v>
      </c>
      <c r="F675" s="116">
        <v>2409.5500000000002</v>
      </c>
      <c r="G675">
        <v>2012</v>
      </c>
      <c r="H675" s="116"/>
      <c r="I675" s="116"/>
      <c r="L675" s="170">
        <v>42996</v>
      </c>
      <c r="M675" s="116">
        <v>1208.875</v>
      </c>
      <c r="N675" s="116">
        <v>1227.4749999999999</v>
      </c>
      <c r="O675" s="116">
        <v>1203.25</v>
      </c>
      <c r="P675" s="116">
        <v>1212.6500000000001</v>
      </c>
      <c r="Q675" s="116">
        <v>2417.75</v>
      </c>
      <c r="R675">
        <v>6290</v>
      </c>
    </row>
    <row r="676" spans="1:18" x14ac:dyDescent="0.25">
      <c r="A676" s="170">
        <v>42997</v>
      </c>
      <c r="B676" s="116">
        <v>1213.9749999999999</v>
      </c>
      <c r="C676" s="116">
        <v>1201.125</v>
      </c>
      <c r="D676" s="116">
        <v>1195</v>
      </c>
      <c r="E676" s="116">
        <v>1204.2</v>
      </c>
      <c r="F676" s="116">
        <v>2402.25</v>
      </c>
      <c r="G676">
        <v>532</v>
      </c>
      <c r="H676" s="116"/>
      <c r="I676" s="116"/>
      <c r="L676" s="170">
        <v>42997</v>
      </c>
      <c r="M676" s="116">
        <v>1203.0999999999999</v>
      </c>
      <c r="N676" s="116">
        <v>1215.0250000000001</v>
      </c>
      <c r="O676" s="116">
        <v>1190.25</v>
      </c>
      <c r="P676" s="116">
        <v>1207.5250000000001</v>
      </c>
      <c r="Q676" s="116">
        <v>2406.1999999999998</v>
      </c>
      <c r="R676">
        <v>6671</v>
      </c>
    </row>
    <row r="677" spans="1:18" x14ac:dyDescent="0.25">
      <c r="A677" s="170">
        <v>42998</v>
      </c>
      <c r="B677" s="116">
        <v>1206.5</v>
      </c>
      <c r="C677" s="116">
        <v>1193.8</v>
      </c>
      <c r="D677" s="116">
        <v>1192.5250000000001</v>
      </c>
      <c r="E677" s="116">
        <v>1205</v>
      </c>
      <c r="F677" s="116">
        <v>2387.6</v>
      </c>
      <c r="G677">
        <v>338</v>
      </c>
      <c r="H677" s="116"/>
      <c r="I677" s="116"/>
      <c r="L677" s="170">
        <v>42998</v>
      </c>
      <c r="M677" s="116">
        <v>1198.175</v>
      </c>
      <c r="N677" s="116">
        <v>1210.0999999999999</v>
      </c>
      <c r="O677" s="116">
        <v>1192.5</v>
      </c>
      <c r="P677" s="116">
        <v>1192.55</v>
      </c>
      <c r="Q677" s="116">
        <v>2396.35</v>
      </c>
      <c r="R677">
        <v>6948</v>
      </c>
    </row>
    <row r="678" spans="1:18" x14ac:dyDescent="0.25">
      <c r="A678" s="170">
        <v>42999</v>
      </c>
      <c r="B678" s="116">
        <v>1225</v>
      </c>
      <c r="C678" s="116">
        <v>1218.925</v>
      </c>
      <c r="D678" s="116">
        <v>1190</v>
      </c>
      <c r="E678" s="116">
        <v>1202</v>
      </c>
      <c r="F678" s="116">
        <v>2437.85</v>
      </c>
      <c r="G678">
        <v>959</v>
      </c>
      <c r="H678" s="116"/>
      <c r="I678" s="116"/>
      <c r="L678" s="170">
        <v>42999</v>
      </c>
      <c r="M678" s="116">
        <v>1223.0999999999999</v>
      </c>
      <c r="N678" s="116">
        <v>1232.5999999999999</v>
      </c>
      <c r="O678" s="116">
        <v>1190</v>
      </c>
      <c r="P678" s="116">
        <v>1202.175</v>
      </c>
      <c r="Q678" s="116">
        <v>2446.1999999999998</v>
      </c>
      <c r="R678">
        <v>8637</v>
      </c>
    </row>
    <row r="679" spans="1:18" x14ac:dyDescent="0.25">
      <c r="A679" s="170">
        <v>43000</v>
      </c>
      <c r="B679" s="116">
        <v>1227.5</v>
      </c>
      <c r="C679" s="116">
        <v>1214.0250000000001</v>
      </c>
      <c r="D679" s="116">
        <v>1204.4749999999999</v>
      </c>
      <c r="E679" s="116">
        <v>1220.95</v>
      </c>
      <c r="F679" s="116">
        <v>2428.0500000000002</v>
      </c>
      <c r="G679">
        <v>547</v>
      </c>
      <c r="H679" s="116"/>
      <c r="I679" s="116"/>
      <c r="L679" s="170">
        <v>43000</v>
      </c>
      <c r="M679" s="116">
        <v>1216.5250000000001</v>
      </c>
      <c r="N679" s="116">
        <v>1229.5</v>
      </c>
      <c r="O679" s="116">
        <v>1205</v>
      </c>
      <c r="P679" s="116">
        <v>1220</v>
      </c>
      <c r="Q679" s="116">
        <v>2433.0500000000002</v>
      </c>
      <c r="R679">
        <v>5899</v>
      </c>
    </row>
    <row r="680" spans="1:18" x14ac:dyDescent="0.25">
      <c r="A680" s="170">
        <v>43003</v>
      </c>
      <c r="B680" s="116">
        <v>1245</v>
      </c>
      <c r="C680" s="116">
        <v>1213.25</v>
      </c>
      <c r="D680" s="116">
        <v>1200</v>
      </c>
      <c r="E680" s="116">
        <v>1242.5</v>
      </c>
      <c r="F680" s="116">
        <v>2426.5</v>
      </c>
      <c r="G680">
        <v>3231</v>
      </c>
      <c r="H680" s="116"/>
      <c r="I680" s="116"/>
      <c r="L680" s="170">
        <v>43003</v>
      </c>
      <c r="M680" s="116">
        <v>1220.8499999999999</v>
      </c>
      <c r="N680" s="116">
        <v>1243.5</v>
      </c>
      <c r="O680" s="116">
        <v>1201.075</v>
      </c>
      <c r="P680" s="116">
        <v>1226.05</v>
      </c>
      <c r="Q680" s="116">
        <v>2441.6999999999998</v>
      </c>
      <c r="R680">
        <v>15787</v>
      </c>
    </row>
    <row r="681" spans="1:18" x14ac:dyDescent="0.25">
      <c r="A681" s="170">
        <v>43004</v>
      </c>
      <c r="B681" s="116">
        <v>1234</v>
      </c>
      <c r="C681" s="116">
        <v>1224.125</v>
      </c>
      <c r="D681" s="116">
        <v>1206.1500000000001</v>
      </c>
      <c r="E681" s="116">
        <v>1214</v>
      </c>
      <c r="F681" s="116">
        <v>2448.25</v>
      </c>
      <c r="G681">
        <v>664</v>
      </c>
      <c r="H681" s="116"/>
      <c r="I681" s="116"/>
      <c r="L681" s="170">
        <v>43004</v>
      </c>
      <c r="M681" s="116">
        <v>1228.125</v>
      </c>
      <c r="N681" s="116">
        <v>1237.5</v>
      </c>
      <c r="O681" s="116">
        <v>1208.2</v>
      </c>
      <c r="P681" s="116">
        <v>1209</v>
      </c>
      <c r="Q681" s="116">
        <v>2456.25</v>
      </c>
      <c r="R681">
        <v>7294</v>
      </c>
    </row>
    <row r="682" spans="1:18" x14ac:dyDescent="0.25">
      <c r="A682" s="170">
        <v>43005</v>
      </c>
      <c r="B682" s="116">
        <v>1224.55</v>
      </c>
      <c r="C682" s="116">
        <v>1196.9000000000001</v>
      </c>
      <c r="D682" s="116">
        <v>1195.425</v>
      </c>
      <c r="E682" s="116">
        <v>1224.55</v>
      </c>
      <c r="F682" s="116">
        <v>2393.8000000000002</v>
      </c>
      <c r="G682">
        <v>589</v>
      </c>
      <c r="H682" s="116"/>
      <c r="I682" s="116"/>
      <c r="L682" s="170">
        <v>43005</v>
      </c>
      <c r="M682" s="116">
        <v>1198.0250000000001</v>
      </c>
      <c r="N682" s="116">
        <v>1226.9749999999999</v>
      </c>
      <c r="O682" s="116">
        <v>1190</v>
      </c>
      <c r="P682" s="116">
        <v>1211.5</v>
      </c>
      <c r="Q682" s="116">
        <v>2396.0500000000002</v>
      </c>
      <c r="R682">
        <v>12914</v>
      </c>
    </row>
    <row r="683" spans="1:18" x14ac:dyDescent="0.25">
      <c r="A683" s="170">
        <v>43006</v>
      </c>
      <c r="B683" s="116">
        <v>1237.45</v>
      </c>
      <c r="C683" s="116">
        <v>1221.825</v>
      </c>
      <c r="D683" s="116">
        <v>1188.55</v>
      </c>
      <c r="E683" s="116">
        <v>1197.4000000000001</v>
      </c>
      <c r="F683" s="116">
        <v>2443.65</v>
      </c>
      <c r="G683">
        <v>551</v>
      </c>
      <c r="H683" s="116"/>
      <c r="I683" s="116"/>
      <c r="L683" s="170">
        <v>43006</v>
      </c>
      <c r="M683" s="116">
        <v>1227.0999999999999</v>
      </c>
      <c r="N683" s="116">
        <v>1242</v>
      </c>
      <c r="O683" s="116">
        <v>1185</v>
      </c>
      <c r="P683" s="116">
        <v>1192.5250000000001</v>
      </c>
      <c r="Q683" s="116">
        <v>2454.1999999999998</v>
      </c>
      <c r="R683">
        <v>8643</v>
      </c>
    </row>
    <row r="684" spans="1:18" x14ac:dyDescent="0.25">
      <c r="A684" s="170">
        <v>43007</v>
      </c>
      <c r="B684" s="116">
        <v>1275</v>
      </c>
      <c r="C684" s="116">
        <v>1248.5999999999999</v>
      </c>
      <c r="D684" s="116">
        <v>1210.05</v>
      </c>
      <c r="E684" s="116">
        <v>1224.5</v>
      </c>
      <c r="F684" s="116">
        <v>2497.1999999999998</v>
      </c>
      <c r="G684">
        <v>985</v>
      </c>
      <c r="H684" s="116"/>
      <c r="I684" s="116"/>
      <c r="L684" s="170">
        <v>43007</v>
      </c>
      <c r="M684" s="116">
        <v>1253.3499999999999</v>
      </c>
      <c r="N684" s="116">
        <v>1295</v>
      </c>
      <c r="O684" s="116">
        <v>1212.75</v>
      </c>
      <c r="P684" s="116">
        <v>1225</v>
      </c>
      <c r="Q684" s="116">
        <v>2506.6999999999998</v>
      </c>
      <c r="R684">
        <v>12299</v>
      </c>
    </row>
    <row r="685" spans="1:18" x14ac:dyDescent="0.25">
      <c r="A685" s="170">
        <v>43011</v>
      </c>
      <c r="B685" s="116">
        <v>1260</v>
      </c>
      <c r="C685" s="116">
        <v>1234.3499999999999</v>
      </c>
      <c r="D685" s="116">
        <v>1230</v>
      </c>
      <c r="E685" s="116">
        <v>1260</v>
      </c>
      <c r="F685" s="116">
        <v>2468.6999999999998</v>
      </c>
      <c r="G685">
        <v>932</v>
      </c>
      <c r="H685" s="116"/>
      <c r="I685" s="116"/>
      <c r="L685" s="170">
        <v>43011</v>
      </c>
      <c r="M685" s="116">
        <v>1240.7750000000001</v>
      </c>
      <c r="N685" s="116">
        <v>1275</v>
      </c>
      <c r="O685" s="116">
        <v>1230</v>
      </c>
      <c r="P685" s="116">
        <v>1274.9749999999999</v>
      </c>
      <c r="Q685" s="116">
        <v>2481.5500000000002</v>
      </c>
      <c r="R685">
        <v>7973</v>
      </c>
    </row>
    <row r="686" spans="1:18" x14ac:dyDescent="0.25">
      <c r="A686" s="170">
        <v>43012</v>
      </c>
      <c r="B686" s="116">
        <v>1237</v>
      </c>
      <c r="C686" s="116">
        <v>1224.075</v>
      </c>
      <c r="D686" s="116">
        <v>1210.0250000000001</v>
      </c>
      <c r="E686" s="116">
        <v>1237</v>
      </c>
      <c r="F686" s="116">
        <v>2448.15</v>
      </c>
      <c r="G686">
        <v>1910</v>
      </c>
      <c r="H686" s="116"/>
      <c r="I686" s="116"/>
      <c r="L686" s="170">
        <v>43012</v>
      </c>
      <c r="M686" s="116">
        <v>1227.925</v>
      </c>
      <c r="N686" s="116">
        <v>1239.3499999999999</v>
      </c>
      <c r="O686" s="116">
        <v>1215</v>
      </c>
      <c r="P686" s="116">
        <v>1236.875</v>
      </c>
      <c r="Q686" s="116">
        <v>2455.85</v>
      </c>
      <c r="R686">
        <v>5822</v>
      </c>
    </row>
    <row r="687" spans="1:18" x14ac:dyDescent="0.25">
      <c r="A687" s="170">
        <v>43013</v>
      </c>
      <c r="B687" s="116">
        <v>1223.675</v>
      </c>
      <c r="C687" s="116">
        <v>1218.675</v>
      </c>
      <c r="D687" s="116">
        <v>1211</v>
      </c>
      <c r="E687" s="116">
        <v>1223.675</v>
      </c>
      <c r="F687" s="116">
        <v>2437.35</v>
      </c>
      <c r="G687">
        <v>506</v>
      </c>
      <c r="H687" s="116"/>
      <c r="I687" s="116"/>
      <c r="L687" s="170">
        <v>43013</v>
      </c>
      <c r="M687" s="116">
        <v>1222.1500000000001</v>
      </c>
      <c r="N687" s="116">
        <v>1227</v>
      </c>
      <c r="O687" s="116">
        <v>1216.5250000000001</v>
      </c>
      <c r="P687" s="116">
        <v>1224.5</v>
      </c>
      <c r="Q687" s="116">
        <v>2444.3000000000002</v>
      </c>
      <c r="R687">
        <v>3521</v>
      </c>
    </row>
    <row r="688" spans="1:18" x14ac:dyDescent="0.25">
      <c r="A688" s="170">
        <v>43014</v>
      </c>
      <c r="B688" s="116">
        <v>1230</v>
      </c>
      <c r="C688" s="116">
        <v>1207.4000000000001</v>
      </c>
      <c r="D688" s="116">
        <v>1202.9749999999999</v>
      </c>
      <c r="E688" s="116">
        <v>1225.875</v>
      </c>
      <c r="F688" s="116">
        <v>2414.8000000000002</v>
      </c>
      <c r="G688">
        <v>749</v>
      </c>
      <c r="H688" s="116"/>
      <c r="I688" s="116"/>
      <c r="L688" s="170">
        <v>43014</v>
      </c>
      <c r="M688" s="116">
        <v>1207.4749999999999</v>
      </c>
      <c r="N688" s="116">
        <v>1225.95</v>
      </c>
      <c r="O688" s="116">
        <v>1200.55</v>
      </c>
      <c r="P688" s="116">
        <v>1224.95</v>
      </c>
      <c r="Q688" s="116">
        <v>2414.9499999999998</v>
      </c>
      <c r="R688">
        <v>11750</v>
      </c>
    </row>
    <row r="689" spans="1:18" x14ac:dyDescent="0.25">
      <c r="A689" s="170">
        <v>43017</v>
      </c>
      <c r="B689" s="116">
        <v>1249.9749999999999</v>
      </c>
      <c r="C689" s="116">
        <v>1201.675</v>
      </c>
      <c r="D689" s="116">
        <v>1197.5</v>
      </c>
      <c r="E689" s="116">
        <v>1249.9749999999999</v>
      </c>
      <c r="F689" s="116">
        <v>2403.35</v>
      </c>
      <c r="G689">
        <v>1185</v>
      </c>
      <c r="H689" s="116"/>
      <c r="I689" s="116"/>
      <c r="L689" s="170">
        <v>43017</v>
      </c>
      <c r="M689" s="116">
        <v>1205.8</v>
      </c>
      <c r="N689" s="116">
        <v>1212.05</v>
      </c>
      <c r="O689" s="116">
        <v>1198.0250000000001</v>
      </c>
      <c r="P689" s="116">
        <v>1207.0250000000001</v>
      </c>
      <c r="Q689" s="116">
        <v>2411.6</v>
      </c>
      <c r="R689">
        <v>3737</v>
      </c>
    </row>
    <row r="690" spans="1:18" x14ac:dyDescent="0.25">
      <c r="A690" s="170">
        <v>43018</v>
      </c>
      <c r="B690" s="116">
        <v>1211.825</v>
      </c>
      <c r="C690" s="116">
        <v>1205.575</v>
      </c>
      <c r="D690" s="116">
        <v>1200</v>
      </c>
      <c r="E690" s="116">
        <v>1204.3</v>
      </c>
      <c r="F690" s="116">
        <v>2411.15</v>
      </c>
      <c r="G690">
        <v>605</v>
      </c>
      <c r="H690" s="116"/>
      <c r="I690" s="116"/>
      <c r="L690" s="170">
        <v>43018</v>
      </c>
      <c r="M690" s="116">
        <v>1205.0250000000001</v>
      </c>
      <c r="N690" s="116">
        <v>1210.75</v>
      </c>
      <c r="O690" s="116">
        <v>1195.1500000000001</v>
      </c>
      <c r="P690" s="116">
        <v>1209.925</v>
      </c>
      <c r="Q690" s="116">
        <v>2410.0500000000002</v>
      </c>
      <c r="R690">
        <v>5872</v>
      </c>
    </row>
    <row r="691" spans="1:18" x14ac:dyDescent="0.25">
      <c r="A691" s="170">
        <v>43019</v>
      </c>
      <c r="B691" s="116">
        <v>1206.175</v>
      </c>
      <c r="C691" s="116">
        <v>1194.375</v>
      </c>
      <c r="D691" s="116">
        <v>1191.05</v>
      </c>
      <c r="E691" s="116">
        <v>1201.5999999999999</v>
      </c>
      <c r="F691" s="116">
        <v>2388.75</v>
      </c>
      <c r="G691">
        <v>542</v>
      </c>
      <c r="H691" s="116"/>
      <c r="I691" s="116"/>
      <c r="L691" s="170">
        <v>43019</v>
      </c>
      <c r="M691" s="116">
        <v>1197.5</v>
      </c>
      <c r="N691" s="116">
        <v>1207.425</v>
      </c>
      <c r="O691" s="116">
        <v>1191.0999999999999</v>
      </c>
      <c r="P691" s="116">
        <v>1205.05</v>
      </c>
      <c r="Q691" s="116">
        <v>2395</v>
      </c>
      <c r="R691">
        <v>4185</v>
      </c>
    </row>
    <row r="692" spans="1:18" x14ac:dyDescent="0.25">
      <c r="A692" s="170">
        <v>43020</v>
      </c>
      <c r="B692" s="116">
        <v>1225</v>
      </c>
      <c r="C692" s="116">
        <v>1213.375</v>
      </c>
      <c r="D692" s="116">
        <v>1187.5</v>
      </c>
      <c r="E692" s="116">
        <v>1193</v>
      </c>
      <c r="F692" s="116">
        <v>2426.75</v>
      </c>
      <c r="G692">
        <v>3740</v>
      </c>
      <c r="H692" s="116"/>
      <c r="I692" s="116"/>
      <c r="L692" s="170">
        <v>43020</v>
      </c>
      <c r="M692" s="116">
        <v>1214</v>
      </c>
      <c r="N692" s="116">
        <v>1234.2</v>
      </c>
      <c r="O692" s="116">
        <v>1185.5</v>
      </c>
      <c r="P692" s="116">
        <v>1190.125</v>
      </c>
      <c r="Q692" s="116">
        <v>2428</v>
      </c>
      <c r="R692">
        <v>10916</v>
      </c>
    </row>
    <row r="693" spans="1:18" x14ac:dyDescent="0.25">
      <c r="A693" s="170">
        <v>43021</v>
      </c>
      <c r="B693" s="116">
        <v>1235</v>
      </c>
      <c r="C693" s="116">
        <v>1226.2750000000001</v>
      </c>
      <c r="D693" s="116">
        <v>1204.5</v>
      </c>
      <c r="E693" s="116">
        <v>1210.8499999999999</v>
      </c>
      <c r="F693" s="116">
        <v>2452.5500000000002</v>
      </c>
      <c r="G693">
        <v>1071</v>
      </c>
      <c r="H693" s="116"/>
      <c r="I693" s="116"/>
      <c r="L693" s="170">
        <v>43021</v>
      </c>
      <c r="M693" s="116">
        <v>1231.675</v>
      </c>
      <c r="N693" s="116">
        <v>1244</v>
      </c>
      <c r="O693" s="116">
        <v>1206</v>
      </c>
      <c r="P693" s="116">
        <v>1206</v>
      </c>
      <c r="Q693" s="116">
        <v>2463.35</v>
      </c>
      <c r="R693">
        <v>7822</v>
      </c>
    </row>
    <row r="694" spans="1:18" x14ac:dyDescent="0.25">
      <c r="A694" s="170">
        <v>43024</v>
      </c>
      <c r="B694" s="116">
        <v>1243.5250000000001</v>
      </c>
      <c r="C694" s="116">
        <v>1222.325</v>
      </c>
      <c r="D694" s="116">
        <v>1212.625</v>
      </c>
      <c r="E694" s="116">
        <v>1239.9749999999999</v>
      </c>
      <c r="F694" s="116">
        <v>2444.65</v>
      </c>
      <c r="G694">
        <v>1385</v>
      </c>
      <c r="H694" s="116"/>
      <c r="I694" s="116"/>
      <c r="L694" s="170">
        <v>43024</v>
      </c>
      <c r="M694" s="116">
        <v>1231.7750000000001</v>
      </c>
      <c r="N694" s="116">
        <v>1244</v>
      </c>
      <c r="O694" s="116">
        <v>1212.7249999999999</v>
      </c>
      <c r="P694" s="116">
        <v>1243.9749999999999</v>
      </c>
      <c r="Q694" s="116">
        <v>2463.5500000000002</v>
      </c>
      <c r="R694">
        <v>7697</v>
      </c>
    </row>
    <row r="695" spans="1:18" x14ac:dyDescent="0.25">
      <c r="A695" s="170">
        <v>43025</v>
      </c>
      <c r="B695" s="116">
        <v>1237.5</v>
      </c>
      <c r="C695" s="116">
        <v>1221.7249999999999</v>
      </c>
      <c r="D695" s="116">
        <v>1216.5250000000001</v>
      </c>
      <c r="E695" s="116">
        <v>1222.325</v>
      </c>
      <c r="F695" s="116">
        <v>2443.4499999999998</v>
      </c>
      <c r="G695">
        <v>795</v>
      </c>
      <c r="H695" s="116"/>
      <c r="I695" s="116"/>
      <c r="L695" s="170">
        <v>43025</v>
      </c>
      <c r="M695" s="116">
        <v>1225.9000000000001</v>
      </c>
      <c r="N695" s="116">
        <v>1237</v>
      </c>
      <c r="O695" s="116">
        <v>1218.1500000000001</v>
      </c>
      <c r="P695" s="116">
        <v>1232</v>
      </c>
      <c r="Q695" s="116">
        <v>2451.8000000000002</v>
      </c>
      <c r="R695">
        <v>4443</v>
      </c>
    </row>
    <row r="696" spans="1:18" x14ac:dyDescent="0.25">
      <c r="A696" s="170">
        <v>43026</v>
      </c>
      <c r="B696" s="116">
        <v>1232.5</v>
      </c>
      <c r="C696" s="116">
        <v>1221.5999999999999</v>
      </c>
      <c r="D696" s="116">
        <v>1212.75</v>
      </c>
      <c r="E696" s="116">
        <v>1218.0999999999999</v>
      </c>
      <c r="F696" s="116">
        <v>2443.1999999999998</v>
      </c>
      <c r="G696">
        <v>170</v>
      </c>
      <c r="H696" s="116"/>
      <c r="I696" s="116"/>
      <c r="L696" s="170">
        <v>43026</v>
      </c>
      <c r="M696" s="116">
        <v>1227.25</v>
      </c>
      <c r="N696" s="116">
        <v>1234.425</v>
      </c>
      <c r="O696" s="116">
        <v>1214</v>
      </c>
      <c r="P696" s="116">
        <v>1223.5250000000001</v>
      </c>
      <c r="Q696" s="116">
        <v>2454.5</v>
      </c>
      <c r="R696">
        <v>4888</v>
      </c>
    </row>
    <row r="697" spans="1:18" x14ac:dyDescent="0.25">
      <c r="A697" s="170">
        <v>43027</v>
      </c>
      <c r="B697" s="116">
        <v>1225.5</v>
      </c>
      <c r="C697" s="116">
        <v>1216.5999999999999</v>
      </c>
      <c r="D697" s="116">
        <v>1210</v>
      </c>
      <c r="E697" s="116">
        <v>1225</v>
      </c>
      <c r="F697" s="116">
        <v>2433.1999999999998</v>
      </c>
      <c r="G697">
        <v>130</v>
      </c>
      <c r="H697" s="116"/>
      <c r="I697" s="116"/>
      <c r="L697" s="170">
        <v>43027</v>
      </c>
      <c r="M697" s="116">
        <v>1218.8499999999999</v>
      </c>
      <c r="N697" s="116">
        <v>1225</v>
      </c>
      <c r="O697" s="116">
        <v>1212.0999999999999</v>
      </c>
      <c r="P697" s="116">
        <v>1225</v>
      </c>
      <c r="Q697" s="116">
        <v>2437.6999999999998</v>
      </c>
      <c r="R697">
        <v>1007</v>
      </c>
    </row>
    <row r="698" spans="1:18" x14ac:dyDescent="0.25">
      <c r="A698" s="170">
        <v>43031</v>
      </c>
      <c r="B698" s="116">
        <v>1228.3</v>
      </c>
      <c r="C698" s="116">
        <v>1217.925</v>
      </c>
      <c r="D698" s="116">
        <v>1208.0999999999999</v>
      </c>
      <c r="E698" s="116">
        <v>1215.3499999999999</v>
      </c>
      <c r="F698" s="116">
        <v>2435.85</v>
      </c>
      <c r="G698">
        <v>567</v>
      </c>
      <c r="H698" s="116"/>
      <c r="I698" s="116"/>
      <c r="L698" s="170">
        <v>43031</v>
      </c>
      <c r="M698" s="116">
        <v>1224.625</v>
      </c>
      <c r="N698" s="116">
        <v>1235</v>
      </c>
      <c r="O698" s="116">
        <v>1210.8499999999999</v>
      </c>
      <c r="P698" s="116">
        <v>1213</v>
      </c>
      <c r="Q698" s="116">
        <v>2449.25</v>
      </c>
      <c r="R698">
        <v>6920</v>
      </c>
    </row>
    <row r="699" spans="1:18" x14ac:dyDescent="0.25">
      <c r="A699" s="170">
        <v>43032</v>
      </c>
      <c r="B699" s="116">
        <v>1232.5</v>
      </c>
      <c r="C699" s="116">
        <v>1223.5</v>
      </c>
      <c r="D699" s="116">
        <v>1212.5</v>
      </c>
      <c r="E699" s="116">
        <v>1224</v>
      </c>
      <c r="F699" s="116">
        <v>2447</v>
      </c>
      <c r="G699">
        <v>603</v>
      </c>
      <c r="H699" s="116"/>
      <c r="I699" s="116"/>
      <c r="L699" s="170">
        <v>43032</v>
      </c>
      <c r="M699" s="116">
        <v>1228.45</v>
      </c>
      <c r="N699" s="116">
        <v>1239</v>
      </c>
      <c r="O699" s="116">
        <v>1215.05</v>
      </c>
      <c r="P699" s="116">
        <v>1223.9749999999999</v>
      </c>
      <c r="Q699" s="116">
        <v>2456.9</v>
      </c>
      <c r="R699">
        <v>5864</v>
      </c>
    </row>
    <row r="700" spans="1:18" x14ac:dyDescent="0.25">
      <c r="A700" s="170">
        <v>43033</v>
      </c>
      <c r="B700" s="116">
        <v>1230</v>
      </c>
      <c r="C700" s="116">
        <v>1211.4000000000001</v>
      </c>
      <c r="D700" s="116">
        <v>1190.55</v>
      </c>
      <c r="E700" s="116">
        <v>1227.45</v>
      </c>
      <c r="F700" s="116">
        <v>2422.8000000000002</v>
      </c>
      <c r="G700">
        <v>3748</v>
      </c>
      <c r="H700" s="116"/>
      <c r="I700" s="116"/>
      <c r="L700" s="170">
        <v>43033</v>
      </c>
      <c r="M700" s="116">
        <v>1212.2750000000001</v>
      </c>
      <c r="N700" s="116">
        <v>1235</v>
      </c>
      <c r="O700" s="116">
        <v>1187.5999999999999</v>
      </c>
      <c r="P700" s="116">
        <v>1235</v>
      </c>
      <c r="Q700" s="116">
        <v>2424.5500000000002</v>
      </c>
      <c r="R700">
        <v>46184</v>
      </c>
    </row>
    <row r="701" spans="1:18" x14ac:dyDescent="0.25">
      <c r="A701" s="170">
        <v>43034</v>
      </c>
      <c r="B701" s="116">
        <v>1269</v>
      </c>
      <c r="C701" s="116">
        <v>1255.2750000000001</v>
      </c>
      <c r="D701" s="116">
        <v>1220</v>
      </c>
      <c r="E701" s="116">
        <v>1220</v>
      </c>
      <c r="F701" s="116">
        <v>2510.5500000000002</v>
      </c>
      <c r="G701">
        <v>4791</v>
      </c>
      <c r="H701" s="116"/>
      <c r="I701" s="116"/>
      <c r="L701" s="170">
        <v>43034</v>
      </c>
      <c r="M701" s="116">
        <v>1254.625</v>
      </c>
      <c r="N701" s="116">
        <v>1268.5</v>
      </c>
      <c r="O701" s="116">
        <v>1220</v>
      </c>
      <c r="P701" s="116">
        <v>1225</v>
      </c>
      <c r="Q701" s="116">
        <v>2509.25</v>
      </c>
      <c r="R701">
        <v>26000</v>
      </c>
    </row>
    <row r="702" spans="1:18" x14ac:dyDescent="0.25">
      <c r="A702" s="170">
        <v>43035</v>
      </c>
      <c r="B702" s="116">
        <v>1269</v>
      </c>
      <c r="C702" s="116">
        <v>1265.5250000000001</v>
      </c>
      <c r="D702" s="116">
        <v>1248.375</v>
      </c>
      <c r="E702" s="116">
        <v>1265</v>
      </c>
      <c r="F702" s="116">
        <v>2531.0500000000002</v>
      </c>
      <c r="G702">
        <v>1705</v>
      </c>
      <c r="H702" s="116"/>
      <c r="I702" s="116"/>
      <c r="L702" s="170">
        <v>43035</v>
      </c>
      <c r="M702" s="116">
        <v>1269.5250000000001</v>
      </c>
      <c r="N702" s="116">
        <v>1275</v>
      </c>
      <c r="O702" s="116">
        <v>1252.7</v>
      </c>
      <c r="P702" s="116">
        <v>1269</v>
      </c>
      <c r="Q702" s="116">
        <v>2539.0500000000002</v>
      </c>
      <c r="R702">
        <v>11658</v>
      </c>
    </row>
    <row r="703" spans="1:18" x14ac:dyDescent="0.25">
      <c r="A703" s="170">
        <v>43038</v>
      </c>
      <c r="B703" s="116">
        <v>1288.0250000000001</v>
      </c>
      <c r="C703" s="116">
        <v>1275.8</v>
      </c>
      <c r="D703" s="116">
        <v>1265</v>
      </c>
      <c r="E703" s="116">
        <v>1265</v>
      </c>
      <c r="F703" s="116">
        <v>2551.6</v>
      </c>
      <c r="G703">
        <v>1619</v>
      </c>
      <c r="H703" s="116"/>
      <c r="I703" s="116"/>
      <c r="L703" s="170">
        <v>43038</v>
      </c>
      <c r="M703" s="116">
        <v>1277.925</v>
      </c>
      <c r="N703" s="116">
        <v>1290.9749999999999</v>
      </c>
      <c r="O703" s="116">
        <v>1269.05</v>
      </c>
      <c r="P703" s="116">
        <v>1275</v>
      </c>
      <c r="Q703" s="116">
        <v>2555.85</v>
      </c>
      <c r="R703">
        <v>11043</v>
      </c>
    </row>
    <row r="704" spans="1:18" x14ac:dyDescent="0.25">
      <c r="A704" s="170">
        <v>43039</v>
      </c>
      <c r="B704" s="116">
        <v>1298.5</v>
      </c>
      <c r="C704" s="116">
        <v>1288.0250000000001</v>
      </c>
      <c r="D704" s="116">
        <v>1275</v>
      </c>
      <c r="E704" s="116">
        <v>1283</v>
      </c>
      <c r="F704" s="116">
        <v>2576.0500000000002</v>
      </c>
      <c r="G704">
        <v>3276</v>
      </c>
      <c r="H704" s="116"/>
      <c r="I704" s="116"/>
      <c r="L704" s="170">
        <v>43039</v>
      </c>
      <c r="M704" s="116">
        <v>1293.075</v>
      </c>
      <c r="N704" s="116">
        <v>1299</v>
      </c>
      <c r="O704" s="116">
        <v>1274.675</v>
      </c>
      <c r="P704" s="116">
        <v>1280</v>
      </c>
      <c r="Q704" s="116">
        <v>2586.15</v>
      </c>
      <c r="R704">
        <v>16361</v>
      </c>
    </row>
    <row r="705" spans="1:18" x14ac:dyDescent="0.25">
      <c r="A705" s="170">
        <v>43040</v>
      </c>
      <c r="B705" s="116">
        <v>1320</v>
      </c>
      <c r="C705" s="116">
        <v>1313.35</v>
      </c>
      <c r="D705" s="116">
        <v>1290.95</v>
      </c>
      <c r="E705" s="116">
        <v>1296.7249999999999</v>
      </c>
      <c r="F705" s="116">
        <v>2626.7</v>
      </c>
      <c r="G705">
        <v>1512</v>
      </c>
      <c r="H705" s="116"/>
      <c r="I705" s="116"/>
      <c r="L705" s="170">
        <v>43040</v>
      </c>
      <c r="M705" s="116">
        <v>1317.0250000000001</v>
      </c>
      <c r="N705" s="116">
        <v>1330</v>
      </c>
      <c r="O705" s="116">
        <v>1286.1500000000001</v>
      </c>
      <c r="P705" s="116">
        <v>1293.075</v>
      </c>
      <c r="Q705" s="116">
        <v>2634.05</v>
      </c>
      <c r="R705">
        <v>13673</v>
      </c>
    </row>
    <row r="706" spans="1:18" x14ac:dyDescent="0.25">
      <c r="A706" s="170">
        <v>43041</v>
      </c>
      <c r="B706" s="116">
        <v>1328.5</v>
      </c>
      <c r="C706" s="116">
        <v>1308.175</v>
      </c>
      <c r="D706" s="116">
        <v>1300</v>
      </c>
      <c r="E706" s="116">
        <v>1324</v>
      </c>
      <c r="F706" s="116">
        <v>2616.35</v>
      </c>
      <c r="G706">
        <v>1046</v>
      </c>
      <c r="H706" s="116"/>
      <c r="I706" s="116"/>
      <c r="L706" s="170">
        <v>43041</v>
      </c>
      <c r="M706" s="116">
        <v>1316.425</v>
      </c>
      <c r="N706" s="116">
        <v>1332.9749999999999</v>
      </c>
      <c r="O706" s="116">
        <v>1305</v>
      </c>
      <c r="P706" s="116">
        <v>1321.9749999999999</v>
      </c>
      <c r="Q706" s="116">
        <v>2632.85</v>
      </c>
      <c r="R706">
        <v>10138</v>
      </c>
    </row>
    <row r="707" spans="1:18" x14ac:dyDescent="0.25">
      <c r="A707" s="170">
        <v>43042</v>
      </c>
      <c r="B707" s="116">
        <v>1340</v>
      </c>
      <c r="C707" s="116">
        <v>1327.8</v>
      </c>
      <c r="D707" s="116">
        <v>1288.0250000000001</v>
      </c>
      <c r="E707" s="116">
        <v>1306.1500000000001</v>
      </c>
      <c r="F707" s="116">
        <v>2655.6</v>
      </c>
      <c r="G707">
        <v>1735</v>
      </c>
      <c r="H707" s="116"/>
      <c r="I707" s="116"/>
      <c r="L707" s="170">
        <v>43042</v>
      </c>
      <c r="M707" s="116">
        <v>1330.0250000000001</v>
      </c>
      <c r="N707" s="116">
        <v>1347.5</v>
      </c>
      <c r="O707" s="116">
        <v>1299</v>
      </c>
      <c r="P707" s="116">
        <v>1305.575</v>
      </c>
      <c r="Q707" s="116">
        <v>2660.05</v>
      </c>
      <c r="R707">
        <v>9249</v>
      </c>
    </row>
    <row r="708" spans="1:18" x14ac:dyDescent="0.25">
      <c r="A708" s="170">
        <v>43045</v>
      </c>
      <c r="B708" s="116">
        <v>1350</v>
      </c>
      <c r="C708" s="116">
        <v>1331.5250000000001</v>
      </c>
      <c r="D708" s="116">
        <v>1316.15</v>
      </c>
      <c r="E708" s="116">
        <v>1328.1</v>
      </c>
      <c r="F708" s="116">
        <v>2663.05</v>
      </c>
      <c r="G708">
        <v>2256</v>
      </c>
      <c r="H708" s="116"/>
      <c r="I708" s="116"/>
      <c r="L708" s="170">
        <v>43045</v>
      </c>
      <c r="M708" s="116">
        <v>1334.4</v>
      </c>
      <c r="N708" s="116">
        <v>1350</v>
      </c>
      <c r="O708" s="116">
        <v>1325</v>
      </c>
      <c r="P708" s="116">
        <v>1335</v>
      </c>
      <c r="Q708" s="116">
        <v>2668.8</v>
      </c>
      <c r="R708">
        <v>12472</v>
      </c>
    </row>
    <row r="709" spans="1:18" x14ac:dyDescent="0.25">
      <c r="A709" s="170">
        <v>43046</v>
      </c>
      <c r="B709" s="116">
        <v>1343.05</v>
      </c>
      <c r="C709" s="116">
        <v>1319.2249999999999</v>
      </c>
      <c r="D709" s="116">
        <v>1313.7</v>
      </c>
      <c r="E709" s="116">
        <v>1330.0250000000001</v>
      </c>
      <c r="F709" s="116">
        <v>2638.45</v>
      </c>
      <c r="G709">
        <v>1268</v>
      </c>
      <c r="H709" s="116"/>
      <c r="I709" s="116"/>
      <c r="L709" s="170">
        <v>43046</v>
      </c>
      <c r="M709" s="116">
        <v>1327.95</v>
      </c>
      <c r="N709" s="116">
        <v>1340</v>
      </c>
      <c r="O709" s="116">
        <v>1316.1</v>
      </c>
      <c r="P709" s="116">
        <v>1339</v>
      </c>
      <c r="Q709" s="116">
        <v>2655.9</v>
      </c>
      <c r="R709">
        <v>6980</v>
      </c>
    </row>
    <row r="710" spans="1:18" x14ac:dyDescent="0.25">
      <c r="A710" s="170">
        <v>43047</v>
      </c>
      <c r="B710" s="116">
        <v>1337</v>
      </c>
      <c r="C710" s="116">
        <v>1307.8</v>
      </c>
      <c r="D710" s="116">
        <v>1298.5</v>
      </c>
      <c r="E710" s="116">
        <v>1337</v>
      </c>
      <c r="F710" s="116">
        <v>2615.6</v>
      </c>
      <c r="G710">
        <v>1310</v>
      </c>
      <c r="H710" s="116"/>
      <c r="I710" s="116"/>
      <c r="L710" s="170">
        <v>43047</v>
      </c>
      <c r="M710" s="116">
        <v>1314.55</v>
      </c>
      <c r="N710" s="116">
        <v>1322.875</v>
      </c>
      <c r="O710" s="116">
        <v>1300.3499999999999</v>
      </c>
      <c r="P710" s="116">
        <v>1322.875</v>
      </c>
      <c r="Q710" s="116">
        <v>2629.1</v>
      </c>
      <c r="R710">
        <v>9192</v>
      </c>
    </row>
    <row r="711" spans="1:18" x14ac:dyDescent="0.25">
      <c r="A711" s="170">
        <v>43048</v>
      </c>
      <c r="B711" s="116">
        <v>1327.325</v>
      </c>
      <c r="C711" s="116">
        <v>1312.825</v>
      </c>
      <c r="D711" s="116">
        <v>1298.175</v>
      </c>
      <c r="E711" s="116">
        <v>1310</v>
      </c>
      <c r="F711" s="116">
        <v>2625.65</v>
      </c>
      <c r="G711">
        <v>1012</v>
      </c>
      <c r="H711" s="116"/>
      <c r="I711" s="116"/>
      <c r="L711" s="170">
        <v>43048</v>
      </c>
      <c r="M711" s="116">
        <v>1320.375</v>
      </c>
      <c r="N711" s="116">
        <v>1334.5</v>
      </c>
      <c r="O711" s="116">
        <v>1303.5</v>
      </c>
      <c r="P711" s="116">
        <v>1321.675</v>
      </c>
      <c r="Q711" s="116">
        <v>2640.75</v>
      </c>
      <c r="R711">
        <v>6464</v>
      </c>
    </row>
    <row r="712" spans="1:18" x14ac:dyDescent="0.25">
      <c r="A712" s="170">
        <v>43049</v>
      </c>
      <c r="B712" s="116">
        <v>1332.5</v>
      </c>
      <c r="C712" s="116">
        <v>1315.625</v>
      </c>
      <c r="D712" s="116">
        <v>1307.4749999999999</v>
      </c>
      <c r="E712" s="116">
        <v>1322</v>
      </c>
      <c r="F712" s="116">
        <v>2631.25</v>
      </c>
      <c r="G712">
        <v>372</v>
      </c>
      <c r="H712" s="116"/>
      <c r="I712" s="116"/>
      <c r="L712" s="170">
        <v>43049</v>
      </c>
      <c r="M712" s="116">
        <v>1322.2249999999999</v>
      </c>
      <c r="N712" s="116">
        <v>1334.45</v>
      </c>
      <c r="O712" s="116">
        <v>1304.125</v>
      </c>
      <c r="P712" s="116">
        <v>1304.125</v>
      </c>
      <c r="Q712" s="116">
        <v>2644.45</v>
      </c>
      <c r="R712">
        <v>7775</v>
      </c>
    </row>
    <row r="713" spans="1:18" x14ac:dyDescent="0.25">
      <c r="A713" s="170">
        <v>43052</v>
      </c>
      <c r="B713" s="116">
        <v>1328.8</v>
      </c>
      <c r="C713" s="116">
        <v>1314.7249999999999</v>
      </c>
      <c r="D713" s="116">
        <v>1305.5</v>
      </c>
      <c r="E713" s="116">
        <v>1317.5</v>
      </c>
      <c r="F713" s="116">
        <v>2629.45</v>
      </c>
      <c r="G713">
        <v>695</v>
      </c>
      <c r="H713" s="116"/>
      <c r="I713" s="116"/>
      <c r="L713" s="170">
        <v>43052</v>
      </c>
      <c r="M713" s="116">
        <v>1317.75</v>
      </c>
      <c r="N713" s="116">
        <v>1325</v>
      </c>
      <c r="O713" s="116">
        <v>1300.0250000000001</v>
      </c>
      <c r="P713" s="116">
        <v>1322.5</v>
      </c>
      <c r="Q713" s="116">
        <v>2635.5</v>
      </c>
      <c r="R713">
        <v>5024</v>
      </c>
    </row>
    <row r="714" spans="1:18" x14ac:dyDescent="0.25">
      <c r="A714" s="170">
        <v>43053</v>
      </c>
      <c r="B714" s="116">
        <v>1316.8</v>
      </c>
      <c r="C714" s="116">
        <v>1297.5250000000001</v>
      </c>
      <c r="D714" s="116">
        <v>1290</v>
      </c>
      <c r="E714" s="116">
        <v>1316.8</v>
      </c>
      <c r="F714" s="116">
        <v>2595.0500000000002</v>
      </c>
      <c r="G714">
        <v>618</v>
      </c>
      <c r="H714" s="116"/>
      <c r="I714" s="116"/>
      <c r="L714" s="170">
        <v>43053</v>
      </c>
      <c r="M714" s="116">
        <v>1303.925</v>
      </c>
      <c r="N714" s="116">
        <v>1314.95</v>
      </c>
      <c r="O714" s="116">
        <v>1289.9749999999999</v>
      </c>
      <c r="P714" s="116">
        <v>1309.5</v>
      </c>
      <c r="Q714" s="116">
        <v>2607.85</v>
      </c>
      <c r="R714">
        <v>8311</v>
      </c>
    </row>
    <row r="715" spans="1:18" x14ac:dyDescent="0.25">
      <c r="A715" s="170">
        <v>43054</v>
      </c>
      <c r="B715" s="116">
        <v>1299.9000000000001</v>
      </c>
      <c r="C715" s="116">
        <v>1275.5999999999999</v>
      </c>
      <c r="D715" s="116">
        <v>1270</v>
      </c>
      <c r="E715" s="116">
        <v>1299.9000000000001</v>
      </c>
      <c r="F715" s="116">
        <v>2551.1999999999998</v>
      </c>
      <c r="G715">
        <v>1056</v>
      </c>
      <c r="H715" s="116"/>
      <c r="I715" s="116"/>
      <c r="L715" s="170">
        <v>43054</v>
      </c>
      <c r="M715" s="116">
        <v>1277.95</v>
      </c>
      <c r="N715" s="116">
        <v>1299.9749999999999</v>
      </c>
      <c r="O715" s="116">
        <v>1267.55</v>
      </c>
      <c r="P715" s="116">
        <v>1291</v>
      </c>
      <c r="Q715" s="116">
        <v>2555.9</v>
      </c>
      <c r="R715">
        <v>7776</v>
      </c>
    </row>
    <row r="716" spans="1:18" x14ac:dyDescent="0.25">
      <c r="A716" s="170">
        <v>43055</v>
      </c>
      <c r="B716" s="116">
        <v>1293.5</v>
      </c>
      <c r="C716" s="116">
        <v>1267.0999999999999</v>
      </c>
      <c r="D716" s="116">
        <v>1250</v>
      </c>
      <c r="E716" s="116">
        <v>1275</v>
      </c>
      <c r="F716" s="116">
        <v>2534.1999999999998</v>
      </c>
      <c r="G716">
        <v>1162</v>
      </c>
      <c r="H716" s="116"/>
      <c r="I716" s="116"/>
      <c r="L716" s="170">
        <v>43055</v>
      </c>
      <c r="M716" s="116">
        <v>1282.675</v>
      </c>
      <c r="N716" s="116">
        <v>1312.5</v>
      </c>
      <c r="O716" s="116">
        <v>1249.4749999999999</v>
      </c>
      <c r="P716" s="116">
        <v>1290</v>
      </c>
      <c r="Q716" s="116">
        <v>2565.35</v>
      </c>
      <c r="R716">
        <v>11480</v>
      </c>
    </row>
    <row r="717" spans="1:18" x14ac:dyDescent="0.25">
      <c r="A717" s="170">
        <v>43056</v>
      </c>
      <c r="B717" s="116">
        <v>1297.925</v>
      </c>
      <c r="C717" s="116">
        <v>1255.7</v>
      </c>
      <c r="D717" s="116">
        <v>1241.875</v>
      </c>
      <c r="E717" s="116">
        <v>1280</v>
      </c>
      <c r="F717" s="116">
        <v>2511.4</v>
      </c>
      <c r="G717">
        <v>1065</v>
      </c>
      <c r="H717" s="116"/>
      <c r="I717" s="116"/>
      <c r="L717" s="170">
        <v>43056</v>
      </c>
      <c r="M717" s="116">
        <v>1256.9000000000001</v>
      </c>
      <c r="N717" s="116">
        <v>1299.425</v>
      </c>
      <c r="O717" s="116">
        <v>1237.75</v>
      </c>
      <c r="P717" s="116">
        <v>1285.4000000000001</v>
      </c>
      <c r="Q717" s="116">
        <v>2513.8000000000002</v>
      </c>
      <c r="R717">
        <v>26029</v>
      </c>
    </row>
    <row r="718" spans="1:18" x14ac:dyDescent="0.25">
      <c r="A718" s="170">
        <v>43059</v>
      </c>
      <c r="B718" s="116">
        <v>1260</v>
      </c>
      <c r="C718" s="116">
        <v>1244.425</v>
      </c>
      <c r="D718" s="116">
        <v>1235</v>
      </c>
      <c r="E718" s="116">
        <v>1260</v>
      </c>
      <c r="F718" s="116">
        <v>2488.85</v>
      </c>
      <c r="G718">
        <v>959</v>
      </c>
      <c r="H718" s="116"/>
      <c r="I718" s="116"/>
      <c r="L718" s="170">
        <v>43059</v>
      </c>
      <c r="M718" s="116">
        <v>1246.45</v>
      </c>
      <c r="N718" s="116">
        <v>1259.4749999999999</v>
      </c>
      <c r="O718" s="116">
        <v>1238.5999999999999</v>
      </c>
      <c r="P718" s="116">
        <v>1257.5</v>
      </c>
      <c r="Q718" s="116">
        <v>2492.9</v>
      </c>
      <c r="R718">
        <v>10810</v>
      </c>
    </row>
    <row r="719" spans="1:18" x14ac:dyDescent="0.25">
      <c r="A719" s="170">
        <v>43060</v>
      </c>
      <c r="B719" s="116">
        <v>1256</v>
      </c>
      <c r="C719" s="116">
        <v>1245.3</v>
      </c>
      <c r="D719" s="116">
        <v>1236.625</v>
      </c>
      <c r="E719" s="116">
        <v>1245</v>
      </c>
      <c r="F719" s="116">
        <v>2490.6</v>
      </c>
      <c r="G719">
        <v>730</v>
      </c>
      <c r="H719" s="116"/>
      <c r="I719" s="116"/>
      <c r="L719" s="170">
        <v>43060</v>
      </c>
      <c r="M719" s="116">
        <v>1246.325</v>
      </c>
      <c r="N719" s="116">
        <v>1262.7</v>
      </c>
      <c r="O719" s="116">
        <v>1235</v>
      </c>
      <c r="P719" s="116">
        <v>1240</v>
      </c>
      <c r="Q719" s="116">
        <v>2492.65</v>
      </c>
      <c r="R719">
        <v>11834</v>
      </c>
    </row>
    <row r="720" spans="1:18" x14ac:dyDescent="0.25">
      <c r="A720" s="170">
        <v>43061</v>
      </c>
      <c r="B720" s="116">
        <v>1288.9749999999999</v>
      </c>
      <c r="C720" s="116">
        <v>1247.825</v>
      </c>
      <c r="D720" s="116">
        <v>1244.075</v>
      </c>
      <c r="E720" s="116">
        <v>1245</v>
      </c>
      <c r="F720" s="116">
        <v>2495.65</v>
      </c>
      <c r="G720">
        <v>822</v>
      </c>
      <c r="H720" s="116"/>
      <c r="I720" s="116"/>
      <c r="L720" s="170">
        <v>43061</v>
      </c>
      <c r="M720" s="116">
        <v>1252.7</v>
      </c>
      <c r="N720" s="116">
        <v>1259.675</v>
      </c>
      <c r="O720" s="116">
        <v>1241.5250000000001</v>
      </c>
      <c r="P720" s="116">
        <v>1245</v>
      </c>
      <c r="Q720" s="116">
        <v>2505.4</v>
      </c>
      <c r="R720">
        <v>7009</v>
      </c>
    </row>
    <row r="721" spans="1:18" x14ac:dyDescent="0.25">
      <c r="A721" s="170">
        <v>43062</v>
      </c>
      <c r="B721" s="116">
        <v>1259.5</v>
      </c>
      <c r="C721" s="116">
        <v>1252.4000000000001</v>
      </c>
      <c r="D721" s="116">
        <v>1242.5250000000001</v>
      </c>
      <c r="E721" s="116">
        <v>1252.3</v>
      </c>
      <c r="F721" s="116">
        <v>2504.8000000000002</v>
      </c>
      <c r="G721">
        <v>877</v>
      </c>
      <c r="H721" s="116"/>
      <c r="I721" s="116"/>
      <c r="L721" s="170">
        <v>43062</v>
      </c>
      <c r="M721" s="116">
        <v>1251.6500000000001</v>
      </c>
      <c r="N721" s="116">
        <v>1264</v>
      </c>
      <c r="O721" s="116">
        <v>1242.5250000000001</v>
      </c>
      <c r="P721" s="116">
        <v>1244.075</v>
      </c>
      <c r="Q721" s="116">
        <v>2503.3000000000002</v>
      </c>
      <c r="R721">
        <v>10915</v>
      </c>
    </row>
    <row r="722" spans="1:18" x14ac:dyDescent="0.25">
      <c r="A722" s="170">
        <v>43063</v>
      </c>
      <c r="B722" s="116">
        <v>1254.9749999999999</v>
      </c>
      <c r="C722" s="116">
        <v>1242.5250000000001</v>
      </c>
      <c r="D722" s="116">
        <v>1237.5250000000001</v>
      </c>
      <c r="E722" s="116">
        <v>1250</v>
      </c>
      <c r="F722" s="116">
        <v>2485.0500000000002</v>
      </c>
      <c r="G722">
        <v>2082</v>
      </c>
      <c r="H722" s="116"/>
      <c r="I722" s="116"/>
      <c r="L722" s="170">
        <v>43063</v>
      </c>
      <c r="M722" s="116">
        <v>1250.625</v>
      </c>
      <c r="N722" s="116">
        <v>1255</v>
      </c>
      <c r="O722" s="116">
        <v>1242.5250000000001</v>
      </c>
      <c r="P722" s="116">
        <v>1250.05</v>
      </c>
      <c r="Q722" s="116">
        <v>2501.25</v>
      </c>
      <c r="R722">
        <v>8194</v>
      </c>
    </row>
    <row r="723" spans="1:18" x14ac:dyDescent="0.25">
      <c r="A723" s="170">
        <v>43066</v>
      </c>
      <c r="B723" s="116">
        <v>1274</v>
      </c>
      <c r="C723" s="116">
        <v>1241.075</v>
      </c>
      <c r="D723" s="116">
        <v>1230</v>
      </c>
      <c r="E723" s="116">
        <v>1255</v>
      </c>
      <c r="F723" s="116">
        <v>2482.15</v>
      </c>
      <c r="G723">
        <v>1241</v>
      </c>
      <c r="H723" s="116"/>
      <c r="I723" s="116"/>
      <c r="L723" s="170">
        <v>43066</v>
      </c>
      <c r="M723" s="116">
        <v>1245.5</v>
      </c>
      <c r="N723" s="116">
        <v>1251.9749999999999</v>
      </c>
      <c r="O723" s="116">
        <v>1240</v>
      </c>
      <c r="P723" s="116">
        <v>1248</v>
      </c>
      <c r="Q723" s="116">
        <v>2491</v>
      </c>
      <c r="R723">
        <v>4852</v>
      </c>
    </row>
    <row r="724" spans="1:18" x14ac:dyDescent="0.25">
      <c r="A724" s="170">
        <v>43067</v>
      </c>
      <c r="B724" s="116">
        <v>1278.925</v>
      </c>
      <c r="C724" s="116">
        <v>1233.2249999999999</v>
      </c>
      <c r="D724" s="116">
        <v>1230</v>
      </c>
      <c r="E724" s="116">
        <v>1247</v>
      </c>
      <c r="F724" s="116">
        <v>2466.4499999999998</v>
      </c>
      <c r="G724">
        <v>1044</v>
      </c>
      <c r="H724" s="116"/>
      <c r="I724" s="116"/>
      <c r="L724" s="170">
        <v>43067</v>
      </c>
      <c r="M724" s="116">
        <v>1232.675</v>
      </c>
      <c r="N724" s="116">
        <v>1254.95</v>
      </c>
      <c r="O724" s="116">
        <v>1225.575</v>
      </c>
      <c r="P724" s="116">
        <v>1254.95</v>
      </c>
      <c r="Q724" s="116">
        <v>2465.35</v>
      </c>
      <c r="R724">
        <v>7226</v>
      </c>
    </row>
    <row r="725" spans="1:18" x14ac:dyDescent="0.25">
      <c r="A725" s="170">
        <v>43068</v>
      </c>
      <c r="B725" s="116">
        <v>1243.9000000000001</v>
      </c>
      <c r="C725" s="116">
        <v>1227.0250000000001</v>
      </c>
      <c r="D725" s="116">
        <v>1218</v>
      </c>
      <c r="E725" s="116">
        <v>1234.5</v>
      </c>
      <c r="F725" s="116">
        <v>2454.0500000000002</v>
      </c>
      <c r="G725">
        <v>1271</v>
      </c>
      <c r="H725" s="116"/>
      <c r="I725" s="116"/>
      <c r="L725" s="170">
        <v>43068</v>
      </c>
      <c r="M725" s="116">
        <v>1226.175</v>
      </c>
      <c r="N725" s="116">
        <v>1238.9749999999999</v>
      </c>
      <c r="O725" s="116">
        <v>1217.625</v>
      </c>
      <c r="P725" s="116">
        <v>1236.175</v>
      </c>
      <c r="Q725" s="116">
        <v>2452.35</v>
      </c>
      <c r="R725">
        <v>10769</v>
      </c>
    </row>
    <row r="726" spans="1:18" x14ac:dyDescent="0.25">
      <c r="A726" s="170">
        <v>43069</v>
      </c>
      <c r="B726" s="116">
        <v>1249.4749999999999</v>
      </c>
      <c r="C726" s="116">
        <v>1239.375</v>
      </c>
      <c r="D726" s="116">
        <v>1223</v>
      </c>
      <c r="E726" s="116">
        <v>1232.3499999999999</v>
      </c>
      <c r="F726" s="116">
        <v>2478.75</v>
      </c>
      <c r="G726">
        <v>926</v>
      </c>
      <c r="H726" s="116"/>
      <c r="I726" s="116"/>
      <c r="L726" s="170">
        <v>43069</v>
      </c>
      <c r="M726" s="116">
        <v>1241.25</v>
      </c>
      <c r="N726" s="116">
        <v>1247.55</v>
      </c>
      <c r="O726" s="116">
        <v>1222.5</v>
      </c>
      <c r="P726" s="116">
        <v>1229.9000000000001</v>
      </c>
      <c r="Q726" s="116">
        <v>2482.5</v>
      </c>
      <c r="R726">
        <v>6423</v>
      </c>
    </row>
    <row r="727" spans="1:18" x14ac:dyDescent="0.25">
      <c r="A727" s="170">
        <v>43070</v>
      </c>
      <c r="B727" s="116">
        <v>1259</v>
      </c>
      <c r="C727" s="116">
        <v>1228.2</v>
      </c>
      <c r="D727" s="116">
        <v>1225</v>
      </c>
      <c r="E727" s="116">
        <v>1244.45</v>
      </c>
      <c r="F727" s="116">
        <v>2456.4</v>
      </c>
      <c r="G727">
        <v>938</v>
      </c>
      <c r="H727" s="116"/>
      <c r="I727" s="116"/>
      <c r="L727" s="170">
        <v>43070</v>
      </c>
      <c r="M727" s="116">
        <v>1226.05</v>
      </c>
      <c r="N727" s="116">
        <v>1240.875</v>
      </c>
      <c r="O727" s="116">
        <v>1220</v>
      </c>
      <c r="P727" s="116">
        <v>1230.8</v>
      </c>
      <c r="Q727" s="116">
        <v>2452.1</v>
      </c>
      <c r="R727">
        <v>6554</v>
      </c>
    </row>
    <row r="728" spans="1:18" x14ac:dyDescent="0.25">
      <c r="A728" s="170">
        <v>43073</v>
      </c>
      <c r="B728" s="116">
        <v>1249.3499999999999</v>
      </c>
      <c r="C728" s="116">
        <v>1220.6500000000001</v>
      </c>
      <c r="D728" s="116">
        <v>1205.05</v>
      </c>
      <c r="E728" s="116">
        <v>1249.3499999999999</v>
      </c>
      <c r="F728" s="116">
        <v>2441.3000000000002</v>
      </c>
      <c r="G728">
        <v>1237</v>
      </c>
      <c r="H728" s="116"/>
      <c r="I728" s="116"/>
      <c r="L728" s="170">
        <v>43073</v>
      </c>
      <c r="M728" s="116">
        <v>1232.125</v>
      </c>
      <c r="N728" s="116">
        <v>1249</v>
      </c>
      <c r="O728" s="116">
        <v>1213.5</v>
      </c>
      <c r="P728" s="116">
        <v>1226.5250000000001</v>
      </c>
      <c r="Q728" s="116">
        <v>2464.25</v>
      </c>
      <c r="R728">
        <v>7705</v>
      </c>
    </row>
    <row r="729" spans="1:18" x14ac:dyDescent="0.25">
      <c r="A729" s="170">
        <v>43074</v>
      </c>
      <c r="B729" s="116">
        <v>1245</v>
      </c>
      <c r="C729" s="116">
        <v>1234</v>
      </c>
      <c r="D729" s="116">
        <v>1221</v>
      </c>
      <c r="E729" s="116">
        <v>1226.7</v>
      </c>
      <c r="F729" s="116">
        <v>2468</v>
      </c>
      <c r="G729">
        <v>535</v>
      </c>
      <c r="H729" s="116"/>
      <c r="I729" s="116"/>
      <c r="L729" s="170">
        <v>43074</v>
      </c>
      <c r="M729" s="116">
        <v>1241.7750000000001</v>
      </c>
      <c r="N729" s="116">
        <v>1250</v>
      </c>
      <c r="O729" s="116">
        <v>1223.575</v>
      </c>
      <c r="P729" s="116">
        <v>1226.1500000000001</v>
      </c>
      <c r="Q729" s="116">
        <v>2483.5500000000002</v>
      </c>
      <c r="R729">
        <v>7183</v>
      </c>
    </row>
    <row r="730" spans="1:18" x14ac:dyDescent="0.25">
      <c r="A730" s="170">
        <v>43075</v>
      </c>
      <c r="B730" s="116">
        <v>1259.5</v>
      </c>
      <c r="C730" s="116">
        <v>1223.9000000000001</v>
      </c>
      <c r="D730" s="116">
        <v>1221.5</v>
      </c>
      <c r="E730" s="116">
        <v>1241.5</v>
      </c>
      <c r="F730" s="116">
        <v>2447.8000000000002</v>
      </c>
      <c r="G730">
        <v>984</v>
      </c>
      <c r="H730" s="116"/>
      <c r="I730" s="116"/>
      <c r="L730" s="170">
        <v>43075</v>
      </c>
      <c r="M730" s="116">
        <v>1224.2</v>
      </c>
      <c r="N730" s="116">
        <v>1255.9749999999999</v>
      </c>
      <c r="O730" s="116">
        <v>1218.0999999999999</v>
      </c>
      <c r="P730" s="116">
        <v>1239.95</v>
      </c>
      <c r="Q730" s="116">
        <v>2448.4</v>
      </c>
      <c r="R730">
        <v>12776</v>
      </c>
    </row>
    <row r="731" spans="1:18" x14ac:dyDescent="0.25">
      <c r="A731" s="170">
        <v>43076</v>
      </c>
      <c r="B731" s="116">
        <v>1247</v>
      </c>
      <c r="C731" s="116">
        <v>1224.9749999999999</v>
      </c>
      <c r="D731" s="116">
        <v>1219</v>
      </c>
      <c r="E731" s="116">
        <v>1219</v>
      </c>
      <c r="F731" s="116">
        <v>2449.9499999999998</v>
      </c>
      <c r="G731">
        <v>1123</v>
      </c>
      <c r="H731" s="116"/>
      <c r="I731" s="116"/>
      <c r="L731" s="170">
        <v>43076</v>
      </c>
      <c r="M731" s="116">
        <v>1223.925</v>
      </c>
      <c r="N731" s="116">
        <v>1233.5</v>
      </c>
      <c r="O731" s="116">
        <v>1217.5</v>
      </c>
      <c r="P731" s="116">
        <v>1229.5</v>
      </c>
      <c r="Q731" s="116">
        <v>2447.85</v>
      </c>
      <c r="R731">
        <v>8622</v>
      </c>
    </row>
    <row r="732" spans="1:18" x14ac:dyDescent="0.25">
      <c r="A732" s="170">
        <v>43077</v>
      </c>
      <c r="B732" s="116">
        <v>1243.5</v>
      </c>
      <c r="C732" s="116">
        <v>1230.4000000000001</v>
      </c>
      <c r="D732" s="116">
        <v>1221.7249999999999</v>
      </c>
      <c r="E732" s="116">
        <v>1224.9749999999999</v>
      </c>
      <c r="F732" s="116">
        <v>2460.8000000000002</v>
      </c>
      <c r="G732">
        <v>1651</v>
      </c>
      <c r="H732" s="116"/>
      <c r="I732" s="116"/>
      <c r="L732" s="170">
        <v>43077</v>
      </c>
      <c r="M732" s="116">
        <v>1234.075</v>
      </c>
      <c r="N732" s="116">
        <v>1247</v>
      </c>
      <c r="O732" s="116">
        <v>1217.2</v>
      </c>
      <c r="P732" s="116">
        <v>1217.2</v>
      </c>
      <c r="Q732" s="116">
        <v>2468.15</v>
      </c>
      <c r="R732">
        <v>10493</v>
      </c>
    </row>
    <row r="733" spans="1:18" x14ac:dyDescent="0.25">
      <c r="A733" s="170">
        <v>43080</v>
      </c>
      <c r="B733" s="116">
        <v>1246.5</v>
      </c>
      <c r="C733" s="116">
        <v>1225.325</v>
      </c>
      <c r="D733" s="116">
        <v>1222.5</v>
      </c>
      <c r="E733" s="116">
        <v>1236.8</v>
      </c>
      <c r="F733" s="116">
        <v>2450.65</v>
      </c>
      <c r="G733">
        <v>1238</v>
      </c>
      <c r="H733" s="116"/>
      <c r="I733" s="116"/>
      <c r="L733" s="170">
        <v>43080</v>
      </c>
      <c r="M733" s="116">
        <v>1227.05</v>
      </c>
      <c r="N733" s="116">
        <v>1233.75</v>
      </c>
      <c r="O733" s="116">
        <v>1217.5999999999999</v>
      </c>
      <c r="P733" s="116">
        <v>1232.425</v>
      </c>
      <c r="Q733" s="116">
        <v>2454.1</v>
      </c>
      <c r="R733">
        <v>10443</v>
      </c>
    </row>
    <row r="734" spans="1:18" x14ac:dyDescent="0.25">
      <c r="A734" s="170">
        <v>43081</v>
      </c>
      <c r="B734" s="116">
        <v>1227.5</v>
      </c>
      <c r="C734" s="116">
        <v>1221.5</v>
      </c>
      <c r="D734" s="116">
        <v>1218.5</v>
      </c>
      <c r="E734" s="116">
        <v>1225.325</v>
      </c>
      <c r="F734" s="116">
        <v>2443</v>
      </c>
      <c r="G734">
        <v>609</v>
      </c>
      <c r="H734" s="116"/>
      <c r="I734" s="116"/>
      <c r="L734" s="170">
        <v>43081</v>
      </c>
      <c r="M734" s="116">
        <v>1220.5250000000001</v>
      </c>
      <c r="N734" s="116">
        <v>1225</v>
      </c>
      <c r="O734" s="116">
        <v>1216.2750000000001</v>
      </c>
      <c r="P734" s="116">
        <v>1220</v>
      </c>
      <c r="Q734" s="116">
        <v>2441.0500000000002</v>
      </c>
      <c r="R734">
        <v>3238</v>
      </c>
    </row>
    <row r="735" spans="1:18" x14ac:dyDescent="0.25">
      <c r="A735" s="170">
        <v>43082</v>
      </c>
      <c r="B735" s="116">
        <v>1234.5999999999999</v>
      </c>
      <c r="C735" s="116">
        <v>1209.5999999999999</v>
      </c>
      <c r="D735" s="116">
        <v>1205.5250000000001</v>
      </c>
      <c r="E735" s="116">
        <v>1221</v>
      </c>
      <c r="F735" s="116">
        <v>2419.1999999999998</v>
      </c>
      <c r="G735">
        <v>1172</v>
      </c>
      <c r="H735" s="116"/>
      <c r="I735" s="116"/>
      <c r="L735" s="170">
        <v>43082</v>
      </c>
      <c r="M735" s="116">
        <v>1209.5</v>
      </c>
      <c r="N735" s="116">
        <v>1222.375</v>
      </c>
      <c r="O735" s="116">
        <v>1200.75</v>
      </c>
      <c r="P735" s="116">
        <v>1220.5</v>
      </c>
      <c r="Q735" s="116">
        <v>2419</v>
      </c>
      <c r="R735">
        <v>9160</v>
      </c>
    </row>
    <row r="736" spans="1:18" x14ac:dyDescent="0.25">
      <c r="A736" s="170">
        <v>43083</v>
      </c>
      <c r="B736" s="116">
        <v>1227</v>
      </c>
      <c r="C736" s="116">
        <v>1198.2</v>
      </c>
      <c r="D736" s="116">
        <v>1195</v>
      </c>
      <c r="E736" s="116">
        <v>1206.0250000000001</v>
      </c>
      <c r="F736" s="116">
        <v>2396.4</v>
      </c>
      <c r="G736">
        <v>1089</v>
      </c>
      <c r="H736" s="116"/>
      <c r="I736" s="116"/>
      <c r="L736" s="170">
        <v>43083</v>
      </c>
      <c r="M736" s="116">
        <v>1199.3</v>
      </c>
      <c r="N736" s="116">
        <v>1212.5</v>
      </c>
      <c r="O736" s="116">
        <v>1195</v>
      </c>
      <c r="P736" s="116">
        <v>1212.3</v>
      </c>
      <c r="Q736" s="116">
        <v>2398.6</v>
      </c>
      <c r="R736">
        <v>10725</v>
      </c>
    </row>
    <row r="737" spans="1:18" x14ac:dyDescent="0.25">
      <c r="A737" s="170">
        <v>43084</v>
      </c>
      <c r="B737" s="116">
        <v>1219</v>
      </c>
      <c r="C737" s="116">
        <v>1185.2750000000001</v>
      </c>
      <c r="D737" s="116">
        <v>1176</v>
      </c>
      <c r="E737" s="116">
        <v>1200.5</v>
      </c>
      <c r="F737" s="116">
        <v>2370.5500000000002</v>
      </c>
      <c r="G737">
        <v>2194</v>
      </c>
      <c r="H737" s="116"/>
      <c r="I737" s="116"/>
      <c r="L737" s="170">
        <v>43084</v>
      </c>
      <c r="M737" s="116">
        <v>1184.55</v>
      </c>
      <c r="N737" s="116">
        <v>1207.5</v>
      </c>
      <c r="O737" s="116">
        <v>1175.5250000000001</v>
      </c>
      <c r="P737" s="116">
        <v>1195.6500000000001</v>
      </c>
      <c r="Q737" s="116">
        <v>2369.1</v>
      </c>
      <c r="R737">
        <v>20541</v>
      </c>
    </row>
    <row r="738" spans="1:18" x14ac:dyDescent="0.25">
      <c r="A738" s="170">
        <v>43087</v>
      </c>
      <c r="B738" s="116">
        <v>1210</v>
      </c>
      <c r="C738" s="116">
        <v>1196.075</v>
      </c>
      <c r="D738" s="116">
        <v>1172.425</v>
      </c>
      <c r="E738" s="116">
        <v>1186.5</v>
      </c>
      <c r="F738" s="116">
        <v>2392.15</v>
      </c>
      <c r="G738">
        <v>2187</v>
      </c>
      <c r="H738" s="116"/>
      <c r="I738" s="116"/>
      <c r="L738" s="170">
        <v>43087</v>
      </c>
      <c r="M738" s="116">
        <v>1196.625</v>
      </c>
      <c r="N738" s="116">
        <v>1209</v>
      </c>
      <c r="O738" s="116">
        <v>1166.5250000000001</v>
      </c>
      <c r="P738" s="116">
        <v>1185.5</v>
      </c>
      <c r="Q738" s="116">
        <v>2393.25</v>
      </c>
      <c r="R738">
        <v>12271</v>
      </c>
    </row>
    <row r="739" spans="1:18" x14ac:dyDescent="0.25">
      <c r="A739" s="170">
        <v>43088</v>
      </c>
      <c r="B739" s="116">
        <v>1221</v>
      </c>
      <c r="C739" s="116">
        <v>1217.825</v>
      </c>
      <c r="D739" s="116">
        <v>1190</v>
      </c>
      <c r="E739" s="116">
        <v>1190.0250000000001</v>
      </c>
      <c r="F739" s="116">
        <v>2435.65</v>
      </c>
      <c r="G739">
        <v>1656</v>
      </c>
      <c r="H739" s="116"/>
      <c r="I739" s="116"/>
      <c r="L739" s="170">
        <v>43088</v>
      </c>
      <c r="M739" s="116">
        <v>1217.45</v>
      </c>
      <c r="N739" s="116">
        <v>1223</v>
      </c>
      <c r="O739" s="116">
        <v>1190.5250000000001</v>
      </c>
      <c r="P739" s="116">
        <v>1196.5</v>
      </c>
      <c r="Q739" s="116">
        <v>2434.9</v>
      </c>
      <c r="R739">
        <v>21178</v>
      </c>
    </row>
    <row r="740" spans="1:18" x14ac:dyDescent="0.25">
      <c r="A740" s="170">
        <v>43089</v>
      </c>
      <c r="B740" s="116">
        <v>1219.925</v>
      </c>
      <c r="C740" s="116">
        <v>1206.4749999999999</v>
      </c>
      <c r="D740" s="116">
        <v>1201.0250000000001</v>
      </c>
      <c r="E740" s="116">
        <v>1219.9000000000001</v>
      </c>
      <c r="F740" s="116">
        <v>2412.9499999999998</v>
      </c>
      <c r="G740">
        <v>10342</v>
      </c>
      <c r="H740" s="116"/>
      <c r="I740" s="116"/>
      <c r="L740" s="170">
        <v>43089</v>
      </c>
      <c r="M740" s="116">
        <v>1211.0250000000001</v>
      </c>
      <c r="N740" s="116">
        <v>1223.9749999999999</v>
      </c>
      <c r="O740" s="116">
        <v>1206.0250000000001</v>
      </c>
      <c r="P740" s="116">
        <v>1219</v>
      </c>
      <c r="Q740" s="116">
        <v>2422.0500000000002</v>
      </c>
      <c r="R740">
        <v>11202</v>
      </c>
    </row>
    <row r="741" spans="1:18" x14ac:dyDescent="0.25">
      <c r="A741" s="170">
        <v>43090</v>
      </c>
      <c r="B741" s="116">
        <v>1237.5</v>
      </c>
      <c r="C741" s="116">
        <v>1226.3499999999999</v>
      </c>
      <c r="D741" s="116">
        <v>1210</v>
      </c>
      <c r="E741" s="116">
        <v>1213.9749999999999</v>
      </c>
      <c r="F741" s="116">
        <v>2452.6999999999998</v>
      </c>
      <c r="G741">
        <v>883</v>
      </c>
      <c r="H741" s="116"/>
      <c r="I741" s="116"/>
      <c r="L741" s="170">
        <v>43090</v>
      </c>
      <c r="M741" s="116">
        <v>1232.875</v>
      </c>
      <c r="N741" s="116">
        <v>1247</v>
      </c>
      <c r="O741" s="116">
        <v>1207.75</v>
      </c>
      <c r="P741" s="116">
        <v>1207.75</v>
      </c>
      <c r="Q741" s="116">
        <v>2465.75</v>
      </c>
      <c r="R741">
        <v>10171</v>
      </c>
    </row>
    <row r="742" spans="1:18" x14ac:dyDescent="0.25">
      <c r="A742" s="170">
        <v>43091</v>
      </c>
      <c r="B742" s="116">
        <v>1240</v>
      </c>
      <c r="C742" s="116">
        <v>1218.5999999999999</v>
      </c>
      <c r="D742" s="116">
        <v>1210.05</v>
      </c>
      <c r="E742" s="116">
        <v>1220</v>
      </c>
      <c r="F742" s="116">
        <v>2437.1999999999998</v>
      </c>
      <c r="G742">
        <v>1664</v>
      </c>
      <c r="H742" s="116"/>
      <c r="I742" s="116"/>
      <c r="L742" s="170">
        <v>43091</v>
      </c>
      <c r="M742" s="116">
        <v>1222.0250000000001</v>
      </c>
      <c r="N742" s="116">
        <v>1245.9749999999999</v>
      </c>
      <c r="O742" s="116">
        <v>1213.7</v>
      </c>
      <c r="P742" s="116">
        <v>1225</v>
      </c>
      <c r="Q742" s="116">
        <v>2444.0500000000002</v>
      </c>
      <c r="R742">
        <v>16427</v>
      </c>
    </row>
    <row r="743" spans="1:18" x14ac:dyDescent="0.25">
      <c r="A743" s="170">
        <v>43095</v>
      </c>
      <c r="B743" s="116">
        <v>1228.5250000000001</v>
      </c>
      <c r="C743" s="116">
        <v>1210.825</v>
      </c>
      <c r="D743" s="116">
        <v>1208.95</v>
      </c>
      <c r="E743" s="116">
        <v>1224.9749999999999</v>
      </c>
      <c r="F743" s="116">
        <v>2421.65</v>
      </c>
      <c r="G743">
        <v>917</v>
      </c>
      <c r="H743" s="116"/>
      <c r="I743" s="116"/>
      <c r="L743" s="170">
        <v>43095</v>
      </c>
      <c r="M743" s="116">
        <v>1212.0999999999999</v>
      </c>
      <c r="N743" s="116">
        <v>1234.5</v>
      </c>
      <c r="O743" s="116">
        <v>1205.2249999999999</v>
      </c>
      <c r="P743" s="116">
        <v>1225.0250000000001</v>
      </c>
      <c r="Q743" s="116">
        <v>2424.1999999999998</v>
      </c>
      <c r="R743">
        <v>13580</v>
      </c>
    </row>
    <row r="744" spans="1:18" x14ac:dyDescent="0.25">
      <c r="A744" s="170">
        <v>43096</v>
      </c>
      <c r="B744" s="116">
        <v>1221</v>
      </c>
      <c r="C744" s="116">
        <v>1214.575</v>
      </c>
      <c r="D744" s="116">
        <v>1212.125</v>
      </c>
      <c r="E744" s="116">
        <v>1215.5</v>
      </c>
      <c r="F744" s="116">
        <v>2429.15</v>
      </c>
      <c r="G744">
        <v>877</v>
      </c>
      <c r="H744" s="116"/>
      <c r="I744" s="116"/>
      <c r="L744" s="170">
        <v>43096</v>
      </c>
      <c r="M744" s="116">
        <v>1213.9000000000001</v>
      </c>
      <c r="N744" s="116">
        <v>1221.7249999999999</v>
      </c>
      <c r="O744" s="116">
        <v>1210</v>
      </c>
      <c r="P744" s="116">
        <v>1220</v>
      </c>
      <c r="Q744" s="116">
        <v>2427.8000000000002</v>
      </c>
      <c r="R744">
        <v>7034</v>
      </c>
    </row>
    <row r="745" spans="1:18" x14ac:dyDescent="0.25">
      <c r="A745" s="170">
        <v>43097</v>
      </c>
      <c r="B745" s="116">
        <v>1226</v>
      </c>
      <c r="C745" s="116">
        <v>1215.6500000000001</v>
      </c>
      <c r="D745" s="116">
        <v>1198.0250000000001</v>
      </c>
      <c r="E745" s="116">
        <v>1217.5</v>
      </c>
      <c r="F745" s="116">
        <v>2431.3000000000002</v>
      </c>
      <c r="G745">
        <v>1726</v>
      </c>
      <c r="H745" s="116"/>
      <c r="I745" s="116"/>
      <c r="L745" s="170">
        <v>43097</v>
      </c>
      <c r="M745" s="116">
        <v>1220.2</v>
      </c>
      <c r="N745" s="116">
        <v>1237</v>
      </c>
      <c r="O745" s="116">
        <v>1197.5250000000001</v>
      </c>
      <c r="P745" s="116">
        <v>1209.5</v>
      </c>
      <c r="Q745" s="116">
        <v>2440.4</v>
      </c>
      <c r="R745">
        <v>30036</v>
      </c>
    </row>
    <row r="746" spans="1:18" x14ac:dyDescent="0.25">
      <c r="A746" s="170">
        <v>43098</v>
      </c>
      <c r="B746" s="116">
        <v>1249</v>
      </c>
      <c r="C746" s="116">
        <v>1240.45</v>
      </c>
      <c r="D746" s="116">
        <v>1213.0250000000001</v>
      </c>
      <c r="E746" s="116">
        <v>1220.5</v>
      </c>
      <c r="F746" s="116">
        <v>2480.9</v>
      </c>
      <c r="G746">
        <v>1664</v>
      </c>
      <c r="H746" s="116"/>
      <c r="I746" s="116"/>
      <c r="L746" s="170">
        <v>43098</v>
      </c>
      <c r="M746" s="116">
        <v>1244.6500000000001</v>
      </c>
      <c r="N746" s="116">
        <v>1267.3499999999999</v>
      </c>
      <c r="O746" s="116">
        <v>1211.0250000000001</v>
      </c>
      <c r="P746" s="116">
        <v>1231.325</v>
      </c>
      <c r="Q746" s="116">
        <v>2489.3000000000002</v>
      </c>
      <c r="R746">
        <v>20312</v>
      </c>
    </row>
    <row r="747" spans="1:18" x14ac:dyDescent="0.25">
      <c r="A747" s="170">
        <v>43101</v>
      </c>
      <c r="B747" s="116">
        <v>1271</v>
      </c>
      <c r="C747" s="116">
        <v>1229.125</v>
      </c>
      <c r="D747" s="116">
        <v>1225.6500000000001</v>
      </c>
      <c r="E747" s="116">
        <v>1271</v>
      </c>
      <c r="F747" s="116">
        <v>2458.25</v>
      </c>
      <c r="G747">
        <v>1265</v>
      </c>
      <c r="H747" s="116"/>
      <c r="I747" s="116"/>
      <c r="L747" s="170">
        <v>43101</v>
      </c>
      <c r="M747" s="116">
        <v>1231.5</v>
      </c>
      <c r="N747" s="116">
        <v>1245</v>
      </c>
      <c r="O747" s="116">
        <v>1227</v>
      </c>
      <c r="P747" s="116">
        <v>1245</v>
      </c>
      <c r="Q747" s="116">
        <v>2463</v>
      </c>
      <c r="R747">
        <v>8292</v>
      </c>
    </row>
    <row r="748" spans="1:18" x14ac:dyDescent="0.25">
      <c r="A748" s="170">
        <v>43102</v>
      </c>
      <c r="B748" s="116">
        <v>1238</v>
      </c>
      <c r="C748" s="116">
        <v>1228.75</v>
      </c>
      <c r="D748" s="116">
        <v>1220</v>
      </c>
      <c r="E748" s="116">
        <v>1237.5</v>
      </c>
      <c r="F748" s="116">
        <v>2457.5</v>
      </c>
      <c r="G748">
        <v>654</v>
      </c>
      <c r="H748" s="116"/>
      <c r="I748" s="116"/>
      <c r="L748" s="170">
        <v>43102</v>
      </c>
      <c r="M748" s="116">
        <v>1233</v>
      </c>
      <c r="N748" s="116">
        <v>1249</v>
      </c>
      <c r="O748" s="116">
        <v>1221</v>
      </c>
      <c r="P748" s="116">
        <v>1235</v>
      </c>
      <c r="Q748" s="116">
        <v>2466</v>
      </c>
      <c r="R748">
        <v>13299</v>
      </c>
    </row>
    <row r="749" spans="1:18" x14ac:dyDescent="0.25">
      <c r="A749" s="170">
        <v>43103</v>
      </c>
      <c r="B749" s="116">
        <v>1249.5</v>
      </c>
      <c r="C749" s="116">
        <v>1225.45</v>
      </c>
      <c r="D749" s="116">
        <v>1220.5999999999999</v>
      </c>
      <c r="E749" s="116">
        <v>1234.9749999999999</v>
      </c>
      <c r="F749" s="116">
        <v>2450.9</v>
      </c>
      <c r="G749">
        <v>1916</v>
      </c>
      <c r="H749" s="116"/>
      <c r="I749" s="116"/>
      <c r="L749" s="170">
        <v>43103</v>
      </c>
      <c r="M749" s="116">
        <v>1229.6500000000001</v>
      </c>
      <c r="N749" s="116">
        <v>1249</v>
      </c>
      <c r="O749" s="116">
        <v>1221.25</v>
      </c>
      <c r="P749" s="116">
        <v>1237.5</v>
      </c>
      <c r="Q749" s="116">
        <v>2459.3000000000002</v>
      </c>
      <c r="R749">
        <v>16057</v>
      </c>
    </row>
    <row r="750" spans="1:18" x14ac:dyDescent="0.25">
      <c r="A750" s="170">
        <v>43104</v>
      </c>
      <c r="B750" s="116">
        <v>1243.5</v>
      </c>
      <c r="C750" s="116">
        <v>1235.325</v>
      </c>
      <c r="D750" s="116">
        <v>1225.45</v>
      </c>
      <c r="E750" s="116">
        <v>1232</v>
      </c>
      <c r="F750" s="116">
        <v>2470.65</v>
      </c>
      <c r="G750">
        <v>1176</v>
      </c>
      <c r="H750" s="116"/>
      <c r="I750" s="116"/>
      <c r="L750" s="170">
        <v>43104</v>
      </c>
      <c r="M750" s="116">
        <v>1238.7750000000001</v>
      </c>
      <c r="N750" s="116">
        <v>1244</v>
      </c>
      <c r="O750" s="116">
        <v>1225.5</v>
      </c>
      <c r="P750" s="116">
        <v>1225.5</v>
      </c>
      <c r="Q750" s="116">
        <v>2477.5500000000002</v>
      </c>
      <c r="R750">
        <v>9471</v>
      </c>
    </row>
    <row r="751" spans="1:18" x14ac:dyDescent="0.25">
      <c r="A751" s="170">
        <v>43105</v>
      </c>
      <c r="B751" s="116">
        <v>1249.425</v>
      </c>
      <c r="C751" s="116">
        <v>1239.4749999999999</v>
      </c>
      <c r="D751" s="116">
        <v>1230.5</v>
      </c>
      <c r="E751" s="116">
        <v>1232.8499999999999</v>
      </c>
      <c r="F751" s="116">
        <v>2478.9499999999998</v>
      </c>
      <c r="G751">
        <v>1336</v>
      </c>
      <c r="H751" s="116"/>
      <c r="I751" s="116"/>
      <c r="L751" s="170">
        <v>43105</v>
      </c>
      <c r="M751" s="116">
        <v>1244.0999999999999</v>
      </c>
      <c r="N751" s="116">
        <v>1249.875</v>
      </c>
      <c r="O751" s="116">
        <v>1230.0999999999999</v>
      </c>
      <c r="P751" s="116">
        <v>1237</v>
      </c>
      <c r="Q751" s="116">
        <v>2488.1999999999998</v>
      </c>
      <c r="R751">
        <v>12309</v>
      </c>
    </row>
    <row r="752" spans="1:18" x14ac:dyDescent="0.25">
      <c r="A752" s="170">
        <v>43108</v>
      </c>
      <c r="B752" s="116">
        <v>1267.4749999999999</v>
      </c>
      <c r="C752" s="116">
        <v>1253.2</v>
      </c>
      <c r="D752" s="116">
        <v>1239.4749999999999</v>
      </c>
      <c r="E752" s="116">
        <v>1250</v>
      </c>
      <c r="F752" s="116">
        <v>2506.4</v>
      </c>
      <c r="G752">
        <v>2214</v>
      </c>
      <c r="H752" s="116"/>
      <c r="I752" s="116"/>
      <c r="L752" s="170">
        <v>43108</v>
      </c>
      <c r="M752" s="116">
        <v>1254.7750000000001</v>
      </c>
      <c r="N752" s="116">
        <v>1266.9749999999999</v>
      </c>
      <c r="O752" s="116">
        <v>1237.05</v>
      </c>
      <c r="P752" s="116">
        <v>1244.0999999999999</v>
      </c>
      <c r="Q752" s="116">
        <v>2509.5500000000002</v>
      </c>
      <c r="R752">
        <v>14079</v>
      </c>
    </row>
    <row r="753" spans="1:18" x14ac:dyDescent="0.25">
      <c r="A753" s="170">
        <v>43109</v>
      </c>
      <c r="B753" s="116">
        <v>1253.2</v>
      </c>
      <c r="C753" s="116">
        <v>1240.875</v>
      </c>
      <c r="D753" s="116">
        <v>1234.9749999999999</v>
      </c>
      <c r="E753" s="116">
        <v>1253.2</v>
      </c>
      <c r="F753" s="116">
        <v>2481.75</v>
      </c>
      <c r="G753">
        <v>2074</v>
      </c>
      <c r="H753" s="116"/>
      <c r="I753" s="116"/>
      <c r="L753" s="170">
        <v>43109</v>
      </c>
      <c r="M753" s="116">
        <v>1243.7750000000001</v>
      </c>
      <c r="N753" s="116">
        <v>1253.8</v>
      </c>
      <c r="O753" s="116">
        <v>1230.5</v>
      </c>
      <c r="P753" s="116">
        <v>1248.5</v>
      </c>
      <c r="Q753" s="116">
        <v>2487.5500000000002</v>
      </c>
      <c r="R753">
        <v>16572</v>
      </c>
    </row>
    <row r="754" spans="1:18" x14ac:dyDescent="0.25">
      <c r="A754" s="170">
        <v>43110</v>
      </c>
      <c r="B754" s="116">
        <v>1242.25</v>
      </c>
      <c r="C754" s="116">
        <v>1237.2</v>
      </c>
      <c r="D754" s="116">
        <v>1226</v>
      </c>
      <c r="E754" s="116">
        <v>1226.625</v>
      </c>
      <c r="F754" s="116">
        <v>2474.4</v>
      </c>
      <c r="G754">
        <v>2517</v>
      </c>
      <c r="H754" s="116"/>
      <c r="I754" s="116"/>
      <c r="L754" s="170">
        <v>43110</v>
      </c>
      <c r="M754" s="116">
        <v>1235.0250000000001</v>
      </c>
      <c r="N754" s="116">
        <v>1242.7750000000001</v>
      </c>
      <c r="O754" s="116">
        <v>1229.25</v>
      </c>
      <c r="P754" s="116">
        <v>1237.55</v>
      </c>
      <c r="Q754" s="116">
        <v>2470.0500000000002</v>
      </c>
      <c r="R754">
        <v>17843</v>
      </c>
    </row>
    <row r="755" spans="1:18" x14ac:dyDescent="0.25">
      <c r="A755" s="170">
        <v>43111</v>
      </c>
      <c r="B755" s="116">
        <v>1257.675</v>
      </c>
      <c r="C755" s="116">
        <v>1238.95</v>
      </c>
      <c r="D755" s="116">
        <v>1238.5</v>
      </c>
      <c r="E755" s="116">
        <v>1240.9000000000001</v>
      </c>
      <c r="F755" s="116">
        <v>2477.9</v>
      </c>
      <c r="G755">
        <v>3829</v>
      </c>
      <c r="H755" s="116"/>
      <c r="I755" s="116"/>
      <c r="L755" s="170">
        <v>43111</v>
      </c>
      <c r="M755" s="116">
        <v>1240.1500000000001</v>
      </c>
      <c r="N755" s="116">
        <v>1265</v>
      </c>
      <c r="O755" s="116">
        <v>1235</v>
      </c>
      <c r="P755" s="116">
        <v>1242.375</v>
      </c>
      <c r="Q755" s="116">
        <v>2480.3000000000002</v>
      </c>
      <c r="R755">
        <v>13513</v>
      </c>
    </row>
    <row r="756" spans="1:18" x14ac:dyDescent="0.25">
      <c r="A756" s="170">
        <v>43112</v>
      </c>
      <c r="B756" s="116">
        <v>1246.2750000000001</v>
      </c>
      <c r="C756" s="116">
        <v>1237.55</v>
      </c>
      <c r="D756" s="116">
        <v>1229</v>
      </c>
      <c r="E756" s="116">
        <v>1245.075</v>
      </c>
      <c r="F756" s="116">
        <v>2475.1</v>
      </c>
      <c r="G756">
        <v>912</v>
      </c>
      <c r="H756" s="116"/>
      <c r="I756" s="116"/>
      <c r="L756" s="170">
        <v>43112</v>
      </c>
      <c r="M756" s="116">
        <v>1234.9749999999999</v>
      </c>
      <c r="N756" s="116">
        <v>1247.5250000000001</v>
      </c>
      <c r="O756" s="116">
        <v>1229.875</v>
      </c>
      <c r="P756" s="116">
        <v>1247.4000000000001</v>
      </c>
      <c r="Q756" s="116">
        <v>2469.9499999999998</v>
      </c>
      <c r="R756">
        <v>14791</v>
      </c>
    </row>
    <row r="757" spans="1:18" x14ac:dyDescent="0.25">
      <c r="A757" s="170">
        <v>43115</v>
      </c>
      <c r="B757" s="116">
        <v>1244.9749999999999</v>
      </c>
      <c r="C757" s="116">
        <v>1234.55</v>
      </c>
      <c r="D757" s="116">
        <v>1230.75</v>
      </c>
      <c r="E757" s="116">
        <v>1242</v>
      </c>
      <c r="F757" s="116">
        <v>2469.1</v>
      </c>
      <c r="G757">
        <v>1935</v>
      </c>
      <c r="H757" s="116"/>
      <c r="I757" s="116"/>
      <c r="L757" s="170">
        <v>43115</v>
      </c>
      <c r="M757" s="116">
        <v>1237.5250000000001</v>
      </c>
      <c r="N757" s="116">
        <v>1245.2</v>
      </c>
      <c r="O757" s="116">
        <v>1232.5</v>
      </c>
      <c r="P757" s="116">
        <v>1234.9749999999999</v>
      </c>
      <c r="Q757" s="116">
        <v>2475.0500000000002</v>
      </c>
      <c r="R757">
        <v>14803</v>
      </c>
    </row>
    <row r="758" spans="1:18" x14ac:dyDescent="0.25">
      <c r="A758" s="170">
        <v>43116</v>
      </c>
      <c r="B758" s="116">
        <v>1242.5</v>
      </c>
      <c r="C758" s="116">
        <v>1230.175</v>
      </c>
      <c r="D758" s="116">
        <v>1225.75</v>
      </c>
      <c r="E758" s="116">
        <v>1238.425</v>
      </c>
      <c r="F758" s="116">
        <v>2460.35</v>
      </c>
      <c r="G758">
        <v>3848</v>
      </c>
      <c r="H758" s="116"/>
      <c r="I758" s="116"/>
      <c r="L758" s="170">
        <v>43116</v>
      </c>
      <c r="M758" s="116">
        <v>1234.875</v>
      </c>
      <c r="N758" s="116">
        <v>1242.5</v>
      </c>
      <c r="O758" s="116">
        <v>1227.5250000000001</v>
      </c>
      <c r="P758" s="116">
        <v>1237.425</v>
      </c>
      <c r="Q758" s="116">
        <v>2469.75</v>
      </c>
      <c r="R758">
        <v>15130</v>
      </c>
    </row>
    <row r="759" spans="1:18" x14ac:dyDescent="0.25">
      <c r="A759" s="170">
        <v>43117</v>
      </c>
      <c r="B759" s="116">
        <v>1250</v>
      </c>
      <c r="C759" s="116">
        <v>1237.925</v>
      </c>
      <c r="D759" s="116">
        <v>1220</v>
      </c>
      <c r="E759" s="116">
        <v>1232.5</v>
      </c>
      <c r="F759" s="116">
        <v>2475.85</v>
      </c>
      <c r="G759">
        <v>1267</v>
      </c>
      <c r="H759" s="116"/>
      <c r="I759" s="116"/>
      <c r="L759" s="170">
        <v>43117</v>
      </c>
      <c r="M759" s="116">
        <v>1243.175</v>
      </c>
      <c r="N759" s="116">
        <v>1257</v>
      </c>
      <c r="O759" s="116">
        <v>1226.5</v>
      </c>
      <c r="P759" s="116">
        <v>1230.675</v>
      </c>
      <c r="Q759" s="116">
        <v>2486.35</v>
      </c>
      <c r="R759">
        <v>16956</v>
      </c>
    </row>
    <row r="760" spans="1:18" x14ac:dyDescent="0.25">
      <c r="A760" s="170">
        <v>43118</v>
      </c>
      <c r="B760" s="116">
        <v>1253</v>
      </c>
      <c r="C760" s="116">
        <v>1236.0999999999999</v>
      </c>
      <c r="D760" s="116">
        <v>1233.4000000000001</v>
      </c>
      <c r="E760" s="116">
        <v>1251.5</v>
      </c>
      <c r="F760" s="116">
        <v>2472.1999999999998</v>
      </c>
      <c r="G760">
        <v>1930</v>
      </c>
      <c r="H760" s="116"/>
      <c r="I760" s="116"/>
      <c r="L760" s="170">
        <v>43118</v>
      </c>
      <c r="M760" s="116">
        <v>1236.625</v>
      </c>
      <c r="N760" s="116">
        <v>1255.575</v>
      </c>
      <c r="O760" s="116">
        <v>1232.5250000000001</v>
      </c>
      <c r="P760" s="116">
        <v>1255.575</v>
      </c>
      <c r="Q760" s="116">
        <v>2473.25</v>
      </c>
      <c r="R760">
        <v>14738</v>
      </c>
    </row>
    <row r="761" spans="1:18" x14ac:dyDescent="0.25">
      <c r="A761" s="170">
        <v>43119</v>
      </c>
      <c r="B761" s="116">
        <v>1242.5</v>
      </c>
      <c r="C761" s="116">
        <v>1236.25</v>
      </c>
      <c r="D761" s="116">
        <v>1225.5</v>
      </c>
      <c r="E761" s="116">
        <v>1233.5</v>
      </c>
      <c r="F761" s="116">
        <v>2472.5</v>
      </c>
      <c r="G761">
        <v>1202</v>
      </c>
      <c r="H761" s="116"/>
      <c r="I761" s="116"/>
      <c r="L761" s="170">
        <v>43119</v>
      </c>
      <c r="M761" s="116">
        <v>1236.8</v>
      </c>
      <c r="N761" s="116">
        <v>1244.5</v>
      </c>
      <c r="O761" s="116">
        <v>1227.5</v>
      </c>
      <c r="P761" s="116">
        <v>1238.95</v>
      </c>
      <c r="Q761" s="116">
        <v>2473.6</v>
      </c>
      <c r="R761">
        <v>15802</v>
      </c>
    </row>
    <row r="762" spans="1:18" x14ac:dyDescent="0.25">
      <c r="A762" s="170">
        <v>43122</v>
      </c>
      <c r="B762" s="116">
        <v>1233.075</v>
      </c>
      <c r="C762" s="116">
        <v>1228.325</v>
      </c>
      <c r="D762" s="116">
        <v>1222.5250000000001</v>
      </c>
      <c r="E762" s="116">
        <v>1225.625</v>
      </c>
      <c r="F762" s="116">
        <v>2456.65</v>
      </c>
      <c r="G762">
        <v>1467</v>
      </c>
      <c r="H762" s="116"/>
      <c r="I762" s="116"/>
      <c r="L762" s="170">
        <v>43122</v>
      </c>
      <c r="M762" s="116">
        <v>1231.5250000000001</v>
      </c>
      <c r="N762" s="116">
        <v>1236.625</v>
      </c>
      <c r="O762" s="116">
        <v>1206.5</v>
      </c>
      <c r="P762" s="116">
        <v>1225.375</v>
      </c>
      <c r="Q762" s="116">
        <v>2463.0500000000002</v>
      </c>
      <c r="R762">
        <v>12715</v>
      </c>
    </row>
    <row r="763" spans="1:18" x14ac:dyDescent="0.25">
      <c r="A763" s="170">
        <v>43123</v>
      </c>
      <c r="B763" s="116">
        <v>1245</v>
      </c>
      <c r="C763" s="116">
        <v>1229.6500000000001</v>
      </c>
      <c r="D763" s="116">
        <v>1220</v>
      </c>
      <c r="E763" s="116">
        <v>1228</v>
      </c>
      <c r="F763" s="116">
        <v>2459.3000000000002</v>
      </c>
      <c r="G763">
        <v>1237</v>
      </c>
      <c r="H763" s="116"/>
      <c r="I763" s="116"/>
      <c r="L763" s="170">
        <v>43123</v>
      </c>
      <c r="M763" s="116">
        <v>1229.45</v>
      </c>
      <c r="N763" s="116">
        <v>1239</v>
      </c>
      <c r="O763" s="116">
        <v>1221.125</v>
      </c>
      <c r="P763" s="116">
        <v>1236.5</v>
      </c>
      <c r="Q763" s="116">
        <v>2458.9</v>
      </c>
      <c r="R763">
        <v>15567</v>
      </c>
    </row>
    <row r="764" spans="1:18" x14ac:dyDescent="0.25">
      <c r="A764" s="170">
        <v>43124</v>
      </c>
      <c r="B764" s="116">
        <v>1231.9749999999999</v>
      </c>
      <c r="C764" s="116">
        <v>1222</v>
      </c>
      <c r="D764" s="116">
        <v>1220.05</v>
      </c>
      <c r="E764" s="116">
        <v>1231.9749999999999</v>
      </c>
      <c r="F764" s="116">
        <v>2444</v>
      </c>
      <c r="G764">
        <v>1469</v>
      </c>
      <c r="H764" s="116"/>
      <c r="I764" s="116"/>
      <c r="L764" s="170">
        <v>43124</v>
      </c>
      <c r="M764" s="116">
        <v>1225.075</v>
      </c>
      <c r="N764" s="116">
        <v>1237.5</v>
      </c>
      <c r="O764" s="116">
        <v>1220.9000000000001</v>
      </c>
      <c r="P764" s="116">
        <v>1237.5</v>
      </c>
      <c r="Q764" s="116">
        <v>2450.15</v>
      </c>
      <c r="R764">
        <v>16173</v>
      </c>
    </row>
    <row r="765" spans="1:18" x14ac:dyDescent="0.25">
      <c r="A765" s="170">
        <v>43125</v>
      </c>
      <c r="B765" s="116">
        <v>1235.5</v>
      </c>
      <c r="C765" s="116">
        <v>1227.425</v>
      </c>
      <c r="D765" s="116">
        <v>1220.575</v>
      </c>
      <c r="E765" s="116">
        <v>1222</v>
      </c>
      <c r="F765" s="116">
        <v>2454.85</v>
      </c>
      <c r="G765">
        <v>4083</v>
      </c>
      <c r="H765" s="116"/>
      <c r="I765" s="116"/>
      <c r="L765" s="170">
        <v>43125</v>
      </c>
      <c r="M765" s="116">
        <v>1233.3499999999999</v>
      </c>
      <c r="N765" s="116">
        <v>1239</v>
      </c>
      <c r="O765" s="116">
        <v>1220</v>
      </c>
      <c r="P765" s="116">
        <v>1222.5</v>
      </c>
      <c r="Q765" s="116">
        <v>2466.6999999999998</v>
      </c>
      <c r="R765">
        <v>13345</v>
      </c>
    </row>
    <row r="766" spans="1:18" x14ac:dyDescent="0.25">
      <c r="A766" s="170">
        <v>43129</v>
      </c>
      <c r="B766" s="116">
        <v>1235.5</v>
      </c>
      <c r="C766" s="116">
        <v>1218.625</v>
      </c>
      <c r="D766" s="116">
        <v>1215</v>
      </c>
      <c r="E766" s="116">
        <v>1234.95</v>
      </c>
      <c r="F766" s="116">
        <v>2437.25</v>
      </c>
      <c r="G766">
        <v>2222</v>
      </c>
      <c r="H766" s="116"/>
      <c r="I766" s="116"/>
      <c r="L766" s="170">
        <v>43129</v>
      </c>
      <c r="M766" s="116">
        <v>1224.7750000000001</v>
      </c>
      <c r="N766" s="116">
        <v>1240</v>
      </c>
      <c r="O766" s="116">
        <v>1218.5999999999999</v>
      </c>
      <c r="P766" s="116">
        <v>1240</v>
      </c>
      <c r="Q766" s="116">
        <v>2449.5500000000002</v>
      </c>
      <c r="R766">
        <v>12073</v>
      </c>
    </row>
    <row r="767" spans="1:18" x14ac:dyDescent="0.25">
      <c r="A767" s="170">
        <v>43130</v>
      </c>
      <c r="B767" s="116">
        <v>1232</v>
      </c>
      <c r="C767" s="116">
        <v>1222.575</v>
      </c>
      <c r="D767" s="116">
        <v>1212.5250000000001</v>
      </c>
      <c r="E767" s="116">
        <v>1222.5</v>
      </c>
      <c r="F767" s="116">
        <v>2445.15</v>
      </c>
      <c r="G767">
        <v>1297</v>
      </c>
      <c r="H767" s="116"/>
      <c r="I767" s="116"/>
      <c r="L767" s="170">
        <v>43130</v>
      </c>
      <c r="M767" s="116">
        <v>1228.1500000000001</v>
      </c>
      <c r="N767" s="116">
        <v>1237.425</v>
      </c>
      <c r="O767" s="116">
        <v>1215.05</v>
      </c>
      <c r="P767" s="116">
        <v>1218.6500000000001</v>
      </c>
      <c r="Q767" s="116">
        <v>2456.3000000000002</v>
      </c>
      <c r="R767">
        <v>9505</v>
      </c>
    </row>
    <row r="768" spans="1:18" x14ac:dyDescent="0.25">
      <c r="A768" s="170">
        <v>43131</v>
      </c>
      <c r="B768" s="116">
        <v>1230</v>
      </c>
      <c r="C768" s="116">
        <v>1227.075</v>
      </c>
      <c r="D768" s="116">
        <v>1212.5</v>
      </c>
      <c r="E768" s="116">
        <v>1212.5</v>
      </c>
      <c r="F768" s="116">
        <v>2454.15</v>
      </c>
      <c r="G768">
        <v>317</v>
      </c>
      <c r="H768" s="116"/>
      <c r="I768" s="116"/>
      <c r="L768" s="170">
        <v>43131</v>
      </c>
      <c r="M768" s="116">
        <v>1230.3</v>
      </c>
      <c r="N768" s="116">
        <v>1234.2750000000001</v>
      </c>
      <c r="O768" s="116">
        <v>1218.5</v>
      </c>
      <c r="P768" s="116">
        <v>1224.9749999999999</v>
      </c>
      <c r="Q768" s="116">
        <v>2460.6</v>
      </c>
      <c r="R768">
        <v>10599</v>
      </c>
    </row>
    <row r="769" spans="1:18" x14ac:dyDescent="0.25">
      <c r="A769" s="170">
        <v>43132</v>
      </c>
      <c r="B769" s="116">
        <v>1229</v>
      </c>
      <c r="C769" s="116">
        <v>1224.625</v>
      </c>
      <c r="D769" s="116">
        <v>1217.5</v>
      </c>
      <c r="E769" s="116">
        <v>1219.625</v>
      </c>
      <c r="F769" s="116">
        <v>2449.25</v>
      </c>
      <c r="G769">
        <v>947</v>
      </c>
      <c r="H769" s="116"/>
      <c r="I769" s="116"/>
      <c r="L769" s="170">
        <v>43132</v>
      </c>
      <c r="M769" s="116">
        <v>1229.575</v>
      </c>
      <c r="N769" s="116">
        <v>1232.5</v>
      </c>
      <c r="O769" s="116">
        <v>1217.55</v>
      </c>
      <c r="P769" s="116">
        <v>1223.925</v>
      </c>
      <c r="Q769" s="116">
        <v>2459.15</v>
      </c>
      <c r="R769">
        <v>8351</v>
      </c>
    </row>
    <row r="770" spans="1:18" x14ac:dyDescent="0.25">
      <c r="A770" s="170">
        <v>43133</v>
      </c>
      <c r="B770" s="116">
        <v>1235</v>
      </c>
      <c r="C770" s="116">
        <v>1219.625</v>
      </c>
      <c r="D770" s="116">
        <v>1205</v>
      </c>
      <c r="E770" s="116">
        <v>1229.9749999999999</v>
      </c>
      <c r="F770" s="116">
        <v>2439.25</v>
      </c>
      <c r="G770">
        <v>1586</v>
      </c>
      <c r="H770" s="116"/>
      <c r="I770" s="116"/>
      <c r="L770" s="170">
        <v>43133</v>
      </c>
      <c r="M770" s="116">
        <v>1233.925</v>
      </c>
      <c r="N770" s="116">
        <v>1247</v>
      </c>
      <c r="O770" s="116">
        <v>1207</v>
      </c>
      <c r="P770" s="116">
        <v>1231.325</v>
      </c>
      <c r="Q770" s="116">
        <v>2467.85</v>
      </c>
      <c r="R770">
        <v>11220</v>
      </c>
    </row>
    <row r="771" spans="1:18" x14ac:dyDescent="0.25">
      <c r="A771" s="170">
        <v>43136</v>
      </c>
      <c r="B771" s="116">
        <v>1242.5</v>
      </c>
      <c r="C771" s="116">
        <v>1230.55</v>
      </c>
      <c r="D771" s="116">
        <v>1210.5</v>
      </c>
      <c r="E771" s="116">
        <v>1232.5</v>
      </c>
      <c r="F771" s="116">
        <v>2461.1</v>
      </c>
      <c r="G771">
        <v>1830</v>
      </c>
      <c r="H771" s="116"/>
      <c r="I771" s="116"/>
      <c r="L771" s="170">
        <v>43136</v>
      </c>
      <c r="M771" s="116">
        <v>1239.5</v>
      </c>
      <c r="N771" s="116">
        <v>1250.5</v>
      </c>
      <c r="O771" s="116">
        <v>1206.6500000000001</v>
      </c>
      <c r="P771" s="116">
        <v>1230</v>
      </c>
      <c r="Q771" s="116">
        <v>2479</v>
      </c>
      <c r="R771">
        <v>14091</v>
      </c>
    </row>
    <row r="772" spans="1:18" x14ac:dyDescent="0.25">
      <c r="A772" s="170">
        <v>43137</v>
      </c>
      <c r="B772" s="116">
        <v>1239</v>
      </c>
      <c r="C772" s="116">
        <v>1225.325</v>
      </c>
      <c r="D772" s="116">
        <v>1209</v>
      </c>
      <c r="E772" s="116">
        <v>1219.75</v>
      </c>
      <c r="F772" s="116">
        <v>2450.65</v>
      </c>
      <c r="G772">
        <v>2568</v>
      </c>
      <c r="H772" s="116"/>
      <c r="I772" s="116"/>
      <c r="L772" s="170">
        <v>43137</v>
      </c>
      <c r="M772" s="116">
        <v>1232.3</v>
      </c>
      <c r="N772" s="116">
        <v>1239.5</v>
      </c>
      <c r="O772" s="116">
        <v>1210.7</v>
      </c>
      <c r="P772" s="116">
        <v>1225</v>
      </c>
      <c r="Q772" s="116">
        <v>2464.6</v>
      </c>
      <c r="R772">
        <v>14494</v>
      </c>
    </row>
    <row r="773" spans="1:18" x14ac:dyDescent="0.25">
      <c r="A773" s="170">
        <v>43138</v>
      </c>
      <c r="B773" s="116">
        <v>1235</v>
      </c>
      <c r="C773" s="116">
        <v>1220.0250000000001</v>
      </c>
      <c r="D773" s="116">
        <v>1212.5</v>
      </c>
      <c r="E773" s="116">
        <v>1234.1500000000001</v>
      </c>
      <c r="F773" s="116">
        <v>2440.0500000000002</v>
      </c>
      <c r="G773">
        <v>328</v>
      </c>
      <c r="H773" s="116"/>
      <c r="I773" s="116"/>
      <c r="L773" s="170">
        <v>43138</v>
      </c>
      <c r="M773" s="116">
        <v>1220</v>
      </c>
      <c r="N773" s="116">
        <v>1237.75</v>
      </c>
      <c r="O773" s="116">
        <v>1207.5</v>
      </c>
      <c r="P773" s="116">
        <v>1230.075</v>
      </c>
      <c r="Q773" s="116">
        <v>2440</v>
      </c>
      <c r="R773">
        <v>8597</v>
      </c>
    </row>
    <row r="774" spans="1:18" x14ac:dyDescent="0.25">
      <c r="A774" s="170">
        <v>43139</v>
      </c>
      <c r="B774" s="116">
        <v>1230.075</v>
      </c>
      <c r="C774" s="116">
        <v>1226.0250000000001</v>
      </c>
      <c r="D774" s="116">
        <v>1216.7</v>
      </c>
      <c r="E774" s="116">
        <v>1221.5</v>
      </c>
      <c r="F774" s="116">
        <v>2452.0500000000002</v>
      </c>
      <c r="G774">
        <v>840</v>
      </c>
      <c r="H774" s="116"/>
      <c r="I774" s="116"/>
      <c r="L774" s="170">
        <v>43139</v>
      </c>
      <c r="M774" s="116">
        <v>1230.825</v>
      </c>
      <c r="N774" s="116">
        <v>1237</v>
      </c>
      <c r="O774" s="116">
        <v>1216.0250000000001</v>
      </c>
      <c r="P774" s="116">
        <v>1228.4749999999999</v>
      </c>
      <c r="Q774" s="116">
        <v>2461.65</v>
      </c>
      <c r="R774">
        <v>9975</v>
      </c>
    </row>
    <row r="775" spans="1:18" x14ac:dyDescent="0.25">
      <c r="A775" s="170">
        <v>43140</v>
      </c>
      <c r="B775" s="116">
        <v>1230.25</v>
      </c>
      <c r="C775" s="116">
        <v>1225.575</v>
      </c>
      <c r="D775" s="116">
        <v>1217.5</v>
      </c>
      <c r="E775" s="116">
        <v>1224</v>
      </c>
      <c r="F775" s="116">
        <v>2451.15</v>
      </c>
      <c r="G775">
        <v>459</v>
      </c>
      <c r="H775" s="116"/>
      <c r="I775" s="116"/>
      <c r="L775" s="170">
        <v>43140</v>
      </c>
      <c r="M775" s="116">
        <v>1233.125</v>
      </c>
      <c r="N775" s="116">
        <v>1237</v>
      </c>
      <c r="O775" s="116">
        <v>1216</v>
      </c>
      <c r="P775" s="116">
        <v>1216</v>
      </c>
      <c r="Q775" s="116">
        <v>2466.25</v>
      </c>
      <c r="R775">
        <v>8985</v>
      </c>
    </row>
    <row r="776" spans="1:18" x14ac:dyDescent="0.25">
      <c r="A776" s="170">
        <v>43143</v>
      </c>
      <c r="B776" s="116">
        <v>1235</v>
      </c>
      <c r="C776" s="116">
        <v>1223.7750000000001</v>
      </c>
      <c r="D776" s="116">
        <v>1217.5</v>
      </c>
      <c r="E776" s="116">
        <v>1235</v>
      </c>
      <c r="F776" s="116">
        <v>2447.5500000000002</v>
      </c>
      <c r="G776">
        <v>556</v>
      </c>
      <c r="H776" s="116"/>
      <c r="I776" s="116"/>
      <c r="L776" s="170">
        <v>43143</v>
      </c>
      <c r="M776" s="116">
        <v>1224.5250000000001</v>
      </c>
      <c r="N776" s="116">
        <v>1239.5</v>
      </c>
      <c r="O776" s="116">
        <v>1216.4749999999999</v>
      </c>
      <c r="P776" s="116">
        <v>1222.5</v>
      </c>
      <c r="Q776" s="116">
        <v>2449.0500000000002</v>
      </c>
      <c r="R776">
        <v>11599</v>
      </c>
    </row>
    <row r="777" spans="1:18" x14ac:dyDescent="0.25">
      <c r="A777" s="170">
        <v>43145</v>
      </c>
      <c r="B777" s="116">
        <v>1235</v>
      </c>
      <c r="C777" s="116">
        <v>1225.05</v>
      </c>
      <c r="D777" s="116">
        <v>1217.675</v>
      </c>
      <c r="E777" s="116">
        <v>1224.5</v>
      </c>
      <c r="F777" s="116">
        <v>2450.1</v>
      </c>
      <c r="G777">
        <v>415</v>
      </c>
      <c r="H777" s="116"/>
      <c r="I777" s="116"/>
      <c r="L777" s="170">
        <v>43145</v>
      </c>
      <c r="M777" s="116">
        <v>1229.5250000000001</v>
      </c>
      <c r="N777" s="116">
        <v>1239.5</v>
      </c>
      <c r="O777" s="116">
        <v>1216.3499999999999</v>
      </c>
      <c r="P777" s="116">
        <v>1220.05</v>
      </c>
      <c r="Q777" s="116">
        <v>2459.0500000000002</v>
      </c>
      <c r="R777">
        <v>10056</v>
      </c>
    </row>
    <row r="778" spans="1:18" x14ac:dyDescent="0.25">
      <c r="A778" s="170">
        <v>43146</v>
      </c>
      <c r="B778" s="116">
        <v>1227.55</v>
      </c>
      <c r="C778" s="116">
        <v>1220.8</v>
      </c>
      <c r="D778" s="116">
        <v>1215</v>
      </c>
      <c r="E778" s="116">
        <v>1220.7</v>
      </c>
      <c r="F778" s="116">
        <v>2441.6</v>
      </c>
      <c r="G778">
        <v>409</v>
      </c>
      <c r="H778" s="116"/>
      <c r="I778" s="116"/>
      <c r="L778" s="170">
        <v>43146</v>
      </c>
      <c r="M778" s="116">
        <v>1224.3</v>
      </c>
      <c r="N778" s="116">
        <v>1229</v>
      </c>
      <c r="O778" s="116">
        <v>1215.0250000000001</v>
      </c>
      <c r="P778" s="116">
        <v>1221.075</v>
      </c>
      <c r="Q778" s="116">
        <v>2448.6</v>
      </c>
      <c r="R778">
        <v>10015</v>
      </c>
    </row>
    <row r="779" spans="1:18" x14ac:dyDescent="0.25">
      <c r="A779" s="170">
        <v>43147</v>
      </c>
      <c r="B779" s="116">
        <v>1227.4749999999999</v>
      </c>
      <c r="C779" s="116">
        <v>1214.875</v>
      </c>
      <c r="D779" s="116">
        <v>1200.5</v>
      </c>
      <c r="E779" s="116">
        <v>1215.0250000000001</v>
      </c>
      <c r="F779" s="116">
        <v>2429.75</v>
      </c>
      <c r="G779">
        <v>1214</v>
      </c>
      <c r="H779" s="116"/>
      <c r="I779" s="116"/>
      <c r="L779" s="170">
        <v>43147</v>
      </c>
      <c r="M779" s="116">
        <v>1219.2249999999999</v>
      </c>
      <c r="N779" s="116">
        <v>1224.3</v>
      </c>
      <c r="O779" s="116">
        <v>1207</v>
      </c>
      <c r="P779" s="116">
        <v>1220</v>
      </c>
      <c r="Q779" s="116">
        <v>2438.4499999999998</v>
      </c>
      <c r="R779">
        <v>10415</v>
      </c>
    </row>
    <row r="780" spans="1:18" x14ac:dyDescent="0.25">
      <c r="A780" s="170">
        <v>43150</v>
      </c>
      <c r="B780" s="116">
        <v>1217.5</v>
      </c>
      <c r="C780" s="116">
        <v>1210.25</v>
      </c>
      <c r="D780" s="116">
        <v>1202.675</v>
      </c>
      <c r="E780" s="116">
        <v>1212.5</v>
      </c>
      <c r="F780" s="116">
        <v>2420.5</v>
      </c>
      <c r="G780">
        <v>847</v>
      </c>
      <c r="H780" s="116"/>
      <c r="I780" s="116"/>
      <c r="L780" s="170">
        <v>43150</v>
      </c>
      <c r="M780" s="116">
        <v>1216.7750000000001</v>
      </c>
      <c r="N780" s="116">
        <v>1222.5</v>
      </c>
      <c r="O780" s="116">
        <v>1207.075</v>
      </c>
      <c r="P780" s="116">
        <v>1222</v>
      </c>
      <c r="Q780" s="116">
        <v>2433.5500000000002</v>
      </c>
      <c r="R780">
        <v>9187</v>
      </c>
    </row>
    <row r="781" spans="1:18" x14ac:dyDescent="0.25">
      <c r="A781" s="170">
        <v>43151</v>
      </c>
      <c r="B781" s="116">
        <v>1216</v>
      </c>
      <c r="C781" s="116">
        <v>1208.9000000000001</v>
      </c>
      <c r="D781" s="116">
        <v>1205.0250000000001</v>
      </c>
      <c r="E781" s="116">
        <v>1215</v>
      </c>
      <c r="F781" s="116">
        <v>2417.8000000000002</v>
      </c>
      <c r="G781">
        <v>301</v>
      </c>
      <c r="H781" s="116"/>
      <c r="I781" s="116"/>
      <c r="L781" s="170">
        <v>43151</v>
      </c>
      <c r="M781" s="116">
        <v>1209.5250000000001</v>
      </c>
      <c r="N781" s="116">
        <v>1217.925</v>
      </c>
      <c r="O781" s="116">
        <v>1204.5</v>
      </c>
      <c r="P781" s="116">
        <v>1208.7750000000001</v>
      </c>
      <c r="Q781" s="116">
        <v>2419.0500000000002</v>
      </c>
      <c r="R781">
        <v>10457</v>
      </c>
    </row>
    <row r="782" spans="1:18" x14ac:dyDescent="0.25">
      <c r="A782" s="170">
        <v>43152</v>
      </c>
      <c r="B782" s="116">
        <v>1212.2</v>
      </c>
      <c r="C782" s="116">
        <v>1192.575</v>
      </c>
      <c r="D782" s="116">
        <v>1164.5</v>
      </c>
      <c r="E782" s="116">
        <v>1203.5999999999999</v>
      </c>
      <c r="F782" s="116">
        <v>2385.15</v>
      </c>
      <c r="G782">
        <v>1945</v>
      </c>
      <c r="H782" s="116"/>
      <c r="I782" s="116"/>
      <c r="L782" s="170">
        <v>43152</v>
      </c>
      <c r="M782" s="116">
        <v>1194.45</v>
      </c>
      <c r="N782" s="116">
        <v>1208.5250000000001</v>
      </c>
      <c r="O782" s="116">
        <v>1188.125</v>
      </c>
      <c r="P782" s="116">
        <v>1208.5250000000001</v>
      </c>
      <c r="Q782" s="116">
        <v>2388.9</v>
      </c>
      <c r="R782">
        <v>11251</v>
      </c>
    </row>
    <row r="783" spans="1:18" x14ac:dyDescent="0.25">
      <c r="A783" s="170">
        <v>43153</v>
      </c>
      <c r="B783" s="116">
        <v>1214.5</v>
      </c>
      <c r="C783" s="116">
        <v>1197.7750000000001</v>
      </c>
      <c r="D783" s="116">
        <v>1162.8</v>
      </c>
      <c r="E783" s="116">
        <v>1192.5</v>
      </c>
      <c r="F783" s="116">
        <v>2395.5500000000002</v>
      </c>
      <c r="G783">
        <v>2153</v>
      </c>
      <c r="H783" s="116"/>
      <c r="I783" s="116"/>
      <c r="L783" s="170">
        <v>43153</v>
      </c>
      <c r="M783" s="116">
        <v>1205.9749999999999</v>
      </c>
      <c r="N783" s="116">
        <v>1220</v>
      </c>
      <c r="O783" s="116">
        <v>1182.55</v>
      </c>
      <c r="P783" s="116">
        <v>1190</v>
      </c>
      <c r="Q783" s="116">
        <v>2411.9499999999998</v>
      </c>
      <c r="R783">
        <v>9903</v>
      </c>
    </row>
    <row r="784" spans="1:18" x14ac:dyDescent="0.25">
      <c r="A784" s="170">
        <v>43154</v>
      </c>
      <c r="B784" s="116">
        <v>1205.2</v>
      </c>
      <c r="C784" s="116">
        <v>1198.8499999999999</v>
      </c>
      <c r="D784" s="116">
        <v>1173.2249999999999</v>
      </c>
      <c r="E784" s="116">
        <v>1200.375</v>
      </c>
      <c r="F784" s="116">
        <v>2397.6999999999998</v>
      </c>
      <c r="G784">
        <v>2470</v>
      </c>
      <c r="H784" s="116"/>
      <c r="I784" s="116"/>
      <c r="L784" s="170">
        <v>43154</v>
      </c>
      <c r="M784" s="116">
        <v>1202.3499999999999</v>
      </c>
      <c r="N784" s="116">
        <v>1212.5</v>
      </c>
      <c r="O784" s="116">
        <v>1191</v>
      </c>
      <c r="P784" s="116">
        <v>1205</v>
      </c>
      <c r="Q784" s="116">
        <v>2404.6999999999998</v>
      </c>
      <c r="R784">
        <v>17257</v>
      </c>
    </row>
    <row r="785" spans="1:18" x14ac:dyDescent="0.25">
      <c r="A785" s="170">
        <v>43157</v>
      </c>
      <c r="B785" s="116">
        <v>1212.9000000000001</v>
      </c>
      <c r="C785" s="116">
        <v>1198.8</v>
      </c>
      <c r="D785" s="116">
        <v>1183.175</v>
      </c>
      <c r="E785" s="116">
        <v>1185</v>
      </c>
      <c r="F785" s="116">
        <v>2397.6</v>
      </c>
      <c r="G785">
        <v>2214</v>
      </c>
      <c r="H785" s="116"/>
      <c r="I785" s="116"/>
      <c r="L785" s="170">
        <v>43157</v>
      </c>
      <c r="M785" s="116">
        <v>1204.2</v>
      </c>
      <c r="N785" s="116">
        <v>1215.0250000000001</v>
      </c>
      <c r="O785" s="116">
        <v>1196.125</v>
      </c>
      <c r="P785" s="116">
        <v>1202.3499999999999</v>
      </c>
      <c r="Q785" s="116">
        <v>2408.4</v>
      </c>
      <c r="R785">
        <v>14978</v>
      </c>
    </row>
    <row r="786" spans="1:18" x14ac:dyDescent="0.25">
      <c r="A786" s="170">
        <v>43158</v>
      </c>
      <c r="B786" s="116">
        <v>1227.5</v>
      </c>
      <c r="C786" s="116">
        <v>1197.45</v>
      </c>
      <c r="D786" s="116">
        <v>1192.55</v>
      </c>
      <c r="E786" s="116">
        <v>1204</v>
      </c>
      <c r="F786" s="116">
        <v>2394.9</v>
      </c>
      <c r="G786">
        <v>1547</v>
      </c>
      <c r="H786" s="116"/>
      <c r="I786" s="116"/>
      <c r="L786" s="170">
        <v>43158</v>
      </c>
      <c r="M786" s="116">
        <v>1196.7</v>
      </c>
      <c r="N786" s="116">
        <v>1208.3499999999999</v>
      </c>
      <c r="O786" s="116">
        <v>1190.825</v>
      </c>
      <c r="P786" s="116">
        <v>1208.3499999999999</v>
      </c>
      <c r="Q786" s="116">
        <v>2393.4</v>
      </c>
      <c r="R786">
        <v>8925</v>
      </c>
    </row>
    <row r="787" spans="1:18" x14ac:dyDescent="0.25">
      <c r="A787" s="170">
        <v>43159</v>
      </c>
      <c r="B787" s="116">
        <v>1203.1500000000001</v>
      </c>
      <c r="C787" s="116">
        <v>1186.875</v>
      </c>
      <c r="D787" s="116">
        <v>1175.7750000000001</v>
      </c>
      <c r="E787" s="116">
        <v>1198.5</v>
      </c>
      <c r="F787" s="116">
        <v>2373.75</v>
      </c>
      <c r="G787">
        <v>5183</v>
      </c>
      <c r="H787" s="116"/>
      <c r="I787" s="116"/>
      <c r="L787" s="170">
        <v>43159</v>
      </c>
      <c r="M787" s="116">
        <v>1192.075</v>
      </c>
      <c r="N787" s="116">
        <v>1207.5</v>
      </c>
      <c r="O787" s="116">
        <v>1185.675</v>
      </c>
      <c r="P787" s="116">
        <v>1192</v>
      </c>
      <c r="Q787" s="116">
        <v>2384.15</v>
      </c>
      <c r="R787">
        <v>13950</v>
      </c>
    </row>
    <row r="788" spans="1:18" x14ac:dyDescent="0.25">
      <c r="A788" s="170">
        <v>43160</v>
      </c>
      <c r="B788" s="116">
        <v>1209.8499999999999</v>
      </c>
      <c r="C788" s="116">
        <v>1189.675</v>
      </c>
      <c r="D788" s="116">
        <v>1180.325</v>
      </c>
      <c r="E788" s="116">
        <v>1192.575</v>
      </c>
      <c r="F788" s="116">
        <v>2379.35</v>
      </c>
      <c r="G788">
        <v>2282</v>
      </c>
      <c r="H788" s="116"/>
      <c r="I788" s="116"/>
      <c r="L788" s="170">
        <v>43160</v>
      </c>
      <c r="M788" s="116">
        <v>1189.45</v>
      </c>
      <c r="N788" s="116">
        <v>1198.8499999999999</v>
      </c>
      <c r="O788" s="116">
        <v>1186.0999999999999</v>
      </c>
      <c r="P788" s="116">
        <v>1198.8499999999999</v>
      </c>
      <c r="Q788" s="116">
        <v>2378.9</v>
      </c>
      <c r="R788">
        <v>5259</v>
      </c>
    </row>
    <row r="789" spans="1:18" x14ac:dyDescent="0.25">
      <c r="A789" s="170">
        <v>43164</v>
      </c>
      <c r="B789" s="116">
        <v>1203.8</v>
      </c>
      <c r="C789" s="116">
        <v>1187.1500000000001</v>
      </c>
      <c r="D789" s="116">
        <v>1175.5</v>
      </c>
      <c r="E789" s="116">
        <v>1185</v>
      </c>
      <c r="F789" s="116">
        <v>2374.3000000000002</v>
      </c>
      <c r="G789">
        <v>1255</v>
      </c>
      <c r="H789" s="116"/>
      <c r="I789" s="116"/>
      <c r="L789" s="170">
        <v>43164</v>
      </c>
      <c r="M789" s="116">
        <v>1193.05</v>
      </c>
      <c r="N789" s="116">
        <v>1215</v>
      </c>
      <c r="O789" s="116">
        <v>1175.5</v>
      </c>
      <c r="P789" s="116">
        <v>1198.4000000000001</v>
      </c>
      <c r="Q789" s="116">
        <v>2386.1</v>
      </c>
      <c r="R789">
        <v>20725</v>
      </c>
    </row>
    <row r="790" spans="1:18" x14ac:dyDescent="0.25">
      <c r="A790" s="170">
        <v>43165</v>
      </c>
      <c r="B790" s="116">
        <v>1188.625</v>
      </c>
      <c r="C790" s="116">
        <v>1170.0250000000001</v>
      </c>
      <c r="D790" s="116">
        <v>1165</v>
      </c>
      <c r="E790" s="116">
        <v>1185</v>
      </c>
      <c r="F790" s="116">
        <v>2340.0500000000002</v>
      </c>
      <c r="G790">
        <v>940</v>
      </c>
      <c r="H790" s="116"/>
      <c r="I790" s="116"/>
      <c r="L790" s="170">
        <v>43165</v>
      </c>
      <c r="M790" s="116">
        <v>1172</v>
      </c>
      <c r="N790" s="116">
        <v>1192.5</v>
      </c>
      <c r="O790" s="116">
        <v>1160.0250000000001</v>
      </c>
      <c r="P790" s="116">
        <v>1182.5250000000001</v>
      </c>
      <c r="Q790" s="116">
        <v>2344</v>
      </c>
      <c r="R790">
        <v>12564</v>
      </c>
    </row>
    <row r="791" spans="1:18" x14ac:dyDescent="0.25">
      <c r="A791" s="170">
        <v>43166</v>
      </c>
      <c r="B791" s="116">
        <v>1168.7750000000001</v>
      </c>
      <c r="C791" s="116">
        <v>1143</v>
      </c>
      <c r="D791" s="116">
        <v>1138.0999999999999</v>
      </c>
      <c r="E791" s="116">
        <v>1162.5</v>
      </c>
      <c r="F791" s="116">
        <v>2286</v>
      </c>
      <c r="G791">
        <v>2133</v>
      </c>
      <c r="H791" s="116"/>
      <c r="I791" s="116"/>
      <c r="L791" s="170">
        <v>43166</v>
      </c>
      <c r="M791" s="116">
        <v>1145.9749999999999</v>
      </c>
      <c r="N791" s="116">
        <v>1166.25</v>
      </c>
      <c r="O791" s="116">
        <v>1139</v>
      </c>
      <c r="P791" s="116">
        <v>1166.25</v>
      </c>
      <c r="Q791" s="116">
        <v>2291.9499999999998</v>
      </c>
      <c r="R791">
        <v>11354</v>
      </c>
    </row>
    <row r="792" spans="1:18" x14ac:dyDescent="0.25">
      <c r="A792" s="170">
        <v>43167</v>
      </c>
      <c r="B792" s="116">
        <v>1145.5</v>
      </c>
      <c r="C792" s="116">
        <v>1139.575</v>
      </c>
      <c r="D792" s="116">
        <v>1130</v>
      </c>
      <c r="E792" s="116">
        <v>1140.0250000000001</v>
      </c>
      <c r="F792" s="116">
        <v>2279.15</v>
      </c>
      <c r="G792">
        <v>1623</v>
      </c>
      <c r="H792" s="116"/>
      <c r="I792" s="116"/>
      <c r="L792" s="170">
        <v>43167</v>
      </c>
      <c r="M792" s="116">
        <v>1143.125</v>
      </c>
      <c r="N792" s="116">
        <v>1148.5</v>
      </c>
      <c r="O792" s="116">
        <v>1130.8</v>
      </c>
      <c r="P792" s="116">
        <v>1142.8</v>
      </c>
      <c r="Q792" s="116">
        <v>2286.25</v>
      </c>
      <c r="R792">
        <v>13588</v>
      </c>
    </row>
    <row r="793" spans="1:18" x14ac:dyDescent="0.25">
      <c r="A793" s="170">
        <v>43168</v>
      </c>
      <c r="B793" s="116">
        <v>1144.625</v>
      </c>
      <c r="C793" s="116">
        <v>1133.7</v>
      </c>
      <c r="D793" s="116">
        <v>1125.0250000000001</v>
      </c>
      <c r="E793" s="116">
        <v>1140</v>
      </c>
      <c r="F793" s="116">
        <v>2267.4</v>
      </c>
      <c r="G793">
        <v>1012</v>
      </c>
      <c r="H793" s="116"/>
      <c r="I793" s="116"/>
      <c r="L793" s="170">
        <v>43168</v>
      </c>
      <c r="M793" s="116">
        <v>1136.4000000000001</v>
      </c>
      <c r="N793" s="116">
        <v>1143</v>
      </c>
      <c r="O793" s="116">
        <v>1126.325</v>
      </c>
      <c r="P793" s="116">
        <v>1138.125</v>
      </c>
      <c r="Q793" s="116">
        <v>2272.8000000000002</v>
      </c>
      <c r="R793">
        <v>7381</v>
      </c>
    </row>
    <row r="794" spans="1:18" x14ac:dyDescent="0.25">
      <c r="A794" s="170">
        <v>43171</v>
      </c>
      <c r="B794" s="116">
        <v>1139.5</v>
      </c>
      <c r="C794" s="116">
        <v>1125.075</v>
      </c>
      <c r="D794" s="116">
        <v>1120.7750000000001</v>
      </c>
      <c r="E794" s="116">
        <v>1139.5</v>
      </c>
      <c r="F794" s="116">
        <v>2250.15</v>
      </c>
      <c r="G794">
        <v>1561</v>
      </c>
      <c r="H794" s="116"/>
      <c r="I794" s="116"/>
      <c r="L794" s="170">
        <v>43171</v>
      </c>
      <c r="M794" s="116">
        <v>1128.075</v>
      </c>
      <c r="N794" s="116">
        <v>1141.4749999999999</v>
      </c>
      <c r="O794" s="116">
        <v>1121.0999999999999</v>
      </c>
      <c r="P794" s="116">
        <v>1134.5</v>
      </c>
      <c r="Q794" s="116">
        <v>2256.15</v>
      </c>
      <c r="R794">
        <v>8479</v>
      </c>
    </row>
    <row r="795" spans="1:18" x14ac:dyDescent="0.25">
      <c r="A795" s="170">
        <v>43172</v>
      </c>
      <c r="B795" s="116">
        <v>1140</v>
      </c>
      <c r="C795" s="116">
        <v>1132.4000000000001</v>
      </c>
      <c r="D795" s="116">
        <v>1124.3499999999999</v>
      </c>
      <c r="E795" s="116">
        <v>1127.5</v>
      </c>
      <c r="F795" s="116">
        <v>2264.8000000000002</v>
      </c>
      <c r="G795">
        <v>1270</v>
      </c>
      <c r="H795" s="116"/>
      <c r="I795" s="116"/>
      <c r="L795" s="170">
        <v>43172</v>
      </c>
      <c r="M795" s="116">
        <v>1134.6500000000001</v>
      </c>
      <c r="N795" s="116">
        <v>1145</v>
      </c>
      <c r="O795" s="116">
        <v>1125</v>
      </c>
      <c r="P795" s="116">
        <v>1129</v>
      </c>
      <c r="Q795" s="116">
        <v>2269.3000000000002</v>
      </c>
      <c r="R795">
        <v>9145</v>
      </c>
    </row>
    <row r="796" spans="1:18" x14ac:dyDescent="0.25">
      <c r="A796" s="170">
        <v>43173</v>
      </c>
      <c r="B796" s="116">
        <v>1145</v>
      </c>
      <c r="C796" s="116">
        <v>1136.7</v>
      </c>
      <c r="D796" s="116">
        <v>1130.2750000000001</v>
      </c>
      <c r="E796" s="116">
        <v>1138.05</v>
      </c>
      <c r="F796" s="116">
        <v>2273.4</v>
      </c>
      <c r="G796">
        <v>1220</v>
      </c>
      <c r="H796" s="116"/>
      <c r="I796" s="116"/>
      <c r="L796" s="170">
        <v>43173</v>
      </c>
      <c r="M796" s="116">
        <v>1144.675</v>
      </c>
      <c r="N796" s="116">
        <v>1149.5</v>
      </c>
      <c r="O796" s="116">
        <v>1130</v>
      </c>
      <c r="P796" s="116">
        <v>1130</v>
      </c>
      <c r="Q796" s="116">
        <v>2289.35</v>
      </c>
      <c r="R796">
        <v>7823</v>
      </c>
    </row>
    <row r="797" spans="1:18" x14ac:dyDescent="0.25">
      <c r="A797" s="170">
        <v>43174</v>
      </c>
      <c r="B797" s="116">
        <v>1157</v>
      </c>
      <c r="C797" s="116">
        <v>1144.8</v>
      </c>
      <c r="D797" s="116">
        <v>1132.325</v>
      </c>
      <c r="E797" s="116">
        <v>1142.5</v>
      </c>
      <c r="F797" s="116">
        <v>2289.6</v>
      </c>
      <c r="G797">
        <v>1347</v>
      </c>
      <c r="H797" s="116"/>
      <c r="I797" s="116"/>
      <c r="L797" s="170">
        <v>43174</v>
      </c>
      <c r="M797" s="116">
        <v>1145.7750000000001</v>
      </c>
      <c r="N797" s="116">
        <v>1191</v>
      </c>
      <c r="O797" s="116">
        <v>1134.0250000000001</v>
      </c>
      <c r="P797" s="116">
        <v>1140.3</v>
      </c>
      <c r="Q797" s="116">
        <v>2291.5500000000002</v>
      </c>
      <c r="R797">
        <v>9241</v>
      </c>
    </row>
    <row r="798" spans="1:18" x14ac:dyDescent="0.25">
      <c r="A798" s="170">
        <v>43175</v>
      </c>
      <c r="B798" s="116">
        <v>1147.05</v>
      </c>
      <c r="C798" s="116">
        <v>1119.55</v>
      </c>
      <c r="D798" s="116">
        <v>1105.5999999999999</v>
      </c>
      <c r="E798" s="116">
        <v>1145</v>
      </c>
      <c r="F798" s="116">
        <v>2239.1</v>
      </c>
      <c r="G798">
        <v>1243</v>
      </c>
      <c r="H798" s="116"/>
      <c r="I798" s="116"/>
      <c r="L798" s="170">
        <v>43175</v>
      </c>
      <c r="M798" s="116">
        <v>1114.125</v>
      </c>
      <c r="N798" s="116">
        <v>1147</v>
      </c>
      <c r="O798" s="116">
        <v>1105.05</v>
      </c>
      <c r="P798" s="116">
        <v>1147</v>
      </c>
      <c r="Q798" s="116">
        <v>2228.25</v>
      </c>
      <c r="R798">
        <v>21053</v>
      </c>
    </row>
    <row r="799" spans="1:18" x14ac:dyDescent="0.25">
      <c r="A799" s="170">
        <v>43178</v>
      </c>
      <c r="B799" s="116">
        <v>1122.5</v>
      </c>
      <c r="C799" s="116">
        <v>1107.5999999999999</v>
      </c>
      <c r="D799" s="116">
        <v>1102.5</v>
      </c>
      <c r="E799" s="116">
        <v>1111.325</v>
      </c>
      <c r="F799" s="116">
        <v>2215.1999999999998</v>
      </c>
      <c r="G799">
        <v>2388</v>
      </c>
      <c r="H799" s="116"/>
      <c r="I799" s="116"/>
      <c r="L799" s="170">
        <v>43178</v>
      </c>
      <c r="M799" s="116">
        <v>1113.825</v>
      </c>
      <c r="N799" s="116">
        <v>1119.9000000000001</v>
      </c>
      <c r="O799" s="116">
        <v>1105</v>
      </c>
      <c r="P799" s="116">
        <v>1119.9000000000001</v>
      </c>
      <c r="Q799" s="116">
        <v>2227.65</v>
      </c>
      <c r="R799">
        <v>8689</v>
      </c>
    </row>
    <row r="800" spans="1:18" x14ac:dyDescent="0.25">
      <c r="A800" s="170">
        <v>43179</v>
      </c>
      <c r="B800" s="116">
        <v>1113.95</v>
      </c>
      <c r="C800" s="116">
        <v>1110.3</v>
      </c>
      <c r="D800" s="116">
        <v>1100</v>
      </c>
      <c r="E800" s="116">
        <v>1102.0250000000001</v>
      </c>
      <c r="F800" s="116">
        <v>2220.6</v>
      </c>
      <c r="G800">
        <v>2267</v>
      </c>
      <c r="H800" s="116"/>
      <c r="I800" s="116"/>
      <c r="L800" s="170">
        <v>43179</v>
      </c>
      <c r="M800" s="116">
        <v>1113.0250000000001</v>
      </c>
      <c r="N800" s="116">
        <v>1117.125</v>
      </c>
      <c r="O800" s="116">
        <v>1101.0999999999999</v>
      </c>
      <c r="P800" s="116">
        <v>1112.9749999999999</v>
      </c>
      <c r="Q800" s="116">
        <v>2226.0500000000002</v>
      </c>
      <c r="R800">
        <v>12635</v>
      </c>
    </row>
    <row r="801" spans="1:18" x14ac:dyDescent="0.25">
      <c r="A801" s="170">
        <v>43180</v>
      </c>
      <c r="B801" s="116">
        <v>1117</v>
      </c>
      <c r="C801" s="116">
        <v>1107.3499999999999</v>
      </c>
      <c r="D801" s="116">
        <v>1100.0250000000001</v>
      </c>
      <c r="E801" s="116">
        <v>1117</v>
      </c>
      <c r="F801" s="116">
        <v>2214.6999999999998</v>
      </c>
      <c r="G801">
        <v>1596</v>
      </c>
      <c r="H801" s="116"/>
      <c r="I801" s="116"/>
      <c r="L801" s="170">
        <v>43180</v>
      </c>
      <c r="M801" s="116">
        <v>1112.25</v>
      </c>
      <c r="N801" s="116">
        <v>1118.3499999999999</v>
      </c>
      <c r="O801" s="116">
        <v>1105</v>
      </c>
      <c r="P801" s="116">
        <v>1118.3499999999999</v>
      </c>
      <c r="Q801" s="116">
        <v>2224.5</v>
      </c>
      <c r="R801">
        <v>10632</v>
      </c>
    </row>
    <row r="802" spans="1:18" x14ac:dyDescent="0.25">
      <c r="A802" s="170">
        <v>43181</v>
      </c>
      <c r="B802" s="116">
        <v>1112.4749999999999</v>
      </c>
      <c r="C802" s="116">
        <v>1102.0250000000001</v>
      </c>
      <c r="D802" s="116">
        <v>1100</v>
      </c>
      <c r="E802" s="116">
        <v>1112.45</v>
      </c>
      <c r="F802" s="116">
        <v>2204.0500000000002</v>
      </c>
      <c r="G802">
        <v>692</v>
      </c>
      <c r="H802" s="116"/>
      <c r="I802" s="116"/>
      <c r="L802" s="170">
        <v>43181</v>
      </c>
      <c r="M802" s="116">
        <v>1107.5250000000001</v>
      </c>
      <c r="N802" s="116">
        <v>1115</v>
      </c>
      <c r="O802" s="116">
        <v>1100.5</v>
      </c>
      <c r="P802" s="116">
        <v>1115</v>
      </c>
      <c r="Q802" s="116">
        <v>2215.0500000000002</v>
      </c>
      <c r="R802">
        <v>9254</v>
      </c>
    </row>
    <row r="803" spans="1:18" x14ac:dyDescent="0.25">
      <c r="A803" s="170">
        <v>43182</v>
      </c>
      <c r="B803" s="116">
        <v>1104.175</v>
      </c>
      <c r="C803" s="116">
        <v>1087.075</v>
      </c>
      <c r="D803" s="116">
        <v>1085.8</v>
      </c>
      <c r="E803" s="116">
        <v>1102.5</v>
      </c>
      <c r="F803" s="116">
        <v>2174.15</v>
      </c>
      <c r="G803">
        <v>2091</v>
      </c>
      <c r="H803" s="116"/>
      <c r="I803" s="116"/>
      <c r="L803" s="170">
        <v>43182</v>
      </c>
      <c r="M803" s="116">
        <v>1087.1500000000001</v>
      </c>
      <c r="N803" s="116">
        <v>1100.5999999999999</v>
      </c>
      <c r="O803" s="116">
        <v>1083.05</v>
      </c>
      <c r="P803" s="116">
        <v>1100</v>
      </c>
      <c r="Q803" s="116">
        <v>2174.3000000000002</v>
      </c>
      <c r="R803">
        <v>11330</v>
      </c>
    </row>
    <row r="804" spans="1:18" x14ac:dyDescent="0.25">
      <c r="A804" s="170">
        <v>43185</v>
      </c>
      <c r="B804" s="116">
        <v>1095.0250000000001</v>
      </c>
      <c r="C804" s="116">
        <v>1071.125</v>
      </c>
      <c r="D804" s="116">
        <v>1066.5</v>
      </c>
      <c r="E804" s="116">
        <v>1095.0250000000001</v>
      </c>
      <c r="F804" s="116">
        <v>2142.25</v>
      </c>
      <c r="G804">
        <v>2794</v>
      </c>
      <c r="H804" s="116"/>
      <c r="I804" s="116"/>
      <c r="L804" s="170">
        <v>43185</v>
      </c>
      <c r="M804" s="116">
        <v>1073.9000000000001</v>
      </c>
      <c r="N804" s="116">
        <v>1093.9749999999999</v>
      </c>
      <c r="O804" s="116">
        <v>1066.5</v>
      </c>
      <c r="P804" s="116">
        <v>1093.9749999999999</v>
      </c>
      <c r="Q804" s="116">
        <v>2147.8000000000002</v>
      </c>
      <c r="R804">
        <v>15770</v>
      </c>
    </row>
    <row r="805" spans="1:18" x14ac:dyDescent="0.25">
      <c r="A805" s="170">
        <v>43186</v>
      </c>
      <c r="B805" s="116">
        <v>1080.5</v>
      </c>
      <c r="C805" s="116">
        <v>1066.1500000000001</v>
      </c>
      <c r="D805" s="116">
        <v>1065</v>
      </c>
      <c r="E805" s="116">
        <v>1079.875</v>
      </c>
      <c r="F805" s="116">
        <v>2132.3000000000002</v>
      </c>
      <c r="G805">
        <v>2689</v>
      </c>
      <c r="H805" s="116"/>
      <c r="I805" s="116"/>
      <c r="L805" s="170">
        <v>43186</v>
      </c>
      <c r="M805" s="116">
        <v>1068.625</v>
      </c>
      <c r="N805" s="116">
        <v>1079.25</v>
      </c>
      <c r="O805" s="116">
        <v>1064.5</v>
      </c>
      <c r="P805" s="116">
        <v>1073.9000000000001</v>
      </c>
      <c r="Q805" s="116">
        <v>2137.25</v>
      </c>
      <c r="R805">
        <v>13850</v>
      </c>
    </row>
    <row r="806" spans="1:18" x14ac:dyDescent="0.25">
      <c r="A806" s="170">
        <v>43187</v>
      </c>
      <c r="B806" s="116">
        <v>1075</v>
      </c>
      <c r="C806" s="116">
        <v>1042.7</v>
      </c>
      <c r="D806" s="116">
        <v>1020</v>
      </c>
      <c r="E806" s="116">
        <v>1068.9000000000001</v>
      </c>
      <c r="F806" s="116">
        <v>2085.4</v>
      </c>
      <c r="G806">
        <v>1967</v>
      </c>
      <c r="H806" s="116"/>
      <c r="I806" s="116"/>
      <c r="L806" s="170">
        <v>43187</v>
      </c>
      <c r="M806" s="116">
        <v>1043.875</v>
      </c>
      <c r="N806" s="116">
        <v>1074.825</v>
      </c>
      <c r="O806" s="116">
        <v>1020.9</v>
      </c>
      <c r="P806" s="116">
        <v>1068.5</v>
      </c>
      <c r="Q806" s="116">
        <v>2087.75</v>
      </c>
      <c r="R806">
        <v>36755</v>
      </c>
    </row>
    <row r="807" spans="1:18" x14ac:dyDescent="0.25">
      <c r="A807" s="170">
        <v>43192</v>
      </c>
      <c r="B807" s="116">
        <v>1064</v>
      </c>
      <c r="C807" s="116">
        <v>1047.2249999999999</v>
      </c>
      <c r="D807" s="116">
        <v>1042.5</v>
      </c>
      <c r="E807" s="116">
        <v>1042.7</v>
      </c>
      <c r="F807" s="116">
        <v>2094.4499999999998</v>
      </c>
      <c r="G807">
        <v>1202</v>
      </c>
      <c r="H807" s="116"/>
      <c r="I807" s="116"/>
      <c r="L807" s="170">
        <v>43192</v>
      </c>
      <c r="M807" s="116">
        <v>1051.9000000000001</v>
      </c>
      <c r="N807" s="116">
        <v>1092.4749999999999</v>
      </c>
      <c r="O807" s="116">
        <v>1010</v>
      </c>
      <c r="P807" s="116">
        <v>1043.875</v>
      </c>
      <c r="Q807" s="116">
        <v>2103.8000000000002</v>
      </c>
      <c r="R807">
        <v>10235</v>
      </c>
    </row>
    <row r="808" spans="1:18" x14ac:dyDescent="0.25">
      <c r="A808" s="170">
        <v>43193</v>
      </c>
      <c r="B808" s="116">
        <v>1087</v>
      </c>
      <c r="C808" s="116">
        <v>1076.2</v>
      </c>
      <c r="D808" s="116">
        <v>1045</v>
      </c>
      <c r="E808" s="116">
        <v>1051</v>
      </c>
      <c r="F808" s="116">
        <v>2152.4</v>
      </c>
      <c r="G808">
        <v>744</v>
      </c>
      <c r="H808" s="116"/>
      <c r="I808" s="116"/>
      <c r="L808" s="170">
        <v>43193</v>
      </c>
      <c r="M808" s="116">
        <v>1078.8</v>
      </c>
      <c r="N808" s="116">
        <v>1087.4000000000001</v>
      </c>
      <c r="O808" s="116">
        <v>1045.625</v>
      </c>
      <c r="P808" s="116">
        <v>1049.2</v>
      </c>
      <c r="Q808" s="116">
        <v>2157.6</v>
      </c>
      <c r="R808">
        <v>9461</v>
      </c>
    </row>
    <row r="809" spans="1:18" x14ac:dyDescent="0.25">
      <c r="A809" s="170">
        <v>43194</v>
      </c>
      <c r="B809" s="116">
        <v>1100</v>
      </c>
      <c r="C809" s="116">
        <v>1091.45</v>
      </c>
      <c r="D809" s="116">
        <v>1080</v>
      </c>
      <c r="E809" s="116">
        <v>1084.05</v>
      </c>
      <c r="F809" s="116">
        <v>2182.9</v>
      </c>
      <c r="G809">
        <v>953</v>
      </c>
      <c r="H809" s="116"/>
      <c r="I809" s="116"/>
      <c r="L809" s="170">
        <v>43194</v>
      </c>
      <c r="M809" s="116">
        <v>1095.925</v>
      </c>
      <c r="N809" s="116">
        <v>1101.125</v>
      </c>
      <c r="O809" s="116">
        <v>1079.05</v>
      </c>
      <c r="P809" s="116">
        <v>1086.4000000000001</v>
      </c>
      <c r="Q809" s="116">
        <v>2191.85</v>
      </c>
      <c r="R809">
        <v>6501</v>
      </c>
    </row>
    <row r="810" spans="1:18" x14ac:dyDescent="0.25">
      <c r="A810" s="170">
        <v>43195</v>
      </c>
      <c r="B810" s="116">
        <v>1137.4000000000001</v>
      </c>
      <c r="C810" s="116">
        <v>1112.5250000000001</v>
      </c>
      <c r="D810" s="116">
        <v>1092.325</v>
      </c>
      <c r="E810" s="116">
        <v>1099.5</v>
      </c>
      <c r="F810" s="116">
        <v>2225.0500000000002</v>
      </c>
      <c r="G810">
        <v>953</v>
      </c>
      <c r="H810" s="116"/>
      <c r="I810" s="116"/>
      <c r="L810" s="170">
        <v>43195</v>
      </c>
      <c r="M810" s="116">
        <v>1117.25</v>
      </c>
      <c r="N810" s="116">
        <v>1136.9749999999999</v>
      </c>
      <c r="O810" s="116">
        <v>1088.075</v>
      </c>
      <c r="P810" s="116">
        <v>1096.075</v>
      </c>
      <c r="Q810" s="116">
        <v>2234.5</v>
      </c>
      <c r="R810">
        <v>15097</v>
      </c>
    </row>
    <row r="811" spans="1:18" x14ac:dyDescent="0.25">
      <c r="A811" s="170">
        <v>43196</v>
      </c>
      <c r="B811" s="116">
        <v>1142.5</v>
      </c>
      <c r="C811" s="116">
        <v>1132.25</v>
      </c>
      <c r="D811" s="116">
        <v>1110</v>
      </c>
      <c r="E811" s="116">
        <v>1128.5</v>
      </c>
      <c r="F811" s="116">
        <v>2264.5</v>
      </c>
      <c r="G811">
        <v>916</v>
      </c>
      <c r="H811" s="116"/>
      <c r="I811" s="116"/>
      <c r="L811" s="170">
        <v>43196</v>
      </c>
      <c r="M811" s="116">
        <v>1138.2750000000001</v>
      </c>
      <c r="N811" s="116">
        <v>1149</v>
      </c>
      <c r="O811" s="116">
        <v>1112.5</v>
      </c>
      <c r="P811" s="116">
        <v>1122.5</v>
      </c>
      <c r="Q811" s="116">
        <v>2276.5500000000002</v>
      </c>
      <c r="R811">
        <v>8916</v>
      </c>
    </row>
    <row r="812" spans="1:18" x14ac:dyDescent="0.25">
      <c r="A812" s="170">
        <v>43199</v>
      </c>
      <c r="B812" s="116">
        <v>1152</v>
      </c>
      <c r="C812" s="116">
        <v>1145.05</v>
      </c>
      <c r="D812" s="116">
        <v>1131.75</v>
      </c>
      <c r="E812" s="116">
        <v>1149.5</v>
      </c>
      <c r="F812" s="116">
        <v>2290.1</v>
      </c>
      <c r="G812">
        <v>899</v>
      </c>
      <c r="H812" s="116"/>
      <c r="I812" s="116"/>
      <c r="L812" s="170">
        <v>43199</v>
      </c>
      <c r="M812" s="116">
        <v>1149.2249999999999</v>
      </c>
      <c r="N812" s="116">
        <v>1154.5</v>
      </c>
      <c r="O812" s="116">
        <v>1127.825</v>
      </c>
      <c r="P812" s="116">
        <v>1138.5</v>
      </c>
      <c r="Q812" s="116">
        <v>2298.4499999999998</v>
      </c>
      <c r="R812">
        <v>9353</v>
      </c>
    </row>
    <row r="813" spans="1:18" x14ac:dyDescent="0.25">
      <c r="A813" s="170">
        <v>43200</v>
      </c>
      <c r="B813" s="116">
        <v>1150</v>
      </c>
      <c r="C813" s="116">
        <v>1145.4000000000001</v>
      </c>
      <c r="D813" s="116">
        <v>1125.5250000000001</v>
      </c>
      <c r="E813" s="116">
        <v>1142.5</v>
      </c>
      <c r="F813" s="116">
        <v>2290.8000000000002</v>
      </c>
      <c r="G813">
        <v>829</v>
      </c>
      <c r="H813" s="116"/>
      <c r="I813" s="116"/>
      <c r="L813" s="170">
        <v>43200</v>
      </c>
      <c r="M813" s="116">
        <v>1148.625</v>
      </c>
      <c r="N813" s="116">
        <v>1154</v>
      </c>
      <c r="O813" s="116">
        <v>1131.25</v>
      </c>
      <c r="P813" s="116">
        <v>1144.925</v>
      </c>
      <c r="Q813" s="116">
        <v>2297.25</v>
      </c>
      <c r="R813">
        <v>9957</v>
      </c>
    </row>
    <row r="814" spans="1:18" x14ac:dyDescent="0.25">
      <c r="A814" s="170">
        <v>43201</v>
      </c>
      <c r="B814" s="116">
        <v>1157.5</v>
      </c>
      <c r="C814" s="116">
        <v>1149.55</v>
      </c>
      <c r="D814" s="116">
        <v>1129.3</v>
      </c>
      <c r="E814" s="116">
        <v>1150</v>
      </c>
      <c r="F814" s="116">
        <v>2299.1</v>
      </c>
      <c r="G814">
        <v>786</v>
      </c>
      <c r="H814" s="116"/>
      <c r="I814" s="116"/>
      <c r="L814" s="170">
        <v>43201</v>
      </c>
      <c r="M814" s="116">
        <v>1152.925</v>
      </c>
      <c r="N814" s="116">
        <v>1159.5</v>
      </c>
      <c r="O814" s="116">
        <v>1134.95</v>
      </c>
      <c r="P814" s="116">
        <v>1143.7750000000001</v>
      </c>
      <c r="Q814" s="116">
        <v>2305.85</v>
      </c>
      <c r="R814">
        <v>8280</v>
      </c>
    </row>
    <row r="815" spans="1:18" x14ac:dyDescent="0.25">
      <c r="A815" s="170">
        <v>43202</v>
      </c>
      <c r="B815" s="116">
        <v>1165</v>
      </c>
      <c r="C815" s="116">
        <v>1158.75</v>
      </c>
      <c r="D815" s="116">
        <v>1140.425</v>
      </c>
      <c r="E815" s="116">
        <v>1145</v>
      </c>
      <c r="F815" s="116">
        <v>2317.5</v>
      </c>
      <c r="G815">
        <v>756</v>
      </c>
      <c r="H815" s="116"/>
      <c r="I815" s="116"/>
      <c r="L815" s="170">
        <v>43202</v>
      </c>
      <c r="M815" s="116">
        <v>1161.9749999999999</v>
      </c>
      <c r="N815" s="116">
        <v>1170</v>
      </c>
      <c r="O815" s="116">
        <v>1141.5</v>
      </c>
      <c r="P815" s="116">
        <v>1149.4000000000001</v>
      </c>
      <c r="Q815" s="116">
        <v>2323.9499999999998</v>
      </c>
      <c r="R815">
        <v>7083</v>
      </c>
    </row>
    <row r="816" spans="1:18" x14ac:dyDescent="0.25">
      <c r="A816" s="170">
        <v>43203</v>
      </c>
      <c r="B816" s="116">
        <v>1172.5</v>
      </c>
      <c r="C816" s="116">
        <v>1170.0250000000001</v>
      </c>
      <c r="D816" s="116">
        <v>1152.825</v>
      </c>
      <c r="E816" s="116">
        <v>1154.5250000000001</v>
      </c>
      <c r="F816" s="116">
        <v>2340.0500000000002</v>
      </c>
      <c r="G816">
        <v>441</v>
      </c>
      <c r="H816" s="116"/>
      <c r="I816" s="116"/>
      <c r="L816" s="170">
        <v>43203</v>
      </c>
      <c r="M816" s="116">
        <v>1170.9000000000001</v>
      </c>
      <c r="N816" s="116">
        <v>1174.75</v>
      </c>
      <c r="O816" s="116">
        <v>1150</v>
      </c>
      <c r="P816" s="116">
        <v>1162.3499999999999</v>
      </c>
      <c r="Q816" s="116">
        <v>2341.8000000000002</v>
      </c>
      <c r="R816">
        <v>9162</v>
      </c>
    </row>
    <row r="817" spans="1:18" x14ac:dyDescent="0.25">
      <c r="A817" s="170">
        <v>43206</v>
      </c>
      <c r="B817" s="116">
        <v>1195.5</v>
      </c>
      <c r="C817" s="116">
        <v>1179.75</v>
      </c>
      <c r="D817" s="116">
        <v>1159</v>
      </c>
      <c r="E817" s="116">
        <v>1164</v>
      </c>
      <c r="F817" s="116">
        <v>2359.5</v>
      </c>
      <c r="G817">
        <v>939</v>
      </c>
      <c r="H817" s="116"/>
      <c r="I817" s="116"/>
      <c r="L817" s="170">
        <v>43206</v>
      </c>
      <c r="M817" s="116">
        <v>1174.8</v>
      </c>
      <c r="N817" s="116">
        <v>1178</v>
      </c>
      <c r="O817" s="116">
        <v>1152.875</v>
      </c>
      <c r="P817" s="116">
        <v>1152.875</v>
      </c>
      <c r="Q817" s="116">
        <v>2349.6</v>
      </c>
      <c r="R817">
        <v>7652</v>
      </c>
    </row>
    <row r="818" spans="1:18" x14ac:dyDescent="0.25">
      <c r="A818" s="170">
        <v>43207</v>
      </c>
      <c r="B818" s="116">
        <v>1195.5</v>
      </c>
      <c r="C818" s="116">
        <v>1190.075</v>
      </c>
      <c r="D818" s="116">
        <v>1170</v>
      </c>
      <c r="E818" s="116">
        <v>1180</v>
      </c>
      <c r="F818" s="116">
        <v>2380.15</v>
      </c>
      <c r="G818">
        <v>856</v>
      </c>
      <c r="H818" s="116"/>
      <c r="I818" s="116"/>
      <c r="L818" s="170">
        <v>43207</v>
      </c>
      <c r="M818" s="116">
        <v>1190.825</v>
      </c>
      <c r="N818" s="116">
        <v>1197.5</v>
      </c>
      <c r="O818" s="116">
        <v>1166.5</v>
      </c>
      <c r="P818" s="116">
        <v>1175</v>
      </c>
      <c r="Q818" s="116">
        <v>2381.65</v>
      </c>
      <c r="R818">
        <v>11210</v>
      </c>
    </row>
    <row r="819" spans="1:18" x14ac:dyDescent="0.25">
      <c r="A819" s="170">
        <v>43208</v>
      </c>
      <c r="B819" s="116">
        <v>1200.5250000000001</v>
      </c>
      <c r="C819" s="116">
        <v>1179.7750000000001</v>
      </c>
      <c r="D819" s="116">
        <v>1175</v>
      </c>
      <c r="E819" s="116">
        <v>1180</v>
      </c>
      <c r="F819" s="116">
        <v>2359.5500000000002</v>
      </c>
      <c r="G819">
        <v>372</v>
      </c>
      <c r="H819" s="116"/>
      <c r="I819" s="116"/>
      <c r="L819" s="170">
        <v>43208</v>
      </c>
      <c r="M819" s="116">
        <v>1180.0999999999999</v>
      </c>
      <c r="N819" s="116">
        <v>1201</v>
      </c>
      <c r="O819" s="116">
        <v>1171.1500000000001</v>
      </c>
      <c r="P819" s="116">
        <v>1196</v>
      </c>
      <c r="Q819" s="116">
        <v>2360.1999999999998</v>
      </c>
      <c r="R819">
        <v>9895</v>
      </c>
    </row>
    <row r="820" spans="1:18" x14ac:dyDescent="0.25">
      <c r="A820" s="170">
        <v>43209</v>
      </c>
      <c r="B820" s="116">
        <v>1197</v>
      </c>
      <c r="C820" s="116">
        <v>1189.125</v>
      </c>
      <c r="D820" s="116">
        <v>1177.5</v>
      </c>
      <c r="E820" s="116">
        <v>1179.7750000000001</v>
      </c>
      <c r="F820" s="116">
        <v>2378.25</v>
      </c>
      <c r="G820">
        <v>732</v>
      </c>
      <c r="H820" s="116"/>
      <c r="I820" s="116"/>
      <c r="L820" s="170">
        <v>43209</v>
      </c>
      <c r="M820" s="116">
        <v>1192.9749999999999</v>
      </c>
      <c r="N820" s="116">
        <v>1197</v>
      </c>
      <c r="O820" s="116">
        <v>1178.2</v>
      </c>
      <c r="P820" s="116">
        <v>1178.2</v>
      </c>
      <c r="Q820" s="116">
        <v>2385.9499999999998</v>
      </c>
      <c r="R820">
        <v>6594</v>
      </c>
    </row>
    <row r="821" spans="1:18" x14ac:dyDescent="0.25">
      <c r="A821" s="170">
        <v>43210</v>
      </c>
      <c r="B821" s="116">
        <v>1224.625</v>
      </c>
      <c r="C821" s="116">
        <v>1216.45</v>
      </c>
      <c r="D821" s="116">
        <v>1183.5250000000001</v>
      </c>
      <c r="E821" s="116">
        <v>1184.5250000000001</v>
      </c>
      <c r="F821" s="116">
        <v>2432.9</v>
      </c>
      <c r="G821">
        <v>1580</v>
      </c>
      <c r="H821" s="116"/>
      <c r="I821" s="116"/>
      <c r="L821" s="170">
        <v>43210</v>
      </c>
      <c r="M821" s="116">
        <v>1215.55</v>
      </c>
      <c r="N821" s="116">
        <v>1225</v>
      </c>
      <c r="O821" s="116">
        <v>1183.925</v>
      </c>
      <c r="P821" s="116">
        <v>1190.25</v>
      </c>
      <c r="Q821" s="116">
        <v>2431.1</v>
      </c>
      <c r="R821">
        <v>13770</v>
      </c>
    </row>
    <row r="822" spans="1:18" x14ac:dyDescent="0.25">
      <c r="A822" s="170">
        <v>43213</v>
      </c>
      <c r="B822" s="116">
        <v>1220.95</v>
      </c>
      <c r="C822" s="116">
        <v>1210.075</v>
      </c>
      <c r="D822" s="116">
        <v>1204.5</v>
      </c>
      <c r="E822" s="116">
        <v>1216</v>
      </c>
      <c r="F822" s="116">
        <v>2420.15</v>
      </c>
      <c r="G822">
        <v>814</v>
      </c>
      <c r="H822" s="116"/>
      <c r="I822" s="116"/>
      <c r="L822" s="170">
        <v>43213</v>
      </c>
      <c r="M822" s="116">
        <v>1209.2750000000001</v>
      </c>
      <c r="N822" s="116">
        <v>1220.0250000000001</v>
      </c>
      <c r="O822" s="116">
        <v>1202.5</v>
      </c>
      <c r="P822" s="116">
        <v>1217.875</v>
      </c>
      <c r="Q822" s="116">
        <v>2418.5500000000002</v>
      </c>
      <c r="R822">
        <v>7848</v>
      </c>
    </row>
    <row r="823" spans="1:18" x14ac:dyDescent="0.25">
      <c r="A823" s="170">
        <v>43214</v>
      </c>
      <c r="B823" s="116">
        <v>1206</v>
      </c>
      <c r="C823" s="116">
        <v>1190.5</v>
      </c>
      <c r="D823" s="116">
        <v>1185</v>
      </c>
      <c r="E823" s="116">
        <v>1202.0250000000001</v>
      </c>
      <c r="F823" s="116">
        <v>2381</v>
      </c>
      <c r="G823">
        <v>1512</v>
      </c>
      <c r="H823" s="116"/>
      <c r="I823" s="116"/>
      <c r="L823" s="170">
        <v>43214</v>
      </c>
      <c r="M823" s="116">
        <v>1192.7249999999999</v>
      </c>
      <c r="N823" s="116">
        <v>1209.5</v>
      </c>
      <c r="O823" s="116">
        <v>1185.5</v>
      </c>
      <c r="P823" s="116">
        <v>1207.0999999999999</v>
      </c>
      <c r="Q823" s="116">
        <v>2385.4499999999998</v>
      </c>
      <c r="R823">
        <v>8291</v>
      </c>
    </row>
    <row r="824" spans="1:18" x14ac:dyDescent="0.25">
      <c r="A824" s="170">
        <v>43215</v>
      </c>
      <c r="B824" s="116">
        <v>1187.5250000000001</v>
      </c>
      <c r="C824" s="116">
        <v>1171.55</v>
      </c>
      <c r="D824" s="116">
        <v>1170</v>
      </c>
      <c r="E824" s="116">
        <v>1186</v>
      </c>
      <c r="F824" s="116">
        <v>2343.1</v>
      </c>
      <c r="G824">
        <v>665</v>
      </c>
      <c r="H824" s="116"/>
      <c r="I824" s="116"/>
      <c r="L824" s="170">
        <v>43215</v>
      </c>
      <c r="M824" s="116">
        <v>1175.325</v>
      </c>
      <c r="N824" s="116">
        <v>1189.825</v>
      </c>
      <c r="O824" s="116">
        <v>1167.875</v>
      </c>
      <c r="P824" s="116">
        <v>1189.825</v>
      </c>
      <c r="Q824" s="116">
        <v>2350.65</v>
      </c>
      <c r="R824">
        <v>6403</v>
      </c>
    </row>
    <row r="825" spans="1:18" x14ac:dyDescent="0.25">
      <c r="A825" s="170">
        <v>43216</v>
      </c>
      <c r="B825" s="116">
        <v>1170.0999999999999</v>
      </c>
      <c r="C825" s="116">
        <v>1162.05</v>
      </c>
      <c r="D825" s="116">
        <v>1151.5</v>
      </c>
      <c r="E825" s="116">
        <v>1170.0999999999999</v>
      </c>
      <c r="F825" s="116">
        <v>2324.1</v>
      </c>
      <c r="G825">
        <v>1294</v>
      </c>
      <c r="H825" s="116"/>
      <c r="I825" s="116"/>
      <c r="L825" s="170">
        <v>43216</v>
      </c>
      <c r="M825" s="116">
        <v>1166.675</v>
      </c>
      <c r="N825" s="116">
        <v>1172.5</v>
      </c>
      <c r="O825" s="116">
        <v>1155.05</v>
      </c>
      <c r="P825" s="116">
        <v>1172.5</v>
      </c>
      <c r="Q825" s="116">
        <v>2333.35</v>
      </c>
      <c r="R825">
        <v>8078</v>
      </c>
    </row>
    <row r="826" spans="1:18" x14ac:dyDescent="0.25">
      <c r="A826" s="170">
        <v>43217</v>
      </c>
      <c r="B826" s="116">
        <v>1173</v>
      </c>
      <c r="C826" s="116">
        <v>1163.875</v>
      </c>
      <c r="D826" s="116">
        <v>1156.0250000000001</v>
      </c>
      <c r="E826" s="116">
        <v>1170</v>
      </c>
      <c r="F826" s="116">
        <v>2327.75</v>
      </c>
      <c r="G826">
        <v>416</v>
      </c>
      <c r="H826" s="116"/>
      <c r="I826" s="116"/>
      <c r="L826" s="170">
        <v>43217</v>
      </c>
      <c r="M826" s="116">
        <v>1168.9749999999999</v>
      </c>
      <c r="N826" s="116">
        <v>1175.5</v>
      </c>
      <c r="O826" s="116">
        <v>1155.125</v>
      </c>
      <c r="P826" s="116">
        <v>1167.5250000000001</v>
      </c>
      <c r="Q826" s="116">
        <v>2337.9499999999998</v>
      </c>
      <c r="R826">
        <v>7623</v>
      </c>
    </row>
    <row r="827" spans="1:18" x14ac:dyDescent="0.25">
      <c r="A827" s="170">
        <v>43220</v>
      </c>
      <c r="B827" s="116">
        <v>1172.5</v>
      </c>
      <c r="C827" s="116">
        <v>1165.6500000000001</v>
      </c>
      <c r="D827" s="116">
        <v>1162.5</v>
      </c>
      <c r="E827" s="116">
        <v>1166.1500000000001</v>
      </c>
      <c r="F827" s="116">
        <v>2331.3000000000002</v>
      </c>
      <c r="G827">
        <v>462</v>
      </c>
      <c r="H827" s="116"/>
      <c r="I827" s="116"/>
      <c r="L827" s="170">
        <v>43220</v>
      </c>
      <c r="M827" s="116">
        <v>1171.8499999999999</v>
      </c>
      <c r="N827" s="116">
        <v>1175</v>
      </c>
      <c r="O827" s="116">
        <v>1162.05</v>
      </c>
      <c r="P827" s="116">
        <v>1167</v>
      </c>
      <c r="Q827" s="116">
        <v>2343.6999999999998</v>
      </c>
      <c r="R827">
        <v>5697</v>
      </c>
    </row>
    <row r="828" spans="1:18" x14ac:dyDescent="0.25">
      <c r="A828" s="170">
        <v>43222</v>
      </c>
      <c r="B828" s="116">
        <v>1194.9749999999999</v>
      </c>
      <c r="C828" s="116">
        <v>1168.425</v>
      </c>
      <c r="D828" s="116">
        <v>1164.55</v>
      </c>
      <c r="E828" s="116">
        <v>1194.9749999999999</v>
      </c>
      <c r="F828" s="116">
        <v>2336.85</v>
      </c>
      <c r="G828">
        <v>2221</v>
      </c>
      <c r="H828" s="116"/>
      <c r="I828" s="116"/>
      <c r="L828" s="170">
        <v>43222</v>
      </c>
      <c r="M828" s="116">
        <v>1170.2</v>
      </c>
      <c r="N828" s="116">
        <v>1175</v>
      </c>
      <c r="O828" s="116">
        <v>1160.5</v>
      </c>
      <c r="P828" s="116">
        <v>1160.5</v>
      </c>
      <c r="Q828" s="116">
        <v>2340.4</v>
      </c>
      <c r="R828">
        <v>6498</v>
      </c>
    </row>
    <row r="829" spans="1:18" x14ac:dyDescent="0.25">
      <c r="A829" s="170">
        <v>43223</v>
      </c>
      <c r="B829" s="116">
        <v>1179.5</v>
      </c>
      <c r="C829" s="116">
        <v>1172.2249999999999</v>
      </c>
      <c r="D829" s="116">
        <v>1152.5</v>
      </c>
      <c r="E829" s="116">
        <v>1171.95</v>
      </c>
      <c r="F829" s="116">
        <v>2344.4499999999998</v>
      </c>
      <c r="G829">
        <v>623</v>
      </c>
      <c r="H829" s="116"/>
      <c r="I829" s="116"/>
      <c r="L829" s="170">
        <v>43223</v>
      </c>
      <c r="M829" s="116">
        <v>1173.0999999999999</v>
      </c>
      <c r="N829" s="116">
        <v>1177.3499999999999</v>
      </c>
      <c r="O829" s="116">
        <v>1153.9749999999999</v>
      </c>
      <c r="P829" s="116">
        <v>1168.2750000000001</v>
      </c>
      <c r="Q829" s="116">
        <v>2346.1999999999998</v>
      </c>
      <c r="R829">
        <v>6441</v>
      </c>
    </row>
    <row r="830" spans="1:18" x14ac:dyDescent="0.25">
      <c r="A830" s="170">
        <v>43224</v>
      </c>
      <c r="B830" s="116">
        <v>1191.6500000000001</v>
      </c>
      <c r="C830" s="116">
        <v>1179.2750000000001</v>
      </c>
      <c r="D830" s="116">
        <v>1157.7750000000001</v>
      </c>
      <c r="E830" s="116">
        <v>1166.675</v>
      </c>
      <c r="F830" s="116">
        <v>2358.5500000000002</v>
      </c>
      <c r="G830">
        <v>678</v>
      </c>
      <c r="H830" s="116"/>
      <c r="I830" s="116"/>
      <c r="L830" s="170">
        <v>43224</v>
      </c>
      <c r="M830" s="116">
        <v>1178.625</v>
      </c>
      <c r="N830" s="116">
        <v>1195</v>
      </c>
      <c r="O830" s="116">
        <v>1156.375</v>
      </c>
      <c r="P830" s="116">
        <v>1172.2750000000001</v>
      </c>
      <c r="Q830" s="116">
        <v>2357.25</v>
      </c>
      <c r="R830">
        <v>10934</v>
      </c>
    </row>
    <row r="831" spans="1:18" x14ac:dyDescent="0.25">
      <c r="A831" s="170">
        <v>43227</v>
      </c>
      <c r="B831" s="116">
        <v>1175</v>
      </c>
      <c r="C831" s="116">
        <v>1166.45</v>
      </c>
      <c r="D831" s="116">
        <v>1135.875</v>
      </c>
      <c r="E831" s="116">
        <v>1175</v>
      </c>
      <c r="F831" s="116">
        <v>2332.9</v>
      </c>
      <c r="G831">
        <v>1360</v>
      </c>
      <c r="H831" s="116"/>
      <c r="I831" s="116"/>
      <c r="L831" s="170">
        <v>43227</v>
      </c>
      <c r="M831" s="116">
        <v>1166.3</v>
      </c>
      <c r="N831" s="116">
        <v>1191</v>
      </c>
      <c r="O831" s="116">
        <v>1154.55</v>
      </c>
      <c r="P831" s="116">
        <v>1191</v>
      </c>
      <c r="Q831" s="116">
        <v>2332.6</v>
      </c>
      <c r="R831">
        <v>11455</v>
      </c>
    </row>
    <row r="832" spans="1:18" x14ac:dyDescent="0.25">
      <c r="A832" s="170">
        <v>43228</v>
      </c>
      <c r="B832" s="116">
        <v>1180</v>
      </c>
      <c r="C832" s="116">
        <v>1173.425</v>
      </c>
      <c r="D832" s="116">
        <v>1150</v>
      </c>
      <c r="E832" s="116">
        <v>1154.5250000000001</v>
      </c>
      <c r="F832" s="116">
        <v>2346.85</v>
      </c>
      <c r="G832">
        <v>524</v>
      </c>
      <c r="H832" s="116"/>
      <c r="I832" s="116"/>
      <c r="L832" s="170">
        <v>43228</v>
      </c>
      <c r="M832" s="116">
        <v>1176.9000000000001</v>
      </c>
      <c r="N832" s="116">
        <v>1187.5</v>
      </c>
      <c r="O832" s="116">
        <v>1156.75</v>
      </c>
      <c r="P832" s="116">
        <v>1164.8499999999999</v>
      </c>
      <c r="Q832" s="116">
        <v>2353.8000000000002</v>
      </c>
      <c r="R832">
        <v>8580</v>
      </c>
    </row>
    <row r="833" spans="1:18" x14ac:dyDescent="0.25">
      <c r="A833" s="170">
        <v>43229</v>
      </c>
      <c r="B833" s="116">
        <v>1190</v>
      </c>
      <c r="C833" s="116">
        <v>1187.325</v>
      </c>
      <c r="D833" s="116">
        <v>1165.5250000000001</v>
      </c>
      <c r="E833" s="116">
        <v>1165.55</v>
      </c>
      <c r="F833" s="116">
        <v>2374.65</v>
      </c>
      <c r="G833">
        <v>553</v>
      </c>
      <c r="H833" s="116"/>
      <c r="I833" s="116"/>
      <c r="L833" s="170">
        <v>43229</v>
      </c>
      <c r="M833" s="116">
        <v>1189.625</v>
      </c>
      <c r="N833" s="116">
        <v>1197.5</v>
      </c>
      <c r="O833" s="116">
        <v>1163.675</v>
      </c>
      <c r="P833" s="116">
        <v>1176.9000000000001</v>
      </c>
      <c r="Q833" s="116">
        <v>2379.25</v>
      </c>
      <c r="R833">
        <v>7817</v>
      </c>
    </row>
    <row r="834" spans="1:18" x14ac:dyDescent="0.25">
      <c r="A834" s="170">
        <v>43230</v>
      </c>
      <c r="B834" s="116">
        <v>1204</v>
      </c>
      <c r="C834" s="116">
        <v>1197.175</v>
      </c>
      <c r="D834" s="116">
        <v>1181</v>
      </c>
      <c r="E834" s="116">
        <v>1185</v>
      </c>
      <c r="F834" s="116">
        <v>2394.35</v>
      </c>
      <c r="G834">
        <v>1839</v>
      </c>
      <c r="H834" s="116"/>
      <c r="I834" s="116"/>
      <c r="L834" s="170">
        <v>43230</v>
      </c>
      <c r="M834" s="116">
        <v>1201.8499999999999</v>
      </c>
      <c r="N834" s="116">
        <v>1208</v>
      </c>
      <c r="O834" s="116">
        <v>1177.5</v>
      </c>
      <c r="P834" s="116">
        <v>1192.5</v>
      </c>
      <c r="Q834" s="116">
        <v>2403.6999999999998</v>
      </c>
      <c r="R834">
        <v>10942</v>
      </c>
    </row>
    <row r="835" spans="1:18" x14ac:dyDescent="0.25">
      <c r="A835" s="170">
        <v>43231</v>
      </c>
      <c r="B835" s="116">
        <v>1211</v>
      </c>
      <c r="C835" s="116">
        <v>1206.25</v>
      </c>
      <c r="D835" s="116">
        <v>1181.825</v>
      </c>
      <c r="E835" s="116">
        <v>1197.5</v>
      </c>
      <c r="F835" s="116">
        <v>2412.5</v>
      </c>
      <c r="G835">
        <v>966</v>
      </c>
      <c r="H835" s="116"/>
      <c r="I835" s="116"/>
      <c r="L835" s="170">
        <v>43231</v>
      </c>
      <c r="M835" s="116">
        <v>1209.1500000000001</v>
      </c>
      <c r="N835" s="116">
        <v>1216.95</v>
      </c>
      <c r="O835" s="116">
        <v>1189</v>
      </c>
      <c r="P835" s="116">
        <v>1189</v>
      </c>
      <c r="Q835" s="116">
        <v>2418.3000000000002</v>
      </c>
      <c r="R835">
        <v>8711</v>
      </c>
    </row>
    <row r="836" spans="1:18" x14ac:dyDescent="0.25">
      <c r="A836" s="170">
        <v>43234</v>
      </c>
      <c r="B836" s="116">
        <v>1227.25</v>
      </c>
      <c r="C836" s="116">
        <v>1218.0999999999999</v>
      </c>
      <c r="D836" s="116">
        <v>1194.0250000000001</v>
      </c>
      <c r="E836" s="116">
        <v>1194.0250000000001</v>
      </c>
      <c r="F836" s="116">
        <v>2436.1999999999998</v>
      </c>
      <c r="G836">
        <v>1500</v>
      </c>
      <c r="H836" s="116"/>
      <c r="I836" s="116"/>
      <c r="L836" s="170">
        <v>43234</v>
      </c>
      <c r="M836" s="116">
        <v>1221.25</v>
      </c>
      <c r="N836" s="116">
        <v>1227.2</v>
      </c>
      <c r="O836" s="116">
        <v>1205</v>
      </c>
      <c r="P836" s="116">
        <v>1215</v>
      </c>
      <c r="Q836" s="116">
        <v>2442.5</v>
      </c>
      <c r="R836">
        <v>12095</v>
      </c>
    </row>
    <row r="837" spans="1:18" x14ac:dyDescent="0.25">
      <c r="A837" s="170">
        <v>43235</v>
      </c>
      <c r="B837" s="116">
        <v>1266</v>
      </c>
      <c r="C837" s="116">
        <v>1212.4000000000001</v>
      </c>
      <c r="D837" s="116">
        <v>1198</v>
      </c>
      <c r="E837" s="116">
        <v>1212.8</v>
      </c>
      <c r="F837" s="116">
        <v>2424.8000000000002</v>
      </c>
      <c r="G837">
        <v>2933</v>
      </c>
      <c r="H837" s="116"/>
      <c r="I837" s="116"/>
      <c r="L837" s="170">
        <v>43235</v>
      </c>
      <c r="M837" s="116">
        <v>1215.95</v>
      </c>
      <c r="N837" s="116">
        <v>1269.5</v>
      </c>
      <c r="O837" s="116">
        <v>1200</v>
      </c>
      <c r="P837" s="116">
        <v>1221.25</v>
      </c>
      <c r="Q837" s="116">
        <v>2431.9</v>
      </c>
      <c r="R837">
        <v>16536</v>
      </c>
    </row>
    <row r="838" spans="1:18" x14ac:dyDescent="0.25">
      <c r="A838" s="170">
        <v>43236</v>
      </c>
      <c r="B838" s="116">
        <v>1215.55</v>
      </c>
      <c r="C838" s="116">
        <v>1213.675</v>
      </c>
      <c r="D838" s="116">
        <v>1202.075</v>
      </c>
      <c r="E838" s="116">
        <v>1208</v>
      </c>
      <c r="F838" s="116">
        <v>2427.35</v>
      </c>
      <c r="G838">
        <v>759</v>
      </c>
      <c r="H838" s="116"/>
      <c r="I838" s="116"/>
      <c r="L838" s="170">
        <v>43236</v>
      </c>
      <c r="M838" s="116">
        <v>1212.5</v>
      </c>
      <c r="N838" s="116">
        <v>1220</v>
      </c>
      <c r="O838" s="116">
        <v>1200</v>
      </c>
      <c r="P838" s="116">
        <v>1214.5</v>
      </c>
      <c r="Q838" s="116">
        <v>2425</v>
      </c>
      <c r="R838">
        <v>11824</v>
      </c>
    </row>
    <row r="839" spans="1:18" x14ac:dyDescent="0.25">
      <c r="A839" s="170">
        <v>43237</v>
      </c>
      <c r="B839" s="116">
        <v>1211.0999999999999</v>
      </c>
      <c r="C839" s="116">
        <v>1201.075</v>
      </c>
      <c r="D839" s="116">
        <v>1195.075</v>
      </c>
      <c r="E839" s="116">
        <v>1207.55</v>
      </c>
      <c r="F839" s="116">
        <v>2402.15</v>
      </c>
      <c r="G839">
        <v>562</v>
      </c>
      <c r="H839" s="116"/>
      <c r="I839" s="116"/>
      <c r="L839" s="170">
        <v>43237</v>
      </c>
      <c r="M839" s="116">
        <v>1203.575</v>
      </c>
      <c r="N839" s="116">
        <v>1214</v>
      </c>
      <c r="O839" s="116">
        <v>1197.5</v>
      </c>
      <c r="P839" s="116">
        <v>1209.95</v>
      </c>
      <c r="Q839" s="116">
        <v>2407.15</v>
      </c>
      <c r="R839">
        <v>8129</v>
      </c>
    </row>
    <row r="840" spans="1:18" x14ac:dyDescent="0.25">
      <c r="A840" s="170">
        <v>43238</v>
      </c>
      <c r="B840" s="116">
        <v>1206.45</v>
      </c>
      <c r="C840" s="116">
        <v>1196.55</v>
      </c>
      <c r="D840" s="116">
        <v>1190</v>
      </c>
      <c r="E840" s="116">
        <v>1198.175</v>
      </c>
      <c r="F840" s="116">
        <v>2393.1</v>
      </c>
      <c r="G840">
        <v>245</v>
      </c>
      <c r="H840" s="116"/>
      <c r="I840" s="116"/>
      <c r="L840" s="170">
        <v>43238</v>
      </c>
      <c r="M840" s="116">
        <v>1199.075</v>
      </c>
      <c r="N840" s="116">
        <v>1204.9749999999999</v>
      </c>
      <c r="O840" s="116">
        <v>1188.7</v>
      </c>
      <c r="P840" s="116">
        <v>1199.9749999999999</v>
      </c>
      <c r="Q840" s="116">
        <v>2398.15</v>
      </c>
      <c r="R840">
        <v>6860</v>
      </c>
    </row>
    <row r="841" spans="1:18" x14ac:dyDescent="0.25">
      <c r="A841" s="170">
        <v>43241</v>
      </c>
      <c r="B841" s="116">
        <v>1200</v>
      </c>
      <c r="C841" s="116">
        <v>1184.0999999999999</v>
      </c>
      <c r="D841" s="116">
        <v>1170</v>
      </c>
      <c r="E841" s="116">
        <v>1194.4749999999999</v>
      </c>
      <c r="F841" s="116">
        <v>2368.1999999999998</v>
      </c>
      <c r="G841">
        <v>1140</v>
      </c>
      <c r="H841" s="116"/>
      <c r="I841" s="116"/>
      <c r="L841" s="170">
        <v>43241</v>
      </c>
      <c r="M841" s="116">
        <v>1188.3</v>
      </c>
      <c r="N841" s="116">
        <v>1222.5</v>
      </c>
      <c r="O841" s="116">
        <v>1170.1500000000001</v>
      </c>
      <c r="P841" s="116">
        <v>1180.25</v>
      </c>
      <c r="Q841" s="116">
        <v>2376.6</v>
      </c>
      <c r="R841">
        <v>8325</v>
      </c>
    </row>
    <row r="842" spans="1:18" x14ac:dyDescent="0.25">
      <c r="A842" s="170">
        <v>43242</v>
      </c>
      <c r="B842" s="116">
        <v>1218.4749999999999</v>
      </c>
      <c r="C842" s="116">
        <v>1207.125</v>
      </c>
      <c r="D842" s="116">
        <v>1179.05</v>
      </c>
      <c r="E842" s="116">
        <v>1185.55</v>
      </c>
      <c r="F842" s="116">
        <v>2414.25</v>
      </c>
      <c r="G842">
        <v>836</v>
      </c>
      <c r="H842" s="116"/>
      <c r="I842" s="116"/>
      <c r="L842" s="170">
        <v>43242</v>
      </c>
      <c r="M842" s="116">
        <v>1208.575</v>
      </c>
      <c r="N842" s="116">
        <v>1223.75</v>
      </c>
      <c r="O842" s="116">
        <v>1176.05</v>
      </c>
      <c r="P842" s="116">
        <v>1188.5</v>
      </c>
      <c r="Q842" s="116">
        <v>2417.15</v>
      </c>
      <c r="R842">
        <v>7412</v>
      </c>
    </row>
    <row r="843" spans="1:18" x14ac:dyDescent="0.25">
      <c r="A843" s="170">
        <v>43243</v>
      </c>
      <c r="B843" s="116">
        <v>1210</v>
      </c>
      <c r="C843" s="116">
        <v>1202.175</v>
      </c>
      <c r="D843" s="116">
        <v>1188.7750000000001</v>
      </c>
      <c r="E843" s="116">
        <v>1200</v>
      </c>
      <c r="F843" s="116">
        <v>2404.35</v>
      </c>
      <c r="G843">
        <v>1065</v>
      </c>
      <c r="H843" s="116"/>
      <c r="I843" s="116"/>
      <c r="L843" s="170">
        <v>43243</v>
      </c>
      <c r="M843" s="116">
        <v>1202.3499999999999</v>
      </c>
      <c r="N843" s="116">
        <v>1218.5</v>
      </c>
      <c r="O843" s="116">
        <v>1190.0250000000001</v>
      </c>
      <c r="P843" s="116">
        <v>1218.5</v>
      </c>
      <c r="Q843" s="116">
        <v>2404.6999999999998</v>
      </c>
      <c r="R843">
        <v>8317</v>
      </c>
    </row>
    <row r="844" spans="1:18" x14ac:dyDescent="0.25">
      <c r="A844" s="170">
        <v>43244</v>
      </c>
      <c r="B844" s="116">
        <v>1205.95</v>
      </c>
      <c r="C844" s="116">
        <v>1194.45</v>
      </c>
      <c r="D844" s="116">
        <v>1179.5</v>
      </c>
      <c r="E844" s="116">
        <v>1194.175</v>
      </c>
      <c r="F844" s="116">
        <v>2388.9</v>
      </c>
      <c r="G844">
        <v>523</v>
      </c>
      <c r="H844" s="116"/>
      <c r="I844" s="116"/>
      <c r="L844" s="170">
        <v>43244</v>
      </c>
      <c r="M844" s="116">
        <v>1193.675</v>
      </c>
      <c r="N844" s="116">
        <v>1206.8499999999999</v>
      </c>
      <c r="O844" s="116">
        <v>1181</v>
      </c>
      <c r="P844" s="116">
        <v>1200</v>
      </c>
      <c r="Q844" s="116">
        <v>2387.35</v>
      </c>
      <c r="R844">
        <v>4697</v>
      </c>
    </row>
    <row r="845" spans="1:18" x14ac:dyDescent="0.25">
      <c r="A845" s="170">
        <v>43245</v>
      </c>
      <c r="B845" s="116">
        <v>1184.9749999999999</v>
      </c>
      <c r="C845" s="116">
        <v>1175.375</v>
      </c>
      <c r="D845" s="116">
        <v>1165.55</v>
      </c>
      <c r="E845" s="116">
        <v>1175</v>
      </c>
      <c r="F845" s="116">
        <v>2350.75</v>
      </c>
      <c r="G845">
        <v>1078</v>
      </c>
      <c r="H845" s="116"/>
      <c r="I845" s="116"/>
      <c r="L845" s="170">
        <v>43245</v>
      </c>
      <c r="M845" s="116">
        <v>1180.45</v>
      </c>
      <c r="N845" s="116">
        <v>1189</v>
      </c>
      <c r="O845" s="116">
        <v>1163.175</v>
      </c>
      <c r="P845" s="116">
        <v>1180.0250000000001</v>
      </c>
      <c r="Q845" s="116">
        <v>2360.9</v>
      </c>
      <c r="R845">
        <v>10981</v>
      </c>
    </row>
    <row r="846" spans="1:18" x14ac:dyDescent="0.25">
      <c r="A846" s="170">
        <v>43248</v>
      </c>
      <c r="B846" s="116">
        <v>1207.7750000000001</v>
      </c>
      <c r="C846" s="116">
        <v>1197.2</v>
      </c>
      <c r="D846" s="116">
        <v>1167.5</v>
      </c>
      <c r="E846" s="116">
        <v>1182.5</v>
      </c>
      <c r="F846" s="116">
        <v>2394.4</v>
      </c>
      <c r="G846">
        <v>1162</v>
      </c>
      <c r="H846" s="116"/>
      <c r="I846" s="116"/>
      <c r="L846" s="170">
        <v>43248</v>
      </c>
      <c r="M846" s="116">
        <v>1200.95</v>
      </c>
      <c r="N846" s="116">
        <v>1210</v>
      </c>
      <c r="O846" s="116">
        <v>1170.5250000000001</v>
      </c>
      <c r="P846" s="116">
        <v>1173.875</v>
      </c>
      <c r="Q846" s="116">
        <v>2401.9</v>
      </c>
      <c r="R846">
        <v>8386</v>
      </c>
    </row>
    <row r="847" spans="1:18" x14ac:dyDescent="0.25">
      <c r="A847" s="170">
        <v>43249</v>
      </c>
      <c r="B847" s="116">
        <v>1212.5</v>
      </c>
      <c r="C847" s="116">
        <v>1202.4749999999999</v>
      </c>
      <c r="D847" s="116">
        <v>1179.5999999999999</v>
      </c>
      <c r="E847" s="116">
        <v>1195</v>
      </c>
      <c r="F847" s="116">
        <v>2404.9499999999998</v>
      </c>
      <c r="G847">
        <v>636</v>
      </c>
      <c r="H847" s="116"/>
      <c r="I847" s="116"/>
      <c r="L847" s="170">
        <v>43249</v>
      </c>
      <c r="M847" s="116">
        <v>1208.2</v>
      </c>
      <c r="N847" s="116">
        <v>1214.4749999999999</v>
      </c>
      <c r="O847" s="116">
        <v>1190</v>
      </c>
      <c r="P847" s="116">
        <v>1199</v>
      </c>
      <c r="Q847" s="116">
        <v>2416.4</v>
      </c>
      <c r="R847">
        <v>9028</v>
      </c>
    </row>
    <row r="848" spans="1:18" x14ac:dyDescent="0.25">
      <c r="A848" s="170">
        <v>43250</v>
      </c>
      <c r="B848" s="116">
        <v>1235.625</v>
      </c>
      <c r="C848" s="116">
        <v>1230.675</v>
      </c>
      <c r="D848" s="116">
        <v>1196.5</v>
      </c>
      <c r="E848" s="116">
        <v>1203.5</v>
      </c>
      <c r="F848" s="116">
        <v>2461.35</v>
      </c>
      <c r="G848">
        <v>2148</v>
      </c>
      <c r="H848" s="116"/>
      <c r="I848" s="116"/>
      <c r="L848" s="170">
        <v>43250</v>
      </c>
      <c r="M848" s="116">
        <v>1232</v>
      </c>
      <c r="N848" s="116">
        <v>1236.7</v>
      </c>
      <c r="O848" s="116">
        <v>1194.2249999999999</v>
      </c>
      <c r="P848" s="116">
        <v>1207</v>
      </c>
      <c r="Q848" s="116">
        <v>2464</v>
      </c>
      <c r="R848">
        <v>11204</v>
      </c>
    </row>
    <row r="849" spans="1:18" x14ac:dyDescent="0.25">
      <c r="A849" s="170">
        <v>43251</v>
      </c>
      <c r="B849" s="116">
        <v>1279.95</v>
      </c>
      <c r="C849" s="116">
        <v>1273.45</v>
      </c>
      <c r="D849" s="116">
        <v>1230.675</v>
      </c>
      <c r="E849" s="116">
        <v>1237.5</v>
      </c>
      <c r="F849" s="116">
        <v>2546.9</v>
      </c>
      <c r="G849">
        <v>1707</v>
      </c>
      <c r="H849" s="116"/>
      <c r="I849" s="116"/>
      <c r="L849" s="170">
        <v>43251</v>
      </c>
      <c r="M849" s="116">
        <v>1273.45</v>
      </c>
      <c r="N849" s="116">
        <v>1276.6500000000001</v>
      </c>
      <c r="O849" s="116">
        <v>1235.0250000000001</v>
      </c>
      <c r="P849" s="116">
        <v>1249</v>
      </c>
      <c r="Q849" s="116">
        <v>2546.9</v>
      </c>
      <c r="R849">
        <v>19902</v>
      </c>
    </row>
    <row r="850" spans="1:18" x14ac:dyDescent="0.25">
      <c r="A850" s="170">
        <v>43252</v>
      </c>
      <c r="B850" s="116">
        <v>1295.5</v>
      </c>
      <c r="C850" s="116">
        <v>1266.825</v>
      </c>
      <c r="D850" s="116">
        <v>1255.5</v>
      </c>
      <c r="E850" s="116">
        <v>1270</v>
      </c>
      <c r="F850" s="116">
        <v>2533.65</v>
      </c>
      <c r="G850">
        <v>183358</v>
      </c>
      <c r="H850" s="116"/>
      <c r="I850" s="116"/>
      <c r="L850" s="170">
        <v>43252</v>
      </c>
      <c r="M850" s="116">
        <v>1261.8</v>
      </c>
      <c r="N850" s="116">
        <v>1296.6500000000001</v>
      </c>
      <c r="O850" s="116">
        <v>1251.25</v>
      </c>
      <c r="P850" s="116">
        <v>1274.5</v>
      </c>
      <c r="Q850" s="116">
        <v>2523.6</v>
      </c>
      <c r="R850">
        <v>12837</v>
      </c>
    </row>
    <row r="851" spans="1:18" x14ac:dyDescent="0.25">
      <c r="A851" s="170">
        <v>43255</v>
      </c>
      <c r="B851" s="116">
        <v>1274.5</v>
      </c>
      <c r="C851" s="116">
        <v>1255.5999999999999</v>
      </c>
      <c r="D851" s="116">
        <v>1251</v>
      </c>
      <c r="E851" s="116">
        <v>1274.5</v>
      </c>
      <c r="F851" s="116">
        <v>2511.1999999999998</v>
      </c>
      <c r="G851">
        <v>640</v>
      </c>
      <c r="H851" s="116"/>
      <c r="I851" s="116"/>
      <c r="L851" s="170">
        <v>43255</v>
      </c>
      <c r="M851" s="116">
        <v>1260.25</v>
      </c>
      <c r="N851" s="116">
        <v>1269.9000000000001</v>
      </c>
      <c r="O851" s="116">
        <v>1251.375</v>
      </c>
      <c r="P851" s="116">
        <v>1269.9000000000001</v>
      </c>
      <c r="Q851" s="116">
        <v>2520.5</v>
      </c>
      <c r="R851">
        <v>7331</v>
      </c>
    </row>
    <row r="852" spans="1:18" x14ac:dyDescent="0.25">
      <c r="A852" s="170">
        <v>43256</v>
      </c>
      <c r="B852" s="116">
        <v>1267.5</v>
      </c>
      <c r="C852" s="116">
        <v>1262.3</v>
      </c>
      <c r="D852" s="116">
        <v>1255.7750000000001</v>
      </c>
      <c r="E852" s="116">
        <v>1262.5</v>
      </c>
      <c r="F852" s="116">
        <v>2524.6</v>
      </c>
      <c r="G852">
        <v>278</v>
      </c>
      <c r="H852" s="116"/>
      <c r="I852" s="116"/>
      <c r="L852" s="170">
        <v>43256</v>
      </c>
      <c r="M852" s="116">
        <v>1263.2249999999999</v>
      </c>
      <c r="N852" s="116">
        <v>1269.5</v>
      </c>
      <c r="O852" s="116">
        <v>1250.625</v>
      </c>
      <c r="P852" s="116">
        <v>1250.625</v>
      </c>
      <c r="Q852" s="116">
        <v>2526.4499999999998</v>
      </c>
      <c r="R852">
        <v>6271</v>
      </c>
    </row>
    <row r="853" spans="1:18" x14ac:dyDescent="0.25">
      <c r="A853" s="170">
        <v>43257</v>
      </c>
      <c r="B853" s="116">
        <v>1287.5</v>
      </c>
      <c r="C853" s="116">
        <v>1277.125</v>
      </c>
      <c r="D853" s="116">
        <v>1250</v>
      </c>
      <c r="E853" s="116">
        <v>1253.625</v>
      </c>
      <c r="F853" s="116">
        <v>2554.25</v>
      </c>
      <c r="G853">
        <v>2004</v>
      </c>
      <c r="H853" s="116"/>
      <c r="I853" s="116"/>
      <c r="L853" s="170">
        <v>43257</v>
      </c>
      <c r="M853" s="116">
        <v>1280.3499999999999</v>
      </c>
      <c r="N853" s="116">
        <v>1287.5</v>
      </c>
      <c r="O853" s="116">
        <v>1255</v>
      </c>
      <c r="P853" s="116">
        <v>1259.9000000000001</v>
      </c>
      <c r="Q853" s="116">
        <v>2560.6999999999998</v>
      </c>
      <c r="R853">
        <v>7471</v>
      </c>
    </row>
    <row r="854" spans="1:18" x14ac:dyDescent="0.25">
      <c r="A854" s="170">
        <v>43258</v>
      </c>
      <c r="B854" s="116">
        <v>1300</v>
      </c>
      <c r="C854" s="116">
        <v>1294.2</v>
      </c>
      <c r="D854" s="116">
        <v>1274.4000000000001</v>
      </c>
      <c r="E854" s="116">
        <v>1274.4000000000001</v>
      </c>
      <c r="F854" s="116">
        <v>2588.4</v>
      </c>
      <c r="G854">
        <v>689</v>
      </c>
      <c r="H854" s="116"/>
      <c r="I854" s="116"/>
      <c r="L854" s="170">
        <v>43258</v>
      </c>
      <c r="M854" s="116">
        <v>1294.125</v>
      </c>
      <c r="N854" s="116">
        <v>1300</v>
      </c>
      <c r="O854" s="116">
        <v>1272.95</v>
      </c>
      <c r="P854" s="116">
        <v>1285.3499999999999</v>
      </c>
      <c r="Q854" s="116">
        <v>2588.25</v>
      </c>
      <c r="R854">
        <v>9862</v>
      </c>
    </row>
    <row r="855" spans="1:18" x14ac:dyDescent="0.25">
      <c r="A855" s="170">
        <v>43259</v>
      </c>
      <c r="B855" s="116">
        <v>1315</v>
      </c>
      <c r="C855" s="116">
        <v>1311.1</v>
      </c>
      <c r="D855" s="116">
        <v>1291.125</v>
      </c>
      <c r="E855" s="116">
        <v>1291.125</v>
      </c>
      <c r="F855" s="116">
        <v>2622.2</v>
      </c>
      <c r="G855">
        <v>1603</v>
      </c>
      <c r="H855" s="116"/>
      <c r="I855" s="116"/>
      <c r="L855" s="170">
        <v>43259</v>
      </c>
      <c r="M855" s="116">
        <v>1314.95</v>
      </c>
      <c r="N855" s="116">
        <v>1320</v>
      </c>
      <c r="O855" s="116">
        <v>1281</v>
      </c>
      <c r="P855" s="116">
        <v>1289</v>
      </c>
      <c r="Q855" s="116">
        <v>2629.9</v>
      </c>
      <c r="R855">
        <v>12298</v>
      </c>
    </row>
    <row r="856" spans="1:18" x14ac:dyDescent="0.25">
      <c r="A856" s="170">
        <v>43262</v>
      </c>
      <c r="B856" s="116">
        <v>1336</v>
      </c>
      <c r="C856" s="116">
        <v>1330.2249999999999</v>
      </c>
      <c r="D856" s="116">
        <v>1295.5</v>
      </c>
      <c r="E856" s="116">
        <v>1320</v>
      </c>
      <c r="F856" s="116">
        <v>2660.45</v>
      </c>
      <c r="G856">
        <v>1406</v>
      </c>
      <c r="H856" s="116"/>
      <c r="I856" s="116"/>
      <c r="L856" s="170">
        <v>43262</v>
      </c>
      <c r="M856" s="116">
        <v>1330.55</v>
      </c>
      <c r="N856" s="116">
        <v>1337.5</v>
      </c>
      <c r="O856" s="116">
        <v>1300.5</v>
      </c>
      <c r="P856" s="116">
        <v>1315</v>
      </c>
      <c r="Q856" s="116">
        <v>2661.1</v>
      </c>
      <c r="R856">
        <v>12026</v>
      </c>
    </row>
    <row r="857" spans="1:18" x14ac:dyDescent="0.25">
      <c r="A857" s="170">
        <v>43263</v>
      </c>
      <c r="B857" s="116">
        <v>1360</v>
      </c>
      <c r="C857" s="116">
        <v>1348.9749999999999</v>
      </c>
      <c r="D857" s="116">
        <v>1315</v>
      </c>
      <c r="E857" s="116">
        <v>1315</v>
      </c>
      <c r="F857" s="116">
        <v>2697.95</v>
      </c>
      <c r="G857">
        <v>1731</v>
      </c>
      <c r="H857" s="116"/>
      <c r="I857" s="116"/>
      <c r="L857" s="170">
        <v>43263</v>
      </c>
      <c r="M857" s="116">
        <v>1350.375</v>
      </c>
      <c r="N857" s="116">
        <v>1357.5</v>
      </c>
      <c r="O857" s="116">
        <v>1320.35</v>
      </c>
      <c r="P857" s="116">
        <v>1332</v>
      </c>
      <c r="Q857" s="116">
        <v>2700.75</v>
      </c>
      <c r="R857">
        <v>17113</v>
      </c>
    </row>
    <row r="858" spans="1:18" x14ac:dyDescent="0.25">
      <c r="A858" s="170">
        <v>43264</v>
      </c>
      <c r="B858" s="116">
        <v>1417.5</v>
      </c>
      <c r="C858" s="116">
        <v>1404.35</v>
      </c>
      <c r="D858" s="116">
        <v>1343</v>
      </c>
      <c r="E858" s="116">
        <v>1350</v>
      </c>
      <c r="F858" s="116">
        <v>2808.7</v>
      </c>
      <c r="G858">
        <v>5762</v>
      </c>
      <c r="H858" s="116"/>
      <c r="I858" s="116"/>
      <c r="L858" s="170">
        <v>43264</v>
      </c>
      <c r="M858" s="116">
        <v>1401.75</v>
      </c>
      <c r="N858" s="116">
        <v>1413.5</v>
      </c>
      <c r="O858" s="116">
        <v>1340.8</v>
      </c>
      <c r="P858" s="116">
        <v>1351</v>
      </c>
      <c r="Q858" s="116">
        <v>2803.5</v>
      </c>
      <c r="R858">
        <v>59754</v>
      </c>
    </row>
    <row r="859" spans="1:18" x14ac:dyDescent="0.25">
      <c r="A859" s="170">
        <v>43265</v>
      </c>
      <c r="B859" s="116">
        <v>1419.7750000000001</v>
      </c>
      <c r="C859" s="116">
        <v>1381.625</v>
      </c>
      <c r="D859" s="116">
        <v>1370</v>
      </c>
      <c r="E859" s="116">
        <v>1417.375</v>
      </c>
      <c r="F859" s="116">
        <v>2763.25</v>
      </c>
      <c r="G859">
        <v>3487</v>
      </c>
      <c r="H859" s="116"/>
      <c r="I859" s="116"/>
      <c r="L859" s="170">
        <v>43265</v>
      </c>
      <c r="M859" s="116">
        <v>1385.425</v>
      </c>
      <c r="N859" s="116">
        <v>1421</v>
      </c>
      <c r="O859" s="116">
        <v>1367</v>
      </c>
      <c r="P859" s="116">
        <v>1405</v>
      </c>
      <c r="Q859" s="116">
        <v>2770.85</v>
      </c>
      <c r="R859">
        <v>33468</v>
      </c>
    </row>
    <row r="860" spans="1:18" x14ac:dyDescent="0.25">
      <c r="A860" s="170">
        <v>43266</v>
      </c>
      <c r="B860" s="116">
        <v>1402.3</v>
      </c>
      <c r="C860" s="116">
        <v>1372.3</v>
      </c>
      <c r="D860" s="116">
        <v>1366.575</v>
      </c>
      <c r="E860" s="116">
        <v>1382.5</v>
      </c>
      <c r="F860" s="116">
        <v>2744.6</v>
      </c>
      <c r="G860">
        <v>1286</v>
      </c>
      <c r="H860" s="116"/>
      <c r="I860" s="116"/>
      <c r="L860" s="170">
        <v>43266</v>
      </c>
      <c r="M860" s="116">
        <v>1374.15</v>
      </c>
      <c r="N860" s="116">
        <v>1404.6</v>
      </c>
      <c r="O860" s="116">
        <v>1370.5</v>
      </c>
      <c r="P860" s="116">
        <v>1385</v>
      </c>
      <c r="Q860" s="116">
        <v>2748.3</v>
      </c>
      <c r="R860">
        <v>25287</v>
      </c>
    </row>
    <row r="861" spans="1:18" x14ac:dyDescent="0.25">
      <c r="A861" s="170">
        <v>43269</v>
      </c>
      <c r="B861" s="116">
        <v>1415</v>
      </c>
      <c r="C861" s="116">
        <v>1400.375</v>
      </c>
      <c r="D861" s="116">
        <v>1370.05</v>
      </c>
      <c r="E861" s="116">
        <v>1372.5250000000001</v>
      </c>
      <c r="F861" s="116">
        <v>2800.75</v>
      </c>
      <c r="G861">
        <v>1435</v>
      </c>
      <c r="H861" s="116"/>
      <c r="I861" s="116"/>
      <c r="L861" s="170">
        <v>43269</v>
      </c>
      <c r="M861" s="116">
        <v>1402.55</v>
      </c>
      <c r="N861" s="116">
        <v>1416.7</v>
      </c>
      <c r="O861" s="116">
        <v>1370.575</v>
      </c>
      <c r="P861" s="116">
        <v>1375</v>
      </c>
      <c r="Q861" s="116">
        <v>2805.1</v>
      </c>
      <c r="R861">
        <v>22532</v>
      </c>
    </row>
    <row r="862" spans="1:18" x14ac:dyDescent="0.25">
      <c r="A862" s="170">
        <v>43270</v>
      </c>
      <c r="B862" s="116">
        <v>1415</v>
      </c>
      <c r="C862" s="116">
        <v>1396.425</v>
      </c>
      <c r="D862" s="116">
        <v>1389.875</v>
      </c>
      <c r="E862" s="116">
        <v>1389.875</v>
      </c>
      <c r="F862" s="116">
        <v>2792.85</v>
      </c>
      <c r="G862">
        <v>1044</v>
      </c>
      <c r="H862" s="116"/>
      <c r="I862" s="116"/>
      <c r="L862" s="170">
        <v>43270</v>
      </c>
      <c r="M862" s="116">
        <v>1400.85</v>
      </c>
      <c r="N862" s="116">
        <v>1415</v>
      </c>
      <c r="O862" s="116">
        <v>1388.65</v>
      </c>
      <c r="P862" s="116">
        <v>1400.575</v>
      </c>
      <c r="Q862" s="116">
        <v>2801.7</v>
      </c>
      <c r="R862">
        <v>14206</v>
      </c>
    </row>
    <row r="863" spans="1:18" x14ac:dyDescent="0.25">
      <c r="A863" s="170">
        <v>43271</v>
      </c>
      <c r="B863" s="116">
        <v>1432.2</v>
      </c>
      <c r="C863" s="116">
        <v>1407.65</v>
      </c>
      <c r="D863" s="116">
        <v>1395.8</v>
      </c>
      <c r="E863" s="116">
        <v>1400.1</v>
      </c>
      <c r="F863" s="116">
        <v>2815.3</v>
      </c>
      <c r="G863">
        <v>2030</v>
      </c>
      <c r="H863" s="116"/>
      <c r="I863" s="116"/>
      <c r="L863" s="170">
        <v>43271</v>
      </c>
      <c r="M863" s="116">
        <v>1406.35</v>
      </c>
      <c r="N863" s="116">
        <v>1435</v>
      </c>
      <c r="O863" s="116">
        <v>1392.5</v>
      </c>
      <c r="P863" s="116">
        <v>1400.05</v>
      </c>
      <c r="Q863" s="116">
        <v>2812.7</v>
      </c>
      <c r="R863">
        <v>25344</v>
      </c>
    </row>
    <row r="864" spans="1:18" x14ac:dyDescent="0.25">
      <c r="A864" s="170">
        <v>43272</v>
      </c>
      <c r="B864" s="116">
        <v>1409</v>
      </c>
      <c r="C864" s="116">
        <v>1390.8</v>
      </c>
      <c r="D864" s="116">
        <v>1385.0250000000001</v>
      </c>
      <c r="E864" s="116">
        <v>1407.375</v>
      </c>
      <c r="F864" s="116">
        <v>2781.6</v>
      </c>
      <c r="G864">
        <v>940</v>
      </c>
      <c r="H864" s="116"/>
      <c r="I864" s="116"/>
      <c r="L864" s="170">
        <v>43272</v>
      </c>
      <c r="M864" s="116">
        <v>1392.925</v>
      </c>
      <c r="N864" s="116">
        <v>1409.9749999999999</v>
      </c>
      <c r="O864" s="116">
        <v>1386.5250000000001</v>
      </c>
      <c r="P864" s="116">
        <v>1406.5</v>
      </c>
      <c r="Q864" s="116">
        <v>2785.85</v>
      </c>
      <c r="R864">
        <v>7526</v>
      </c>
    </row>
    <row r="865" spans="1:18" x14ac:dyDescent="0.25">
      <c r="A865" s="170">
        <v>43273</v>
      </c>
      <c r="B865" s="116">
        <v>1412.925</v>
      </c>
      <c r="C865" s="116">
        <v>1400.5</v>
      </c>
      <c r="D865" s="116">
        <v>1379.9749999999999</v>
      </c>
      <c r="E865" s="116">
        <v>1391</v>
      </c>
      <c r="F865" s="116">
        <v>2801</v>
      </c>
      <c r="G865">
        <v>516</v>
      </c>
      <c r="H865" s="116"/>
      <c r="I865" s="116"/>
      <c r="L865" s="170">
        <v>43273</v>
      </c>
      <c r="M865" s="116">
        <v>1404.45</v>
      </c>
      <c r="N865" s="116">
        <v>1417</v>
      </c>
      <c r="O865" s="116">
        <v>1375.5</v>
      </c>
      <c r="P865" s="116">
        <v>1390.9749999999999</v>
      </c>
      <c r="Q865" s="116">
        <v>2808.9</v>
      </c>
      <c r="R865">
        <v>16373</v>
      </c>
    </row>
    <row r="866" spans="1:18" x14ac:dyDescent="0.25">
      <c r="A866" s="170">
        <v>43276</v>
      </c>
      <c r="B866" s="116">
        <v>1407.5</v>
      </c>
      <c r="C866" s="116">
        <v>1388.375</v>
      </c>
      <c r="D866" s="116">
        <v>1385</v>
      </c>
      <c r="E866" s="116">
        <v>1400</v>
      </c>
      <c r="F866" s="116">
        <v>2776.75</v>
      </c>
      <c r="G866">
        <v>261</v>
      </c>
      <c r="H866" s="116"/>
      <c r="I866" s="116"/>
      <c r="L866" s="170">
        <v>43276</v>
      </c>
      <c r="M866" s="116">
        <v>1393.125</v>
      </c>
      <c r="N866" s="116">
        <v>1415</v>
      </c>
      <c r="O866" s="116">
        <v>1385</v>
      </c>
      <c r="P866" s="116">
        <v>1404</v>
      </c>
      <c r="Q866" s="116">
        <v>2786.25</v>
      </c>
      <c r="R866">
        <v>8799</v>
      </c>
    </row>
    <row r="867" spans="1:18" x14ac:dyDescent="0.25">
      <c r="A867" s="170">
        <v>43277</v>
      </c>
      <c r="B867" s="116">
        <v>1428.4749999999999</v>
      </c>
      <c r="C867" s="116">
        <v>1421</v>
      </c>
      <c r="D867" s="116">
        <v>1387.5</v>
      </c>
      <c r="E867" s="116">
        <v>1387.5</v>
      </c>
      <c r="F867" s="116">
        <v>2842</v>
      </c>
      <c r="G867">
        <v>1142</v>
      </c>
      <c r="H867" s="116"/>
      <c r="I867" s="116"/>
      <c r="L867" s="170">
        <v>43277</v>
      </c>
      <c r="M867" s="116">
        <v>1422.325</v>
      </c>
      <c r="N867" s="116">
        <v>1429.9749999999999</v>
      </c>
      <c r="O867" s="116">
        <v>1385</v>
      </c>
      <c r="P867" s="116">
        <v>1392.5</v>
      </c>
      <c r="Q867" s="116">
        <v>2844.65</v>
      </c>
      <c r="R867">
        <v>16236</v>
      </c>
    </row>
    <row r="868" spans="1:18" x14ac:dyDescent="0.25">
      <c r="A868" s="170">
        <v>43278</v>
      </c>
      <c r="B868" s="116">
        <v>1424</v>
      </c>
      <c r="C868" s="116">
        <v>1397.625</v>
      </c>
      <c r="D868" s="116">
        <v>1388.55</v>
      </c>
      <c r="E868" s="116">
        <v>1422.5</v>
      </c>
      <c r="F868" s="116">
        <v>2795.25</v>
      </c>
      <c r="G868">
        <v>3083</v>
      </c>
      <c r="H868" s="116"/>
      <c r="I868" s="116"/>
      <c r="L868" s="170">
        <v>43278</v>
      </c>
      <c r="M868" s="116">
        <v>1400.875</v>
      </c>
      <c r="N868" s="116">
        <v>1422.5</v>
      </c>
      <c r="O868" s="116">
        <v>1392.5</v>
      </c>
      <c r="P868" s="116">
        <v>1418.5</v>
      </c>
      <c r="Q868" s="116">
        <v>2801.75</v>
      </c>
      <c r="R868">
        <v>16617</v>
      </c>
    </row>
    <row r="869" spans="1:18" x14ac:dyDescent="0.25">
      <c r="A869" s="170">
        <v>43279</v>
      </c>
      <c r="B869" s="116">
        <v>1402</v>
      </c>
      <c r="C869" s="116">
        <v>1390.45</v>
      </c>
      <c r="D869" s="116">
        <v>1380.0250000000001</v>
      </c>
      <c r="E869" s="116">
        <v>1383.5</v>
      </c>
      <c r="F869" s="116">
        <v>2780.9</v>
      </c>
      <c r="G869">
        <v>838</v>
      </c>
      <c r="H869" s="116"/>
      <c r="I869" s="116"/>
      <c r="L869" s="170">
        <v>43279</v>
      </c>
      <c r="M869" s="116">
        <v>1386.125</v>
      </c>
      <c r="N869" s="116">
        <v>1402</v>
      </c>
      <c r="O869" s="116">
        <v>1380</v>
      </c>
      <c r="P869" s="116">
        <v>1388</v>
      </c>
      <c r="Q869" s="116">
        <v>2772.25</v>
      </c>
      <c r="R869">
        <v>8752</v>
      </c>
    </row>
    <row r="870" spans="1:18" x14ac:dyDescent="0.25">
      <c r="A870" s="170">
        <v>43280</v>
      </c>
      <c r="B870" s="116">
        <v>1412.5</v>
      </c>
      <c r="C870" s="116">
        <v>1403.05</v>
      </c>
      <c r="D870" s="116">
        <v>1387</v>
      </c>
      <c r="E870" s="116">
        <v>1396.55</v>
      </c>
      <c r="F870" s="116">
        <v>2806.1</v>
      </c>
      <c r="G870">
        <v>445</v>
      </c>
      <c r="H870" s="116"/>
      <c r="I870" s="116"/>
      <c r="L870" s="170">
        <v>43280</v>
      </c>
      <c r="M870" s="116">
        <v>1398.2249999999999</v>
      </c>
      <c r="N870" s="116">
        <v>1412.4</v>
      </c>
      <c r="O870" s="116">
        <v>1385</v>
      </c>
      <c r="P870" s="116">
        <v>1387.175</v>
      </c>
      <c r="Q870" s="116">
        <v>2796.45</v>
      </c>
      <c r="R870">
        <v>13465</v>
      </c>
    </row>
    <row r="871" spans="1:18" x14ac:dyDescent="0.25">
      <c r="A871" s="170">
        <v>43283</v>
      </c>
      <c r="B871" s="116">
        <v>1414</v>
      </c>
      <c r="C871" s="116">
        <v>1408.575</v>
      </c>
      <c r="D871" s="116">
        <v>1385.5250000000001</v>
      </c>
      <c r="E871" s="116">
        <v>1414</v>
      </c>
      <c r="F871" s="116">
        <v>2817.15</v>
      </c>
      <c r="G871">
        <v>678</v>
      </c>
      <c r="H871" s="116"/>
      <c r="I871" s="116"/>
      <c r="L871" s="170">
        <v>43283</v>
      </c>
      <c r="M871" s="116">
        <v>1402.85</v>
      </c>
      <c r="N871" s="116">
        <v>1412.5</v>
      </c>
      <c r="O871" s="116">
        <v>1382.5</v>
      </c>
      <c r="P871" s="116">
        <v>1410</v>
      </c>
      <c r="Q871" s="116">
        <v>2805.7</v>
      </c>
      <c r="R871">
        <v>10541</v>
      </c>
    </row>
    <row r="872" spans="1:18" x14ac:dyDescent="0.25">
      <c r="A872" s="170">
        <v>43284</v>
      </c>
      <c r="B872" s="116">
        <v>1421</v>
      </c>
      <c r="C872" s="116">
        <v>1417.625</v>
      </c>
      <c r="D872" s="116">
        <v>1387.5</v>
      </c>
      <c r="E872" s="116">
        <v>1405</v>
      </c>
      <c r="F872" s="116">
        <v>2835.25</v>
      </c>
      <c r="G872">
        <v>2334</v>
      </c>
      <c r="H872" s="116"/>
      <c r="I872" s="116"/>
      <c r="L872" s="170">
        <v>43284</v>
      </c>
      <c r="M872" s="116">
        <v>1417.2249999999999</v>
      </c>
      <c r="N872" s="116">
        <v>1424</v>
      </c>
      <c r="O872" s="116">
        <v>1390.95</v>
      </c>
      <c r="P872" s="116">
        <v>1397.5</v>
      </c>
      <c r="Q872" s="116">
        <v>2834.45</v>
      </c>
      <c r="R872">
        <v>10964</v>
      </c>
    </row>
    <row r="873" spans="1:18" x14ac:dyDescent="0.25">
      <c r="A873" s="170">
        <v>43285</v>
      </c>
      <c r="B873" s="116">
        <v>1495</v>
      </c>
      <c r="C873" s="116">
        <v>1455.5</v>
      </c>
      <c r="D873" s="116">
        <v>1423.5</v>
      </c>
      <c r="E873" s="116">
        <v>1424.8</v>
      </c>
      <c r="F873" s="116">
        <v>2911</v>
      </c>
      <c r="G873">
        <v>10041</v>
      </c>
      <c r="H873" s="116"/>
      <c r="I873" s="116"/>
      <c r="L873" s="170">
        <v>43285</v>
      </c>
      <c r="M873" s="116">
        <v>1451.05</v>
      </c>
      <c r="N873" s="116">
        <v>1497.45</v>
      </c>
      <c r="O873" s="116">
        <v>1417</v>
      </c>
      <c r="P873" s="116">
        <v>1428.9</v>
      </c>
      <c r="Q873" s="116">
        <v>2902.1</v>
      </c>
      <c r="R873">
        <v>77516</v>
      </c>
    </row>
    <row r="874" spans="1:18" x14ac:dyDescent="0.25">
      <c r="A874" s="170">
        <v>43286</v>
      </c>
      <c r="B874" s="116">
        <v>1463.05</v>
      </c>
      <c r="C874" s="116">
        <v>1440.075</v>
      </c>
      <c r="D874" s="116">
        <v>1433.9</v>
      </c>
      <c r="E874" s="116">
        <v>1454.5</v>
      </c>
      <c r="F874" s="116">
        <v>2880.15</v>
      </c>
      <c r="G874">
        <v>1532</v>
      </c>
      <c r="H874" s="116"/>
      <c r="I874" s="116"/>
      <c r="L874" s="170">
        <v>43286</v>
      </c>
      <c r="M874" s="116">
        <v>1440.375</v>
      </c>
      <c r="N874" s="116">
        <v>1462.5</v>
      </c>
      <c r="O874" s="116">
        <v>1435.05</v>
      </c>
      <c r="P874" s="116">
        <v>1456.5</v>
      </c>
      <c r="Q874" s="116">
        <v>2880.75</v>
      </c>
      <c r="R874">
        <v>15568</v>
      </c>
    </row>
    <row r="875" spans="1:18" x14ac:dyDescent="0.25">
      <c r="A875" s="170">
        <v>43287</v>
      </c>
      <c r="B875" s="116">
        <v>1454.7</v>
      </c>
      <c r="C875" s="116">
        <v>1427.95</v>
      </c>
      <c r="D875" s="116">
        <v>1424</v>
      </c>
      <c r="E875" s="116">
        <v>1440</v>
      </c>
      <c r="F875" s="116">
        <v>2855.9</v>
      </c>
      <c r="G875">
        <v>1520</v>
      </c>
      <c r="H875" s="116"/>
      <c r="I875" s="116"/>
      <c r="L875" s="170">
        <v>43287</v>
      </c>
      <c r="M875" s="116">
        <v>1432.4749999999999</v>
      </c>
      <c r="N875" s="116">
        <v>1449.45</v>
      </c>
      <c r="O875" s="116">
        <v>1426.375</v>
      </c>
      <c r="P875" s="116">
        <v>1446.5</v>
      </c>
      <c r="Q875" s="116">
        <v>2864.95</v>
      </c>
      <c r="R875">
        <v>10739</v>
      </c>
    </row>
    <row r="876" spans="1:18" x14ac:dyDescent="0.25">
      <c r="A876" s="170">
        <v>43290</v>
      </c>
      <c r="B876" s="116">
        <v>1450</v>
      </c>
      <c r="C876" s="116">
        <v>1436.575</v>
      </c>
      <c r="D876" s="116">
        <v>1430</v>
      </c>
      <c r="E876" s="116">
        <v>1432.5</v>
      </c>
      <c r="F876" s="116">
        <v>2873.15</v>
      </c>
      <c r="G876">
        <v>1379</v>
      </c>
      <c r="H876" s="116"/>
      <c r="I876" s="116"/>
      <c r="L876" s="170">
        <v>43290</v>
      </c>
      <c r="M876" s="116">
        <v>1432.4</v>
      </c>
      <c r="N876" s="116">
        <v>1449.5</v>
      </c>
      <c r="O876" s="116">
        <v>1426.15</v>
      </c>
      <c r="P876" s="116">
        <v>1437.5</v>
      </c>
      <c r="Q876" s="116">
        <v>2864.8</v>
      </c>
      <c r="R876">
        <v>7273</v>
      </c>
    </row>
    <row r="877" spans="1:18" x14ac:dyDescent="0.25">
      <c r="A877" s="170">
        <v>43291</v>
      </c>
      <c r="B877" s="116">
        <v>1450</v>
      </c>
      <c r="C877" s="116">
        <v>1429.325</v>
      </c>
      <c r="D877" s="116">
        <v>1422.5</v>
      </c>
      <c r="E877" s="116">
        <v>1431.325</v>
      </c>
      <c r="F877" s="116">
        <v>2858.65</v>
      </c>
      <c r="G877">
        <v>2308</v>
      </c>
      <c r="H877" s="116"/>
      <c r="I877" s="116"/>
      <c r="L877" s="170">
        <v>43291</v>
      </c>
      <c r="M877" s="116">
        <v>1432.325</v>
      </c>
      <c r="N877" s="116">
        <v>1441.8</v>
      </c>
      <c r="O877" s="116">
        <v>1420.9749999999999</v>
      </c>
      <c r="P877" s="116">
        <v>1441.8</v>
      </c>
      <c r="Q877" s="116">
        <v>2864.65</v>
      </c>
      <c r="R877">
        <v>10307</v>
      </c>
    </row>
    <row r="878" spans="1:18" x14ac:dyDescent="0.25">
      <c r="A878" s="170">
        <v>43292</v>
      </c>
      <c r="B878" s="116">
        <v>1430.05</v>
      </c>
      <c r="C878" s="116">
        <v>1418.7249999999999</v>
      </c>
      <c r="D878" s="116">
        <v>1410</v>
      </c>
      <c r="E878" s="116">
        <v>1429.5</v>
      </c>
      <c r="F878" s="116">
        <v>2837.45</v>
      </c>
      <c r="G878">
        <v>855</v>
      </c>
      <c r="H878" s="116"/>
      <c r="I878" s="116"/>
      <c r="L878" s="170">
        <v>43292</v>
      </c>
      <c r="M878" s="116">
        <v>1419.25</v>
      </c>
      <c r="N878" s="116">
        <v>1433.95</v>
      </c>
      <c r="O878" s="116">
        <v>1407.5</v>
      </c>
      <c r="P878" s="116">
        <v>1425.0250000000001</v>
      </c>
      <c r="Q878" s="116">
        <v>2838.5</v>
      </c>
      <c r="R878">
        <v>7891</v>
      </c>
    </row>
    <row r="879" spans="1:18" x14ac:dyDescent="0.25">
      <c r="A879" s="170">
        <v>43293</v>
      </c>
      <c r="B879" s="116">
        <v>1427.25</v>
      </c>
      <c r="C879" s="116">
        <v>1421.25</v>
      </c>
      <c r="D879" s="116">
        <v>1409.7750000000001</v>
      </c>
      <c r="E879" s="116">
        <v>1425</v>
      </c>
      <c r="F879" s="116">
        <v>2842.5</v>
      </c>
      <c r="G879">
        <v>738</v>
      </c>
      <c r="H879" s="116"/>
      <c r="I879" s="116"/>
      <c r="L879" s="170">
        <v>43293</v>
      </c>
      <c r="M879" s="116">
        <v>1422.75</v>
      </c>
      <c r="N879" s="116">
        <v>1429.2750000000001</v>
      </c>
      <c r="O879" s="116">
        <v>1410.5</v>
      </c>
      <c r="P879" s="116">
        <v>1425</v>
      </c>
      <c r="Q879" s="116">
        <v>2845.5</v>
      </c>
      <c r="R879">
        <v>7974</v>
      </c>
    </row>
    <row r="880" spans="1:18" x14ac:dyDescent="0.25">
      <c r="A880" s="170">
        <v>43294</v>
      </c>
      <c r="B880" s="116">
        <v>1425</v>
      </c>
      <c r="C880" s="116">
        <v>1418.925</v>
      </c>
      <c r="D880" s="116">
        <v>1402.575</v>
      </c>
      <c r="E880" s="116">
        <v>1422.075</v>
      </c>
      <c r="F880" s="116">
        <v>2837.85</v>
      </c>
      <c r="G880">
        <v>398</v>
      </c>
      <c r="H880" s="116"/>
      <c r="I880" s="116"/>
      <c r="L880" s="170">
        <v>43294</v>
      </c>
      <c r="M880" s="116">
        <v>1423.5250000000001</v>
      </c>
      <c r="N880" s="116">
        <v>1429.25</v>
      </c>
      <c r="O880" s="116">
        <v>1400.125</v>
      </c>
      <c r="P880" s="116">
        <v>1415.1</v>
      </c>
      <c r="Q880" s="116">
        <v>2847.05</v>
      </c>
      <c r="R880">
        <v>8933</v>
      </c>
    </row>
    <row r="881" spans="1:18" x14ac:dyDescent="0.25">
      <c r="A881" s="170">
        <v>43297</v>
      </c>
      <c r="B881" s="116">
        <v>1425</v>
      </c>
      <c r="C881" s="116">
        <v>1407.6</v>
      </c>
      <c r="D881" s="116">
        <v>1400</v>
      </c>
      <c r="E881" s="116">
        <v>1425</v>
      </c>
      <c r="F881" s="116">
        <v>2815.2</v>
      </c>
      <c r="G881">
        <v>983</v>
      </c>
      <c r="H881" s="116"/>
      <c r="I881" s="116"/>
      <c r="L881" s="170">
        <v>43297</v>
      </c>
      <c r="M881" s="116">
        <v>1410.3</v>
      </c>
      <c r="N881" s="116">
        <v>1421.8</v>
      </c>
      <c r="O881" s="116">
        <v>1402.5</v>
      </c>
      <c r="P881" s="116">
        <v>1410.175</v>
      </c>
      <c r="Q881" s="116">
        <v>2820.6</v>
      </c>
      <c r="R881">
        <v>8194</v>
      </c>
    </row>
    <row r="882" spans="1:18" x14ac:dyDescent="0.25">
      <c r="A882" s="170">
        <v>43298</v>
      </c>
      <c r="B882" s="116">
        <v>1427.5</v>
      </c>
      <c r="C882" s="116">
        <v>1419.4</v>
      </c>
      <c r="D882" s="116">
        <v>1402.625</v>
      </c>
      <c r="E882" s="116">
        <v>1410.5</v>
      </c>
      <c r="F882" s="116">
        <v>2838.8</v>
      </c>
      <c r="G882">
        <v>1674</v>
      </c>
      <c r="H882" s="116"/>
      <c r="I882" s="116"/>
      <c r="L882" s="170">
        <v>43298</v>
      </c>
      <c r="M882" s="116">
        <v>1416</v>
      </c>
      <c r="N882" s="116">
        <v>1447.9749999999999</v>
      </c>
      <c r="O882" s="116">
        <v>1399.925</v>
      </c>
      <c r="P882" s="116">
        <v>1410.05</v>
      </c>
      <c r="Q882" s="116">
        <v>2832</v>
      </c>
      <c r="R882">
        <v>15246</v>
      </c>
    </row>
    <row r="883" spans="1:18" x14ac:dyDescent="0.25">
      <c r="A883" s="170">
        <v>43299</v>
      </c>
      <c r="B883" s="116">
        <v>1427.5</v>
      </c>
      <c r="C883" s="116">
        <v>1391.9</v>
      </c>
      <c r="D883" s="116">
        <v>1384.35</v>
      </c>
      <c r="E883" s="116">
        <v>1417.5</v>
      </c>
      <c r="F883" s="116">
        <v>2783.8</v>
      </c>
      <c r="G883">
        <v>1231</v>
      </c>
      <c r="H883" s="116"/>
      <c r="I883" s="116"/>
      <c r="L883" s="170">
        <v>43299</v>
      </c>
      <c r="M883" s="116">
        <v>1391.65</v>
      </c>
      <c r="N883" s="116">
        <v>1429.925</v>
      </c>
      <c r="O883" s="116">
        <v>1382.5</v>
      </c>
      <c r="P883" s="116">
        <v>1411</v>
      </c>
      <c r="Q883" s="116">
        <v>2783.3</v>
      </c>
      <c r="R883">
        <v>13931</v>
      </c>
    </row>
    <row r="884" spans="1:18" x14ac:dyDescent="0.25">
      <c r="A884" s="170">
        <v>43300</v>
      </c>
      <c r="B884" s="116">
        <v>1394</v>
      </c>
      <c r="C884" s="116">
        <v>1381.825</v>
      </c>
      <c r="D884" s="116">
        <v>1373.2750000000001</v>
      </c>
      <c r="E884" s="116">
        <v>1383.7750000000001</v>
      </c>
      <c r="F884" s="116">
        <v>2763.65</v>
      </c>
      <c r="G884">
        <v>950</v>
      </c>
      <c r="H884" s="116"/>
      <c r="I884" s="116"/>
      <c r="L884" s="170">
        <v>43300</v>
      </c>
      <c r="M884" s="116">
        <v>1385.325</v>
      </c>
      <c r="N884" s="116">
        <v>1396.4749999999999</v>
      </c>
      <c r="O884" s="116">
        <v>1375</v>
      </c>
      <c r="P884" s="116">
        <v>1392</v>
      </c>
      <c r="Q884" s="116">
        <v>2770.65</v>
      </c>
      <c r="R884">
        <v>7878</v>
      </c>
    </row>
    <row r="885" spans="1:18" x14ac:dyDescent="0.25">
      <c r="A885" s="170">
        <v>43301</v>
      </c>
      <c r="B885" s="116">
        <v>1389</v>
      </c>
      <c r="C885" s="116">
        <v>1383.9</v>
      </c>
      <c r="D885" s="116">
        <v>1371.175</v>
      </c>
      <c r="E885" s="116">
        <v>1371.65</v>
      </c>
      <c r="F885" s="116">
        <v>2767.8</v>
      </c>
      <c r="G885">
        <v>675</v>
      </c>
      <c r="H885" s="116"/>
      <c r="I885" s="116"/>
      <c r="L885" s="170">
        <v>43301</v>
      </c>
      <c r="M885" s="116">
        <v>1384.575</v>
      </c>
      <c r="N885" s="116">
        <v>1387.5</v>
      </c>
      <c r="O885" s="116">
        <v>1366</v>
      </c>
      <c r="P885" s="116">
        <v>1377.575</v>
      </c>
      <c r="Q885" s="116">
        <v>2769.15</v>
      </c>
      <c r="R885">
        <v>6149</v>
      </c>
    </row>
    <row r="886" spans="1:18" x14ac:dyDescent="0.25">
      <c r="A886" s="170">
        <v>43304</v>
      </c>
      <c r="B886" s="116">
        <v>1401.125</v>
      </c>
      <c r="C886" s="116">
        <v>1383.0250000000001</v>
      </c>
      <c r="D886" s="116">
        <v>1353</v>
      </c>
      <c r="E886" s="116">
        <v>1400</v>
      </c>
      <c r="F886" s="116">
        <v>2766.05</v>
      </c>
      <c r="G886">
        <v>1216</v>
      </c>
      <c r="H886" s="116"/>
      <c r="I886" s="116"/>
      <c r="L886" s="170">
        <v>43304</v>
      </c>
      <c r="M886" s="116">
        <v>1390.325</v>
      </c>
      <c r="N886" s="116">
        <v>1400</v>
      </c>
      <c r="O886" s="116">
        <v>1380.425</v>
      </c>
      <c r="P886" s="116">
        <v>1400</v>
      </c>
      <c r="Q886" s="116">
        <v>2780.65</v>
      </c>
      <c r="R886">
        <v>7609</v>
      </c>
    </row>
    <row r="887" spans="1:18" x14ac:dyDescent="0.25">
      <c r="A887" s="170">
        <v>43305</v>
      </c>
      <c r="B887" s="116">
        <v>1624.5</v>
      </c>
      <c r="C887" s="116">
        <v>1575.45</v>
      </c>
      <c r="D887" s="116">
        <v>1387.45</v>
      </c>
      <c r="E887" s="116">
        <v>1387.45</v>
      </c>
      <c r="F887" s="116">
        <v>3150.9</v>
      </c>
      <c r="G887">
        <v>34938</v>
      </c>
      <c r="H887" s="116"/>
      <c r="I887" s="116"/>
      <c r="L887" s="170">
        <v>43305</v>
      </c>
      <c r="M887" s="116">
        <v>1576.125</v>
      </c>
      <c r="N887" s="116">
        <v>1624.4749999999999</v>
      </c>
      <c r="O887" s="116">
        <v>1387.5</v>
      </c>
      <c r="P887" s="116">
        <v>1409.35</v>
      </c>
      <c r="Q887" s="116">
        <v>3152.25</v>
      </c>
      <c r="R887">
        <v>257696</v>
      </c>
    </row>
    <row r="888" spans="1:18" x14ac:dyDescent="0.25">
      <c r="A888" s="170">
        <v>43306</v>
      </c>
      <c r="B888" s="116">
        <v>1592.625</v>
      </c>
      <c r="C888" s="116">
        <v>1563.825</v>
      </c>
      <c r="D888" s="116">
        <v>1545.625</v>
      </c>
      <c r="E888" s="116">
        <v>1575.55</v>
      </c>
      <c r="F888" s="116">
        <v>3127.65</v>
      </c>
      <c r="G888">
        <v>8145</v>
      </c>
      <c r="H888" s="116"/>
      <c r="I888" s="116"/>
      <c r="L888" s="170">
        <v>43306</v>
      </c>
      <c r="M888" s="116">
        <v>1566.3</v>
      </c>
      <c r="N888" s="116">
        <v>1587.925</v>
      </c>
      <c r="O888" s="116">
        <v>1544.2750000000001</v>
      </c>
      <c r="P888" s="116">
        <v>1576.2</v>
      </c>
      <c r="Q888" s="116">
        <v>3132.6</v>
      </c>
      <c r="R888">
        <v>46554</v>
      </c>
    </row>
    <row r="889" spans="1:18" x14ac:dyDescent="0.25">
      <c r="A889" s="170">
        <v>43307</v>
      </c>
      <c r="B889" s="116">
        <v>1587.4749999999999</v>
      </c>
      <c r="C889" s="116">
        <v>1580.4</v>
      </c>
      <c r="D889" s="116">
        <v>1563.5250000000001</v>
      </c>
      <c r="E889" s="116">
        <v>1567</v>
      </c>
      <c r="F889" s="116">
        <v>3160.8</v>
      </c>
      <c r="G889">
        <v>3325</v>
      </c>
      <c r="H889" s="116"/>
      <c r="I889" s="116"/>
      <c r="L889" s="170">
        <v>43307</v>
      </c>
      <c r="M889" s="116">
        <v>1580.925</v>
      </c>
      <c r="N889" s="116">
        <v>1587.45</v>
      </c>
      <c r="O889" s="116">
        <v>1562.5</v>
      </c>
      <c r="P889" s="116">
        <v>1566.3</v>
      </c>
      <c r="Q889" s="116">
        <v>3161.85</v>
      </c>
      <c r="R889">
        <v>22313</v>
      </c>
    </row>
    <row r="890" spans="1:18" x14ac:dyDescent="0.25">
      <c r="A890" s="170">
        <v>43308</v>
      </c>
      <c r="B890" s="116">
        <v>1602.375</v>
      </c>
      <c r="C890" s="116">
        <v>1585.75</v>
      </c>
      <c r="D890" s="116">
        <v>1572.5</v>
      </c>
      <c r="E890" s="116">
        <v>1580.5</v>
      </c>
      <c r="F890" s="116">
        <v>3171.5</v>
      </c>
      <c r="G890">
        <v>2533</v>
      </c>
      <c r="H890" s="116"/>
      <c r="I890" s="116"/>
      <c r="L890" s="170">
        <v>43308</v>
      </c>
      <c r="M890" s="116">
        <v>1589.9</v>
      </c>
      <c r="N890" s="116">
        <v>1603.5</v>
      </c>
      <c r="O890" s="116">
        <v>1562.5</v>
      </c>
      <c r="P890" s="116">
        <v>1585</v>
      </c>
      <c r="Q890" s="116">
        <v>3179.8</v>
      </c>
      <c r="R890">
        <v>22368</v>
      </c>
    </row>
    <row r="891" spans="1:18" x14ac:dyDescent="0.25">
      <c r="A891" s="170">
        <v>43311</v>
      </c>
      <c r="B891" s="116">
        <v>1601.0250000000001</v>
      </c>
      <c r="C891" s="116">
        <v>1579.0250000000001</v>
      </c>
      <c r="D891" s="116">
        <v>1569.175</v>
      </c>
      <c r="E891" s="116">
        <v>1585.0250000000001</v>
      </c>
      <c r="F891" s="116">
        <v>3158.05</v>
      </c>
      <c r="G891">
        <v>2677</v>
      </c>
      <c r="H891" s="116"/>
      <c r="I891" s="116"/>
      <c r="L891" s="170">
        <v>43311</v>
      </c>
      <c r="M891" s="116">
        <v>1582.75</v>
      </c>
      <c r="N891" s="116">
        <v>1604.5</v>
      </c>
      <c r="O891" s="116">
        <v>1571.5</v>
      </c>
      <c r="P891" s="116">
        <v>1596.45</v>
      </c>
      <c r="Q891" s="116">
        <v>3165.5</v>
      </c>
      <c r="R891">
        <v>14815</v>
      </c>
    </row>
    <row r="892" spans="1:18" x14ac:dyDescent="0.25">
      <c r="A892" s="170">
        <v>43312</v>
      </c>
      <c r="B892" s="116">
        <v>1597.5</v>
      </c>
      <c r="C892" s="116">
        <v>1589.2750000000001</v>
      </c>
      <c r="D892" s="116">
        <v>1572.675</v>
      </c>
      <c r="E892" s="116">
        <v>1577.5</v>
      </c>
      <c r="F892" s="116">
        <v>3178.55</v>
      </c>
      <c r="G892">
        <v>1517</v>
      </c>
      <c r="H892" s="116"/>
      <c r="I892" s="116"/>
      <c r="L892" s="170">
        <v>43312</v>
      </c>
      <c r="M892" s="116">
        <v>1594.45</v>
      </c>
      <c r="N892" s="116">
        <v>1601.4749999999999</v>
      </c>
      <c r="O892" s="116">
        <v>1567.65</v>
      </c>
      <c r="P892" s="116">
        <v>1577.5</v>
      </c>
      <c r="Q892" s="116">
        <v>3188.9</v>
      </c>
      <c r="R892">
        <v>13423</v>
      </c>
    </row>
    <row r="893" spans="1:18" x14ac:dyDescent="0.25">
      <c r="A893" s="170">
        <v>43313</v>
      </c>
      <c r="B893" s="116">
        <v>1595</v>
      </c>
      <c r="C893" s="116">
        <v>1590.9</v>
      </c>
      <c r="D893" s="116">
        <v>1577.5250000000001</v>
      </c>
      <c r="E893" s="116">
        <v>1595</v>
      </c>
      <c r="F893" s="116">
        <v>3181.8</v>
      </c>
      <c r="G893">
        <v>1611</v>
      </c>
      <c r="H893" s="116"/>
      <c r="I893" s="116"/>
      <c r="L893" s="170">
        <v>43313</v>
      </c>
      <c r="M893" s="116">
        <v>1592.45</v>
      </c>
      <c r="N893" s="116">
        <v>1596.9749999999999</v>
      </c>
      <c r="O893" s="116">
        <v>1579.5</v>
      </c>
      <c r="P893" s="116">
        <v>1581.5</v>
      </c>
      <c r="Q893" s="116">
        <v>3184.9</v>
      </c>
      <c r="R893">
        <v>10967</v>
      </c>
    </row>
    <row r="894" spans="1:18" x14ac:dyDescent="0.25">
      <c r="A894" s="170">
        <v>43314</v>
      </c>
      <c r="B894" s="116">
        <v>1603.575</v>
      </c>
      <c r="C894" s="116">
        <v>1598.95</v>
      </c>
      <c r="D894" s="116">
        <v>1583.5</v>
      </c>
      <c r="E894" s="116">
        <v>1591</v>
      </c>
      <c r="F894" s="116">
        <v>3197.9</v>
      </c>
      <c r="G894">
        <v>2861</v>
      </c>
      <c r="H894" s="116"/>
      <c r="I894" s="116"/>
      <c r="L894" s="170">
        <v>43314</v>
      </c>
      <c r="M894" s="116">
        <v>1595.325</v>
      </c>
      <c r="N894" s="116">
        <v>1602.5</v>
      </c>
      <c r="O894" s="116">
        <v>1587.6</v>
      </c>
      <c r="P894" s="116">
        <v>1592.5</v>
      </c>
      <c r="Q894" s="116">
        <v>3190.65</v>
      </c>
      <c r="R894">
        <v>10521</v>
      </c>
    </row>
    <row r="895" spans="1:18" x14ac:dyDescent="0.25">
      <c r="A895" s="170">
        <v>43315</v>
      </c>
      <c r="B895" s="116">
        <v>1648.9749999999999</v>
      </c>
      <c r="C895" s="116">
        <v>1645.05</v>
      </c>
      <c r="D895" s="116">
        <v>1585.625</v>
      </c>
      <c r="E895" s="116">
        <v>1605</v>
      </c>
      <c r="F895" s="116">
        <v>3290.1</v>
      </c>
      <c r="G895">
        <v>8759</v>
      </c>
      <c r="H895" s="116"/>
      <c r="I895" s="116"/>
      <c r="L895" s="170">
        <v>43315</v>
      </c>
      <c r="M895" s="116">
        <v>1646.85</v>
      </c>
      <c r="N895" s="116">
        <v>1655</v>
      </c>
      <c r="O895" s="116">
        <v>1589.0250000000001</v>
      </c>
      <c r="P895" s="116">
        <v>1595.325</v>
      </c>
      <c r="Q895" s="116">
        <v>3293.7</v>
      </c>
      <c r="R895">
        <v>48660</v>
      </c>
    </row>
    <row r="896" spans="1:18" x14ac:dyDescent="0.25">
      <c r="A896" s="170">
        <v>43318</v>
      </c>
      <c r="B896" s="116">
        <v>1650</v>
      </c>
      <c r="C896" s="116">
        <v>1634.75</v>
      </c>
      <c r="D896" s="116">
        <v>1626.5</v>
      </c>
      <c r="E896" s="116">
        <v>1645.05</v>
      </c>
      <c r="F896" s="116">
        <v>3269.5</v>
      </c>
      <c r="G896">
        <v>2969</v>
      </c>
      <c r="H896" s="116"/>
      <c r="I896" s="116"/>
      <c r="L896" s="170">
        <v>43318</v>
      </c>
      <c r="M896" s="116">
        <v>1630.15</v>
      </c>
      <c r="N896" s="116">
        <v>1655</v>
      </c>
      <c r="O896" s="116">
        <v>1625</v>
      </c>
      <c r="P896" s="116">
        <v>1653.075</v>
      </c>
      <c r="Q896" s="116">
        <v>3260.3</v>
      </c>
      <c r="R896">
        <v>17401</v>
      </c>
    </row>
    <row r="897" spans="1:18" x14ac:dyDescent="0.25">
      <c r="A897" s="170">
        <v>43319</v>
      </c>
      <c r="B897" s="116">
        <v>1643.5</v>
      </c>
      <c r="C897" s="116">
        <v>1633.35</v>
      </c>
      <c r="D897" s="116">
        <v>1627.5</v>
      </c>
      <c r="E897" s="116">
        <v>1643.5</v>
      </c>
      <c r="F897" s="116">
        <v>3266.7</v>
      </c>
      <c r="G897">
        <v>1227</v>
      </c>
      <c r="H897" s="116"/>
      <c r="I897" s="116"/>
      <c r="L897" s="170">
        <v>43319</v>
      </c>
      <c r="M897" s="116">
        <v>1633.95</v>
      </c>
      <c r="N897" s="116">
        <v>1644.85</v>
      </c>
      <c r="O897" s="116">
        <v>1625</v>
      </c>
      <c r="P897" s="116">
        <v>1630.15</v>
      </c>
      <c r="Q897" s="116">
        <v>3267.9</v>
      </c>
      <c r="R897">
        <v>10518</v>
      </c>
    </row>
    <row r="898" spans="1:18" x14ac:dyDescent="0.25">
      <c r="A898" s="170">
        <v>43320</v>
      </c>
      <c r="B898" s="116">
        <v>1669.65</v>
      </c>
      <c r="C898" s="116">
        <v>1646.9749999999999</v>
      </c>
      <c r="D898" s="116">
        <v>1637.825</v>
      </c>
      <c r="E898" s="116">
        <v>1643.5</v>
      </c>
      <c r="F898" s="116">
        <v>3293.95</v>
      </c>
      <c r="G898">
        <v>2635</v>
      </c>
      <c r="H898" s="116"/>
      <c r="I898" s="116"/>
      <c r="L898" s="170">
        <v>43320</v>
      </c>
      <c r="M898" s="116">
        <v>1644.0250000000001</v>
      </c>
      <c r="N898" s="116">
        <v>1669.9749999999999</v>
      </c>
      <c r="O898" s="116">
        <v>1633.9749999999999</v>
      </c>
      <c r="P898" s="116">
        <v>1634.4749999999999</v>
      </c>
      <c r="Q898" s="116">
        <v>3288.05</v>
      </c>
      <c r="R898">
        <v>23151</v>
      </c>
    </row>
    <row r="899" spans="1:18" x14ac:dyDescent="0.25">
      <c r="A899" s="170">
        <v>43321</v>
      </c>
      <c r="B899" s="116">
        <v>1660.4749999999999</v>
      </c>
      <c r="C899" s="116">
        <v>1646.25</v>
      </c>
      <c r="D899" s="116">
        <v>1635</v>
      </c>
      <c r="E899" s="116">
        <v>1635</v>
      </c>
      <c r="F899" s="116">
        <v>3292.5</v>
      </c>
      <c r="G899">
        <v>2056</v>
      </c>
      <c r="H899" s="116"/>
      <c r="I899" s="116"/>
      <c r="L899" s="170">
        <v>43321</v>
      </c>
      <c r="M899" s="116">
        <v>1647.4</v>
      </c>
      <c r="N899" s="116">
        <v>1662.5</v>
      </c>
      <c r="O899" s="116">
        <v>1642.5</v>
      </c>
      <c r="P899" s="116">
        <v>1655</v>
      </c>
      <c r="Q899" s="116">
        <v>3294.8</v>
      </c>
      <c r="R899">
        <v>10332</v>
      </c>
    </row>
    <row r="900" spans="1:18" x14ac:dyDescent="0.25">
      <c r="A900" s="170">
        <v>43322</v>
      </c>
      <c r="B900" s="116">
        <v>1654.9749999999999</v>
      </c>
      <c r="C900" s="116">
        <v>1647.875</v>
      </c>
      <c r="D900" s="116">
        <v>1633.0250000000001</v>
      </c>
      <c r="E900" s="116">
        <v>1645</v>
      </c>
      <c r="F900" s="116">
        <v>3295.75</v>
      </c>
      <c r="G900">
        <v>1334</v>
      </c>
      <c r="H900" s="116"/>
      <c r="I900" s="116"/>
      <c r="L900" s="170">
        <v>43322</v>
      </c>
      <c r="M900" s="116">
        <v>1643.45</v>
      </c>
      <c r="N900" s="116">
        <v>1655</v>
      </c>
      <c r="O900" s="116">
        <v>1630</v>
      </c>
      <c r="P900" s="116">
        <v>1647.5</v>
      </c>
      <c r="Q900" s="116">
        <v>3286.9</v>
      </c>
      <c r="R900">
        <v>8998</v>
      </c>
    </row>
    <row r="901" spans="1:18" x14ac:dyDescent="0.25">
      <c r="A901" s="170">
        <v>43325</v>
      </c>
      <c r="B901" s="116">
        <v>1655</v>
      </c>
      <c r="C901" s="116">
        <v>1635.2</v>
      </c>
      <c r="D901" s="116">
        <v>1631</v>
      </c>
      <c r="E901" s="116">
        <v>1632.5</v>
      </c>
      <c r="F901" s="116">
        <v>3270.4</v>
      </c>
      <c r="G901">
        <v>995</v>
      </c>
      <c r="H901" s="116"/>
      <c r="I901" s="116"/>
      <c r="L901" s="170">
        <v>43325</v>
      </c>
      <c r="M901" s="116">
        <v>1633.55</v>
      </c>
      <c r="N901" s="116">
        <v>1654</v>
      </c>
      <c r="O901" s="116">
        <v>1630</v>
      </c>
      <c r="P901" s="116">
        <v>1643.45</v>
      </c>
      <c r="Q901" s="116">
        <v>3267.1</v>
      </c>
      <c r="R901">
        <v>9046</v>
      </c>
    </row>
    <row r="902" spans="1:18" x14ac:dyDescent="0.25">
      <c r="A902" s="170">
        <v>43326</v>
      </c>
      <c r="B902" s="116">
        <v>1650</v>
      </c>
      <c r="C902" s="116">
        <v>1647.65</v>
      </c>
      <c r="D902" s="116">
        <v>1635</v>
      </c>
      <c r="E902" s="116">
        <v>1636</v>
      </c>
      <c r="F902" s="116">
        <v>3295.3</v>
      </c>
      <c r="G902">
        <v>903</v>
      </c>
      <c r="H902" s="116"/>
      <c r="I902" s="116"/>
      <c r="L902" s="170">
        <v>43326</v>
      </c>
      <c r="M902" s="116">
        <v>1643.925</v>
      </c>
      <c r="N902" s="116">
        <v>1647.5</v>
      </c>
      <c r="O902" s="116">
        <v>1630.05</v>
      </c>
      <c r="P902" s="116">
        <v>1637.5</v>
      </c>
      <c r="Q902" s="116">
        <v>3287.85</v>
      </c>
      <c r="R902">
        <v>6824</v>
      </c>
    </row>
    <row r="903" spans="1:18" x14ac:dyDescent="0.25">
      <c r="A903" s="170">
        <v>43328</v>
      </c>
      <c r="B903" s="116">
        <v>1663.5250000000001</v>
      </c>
      <c r="C903" s="116">
        <v>1641.75</v>
      </c>
      <c r="D903" s="116">
        <v>1635</v>
      </c>
      <c r="E903" s="116">
        <v>1643.05</v>
      </c>
      <c r="F903" s="116">
        <v>3283.5</v>
      </c>
      <c r="G903">
        <v>1648</v>
      </c>
      <c r="H903" s="116"/>
      <c r="I903" s="116"/>
      <c r="L903" s="170">
        <v>43328</v>
      </c>
      <c r="M903" s="116">
        <v>1636.7</v>
      </c>
      <c r="N903" s="116">
        <v>1661</v>
      </c>
      <c r="O903" s="116">
        <v>1632.5</v>
      </c>
      <c r="P903" s="116">
        <v>1650</v>
      </c>
      <c r="Q903" s="116">
        <v>3273.4</v>
      </c>
      <c r="R903">
        <v>10819</v>
      </c>
    </row>
    <row r="904" spans="1:18" x14ac:dyDescent="0.25">
      <c r="A904" s="170">
        <v>43329</v>
      </c>
      <c r="B904" s="116">
        <v>1690</v>
      </c>
      <c r="C904" s="116">
        <v>1651.7</v>
      </c>
      <c r="D904" s="116">
        <v>1639.575</v>
      </c>
      <c r="E904" s="116">
        <v>1639.575</v>
      </c>
      <c r="F904" s="116">
        <v>3303.4</v>
      </c>
      <c r="G904">
        <v>4895</v>
      </c>
      <c r="H904" s="116"/>
      <c r="I904" s="116"/>
      <c r="L904" s="170">
        <v>43329</v>
      </c>
      <c r="M904" s="116">
        <v>1649.7249999999999</v>
      </c>
      <c r="N904" s="116">
        <v>1687.875</v>
      </c>
      <c r="O904" s="116">
        <v>1637.5</v>
      </c>
      <c r="P904" s="116">
        <v>1650</v>
      </c>
      <c r="Q904" s="116">
        <v>3299.45</v>
      </c>
      <c r="R904">
        <v>28330</v>
      </c>
    </row>
    <row r="905" spans="1:18" x14ac:dyDescent="0.25">
      <c r="A905" s="170">
        <v>43332</v>
      </c>
      <c r="B905" s="116">
        <v>1699.5</v>
      </c>
      <c r="C905" s="116">
        <v>1678.0250000000001</v>
      </c>
      <c r="D905" s="116">
        <v>1651.7</v>
      </c>
      <c r="E905" s="116">
        <v>1651.7</v>
      </c>
      <c r="F905" s="116">
        <v>3356.05</v>
      </c>
      <c r="G905">
        <v>4115</v>
      </c>
      <c r="H905" s="116"/>
      <c r="I905" s="116"/>
      <c r="L905" s="170">
        <v>43332</v>
      </c>
      <c r="M905" s="116">
        <v>1672.075</v>
      </c>
      <c r="N905" s="116">
        <v>1699</v>
      </c>
      <c r="O905" s="116">
        <v>1652.5250000000001</v>
      </c>
      <c r="P905" s="116">
        <v>1653.95</v>
      </c>
      <c r="Q905" s="116">
        <v>3344.15</v>
      </c>
      <c r="R905">
        <v>21302</v>
      </c>
    </row>
    <row r="906" spans="1:18" x14ac:dyDescent="0.25">
      <c r="A906" s="170">
        <v>43333</v>
      </c>
      <c r="B906" s="116">
        <v>1675</v>
      </c>
      <c r="C906" s="116">
        <v>1665.8</v>
      </c>
      <c r="D906" s="116">
        <v>1656.9</v>
      </c>
      <c r="E906" s="116">
        <v>1670</v>
      </c>
      <c r="F906" s="116">
        <v>3331.6</v>
      </c>
      <c r="G906">
        <v>1687</v>
      </c>
      <c r="H906" s="116"/>
      <c r="I906" s="116"/>
      <c r="L906" s="170">
        <v>43333</v>
      </c>
      <c r="M906" s="116">
        <v>1665.875</v>
      </c>
      <c r="N906" s="116">
        <v>1680</v>
      </c>
      <c r="O906" s="116">
        <v>1657.675</v>
      </c>
      <c r="P906" s="116">
        <v>1678.9</v>
      </c>
      <c r="Q906" s="116">
        <v>3331.75</v>
      </c>
      <c r="R906">
        <v>12285</v>
      </c>
    </row>
    <row r="907" spans="1:18" x14ac:dyDescent="0.25">
      <c r="A907" s="170">
        <v>43335</v>
      </c>
      <c r="B907" s="116">
        <v>1699.5</v>
      </c>
      <c r="C907" s="116">
        <v>1669.7750000000001</v>
      </c>
      <c r="D907" s="116">
        <v>1665</v>
      </c>
      <c r="E907" s="116">
        <v>1665.5</v>
      </c>
      <c r="F907" s="116">
        <v>3339.55</v>
      </c>
      <c r="G907">
        <v>2879</v>
      </c>
      <c r="H907" s="116"/>
      <c r="I907" s="116"/>
      <c r="L907" s="170">
        <v>43335</v>
      </c>
      <c r="M907" s="116">
        <v>1668.175</v>
      </c>
      <c r="N907" s="116">
        <v>1694.25</v>
      </c>
      <c r="O907" s="116">
        <v>1663</v>
      </c>
      <c r="P907" s="116">
        <v>1663.8</v>
      </c>
      <c r="Q907" s="116">
        <v>3336.35</v>
      </c>
      <c r="R907">
        <v>21016</v>
      </c>
    </row>
    <row r="908" spans="1:18" x14ac:dyDescent="0.25">
      <c r="A908" s="170">
        <v>43336</v>
      </c>
      <c r="B908" s="116">
        <v>1694</v>
      </c>
      <c r="C908" s="116">
        <v>1686.05</v>
      </c>
      <c r="D908" s="116">
        <v>1661.2249999999999</v>
      </c>
      <c r="E908" s="116">
        <v>1679.9749999999999</v>
      </c>
      <c r="F908" s="116">
        <v>3372.1</v>
      </c>
      <c r="G908">
        <v>4478</v>
      </c>
      <c r="H908" s="116"/>
      <c r="I908" s="116"/>
      <c r="L908" s="170">
        <v>43336</v>
      </c>
      <c r="M908" s="116">
        <v>1681.175</v>
      </c>
      <c r="N908" s="116">
        <v>1687</v>
      </c>
      <c r="O908" s="116">
        <v>1656.75</v>
      </c>
      <c r="P908" s="116">
        <v>1669</v>
      </c>
      <c r="Q908" s="116">
        <v>3362.35</v>
      </c>
      <c r="R908">
        <v>26510</v>
      </c>
    </row>
    <row r="909" spans="1:18" x14ac:dyDescent="0.25">
      <c r="A909" s="170">
        <v>43339</v>
      </c>
      <c r="B909" s="116">
        <v>1722.05</v>
      </c>
      <c r="C909" s="116">
        <v>1692.0250000000001</v>
      </c>
      <c r="D909" s="116">
        <v>1687.5</v>
      </c>
      <c r="E909" s="116">
        <v>1687.5</v>
      </c>
      <c r="F909" s="116">
        <v>3384.05</v>
      </c>
      <c r="G909">
        <v>5377</v>
      </c>
      <c r="H909" s="116"/>
      <c r="I909" s="116"/>
      <c r="L909" s="170">
        <v>43339</v>
      </c>
      <c r="M909" s="116">
        <v>1690.125</v>
      </c>
      <c r="N909" s="116">
        <v>1720</v>
      </c>
      <c r="O909" s="116">
        <v>1682.5</v>
      </c>
      <c r="P909" s="116">
        <v>1690</v>
      </c>
      <c r="Q909" s="116">
        <v>3380.25</v>
      </c>
      <c r="R909">
        <v>44628</v>
      </c>
    </row>
    <row r="910" spans="1:18" x14ac:dyDescent="0.25">
      <c r="A910" s="170">
        <v>43340</v>
      </c>
      <c r="B910" s="116">
        <v>1708</v>
      </c>
      <c r="C910" s="116">
        <v>1681.075</v>
      </c>
      <c r="D910" s="116">
        <v>1670</v>
      </c>
      <c r="E910" s="116">
        <v>1699</v>
      </c>
      <c r="F910" s="116">
        <v>3362.15</v>
      </c>
      <c r="G910">
        <v>5765</v>
      </c>
      <c r="H910" s="116"/>
      <c r="I910" s="116"/>
      <c r="L910" s="170">
        <v>43340</v>
      </c>
      <c r="M910" s="116">
        <v>1677.175</v>
      </c>
      <c r="N910" s="116">
        <v>1708.9749999999999</v>
      </c>
      <c r="O910" s="116">
        <v>1666</v>
      </c>
      <c r="P910" s="116">
        <v>1702.8</v>
      </c>
      <c r="Q910" s="116">
        <v>3354.35</v>
      </c>
      <c r="R910">
        <v>47050</v>
      </c>
    </row>
    <row r="911" spans="1:18" x14ac:dyDescent="0.25">
      <c r="A911" s="170">
        <v>43341</v>
      </c>
      <c r="B911" s="116">
        <v>1695</v>
      </c>
      <c r="C911" s="116">
        <v>1671.6</v>
      </c>
      <c r="D911" s="116">
        <v>1667.3</v>
      </c>
      <c r="E911" s="116">
        <v>1682.5</v>
      </c>
      <c r="F911" s="116">
        <v>3343.2</v>
      </c>
      <c r="G911">
        <v>3685</v>
      </c>
      <c r="H911" s="116"/>
      <c r="I911" s="116"/>
      <c r="L911" s="170">
        <v>43341</v>
      </c>
      <c r="M911" s="116">
        <v>1670.375</v>
      </c>
      <c r="N911" s="116">
        <v>1695.5</v>
      </c>
      <c r="O911" s="116">
        <v>1663.6</v>
      </c>
      <c r="P911" s="116">
        <v>1682.5</v>
      </c>
      <c r="Q911" s="116">
        <v>3340.75</v>
      </c>
      <c r="R911">
        <v>22586</v>
      </c>
    </row>
    <row r="912" spans="1:18" x14ac:dyDescent="0.25">
      <c r="A912" s="170">
        <v>43342</v>
      </c>
      <c r="B912" s="116">
        <v>1699.5</v>
      </c>
      <c r="C912" s="116">
        <v>1696.35</v>
      </c>
      <c r="D912" s="116">
        <v>1670</v>
      </c>
      <c r="E912" s="116">
        <v>1680</v>
      </c>
      <c r="F912" s="116">
        <v>3392.7</v>
      </c>
      <c r="G912">
        <v>3276</v>
      </c>
      <c r="H912" s="116"/>
      <c r="I912" s="116"/>
      <c r="L912" s="170">
        <v>43342</v>
      </c>
      <c r="M912" s="116">
        <v>1693.65</v>
      </c>
      <c r="N912" s="116">
        <v>1700</v>
      </c>
      <c r="O912" s="116">
        <v>1665</v>
      </c>
      <c r="P912" s="116">
        <v>1670</v>
      </c>
      <c r="Q912" s="116">
        <v>3387.3</v>
      </c>
      <c r="R912">
        <v>22302</v>
      </c>
    </row>
    <row r="913" spans="1:18" x14ac:dyDescent="0.25">
      <c r="A913" s="170">
        <v>43343</v>
      </c>
      <c r="B913" s="116">
        <v>1735</v>
      </c>
      <c r="C913" s="116">
        <v>1716.7249999999999</v>
      </c>
      <c r="D913" s="116">
        <v>1695</v>
      </c>
      <c r="E913" s="116">
        <v>1725</v>
      </c>
      <c r="F913" s="116">
        <v>3433.45</v>
      </c>
      <c r="G913">
        <v>5641</v>
      </c>
      <c r="H913" s="116"/>
      <c r="I913" s="116"/>
      <c r="L913" s="170">
        <v>43343</v>
      </c>
      <c r="M913" s="116">
        <v>1714.175</v>
      </c>
      <c r="N913" s="116">
        <v>1737.4749999999999</v>
      </c>
      <c r="O913" s="116">
        <v>1693</v>
      </c>
      <c r="P913" s="116">
        <v>1711.5</v>
      </c>
      <c r="Q913" s="116">
        <v>3428.35</v>
      </c>
      <c r="R913">
        <v>63025</v>
      </c>
    </row>
    <row r="914" spans="1:18" x14ac:dyDescent="0.25">
      <c r="A914" s="170">
        <v>43346</v>
      </c>
      <c r="B914" s="116">
        <v>1760</v>
      </c>
      <c r="C914" s="116">
        <v>1735.75</v>
      </c>
      <c r="D914" s="116">
        <v>1718</v>
      </c>
      <c r="E914" s="116">
        <v>1718</v>
      </c>
      <c r="F914" s="116">
        <v>3471.5</v>
      </c>
      <c r="G914">
        <v>8268</v>
      </c>
      <c r="H914" s="116"/>
      <c r="I914" s="116"/>
      <c r="L914" s="170">
        <v>43346</v>
      </c>
      <c r="M914" s="116">
        <v>1735.3</v>
      </c>
      <c r="N914" s="116">
        <v>1758.4749999999999</v>
      </c>
      <c r="O914" s="116">
        <v>1721</v>
      </c>
      <c r="P914" s="116">
        <v>1729</v>
      </c>
      <c r="Q914" s="116">
        <v>3470.6</v>
      </c>
      <c r="R914">
        <v>50807</v>
      </c>
    </row>
    <row r="915" spans="1:18" x14ac:dyDescent="0.25">
      <c r="A915" s="170">
        <v>43347</v>
      </c>
      <c r="B915" s="116">
        <v>1743.425</v>
      </c>
      <c r="C915" s="116">
        <v>1723.625</v>
      </c>
      <c r="D915" s="116">
        <v>1712.2750000000001</v>
      </c>
      <c r="E915" s="116">
        <v>1742.2750000000001</v>
      </c>
      <c r="F915" s="116">
        <v>3447.25</v>
      </c>
      <c r="G915">
        <v>3765</v>
      </c>
      <c r="H915" s="116"/>
      <c r="I915" s="116"/>
      <c r="L915" s="170">
        <v>43347</v>
      </c>
      <c r="M915" s="116">
        <v>1721.875</v>
      </c>
      <c r="N915" s="116">
        <v>1748.5</v>
      </c>
      <c r="O915" s="116">
        <v>1709</v>
      </c>
      <c r="P915" s="116">
        <v>1748.5</v>
      </c>
      <c r="Q915" s="116">
        <v>3443.75</v>
      </c>
      <c r="R915">
        <v>42700</v>
      </c>
    </row>
    <row r="916" spans="1:18" x14ac:dyDescent="0.25">
      <c r="A916" s="170">
        <v>43348</v>
      </c>
      <c r="B916" s="116">
        <v>1735.0250000000001</v>
      </c>
      <c r="C916" s="116">
        <v>1726.325</v>
      </c>
      <c r="D916" s="116">
        <v>1710</v>
      </c>
      <c r="E916" s="116">
        <v>1723.05</v>
      </c>
      <c r="F916" s="116">
        <v>3452.65</v>
      </c>
      <c r="G916">
        <v>4055</v>
      </c>
      <c r="H916" s="116"/>
      <c r="I916" s="116"/>
      <c r="L916" s="170">
        <v>43348</v>
      </c>
      <c r="M916" s="116">
        <v>1726.6</v>
      </c>
      <c r="N916" s="116">
        <v>1737.2750000000001</v>
      </c>
      <c r="O916" s="116">
        <v>1708</v>
      </c>
      <c r="P916" s="116">
        <v>1734.4</v>
      </c>
      <c r="Q916" s="116">
        <v>3453.2</v>
      </c>
      <c r="R916">
        <v>23951</v>
      </c>
    </row>
    <row r="917" spans="1:18" x14ac:dyDescent="0.25">
      <c r="A917" s="170">
        <v>43349</v>
      </c>
      <c r="B917" s="116">
        <v>1740</v>
      </c>
      <c r="C917" s="116">
        <v>1736.175</v>
      </c>
      <c r="D917" s="116">
        <v>1725</v>
      </c>
      <c r="E917" s="116">
        <v>1731.35</v>
      </c>
      <c r="F917" s="116">
        <v>3472.35</v>
      </c>
      <c r="G917">
        <v>3029</v>
      </c>
      <c r="H917" s="116"/>
      <c r="I917" s="116"/>
      <c r="L917" s="170">
        <v>43349</v>
      </c>
      <c r="M917" s="116">
        <v>1730.95</v>
      </c>
      <c r="N917" s="116">
        <v>1738.125</v>
      </c>
      <c r="O917" s="116">
        <v>1722.5</v>
      </c>
      <c r="P917" s="116">
        <v>1730.0250000000001</v>
      </c>
      <c r="Q917" s="116">
        <v>3461.9</v>
      </c>
      <c r="R917">
        <v>20993</v>
      </c>
    </row>
    <row r="918" spans="1:18" x14ac:dyDescent="0.25">
      <c r="A918" s="170">
        <v>43350</v>
      </c>
      <c r="B918" s="116">
        <v>1774.5</v>
      </c>
      <c r="C918" s="116">
        <v>1749.1</v>
      </c>
      <c r="D918" s="116">
        <v>1725.5</v>
      </c>
      <c r="E918" s="116">
        <v>1740</v>
      </c>
      <c r="F918" s="116">
        <v>3498.2</v>
      </c>
      <c r="G918">
        <v>6188</v>
      </c>
      <c r="H918" s="116"/>
      <c r="I918" s="116"/>
      <c r="L918" s="170">
        <v>43350</v>
      </c>
      <c r="M918" s="116">
        <v>1748.65</v>
      </c>
      <c r="N918" s="116">
        <v>1774.3</v>
      </c>
      <c r="O918" s="116">
        <v>1725.5250000000001</v>
      </c>
      <c r="P918" s="116">
        <v>1742.5</v>
      </c>
      <c r="Q918" s="116">
        <v>3497.3</v>
      </c>
      <c r="R918">
        <v>83584</v>
      </c>
    </row>
    <row r="919" spans="1:18" x14ac:dyDescent="0.25">
      <c r="A919" s="170">
        <v>43353</v>
      </c>
      <c r="B919" s="116">
        <v>1797.5</v>
      </c>
      <c r="C919" s="116">
        <v>1793.9</v>
      </c>
      <c r="D919" s="116">
        <v>1750.5</v>
      </c>
      <c r="E919" s="116">
        <v>1757</v>
      </c>
      <c r="F919" s="116">
        <v>3587.8</v>
      </c>
      <c r="G919">
        <v>8528</v>
      </c>
      <c r="H919" s="116"/>
      <c r="I919" s="116"/>
      <c r="L919" s="170">
        <v>43353</v>
      </c>
      <c r="M919" s="116">
        <v>1795.05</v>
      </c>
      <c r="N919" s="116">
        <v>1800</v>
      </c>
      <c r="O919" s="116">
        <v>1748.65</v>
      </c>
      <c r="P919" s="116">
        <v>1748.65</v>
      </c>
      <c r="Q919" s="116">
        <v>3590.1</v>
      </c>
      <c r="R919">
        <v>85811</v>
      </c>
    </row>
    <row r="920" spans="1:18" x14ac:dyDescent="0.25">
      <c r="A920" s="170">
        <v>43354</v>
      </c>
      <c r="B920" s="116">
        <v>1812</v>
      </c>
      <c r="C920" s="116">
        <v>1744.05</v>
      </c>
      <c r="D920" s="116">
        <v>1724</v>
      </c>
      <c r="E920" s="116">
        <v>1801</v>
      </c>
      <c r="F920" s="116">
        <v>1744.05</v>
      </c>
      <c r="G920">
        <v>10028</v>
      </c>
      <c r="H920" s="116"/>
      <c r="I920" s="116"/>
      <c r="L920" s="170">
        <v>43354</v>
      </c>
      <c r="M920" s="116">
        <v>1748.55</v>
      </c>
      <c r="N920" s="116">
        <v>1800.05</v>
      </c>
      <c r="O920" s="116">
        <v>1722.05</v>
      </c>
      <c r="P920" s="116">
        <v>1800</v>
      </c>
      <c r="Q920" s="116">
        <v>1748.55</v>
      </c>
      <c r="R920">
        <v>73834</v>
      </c>
    </row>
    <row r="921" spans="1:18" x14ac:dyDescent="0.25">
      <c r="A921" s="170">
        <v>43355</v>
      </c>
      <c r="B921" s="116">
        <v>1778</v>
      </c>
      <c r="C921" s="116">
        <v>1724.7</v>
      </c>
      <c r="D921" s="116">
        <v>1700</v>
      </c>
      <c r="E921" s="116">
        <v>1735</v>
      </c>
      <c r="F921" s="116">
        <v>1724.7</v>
      </c>
      <c r="G921">
        <v>5242</v>
      </c>
      <c r="H921" s="116"/>
      <c r="I921" s="116"/>
      <c r="L921" s="170">
        <v>43355</v>
      </c>
      <c r="M921" s="116">
        <v>1721.75</v>
      </c>
      <c r="N921" s="116">
        <v>1777</v>
      </c>
      <c r="O921" s="116">
        <v>1701</v>
      </c>
      <c r="P921" s="116">
        <v>1740</v>
      </c>
      <c r="Q921" s="116">
        <v>1721.75</v>
      </c>
      <c r="R921">
        <v>30085</v>
      </c>
    </row>
    <row r="922" spans="1:18" x14ac:dyDescent="0.25">
      <c r="A922" s="170">
        <v>43357</v>
      </c>
      <c r="B922" s="116">
        <v>1746</v>
      </c>
      <c r="C922" s="116">
        <v>1721.85</v>
      </c>
      <c r="D922" s="116">
        <v>1715</v>
      </c>
      <c r="E922" s="116">
        <v>1730</v>
      </c>
      <c r="F922" s="116">
        <v>1721.85</v>
      </c>
      <c r="G922">
        <v>2896</v>
      </c>
      <c r="H922" s="116"/>
      <c r="I922" s="116"/>
      <c r="L922" s="170">
        <v>43357</v>
      </c>
      <c r="M922" s="116">
        <v>1716.25</v>
      </c>
      <c r="N922" s="116">
        <v>1744</v>
      </c>
      <c r="O922" s="116">
        <v>1708</v>
      </c>
      <c r="P922" s="116">
        <v>1734.65</v>
      </c>
      <c r="Q922" s="116">
        <v>1716.25</v>
      </c>
      <c r="R922">
        <v>29717</v>
      </c>
    </row>
    <row r="923" spans="1:18" x14ac:dyDescent="0.25">
      <c r="A923" s="170">
        <v>43360</v>
      </c>
      <c r="B923" s="116">
        <v>1732</v>
      </c>
      <c r="C923" s="116">
        <v>1703.8</v>
      </c>
      <c r="D923" s="116">
        <v>1701.05</v>
      </c>
      <c r="E923" s="116">
        <v>1715</v>
      </c>
      <c r="F923" s="116">
        <v>1703.8</v>
      </c>
      <c r="G923">
        <v>2922</v>
      </c>
      <c r="H923" s="116"/>
      <c r="I923" s="116"/>
      <c r="L923" s="170">
        <v>43360</v>
      </c>
      <c r="M923" s="116">
        <v>1698.55</v>
      </c>
      <c r="N923" s="116">
        <v>1735</v>
      </c>
      <c r="O923" s="116">
        <v>1690.1</v>
      </c>
      <c r="P923" s="116">
        <v>1724</v>
      </c>
      <c r="Q923" s="116">
        <v>1698.55</v>
      </c>
      <c r="R923">
        <v>13244</v>
      </c>
    </row>
    <row r="924" spans="1:18" x14ac:dyDescent="0.25">
      <c r="A924" s="170">
        <v>43361</v>
      </c>
      <c r="B924" s="116">
        <v>1709.1</v>
      </c>
      <c r="C924" s="116">
        <v>1661.9</v>
      </c>
      <c r="D924" s="116">
        <v>1650</v>
      </c>
      <c r="E924" s="116">
        <v>1704.65</v>
      </c>
      <c r="F924" s="116">
        <v>1661.9</v>
      </c>
      <c r="G924">
        <v>4592</v>
      </c>
      <c r="H924" s="116"/>
      <c r="I924" s="116"/>
      <c r="L924" s="170">
        <v>43361</v>
      </c>
      <c r="M924" s="116">
        <v>1666.85</v>
      </c>
      <c r="N924" s="116">
        <v>1712.55</v>
      </c>
      <c r="O924" s="116">
        <v>1661</v>
      </c>
      <c r="P924" s="116">
        <v>1710</v>
      </c>
      <c r="Q924" s="116">
        <v>1666.85</v>
      </c>
      <c r="R924">
        <v>14526</v>
      </c>
    </row>
    <row r="925" spans="1:18" x14ac:dyDescent="0.25">
      <c r="A925" s="170">
        <v>43362</v>
      </c>
      <c r="B925" s="116">
        <v>1690</v>
      </c>
      <c r="C925" s="116">
        <v>1650.75</v>
      </c>
      <c r="D925" s="116">
        <v>1602.1</v>
      </c>
      <c r="E925" s="116">
        <v>1682</v>
      </c>
      <c r="F925" s="116">
        <v>1650.75</v>
      </c>
      <c r="G925">
        <v>4270</v>
      </c>
      <c r="H925" s="116"/>
      <c r="I925" s="116"/>
      <c r="L925" s="170">
        <v>43362</v>
      </c>
      <c r="M925" s="116">
        <v>1662.95</v>
      </c>
      <c r="N925" s="116">
        <v>1698.9</v>
      </c>
      <c r="O925" s="116">
        <v>1600</v>
      </c>
      <c r="P925" s="116">
        <v>1698.9</v>
      </c>
      <c r="Q925" s="116">
        <v>1662.95</v>
      </c>
      <c r="R925">
        <v>31327</v>
      </c>
    </row>
    <row r="926" spans="1:18" x14ac:dyDescent="0.25">
      <c r="A926" s="170">
        <v>43364</v>
      </c>
      <c r="B926" s="116">
        <v>1695</v>
      </c>
      <c r="C926" s="116">
        <v>1623.55</v>
      </c>
      <c r="D926" s="116">
        <v>1440</v>
      </c>
      <c r="E926" s="116">
        <v>1695</v>
      </c>
      <c r="F926" s="116">
        <v>1623.55</v>
      </c>
      <c r="G926">
        <v>5884</v>
      </c>
      <c r="H926" s="116"/>
      <c r="I926" s="116"/>
      <c r="L926" s="170">
        <v>43364</v>
      </c>
      <c r="M926" s="116">
        <v>1609.45</v>
      </c>
      <c r="N926" s="116">
        <v>1694</v>
      </c>
      <c r="O926" s="116">
        <v>1420</v>
      </c>
      <c r="P926" s="116">
        <v>1690</v>
      </c>
      <c r="Q926" s="116">
        <v>1609.45</v>
      </c>
      <c r="R926">
        <v>47713</v>
      </c>
    </row>
    <row r="927" spans="1:18" x14ac:dyDescent="0.25">
      <c r="A927" s="170">
        <v>43367</v>
      </c>
      <c r="B927" s="116">
        <v>1624</v>
      </c>
      <c r="C927" s="116">
        <v>1511.95</v>
      </c>
      <c r="D927" s="116">
        <v>1498</v>
      </c>
      <c r="E927" s="116">
        <v>1624</v>
      </c>
      <c r="F927" s="116">
        <v>1511.95</v>
      </c>
      <c r="G927">
        <v>6881</v>
      </c>
      <c r="H927" s="116"/>
      <c r="I927" s="116"/>
      <c r="L927" s="170">
        <v>43367</v>
      </c>
      <c r="M927" s="116">
        <v>1504.95</v>
      </c>
      <c r="N927" s="116">
        <v>1624.55</v>
      </c>
      <c r="O927" s="116">
        <v>1487.05</v>
      </c>
      <c r="P927" s="116">
        <v>1624.55</v>
      </c>
      <c r="Q927" s="116">
        <v>1504.95</v>
      </c>
      <c r="R927">
        <v>44610</v>
      </c>
    </row>
    <row r="928" spans="1:18" x14ac:dyDescent="0.25">
      <c r="A928" s="170">
        <v>43368</v>
      </c>
      <c r="B928" s="116">
        <v>1500.05</v>
      </c>
      <c r="C928" s="116">
        <v>1463</v>
      </c>
      <c r="D928" s="116">
        <v>1450</v>
      </c>
      <c r="E928" s="116">
        <v>1500</v>
      </c>
      <c r="F928" s="116">
        <v>1463</v>
      </c>
      <c r="G928">
        <v>5287</v>
      </c>
      <c r="H928" s="116"/>
      <c r="I928" s="116"/>
      <c r="L928" s="170">
        <v>43368</v>
      </c>
      <c r="M928" s="116">
        <v>1468.75</v>
      </c>
      <c r="N928" s="116">
        <v>1504</v>
      </c>
      <c r="O928" s="116">
        <v>1455</v>
      </c>
      <c r="P928" s="116">
        <v>1504</v>
      </c>
      <c r="Q928" s="116">
        <v>1468.75</v>
      </c>
      <c r="R928">
        <v>28284</v>
      </c>
    </row>
    <row r="929" spans="1:18" x14ac:dyDescent="0.25">
      <c r="A929" s="170">
        <v>43369</v>
      </c>
      <c r="B929" s="116">
        <v>1525</v>
      </c>
      <c r="C929" s="116">
        <v>1510.05</v>
      </c>
      <c r="D929" s="116">
        <v>1475.4</v>
      </c>
      <c r="E929" s="116">
        <v>1478.05</v>
      </c>
      <c r="F929" s="116">
        <v>1510.05</v>
      </c>
      <c r="G929">
        <v>2495</v>
      </c>
      <c r="H929" s="116"/>
      <c r="I929" s="116"/>
      <c r="L929" s="170">
        <v>43369</v>
      </c>
      <c r="M929" s="116">
        <v>1518.55</v>
      </c>
      <c r="N929" s="116">
        <v>1529</v>
      </c>
      <c r="O929" s="116">
        <v>1475</v>
      </c>
      <c r="P929" s="116">
        <v>1489.95</v>
      </c>
      <c r="Q929" s="116">
        <v>1518.55</v>
      </c>
      <c r="R929">
        <v>15391</v>
      </c>
    </row>
    <row r="930" spans="1:18" x14ac:dyDescent="0.25">
      <c r="A930" s="170">
        <v>43370</v>
      </c>
      <c r="B930" s="116">
        <v>1527</v>
      </c>
      <c r="C930" s="116">
        <v>1490.45</v>
      </c>
      <c r="D930" s="116">
        <v>1480</v>
      </c>
      <c r="E930" s="116">
        <v>1511.25</v>
      </c>
      <c r="F930" s="116">
        <v>1490.45</v>
      </c>
      <c r="G930">
        <v>2344</v>
      </c>
      <c r="H930" s="116"/>
      <c r="I930" s="116"/>
      <c r="L930" s="170">
        <v>43370</v>
      </c>
      <c r="M930" s="116">
        <v>1497.9</v>
      </c>
      <c r="N930" s="116">
        <v>1528.9</v>
      </c>
      <c r="O930" s="116">
        <v>1477.1</v>
      </c>
      <c r="P930" s="116">
        <v>1528.9</v>
      </c>
      <c r="Q930" s="116">
        <v>1497.9</v>
      </c>
      <c r="R930">
        <v>11876</v>
      </c>
    </row>
    <row r="931" spans="1:18" x14ac:dyDescent="0.25">
      <c r="A931" s="170">
        <v>43371</v>
      </c>
      <c r="B931" s="116">
        <v>1500.9</v>
      </c>
      <c r="C931" s="116">
        <v>1445</v>
      </c>
      <c r="D931" s="116">
        <v>1418</v>
      </c>
      <c r="E931" s="116">
        <v>1489.25</v>
      </c>
      <c r="F931" s="116">
        <v>1445</v>
      </c>
      <c r="G931">
        <v>4335</v>
      </c>
      <c r="H931" s="116"/>
      <c r="I931" s="116"/>
      <c r="L931" s="170">
        <v>43371</v>
      </c>
      <c r="M931" s="116">
        <v>1449.3</v>
      </c>
      <c r="N931" s="116">
        <v>1511.75</v>
      </c>
      <c r="O931" s="116">
        <v>1421</v>
      </c>
      <c r="P931" s="116">
        <v>1487.35</v>
      </c>
      <c r="Q931" s="116">
        <v>1449.3</v>
      </c>
      <c r="R931">
        <v>18892</v>
      </c>
    </row>
    <row r="932" spans="1:18" x14ac:dyDescent="0.25">
      <c r="A932" s="170">
        <v>43374</v>
      </c>
      <c r="B932" s="116">
        <v>1470</v>
      </c>
      <c r="C932" s="116">
        <v>1448.35</v>
      </c>
      <c r="D932" s="116">
        <v>1403.05</v>
      </c>
      <c r="E932" s="116">
        <v>1450</v>
      </c>
      <c r="F932" s="116">
        <v>1448.35</v>
      </c>
      <c r="G932">
        <v>2557</v>
      </c>
      <c r="H932" s="116"/>
      <c r="I932" s="116"/>
      <c r="L932" s="170">
        <v>43374</v>
      </c>
      <c r="M932" s="116">
        <v>1450.65</v>
      </c>
      <c r="N932" s="116">
        <v>1460.9</v>
      </c>
      <c r="O932" s="116">
        <v>1408</v>
      </c>
      <c r="P932" s="116">
        <v>1460.9</v>
      </c>
      <c r="Q932" s="116">
        <v>1450.65</v>
      </c>
      <c r="R932">
        <v>14986</v>
      </c>
    </row>
    <row r="933" spans="1:18" x14ac:dyDescent="0.25">
      <c r="A933" s="170">
        <v>43376</v>
      </c>
      <c r="B933" s="116">
        <v>1478</v>
      </c>
      <c r="C933" s="116">
        <v>1466.8</v>
      </c>
      <c r="D933" s="116">
        <v>1440</v>
      </c>
      <c r="E933" s="116">
        <v>1450</v>
      </c>
      <c r="F933" s="116">
        <v>1466.8</v>
      </c>
      <c r="G933">
        <v>2578</v>
      </c>
      <c r="H933" s="116"/>
      <c r="I933" s="116"/>
      <c r="L933" s="170">
        <v>43376</v>
      </c>
      <c r="M933" s="116">
        <v>1463.2</v>
      </c>
      <c r="N933" s="116">
        <v>1474.8</v>
      </c>
      <c r="O933" s="116">
        <v>1435</v>
      </c>
      <c r="P933" s="116">
        <v>1466.8</v>
      </c>
      <c r="Q933" s="116">
        <v>1463.2</v>
      </c>
      <c r="R933">
        <v>10811</v>
      </c>
    </row>
    <row r="934" spans="1:18" x14ac:dyDescent="0.25">
      <c r="A934" s="170">
        <v>43377</v>
      </c>
      <c r="B934" s="116">
        <v>1452.25</v>
      </c>
      <c r="C934" s="116">
        <v>1365.35</v>
      </c>
      <c r="D934" s="116">
        <v>1337</v>
      </c>
      <c r="E934" s="116">
        <v>1421.7</v>
      </c>
      <c r="F934" s="116">
        <v>1365.35</v>
      </c>
      <c r="G934">
        <v>5488</v>
      </c>
      <c r="H934" s="116"/>
      <c r="I934" s="116"/>
      <c r="L934" s="170">
        <v>43377</v>
      </c>
      <c r="M934" s="116">
        <v>1360.8</v>
      </c>
      <c r="N934" s="116">
        <v>1450</v>
      </c>
      <c r="O934" s="116">
        <v>1327.4</v>
      </c>
      <c r="P934" s="116">
        <v>1450</v>
      </c>
      <c r="Q934" s="116">
        <v>1360.8</v>
      </c>
      <c r="R934">
        <v>55002</v>
      </c>
    </row>
    <row r="935" spans="1:18" x14ac:dyDescent="0.25">
      <c r="A935" s="170">
        <v>43378</v>
      </c>
      <c r="B935" s="116">
        <v>1390</v>
      </c>
      <c r="C935" s="116">
        <v>1359.8</v>
      </c>
      <c r="D935" s="116">
        <v>1340</v>
      </c>
      <c r="E935" s="116">
        <v>1365</v>
      </c>
      <c r="F935" s="116">
        <v>1359.8</v>
      </c>
      <c r="G935">
        <v>4574</v>
      </c>
      <c r="H935" s="116"/>
      <c r="I935" s="116"/>
      <c r="L935" s="170">
        <v>43378</v>
      </c>
      <c r="M935" s="116">
        <v>1360.25</v>
      </c>
      <c r="N935" s="116">
        <v>1400</v>
      </c>
      <c r="O935" s="116">
        <v>1350</v>
      </c>
      <c r="P935" s="116">
        <v>1360</v>
      </c>
      <c r="Q935" s="116">
        <v>1360.25</v>
      </c>
      <c r="R935">
        <v>22596</v>
      </c>
    </row>
    <row r="936" spans="1:18" x14ac:dyDescent="0.25">
      <c r="A936" s="170">
        <v>43381</v>
      </c>
      <c r="B936" s="116">
        <v>1362</v>
      </c>
      <c r="C936" s="116">
        <v>1336.9</v>
      </c>
      <c r="D936" s="116">
        <v>1304.8499999999999</v>
      </c>
      <c r="E936" s="116">
        <v>1362</v>
      </c>
      <c r="F936" s="116">
        <v>1336.9</v>
      </c>
      <c r="G936">
        <v>3668</v>
      </c>
      <c r="H936" s="116"/>
      <c r="I936" s="116"/>
      <c r="L936" s="170">
        <v>43381</v>
      </c>
      <c r="M936" s="116">
        <v>1332.85</v>
      </c>
      <c r="N936" s="116">
        <v>1360</v>
      </c>
      <c r="O936" s="116">
        <v>1300</v>
      </c>
      <c r="P936" s="116">
        <v>1360</v>
      </c>
      <c r="Q936" s="116">
        <v>1332.85</v>
      </c>
      <c r="R936">
        <v>24085</v>
      </c>
    </row>
    <row r="937" spans="1:18" x14ac:dyDescent="0.25">
      <c r="A937" s="170">
        <v>43382</v>
      </c>
      <c r="B937" s="116">
        <v>1362.25</v>
      </c>
      <c r="C937" s="116">
        <v>1341.2</v>
      </c>
      <c r="D937" s="116">
        <v>1311.35</v>
      </c>
      <c r="E937" s="116">
        <v>1335</v>
      </c>
      <c r="F937" s="116">
        <v>1341.2</v>
      </c>
      <c r="G937">
        <v>3668</v>
      </c>
      <c r="H937" s="116"/>
      <c r="I937" s="116"/>
      <c r="L937" s="170">
        <v>43382</v>
      </c>
      <c r="M937" s="116">
        <v>1347.4</v>
      </c>
      <c r="N937" s="116">
        <v>1364</v>
      </c>
      <c r="O937" s="116">
        <v>1310</v>
      </c>
      <c r="P937" s="116">
        <v>1332.85</v>
      </c>
      <c r="Q937" s="116">
        <v>1347.4</v>
      </c>
      <c r="R937">
        <v>21911</v>
      </c>
    </row>
    <row r="938" spans="1:18" x14ac:dyDescent="0.25">
      <c r="A938" s="170">
        <v>43383</v>
      </c>
      <c r="B938" s="116">
        <v>1429.95</v>
      </c>
      <c r="C938" s="116">
        <v>1404</v>
      </c>
      <c r="D938" s="116">
        <v>1339.65</v>
      </c>
      <c r="E938" s="116">
        <v>1363</v>
      </c>
      <c r="F938" s="116">
        <v>1404</v>
      </c>
      <c r="G938">
        <v>2809</v>
      </c>
      <c r="H938" s="116"/>
      <c r="I938" s="116"/>
      <c r="L938" s="170">
        <v>43383</v>
      </c>
      <c r="M938" s="116">
        <v>1403.25</v>
      </c>
      <c r="N938" s="116">
        <v>1428.75</v>
      </c>
      <c r="O938" s="116">
        <v>1350.65</v>
      </c>
      <c r="P938" s="116">
        <v>1370</v>
      </c>
      <c r="Q938" s="116">
        <v>1403.25</v>
      </c>
      <c r="R938">
        <v>18484</v>
      </c>
    </row>
    <row r="939" spans="1:18" x14ac:dyDescent="0.25">
      <c r="A939" s="170">
        <v>43384</v>
      </c>
      <c r="B939" s="116">
        <v>1395</v>
      </c>
      <c r="C939" s="116">
        <v>1372.75</v>
      </c>
      <c r="D939" s="116">
        <v>1360.6</v>
      </c>
      <c r="E939" s="116">
        <v>1395</v>
      </c>
      <c r="F939" s="116">
        <v>1372.75</v>
      </c>
      <c r="G939">
        <v>1139</v>
      </c>
      <c r="H939" s="116"/>
      <c r="I939" s="116"/>
      <c r="L939" s="170">
        <v>43384</v>
      </c>
      <c r="M939" s="116">
        <v>1372.7</v>
      </c>
      <c r="N939" s="116">
        <v>1393.95</v>
      </c>
      <c r="O939" s="116">
        <v>1357.8</v>
      </c>
      <c r="P939" s="116">
        <v>1393.95</v>
      </c>
      <c r="Q939" s="116">
        <v>1372.7</v>
      </c>
      <c r="R939">
        <v>8638</v>
      </c>
    </row>
    <row r="940" spans="1:18" x14ac:dyDescent="0.25">
      <c r="A940" s="170">
        <v>43385</v>
      </c>
      <c r="B940" s="116">
        <v>1411</v>
      </c>
      <c r="C940" s="116">
        <v>1404.4</v>
      </c>
      <c r="D940" s="116">
        <v>1371.65</v>
      </c>
      <c r="E940" s="116">
        <v>1371.9</v>
      </c>
      <c r="F940" s="116">
        <v>1404.4</v>
      </c>
      <c r="G940">
        <v>2183</v>
      </c>
      <c r="H940" s="116"/>
      <c r="I940" s="116"/>
      <c r="L940" s="170">
        <v>43385</v>
      </c>
      <c r="M940" s="116">
        <v>1407.1</v>
      </c>
      <c r="N940" s="116">
        <v>1413.1</v>
      </c>
      <c r="O940" s="116">
        <v>1373.2</v>
      </c>
      <c r="P940" s="116">
        <v>1373.2</v>
      </c>
      <c r="Q940" s="116">
        <v>1407.1</v>
      </c>
      <c r="R940">
        <v>12111</v>
      </c>
    </row>
    <row r="941" spans="1:18" x14ac:dyDescent="0.25">
      <c r="A941" s="170">
        <v>43388</v>
      </c>
      <c r="B941" s="116">
        <v>1439.9</v>
      </c>
      <c r="C941" s="116">
        <v>1434.3</v>
      </c>
      <c r="D941" s="116">
        <v>1398.1</v>
      </c>
      <c r="E941" s="116">
        <v>1419</v>
      </c>
      <c r="F941" s="116">
        <v>1434.3</v>
      </c>
      <c r="G941">
        <v>2504</v>
      </c>
      <c r="H941" s="116"/>
      <c r="I941" s="116"/>
      <c r="L941" s="170">
        <v>43388</v>
      </c>
      <c r="M941" s="116">
        <v>1433.55</v>
      </c>
      <c r="N941" s="116">
        <v>1439.7</v>
      </c>
      <c r="O941" s="116">
        <v>1395.05</v>
      </c>
      <c r="P941" s="116">
        <v>1439.7</v>
      </c>
      <c r="Q941" s="116">
        <v>1433.55</v>
      </c>
      <c r="R941">
        <v>17326</v>
      </c>
    </row>
    <row r="942" spans="1:18" x14ac:dyDescent="0.25">
      <c r="A942" s="170">
        <v>43389</v>
      </c>
      <c r="B942" s="116">
        <v>1460</v>
      </c>
      <c r="C942" s="116">
        <v>1451.15</v>
      </c>
      <c r="D942" s="116">
        <v>1412.05</v>
      </c>
      <c r="E942" s="116">
        <v>1447</v>
      </c>
      <c r="F942" s="116">
        <v>1451.15</v>
      </c>
      <c r="G942">
        <v>1789</v>
      </c>
      <c r="H942" s="116"/>
      <c r="I942" s="116"/>
      <c r="L942" s="170">
        <v>43389</v>
      </c>
      <c r="M942" s="116">
        <v>1456.3</v>
      </c>
      <c r="N942" s="116">
        <v>1464.95</v>
      </c>
      <c r="O942" s="116">
        <v>1425.35</v>
      </c>
      <c r="P942" s="116">
        <v>1458.85</v>
      </c>
      <c r="Q942" s="116">
        <v>1456.3</v>
      </c>
      <c r="R942">
        <v>10423</v>
      </c>
    </row>
    <row r="943" spans="1:18" x14ac:dyDescent="0.25">
      <c r="A943" s="170">
        <v>43390</v>
      </c>
      <c r="B943" s="116">
        <v>1478</v>
      </c>
      <c r="C943" s="116">
        <v>1449</v>
      </c>
      <c r="D943" s="116">
        <v>1430</v>
      </c>
      <c r="E943" s="116">
        <v>1478</v>
      </c>
      <c r="F943" s="116">
        <v>1449</v>
      </c>
      <c r="G943">
        <v>2261</v>
      </c>
      <c r="H943" s="116"/>
      <c r="I943" s="116"/>
      <c r="L943" s="170">
        <v>43390</v>
      </c>
      <c r="M943" s="116">
        <v>1451.5</v>
      </c>
      <c r="N943" s="116">
        <v>1483</v>
      </c>
      <c r="O943" s="116">
        <v>1428</v>
      </c>
      <c r="P943" s="116">
        <v>1483</v>
      </c>
      <c r="Q943" s="116">
        <v>1451.5</v>
      </c>
      <c r="R943">
        <v>34877</v>
      </c>
    </row>
    <row r="944" spans="1:18" x14ac:dyDescent="0.25">
      <c r="A944" s="170">
        <v>43392</v>
      </c>
      <c r="B944" s="116">
        <v>1452</v>
      </c>
      <c r="C944" s="116">
        <v>1423.6</v>
      </c>
      <c r="D944" s="116">
        <v>1414</v>
      </c>
      <c r="E944" s="116">
        <v>1445</v>
      </c>
      <c r="F944" s="116">
        <v>1423.6</v>
      </c>
      <c r="G944">
        <v>1232</v>
      </c>
      <c r="H944" s="116"/>
      <c r="I944" s="116"/>
      <c r="L944" s="170">
        <v>43392</v>
      </c>
      <c r="M944" s="116">
        <v>1416.55</v>
      </c>
      <c r="N944" s="116">
        <v>1463.8</v>
      </c>
      <c r="O944" s="116">
        <v>1410</v>
      </c>
      <c r="P944" s="116">
        <v>1426</v>
      </c>
      <c r="Q944" s="116">
        <v>1416.55</v>
      </c>
      <c r="R944">
        <v>9693</v>
      </c>
    </row>
    <row r="945" spans="1:18" x14ac:dyDescent="0.25">
      <c r="A945" s="170">
        <v>43395</v>
      </c>
      <c r="B945" s="116">
        <v>1434.9</v>
      </c>
      <c r="C945" s="116">
        <v>1390.55</v>
      </c>
      <c r="D945" s="116">
        <v>1356.35</v>
      </c>
      <c r="E945" s="116">
        <v>1434.9</v>
      </c>
      <c r="F945" s="116">
        <v>1390.55</v>
      </c>
      <c r="G945">
        <v>2958</v>
      </c>
      <c r="H945" s="116"/>
      <c r="I945" s="116"/>
      <c r="L945" s="170">
        <v>43395</v>
      </c>
      <c r="M945" s="116">
        <v>1388.85</v>
      </c>
      <c r="N945" s="116">
        <v>1426</v>
      </c>
      <c r="O945" s="116">
        <v>1351.95</v>
      </c>
      <c r="P945" s="116">
        <v>1419.95</v>
      </c>
      <c r="Q945" s="116">
        <v>1388.85</v>
      </c>
      <c r="R945">
        <v>37756</v>
      </c>
    </row>
    <row r="946" spans="1:18" x14ac:dyDescent="0.25">
      <c r="A946" s="170">
        <v>43396</v>
      </c>
      <c r="B946" s="116">
        <v>1365.3</v>
      </c>
      <c r="C946" s="116">
        <v>1348.5</v>
      </c>
      <c r="D946" s="116">
        <v>1325</v>
      </c>
      <c r="E946" s="116">
        <v>1351</v>
      </c>
      <c r="F946" s="116">
        <v>1348.5</v>
      </c>
      <c r="G946">
        <v>2369</v>
      </c>
      <c r="H946" s="116"/>
      <c r="I946" s="116"/>
      <c r="L946" s="170">
        <v>43396</v>
      </c>
      <c r="M946" s="116">
        <v>1352.05</v>
      </c>
      <c r="N946" s="116">
        <v>1378</v>
      </c>
      <c r="O946" s="116">
        <v>1330</v>
      </c>
      <c r="P946" s="116">
        <v>1378</v>
      </c>
      <c r="Q946" s="116">
        <v>1352.05</v>
      </c>
      <c r="R946">
        <v>16451</v>
      </c>
    </row>
    <row r="947" spans="1:18" x14ac:dyDescent="0.25">
      <c r="A947" s="170">
        <v>43397</v>
      </c>
      <c r="B947" s="116">
        <v>1348.1</v>
      </c>
      <c r="C947" s="116">
        <v>1310.3</v>
      </c>
      <c r="D947" s="116">
        <v>1300</v>
      </c>
      <c r="E947" s="116">
        <v>1336</v>
      </c>
      <c r="F947" s="116">
        <v>1310.3</v>
      </c>
      <c r="G947">
        <v>2138</v>
      </c>
      <c r="H947" s="116"/>
      <c r="I947" s="116"/>
      <c r="L947" s="170">
        <v>43397</v>
      </c>
      <c r="M947" s="116">
        <v>1314.2</v>
      </c>
      <c r="N947" s="116">
        <v>1350</v>
      </c>
      <c r="O947" s="116">
        <v>1300.0999999999999</v>
      </c>
      <c r="P947" s="116">
        <v>1350</v>
      </c>
      <c r="Q947" s="116">
        <v>1314.2</v>
      </c>
      <c r="R947">
        <v>21369</v>
      </c>
    </row>
    <row r="948" spans="1:18" x14ac:dyDescent="0.25">
      <c r="A948" s="170">
        <v>43398</v>
      </c>
      <c r="B948" s="116">
        <v>1310</v>
      </c>
      <c r="C948" s="116">
        <v>1283.5999999999999</v>
      </c>
      <c r="D948" s="116">
        <v>1260.8</v>
      </c>
      <c r="E948" s="116">
        <v>1310</v>
      </c>
      <c r="F948" s="116">
        <v>1283.5999999999999</v>
      </c>
      <c r="G948">
        <v>2184</v>
      </c>
      <c r="H948" s="116"/>
      <c r="I948" s="116"/>
      <c r="L948" s="170">
        <v>43398</v>
      </c>
      <c r="M948" s="116">
        <v>1280.7</v>
      </c>
      <c r="N948" s="116">
        <v>1304</v>
      </c>
      <c r="O948" s="116">
        <v>1271.05</v>
      </c>
      <c r="P948" s="116">
        <v>1300</v>
      </c>
      <c r="Q948" s="116">
        <v>1280.7</v>
      </c>
      <c r="R948">
        <v>16347</v>
      </c>
    </row>
    <row r="949" spans="1:18" x14ac:dyDescent="0.25">
      <c r="A949" s="170">
        <v>43399</v>
      </c>
      <c r="B949" s="116">
        <v>1310.25</v>
      </c>
      <c r="C949" s="116">
        <v>1285.4000000000001</v>
      </c>
      <c r="D949" s="116">
        <v>1253.05</v>
      </c>
      <c r="E949" s="116">
        <v>1280</v>
      </c>
      <c r="F949" s="116">
        <v>1285.4000000000001</v>
      </c>
      <c r="G949">
        <v>2458</v>
      </c>
      <c r="H949" s="116"/>
      <c r="I949" s="116"/>
      <c r="L949" s="170">
        <v>43399</v>
      </c>
      <c r="M949" s="116">
        <v>1288.4000000000001</v>
      </c>
      <c r="N949" s="116">
        <v>1305</v>
      </c>
      <c r="O949" s="116">
        <v>1251</v>
      </c>
      <c r="P949" s="116">
        <v>1280</v>
      </c>
      <c r="Q949" s="116">
        <v>1288.4000000000001</v>
      </c>
      <c r="R949">
        <v>12425</v>
      </c>
    </row>
    <row r="950" spans="1:18" x14ac:dyDescent="0.25">
      <c r="A950" s="170">
        <v>43402</v>
      </c>
      <c r="B950" s="116">
        <v>1346.4</v>
      </c>
      <c r="C950" s="116">
        <v>1339.35</v>
      </c>
      <c r="D950" s="116">
        <v>1287.3</v>
      </c>
      <c r="E950" s="116">
        <v>1295</v>
      </c>
      <c r="F950" s="116">
        <v>1339.35</v>
      </c>
      <c r="G950">
        <v>1910</v>
      </c>
      <c r="H950" s="116"/>
      <c r="I950" s="116"/>
      <c r="L950" s="170">
        <v>43402</v>
      </c>
      <c r="M950" s="116">
        <v>1343.1</v>
      </c>
      <c r="N950" s="116">
        <v>1350</v>
      </c>
      <c r="O950" s="116">
        <v>1286</v>
      </c>
      <c r="P950" s="116">
        <v>1300</v>
      </c>
      <c r="Q950" s="116">
        <v>1343.1</v>
      </c>
      <c r="R950">
        <v>12115</v>
      </c>
    </row>
    <row r="951" spans="1:18" x14ac:dyDescent="0.25">
      <c r="A951" s="170">
        <v>43403</v>
      </c>
      <c r="B951" s="116">
        <v>1395</v>
      </c>
      <c r="C951" s="116">
        <v>1378.3</v>
      </c>
      <c r="D951" s="116">
        <v>1331.4</v>
      </c>
      <c r="E951" s="116">
        <v>1335.5</v>
      </c>
      <c r="F951" s="116">
        <v>1378.3</v>
      </c>
      <c r="G951">
        <v>1965</v>
      </c>
      <c r="H951" s="116"/>
      <c r="I951" s="116"/>
      <c r="L951" s="170">
        <v>43403</v>
      </c>
      <c r="M951" s="116">
        <v>1385.85</v>
      </c>
      <c r="N951" s="116">
        <v>1399</v>
      </c>
      <c r="O951" s="116">
        <v>1323.35</v>
      </c>
      <c r="P951" s="116">
        <v>1353.8</v>
      </c>
      <c r="Q951" s="116">
        <v>1385.85</v>
      </c>
      <c r="R951">
        <v>17720</v>
      </c>
    </row>
    <row r="952" spans="1:18" x14ac:dyDescent="0.25">
      <c r="A952" s="170">
        <v>43404</v>
      </c>
      <c r="B952" s="116">
        <v>1444</v>
      </c>
      <c r="C952" s="116">
        <v>1418.6</v>
      </c>
      <c r="D952" s="116">
        <v>1366.3</v>
      </c>
      <c r="E952" s="116">
        <v>1399.9</v>
      </c>
      <c r="F952" s="116">
        <v>1418.6</v>
      </c>
      <c r="G952">
        <v>1620</v>
      </c>
      <c r="H952" s="116"/>
      <c r="I952" s="116"/>
      <c r="L952" s="170">
        <v>43404</v>
      </c>
      <c r="M952" s="116">
        <v>1420.25</v>
      </c>
      <c r="N952" s="116">
        <v>1444</v>
      </c>
      <c r="O952" s="116">
        <v>1363.8</v>
      </c>
      <c r="P952" s="116">
        <v>1384</v>
      </c>
      <c r="Q952" s="116">
        <v>1420.25</v>
      </c>
      <c r="R952">
        <v>11970</v>
      </c>
    </row>
    <row r="953" spans="1:18" x14ac:dyDescent="0.25">
      <c r="A953" s="170">
        <v>43405</v>
      </c>
      <c r="B953" s="116">
        <v>1450</v>
      </c>
      <c r="C953" s="116">
        <v>1413.35</v>
      </c>
      <c r="D953" s="116">
        <v>1380</v>
      </c>
      <c r="E953" s="116">
        <v>1445.5</v>
      </c>
      <c r="F953" s="116">
        <v>1413.35</v>
      </c>
      <c r="G953">
        <v>2657</v>
      </c>
      <c r="H953" s="116"/>
      <c r="I953" s="116"/>
      <c r="L953" s="170">
        <v>43405</v>
      </c>
      <c r="M953" s="116">
        <v>1422.3</v>
      </c>
      <c r="N953" s="116">
        <v>1460</v>
      </c>
      <c r="O953" s="116">
        <v>1404.25</v>
      </c>
      <c r="P953" s="116">
        <v>1460</v>
      </c>
      <c r="Q953" s="116">
        <v>1422.3</v>
      </c>
      <c r="R953">
        <v>10839</v>
      </c>
    </row>
    <row r="954" spans="1:18" x14ac:dyDescent="0.25">
      <c r="A954" s="170">
        <v>43406</v>
      </c>
      <c r="B954" s="116">
        <v>1448</v>
      </c>
      <c r="C954" s="116">
        <v>1432.05</v>
      </c>
      <c r="D954" s="116">
        <v>1415.05</v>
      </c>
      <c r="E954" s="116">
        <v>1448</v>
      </c>
      <c r="F954" s="116">
        <v>1432.05</v>
      </c>
      <c r="G954">
        <v>1788</v>
      </c>
      <c r="H954" s="116"/>
      <c r="I954" s="116"/>
      <c r="L954" s="170">
        <v>43406</v>
      </c>
      <c r="M954" s="116">
        <v>1440.5</v>
      </c>
      <c r="N954" s="116">
        <v>1450</v>
      </c>
      <c r="O954" s="116">
        <v>1415</v>
      </c>
      <c r="P954" s="116">
        <v>1446</v>
      </c>
      <c r="Q954" s="116">
        <v>1440.5</v>
      </c>
      <c r="R954">
        <v>10606</v>
      </c>
    </row>
    <row r="955" spans="1:18" x14ac:dyDescent="0.25">
      <c r="A955" s="170">
        <v>43409</v>
      </c>
      <c r="B955" s="116">
        <v>1452.45</v>
      </c>
      <c r="C955" s="116">
        <v>1364.85</v>
      </c>
      <c r="D955" s="116">
        <v>1340</v>
      </c>
      <c r="E955" s="116">
        <v>1432.05</v>
      </c>
      <c r="F955" s="116">
        <v>1364.85</v>
      </c>
      <c r="G955">
        <v>3372</v>
      </c>
      <c r="H955" s="116"/>
      <c r="I955" s="116"/>
      <c r="L955" s="170">
        <v>43409</v>
      </c>
      <c r="M955" s="116">
        <v>1359.95</v>
      </c>
      <c r="N955" s="116">
        <v>1455</v>
      </c>
      <c r="O955" s="116">
        <v>1330.1</v>
      </c>
      <c r="P955" s="116">
        <v>1449.95</v>
      </c>
      <c r="Q955" s="116">
        <v>1359.95</v>
      </c>
      <c r="R955">
        <v>46571</v>
      </c>
    </row>
    <row r="956" spans="1:18" x14ac:dyDescent="0.25">
      <c r="A956" s="170">
        <v>43410</v>
      </c>
      <c r="B956" s="116">
        <v>1380</v>
      </c>
      <c r="C956" s="116">
        <v>1356.15</v>
      </c>
      <c r="D956" s="116">
        <v>1348</v>
      </c>
      <c r="E956" s="116">
        <v>1355.05</v>
      </c>
      <c r="F956" s="116">
        <v>1356.15</v>
      </c>
      <c r="G956">
        <v>1187</v>
      </c>
      <c r="H956" s="116"/>
      <c r="I956" s="116"/>
      <c r="L956" s="170">
        <v>43410</v>
      </c>
      <c r="M956" s="116">
        <v>1357.05</v>
      </c>
      <c r="N956" s="116">
        <v>1381.05</v>
      </c>
      <c r="O956" s="116">
        <v>1347</v>
      </c>
      <c r="P956" s="116">
        <v>1365</v>
      </c>
      <c r="Q956" s="116">
        <v>1357.05</v>
      </c>
      <c r="R956">
        <v>10348</v>
      </c>
    </row>
    <row r="957" spans="1:18" x14ac:dyDescent="0.25">
      <c r="A957" s="170">
        <v>43411</v>
      </c>
      <c r="B957" s="116">
        <v>1390</v>
      </c>
      <c r="C957" s="116">
        <v>1382.9</v>
      </c>
      <c r="D957" s="116">
        <v>1356.15</v>
      </c>
      <c r="E957" s="116">
        <v>1356.15</v>
      </c>
      <c r="F957" s="116">
        <v>1382.9</v>
      </c>
      <c r="G957">
        <v>473</v>
      </c>
      <c r="H957" s="116"/>
      <c r="I957" s="116"/>
      <c r="L957" s="170">
        <v>43411</v>
      </c>
      <c r="M957" s="116">
        <v>1383.2</v>
      </c>
      <c r="N957" s="116">
        <v>1389</v>
      </c>
      <c r="O957" s="116">
        <v>1366.4</v>
      </c>
      <c r="P957" s="116">
        <v>1373.6</v>
      </c>
      <c r="Q957" s="116">
        <v>1383.2</v>
      </c>
      <c r="R957">
        <v>4387</v>
      </c>
    </row>
    <row r="958" spans="1:18" x14ac:dyDescent="0.25">
      <c r="A958" s="170">
        <v>43413</v>
      </c>
      <c r="B958" s="116">
        <v>1430</v>
      </c>
      <c r="C958" s="116">
        <v>1425.95</v>
      </c>
      <c r="D958" s="116">
        <v>1369.3</v>
      </c>
      <c r="E958" s="116">
        <v>1388</v>
      </c>
      <c r="F958" s="116">
        <v>1425.95</v>
      </c>
      <c r="G958">
        <v>1571</v>
      </c>
      <c r="H958" s="116"/>
      <c r="I958" s="116"/>
      <c r="L958" s="170">
        <v>43413</v>
      </c>
      <c r="M958" s="116">
        <v>1420.15</v>
      </c>
      <c r="N958" s="116">
        <v>1430</v>
      </c>
      <c r="O958" s="116">
        <v>1375</v>
      </c>
      <c r="P958" s="116">
        <v>1396</v>
      </c>
      <c r="Q958" s="116">
        <v>1420.15</v>
      </c>
      <c r="R958">
        <v>12095</v>
      </c>
    </row>
    <row r="959" spans="1:18" x14ac:dyDescent="0.25">
      <c r="A959" s="170">
        <v>43416</v>
      </c>
      <c r="B959" s="116">
        <v>1420</v>
      </c>
      <c r="C959" s="116">
        <v>1399.9</v>
      </c>
      <c r="D959" s="116">
        <v>1390</v>
      </c>
      <c r="E959" s="116">
        <v>1408</v>
      </c>
      <c r="F959" s="116">
        <v>1399.9</v>
      </c>
      <c r="G959">
        <v>1176</v>
      </c>
      <c r="H959" s="116"/>
      <c r="I959" s="116"/>
      <c r="L959" s="170">
        <v>43416</v>
      </c>
      <c r="M959" s="116">
        <v>1398.1</v>
      </c>
      <c r="N959" s="116">
        <v>1429.9</v>
      </c>
      <c r="O959" s="116">
        <v>1380.5</v>
      </c>
      <c r="P959" s="116">
        <v>1408.3</v>
      </c>
      <c r="Q959" s="116">
        <v>1398.1</v>
      </c>
      <c r="R959">
        <v>8944</v>
      </c>
    </row>
    <row r="960" spans="1:18" x14ac:dyDescent="0.25">
      <c r="A960" s="170">
        <v>43417</v>
      </c>
      <c r="B960" s="116">
        <v>1400</v>
      </c>
      <c r="C960" s="116">
        <v>1382.8</v>
      </c>
      <c r="D960" s="116">
        <v>1374.55</v>
      </c>
      <c r="E960" s="116">
        <v>1377.1</v>
      </c>
      <c r="F960" s="116">
        <v>1382.8</v>
      </c>
      <c r="G960">
        <v>1241</v>
      </c>
      <c r="H960" s="116"/>
      <c r="I960" s="116"/>
      <c r="L960" s="170">
        <v>43417</v>
      </c>
      <c r="M960" s="116">
        <v>1387.75</v>
      </c>
      <c r="N960" s="116">
        <v>1404.95</v>
      </c>
      <c r="O960" s="116">
        <v>1375</v>
      </c>
      <c r="P960" s="116">
        <v>1385.1</v>
      </c>
      <c r="Q960" s="116">
        <v>1387.75</v>
      </c>
      <c r="R960">
        <v>8639</v>
      </c>
    </row>
    <row r="961" spans="1:18" x14ac:dyDescent="0.25">
      <c r="A961" s="170">
        <v>43418</v>
      </c>
      <c r="B961" s="116">
        <v>1393</v>
      </c>
      <c r="C961" s="116">
        <v>1362.8</v>
      </c>
      <c r="D961" s="116">
        <v>1358.9</v>
      </c>
      <c r="E961" s="116">
        <v>1368.05</v>
      </c>
      <c r="F961" s="116">
        <v>1362.8</v>
      </c>
      <c r="G961">
        <v>5347</v>
      </c>
      <c r="H961" s="116"/>
      <c r="I961" s="116"/>
      <c r="L961" s="170">
        <v>43418</v>
      </c>
      <c r="M961" s="116">
        <v>1366.05</v>
      </c>
      <c r="N961" s="116">
        <v>1395</v>
      </c>
      <c r="O961" s="116">
        <v>1355</v>
      </c>
      <c r="P961" s="116">
        <v>1380</v>
      </c>
      <c r="Q961" s="116">
        <v>1366.05</v>
      </c>
      <c r="R961">
        <v>10416</v>
      </c>
    </row>
    <row r="962" spans="1:18" x14ac:dyDescent="0.25">
      <c r="A962" s="170">
        <v>43419</v>
      </c>
      <c r="B962" s="116">
        <v>1392</v>
      </c>
      <c r="C962" s="116">
        <v>1336.35</v>
      </c>
      <c r="D962" s="116">
        <v>1325</v>
      </c>
      <c r="E962" s="116">
        <v>1353.7</v>
      </c>
      <c r="F962" s="116">
        <v>1336.35</v>
      </c>
      <c r="G962">
        <v>4481</v>
      </c>
      <c r="H962" s="116"/>
      <c r="I962" s="116"/>
      <c r="L962" s="170">
        <v>43419</v>
      </c>
      <c r="M962" s="116">
        <v>1344.7</v>
      </c>
      <c r="N962" s="116">
        <v>1391.95</v>
      </c>
      <c r="O962" s="116">
        <v>1322.3</v>
      </c>
      <c r="P962" s="116">
        <v>1368</v>
      </c>
      <c r="Q962" s="116">
        <v>1344.7</v>
      </c>
      <c r="R962">
        <v>12781</v>
      </c>
    </row>
    <row r="963" spans="1:18" x14ac:dyDescent="0.25">
      <c r="A963" s="170">
        <v>43420</v>
      </c>
      <c r="B963" s="116">
        <v>1363.5</v>
      </c>
      <c r="C963" s="116">
        <v>1337.8</v>
      </c>
      <c r="D963" s="116">
        <v>1332.1</v>
      </c>
      <c r="E963" s="116">
        <v>1360.75</v>
      </c>
      <c r="F963" s="116">
        <v>1337.8</v>
      </c>
      <c r="G963">
        <v>2805</v>
      </c>
      <c r="H963" s="116"/>
      <c r="I963" s="116"/>
      <c r="L963" s="170">
        <v>43420</v>
      </c>
      <c r="M963" s="116">
        <v>1349.8</v>
      </c>
      <c r="N963" s="116">
        <v>1359.95</v>
      </c>
      <c r="O963" s="116">
        <v>1332.5</v>
      </c>
      <c r="P963" s="116">
        <v>1332.5</v>
      </c>
      <c r="Q963" s="116">
        <v>1349.8</v>
      </c>
      <c r="R963">
        <v>10271</v>
      </c>
    </row>
    <row r="964" spans="1:18" x14ac:dyDescent="0.25">
      <c r="A964" s="170">
        <v>43423</v>
      </c>
      <c r="B964" s="116">
        <v>1360</v>
      </c>
      <c r="C964" s="116">
        <v>1349.55</v>
      </c>
      <c r="D964" s="116">
        <v>1332.05</v>
      </c>
      <c r="E964" s="116">
        <v>1337.8</v>
      </c>
      <c r="F964" s="116">
        <v>1349.55</v>
      </c>
      <c r="G964">
        <v>1617</v>
      </c>
      <c r="H964" s="116"/>
      <c r="I964" s="116"/>
      <c r="L964" s="170">
        <v>43423</v>
      </c>
      <c r="M964" s="116">
        <v>1351.3</v>
      </c>
      <c r="N964" s="116">
        <v>1360</v>
      </c>
      <c r="O964" s="116">
        <v>1328</v>
      </c>
      <c r="P964" s="116">
        <v>1360</v>
      </c>
      <c r="Q964" s="116">
        <v>1351.3</v>
      </c>
      <c r="R964">
        <v>9775</v>
      </c>
    </row>
    <row r="965" spans="1:18" x14ac:dyDescent="0.25">
      <c r="A965" s="170">
        <v>43424</v>
      </c>
      <c r="B965" s="116">
        <v>1359.35</v>
      </c>
      <c r="C965" s="116">
        <v>1356.1</v>
      </c>
      <c r="D965" s="116">
        <v>1333.35</v>
      </c>
      <c r="E965" s="116">
        <v>1359.35</v>
      </c>
      <c r="F965" s="116">
        <v>1356.1</v>
      </c>
      <c r="G965">
        <v>662</v>
      </c>
      <c r="H965" s="116"/>
      <c r="I965" s="116"/>
      <c r="L965" s="170">
        <v>43424</v>
      </c>
      <c r="M965" s="116">
        <v>1355.5</v>
      </c>
      <c r="N965" s="116">
        <v>1365</v>
      </c>
      <c r="O965" s="116">
        <v>1335.1</v>
      </c>
      <c r="P965" s="116">
        <v>1360</v>
      </c>
      <c r="Q965" s="116">
        <v>1355.5</v>
      </c>
      <c r="R965">
        <v>7217</v>
      </c>
    </row>
    <row r="966" spans="1:18" x14ac:dyDescent="0.25">
      <c r="A966" s="170">
        <v>43425</v>
      </c>
      <c r="B966" s="116">
        <v>1363</v>
      </c>
      <c r="C966" s="116">
        <v>1350.4</v>
      </c>
      <c r="D966" s="116">
        <v>1338.7</v>
      </c>
      <c r="E966" s="116">
        <v>1338.7</v>
      </c>
      <c r="F966" s="116">
        <v>1350.4</v>
      </c>
      <c r="G966">
        <v>392</v>
      </c>
      <c r="H966" s="116"/>
      <c r="I966" s="116"/>
      <c r="L966" s="170">
        <v>43425</v>
      </c>
      <c r="M966" s="116">
        <v>1354.55</v>
      </c>
      <c r="N966" s="116">
        <v>1369.9</v>
      </c>
      <c r="O966" s="116">
        <v>1335.1</v>
      </c>
      <c r="P966" s="116">
        <v>1357.9</v>
      </c>
      <c r="Q966" s="116">
        <v>1354.55</v>
      </c>
      <c r="R966">
        <v>6687</v>
      </c>
    </row>
    <row r="967" spans="1:18" x14ac:dyDescent="0.25">
      <c r="A967" s="170">
        <v>43426</v>
      </c>
      <c r="B967" s="116">
        <v>1358</v>
      </c>
      <c r="C967" s="116">
        <v>1348.9</v>
      </c>
      <c r="D967" s="116">
        <v>1323</v>
      </c>
      <c r="E967" s="116">
        <v>1323</v>
      </c>
      <c r="F967" s="116">
        <v>1348.9</v>
      </c>
      <c r="G967">
        <v>620</v>
      </c>
      <c r="H967" s="116"/>
      <c r="I967" s="116"/>
      <c r="L967" s="170">
        <v>43426</v>
      </c>
      <c r="M967" s="116">
        <v>1351.15</v>
      </c>
      <c r="N967" s="116">
        <v>1374.8</v>
      </c>
      <c r="O967" s="116">
        <v>1340</v>
      </c>
      <c r="P967" s="116">
        <v>1374.8</v>
      </c>
      <c r="Q967" s="116">
        <v>1351.15</v>
      </c>
      <c r="R967">
        <v>4557</v>
      </c>
    </row>
    <row r="968" spans="1:18" x14ac:dyDescent="0.25">
      <c r="A968" s="170">
        <v>43430</v>
      </c>
      <c r="B968" s="116">
        <v>1357.65</v>
      </c>
      <c r="C968" s="116">
        <v>1350.15</v>
      </c>
      <c r="D968" s="116">
        <v>1323</v>
      </c>
      <c r="E968" s="116">
        <v>1345</v>
      </c>
      <c r="F968" s="116">
        <v>1350.15</v>
      </c>
      <c r="G968">
        <v>1244</v>
      </c>
      <c r="H968" s="116"/>
      <c r="I968" s="116"/>
      <c r="L968" s="170">
        <v>43430</v>
      </c>
      <c r="M968" s="116">
        <v>1354.7</v>
      </c>
      <c r="N968" s="116">
        <v>1358.5</v>
      </c>
      <c r="O968" s="116">
        <v>1336.05</v>
      </c>
      <c r="P968" s="116">
        <v>1350.1</v>
      </c>
      <c r="Q968" s="116">
        <v>1354.7</v>
      </c>
      <c r="R968">
        <v>7411</v>
      </c>
    </row>
    <row r="969" spans="1:18" x14ac:dyDescent="0.25">
      <c r="A969" s="170">
        <v>43431</v>
      </c>
      <c r="B969" s="116">
        <v>1399</v>
      </c>
      <c r="C969" s="116">
        <v>1345.5</v>
      </c>
      <c r="D969" s="116">
        <v>1332.6</v>
      </c>
      <c r="E969" s="116">
        <v>1350</v>
      </c>
      <c r="F969" s="116">
        <v>1345.5</v>
      </c>
      <c r="G969">
        <v>1084</v>
      </c>
      <c r="H969" s="116"/>
      <c r="I969" s="116"/>
      <c r="L969" s="170">
        <v>43431</v>
      </c>
      <c r="M969" s="116">
        <v>1338.35</v>
      </c>
      <c r="N969" s="116">
        <v>1353.5</v>
      </c>
      <c r="O969" s="116">
        <v>1330</v>
      </c>
      <c r="P969" s="116">
        <v>1336.3</v>
      </c>
      <c r="Q969" s="116">
        <v>1338.35</v>
      </c>
      <c r="R969">
        <v>13563</v>
      </c>
    </row>
    <row r="970" spans="1:18" x14ac:dyDescent="0.25">
      <c r="A970" s="170">
        <v>43432</v>
      </c>
      <c r="B970" s="116">
        <v>1350</v>
      </c>
      <c r="C970" s="116">
        <v>1323.7</v>
      </c>
      <c r="D970" s="116">
        <v>1315</v>
      </c>
      <c r="E970" s="116">
        <v>1350</v>
      </c>
      <c r="F970" s="116">
        <v>1323.7</v>
      </c>
      <c r="G970">
        <v>3887</v>
      </c>
      <c r="H970" s="116"/>
      <c r="I970" s="116"/>
      <c r="L970" s="170">
        <v>43432</v>
      </c>
      <c r="M970" s="116">
        <v>1324.1</v>
      </c>
      <c r="N970" s="116">
        <v>1345.65</v>
      </c>
      <c r="O970" s="116">
        <v>1313</v>
      </c>
      <c r="P970" s="116">
        <v>1342.35</v>
      </c>
      <c r="Q970" s="116">
        <v>1324.1</v>
      </c>
      <c r="R970">
        <v>12245</v>
      </c>
    </row>
    <row r="971" spans="1:18" x14ac:dyDescent="0.25">
      <c r="A971" s="170">
        <v>43433</v>
      </c>
      <c r="B971" s="116">
        <v>1347.5</v>
      </c>
      <c r="C971" s="116">
        <v>1338.7</v>
      </c>
      <c r="D971" s="116">
        <v>1326.7</v>
      </c>
      <c r="E971" s="116">
        <v>1335</v>
      </c>
      <c r="F971" s="116">
        <v>1338.7</v>
      </c>
      <c r="G971">
        <v>427</v>
      </c>
      <c r="H971" s="116"/>
      <c r="I971" s="116"/>
      <c r="L971" s="170">
        <v>43433</v>
      </c>
      <c r="M971" s="116">
        <v>1342.25</v>
      </c>
      <c r="N971" s="116">
        <v>1351.9</v>
      </c>
      <c r="O971" s="116">
        <v>1326</v>
      </c>
      <c r="P971" s="116">
        <v>1339.95</v>
      </c>
      <c r="Q971" s="116">
        <v>1342.25</v>
      </c>
      <c r="R971">
        <v>9358</v>
      </c>
    </row>
    <row r="972" spans="1:18" x14ac:dyDescent="0.25">
      <c r="A972" s="170">
        <v>43434</v>
      </c>
      <c r="B972" s="116">
        <v>1373.4</v>
      </c>
      <c r="C972" s="116">
        <v>1354.2</v>
      </c>
      <c r="D972" s="116">
        <v>1340.4</v>
      </c>
      <c r="E972" s="116">
        <v>1344.7</v>
      </c>
      <c r="F972" s="116">
        <v>1354.2</v>
      </c>
      <c r="G972">
        <v>1472</v>
      </c>
      <c r="H972" s="116"/>
      <c r="I972" s="116"/>
      <c r="L972" s="170">
        <v>43434</v>
      </c>
      <c r="M972" s="116">
        <v>1360.5</v>
      </c>
      <c r="N972" s="116">
        <v>1377.55</v>
      </c>
      <c r="O972" s="116">
        <v>1340.1</v>
      </c>
      <c r="P972" s="116">
        <v>1346.9</v>
      </c>
      <c r="Q972" s="116">
        <v>1360.5</v>
      </c>
      <c r="R972">
        <v>11965</v>
      </c>
    </row>
    <row r="973" spans="1:18" x14ac:dyDescent="0.25">
      <c r="A973" s="170">
        <v>43437</v>
      </c>
      <c r="B973" s="116">
        <v>1419</v>
      </c>
      <c r="C973" s="116">
        <v>1384.2</v>
      </c>
      <c r="D973" s="116">
        <v>1313.85</v>
      </c>
      <c r="E973" s="116">
        <v>1390</v>
      </c>
      <c r="F973" s="116">
        <v>1384.2</v>
      </c>
      <c r="G973">
        <v>2566</v>
      </c>
      <c r="H973" s="116"/>
      <c r="I973" s="116"/>
      <c r="L973" s="170">
        <v>43437</v>
      </c>
      <c r="M973" s="116">
        <v>1381</v>
      </c>
      <c r="N973" s="116">
        <v>1415.5</v>
      </c>
      <c r="O973" s="116">
        <v>1338.3</v>
      </c>
      <c r="P973" s="116">
        <v>1360</v>
      </c>
      <c r="Q973" s="116">
        <v>1381</v>
      </c>
      <c r="R973">
        <v>26552</v>
      </c>
    </row>
    <row r="974" spans="1:18" x14ac:dyDescent="0.25">
      <c r="A974" s="170">
        <v>43438</v>
      </c>
      <c r="B974" s="116">
        <v>1440.9</v>
      </c>
      <c r="C974" s="116">
        <v>1391.5</v>
      </c>
      <c r="D974" s="116">
        <v>1375.35</v>
      </c>
      <c r="E974" s="116">
        <v>1418</v>
      </c>
      <c r="F974" s="116">
        <v>1391.5</v>
      </c>
      <c r="G974">
        <v>3743</v>
      </c>
      <c r="H974" s="116"/>
      <c r="I974" s="116"/>
      <c r="L974" s="170">
        <v>43438</v>
      </c>
      <c r="M974" s="116">
        <v>1395.85</v>
      </c>
      <c r="N974" s="116">
        <v>1448.85</v>
      </c>
      <c r="O974" s="116">
        <v>1375</v>
      </c>
      <c r="P974" s="116">
        <v>1401</v>
      </c>
      <c r="Q974" s="116">
        <v>1395.85</v>
      </c>
      <c r="R974">
        <v>24529</v>
      </c>
    </row>
    <row r="975" spans="1:18" x14ac:dyDescent="0.25">
      <c r="A975" s="170">
        <v>43439</v>
      </c>
      <c r="B975" s="116">
        <v>1393</v>
      </c>
      <c r="C975" s="116">
        <v>1377.1</v>
      </c>
      <c r="D975" s="116">
        <v>1365</v>
      </c>
      <c r="E975" s="116">
        <v>1388.45</v>
      </c>
      <c r="F975" s="116">
        <v>1377.1</v>
      </c>
      <c r="G975">
        <v>1015</v>
      </c>
      <c r="H975" s="116"/>
      <c r="I975" s="116"/>
      <c r="L975" s="170">
        <v>43439</v>
      </c>
      <c r="M975" s="116">
        <v>1376.4</v>
      </c>
      <c r="N975" s="116">
        <v>1400</v>
      </c>
      <c r="O975" s="116">
        <v>1360.35</v>
      </c>
      <c r="P975" s="116">
        <v>1399.35</v>
      </c>
      <c r="Q975" s="116">
        <v>1376.4</v>
      </c>
      <c r="R975">
        <v>9623</v>
      </c>
    </row>
    <row r="976" spans="1:18" x14ac:dyDescent="0.25">
      <c r="A976" s="170">
        <v>43440</v>
      </c>
      <c r="B976" s="116">
        <v>1362.8</v>
      </c>
      <c r="C976" s="116">
        <v>1355.15</v>
      </c>
      <c r="D976" s="116">
        <v>1347</v>
      </c>
      <c r="E976" s="116">
        <v>1360.15</v>
      </c>
      <c r="F976" s="116">
        <v>1355.15</v>
      </c>
      <c r="G976">
        <v>464</v>
      </c>
      <c r="H976" s="116"/>
      <c r="I976" s="116"/>
      <c r="L976" s="170">
        <v>43440</v>
      </c>
      <c r="M976" s="116">
        <v>1355.1</v>
      </c>
      <c r="N976" s="116">
        <v>1364.85</v>
      </c>
      <c r="O976" s="116">
        <v>1345.05</v>
      </c>
      <c r="P976" s="116">
        <v>1356</v>
      </c>
      <c r="Q976" s="116">
        <v>1355.1</v>
      </c>
      <c r="R976">
        <v>8499</v>
      </c>
    </row>
    <row r="977" spans="1:18" x14ac:dyDescent="0.25">
      <c r="A977" s="170">
        <v>43441</v>
      </c>
      <c r="B977" s="116">
        <v>1375</v>
      </c>
      <c r="C977" s="116">
        <v>1350.4</v>
      </c>
      <c r="D977" s="116">
        <v>1337</v>
      </c>
      <c r="E977" s="116">
        <v>1341.05</v>
      </c>
      <c r="F977" s="116">
        <v>1350.4</v>
      </c>
      <c r="G977">
        <v>757</v>
      </c>
      <c r="H977" s="116"/>
      <c r="I977" s="116"/>
      <c r="L977" s="170">
        <v>43441</v>
      </c>
      <c r="M977" s="116">
        <v>1354.1</v>
      </c>
      <c r="N977" s="116">
        <v>1398</v>
      </c>
      <c r="O977" s="116">
        <v>1340</v>
      </c>
      <c r="P977" s="116">
        <v>1348</v>
      </c>
      <c r="Q977" s="116">
        <v>1354.1</v>
      </c>
      <c r="R977">
        <v>8168</v>
      </c>
    </row>
    <row r="978" spans="1:18" x14ac:dyDescent="0.25">
      <c r="A978" s="170">
        <v>43444</v>
      </c>
      <c r="B978" s="116">
        <v>1365</v>
      </c>
      <c r="C978" s="116">
        <v>1355.45</v>
      </c>
      <c r="D978" s="116">
        <v>1325.25</v>
      </c>
      <c r="E978" s="116">
        <v>1354</v>
      </c>
      <c r="F978" s="116">
        <v>1355.45</v>
      </c>
      <c r="G978">
        <v>1125</v>
      </c>
      <c r="H978" s="116"/>
      <c r="I978" s="116"/>
      <c r="L978" s="170">
        <v>43444</v>
      </c>
      <c r="M978" s="116">
        <v>1355.25</v>
      </c>
      <c r="N978" s="116">
        <v>1368.35</v>
      </c>
      <c r="O978" s="116">
        <v>1324.3</v>
      </c>
      <c r="P978" s="116">
        <v>1341.55</v>
      </c>
      <c r="Q978" s="116">
        <v>1355.25</v>
      </c>
      <c r="R978">
        <v>10404</v>
      </c>
    </row>
    <row r="979" spans="1:18" x14ac:dyDescent="0.25">
      <c r="A979" s="170">
        <v>43445</v>
      </c>
      <c r="B979" s="116">
        <v>1388.95</v>
      </c>
      <c r="C979" s="116">
        <v>1370.4</v>
      </c>
      <c r="D979" s="116">
        <v>1313</v>
      </c>
      <c r="E979" s="116">
        <v>1335</v>
      </c>
      <c r="F979" s="116">
        <v>1370.4</v>
      </c>
      <c r="G979">
        <v>2657</v>
      </c>
      <c r="H979" s="116"/>
      <c r="I979" s="116"/>
      <c r="L979" s="170">
        <v>43445</v>
      </c>
      <c r="M979" s="116">
        <v>1366.4</v>
      </c>
      <c r="N979" s="116">
        <v>1390</v>
      </c>
      <c r="O979" s="116">
        <v>1323.8</v>
      </c>
      <c r="P979" s="116">
        <v>1341.75</v>
      </c>
      <c r="Q979" s="116">
        <v>1366.4</v>
      </c>
      <c r="R979">
        <v>8534</v>
      </c>
    </row>
    <row r="980" spans="1:18" x14ac:dyDescent="0.25">
      <c r="A980" s="170">
        <v>43446</v>
      </c>
      <c r="B980" s="116">
        <v>1391</v>
      </c>
      <c r="C980" s="116">
        <v>1386.8</v>
      </c>
      <c r="D980" s="116">
        <v>1359.65</v>
      </c>
      <c r="E980" s="116">
        <v>1372.75</v>
      </c>
      <c r="F980" s="116">
        <v>1386.8</v>
      </c>
      <c r="G980">
        <v>1050</v>
      </c>
      <c r="H980" s="116"/>
      <c r="I980" s="116"/>
      <c r="L980" s="170">
        <v>43446</v>
      </c>
      <c r="M980" s="116">
        <v>1388.15</v>
      </c>
      <c r="N980" s="116">
        <v>1395.8</v>
      </c>
      <c r="O980" s="116">
        <v>1358.45</v>
      </c>
      <c r="P980" s="116">
        <v>1377</v>
      </c>
      <c r="Q980" s="116">
        <v>1388.15</v>
      </c>
      <c r="R980">
        <v>11153</v>
      </c>
    </row>
    <row r="981" spans="1:18" x14ac:dyDescent="0.25">
      <c r="A981" s="170">
        <v>43447</v>
      </c>
      <c r="B981" s="116">
        <v>1410.8</v>
      </c>
      <c r="C981" s="116">
        <v>1393.85</v>
      </c>
      <c r="D981" s="116">
        <v>1375.05</v>
      </c>
      <c r="E981" s="116">
        <v>1376</v>
      </c>
      <c r="F981" s="116">
        <v>1393.85</v>
      </c>
      <c r="G981">
        <v>1309</v>
      </c>
      <c r="H981" s="116"/>
      <c r="I981" s="116"/>
      <c r="L981" s="170">
        <v>43447</v>
      </c>
      <c r="M981" s="116">
        <v>1402.05</v>
      </c>
      <c r="N981" s="116">
        <v>1410</v>
      </c>
      <c r="O981" s="116">
        <v>1371.3</v>
      </c>
      <c r="P981" s="116">
        <v>1399.95</v>
      </c>
      <c r="Q981" s="116">
        <v>1402.05</v>
      </c>
      <c r="R981">
        <v>9918</v>
      </c>
    </row>
    <row r="982" spans="1:18" x14ac:dyDescent="0.25">
      <c r="A982" s="170">
        <v>43448</v>
      </c>
      <c r="B982" s="116">
        <v>1402.2</v>
      </c>
      <c r="C982" s="116">
        <v>1383.05</v>
      </c>
      <c r="D982" s="116">
        <v>1375</v>
      </c>
      <c r="E982" s="116">
        <v>1402.2</v>
      </c>
      <c r="F982" s="116">
        <v>1383.05</v>
      </c>
      <c r="G982">
        <v>450</v>
      </c>
      <c r="H982" s="116"/>
      <c r="I982" s="116"/>
      <c r="L982" s="170">
        <v>43448</v>
      </c>
      <c r="M982" s="116">
        <v>1384.35</v>
      </c>
      <c r="N982" s="116">
        <v>1410.5</v>
      </c>
      <c r="O982" s="116">
        <v>1379.2</v>
      </c>
      <c r="P982" s="116">
        <v>1410</v>
      </c>
      <c r="Q982" s="116">
        <v>1384.35</v>
      </c>
      <c r="R982">
        <v>9299</v>
      </c>
    </row>
    <row r="983" spans="1:18" x14ac:dyDescent="0.25">
      <c r="A983" s="170">
        <v>43451</v>
      </c>
      <c r="B983" s="116">
        <v>1416.95</v>
      </c>
      <c r="C983" s="116">
        <v>1407.6</v>
      </c>
      <c r="D983" s="116">
        <v>1381.9</v>
      </c>
      <c r="E983" s="116">
        <v>1383.05</v>
      </c>
      <c r="F983" s="116">
        <v>1407.6</v>
      </c>
      <c r="G983">
        <v>3373</v>
      </c>
      <c r="H983" s="116"/>
      <c r="I983" s="116"/>
      <c r="L983" s="170">
        <v>43451</v>
      </c>
      <c r="M983" s="116">
        <v>1411.05</v>
      </c>
      <c r="N983" s="116">
        <v>1420</v>
      </c>
      <c r="O983" s="116">
        <v>1377.55</v>
      </c>
      <c r="P983" s="116">
        <v>1381.2</v>
      </c>
      <c r="Q983" s="116">
        <v>1411.05</v>
      </c>
      <c r="R983">
        <v>15465</v>
      </c>
    </row>
    <row r="984" spans="1:18" x14ac:dyDescent="0.25">
      <c r="A984" s="170">
        <v>43452</v>
      </c>
      <c r="B984" s="116">
        <v>1424</v>
      </c>
      <c r="C984" s="116">
        <v>1419.25</v>
      </c>
      <c r="D984" s="116">
        <v>1391</v>
      </c>
      <c r="E984" s="116">
        <v>1402.2</v>
      </c>
      <c r="F984" s="116">
        <v>1419.25</v>
      </c>
      <c r="G984">
        <v>984</v>
      </c>
      <c r="H984" s="116"/>
      <c r="I984" s="116"/>
      <c r="L984" s="170">
        <v>43452</v>
      </c>
      <c r="M984" s="116">
        <v>1421.8</v>
      </c>
      <c r="N984" s="116">
        <v>1428.95</v>
      </c>
      <c r="O984" s="116">
        <v>1392.8</v>
      </c>
      <c r="P984" s="116">
        <v>1405</v>
      </c>
      <c r="Q984" s="116">
        <v>1421.8</v>
      </c>
      <c r="R984">
        <v>9555</v>
      </c>
    </row>
    <row r="985" spans="1:18" x14ac:dyDescent="0.25">
      <c r="A985" s="170">
        <v>43453</v>
      </c>
      <c r="B985" s="116">
        <v>1469</v>
      </c>
      <c r="C985" s="116">
        <v>1450.4</v>
      </c>
      <c r="D985" s="116">
        <v>1413.95</v>
      </c>
      <c r="E985" s="116">
        <v>1423.85</v>
      </c>
      <c r="F985" s="116">
        <v>1450.4</v>
      </c>
      <c r="G985">
        <v>2995</v>
      </c>
      <c r="H985" s="116"/>
      <c r="I985" s="116"/>
      <c r="L985" s="170">
        <v>43453</v>
      </c>
      <c r="M985" s="116">
        <v>1454.6</v>
      </c>
      <c r="N985" s="116">
        <v>1470</v>
      </c>
      <c r="O985" s="116">
        <v>1412.45</v>
      </c>
      <c r="P985" s="116">
        <v>1429.9</v>
      </c>
      <c r="Q985" s="116">
        <v>1454.6</v>
      </c>
      <c r="R985">
        <v>23388</v>
      </c>
    </row>
    <row r="986" spans="1:18" x14ac:dyDescent="0.25">
      <c r="A986" s="170">
        <v>43454</v>
      </c>
      <c r="B986" s="116">
        <v>1485</v>
      </c>
      <c r="C986" s="116">
        <v>1469.1</v>
      </c>
      <c r="D986" s="116">
        <v>1453.7</v>
      </c>
      <c r="E986" s="116">
        <v>1468</v>
      </c>
      <c r="F986" s="116">
        <v>1469.1</v>
      </c>
      <c r="G986">
        <v>2550</v>
      </c>
      <c r="H986" s="116"/>
      <c r="I986" s="116"/>
      <c r="L986" s="170">
        <v>43454</v>
      </c>
      <c r="M986" s="116">
        <v>1471.2</v>
      </c>
      <c r="N986" s="116">
        <v>1494</v>
      </c>
      <c r="O986" s="116">
        <v>1450.9</v>
      </c>
      <c r="P986" s="116">
        <v>1454.6</v>
      </c>
      <c r="Q986" s="116">
        <v>1471.2</v>
      </c>
      <c r="R986">
        <v>26223</v>
      </c>
    </row>
    <row r="987" spans="1:18" x14ac:dyDescent="0.25">
      <c r="A987" s="170">
        <v>43455</v>
      </c>
      <c r="B987" s="116">
        <v>1463</v>
      </c>
      <c r="C987" s="116">
        <v>1440.75</v>
      </c>
      <c r="D987" s="116">
        <v>1401</v>
      </c>
      <c r="E987" s="116">
        <v>1460</v>
      </c>
      <c r="F987" s="116">
        <v>1440.75</v>
      </c>
      <c r="G987">
        <v>1466</v>
      </c>
      <c r="H987" s="116"/>
      <c r="I987" s="116"/>
      <c r="L987" s="170">
        <v>43455</v>
      </c>
      <c r="M987" s="116">
        <v>1445.4</v>
      </c>
      <c r="N987" s="116">
        <v>1474</v>
      </c>
      <c r="O987" s="116">
        <v>1397</v>
      </c>
      <c r="P987" s="116">
        <v>1474</v>
      </c>
      <c r="Q987" s="116">
        <v>1445.4</v>
      </c>
      <c r="R987">
        <v>20571</v>
      </c>
    </row>
    <row r="988" spans="1:18" x14ac:dyDescent="0.25">
      <c r="A988" s="170">
        <v>43458</v>
      </c>
      <c r="B988" s="116">
        <v>1459</v>
      </c>
      <c r="C988" s="116">
        <v>1449.2</v>
      </c>
      <c r="D988" s="116">
        <v>1412.65</v>
      </c>
      <c r="E988" s="116">
        <v>1450.6</v>
      </c>
      <c r="F988" s="116">
        <v>1449.2</v>
      </c>
      <c r="G988">
        <v>594</v>
      </c>
      <c r="H988" s="116"/>
      <c r="I988" s="116"/>
      <c r="L988" s="170">
        <v>43458</v>
      </c>
      <c r="M988" s="116">
        <v>1455.3</v>
      </c>
      <c r="N988" s="116">
        <v>1465</v>
      </c>
      <c r="O988" s="116">
        <v>1411</v>
      </c>
      <c r="P988" s="116">
        <v>1450</v>
      </c>
      <c r="Q988" s="116">
        <v>1455.3</v>
      </c>
      <c r="R988">
        <v>12347</v>
      </c>
    </row>
    <row r="989" spans="1:18" x14ac:dyDescent="0.25">
      <c r="A989" s="170">
        <v>43460</v>
      </c>
      <c r="B989" s="116">
        <v>1515</v>
      </c>
      <c r="C989" s="116">
        <v>1495.2</v>
      </c>
      <c r="D989" s="116">
        <v>1402.4</v>
      </c>
      <c r="E989" s="116">
        <v>1449</v>
      </c>
      <c r="F989" s="116">
        <v>1495.2</v>
      </c>
      <c r="G989">
        <v>2604</v>
      </c>
      <c r="H989" s="116"/>
      <c r="I989" s="116"/>
      <c r="L989" s="170">
        <v>43460</v>
      </c>
      <c r="M989" s="116">
        <v>1497.1</v>
      </c>
      <c r="N989" s="116">
        <v>1520</v>
      </c>
      <c r="O989" s="116">
        <v>1420</v>
      </c>
      <c r="P989" s="116">
        <v>1455.3</v>
      </c>
      <c r="Q989" s="116">
        <v>1497.1</v>
      </c>
      <c r="R989">
        <v>17872</v>
      </c>
    </row>
    <row r="990" spans="1:18" x14ac:dyDescent="0.25">
      <c r="A990" s="170">
        <v>43461</v>
      </c>
      <c r="B990" s="116">
        <v>1518.45</v>
      </c>
      <c r="C990" s="116">
        <v>1497.6</v>
      </c>
      <c r="D990" s="116">
        <v>1470.85</v>
      </c>
      <c r="E990" s="116">
        <v>1507.25</v>
      </c>
      <c r="F990" s="116">
        <v>1497.6</v>
      </c>
      <c r="G990">
        <v>3665</v>
      </c>
      <c r="H990" s="116"/>
      <c r="I990" s="116"/>
      <c r="L990" s="170">
        <v>43461</v>
      </c>
      <c r="M990" s="116">
        <v>1505.65</v>
      </c>
      <c r="N990" s="116">
        <v>1515</v>
      </c>
      <c r="O990" s="116">
        <v>1472</v>
      </c>
      <c r="P990" s="116">
        <v>1504.25</v>
      </c>
      <c r="Q990" s="116">
        <v>1505.65</v>
      </c>
      <c r="R990">
        <v>15565</v>
      </c>
    </row>
    <row r="991" spans="1:18" x14ac:dyDescent="0.25">
      <c r="A991" s="170">
        <v>43462</v>
      </c>
      <c r="B991" s="116">
        <v>1515</v>
      </c>
      <c r="C991" s="116">
        <v>1509.15</v>
      </c>
      <c r="D991" s="116">
        <v>1488.45</v>
      </c>
      <c r="E991" s="116">
        <v>1490.9</v>
      </c>
      <c r="F991" s="116">
        <v>1509.15</v>
      </c>
      <c r="G991">
        <v>1150</v>
      </c>
      <c r="H991" s="116"/>
      <c r="I991" s="116"/>
      <c r="L991" s="170">
        <v>43462</v>
      </c>
      <c r="M991" s="116">
        <v>1512.05</v>
      </c>
      <c r="N991" s="116">
        <v>1515</v>
      </c>
      <c r="O991" s="116">
        <v>1487</v>
      </c>
      <c r="P991" s="116">
        <v>1508.2</v>
      </c>
      <c r="Q991" s="116">
        <v>1512.05</v>
      </c>
      <c r="R991">
        <v>13948</v>
      </c>
    </row>
    <row r="992" spans="1:18" x14ac:dyDescent="0.25">
      <c r="A992" s="170">
        <v>43465</v>
      </c>
      <c r="B992" s="116">
        <v>1520</v>
      </c>
      <c r="C992" s="116">
        <v>1511.6</v>
      </c>
      <c r="D992" s="116">
        <v>1492.45</v>
      </c>
      <c r="E992" s="116">
        <v>1508.05</v>
      </c>
      <c r="F992" s="116">
        <v>1511.6</v>
      </c>
      <c r="G992">
        <v>556</v>
      </c>
      <c r="H992" s="116"/>
      <c r="I992" s="116"/>
      <c r="L992" s="170">
        <v>43465</v>
      </c>
      <c r="M992" s="116">
        <v>1515.35</v>
      </c>
      <c r="N992" s="116">
        <v>1519</v>
      </c>
      <c r="O992" s="116">
        <v>1494.75</v>
      </c>
      <c r="P992" s="116">
        <v>1510.1</v>
      </c>
      <c r="Q992" s="116">
        <v>1515.35</v>
      </c>
      <c r="R992">
        <v>13299</v>
      </c>
    </row>
    <row r="993" spans="1:18" x14ac:dyDescent="0.25">
      <c r="A993" s="170">
        <v>43466</v>
      </c>
      <c r="B993" s="116">
        <v>1519.95</v>
      </c>
      <c r="C993" s="116">
        <v>1495.7</v>
      </c>
      <c r="D993" s="116">
        <v>1490</v>
      </c>
      <c r="E993" s="116">
        <v>1493</v>
      </c>
      <c r="F993" s="116">
        <v>1495.7</v>
      </c>
      <c r="G993">
        <v>2056</v>
      </c>
      <c r="H993" s="116"/>
      <c r="I993" s="116"/>
      <c r="L993" s="170">
        <v>43466</v>
      </c>
      <c r="M993" s="116">
        <v>1498</v>
      </c>
      <c r="N993" s="116">
        <v>1510.95</v>
      </c>
      <c r="O993" s="116">
        <v>1490</v>
      </c>
      <c r="P993" s="116">
        <v>1500.35</v>
      </c>
      <c r="Q993" s="116">
        <v>1498</v>
      </c>
      <c r="R993">
        <v>4785</v>
      </c>
    </row>
    <row r="994" spans="1:18" x14ac:dyDescent="0.25">
      <c r="A994" s="170">
        <v>43467</v>
      </c>
      <c r="B994" s="116">
        <v>1544.95</v>
      </c>
      <c r="C994" s="116">
        <v>1492.35</v>
      </c>
      <c r="D994" s="116">
        <v>1485.05</v>
      </c>
      <c r="E994" s="116">
        <v>1544.95</v>
      </c>
      <c r="F994" s="116">
        <v>1492.35</v>
      </c>
      <c r="G994">
        <v>377</v>
      </c>
      <c r="H994" s="116"/>
      <c r="I994" s="116"/>
      <c r="L994" s="170">
        <v>43467</v>
      </c>
      <c r="M994" s="116">
        <v>1497.55</v>
      </c>
      <c r="N994" s="116">
        <v>1512</v>
      </c>
      <c r="O994" s="116">
        <v>1487.75</v>
      </c>
      <c r="P994" s="116">
        <v>1512</v>
      </c>
      <c r="Q994" s="116">
        <v>1497.55</v>
      </c>
      <c r="R994">
        <v>6845</v>
      </c>
    </row>
    <row r="995" spans="1:18" x14ac:dyDescent="0.25">
      <c r="A995" s="170">
        <v>43468</v>
      </c>
      <c r="B995" s="116">
        <v>1500</v>
      </c>
      <c r="C995" s="116">
        <v>1465</v>
      </c>
      <c r="D995" s="116">
        <v>1450.4</v>
      </c>
      <c r="E995" s="116">
        <v>1496.4</v>
      </c>
      <c r="F995" s="116">
        <v>1465</v>
      </c>
      <c r="G995">
        <v>1130</v>
      </c>
      <c r="H995" s="116"/>
      <c r="I995" s="116"/>
      <c r="L995" s="170">
        <v>43468</v>
      </c>
      <c r="M995" s="116">
        <v>1472.05</v>
      </c>
      <c r="N995" s="116">
        <v>1510</v>
      </c>
      <c r="O995" s="116">
        <v>1444.95</v>
      </c>
      <c r="P995" s="116">
        <v>1497.55</v>
      </c>
      <c r="Q995" s="116">
        <v>1472.05</v>
      </c>
      <c r="R995">
        <v>13004</v>
      </c>
    </row>
    <row r="996" spans="1:18" x14ac:dyDescent="0.25">
      <c r="A996" s="170">
        <v>43469</v>
      </c>
      <c r="B996" s="116">
        <v>1481.8</v>
      </c>
      <c r="C996" s="116">
        <v>1445.8</v>
      </c>
      <c r="D996" s="116">
        <v>1441</v>
      </c>
      <c r="E996" s="116">
        <v>1481.35</v>
      </c>
      <c r="F996" s="116">
        <v>1445.8</v>
      </c>
      <c r="G996">
        <v>1217</v>
      </c>
      <c r="H996" s="116"/>
      <c r="I996" s="116"/>
      <c r="L996" s="170">
        <v>43469</v>
      </c>
      <c r="M996" s="116">
        <v>1450</v>
      </c>
      <c r="N996" s="116">
        <v>1482</v>
      </c>
      <c r="O996" s="116">
        <v>1439.95</v>
      </c>
      <c r="P996" s="116">
        <v>1478.3</v>
      </c>
      <c r="Q996" s="116">
        <v>1450</v>
      </c>
      <c r="R996">
        <v>15084</v>
      </c>
    </row>
    <row r="997" spans="1:18" x14ac:dyDescent="0.25">
      <c r="A997" s="170">
        <v>43472</v>
      </c>
      <c r="B997" s="116">
        <v>1468.95</v>
      </c>
      <c r="C997" s="116">
        <v>1455.9</v>
      </c>
      <c r="D997" s="116">
        <v>1438.05</v>
      </c>
      <c r="E997" s="116">
        <v>1450</v>
      </c>
      <c r="F997" s="116">
        <v>1455.9</v>
      </c>
      <c r="G997">
        <v>1149</v>
      </c>
      <c r="H997" s="116"/>
      <c r="I997" s="116"/>
      <c r="L997" s="170">
        <v>43472</v>
      </c>
      <c r="M997" s="116">
        <v>1457.9</v>
      </c>
      <c r="N997" s="116">
        <v>1464.45</v>
      </c>
      <c r="O997" s="116">
        <v>1442.6</v>
      </c>
      <c r="P997" s="116">
        <v>1450</v>
      </c>
      <c r="Q997" s="116">
        <v>1457.9</v>
      </c>
      <c r="R997">
        <v>8561</v>
      </c>
    </row>
    <row r="998" spans="1:18" x14ac:dyDescent="0.25">
      <c r="A998" s="170">
        <v>43473</v>
      </c>
      <c r="B998" s="116">
        <v>1455</v>
      </c>
      <c r="C998" s="116">
        <v>1448.45</v>
      </c>
      <c r="D998" s="116">
        <v>1433.9</v>
      </c>
      <c r="E998" s="116">
        <v>1434.4</v>
      </c>
      <c r="F998" s="116">
        <v>1448.45</v>
      </c>
      <c r="G998">
        <v>1590</v>
      </c>
      <c r="H998" s="116"/>
      <c r="I998" s="116"/>
      <c r="L998" s="170">
        <v>43473</v>
      </c>
      <c r="M998" s="116">
        <v>1447.85</v>
      </c>
      <c r="N998" s="116">
        <v>1459.8</v>
      </c>
      <c r="O998" s="116">
        <v>1431.1</v>
      </c>
      <c r="P998" s="116">
        <v>1450.1</v>
      </c>
      <c r="Q998" s="116">
        <v>1447.85</v>
      </c>
      <c r="R998">
        <v>11747</v>
      </c>
    </row>
    <row r="999" spans="1:18" x14ac:dyDescent="0.25">
      <c r="A999" s="170">
        <v>43474</v>
      </c>
      <c r="B999" s="116">
        <v>1474.9</v>
      </c>
      <c r="C999" s="116">
        <v>1457.55</v>
      </c>
      <c r="D999" s="116">
        <v>1442.05</v>
      </c>
      <c r="E999" s="116">
        <v>1445.65</v>
      </c>
      <c r="F999" s="116">
        <v>1457.55</v>
      </c>
      <c r="G999">
        <v>674</v>
      </c>
      <c r="H999" s="116"/>
      <c r="I999" s="116"/>
      <c r="L999" s="170">
        <v>43474</v>
      </c>
      <c r="M999" s="116">
        <v>1464.55</v>
      </c>
      <c r="N999" s="116">
        <v>1473.95</v>
      </c>
      <c r="O999" s="116">
        <v>1441</v>
      </c>
      <c r="P999" s="116">
        <v>1447.9</v>
      </c>
      <c r="Q999" s="116">
        <v>1464.55</v>
      </c>
      <c r="R999">
        <v>16430</v>
      </c>
    </row>
    <row r="1000" spans="1:18" x14ac:dyDescent="0.25">
      <c r="A1000" s="170">
        <v>43475</v>
      </c>
      <c r="B1000" s="116">
        <v>1493.75</v>
      </c>
      <c r="C1000" s="116">
        <v>1479.95</v>
      </c>
      <c r="D1000" s="116">
        <v>1438</v>
      </c>
      <c r="E1000" s="116">
        <v>1440.55</v>
      </c>
      <c r="F1000" s="116">
        <v>1479.95</v>
      </c>
      <c r="G1000">
        <v>688</v>
      </c>
      <c r="H1000" s="116"/>
      <c r="I1000" s="116"/>
      <c r="L1000" s="170">
        <v>43475</v>
      </c>
      <c r="M1000" s="116">
        <v>1483</v>
      </c>
      <c r="N1000" s="116">
        <v>1496.8</v>
      </c>
      <c r="O1000" s="116">
        <v>1446.35</v>
      </c>
      <c r="P1000" s="116">
        <v>1465</v>
      </c>
      <c r="Q1000" s="116">
        <v>1483</v>
      </c>
      <c r="R1000">
        <v>12102</v>
      </c>
    </row>
    <row r="1001" spans="1:18" x14ac:dyDescent="0.25">
      <c r="A1001" s="170">
        <v>43476</v>
      </c>
      <c r="B1001" s="116">
        <v>1488.9</v>
      </c>
      <c r="C1001" s="116">
        <v>1473.7</v>
      </c>
      <c r="D1001" s="116">
        <v>1455</v>
      </c>
      <c r="E1001" s="116">
        <v>1479.4</v>
      </c>
      <c r="F1001" s="116">
        <v>1473.7</v>
      </c>
      <c r="G1001">
        <v>774</v>
      </c>
      <c r="H1001" s="116"/>
      <c r="I1001" s="116"/>
      <c r="L1001" s="170">
        <v>43476</v>
      </c>
      <c r="M1001" s="116">
        <v>1484.05</v>
      </c>
      <c r="N1001" s="116">
        <v>1495</v>
      </c>
      <c r="O1001" s="116">
        <v>1451</v>
      </c>
      <c r="P1001" s="116">
        <v>1477</v>
      </c>
      <c r="Q1001" s="116">
        <v>1484.05</v>
      </c>
      <c r="R1001">
        <v>12593</v>
      </c>
    </row>
    <row r="1002" spans="1:18" x14ac:dyDescent="0.25">
      <c r="A1002" s="170">
        <v>43479</v>
      </c>
      <c r="B1002" s="116">
        <v>1492.45</v>
      </c>
      <c r="C1002" s="116">
        <v>1474.2</v>
      </c>
      <c r="D1002" s="116">
        <v>1453.4</v>
      </c>
      <c r="E1002" s="116">
        <v>1469.5</v>
      </c>
      <c r="F1002" s="116">
        <v>1474.2</v>
      </c>
      <c r="G1002">
        <v>1323</v>
      </c>
      <c r="H1002" s="116"/>
      <c r="I1002" s="116"/>
      <c r="L1002" s="170">
        <v>43479</v>
      </c>
      <c r="M1002" s="116">
        <v>1469.35</v>
      </c>
      <c r="N1002" s="116">
        <v>1504.8</v>
      </c>
      <c r="O1002" s="116">
        <v>1453.4</v>
      </c>
      <c r="P1002" s="116">
        <v>1504.8</v>
      </c>
      <c r="Q1002" s="116">
        <v>1469.35</v>
      </c>
      <c r="R1002">
        <v>12912</v>
      </c>
    </row>
    <row r="1003" spans="1:18" x14ac:dyDescent="0.25">
      <c r="A1003" s="170">
        <v>43480</v>
      </c>
      <c r="B1003" s="116">
        <v>1464.45</v>
      </c>
      <c r="C1003" s="116">
        <v>1445.1</v>
      </c>
      <c r="D1003" s="116">
        <v>1440</v>
      </c>
      <c r="E1003" s="116">
        <v>1464.45</v>
      </c>
      <c r="F1003" s="116">
        <v>1445.1</v>
      </c>
      <c r="G1003">
        <v>1194</v>
      </c>
      <c r="H1003" s="116"/>
      <c r="I1003" s="116"/>
      <c r="L1003" s="170">
        <v>43480</v>
      </c>
      <c r="M1003" s="116">
        <v>1444.5</v>
      </c>
      <c r="N1003" s="116">
        <v>1479.75</v>
      </c>
      <c r="O1003" s="116">
        <v>1441</v>
      </c>
      <c r="P1003" s="116">
        <v>1461.25</v>
      </c>
      <c r="Q1003" s="116">
        <v>1444.5</v>
      </c>
      <c r="R1003">
        <v>15233</v>
      </c>
    </row>
    <row r="1004" spans="1:18" x14ac:dyDescent="0.25">
      <c r="A1004" s="170">
        <v>43481</v>
      </c>
      <c r="B1004" s="116">
        <v>1454</v>
      </c>
      <c r="C1004" s="116">
        <v>1438.45</v>
      </c>
      <c r="D1004" s="116">
        <v>1434.05</v>
      </c>
      <c r="E1004" s="116">
        <v>1440.75</v>
      </c>
      <c r="F1004" s="116">
        <v>1438.45</v>
      </c>
      <c r="G1004">
        <v>1065</v>
      </c>
      <c r="H1004" s="116"/>
      <c r="I1004" s="116"/>
      <c r="L1004" s="170">
        <v>43481</v>
      </c>
      <c r="M1004" s="116">
        <v>1440.5</v>
      </c>
      <c r="N1004" s="116">
        <v>1455.15</v>
      </c>
      <c r="O1004" s="116">
        <v>1436</v>
      </c>
      <c r="P1004" s="116">
        <v>1445.6</v>
      </c>
      <c r="Q1004" s="116">
        <v>1440.5</v>
      </c>
      <c r="R1004">
        <v>9552</v>
      </c>
    </row>
    <row r="1005" spans="1:18" x14ac:dyDescent="0.25">
      <c r="A1005" s="170">
        <v>43482</v>
      </c>
      <c r="B1005" s="116">
        <v>1450.75</v>
      </c>
      <c r="C1005" s="116">
        <v>1438.35</v>
      </c>
      <c r="D1005" s="116">
        <v>1408</v>
      </c>
      <c r="E1005" s="116">
        <v>1448.15</v>
      </c>
      <c r="F1005" s="116">
        <v>1438.35</v>
      </c>
      <c r="G1005">
        <v>1240</v>
      </c>
      <c r="H1005" s="116"/>
      <c r="I1005" s="116"/>
      <c r="L1005" s="170">
        <v>43482</v>
      </c>
      <c r="M1005" s="116">
        <v>1437.9</v>
      </c>
      <c r="N1005" s="116">
        <v>1450</v>
      </c>
      <c r="O1005" s="116">
        <v>1405.5</v>
      </c>
      <c r="P1005" s="116">
        <v>1440.1</v>
      </c>
      <c r="Q1005" s="116">
        <v>1437.9</v>
      </c>
      <c r="R1005">
        <v>14037</v>
      </c>
    </row>
    <row r="1006" spans="1:18" x14ac:dyDescent="0.25">
      <c r="A1006" s="170">
        <v>43483</v>
      </c>
      <c r="B1006" s="116">
        <v>1430</v>
      </c>
      <c r="C1006" s="116">
        <v>1417.5</v>
      </c>
      <c r="D1006" s="116">
        <v>1415</v>
      </c>
      <c r="E1006" s="116">
        <v>1426.1</v>
      </c>
      <c r="F1006" s="116">
        <v>1417.5</v>
      </c>
      <c r="G1006">
        <v>978</v>
      </c>
      <c r="H1006" s="116"/>
      <c r="I1006" s="116"/>
      <c r="L1006" s="170">
        <v>43483</v>
      </c>
      <c r="M1006" s="116">
        <v>1417.7</v>
      </c>
      <c r="N1006" s="116">
        <v>1435</v>
      </c>
      <c r="O1006" s="116">
        <v>1415</v>
      </c>
      <c r="P1006" s="116">
        <v>1435</v>
      </c>
      <c r="Q1006" s="116">
        <v>1417.7</v>
      </c>
      <c r="R1006">
        <v>8132</v>
      </c>
    </row>
    <row r="1007" spans="1:18" x14ac:dyDescent="0.25">
      <c r="A1007" s="170">
        <v>43486</v>
      </c>
      <c r="B1007" s="116">
        <v>1422.2</v>
      </c>
      <c r="C1007" s="116">
        <v>1398.8</v>
      </c>
      <c r="D1007" s="116">
        <v>1391.35</v>
      </c>
      <c r="E1007" s="116">
        <v>1417.5</v>
      </c>
      <c r="F1007" s="116">
        <v>1398.8</v>
      </c>
      <c r="G1007">
        <v>2286</v>
      </c>
      <c r="H1007" s="116"/>
      <c r="I1007" s="116"/>
      <c r="L1007" s="170">
        <v>43486</v>
      </c>
      <c r="M1007" s="116">
        <v>1404.8</v>
      </c>
      <c r="N1007" s="116">
        <v>1425.1</v>
      </c>
      <c r="O1007" s="116">
        <v>1398</v>
      </c>
      <c r="P1007" s="116">
        <v>1412</v>
      </c>
      <c r="Q1007" s="116">
        <v>1404.8</v>
      </c>
      <c r="R1007">
        <v>11513</v>
      </c>
    </row>
    <row r="1008" spans="1:18" x14ac:dyDescent="0.25">
      <c r="A1008" s="170">
        <v>43487</v>
      </c>
      <c r="B1008" s="116">
        <v>1437.95</v>
      </c>
      <c r="C1008" s="116">
        <v>1416.8</v>
      </c>
      <c r="D1008" s="116">
        <v>1388</v>
      </c>
      <c r="E1008" s="116">
        <v>1400</v>
      </c>
      <c r="F1008" s="116">
        <v>1416.8</v>
      </c>
      <c r="G1008">
        <v>945</v>
      </c>
      <c r="H1008" s="116"/>
      <c r="I1008" s="116"/>
      <c r="L1008" s="170">
        <v>43487</v>
      </c>
      <c r="M1008" s="116">
        <v>1425.1</v>
      </c>
      <c r="N1008" s="116">
        <v>1438</v>
      </c>
      <c r="O1008" s="116">
        <v>1391.3</v>
      </c>
      <c r="P1008" s="116">
        <v>1409.25</v>
      </c>
      <c r="Q1008" s="116">
        <v>1425.1</v>
      </c>
      <c r="R1008">
        <v>9683</v>
      </c>
    </row>
    <row r="1009" spans="1:18" x14ac:dyDescent="0.25">
      <c r="A1009" s="170">
        <v>43488</v>
      </c>
      <c r="B1009" s="116">
        <v>1433.8</v>
      </c>
      <c r="C1009" s="116">
        <v>1410.1</v>
      </c>
      <c r="D1009" s="116">
        <v>1400.8</v>
      </c>
      <c r="E1009" s="116">
        <v>1424.8</v>
      </c>
      <c r="F1009" s="116">
        <v>1410.1</v>
      </c>
      <c r="G1009">
        <v>2919</v>
      </c>
      <c r="H1009" s="116"/>
      <c r="I1009" s="116"/>
      <c r="L1009" s="170">
        <v>43488</v>
      </c>
      <c r="M1009" s="116">
        <v>1408.85</v>
      </c>
      <c r="N1009" s="116">
        <v>1432.3</v>
      </c>
      <c r="O1009" s="116">
        <v>1402</v>
      </c>
      <c r="P1009" s="116">
        <v>1429.3</v>
      </c>
      <c r="Q1009" s="116">
        <v>1408.85</v>
      </c>
      <c r="R1009">
        <v>11710</v>
      </c>
    </row>
    <row r="1010" spans="1:18" x14ac:dyDescent="0.25">
      <c r="A1010" s="170">
        <v>43489</v>
      </c>
      <c r="B1010" s="116">
        <v>1445.8</v>
      </c>
      <c r="C1010" s="116">
        <v>1407.55</v>
      </c>
      <c r="D1010" s="116">
        <v>1393.05</v>
      </c>
      <c r="E1010" s="116">
        <v>1415</v>
      </c>
      <c r="F1010" s="116">
        <v>1407.55</v>
      </c>
      <c r="G1010">
        <v>629</v>
      </c>
      <c r="H1010" s="116"/>
      <c r="I1010" s="116"/>
      <c r="L1010" s="170">
        <v>43489</v>
      </c>
      <c r="M1010" s="116">
        <v>1406.25</v>
      </c>
      <c r="N1010" s="116">
        <v>1421</v>
      </c>
      <c r="O1010" s="116">
        <v>1398</v>
      </c>
      <c r="P1010" s="116">
        <v>1405</v>
      </c>
      <c r="Q1010" s="116">
        <v>1406.25</v>
      </c>
      <c r="R1010">
        <v>7663</v>
      </c>
    </row>
    <row r="1011" spans="1:18" x14ac:dyDescent="0.25">
      <c r="A1011" s="170">
        <v>43490</v>
      </c>
      <c r="B1011" s="116">
        <v>1497.25</v>
      </c>
      <c r="C1011" s="116">
        <v>1438.3</v>
      </c>
      <c r="D1011" s="116">
        <v>1382</v>
      </c>
      <c r="E1011" s="116">
        <v>1413</v>
      </c>
      <c r="F1011" s="116">
        <v>1438.3</v>
      </c>
      <c r="G1011">
        <v>1332</v>
      </c>
      <c r="H1011" s="116"/>
      <c r="I1011" s="116"/>
      <c r="L1011" s="170">
        <v>43490</v>
      </c>
      <c r="M1011" s="116">
        <v>1402.4</v>
      </c>
      <c r="N1011" s="116">
        <v>1413</v>
      </c>
      <c r="O1011" s="116">
        <v>1388.25</v>
      </c>
      <c r="P1011" s="116">
        <v>1405</v>
      </c>
      <c r="Q1011" s="116">
        <v>1402.4</v>
      </c>
      <c r="R1011">
        <v>9285</v>
      </c>
    </row>
    <row r="1012" spans="1:18" x14ac:dyDescent="0.25">
      <c r="A1012" s="170">
        <v>43493</v>
      </c>
      <c r="B1012" s="116">
        <v>1399.95</v>
      </c>
      <c r="C1012" s="116">
        <v>1393.65</v>
      </c>
      <c r="D1012" s="116">
        <v>1379.65</v>
      </c>
      <c r="E1012" s="116">
        <v>1389.05</v>
      </c>
      <c r="F1012" s="116">
        <v>1393.65</v>
      </c>
      <c r="G1012">
        <v>767</v>
      </c>
      <c r="H1012" s="116"/>
      <c r="I1012" s="116"/>
      <c r="L1012" s="170">
        <v>43493</v>
      </c>
      <c r="M1012" s="116">
        <v>1392.75</v>
      </c>
      <c r="N1012" s="116">
        <v>1424.8</v>
      </c>
      <c r="O1012" s="116">
        <v>1379.8</v>
      </c>
      <c r="P1012" s="116">
        <v>1424.8</v>
      </c>
      <c r="Q1012" s="116">
        <v>1392.75</v>
      </c>
      <c r="R1012">
        <v>8305</v>
      </c>
    </row>
    <row r="1013" spans="1:18" x14ac:dyDescent="0.25">
      <c r="A1013" s="170">
        <v>43494</v>
      </c>
      <c r="B1013" s="116">
        <v>1420</v>
      </c>
      <c r="C1013" s="116">
        <v>1405.3</v>
      </c>
      <c r="D1013" s="116">
        <v>1379.6</v>
      </c>
      <c r="E1013" s="116">
        <v>1381.8</v>
      </c>
      <c r="F1013" s="116">
        <v>1405.3</v>
      </c>
      <c r="G1013">
        <v>640</v>
      </c>
      <c r="H1013" s="116"/>
      <c r="I1013" s="116"/>
      <c r="L1013" s="170">
        <v>43494</v>
      </c>
      <c r="M1013" s="116">
        <v>1408.4</v>
      </c>
      <c r="N1013" s="116">
        <v>1423</v>
      </c>
      <c r="O1013" s="116">
        <v>1378</v>
      </c>
      <c r="P1013" s="116">
        <v>1378</v>
      </c>
      <c r="Q1013" s="116">
        <v>1408.4</v>
      </c>
      <c r="R1013">
        <v>8147</v>
      </c>
    </row>
    <row r="1014" spans="1:18" x14ac:dyDescent="0.25">
      <c r="A1014" s="170">
        <v>43495</v>
      </c>
      <c r="B1014" s="116">
        <v>1440</v>
      </c>
      <c r="C1014" s="116">
        <v>1422.85</v>
      </c>
      <c r="D1014" s="116">
        <v>1394</v>
      </c>
      <c r="E1014" s="116">
        <v>1404.45</v>
      </c>
      <c r="F1014" s="116">
        <v>1422.85</v>
      </c>
      <c r="G1014">
        <v>1081</v>
      </c>
      <c r="H1014" s="116"/>
      <c r="I1014" s="116"/>
      <c r="L1014" s="170">
        <v>43495</v>
      </c>
      <c r="M1014" s="116">
        <v>1426.6</v>
      </c>
      <c r="N1014" s="116">
        <v>1444</v>
      </c>
      <c r="O1014" s="116">
        <v>1400.35</v>
      </c>
      <c r="P1014" s="116">
        <v>1417.4</v>
      </c>
      <c r="Q1014" s="116">
        <v>1426.6</v>
      </c>
      <c r="R1014">
        <v>10102</v>
      </c>
    </row>
    <row r="1015" spans="1:18" x14ac:dyDescent="0.25">
      <c r="A1015" s="170">
        <v>43496</v>
      </c>
      <c r="B1015" s="116">
        <v>1427</v>
      </c>
      <c r="C1015" s="116">
        <v>1409.65</v>
      </c>
      <c r="D1015" s="116">
        <v>1395.5</v>
      </c>
      <c r="E1015" s="116">
        <v>1426.3</v>
      </c>
      <c r="F1015" s="116">
        <v>1409.65</v>
      </c>
      <c r="G1015">
        <v>954</v>
      </c>
      <c r="H1015" s="116"/>
      <c r="I1015" s="116"/>
      <c r="L1015" s="170">
        <v>43496</v>
      </c>
      <c r="M1015" s="116">
        <v>1409.25</v>
      </c>
      <c r="N1015" s="116">
        <v>1425</v>
      </c>
      <c r="O1015" s="116">
        <v>1389.95</v>
      </c>
      <c r="P1015" s="116">
        <v>1418.75</v>
      </c>
      <c r="Q1015" s="116">
        <v>1409.25</v>
      </c>
      <c r="R1015">
        <v>24542</v>
      </c>
    </row>
    <row r="1016" spans="1:18" x14ac:dyDescent="0.25">
      <c r="A1016" s="170">
        <v>43497</v>
      </c>
      <c r="B1016" s="116">
        <v>1412.8</v>
      </c>
      <c r="C1016" s="116">
        <v>1407.25</v>
      </c>
      <c r="D1016" s="116">
        <v>1390</v>
      </c>
      <c r="E1016" s="116">
        <v>1401.65</v>
      </c>
      <c r="F1016" s="116">
        <v>1407.25</v>
      </c>
      <c r="G1016">
        <v>745</v>
      </c>
      <c r="H1016" s="116"/>
      <c r="I1016" s="116"/>
      <c r="L1016" s="170">
        <v>43497</v>
      </c>
      <c r="M1016" s="116">
        <v>1407.55</v>
      </c>
      <c r="N1016" s="116">
        <v>1415</v>
      </c>
      <c r="O1016" s="116">
        <v>1396.3</v>
      </c>
      <c r="P1016" s="116">
        <v>1404.5</v>
      </c>
      <c r="Q1016" s="116">
        <v>1407.55</v>
      </c>
      <c r="R1016">
        <v>10985</v>
      </c>
    </row>
    <row r="1017" spans="1:18" x14ac:dyDescent="0.25">
      <c r="A1017" s="170">
        <v>43500</v>
      </c>
      <c r="B1017" s="116">
        <v>1465</v>
      </c>
      <c r="C1017" s="116">
        <v>1402.3</v>
      </c>
      <c r="D1017" s="116">
        <v>1359.65</v>
      </c>
      <c r="E1017" s="116">
        <v>1465</v>
      </c>
      <c r="F1017" s="116">
        <v>1402.3</v>
      </c>
      <c r="G1017">
        <v>1849</v>
      </c>
      <c r="H1017" s="116"/>
      <c r="I1017" s="116"/>
      <c r="L1017" s="170">
        <v>43500</v>
      </c>
      <c r="M1017" s="116">
        <v>1404.1</v>
      </c>
      <c r="N1017" s="116">
        <v>1420.35</v>
      </c>
      <c r="O1017" s="116">
        <v>1356.6</v>
      </c>
      <c r="P1017" s="116">
        <v>1420</v>
      </c>
      <c r="Q1017" s="116">
        <v>1404.1</v>
      </c>
      <c r="R1017">
        <v>61773</v>
      </c>
    </row>
    <row r="1018" spans="1:18" x14ac:dyDescent="0.25">
      <c r="A1018" s="170">
        <v>43501</v>
      </c>
      <c r="B1018" s="116">
        <v>1402.3</v>
      </c>
      <c r="C1018" s="116">
        <v>1391.4</v>
      </c>
      <c r="D1018" s="116">
        <v>1380</v>
      </c>
      <c r="E1018" s="116">
        <v>1394.45</v>
      </c>
      <c r="F1018" s="116">
        <v>1391.4</v>
      </c>
      <c r="G1018">
        <v>835</v>
      </c>
      <c r="H1018" s="116"/>
      <c r="I1018" s="116"/>
      <c r="L1018" s="170">
        <v>43501</v>
      </c>
      <c r="M1018" s="116">
        <v>1396.1</v>
      </c>
      <c r="N1018" s="116">
        <v>1409.3</v>
      </c>
      <c r="O1018" s="116">
        <v>1384.9</v>
      </c>
      <c r="P1018" s="116">
        <v>1405.05</v>
      </c>
      <c r="Q1018" s="116">
        <v>1396.1</v>
      </c>
      <c r="R1018">
        <v>12480</v>
      </c>
    </row>
    <row r="1019" spans="1:18" x14ac:dyDescent="0.25">
      <c r="A1019" s="170">
        <v>43502</v>
      </c>
      <c r="B1019" s="116">
        <v>1393</v>
      </c>
      <c r="C1019" s="116">
        <v>1384.1</v>
      </c>
      <c r="D1019" s="116">
        <v>1370</v>
      </c>
      <c r="E1019" s="116">
        <v>1391.4</v>
      </c>
      <c r="F1019" s="116">
        <v>1384.1</v>
      </c>
      <c r="G1019">
        <v>1638</v>
      </c>
      <c r="H1019" s="116"/>
      <c r="I1019" s="116"/>
      <c r="L1019" s="170">
        <v>43502</v>
      </c>
      <c r="M1019" s="116">
        <v>1385</v>
      </c>
      <c r="N1019" s="116">
        <v>1403.75</v>
      </c>
      <c r="O1019" s="116">
        <v>1368.1</v>
      </c>
      <c r="P1019" s="116">
        <v>1400.65</v>
      </c>
      <c r="Q1019" s="116">
        <v>1385</v>
      </c>
      <c r="R1019">
        <v>15666</v>
      </c>
    </row>
    <row r="1020" spans="1:18" x14ac:dyDescent="0.25">
      <c r="A1020" s="170">
        <v>43503</v>
      </c>
      <c r="B1020" s="116">
        <v>1410</v>
      </c>
      <c r="C1020" s="116">
        <v>1396.75</v>
      </c>
      <c r="D1020" s="116">
        <v>1380</v>
      </c>
      <c r="E1020" s="116">
        <v>1391.85</v>
      </c>
      <c r="F1020" s="116">
        <v>1396.75</v>
      </c>
      <c r="G1020">
        <v>853</v>
      </c>
      <c r="H1020" s="116"/>
      <c r="I1020" s="116"/>
      <c r="L1020" s="170">
        <v>43503</v>
      </c>
      <c r="M1020" s="116">
        <v>1400.5</v>
      </c>
      <c r="N1020" s="116">
        <v>1409</v>
      </c>
      <c r="O1020" s="116">
        <v>1372</v>
      </c>
      <c r="P1020" s="116">
        <v>1385</v>
      </c>
      <c r="Q1020" s="116">
        <v>1400.5</v>
      </c>
      <c r="R1020">
        <v>12766</v>
      </c>
    </row>
    <row r="1021" spans="1:18" x14ac:dyDescent="0.25">
      <c r="A1021" s="170">
        <v>43504</v>
      </c>
      <c r="B1021" s="116">
        <v>1412</v>
      </c>
      <c r="C1021" s="116">
        <v>1400.65</v>
      </c>
      <c r="D1021" s="116">
        <v>1384.2</v>
      </c>
      <c r="E1021" s="116">
        <v>1384.2</v>
      </c>
      <c r="F1021" s="116">
        <v>1400.65</v>
      </c>
      <c r="G1021">
        <v>442</v>
      </c>
      <c r="H1021" s="116"/>
      <c r="I1021" s="116"/>
      <c r="L1021" s="170">
        <v>43504</v>
      </c>
      <c r="M1021" s="116">
        <v>1401</v>
      </c>
      <c r="N1021" s="116">
        <v>1409.95</v>
      </c>
      <c r="O1021" s="116">
        <v>1383</v>
      </c>
      <c r="P1021" s="116">
        <v>1404.9</v>
      </c>
      <c r="Q1021" s="116">
        <v>1401</v>
      </c>
      <c r="R1021">
        <v>9600</v>
      </c>
    </row>
    <row r="1022" spans="1:18" x14ac:dyDescent="0.25">
      <c r="A1022" s="170">
        <v>43507</v>
      </c>
      <c r="B1022" s="116">
        <v>1399</v>
      </c>
      <c r="C1022" s="116">
        <v>1385.3</v>
      </c>
      <c r="D1022" s="116">
        <v>1380</v>
      </c>
      <c r="E1022" s="116">
        <v>1393.85</v>
      </c>
      <c r="F1022" s="116">
        <v>1385.3</v>
      </c>
      <c r="G1022">
        <v>574</v>
      </c>
      <c r="H1022" s="116"/>
      <c r="I1022" s="116"/>
      <c r="L1022" s="170">
        <v>43507</v>
      </c>
      <c r="M1022" s="116">
        <v>1388.05</v>
      </c>
      <c r="N1022" s="116">
        <v>1405.85</v>
      </c>
      <c r="O1022" s="116">
        <v>1385</v>
      </c>
      <c r="P1022" s="116">
        <v>1400</v>
      </c>
      <c r="Q1022" s="116">
        <v>1388.05</v>
      </c>
      <c r="R1022">
        <v>7467</v>
      </c>
    </row>
    <row r="1023" spans="1:18" x14ac:dyDescent="0.25">
      <c r="A1023" s="170">
        <v>43508</v>
      </c>
      <c r="B1023" s="116">
        <v>1400.15</v>
      </c>
      <c r="C1023" s="116">
        <v>1378.85</v>
      </c>
      <c r="D1023" s="116">
        <v>1370.1</v>
      </c>
      <c r="E1023" s="116">
        <v>1380.05</v>
      </c>
      <c r="F1023" s="116">
        <v>1378.85</v>
      </c>
      <c r="G1023">
        <v>711</v>
      </c>
      <c r="H1023" s="116"/>
      <c r="I1023" s="116"/>
      <c r="L1023" s="170">
        <v>43508</v>
      </c>
      <c r="M1023" s="116">
        <v>1376.8</v>
      </c>
      <c r="N1023" s="116">
        <v>1401.9</v>
      </c>
      <c r="O1023" s="116">
        <v>1372</v>
      </c>
      <c r="P1023" s="116">
        <v>1400</v>
      </c>
      <c r="Q1023" s="116">
        <v>1376.8</v>
      </c>
      <c r="R1023">
        <v>12999</v>
      </c>
    </row>
    <row r="1024" spans="1:18" x14ac:dyDescent="0.25">
      <c r="A1024" s="170">
        <v>43509</v>
      </c>
      <c r="B1024" s="116">
        <v>1399.6</v>
      </c>
      <c r="C1024" s="116">
        <v>1384.55</v>
      </c>
      <c r="D1024" s="116">
        <v>1369.25</v>
      </c>
      <c r="E1024" s="116">
        <v>1378.5</v>
      </c>
      <c r="F1024" s="116">
        <v>1384.55</v>
      </c>
      <c r="G1024">
        <v>1405</v>
      </c>
      <c r="H1024" s="116"/>
      <c r="I1024" s="116"/>
      <c r="L1024" s="170">
        <v>43509</v>
      </c>
      <c r="M1024" s="116">
        <v>1383.05</v>
      </c>
      <c r="N1024" s="116">
        <v>1397.95</v>
      </c>
      <c r="O1024" s="116">
        <v>1367.2</v>
      </c>
      <c r="P1024" s="116">
        <v>1386.25</v>
      </c>
      <c r="Q1024" s="116">
        <v>1383.05</v>
      </c>
      <c r="R1024">
        <v>20270</v>
      </c>
    </row>
    <row r="1025" spans="1:18" x14ac:dyDescent="0.25">
      <c r="A1025" s="170">
        <v>43510</v>
      </c>
      <c r="B1025" s="116">
        <v>1396</v>
      </c>
      <c r="C1025" s="116">
        <v>1393.6</v>
      </c>
      <c r="D1025" s="116">
        <v>1361.4</v>
      </c>
      <c r="E1025" s="116">
        <v>1380</v>
      </c>
      <c r="F1025" s="116">
        <v>1393.6</v>
      </c>
      <c r="G1025">
        <v>1615</v>
      </c>
      <c r="H1025" s="116"/>
      <c r="I1025" s="116"/>
      <c r="L1025" s="170">
        <v>43510</v>
      </c>
      <c r="M1025" s="116">
        <v>1396.35</v>
      </c>
      <c r="N1025" s="116">
        <v>1400.9</v>
      </c>
      <c r="O1025" s="116">
        <v>1363.55</v>
      </c>
      <c r="P1025" s="116">
        <v>1390.25</v>
      </c>
      <c r="Q1025" s="116">
        <v>1396.35</v>
      </c>
      <c r="R1025">
        <v>10764</v>
      </c>
    </row>
    <row r="1026" spans="1:18" x14ac:dyDescent="0.25">
      <c r="A1026" s="170">
        <v>43511</v>
      </c>
      <c r="B1026" s="116">
        <v>1390</v>
      </c>
      <c r="C1026" s="116">
        <v>1372.3</v>
      </c>
      <c r="D1026" s="116">
        <v>1360</v>
      </c>
      <c r="E1026" s="116">
        <v>1384.25</v>
      </c>
      <c r="F1026" s="116">
        <v>1372.3</v>
      </c>
      <c r="G1026">
        <v>1227</v>
      </c>
      <c r="H1026" s="116"/>
      <c r="I1026" s="116"/>
      <c r="L1026" s="170">
        <v>43511</v>
      </c>
      <c r="M1026" s="116">
        <v>1371.55</v>
      </c>
      <c r="N1026" s="116">
        <v>1405.05</v>
      </c>
      <c r="O1026" s="116">
        <v>1361.35</v>
      </c>
      <c r="P1026" s="116">
        <v>1396.35</v>
      </c>
      <c r="Q1026" s="116">
        <v>1371.55</v>
      </c>
      <c r="R1026">
        <v>21363</v>
      </c>
    </row>
    <row r="1027" spans="1:18" x14ac:dyDescent="0.25">
      <c r="A1027" s="170">
        <v>43514</v>
      </c>
      <c r="B1027" s="116">
        <v>1357.25</v>
      </c>
      <c r="C1027" s="116">
        <v>1343</v>
      </c>
      <c r="D1027" s="116">
        <v>1339</v>
      </c>
      <c r="E1027" s="116">
        <v>1341.1</v>
      </c>
      <c r="F1027" s="116">
        <v>1343</v>
      </c>
      <c r="G1027">
        <v>1226</v>
      </c>
      <c r="H1027" s="116"/>
      <c r="I1027" s="116"/>
      <c r="L1027" s="170">
        <v>43514</v>
      </c>
      <c r="M1027" s="116">
        <v>1341.15</v>
      </c>
      <c r="N1027" s="116">
        <v>1365</v>
      </c>
      <c r="O1027" s="116">
        <v>1332</v>
      </c>
      <c r="P1027" s="116">
        <v>1365</v>
      </c>
      <c r="Q1027" s="116">
        <v>1341.15</v>
      </c>
      <c r="R1027">
        <v>15158</v>
      </c>
    </row>
    <row r="1028" spans="1:18" x14ac:dyDescent="0.25">
      <c r="A1028" s="170">
        <v>43515</v>
      </c>
      <c r="B1028" s="116">
        <v>1362.3</v>
      </c>
      <c r="C1028" s="116">
        <v>1346.7</v>
      </c>
      <c r="D1028" s="116">
        <v>1336</v>
      </c>
      <c r="E1028" s="116">
        <v>1339</v>
      </c>
      <c r="F1028" s="116">
        <v>1346.7</v>
      </c>
      <c r="G1028">
        <v>590</v>
      </c>
      <c r="H1028" s="116"/>
      <c r="I1028" s="116"/>
      <c r="L1028" s="170">
        <v>43515</v>
      </c>
      <c r="M1028" s="116">
        <v>1349.2</v>
      </c>
      <c r="N1028" s="116">
        <v>1368</v>
      </c>
      <c r="O1028" s="116">
        <v>1336</v>
      </c>
      <c r="P1028" s="116">
        <v>1336.25</v>
      </c>
      <c r="Q1028" s="116">
        <v>1349.2</v>
      </c>
      <c r="R1028">
        <v>16484</v>
      </c>
    </row>
    <row r="1029" spans="1:18" x14ac:dyDescent="0.25">
      <c r="A1029" s="170">
        <v>43516</v>
      </c>
      <c r="B1029" s="116">
        <v>1350</v>
      </c>
      <c r="C1029" s="116">
        <v>1335.6</v>
      </c>
      <c r="D1029" s="116">
        <v>1325</v>
      </c>
      <c r="E1029" s="116">
        <v>1342.15</v>
      </c>
      <c r="F1029" s="116">
        <v>1335.6</v>
      </c>
      <c r="G1029">
        <v>1118</v>
      </c>
      <c r="H1029" s="116"/>
      <c r="I1029" s="116"/>
      <c r="L1029" s="170">
        <v>43516</v>
      </c>
      <c r="M1029" s="116">
        <v>1335.9</v>
      </c>
      <c r="N1029" s="116">
        <v>1352.95</v>
      </c>
      <c r="O1029" s="116">
        <v>1325</v>
      </c>
      <c r="P1029" s="116">
        <v>1349.7</v>
      </c>
      <c r="Q1029" s="116">
        <v>1335.9</v>
      </c>
      <c r="R1029">
        <v>18314</v>
      </c>
    </row>
    <row r="1030" spans="1:18" x14ac:dyDescent="0.25">
      <c r="A1030" s="170">
        <v>43517</v>
      </c>
      <c r="B1030" s="116">
        <v>1335</v>
      </c>
      <c r="C1030" s="116">
        <v>1329.8</v>
      </c>
      <c r="D1030" s="116">
        <v>1316</v>
      </c>
      <c r="E1030" s="116">
        <v>1330.45</v>
      </c>
      <c r="F1030" s="116">
        <v>1329.8</v>
      </c>
      <c r="G1030">
        <v>825</v>
      </c>
      <c r="H1030" s="116"/>
      <c r="I1030" s="116"/>
      <c r="L1030" s="170">
        <v>43517</v>
      </c>
      <c r="M1030" s="116">
        <v>1331.1</v>
      </c>
      <c r="N1030" s="116">
        <v>1345</v>
      </c>
      <c r="O1030" s="116">
        <v>1315.6</v>
      </c>
      <c r="P1030" s="116">
        <v>1335.1</v>
      </c>
      <c r="Q1030" s="116">
        <v>1331.1</v>
      </c>
      <c r="R1030">
        <v>13667</v>
      </c>
    </row>
    <row r="1031" spans="1:18" x14ac:dyDescent="0.25">
      <c r="A1031" s="170">
        <v>43518</v>
      </c>
      <c r="B1031" s="116">
        <v>1354.9</v>
      </c>
      <c r="C1031" s="116">
        <v>1343.3</v>
      </c>
      <c r="D1031" s="116">
        <v>1325.1</v>
      </c>
      <c r="E1031" s="116">
        <v>1335.4</v>
      </c>
      <c r="F1031" s="116">
        <v>1343.3</v>
      </c>
      <c r="G1031">
        <v>612</v>
      </c>
      <c r="H1031" s="116"/>
      <c r="I1031" s="116"/>
      <c r="L1031" s="170">
        <v>43518</v>
      </c>
      <c r="M1031" s="116">
        <v>1346.8</v>
      </c>
      <c r="N1031" s="116">
        <v>1353.8</v>
      </c>
      <c r="O1031" s="116">
        <v>1324.8</v>
      </c>
      <c r="P1031" s="116">
        <v>1331</v>
      </c>
      <c r="Q1031" s="116">
        <v>1346.8</v>
      </c>
      <c r="R1031">
        <v>11894</v>
      </c>
    </row>
    <row r="1032" spans="1:18" x14ac:dyDescent="0.25">
      <c r="A1032" s="170">
        <v>43521</v>
      </c>
      <c r="B1032" s="116">
        <v>1345</v>
      </c>
      <c r="C1032" s="116">
        <v>1342.2</v>
      </c>
      <c r="D1032" s="116">
        <v>1331</v>
      </c>
      <c r="E1032" s="116">
        <v>1341</v>
      </c>
      <c r="F1032" s="116">
        <v>1342.2</v>
      </c>
      <c r="G1032">
        <v>1855</v>
      </c>
      <c r="H1032" s="116"/>
      <c r="I1032" s="116"/>
      <c r="L1032" s="170">
        <v>43521</v>
      </c>
      <c r="M1032" s="116">
        <v>1341.9</v>
      </c>
      <c r="N1032" s="116">
        <v>1354</v>
      </c>
      <c r="O1032" s="116">
        <v>1331</v>
      </c>
      <c r="P1032" s="116">
        <v>1353</v>
      </c>
      <c r="Q1032" s="116">
        <v>1341.9</v>
      </c>
      <c r="R1032">
        <v>12365</v>
      </c>
    </row>
    <row r="1033" spans="1:18" x14ac:dyDescent="0.25">
      <c r="A1033" s="170">
        <v>43522</v>
      </c>
      <c r="B1033" s="116">
        <v>1333.8</v>
      </c>
      <c r="C1033" s="116">
        <v>1321.45</v>
      </c>
      <c r="D1033" s="116">
        <v>1317</v>
      </c>
      <c r="E1033" s="116">
        <v>1330</v>
      </c>
      <c r="F1033" s="116">
        <v>1321.45</v>
      </c>
      <c r="G1033">
        <v>842</v>
      </c>
      <c r="H1033" s="116"/>
      <c r="I1033" s="116"/>
      <c r="L1033" s="170">
        <v>43522</v>
      </c>
      <c r="M1033" s="116">
        <v>1322.5</v>
      </c>
      <c r="N1033" s="116">
        <v>1335.7</v>
      </c>
      <c r="O1033" s="116">
        <v>1316</v>
      </c>
      <c r="P1033" s="116">
        <v>1332</v>
      </c>
      <c r="Q1033" s="116">
        <v>1322.5</v>
      </c>
      <c r="R1033">
        <v>14836</v>
      </c>
    </row>
    <row r="1034" spans="1:18" x14ac:dyDescent="0.25">
      <c r="A1034" s="170">
        <v>43523</v>
      </c>
      <c r="B1034" s="116">
        <v>1336.25</v>
      </c>
      <c r="C1034" s="116">
        <v>1318.15</v>
      </c>
      <c r="D1034" s="116">
        <v>1306</v>
      </c>
      <c r="E1034" s="116">
        <v>1320</v>
      </c>
      <c r="F1034" s="116">
        <v>1318.15</v>
      </c>
      <c r="G1034">
        <v>2674</v>
      </c>
      <c r="H1034" s="116"/>
      <c r="I1034" s="116"/>
      <c r="L1034" s="170">
        <v>43523</v>
      </c>
      <c r="M1034" s="116">
        <v>1325.8</v>
      </c>
      <c r="N1034" s="116">
        <v>1341.7</v>
      </c>
      <c r="O1034" s="116">
        <v>1311.1</v>
      </c>
      <c r="P1034" s="116">
        <v>1322.5</v>
      </c>
      <c r="Q1034" s="116">
        <v>1325.8</v>
      </c>
      <c r="R1034">
        <v>13795</v>
      </c>
    </row>
    <row r="1035" spans="1:18" x14ac:dyDescent="0.25">
      <c r="A1035" s="170">
        <v>43524</v>
      </c>
      <c r="B1035" s="116">
        <v>1334.75</v>
      </c>
      <c r="C1035" s="116">
        <v>1326.8</v>
      </c>
      <c r="D1035" s="116">
        <v>1310.3</v>
      </c>
      <c r="E1035" s="116">
        <v>1310.3</v>
      </c>
      <c r="F1035" s="116">
        <v>1326.8</v>
      </c>
      <c r="G1035">
        <v>546</v>
      </c>
      <c r="H1035" s="116"/>
      <c r="I1035" s="116"/>
      <c r="L1035" s="170">
        <v>43524</v>
      </c>
      <c r="M1035" s="116">
        <v>1334.7</v>
      </c>
      <c r="N1035" s="116">
        <v>1339</v>
      </c>
      <c r="O1035" s="116">
        <v>1321.4</v>
      </c>
      <c r="P1035" s="116">
        <v>1332</v>
      </c>
      <c r="Q1035" s="116">
        <v>1334.7</v>
      </c>
      <c r="R1035">
        <v>9104</v>
      </c>
    </row>
    <row r="1036" spans="1:18" x14ac:dyDescent="0.25">
      <c r="A1036" s="170">
        <v>43525</v>
      </c>
      <c r="B1036" s="116">
        <v>1337</v>
      </c>
      <c r="C1036" s="116">
        <v>1327.2</v>
      </c>
      <c r="D1036" s="116">
        <v>1325</v>
      </c>
      <c r="E1036" s="116">
        <v>1334.35</v>
      </c>
      <c r="F1036" s="116">
        <v>1327.2</v>
      </c>
      <c r="G1036">
        <v>1477</v>
      </c>
      <c r="H1036" s="116"/>
      <c r="I1036" s="116"/>
      <c r="L1036" s="170">
        <v>43525</v>
      </c>
      <c r="M1036" s="116">
        <v>1329.3</v>
      </c>
      <c r="N1036" s="116">
        <v>1342.4</v>
      </c>
      <c r="O1036" s="116">
        <v>1326</v>
      </c>
      <c r="P1036" s="116">
        <v>1328</v>
      </c>
      <c r="Q1036" s="116">
        <v>1329.3</v>
      </c>
      <c r="R1036">
        <v>12975</v>
      </c>
    </row>
    <row r="1037" spans="1:18" x14ac:dyDescent="0.25">
      <c r="A1037" s="170">
        <v>43529</v>
      </c>
      <c r="B1037" s="116">
        <v>1365</v>
      </c>
      <c r="C1037" s="116">
        <v>1328.2</v>
      </c>
      <c r="D1037" s="116">
        <v>1321</v>
      </c>
      <c r="E1037" s="116">
        <v>1365</v>
      </c>
      <c r="F1037" s="116">
        <v>1328.2</v>
      </c>
      <c r="G1037">
        <v>1292</v>
      </c>
      <c r="H1037" s="116"/>
      <c r="I1037" s="116"/>
      <c r="L1037" s="170">
        <v>43529</v>
      </c>
      <c r="M1037" s="116">
        <v>1323.6</v>
      </c>
      <c r="N1037" s="116">
        <v>1336.25</v>
      </c>
      <c r="O1037" s="116">
        <v>1318.5</v>
      </c>
      <c r="P1037" s="116">
        <v>1332</v>
      </c>
      <c r="Q1037" s="116">
        <v>1323.6</v>
      </c>
      <c r="R1037">
        <v>25206</v>
      </c>
    </row>
    <row r="1038" spans="1:18" x14ac:dyDescent="0.25">
      <c r="A1038" s="170">
        <v>43530</v>
      </c>
      <c r="B1038" s="116">
        <v>1350</v>
      </c>
      <c r="C1038" s="116">
        <v>1298.8</v>
      </c>
      <c r="D1038" s="116">
        <v>1296</v>
      </c>
      <c r="E1038" s="116">
        <v>1345</v>
      </c>
      <c r="F1038" s="116">
        <v>1298.8</v>
      </c>
      <c r="G1038">
        <v>4219</v>
      </c>
      <c r="H1038" s="116"/>
      <c r="I1038" s="116"/>
      <c r="L1038" s="170">
        <v>43530</v>
      </c>
      <c r="M1038" s="116">
        <v>1301.0999999999999</v>
      </c>
      <c r="N1038" s="116">
        <v>1338</v>
      </c>
      <c r="O1038" s="116">
        <v>1296.75</v>
      </c>
      <c r="P1038" s="116">
        <v>1336.8</v>
      </c>
      <c r="Q1038" s="116">
        <v>1301.0999999999999</v>
      </c>
      <c r="R1038">
        <v>30534</v>
      </c>
    </row>
    <row r="1039" spans="1:18" x14ac:dyDescent="0.25">
      <c r="A1039" s="170">
        <v>43531</v>
      </c>
      <c r="B1039" s="116">
        <v>1320</v>
      </c>
      <c r="C1039" s="116">
        <v>1302.0999999999999</v>
      </c>
      <c r="D1039" s="116">
        <v>1290</v>
      </c>
      <c r="E1039" s="116">
        <v>1312</v>
      </c>
      <c r="F1039" s="116">
        <v>1302.0999999999999</v>
      </c>
      <c r="G1039">
        <v>1149</v>
      </c>
      <c r="H1039" s="116"/>
      <c r="I1039" s="116"/>
      <c r="L1039" s="170">
        <v>43531</v>
      </c>
      <c r="M1039" s="116">
        <v>1299.55</v>
      </c>
      <c r="N1039" s="116">
        <v>1321</v>
      </c>
      <c r="O1039" s="116">
        <v>1290.05</v>
      </c>
      <c r="P1039" s="116">
        <v>1300</v>
      </c>
      <c r="Q1039" s="116">
        <v>1299.55</v>
      </c>
      <c r="R1039">
        <v>23016</v>
      </c>
    </row>
    <row r="1040" spans="1:18" x14ac:dyDescent="0.25">
      <c r="A1040" s="170">
        <v>43532</v>
      </c>
      <c r="B1040" s="116">
        <v>1316.15</v>
      </c>
      <c r="C1040" s="116">
        <v>1304.1500000000001</v>
      </c>
      <c r="D1040" s="116">
        <v>1270</v>
      </c>
      <c r="E1040" s="116">
        <v>1305.1500000000001</v>
      </c>
      <c r="F1040" s="116">
        <v>1304.1500000000001</v>
      </c>
      <c r="G1040">
        <v>2268</v>
      </c>
      <c r="H1040" s="116"/>
      <c r="I1040" s="116"/>
      <c r="L1040" s="170">
        <v>43532</v>
      </c>
      <c r="M1040" s="116">
        <v>1311.7</v>
      </c>
      <c r="N1040" s="116">
        <v>1319.8</v>
      </c>
      <c r="O1040" s="116">
        <v>1279.75</v>
      </c>
      <c r="P1040" s="116">
        <v>1319.8</v>
      </c>
      <c r="Q1040" s="116">
        <v>1311.7</v>
      </c>
      <c r="R1040">
        <v>17079</v>
      </c>
    </row>
    <row r="1041" spans="1:18" x14ac:dyDescent="0.25">
      <c r="A1041" s="170">
        <v>43535</v>
      </c>
      <c r="B1041" s="116">
        <v>1324</v>
      </c>
      <c r="C1041" s="116">
        <v>1319.85</v>
      </c>
      <c r="D1041" s="116">
        <v>1313.95</v>
      </c>
      <c r="E1041" s="116">
        <v>1314.95</v>
      </c>
      <c r="F1041" s="116">
        <v>1319.85</v>
      </c>
      <c r="G1041">
        <v>1537</v>
      </c>
      <c r="H1041" s="116"/>
      <c r="I1041" s="116"/>
      <c r="L1041" s="170">
        <v>43535</v>
      </c>
      <c r="M1041" s="116">
        <v>1322.65</v>
      </c>
      <c r="N1041" s="116">
        <v>1326.4</v>
      </c>
      <c r="O1041" s="116">
        <v>1309</v>
      </c>
      <c r="P1041" s="116">
        <v>1309</v>
      </c>
      <c r="Q1041" s="116">
        <v>1322.65</v>
      </c>
      <c r="R1041">
        <v>26449</v>
      </c>
    </row>
    <row r="1042" spans="1:18" x14ac:dyDescent="0.25">
      <c r="A1042" s="170">
        <v>43536</v>
      </c>
      <c r="B1042" s="116">
        <v>1331</v>
      </c>
      <c r="C1042" s="116">
        <v>1316.35</v>
      </c>
      <c r="D1042" s="116">
        <v>1279</v>
      </c>
      <c r="E1042" s="116">
        <v>1320</v>
      </c>
      <c r="F1042" s="116">
        <v>1316.35</v>
      </c>
      <c r="G1042">
        <v>3237</v>
      </c>
      <c r="H1042" s="116"/>
      <c r="I1042" s="116"/>
      <c r="L1042" s="170">
        <v>43536</v>
      </c>
      <c r="M1042" s="116">
        <v>1317.85</v>
      </c>
      <c r="N1042" s="116">
        <v>1330.9</v>
      </c>
      <c r="O1042" s="116">
        <v>1313.2</v>
      </c>
      <c r="P1042" s="116">
        <v>1325.9</v>
      </c>
      <c r="Q1042" s="116">
        <v>1317.85</v>
      </c>
      <c r="R1042">
        <v>17794</v>
      </c>
    </row>
    <row r="1043" spans="1:18" x14ac:dyDescent="0.25">
      <c r="A1043" s="170">
        <v>43537</v>
      </c>
      <c r="B1043" s="116">
        <v>1327</v>
      </c>
      <c r="C1043" s="116">
        <v>1309</v>
      </c>
      <c r="D1043" s="116">
        <v>1300</v>
      </c>
      <c r="E1043" s="116">
        <v>1322.75</v>
      </c>
      <c r="F1043" s="116">
        <v>1309</v>
      </c>
      <c r="G1043">
        <v>3523</v>
      </c>
      <c r="H1043" s="116"/>
      <c r="I1043" s="116"/>
      <c r="L1043" s="170">
        <v>43537</v>
      </c>
      <c r="M1043" s="116">
        <v>1314.95</v>
      </c>
      <c r="N1043" s="116">
        <v>1328</v>
      </c>
      <c r="O1043" s="116">
        <v>1308.45</v>
      </c>
      <c r="P1043" s="116">
        <v>1315</v>
      </c>
      <c r="Q1043" s="116">
        <v>1314.95</v>
      </c>
      <c r="R1043">
        <v>17669</v>
      </c>
    </row>
    <row r="1044" spans="1:18" x14ac:dyDescent="0.25">
      <c r="A1044" s="170">
        <v>43538</v>
      </c>
      <c r="B1044" s="116">
        <v>1312.35</v>
      </c>
      <c r="C1044" s="116">
        <v>1310.2</v>
      </c>
      <c r="D1044" s="116">
        <v>1300</v>
      </c>
      <c r="E1044" s="116">
        <v>1307.1500000000001</v>
      </c>
      <c r="F1044" s="116">
        <v>1310.2</v>
      </c>
      <c r="G1044">
        <v>545</v>
      </c>
      <c r="H1044" s="116"/>
      <c r="I1044" s="116"/>
      <c r="L1044" s="170">
        <v>43538</v>
      </c>
      <c r="M1044" s="116">
        <v>1313.4</v>
      </c>
      <c r="N1044" s="116">
        <v>1320</v>
      </c>
      <c r="O1044" s="116">
        <v>1296.6500000000001</v>
      </c>
      <c r="P1044" s="116">
        <v>1320</v>
      </c>
      <c r="Q1044" s="116">
        <v>1313.4</v>
      </c>
      <c r="R1044">
        <v>15823</v>
      </c>
    </row>
    <row r="1045" spans="1:18" x14ac:dyDescent="0.25">
      <c r="A1045" s="170">
        <v>43539</v>
      </c>
      <c r="B1045" s="116">
        <v>1316.65</v>
      </c>
      <c r="C1045" s="116">
        <v>1298.5</v>
      </c>
      <c r="D1045" s="116">
        <v>1296.2</v>
      </c>
      <c r="E1045" s="116">
        <v>1316.65</v>
      </c>
      <c r="F1045" s="116">
        <v>1298.5</v>
      </c>
      <c r="G1045">
        <v>1824</v>
      </c>
      <c r="H1045" s="116"/>
      <c r="I1045" s="116"/>
      <c r="L1045" s="170">
        <v>43539</v>
      </c>
      <c r="M1045" s="116">
        <v>1301.1500000000001</v>
      </c>
      <c r="N1045" s="116">
        <v>1313.95</v>
      </c>
      <c r="O1045" s="116">
        <v>1296.8</v>
      </c>
      <c r="P1045" s="116">
        <v>1310</v>
      </c>
      <c r="Q1045" s="116">
        <v>1301.1500000000001</v>
      </c>
      <c r="R1045">
        <v>14562</v>
      </c>
    </row>
    <row r="1046" spans="1:18" x14ac:dyDescent="0.25">
      <c r="A1046" s="170">
        <v>43542</v>
      </c>
      <c r="B1046" s="116">
        <v>1303.5</v>
      </c>
      <c r="C1046" s="116">
        <v>1290.3499999999999</v>
      </c>
      <c r="D1046" s="116">
        <v>1282</v>
      </c>
      <c r="E1046" s="116">
        <v>1299</v>
      </c>
      <c r="F1046" s="116">
        <v>1290.3499999999999</v>
      </c>
      <c r="G1046">
        <v>4667</v>
      </c>
      <c r="H1046" s="116"/>
      <c r="I1046" s="116"/>
      <c r="L1046" s="170">
        <v>43542</v>
      </c>
      <c r="M1046" s="116">
        <v>1297.5999999999999</v>
      </c>
      <c r="N1046" s="116">
        <v>1310.95</v>
      </c>
      <c r="O1046" s="116">
        <v>1288.8499999999999</v>
      </c>
      <c r="P1046" s="116">
        <v>1301.8499999999999</v>
      </c>
      <c r="Q1046" s="116">
        <v>1297.5999999999999</v>
      </c>
      <c r="R1046">
        <v>13629</v>
      </c>
    </row>
    <row r="1047" spans="1:18" x14ac:dyDescent="0.25">
      <c r="A1047" s="170">
        <v>43543</v>
      </c>
      <c r="B1047" s="116">
        <v>1314.1</v>
      </c>
      <c r="C1047" s="116">
        <v>1310.85</v>
      </c>
      <c r="D1047" s="116">
        <v>1290</v>
      </c>
      <c r="E1047" s="116">
        <v>1299.5999999999999</v>
      </c>
      <c r="F1047" s="116">
        <v>1310.85</v>
      </c>
      <c r="G1047">
        <v>1114</v>
      </c>
      <c r="H1047" s="116"/>
      <c r="I1047" s="116"/>
      <c r="L1047" s="170">
        <v>43543</v>
      </c>
      <c r="M1047" s="116">
        <v>1312.95</v>
      </c>
      <c r="N1047" s="116">
        <v>1318</v>
      </c>
      <c r="O1047" s="116">
        <v>1293.05</v>
      </c>
      <c r="P1047" s="116">
        <v>1305</v>
      </c>
      <c r="Q1047" s="116">
        <v>1312.95</v>
      </c>
      <c r="R1047">
        <v>12571</v>
      </c>
    </row>
    <row r="1048" spans="1:18" x14ac:dyDescent="0.25">
      <c r="A1048" s="170">
        <v>43544</v>
      </c>
      <c r="B1048" s="116">
        <v>1325</v>
      </c>
      <c r="C1048" s="116">
        <v>1316.25</v>
      </c>
      <c r="D1048" s="116">
        <v>1293.5</v>
      </c>
      <c r="E1048" s="116">
        <v>1314</v>
      </c>
      <c r="F1048" s="116">
        <v>1316.25</v>
      </c>
      <c r="G1048">
        <v>2011</v>
      </c>
      <c r="H1048" s="116"/>
      <c r="I1048" s="116"/>
      <c r="L1048" s="170">
        <v>43544</v>
      </c>
      <c r="M1048" s="116">
        <v>1319.1</v>
      </c>
      <c r="N1048" s="116">
        <v>1327</v>
      </c>
      <c r="O1048" s="116">
        <v>1296.05</v>
      </c>
      <c r="P1048" s="116">
        <v>1312.85</v>
      </c>
      <c r="Q1048" s="116">
        <v>1319.1</v>
      </c>
      <c r="R1048">
        <v>17959</v>
      </c>
    </row>
    <row r="1049" spans="1:18" x14ac:dyDescent="0.25">
      <c r="A1049" s="170">
        <v>43546</v>
      </c>
      <c r="B1049" s="116">
        <v>1330.75</v>
      </c>
      <c r="C1049" s="116">
        <v>1319.75</v>
      </c>
      <c r="D1049" s="116">
        <v>1300</v>
      </c>
      <c r="E1049" s="116">
        <v>1309</v>
      </c>
      <c r="F1049" s="116">
        <v>1319.75</v>
      </c>
      <c r="G1049">
        <v>2968</v>
      </c>
      <c r="H1049" s="116"/>
      <c r="I1049" s="116"/>
      <c r="L1049" s="170">
        <v>43546</v>
      </c>
      <c r="M1049" s="116">
        <v>1327.6</v>
      </c>
      <c r="N1049" s="116">
        <v>1333.25</v>
      </c>
      <c r="O1049" s="116">
        <v>1300.0999999999999</v>
      </c>
      <c r="P1049" s="116">
        <v>1319.9</v>
      </c>
      <c r="Q1049" s="116">
        <v>1327.6</v>
      </c>
      <c r="R1049">
        <v>19273</v>
      </c>
    </row>
    <row r="1050" spans="1:18" x14ac:dyDescent="0.25">
      <c r="A1050" s="170">
        <v>43549</v>
      </c>
      <c r="B1050" s="116">
        <v>1320</v>
      </c>
      <c r="C1050" s="116">
        <v>1298.45</v>
      </c>
      <c r="D1050" s="116">
        <v>1296.55</v>
      </c>
      <c r="E1050" s="116">
        <v>1320</v>
      </c>
      <c r="F1050" s="116">
        <v>1298.45</v>
      </c>
      <c r="G1050">
        <v>1154</v>
      </c>
      <c r="H1050" s="116"/>
      <c r="I1050" s="116"/>
      <c r="L1050" s="170">
        <v>43549</v>
      </c>
      <c r="M1050" s="116">
        <v>1298.55</v>
      </c>
      <c r="N1050" s="116">
        <v>1320</v>
      </c>
      <c r="O1050" s="116">
        <v>1295</v>
      </c>
      <c r="P1050" s="116">
        <v>1320</v>
      </c>
      <c r="Q1050" s="116">
        <v>1298.55</v>
      </c>
      <c r="R1050">
        <v>20671</v>
      </c>
    </row>
    <row r="1051" spans="1:18" x14ac:dyDescent="0.25">
      <c r="A1051" s="170">
        <v>43550</v>
      </c>
      <c r="B1051" s="116">
        <v>1300.2</v>
      </c>
      <c r="C1051" s="116">
        <v>1290.5</v>
      </c>
      <c r="D1051" s="116">
        <v>1281</v>
      </c>
      <c r="E1051" s="116">
        <v>1299.45</v>
      </c>
      <c r="F1051" s="116">
        <v>1290.5</v>
      </c>
      <c r="G1051">
        <v>1792</v>
      </c>
      <c r="H1051" s="116"/>
      <c r="I1051" s="116"/>
      <c r="L1051" s="170">
        <v>43550</v>
      </c>
      <c r="M1051" s="116">
        <v>1299.55</v>
      </c>
      <c r="N1051" s="116">
        <v>1300.05</v>
      </c>
      <c r="O1051" s="116">
        <v>1291.55</v>
      </c>
      <c r="P1051" s="116">
        <v>1298</v>
      </c>
      <c r="Q1051" s="116">
        <v>1299.55</v>
      </c>
      <c r="R1051">
        <v>35527</v>
      </c>
    </row>
    <row r="1052" spans="1:18" x14ac:dyDescent="0.25">
      <c r="A1052" s="170">
        <v>43551</v>
      </c>
      <c r="B1052" s="116">
        <v>1300</v>
      </c>
      <c r="C1052" s="116">
        <v>1295.75</v>
      </c>
      <c r="D1052" s="116">
        <v>1270</v>
      </c>
      <c r="E1052" s="116">
        <v>1295.25</v>
      </c>
      <c r="F1052" s="116">
        <v>1295.75</v>
      </c>
      <c r="G1052">
        <v>4437</v>
      </c>
      <c r="H1052" s="116"/>
      <c r="I1052" s="116"/>
      <c r="L1052" s="170">
        <v>43551</v>
      </c>
      <c r="M1052" s="116">
        <v>1298.95</v>
      </c>
      <c r="N1052" s="116">
        <v>1300.1500000000001</v>
      </c>
      <c r="O1052" s="116">
        <v>1270</v>
      </c>
      <c r="P1052" s="116">
        <v>1295.05</v>
      </c>
      <c r="Q1052" s="116">
        <v>1298.95</v>
      </c>
      <c r="R1052">
        <v>52124</v>
      </c>
    </row>
    <row r="1053" spans="1:18" x14ac:dyDescent="0.25">
      <c r="A1053" s="170">
        <v>43552</v>
      </c>
      <c r="B1053" s="116">
        <v>1300</v>
      </c>
      <c r="C1053" s="116">
        <v>1295.55</v>
      </c>
      <c r="D1053" s="116">
        <v>1289.5999999999999</v>
      </c>
      <c r="E1053" s="116">
        <v>1300</v>
      </c>
      <c r="F1053" s="116">
        <v>1295.55</v>
      </c>
      <c r="G1053">
        <v>1450</v>
      </c>
      <c r="H1053" s="116"/>
      <c r="I1053" s="116"/>
      <c r="L1053" s="170">
        <v>43552</v>
      </c>
      <c r="M1053" s="116">
        <v>1296.55</v>
      </c>
      <c r="N1053" s="116">
        <v>1300</v>
      </c>
      <c r="O1053" s="116">
        <v>1290.8</v>
      </c>
      <c r="P1053" s="116">
        <v>1296.0999999999999</v>
      </c>
      <c r="Q1053" s="116">
        <v>1296.55</v>
      </c>
      <c r="R1053">
        <v>13448</v>
      </c>
    </row>
    <row r="1054" spans="1:18" x14ac:dyDescent="0.25">
      <c r="A1054" s="170">
        <v>43553</v>
      </c>
      <c r="B1054" s="116">
        <v>1300.05</v>
      </c>
      <c r="C1054" s="116">
        <v>1299.8499999999999</v>
      </c>
      <c r="D1054" s="116">
        <v>1293.05</v>
      </c>
      <c r="E1054" s="116">
        <v>1300</v>
      </c>
      <c r="F1054" s="116">
        <v>1299.8499999999999</v>
      </c>
      <c r="G1054">
        <v>1619</v>
      </c>
      <c r="H1054" s="116"/>
      <c r="I1054" s="116"/>
      <c r="L1054" s="170">
        <v>43553</v>
      </c>
      <c r="M1054" s="116">
        <v>1297.45</v>
      </c>
      <c r="N1054" s="116">
        <v>1301.3499999999999</v>
      </c>
      <c r="O1054" s="116">
        <v>1286</v>
      </c>
      <c r="P1054" s="116">
        <v>1298.05</v>
      </c>
      <c r="Q1054" s="116">
        <v>1297.45</v>
      </c>
      <c r="R1054">
        <v>15790</v>
      </c>
    </row>
    <row r="1055" spans="1:18" x14ac:dyDescent="0.25">
      <c r="A1055" s="170">
        <v>43556</v>
      </c>
      <c r="B1055" s="116">
        <v>1301.0999999999999</v>
      </c>
      <c r="C1055" s="116">
        <v>1299.75</v>
      </c>
      <c r="D1055" s="116">
        <v>1294</v>
      </c>
      <c r="E1055" s="116">
        <v>1299.6500000000001</v>
      </c>
      <c r="F1055" s="116">
        <v>1299.75</v>
      </c>
      <c r="G1055">
        <v>1376</v>
      </c>
      <c r="H1055" s="116"/>
      <c r="I1055" s="116"/>
      <c r="L1055" s="170">
        <v>43556</v>
      </c>
      <c r="M1055" s="116">
        <v>1299.5999999999999</v>
      </c>
      <c r="N1055" s="116">
        <v>1300</v>
      </c>
      <c r="O1055" s="116">
        <v>1293.3</v>
      </c>
      <c r="P1055" s="116">
        <v>1300</v>
      </c>
      <c r="Q1055" s="116">
        <v>1299.5999999999999</v>
      </c>
      <c r="R1055">
        <v>12753</v>
      </c>
    </row>
    <row r="1056" spans="1:18" x14ac:dyDescent="0.25">
      <c r="A1056" s="170">
        <v>43557</v>
      </c>
      <c r="B1056" s="116">
        <v>1303.3</v>
      </c>
      <c r="C1056" s="116">
        <v>1293.95</v>
      </c>
      <c r="D1056" s="116">
        <v>1291.8</v>
      </c>
      <c r="E1056" s="116">
        <v>1303.3</v>
      </c>
      <c r="F1056" s="116">
        <v>1293.95</v>
      </c>
      <c r="G1056">
        <v>1198</v>
      </c>
      <c r="H1056" s="116"/>
      <c r="I1056" s="116"/>
      <c r="L1056" s="170">
        <v>43557</v>
      </c>
      <c r="M1056" s="116">
        <v>1299.45</v>
      </c>
      <c r="N1056" s="116">
        <v>1300.4000000000001</v>
      </c>
      <c r="O1056" s="116">
        <v>1294</v>
      </c>
      <c r="P1056" s="116">
        <v>1300</v>
      </c>
      <c r="Q1056" s="116">
        <v>1299.45</v>
      </c>
      <c r="R1056">
        <v>15779</v>
      </c>
    </row>
    <row r="1057" spans="1:18" x14ac:dyDescent="0.25">
      <c r="A1057" s="170">
        <v>43558</v>
      </c>
      <c r="B1057" s="116">
        <v>1300</v>
      </c>
      <c r="C1057" s="116">
        <v>1290.5</v>
      </c>
      <c r="D1057" s="116">
        <v>1285</v>
      </c>
      <c r="E1057" s="116">
        <v>1293.0999999999999</v>
      </c>
      <c r="F1057" s="116">
        <v>1290.5</v>
      </c>
      <c r="G1057">
        <v>1420</v>
      </c>
      <c r="H1057" s="116"/>
      <c r="I1057" s="116"/>
      <c r="L1057" s="170">
        <v>43558</v>
      </c>
      <c r="M1057" s="116">
        <v>1297.6500000000001</v>
      </c>
      <c r="N1057" s="116">
        <v>1300.55</v>
      </c>
      <c r="O1057" s="116">
        <v>1290</v>
      </c>
      <c r="P1057" s="116">
        <v>1300.55</v>
      </c>
      <c r="Q1057" s="116">
        <v>1297.6500000000001</v>
      </c>
      <c r="R1057">
        <v>12763</v>
      </c>
    </row>
    <row r="1058" spans="1:18" x14ac:dyDescent="0.25">
      <c r="A1058" s="170">
        <v>43559</v>
      </c>
      <c r="B1058" s="116">
        <v>1298.55</v>
      </c>
      <c r="C1058" s="116">
        <v>1289.3499999999999</v>
      </c>
      <c r="D1058" s="116">
        <v>1284.55</v>
      </c>
      <c r="E1058" s="116">
        <v>1291.5</v>
      </c>
      <c r="F1058" s="116">
        <v>1289.3499999999999</v>
      </c>
      <c r="G1058">
        <v>720</v>
      </c>
      <c r="H1058" s="116"/>
      <c r="I1058" s="116"/>
      <c r="L1058" s="170">
        <v>43559</v>
      </c>
      <c r="M1058" s="116">
        <v>1294.5</v>
      </c>
      <c r="N1058" s="116">
        <v>1298.95</v>
      </c>
      <c r="O1058" s="116">
        <v>1279.9000000000001</v>
      </c>
      <c r="P1058" s="116">
        <v>1298.4000000000001</v>
      </c>
      <c r="Q1058" s="116">
        <v>1294.5</v>
      </c>
      <c r="R1058">
        <v>11916</v>
      </c>
    </row>
    <row r="1059" spans="1:18" x14ac:dyDescent="0.25">
      <c r="A1059" s="170">
        <v>43560</v>
      </c>
      <c r="B1059" s="116">
        <v>1300</v>
      </c>
      <c r="C1059" s="116">
        <v>1294.3</v>
      </c>
      <c r="D1059" s="116">
        <v>1291.95</v>
      </c>
      <c r="E1059" s="116">
        <v>1298</v>
      </c>
      <c r="F1059" s="116">
        <v>1294.3</v>
      </c>
      <c r="G1059">
        <v>571</v>
      </c>
      <c r="H1059" s="116"/>
      <c r="I1059" s="116"/>
      <c r="L1059" s="170">
        <v>43560</v>
      </c>
      <c r="M1059" s="116">
        <v>1299</v>
      </c>
      <c r="N1059" s="116">
        <v>1300</v>
      </c>
      <c r="O1059" s="116">
        <v>1293.05</v>
      </c>
      <c r="P1059" s="116">
        <v>1297.95</v>
      </c>
      <c r="Q1059" s="116">
        <v>1299</v>
      </c>
      <c r="R1059">
        <v>6946</v>
      </c>
    </row>
    <row r="1060" spans="1:18" x14ac:dyDescent="0.25">
      <c r="A1060" s="170">
        <v>43563</v>
      </c>
      <c r="B1060" s="116">
        <v>1311</v>
      </c>
      <c r="C1060" s="116">
        <v>1294.7</v>
      </c>
      <c r="D1060" s="116">
        <v>1275</v>
      </c>
      <c r="E1060" s="116">
        <v>1311</v>
      </c>
      <c r="F1060" s="116">
        <v>1294.7</v>
      </c>
      <c r="G1060">
        <v>1872</v>
      </c>
      <c r="H1060" s="116"/>
      <c r="I1060" s="116"/>
      <c r="L1060" s="170">
        <v>43563</v>
      </c>
      <c r="M1060" s="116">
        <v>1298.8</v>
      </c>
      <c r="N1060" s="116">
        <v>1300.4000000000001</v>
      </c>
      <c r="O1060" s="116">
        <v>1293.05</v>
      </c>
      <c r="P1060" s="116">
        <v>1294</v>
      </c>
      <c r="Q1060" s="116">
        <v>1298.8</v>
      </c>
      <c r="R1060">
        <v>9636</v>
      </c>
    </row>
    <row r="1061" spans="1:18" x14ac:dyDescent="0.25">
      <c r="A1061" s="170">
        <v>43564</v>
      </c>
      <c r="B1061" s="116">
        <v>1324</v>
      </c>
      <c r="C1061" s="116">
        <v>1296.05</v>
      </c>
      <c r="D1061" s="116">
        <v>1295</v>
      </c>
      <c r="E1061" s="116">
        <v>1324</v>
      </c>
      <c r="F1061" s="116">
        <v>1296.05</v>
      </c>
      <c r="G1061">
        <v>994</v>
      </c>
      <c r="H1061" s="116"/>
      <c r="I1061" s="116"/>
      <c r="L1061" s="170">
        <v>43564</v>
      </c>
      <c r="M1061" s="116">
        <v>1299.9000000000001</v>
      </c>
      <c r="N1061" s="116">
        <v>1300</v>
      </c>
      <c r="O1061" s="116">
        <v>1290.05</v>
      </c>
      <c r="P1061" s="116">
        <v>1298.75</v>
      </c>
      <c r="Q1061" s="116">
        <v>1299.9000000000001</v>
      </c>
      <c r="R1061">
        <v>8969</v>
      </c>
    </row>
    <row r="1062" spans="1:18" x14ac:dyDescent="0.25">
      <c r="A1062" s="170">
        <v>43565</v>
      </c>
      <c r="B1062" s="116">
        <v>1300</v>
      </c>
      <c r="C1062" s="116">
        <v>1294.55</v>
      </c>
      <c r="D1062" s="116">
        <v>1291.25</v>
      </c>
      <c r="E1062" s="116">
        <v>1297.45</v>
      </c>
      <c r="F1062" s="116">
        <v>1294.55</v>
      </c>
      <c r="G1062">
        <v>712</v>
      </c>
      <c r="H1062" s="116"/>
      <c r="I1062" s="116"/>
      <c r="L1062" s="170">
        <v>43565</v>
      </c>
      <c r="M1062" s="116">
        <v>1298</v>
      </c>
      <c r="N1062" s="116">
        <v>1300.2</v>
      </c>
      <c r="O1062" s="116">
        <v>1293</v>
      </c>
      <c r="P1062" s="116">
        <v>1299.8</v>
      </c>
      <c r="Q1062" s="116">
        <v>1298</v>
      </c>
      <c r="R1062">
        <v>16688</v>
      </c>
    </row>
    <row r="1063" spans="1:18" x14ac:dyDescent="0.25">
      <c r="A1063" s="170">
        <v>43566</v>
      </c>
      <c r="B1063" s="116">
        <v>1300</v>
      </c>
      <c r="C1063" s="116">
        <v>1296.0999999999999</v>
      </c>
      <c r="D1063" s="116">
        <v>1290.05</v>
      </c>
      <c r="E1063" s="116">
        <v>1293.1500000000001</v>
      </c>
      <c r="F1063" s="116">
        <v>1296.0999999999999</v>
      </c>
      <c r="G1063">
        <v>754</v>
      </c>
      <c r="H1063" s="116"/>
      <c r="I1063" s="116"/>
      <c r="L1063" s="170">
        <v>43566</v>
      </c>
      <c r="M1063" s="116">
        <v>1299.7</v>
      </c>
      <c r="N1063" s="116">
        <v>1300.0999999999999</v>
      </c>
      <c r="O1063" s="116">
        <v>1292</v>
      </c>
      <c r="P1063" s="116">
        <v>1300</v>
      </c>
      <c r="Q1063" s="116">
        <v>1299.7</v>
      </c>
      <c r="R1063">
        <v>8783</v>
      </c>
    </row>
    <row r="1064" spans="1:18" x14ac:dyDescent="0.25">
      <c r="A1064" s="170">
        <v>43567</v>
      </c>
      <c r="B1064" s="116">
        <v>1300</v>
      </c>
      <c r="C1064" s="116">
        <v>1299.3</v>
      </c>
      <c r="D1064" s="116">
        <v>1292</v>
      </c>
      <c r="E1064" s="116">
        <v>1299.75</v>
      </c>
      <c r="F1064" s="116">
        <v>1299.3</v>
      </c>
      <c r="G1064">
        <v>683</v>
      </c>
      <c r="H1064" s="116"/>
      <c r="I1064" s="116"/>
      <c r="L1064" s="170">
        <v>43567</v>
      </c>
      <c r="M1064" s="116">
        <v>1297.75</v>
      </c>
      <c r="N1064" s="116">
        <v>1299.95</v>
      </c>
      <c r="O1064" s="116">
        <v>1295</v>
      </c>
      <c r="P1064" s="116">
        <v>1298.8</v>
      </c>
      <c r="Q1064" s="116">
        <v>1297.75</v>
      </c>
      <c r="R1064">
        <v>6765</v>
      </c>
    </row>
    <row r="1065" spans="1:18" x14ac:dyDescent="0.25">
      <c r="A1065" s="170">
        <v>43570</v>
      </c>
      <c r="B1065" s="116">
        <v>1405.4</v>
      </c>
      <c r="C1065" s="116">
        <v>1305.7</v>
      </c>
      <c r="D1065" s="116">
        <v>1294</v>
      </c>
      <c r="E1065" s="116">
        <v>1388</v>
      </c>
      <c r="F1065" s="116">
        <v>1305.7</v>
      </c>
      <c r="G1065">
        <v>13355</v>
      </c>
      <c r="H1065" s="116"/>
      <c r="I1065" s="116"/>
      <c r="L1065" s="170">
        <v>43570</v>
      </c>
      <c r="M1065" s="116">
        <v>1299.4000000000001</v>
      </c>
      <c r="N1065" s="116">
        <v>1328.8</v>
      </c>
      <c r="O1065" s="116">
        <v>1295.55</v>
      </c>
      <c r="P1065" s="116">
        <v>1302.5999999999999</v>
      </c>
      <c r="Q1065" s="116">
        <v>1299.4000000000001</v>
      </c>
      <c r="R1065">
        <v>23810</v>
      </c>
    </row>
    <row r="1066" spans="1:18" x14ac:dyDescent="0.25">
      <c r="A1066" s="170">
        <v>43571</v>
      </c>
      <c r="B1066" s="116">
        <v>1320</v>
      </c>
      <c r="C1066" s="116">
        <v>1300</v>
      </c>
      <c r="D1066" s="116">
        <v>1296.9000000000001</v>
      </c>
      <c r="E1066" s="116">
        <v>1320</v>
      </c>
      <c r="F1066" s="116">
        <v>1300</v>
      </c>
      <c r="G1066">
        <v>1336</v>
      </c>
      <c r="H1066" s="116"/>
      <c r="I1066" s="116"/>
      <c r="L1066" s="170">
        <v>43571</v>
      </c>
      <c r="M1066" s="116">
        <v>1299.7</v>
      </c>
      <c r="N1066" s="116">
        <v>1300</v>
      </c>
      <c r="O1066" s="116">
        <v>1295.0999999999999</v>
      </c>
      <c r="P1066" s="116">
        <v>1300</v>
      </c>
      <c r="Q1066" s="116">
        <v>1299.7</v>
      </c>
      <c r="R1066">
        <v>16904</v>
      </c>
    </row>
    <row r="1067" spans="1:18" x14ac:dyDescent="0.25">
      <c r="A1067" s="170">
        <v>43573</v>
      </c>
      <c r="B1067" s="116">
        <v>1308</v>
      </c>
      <c r="C1067" s="116">
        <v>1298.0999999999999</v>
      </c>
      <c r="D1067" s="116">
        <v>1290</v>
      </c>
      <c r="E1067" s="116">
        <v>1308</v>
      </c>
      <c r="F1067" s="116">
        <v>1298.0999999999999</v>
      </c>
      <c r="G1067">
        <v>1214</v>
      </c>
      <c r="H1067" s="116"/>
      <c r="I1067" s="116"/>
      <c r="L1067" s="170">
        <v>43573</v>
      </c>
      <c r="M1067" s="116">
        <v>1299.9000000000001</v>
      </c>
      <c r="N1067" s="116">
        <v>1300.1500000000001</v>
      </c>
      <c r="O1067" s="116">
        <v>1292.4000000000001</v>
      </c>
      <c r="P1067" s="116">
        <v>1293</v>
      </c>
      <c r="Q1067" s="116">
        <v>1299.9000000000001</v>
      </c>
      <c r="R1067">
        <v>10622</v>
      </c>
    </row>
    <row r="1068" spans="1:18" x14ac:dyDescent="0.25">
      <c r="A1068" s="170">
        <v>43577</v>
      </c>
      <c r="B1068" s="116">
        <v>1300</v>
      </c>
      <c r="C1068" s="116">
        <v>1291.75</v>
      </c>
      <c r="D1068" s="116">
        <v>1280</v>
      </c>
      <c r="E1068" s="116">
        <v>1299.95</v>
      </c>
      <c r="F1068" s="116">
        <v>1291.75</v>
      </c>
      <c r="G1068">
        <v>2127</v>
      </c>
      <c r="H1068" s="116"/>
      <c r="I1068" s="116"/>
      <c r="L1068" s="170">
        <v>43577</v>
      </c>
      <c r="M1068" s="116">
        <v>1295.75</v>
      </c>
      <c r="N1068" s="116">
        <v>1300</v>
      </c>
      <c r="O1068" s="116">
        <v>1282.1500000000001</v>
      </c>
      <c r="P1068" s="116">
        <v>1299.95</v>
      </c>
      <c r="Q1068" s="116">
        <v>1295.75</v>
      </c>
      <c r="R1068">
        <v>11565</v>
      </c>
    </row>
    <row r="1069" spans="1:18" x14ac:dyDescent="0.25">
      <c r="A1069" s="170">
        <v>43578</v>
      </c>
      <c r="B1069" s="116">
        <v>1298.05</v>
      </c>
      <c r="C1069" s="116">
        <v>1291.25</v>
      </c>
      <c r="D1069" s="116">
        <v>1285</v>
      </c>
      <c r="E1069" s="116">
        <v>1288.2</v>
      </c>
      <c r="F1069" s="116">
        <v>1291.25</v>
      </c>
      <c r="G1069">
        <v>997</v>
      </c>
      <c r="H1069" s="116"/>
      <c r="I1069" s="116"/>
      <c r="L1069" s="170">
        <v>43578</v>
      </c>
      <c r="M1069" s="116">
        <v>1293.9000000000001</v>
      </c>
      <c r="N1069" s="116">
        <v>1295.75</v>
      </c>
      <c r="O1069" s="116">
        <v>1285</v>
      </c>
      <c r="P1069" s="116">
        <v>1295.7</v>
      </c>
      <c r="Q1069" s="116">
        <v>1293.9000000000001</v>
      </c>
      <c r="R1069">
        <v>9218</v>
      </c>
    </row>
    <row r="1070" spans="1:18" x14ac:dyDescent="0.25">
      <c r="A1070" s="170">
        <v>43579</v>
      </c>
      <c r="B1070" s="116">
        <v>1299.5</v>
      </c>
      <c r="C1070" s="116">
        <v>1292.3499999999999</v>
      </c>
      <c r="D1070" s="116">
        <v>1282</v>
      </c>
      <c r="E1070" s="116">
        <v>1285.95</v>
      </c>
      <c r="F1070" s="116">
        <v>1292.3499999999999</v>
      </c>
      <c r="G1070">
        <v>935</v>
      </c>
      <c r="H1070" s="116"/>
      <c r="I1070" s="116"/>
      <c r="L1070" s="170">
        <v>43579</v>
      </c>
      <c r="M1070" s="116">
        <v>1294.95</v>
      </c>
      <c r="N1070" s="116">
        <v>1295</v>
      </c>
      <c r="O1070" s="116">
        <v>1275</v>
      </c>
      <c r="P1070" s="116">
        <v>1295</v>
      </c>
      <c r="Q1070" s="116">
        <v>1294.95</v>
      </c>
      <c r="R1070">
        <v>8843</v>
      </c>
    </row>
    <row r="1071" spans="1:18" x14ac:dyDescent="0.25">
      <c r="A1071" s="170">
        <v>43580</v>
      </c>
      <c r="B1071" s="116">
        <v>1295</v>
      </c>
      <c r="C1071" s="116">
        <v>1287.5</v>
      </c>
      <c r="D1071" s="116">
        <v>1285.55</v>
      </c>
      <c r="E1071" s="116">
        <v>1291.95</v>
      </c>
      <c r="F1071" s="116">
        <v>1287.5</v>
      </c>
      <c r="G1071">
        <v>845</v>
      </c>
      <c r="H1071" s="116"/>
      <c r="I1071" s="116"/>
      <c r="L1071" s="170">
        <v>43580</v>
      </c>
      <c r="M1071" s="116">
        <v>1290.3</v>
      </c>
      <c r="N1071" s="116">
        <v>1295</v>
      </c>
      <c r="O1071" s="116">
        <v>1284.9000000000001</v>
      </c>
      <c r="P1071" s="116">
        <v>1294.95</v>
      </c>
      <c r="Q1071" s="116">
        <v>1290.3</v>
      </c>
      <c r="R1071">
        <v>5502</v>
      </c>
    </row>
    <row r="1072" spans="1:18" x14ac:dyDescent="0.25">
      <c r="A1072" s="170">
        <v>43581</v>
      </c>
      <c r="B1072" s="116">
        <v>1291</v>
      </c>
      <c r="C1072" s="116">
        <v>1287.2</v>
      </c>
      <c r="D1072" s="116">
        <v>1280.4000000000001</v>
      </c>
      <c r="E1072" s="116">
        <v>1290</v>
      </c>
      <c r="F1072" s="116">
        <v>1287.2</v>
      </c>
      <c r="G1072">
        <v>2235</v>
      </c>
      <c r="H1072" s="116"/>
      <c r="I1072" s="116"/>
      <c r="L1072" s="170">
        <v>43581</v>
      </c>
      <c r="M1072" s="116">
        <v>1289.9000000000001</v>
      </c>
      <c r="N1072" s="116">
        <v>1295</v>
      </c>
      <c r="O1072" s="116">
        <v>1284</v>
      </c>
      <c r="P1072" s="116">
        <v>1290</v>
      </c>
      <c r="Q1072" s="116">
        <v>1289.9000000000001</v>
      </c>
      <c r="R1072">
        <v>12431</v>
      </c>
    </row>
    <row r="1073" spans="1:18" x14ac:dyDescent="0.25">
      <c r="A1073" s="170">
        <v>43585</v>
      </c>
      <c r="B1073" s="116">
        <v>1299.95</v>
      </c>
      <c r="C1073" s="116">
        <v>1281.55</v>
      </c>
      <c r="D1073" s="116">
        <v>1275</v>
      </c>
      <c r="E1073" s="116">
        <v>1299.95</v>
      </c>
      <c r="F1073" s="116">
        <v>1281.55</v>
      </c>
      <c r="G1073">
        <v>1702</v>
      </c>
      <c r="H1073" s="116"/>
      <c r="I1073" s="116"/>
      <c r="L1073" s="170">
        <v>43585</v>
      </c>
      <c r="M1073" s="116">
        <v>1284.45</v>
      </c>
      <c r="N1073" s="116">
        <v>1294</v>
      </c>
      <c r="O1073" s="116">
        <v>1275</v>
      </c>
      <c r="P1073" s="116">
        <v>1285.7</v>
      </c>
      <c r="Q1073" s="116">
        <v>1284.45</v>
      </c>
      <c r="R1073">
        <v>17144</v>
      </c>
    </row>
    <row r="1074" spans="1:18" x14ac:dyDescent="0.25">
      <c r="A1074" s="170">
        <v>43587</v>
      </c>
      <c r="B1074" s="116">
        <v>1299</v>
      </c>
      <c r="C1074" s="116">
        <v>1286.55</v>
      </c>
      <c r="D1074" s="116">
        <v>1275</v>
      </c>
      <c r="E1074" s="116">
        <v>1299</v>
      </c>
      <c r="F1074" s="116">
        <v>1286.55</v>
      </c>
      <c r="G1074">
        <v>921</v>
      </c>
      <c r="H1074" s="116"/>
      <c r="I1074" s="116"/>
      <c r="L1074" s="170">
        <v>43587</v>
      </c>
      <c r="M1074" s="116">
        <v>1289.25</v>
      </c>
      <c r="N1074" s="116">
        <v>1290</v>
      </c>
      <c r="O1074" s="116">
        <v>1275.55</v>
      </c>
      <c r="P1074" s="116">
        <v>1285.0999999999999</v>
      </c>
      <c r="Q1074" s="116">
        <v>1289.25</v>
      </c>
      <c r="R1074">
        <v>10755</v>
      </c>
    </row>
    <row r="1075" spans="1:18" x14ac:dyDescent="0.25">
      <c r="A1075" s="170">
        <v>43588</v>
      </c>
      <c r="B1075" s="116">
        <v>1290</v>
      </c>
      <c r="C1075" s="116">
        <v>1282.75</v>
      </c>
      <c r="D1075" s="116">
        <v>1275</v>
      </c>
      <c r="E1075" s="116">
        <v>1276.55</v>
      </c>
      <c r="F1075" s="116">
        <v>1282.75</v>
      </c>
      <c r="G1075">
        <v>1505</v>
      </c>
      <c r="H1075" s="116"/>
      <c r="I1075" s="116"/>
      <c r="L1075" s="170">
        <v>43588</v>
      </c>
      <c r="M1075" s="116">
        <v>1283.8499999999999</v>
      </c>
      <c r="N1075" s="116">
        <v>1289.25</v>
      </c>
      <c r="O1075" s="116">
        <v>1275</v>
      </c>
      <c r="P1075" s="116">
        <v>1289</v>
      </c>
      <c r="Q1075" s="116">
        <v>1283.8499999999999</v>
      </c>
      <c r="R1075">
        <v>15152</v>
      </c>
    </row>
    <row r="1076" spans="1:18" x14ac:dyDescent="0.25">
      <c r="A1076" s="170">
        <v>43591</v>
      </c>
      <c r="B1076" s="116">
        <v>1290</v>
      </c>
      <c r="C1076" s="116">
        <v>1286.4000000000001</v>
      </c>
      <c r="D1076" s="116">
        <v>1274.6500000000001</v>
      </c>
      <c r="E1076" s="116">
        <v>1278.25</v>
      </c>
      <c r="F1076" s="116">
        <v>1286.4000000000001</v>
      </c>
      <c r="G1076">
        <v>964</v>
      </c>
      <c r="H1076" s="116"/>
      <c r="I1076" s="116"/>
      <c r="L1076" s="170">
        <v>43591</v>
      </c>
      <c r="M1076" s="116">
        <v>1288.2</v>
      </c>
      <c r="N1076" s="116">
        <v>1290</v>
      </c>
      <c r="O1076" s="116">
        <v>1275</v>
      </c>
      <c r="P1076" s="116">
        <v>1283.8499999999999</v>
      </c>
      <c r="Q1076" s="116">
        <v>1288.2</v>
      </c>
      <c r="R1076">
        <v>10749</v>
      </c>
    </row>
    <row r="1077" spans="1:18" x14ac:dyDescent="0.25">
      <c r="A1077" s="170">
        <v>43592</v>
      </c>
      <c r="B1077" s="116">
        <v>1290</v>
      </c>
      <c r="C1077" s="116">
        <v>1279.45</v>
      </c>
      <c r="D1077" s="116">
        <v>1269.9000000000001</v>
      </c>
      <c r="E1077" s="116">
        <v>1283.7</v>
      </c>
      <c r="F1077" s="116">
        <v>1279.45</v>
      </c>
      <c r="G1077">
        <v>2574</v>
      </c>
      <c r="H1077" s="116"/>
      <c r="I1077" s="116"/>
      <c r="L1077" s="170">
        <v>43592</v>
      </c>
      <c r="M1077" s="116">
        <v>1283.1500000000001</v>
      </c>
      <c r="N1077" s="116">
        <v>1290</v>
      </c>
      <c r="O1077" s="116">
        <v>1267</v>
      </c>
      <c r="P1077" s="116">
        <v>1286</v>
      </c>
      <c r="Q1077" s="116">
        <v>1283.1500000000001</v>
      </c>
      <c r="R1077">
        <v>23672</v>
      </c>
    </row>
    <row r="1078" spans="1:18" x14ac:dyDescent="0.25">
      <c r="A1078" s="170">
        <v>43593</v>
      </c>
      <c r="B1078" s="116">
        <v>1275</v>
      </c>
      <c r="C1078" s="116">
        <v>1266.5999999999999</v>
      </c>
      <c r="D1078" s="116">
        <v>1262</v>
      </c>
      <c r="E1078" s="116">
        <v>1275</v>
      </c>
      <c r="F1078" s="116">
        <v>1266.5999999999999</v>
      </c>
      <c r="G1078">
        <v>1090</v>
      </c>
      <c r="H1078" s="116"/>
      <c r="I1078" s="116"/>
      <c r="L1078" s="170">
        <v>43593</v>
      </c>
      <c r="M1078" s="116">
        <v>1270</v>
      </c>
      <c r="N1078" s="116">
        <v>1283.1500000000001</v>
      </c>
      <c r="O1078" s="116">
        <v>1261</v>
      </c>
      <c r="P1078" s="116">
        <v>1283.1500000000001</v>
      </c>
      <c r="Q1078" s="116">
        <v>1270</v>
      </c>
      <c r="R1078">
        <v>11748</v>
      </c>
    </row>
    <row r="1079" spans="1:18" x14ac:dyDescent="0.25">
      <c r="A1079" s="170">
        <v>43594</v>
      </c>
      <c r="B1079" s="116">
        <v>1270</v>
      </c>
      <c r="C1079" s="116">
        <v>1254.9000000000001</v>
      </c>
      <c r="D1079" s="116">
        <v>1250</v>
      </c>
      <c r="E1079" s="116">
        <v>1261</v>
      </c>
      <c r="F1079" s="116">
        <v>1254.9000000000001</v>
      </c>
      <c r="G1079">
        <v>2031</v>
      </c>
      <c r="H1079" s="116"/>
      <c r="I1079" s="116"/>
      <c r="L1079" s="170">
        <v>43594</v>
      </c>
      <c r="M1079" s="116">
        <v>1259.3499999999999</v>
      </c>
      <c r="N1079" s="116">
        <v>1270</v>
      </c>
      <c r="O1079" s="116">
        <v>1246.5999999999999</v>
      </c>
      <c r="P1079" s="116">
        <v>1270</v>
      </c>
      <c r="Q1079" s="116">
        <v>1259.3499999999999</v>
      </c>
      <c r="R1079">
        <v>18048</v>
      </c>
    </row>
    <row r="1080" spans="1:18" x14ac:dyDescent="0.25">
      <c r="A1080" s="170">
        <v>43595</v>
      </c>
      <c r="B1080" s="116">
        <v>1277.95</v>
      </c>
      <c r="C1080" s="116">
        <v>1270.5999999999999</v>
      </c>
      <c r="D1080" s="116">
        <v>1245.5</v>
      </c>
      <c r="E1080" s="116">
        <v>1267.8499999999999</v>
      </c>
      <c r="F1080" s="116">
        <v>1270.5999999999999</v>
      </c>
      <c r="G1080">
        <v>1381</v>
      </c>
      <c r="H1080" s="116"/>
      <c r="I1080" s="116"/>
      <c r="L1080" s="170">
        <v>43595</v>
      </c>
      <c r="M1080" s="116">
        <v>1274.8499999999999</v>
      </c>
      <c r="N1080" s="116">
        <v>1280</v>
      </c>
      <c r="O1080" s="116">
        <v>1250</v>
      </c>
      <c r="P1080" s="116">
        <v>1259</v>
      </c>
      <c r="Q1080" s="116">
        <v>1274.8499999999999</v>
      </c>
      <c r="R1080">
        <v>10870</v>
      </c>
    </row>
    <row r="1081" spans="1:18" x14ac:dyDescent="0.25">
      <c r="A1081" s="170">
        <v>43598</v>
      </c>
      <c r="B1081" s="116">
        <v>1280</v>
      </c>
      <c r="C1081" s="116">
        <v>1276.8499999999999</v>
      </c>
      <c r="D1081" s="116">
        <v>1267.5999999999999</v>
      </c>
      <c r="E1081" s="116">
        <v>1275</v>
      </c>
      <c r="F1081" s="116">
        <v>1276.8499999999999</v>
      </c>
      <c r="G1081">
        <v>1277</v>
      </c>
      <c r="H1081" s="116"/>
      <c r="I1081" s="116"/>
      <c r="L1081" s="170">
        <v>43598</v>
      </c>
      <c r="M1081" s="116">
        <v>1278.0999999999999</v>
      </c>
      <c r="N1081" s="116">
        <v>1280</v>
      </c>
      <c r="O1081" s="116">
        <v>1258.8</v>
      </c>
      <c r="P1081" s="116">
        <v>1273.95</v>
      </c>
      <c r="Q1081" s="116">
        <v>1278.0999999999999</v>
      </c>
      <c r="R1081">
        <v>10272</v>
      </c>
    </row>
    <row r="1082" spans="1:18" x14ac:dyDescent="0.25">
      <c r="A1082" s="170">
        <v>43599</v>
      </c>
      <c r="B1082" s="116">
        <v>1280</v>
      </c>
      <c r="C1082" s="116">
        <v>1278</v>
      </c>
      <c r="D1082" s="116">
        <v>1261.05</v>
      </c>
      <c r="E1082" s="116">
        <v>1261.05</v>
      </c>
      <c r="F1082" s="116">
        <v>1278</v>
      </c>
      <c r="G1082">
        <v>377</v>
      </c>
      <c r="H1082" s="116"/>
      <c r="I1082" s="116"/>
      <c r="L1082" s="170">
        <v>43599</v>
      </c>
      <c r="M1082" s="116">
        <v>1279.9000000000001</v>
      </c>
      <c r="N1082" s="116">
        <v>1280</v>
      </c>
      <c r="O1082" s="116">
        <v>1268</v>
      </c>
      <c r="P1082" s="116">
        <v>1278</v>
      </c>
      <c r="Q1082" s="116">
        <v>1279.9000000000001</v>
      </c>
      <c r="R1082">
        <v>12862</v>
      </c>
    </row>
    <row r="1083" spans="1:18" x14ac:dyDescent="0.25">
      <c r="A1083" s="170">
        <v>43600</v>
      </c>
      <c r="B1083" s="116">
        <v>1280</v>
      </c>
      <c r="C1083" s="116">
        <v>1276.2</v>
      </c>
      <c r="D1083" s="116">
        <v>1268</v>
      </c>
      <c r="E1083" s="116">
        <v>1276</v>
      </c>
      <c r="F1083" s="116">
        <v>1276.2</v>
      </c>
      <c r="G1083">
        <v>751</v>
      </c>
      <c r="H1083" s="116"/>
      <c r="I1083" s="116"/>
      <c r="L1083" s="170">
        <v>43600</v>
      </c>
      <c r="M1083" s="116">
        <v>1279.95</v>
      </c>
      <c r="N1083" s="116">
        <v>1280.2</v>
      </c>
      <c r="O1083" s="116">
        <v>1266.2</v>
      </c>
      <c r="P1083" s="116">
        <v>1277.1500000000001</v>
      </c>
      <c r="Q1083" s="116">
        <v>1279.95</v>
      </c>
      <c r="R1083">
        <v>15030</v>
      </c>
    </row>
    <row r="1084" spans="1:18" x14ac:dyDescent="0.25">
      <c r="A1084" s="170">
        <v>43601</v>
      </c>
      <c r="B1084" s="116">
        <v>1292</v>
      </c>
      <c r="C1084" s="116">
        <v>1279.6500000000001</v>
      </c>
      <c r="D1084" s="116">
        <v>1268.3</v>
      </c>
      <c r="E1084" s="116">
        <v>1280</v>
      </c>
      <c r="F1084" s="116">
        <v>1279.6500000000001</v>
      </c>
      <c r="G1084">
        <v>625</v>
      </c>
      <c r="H1084" s="116"/>
      <c r="I1084" s="116"/>
      <c r="L1084" s="170">
        <v>43601</v>
      </c>
      <c r="M1084" s="116">
        <v>1279.75</v>
      </c>
      <c r="N1084" s="116">
        <v>1280</v>
      </c>
      <c r="O1084" s="116">
        <v>1265.3</v>
      </c>
      <c r="P1084" s="116">
        <v>1279.5999999999999</v>
      </c>
      <c r="Q1084" s="116">
        <v>1279.75</v>
      </c>
      <c r="R1084">
        <v>10967</v>
      </c>
    </row>
    <row r="1085" spans="1:18" x14ac:dyDescent="0.25">
      <c r="A1085" s="170">
        <v>43602</v>
      </c>
      <c r="B1085" s="116">
        <v>1277.05</v>
      </c>
      <c r="C1085" s="116">
        <v>1271.6500000000001</v>
      </c>
      <c r="D1085" s="116">
        <v>1269</v>
      </c>
      <c r="E1085" s="116">
        <v>1277.05</v>
      </c>
      <c r="F1085" s="116">
        <v>1271.6500000000001</v>
      </c>
      <c r="G1085">
        <v>563</v>
      </c>
      <c r="H1085" s="116"/>
      <c r="I1085" s="116"/>
      <c r="L1085" s="170">
        <v>43602</v>
      </c>
      <c r="M1085" s="116">
        <v>1278.2</v>
      </c>
      <c r="N1085" s="116">
        <v>1280</v>
      </c>
      <c r="O1085" s="116">
        <v>1269</v>
      </c>
      <c r="P1085" s="116">
        <v>1277.05</v>
      </c>
      <c r="Q1085" s="116">
        <v>1278.2</v>
      </c>
      <c r="R1085">
        <v>13817</v>
      </c>
    </row>
    <row r="1086" spans="1:18" x14ac:dyDescent="0.25">
      <c r="A1086" s="170">
        <v>43605</v>
      </c>
      <c r="B1086" s="116">
        <v>1289.95</v>
      </c>
      <c r="C1086" s="116">
        <v>1274.7</v>
      </c>
      <c r="D1086" s="116">
        <v>1263.7</v>
      </c>
      <c r="E1086" s="116">
        <v>1280</v>
      </c>
      <c r="F1086" s="116">
        <v>1274.7</v>
      </c>
      <c r="G1086">
        <v>3235</v>
      </c>
      <c r="H1086" s="116"/>
      <c r="I1086" s="116"/>
      <c r="L1086" s="170">
        <v>43605</v>
      </c>
      <c r="M1086" s="116">
        <v>1279.75</v>
      </c>
      <c r="N1086" s="116">
        <v>1288.9000000000001</v>
      </c>
      <c r="O1086" s="116">
        <v>1269.7</v>
      </c>
      <c r="P1086" s="116">
        <v>1282.6500000000001</v>
      </c>
      <c r="Q1086" s="116">
        <v>1279.75</v>
      </c>
      <c r="R1086">
        <v>46415</v>
      </c>
    </row>
    <row r="1087" spans="1:18" x14ac:dyDescent="0.25">
      <c r="A1087" s="170">
        <v>43606</v>
      </c>
      <c r="B1087" s="116">
        <v>1279</v>
      </c>
      <c r="C1087" s="116">
        <v>1273.5</v>
      </c>
      <c r="D1087" s="116">
        <v>1260</v>
      </c>
      <c r="E1087" s="116">
        <v>1271.9000000000001</v>
      </c>
      <c r="F1087" s="116">
        <v>1273.5</v>
      </c>
      <c r="G1087">
        <v>2874</v>
      </c>
      <c r="H1087" s="116"/>
      <c r="I1087" s="116"/>
      <c r="L1087" s="170">
        <v>43606</v>
      </c>
      <c r="M1087" s="116">
        <v>1275.5999999999999</v>
      </c>
      <c r="N1087" s="116">
        <v>1283.2</v>
      </c>
      <c r="O1087" s="116">
        <v>1265.3</v>
      </c>
      <c r="P1087" s="116">
        <v>1272</v>
      </c>
      <c r="Q1087" s="116">
        <v>1275.5999999999999</v>
      </c>
      <c r="R1087">
        <v>16432</v>
      </c>
    </row>
    <row r="1088" spans="1:18" x14ac:dyDescent="0.25">
      <c r="A1088" s="170">
        <v>43607</v>
      </c>
      <c r="B1088" s="116">
        <v>1280</v>
      </c>
      <c r="C1088" s="116">
        <v>1278</v>
      </c>
      <c r="D1088" s="116">
        <v>1274.4000000000001</v>
      </c>
      <c r="E1088" s="116">
        <v>1280</v>
      </c>
      <c r="F1088" s="116">
        <v>1278</v>
      </c>
      <c r="G1088">
        <v>697</v>
      </c>
      <c r="H1088" s="116"/>
      <c r="I1088" s="116"/>
      <c r="L1088" s="170">
        <v>43607</v>
      </c>
      <c r="M1088" s="116">
        <v>1278.9000000000001</v>
      </c>
      <c r="N1088" s="116">
        <v>1280</v>
      </c>
      <c r="O1088" s="116">
        <v>1271</v>
      </c>
      <c r="P1088" s="116">
        <v>1277</v>
      </c>
      <c r="Q1088" s="116">
        <v>1278.9000000000001</v>
      </c>
      <c r="R1088">
        <v>24664</v>
      </c>
    </row>
    <row r="1089" spans="1:18" x14ac:dyDescent="0.25">
      <c r="A1089" s="170">
        <v>43608</v>
      </c>
      <c r="B1089" s="116">
        <v>1294</v>
      </c>
      <c r="C1089" s="116">
        <v>1269.05</v>
      </c>
      <c r="D1089" s="116">
        <v>1263</v>
      </c>
      <c r="E1089" s="116">
        <v>1294</v>
      </c>
      <c r="F1089" s="116">
        <v>1269.05</v>
      </c>
      <c r="G1089">
        <v>2958</v>
      </c>
      <c r="H1089" s="116"/>
      <c r="I1089" s="116"/>
      <c r="L1089" s="170">
        <v>43608</v>
      </c>
      <c r="M1089" s="116">
        <v>1271</v>
      </c>
      <c r="N1089" s="116">
        <v>1285.45</v>
      </c>
      <c r="O1089" s="116">
        <v>1265</v>
      </c>
      <c r="P1089" s="116">
        <v>1277.25</v>
      </c>
      <c r="Q1089" s="116">
        <v>1271</v>
      </c>
      <c r="R1089">
        <v>23685</v>
      </c>
    </row>
    <row r="1090" spans="1:18" x14ac:dyDescent="0.25">
      <c r="A1090" s="170">
        <v>43609</v>
      </c>
      <c r="B1090" s="116">
        <v>1285</v>
      </c>
      <c r="C1090" s="116">
        <v>1275.8499999999999</v>
      </c>
      <c r="D1090" s="116">
        <v>1257.05</v>
      </c>
      <c r="E1090" s="116">
        <v>1278</v>
      </c>
      <c r="F1090" s="116">
        <v>1275.8499999999999</v>
      </c>
      <c r="G1090">
        <v>1775</v>
      </c>
      <c r="H1090" s="116"/>
      <c r="I1090" s="116"/>
      <c r="L1090" s="170">
        <v>43609</v>
      </c>
      <c r="M1090" s="116">
        <v>1279.6500000000001</v>
      </c>
      <c r="N1090" s="116">
        <v>1280</v>
      </c>
      <c r="O1090" s="116">
        <v>1267</v>
      </c>
      <c r="P1090" s="116">
        <v>1277</v>
      </c>
      <c r="Q1090" s="116">
        <v>1279.6500000000001</v>
      </c>
      <c r="R1090">
        <v>21604</v>
      </c>
    </row>
    <row r="1091" spans="1:18" x14ac:dyDescent="0.25">
      <c r="A1091" s="170">
        <v>43612</v>
      </c>
      <c r="B1091" s="116">
        <v>1280</v>
      </c>
      <c r="C1091" s="116">
        <v>1279.3499999999999</v>
      </c>
      <c r="D1091" s="116">
        <v>1274.05</v>
      </c>
      <c r="E1091" s="116">
        <v>1276</v>
      </c>
      <c r="F1091" s="116">
        <v>1279.3499999999999</v>
      </c>
      <c r="G1091">
        <v>713</v>
      </c>
      <c r="H1091" s="116"/>
      <c r="I1091" s="116"/>
      <c r="L1091" s="170">
        <v>43612</v>
      </c>
      <c r="M1091" s="116">
        <v>1279.8</v>
      </c>
      <c r="N1091" s="116">
        <v>1280</v>
      </c>
      <c r="O1091" s="116">
        <v>1273</v>
      </c>
      <c r="P1091" s="116">
        <v>1278.8499999999999</v>
      </c>
      <c r="Q1091" s="116">
        <v>1279.8</v>
      </c>
      <c r="R1091">
        <v>16007</v>
      </c>
    </row>
    <row r="1092" spans="1:18" x14ac:dyDescent="0.25">
      <c r="A1092" s="170">
        <v>43613</v>
      </c>
      <c r="B1092" s="116">
        <v>1280.4000000000001</v>
      </c>
      <c r="C1092" s="116">
        <v>1274.2</v>
      </c>
      <c r="D1092" s="116">
        <v>1271.55</v>
      </c>
      <c r="E1092" s="116">
        <v>1278.75</v>
      </c>
      <c r="F1092" s="116">
        <v>1274.2</v>
      </c>
      <c r="G1092">
        <v>1295</v>
      </c>
      <c r="H1092" s="116"/>
      <c r="I1092" s="116"/>
      <c r="L1092" s="170">
        <v>43613</v>
      </c>
      <c r="M1092" s="116">
        <v>1278.95</v>
      </c>
      <c r="N1092" s="116">
        <v>1282.45</v>
      </c>
      <c r="O1092" s="116">
        <v>1275</v>
      </c>
      <c r="P1092" s="116">
        <v>1277.7</v>
      </c>
      <c r="Q1092" s="116">
        <v>1278.95</v>
      </c>
      <c r="R1092">
        <v>35010</v>
      </c>
    </row>
    <row r="1093" spans="1:18" x14ac:dyDescent="0.25">
      <c r="A1093" s="170">
        <v>43614</v>
      </c>
      <c r="B1093" s="116">
        <v>1280.05</v>
      </c>
      <c r="C1093" s="116">
        <v>1271</v>
      </c>
      <c r="D1093" s="116">
        <v>1268</v>
      </c>
      <c r="E1093" s="116">
        <v>1275</v>
      </c>
      <c r="F1093" s="116">
        <v>1271</v>
      </c>
      <c r="G1093">
        <v>1902</v>
      </c>
      <c r="H1093" s="116"/>
      <c r="I1093" s="116"/>
      <c r="L1093" s="170">
        <v>43614</v>
      </c>
      <c r="M1093" s="116">
        <v>1277.0999999999999</v>
      </c>
      <c r="N1093" s="116">
        <v>1285</v>
      </c>
      <c r="O1093" s="116">
        <v>1270.0999999999999</v>
      </c>
      <c r="P1093" s="116">
        <v>1285</v>
      </c>
      <c r="Q1093" s="116">
        <v>1277.0999999999999</v>
      </c>
      <c r="R1093">
        <v>15740</v>
      </c>
    </row>
    <row r="1094" spans="1:18" x14ac:dyDescent="0.25">
      <c r="A1094" s="170">
        <v>43615</v>
      </c>
      <c r="B1094" s="116">
        <v>1275.45</v>
      </c>
      <c r="C1094" s="116">
        <v>1270.4000000000001</v>
      </c>
      <c r="D1094" s="116">
        <v>1262.55</v>
      </c>
      <c r="E1094" s="116">
        <v>1271.6500000000001</v>
      </c>
      <c r="F1094" s="116">
        <v>1270.4000000000001</v>
      </c>
      <c r="G1094">
        <v>662</v>
      </c>
      <c r="H1094" s="116"/>
      <c r="I1094" s="116"/>
      <c r="L1094" s="170">
        <v>43615</v>
      </c>
      <c r="M1094" s="116">
        <v>1269.8499999999999</v>
      </c>
      <c r="N1094" s="116">
        <v>1279.7</v>
      </c>
      <c r="O1094" s="116">
        <v>1260.4000000000001</v>
      </c>
      <c r="P1094" s="116">
        <v>1276.4000000000001</v>
      </c>
      <c r="Q1094" s="116">
        <v>1269.8499999999999</v>
      </c>
      <c r="R1094">
        <v>15979</v>
      </c>
    </row>
    <row r="1095" spans="1:18" x14ac:dyDescent="0.25">
      <c r="A1095" s="170">
        <v>43616</v>
      </c>
      <c r="B1095" s="116">
        <v>1279.4000000000001</v>
      </c>
      <c r="C1095" s="116">
        <v>1268.3</v>
      </c>
      <c r="D1095" s="116">
        <v>1261</v>
      </c>
      <c r="E1095" s="116">
        <v>1261</v>
      </c>
      <c r="F1095" s="116">
        <v>1268.3</v>
      </c>
      <c r="G1095">
        <v>878</v>
      </c>
      <c r="H1095" s="116"/>
      <c r="I1095" s="116"/>
      <c r="L1095" s="170">
        <v>43616</v>
      </c>
      <c r="M1095" s="116">
        <v>1265</v>
      </c>
      <c r="N1095" s="116">
        <v>1273.4000000000001</v>
      </c>
      <c r="O1095" s="116">
        <v>1262</v>
      </c>
      <c r="P1095" s="116">
        <v>1271</v>
      </c>
      <c r="Q1095" s="116">
        <v>1265</v>
      </c>
      <c r="R1095">
        <v>9638</v>
      </c>
    </row>
    <row r="1096" spans="1:18" x14ac:dyDescent="0.25">
      <c r="A1096" s="170">
        <v>43619</v>
      </c>
      <c r="B1096" s="116">
        <v>1280.95</v>
      </c>
      <c r="C1096" s="116">
        <v>1270.1500000000001</v>
      </c>
      <c r="D1096" s="116">
        <v>1250</v>
      </c>
      <c r="E1096" s="116">
        <v>1280.95</v>
      </c>
      <c r="F1096" s="116">
        <v>1270.1500000000001</v>
      </c>
      <c r="G1096">
        <v>2678</v>
      </c>
      <c r="H1096" s="116"/>
      <c r="I1096" s="116"/>
      <c r="L1096" s="170">
        <v>43619</v>
      </c>
      <c r="M1096" s="116">
        <v>1273.95</v>
      </c>
      <c r="N1096" s="116">
        <v>1279.95</v>
      </c>
      <c r="O1096" s="116">
        <v>1264.45</v>
      </c>
      <c r="P1096" s="116">
        <v>1272.25</v>
      </c>
      <c r="Q1096" s="116">
        <v>1273.95</v>
      </c>
      <c r="R1096">
        <v>10978</v>
      </c>
    </row>
    <row r="1097" spans="1:18" x14ac:dyDescent="0.25">
      <c r="A1097" s="170">
        <v>43620</v>
      </c>
      <c r="B1097" s="116">
        <v>1278</v>
      </c>
      <c r="C1097" s="116">
        <v>1266.45</v>
      </c>
      <c r="D1097" s="116">
        <v>1265</v>
      </c>
      <c r="E1097" s="116">
        <v>1275</v>
      </c>
      <c r="F1097" s="116">
        <v>1266.45</v>
      </c>
      <c r="G1097">
        <v>1017</v>
      </c>
      <c r="H1097" s="116"/>
      <c r="I1097" s="116"/>
      <c r="L1097" s="170">
        <v>43620</v>
      </c>
      <c r="M1097" s="116">
        <v>1270</v>
      </c>
      <c r="N1097" s="116">
        <v>1278.8</v>
      </c>
      <c r="O1097" s="116">
        <v>1265.5999999999999</v>
      </c>
      <c r="P1097" s="116">
        <v>1272.3</v>
      </c>
      <c r="Q1097" s="116">
        <v>1270</v>
      </c>
      <c r="R1097">
        <v>23231</v>
      </c>
    </row>
    <row r="1098" spans="1:18" x14ac:dyDescent="0.25">
      <c r="A1098" s="170">
        <v>43622</v>
      </c>
      <c r="B1098" s="116">
        <v>1271.5</v>
      </c>
      <c r="C1098" s="116">
        <v>1266.55</v>
      </c>
      <c r="D1098" s="116">
        <v>1260.05</v>
      </c>
      <c r="E1098" s="116">
        <v>1265</v>
      </c>
      <c r="F1098" s="116">
        <v>1266.55</v>
      </c>
      <c r="G1098">
        <v>1082</v>
      </c>
      <c r="H1098" s="116"/>
      <c r="I1098" s="116"/>
      <c r="L1098" s="170">
        <v>43622</v>
      </c>
      <c r="M1098" s="116">
        <v>1269.9000000000001</v>
      </c>
      <c r="N1098" s="116">
        <v>1272.05</v>
      </c>
      <c r="O1098" s="116">
        <v>1260.25</v>
      </c>
      <c r="P1098" s="116">
        <v>1270.05</v>
      </c>
      <c r="Q1098" s="116">
        <v>1269.9000000000001</v>
      </c>
      <c r="R1098">
        <v>11911</v>
      </c>
    </row>
    <row r="1099" spans="1:18" x14ac:dyDescent="0.25">
      <c r="A1099" s="170">
        <v>43623</v>
      </c>
      <c r="B1099" s="116">
        <v>1280</v>
      </c>
      <c r="C1099" s="116">
        <v>1270.55</v>
      </c>
      <c r="D1099" s="116">
        <v>1260.0999999999999</v>
      </c>
      <c r="E1099" s="116">
        <v>1262.8</v>
      </c>
      <c r="F1099" s="116">
        <v>1270.55</v>
      </c>
      <c r="G1099">
        <v>1096</v>
      </c>
      <c r="H1099" s="116"/>
      <c r="I1099" s="116"/>
      <c r="L1099" s="170">
        <v>43623</v>
      </c>
      <c r="M1099" s="116">
        <v>1276.75</v>
      </c>
      <c r="N1099" s="116">
        <v>1280</v>
      </c>
      <c r="O1099" s="116">
        <v>1259.1500000000001</v>
      </c>
      <c r="P1099" s="116">
        <v>1275</v>
      </c>
      <c r="Q1099" s="116">
        <v>1276.75</v>
      </c>
      <c r="R1099">
        <v>15727</v>
      </c>
    </row>
    <row r="1100" spans="1:18" x14ac:dyDescent="0.25">
      <c r="A1100" s="170">
        <v>43626</v>
      </c>
      <c r="B1100" s="116">
        <v>1274.8</v>
      </c>
      <c r="C1100" s="116">
        <v>1269.6500000000001</v>
      </c>
      <c r="D1100" s="116">
        <v>1260.0999999999999</v>
      </c>
      <c r="E1100" s="116">
        <v>1272.0999999999999</v>
      </c>
      <c r="F1100" s="116">
        <v>1269.6500000000001</v>
      </c>
      <c r="G1100">
        <v>666</v>
      </c>
      <c r="H1100" s="116"/>
      <c r="I1100" s="116"/>
      <c r="L1100" s="170">
        <v>43626</v>
      </c>
      <c r="M1100" s="116">
        <v>1270.1500000000001</v>
      </c>
      <c r="N1100" s="116">
        <v>1275</v>
      </c>
      <c r="O1100" s="116">
        <v>1258</v>
      </c>
      <c r="P1100" s="116">
        <v>1275</v>
      </c>
      <c r="Q1100" s="116">
        <v>1270.1500000000001</v>
      </c>
      <c r="R1100">
        <v>21679</v>
      </c>
    </row>
    <row r="1101" spans="1:18" x14ac:dyDescent="0.25">
      <c r="A1101" s="170">
        <v>43627</v>
      </c>
      <c r="B1101" s="116">
        <v>1274.95</v>
      </c>
      <c r="C1101" s="116">
        <v>1265.9000000000001</v>
      </c>
      <c r="D1101" s="116">
        <v>1262.05</v>
      </c>
      <c r="E1101" s="116">
        <v>1274.95</v>
      </c>
      <c r="F1101" s="116">
        <v>1265.9000000000001</v>
      </c>
      <c r="G1101">
        <v>1436</v>
      </c>
      <c r="H1101" s="116"/>
      <c r="I1101" s="116"/>
      <c r="L1101" s="170">
        <v>43627</v>
      </c>
      <c r="M1101" s="116">
        <v>1269.9000000000001</v>
      </c>
      <c r="N1101" s="116">
        <v>1270</v>
      </c>
      <c r="O1101" s="116">
        <v>1264</v>
      </c>
      <c r="P1101" s="116">
        <v>1269.5</v>
      </c>
      <c r="Q1101" s="116">
        <v>1269.9000000000001</v>
      </c>
      <c r="R1101">
        <v>12710</v>
      </c>
    </row>
    <row r="1102" spans="1:18" x14ac:dyDescent="0.25">
      <c r="A1102" s="170">
        <v>43628</v>
      </c>
      <c r="B1102" s="116">
        <v>1268.5</v>
      </c>
      <c r="C1102" s="116">
        <v>1265.75</v>
      </c>
      <c r="D1102" s="116">
        <v>1264</v>
      </c>
      <c r="E1102" s="116">
        <v>1267</v>
      </c>
      <c r="F1102" s="116">
        <v>1265.75</v>
      </c>
      <c r="G1102">
        <v>554</v>
      </c>
      <c r="H1102" s="116"/>
      <c r="I1102" s="116"/>
      <c r="L1102" s="170">
        <v>43628</v>
      </c>
      <c r="M1102" s="116">
        <v>1265.6500000000001</v>
      </c>
      <c r="N1102" s="116">
        <v>1270</v>
      </c>
      <c r="O1102" s="116">
        <v>1263.4000000000001</v>
      </c>
      <c r="P1102" s="116">
        <v>1265.8499999999999</v>
      </c>
      <c r="Q1102" s="116">
        <v>1265.6500000000001</v>
      </c>
      <c r="R1102">
        <v>12833</v>
      </c>
    </row>
    <row r="1103" spans="1:18" x14ac:dyDescent="0.25">
      <c r="A1103" s="170">
        <v>43629</v>
      </c>
      <c r="B1103" s="116">
        <v>1267.8499999999999</v>
      </c>
      <c r="C1103" s="116">
        <v>1257.5999999999999</v>
      </c>
      <c r="D1103" s="116">
        <v>1256</v>
      </c>
      <c r="E1103" s="116">
        <v>1267.75</v>
      </c>
      <c r="F1103" s="116">
        <v>1257.5999999999999</v>
      </c>
      <c r="G1103">
        <v>1282</v>
      </c>
      <c r="H1103" s="116"/>
      <c r="I1103" s="116"/>
      <c r="L1103" s="170">
        <v>43629</v>
      </c>
      <c r="M1103" s="116">
        <v>1258.0999999999999</v>
      </c>
      <c r="N1103" s="116">
        <v>1268.8</v>
      </c>
      <c r="O1103" s="116">
        <v>1252</v>
      </c>
      <c r="P1103" s="116">
        <v>1268</v>
      </c>
      <c r="Q1103" s="116">
        <v>1258.0999999999999</v>
      </c>
      <c r="R1103">
        <v>17923</v>
      </c>
    </row>
    <row r="1104" spans="1:18" x14ac:dyDescent="0.25">
      <c r="A1104" s="170">
        <v>43630</v>
      </c>
      <c r="B1104" s="116">
        <v>1270</v>
      </c>
      <c r="C1104" s="116">
        <v>1258.8</v>
      </c>
      <c r="D1104" s="116">
        <v>1251.9000000000001</v>
      </c>
      <c r="E1104" s="116">
        <v>1260</v>
      </c>
      <c r="F1104" s="116">
        <v>1258.8</v>
      </c>
      <c r="G1104">
        <v>731</v>
      </c>
      <c r="H1104" s="116"/>
      <c r="I1104" s="116"/>
      <c r="L1104" s="170">
        <v>43630</v>
      </c>
      <c r="M1104" s="116">
        <v>1263.05</v>
      </c>
      <c r="N1104" s="116">
        <v>1270</v>
      </c>
      <c r="O1104" s="116">
        <v>1251</v>
      </c>
      <c r="P1104" s="116">
        <v>1251.0999999999999</v>
      </c>
      <c r="Q1104" s="116">
        <v>1263.05</v>
      </c>
      <c r="R1104">
        <v>18472</v>
      </c>
    </row>
    <row r="1105" spans="1:18" x14ac:dyDescent="0.25">
      <c r="A1105" s="170">
        <v>43633</v>
      </c>
      <c r="B1105" s="116">
        <v>1259.5</v>
      </c>
      <c r="C1105" s="116">
        <v>1256.05</v>
      </c>
      <c r="D1105" s="116">
        <v>1244</v>
      </c>
      <c r="E1105" s="116">
        <v>1252.6500000000001</v>
      </c>
      <c r="F1105" s="116">
        <v>1256.05</v>
      </c>
      <c r="G1105">
        <v>1944</v>
      </c>
      <c r="H1105" s="116"/>
      <c r="I1105" s="116"/>
      <c r="L1105" s="170">
        <v>43633</v>
      </c>
      <c r="M1105" s="116">
        <v>1257.8499999999999</v>
      </c>
      <c r="N1105" s="116">
        <v>1264.2</v>
      </c>
      <c r="O1105" s="116">
        <v>1251</v>
      </c>
      <c r="P1105" s="116">
        <v>1256</v>
      </c>
      <c r="Q1105" s="116">
        <v>1257.8499999999999</v>
      </c>
      <c r="R1105">
        <v>9528</v>
      </c>
    </row>
    <row r="1106" spans="1:18" x14ac:dyDescent="0.25">
      <c r="A1106" s="170">
        <v>43634</v>
      </c>
      <c r="B1106" s="116">
        <v>1254</v>
      </c>
      <c r="C1106" s="116">
        <v>1249.4000000000001</v>
      </c>
      <c r="D1106" s="116">
        <v>1245.0999999999999</v>
      </c>
      <c r="E1106" s="116">
        <v>1254</v>
      </c>
      <c r="F1106" s="116">
        <v>1249.4000000000001</v>
      </c>
      <c r="G1106">
        <v>547</v>
      </c>
      <c r="H1106" s="116"/>
      <c r="I1106" s="116"/>
      <c r="L1106" s="170">
        <v>43634</v>
      </c>
      <c r="M1106" s="116">
        <v>1252.8499999999999</v>
      </c>
      <c r="N1106" s="116">
        <v>1259.55</v>
      </c>
      <c r="O1106" s="116">
        <v>1247</v>
      </c>
      <c r="P1106" s="116">
        <v>1259.55</v>
      </c>
      <c r="Q1106" s="116">
        <v>1252.8499999999999</v>
      </c>
      <c r="R1106">
        <v>15647</v>
      </c>
    </row>
    <row r="1107" spans="1:18" x14ac:dyDescent="0.25">
      <c r="A1107" s="170">
        <v>43635</v>
      </c>
      <c r="B1107" s="116">
        <v>1250.1500000000001</v>
      </c>
      <c r="C1107" s="116">
        <v>1243.55</v>
      </c>
      <c r="D1107" s="116">
        <v>1235.3</v>
      </c>
      <c r="E1107" s="116">
        <v>1245.45</v>
      </c>
      <c r="F1107" s="116">
        <v>1243.55</v>
      </c>
      <c r="G1107">
        <v>1179</v>
      </c>
      <c r="H1107" s="116"/>
      <c r="I1107" s="116"/>
      <c r="L1107" s="170">
        <v>43635</v>
      </c>
      <c r="M1107" s="116">
        <v>1245.6500000000001</v>
      </c>
      <c r="N1107" s="116">
        <v>1258.7</v>
      </c>
      <c r="O1107" s="116">
        <v>1236.7</v>
      </c>
      <c r="P1107" s="116">
        <v>1258.7</v>
      </c>
      <c r="Q1107" s="116">
        <v>1245.6500000000001</v>
      </c>
      <c r="R1107">
        <v>13670</v>
      </c>
    </row>
    <row r="1108" spans="1:18" x14ac:dyDescent="0.25">
      <c r="A1108" s="170">
        <v>43636</v>
      </c>
      <c r="B1108" s="116">
        <v>1250.7</v>
      </c>
      <c r="C1108" s="116">
        <v>1248.1500000000001</v>
      </c>
      <c r="D1108" s="116">
        <v>1235</v>
      </c>
      <c r="E1108" s="116">
        <v>1238</v>
      </c>
      <c r="F1108" s="116">
        <v>1248.1500000000001</v>
      </c>
      <c r="G1108">
        <v>1754</v>
      </c>
      <c r="H1108" s="116"/>
      <c r="I1108" s="116"/>
      <c r="L1108" s="170">
        <v>43636</v>
      </c>
      <c r="M1108" s="116">
        <v>1249.7</v>
      </c>
      <c r="N1108" s="116">
        <v>1251.7</v>
      </c>
      <c r="O1108" s="116">
        <v>1234.95</v>
      </c>
      <c r="P1108" s="116">
        <v>1251.7</v>
      </c>
      <c r="Q1108" s="116">
        <v>1249.7</v>
      </c>
      <c r="R1108">
        <v>13641</v>
      </c>
    </row>
    <row r="1109" spans="1:18" x14ac:dyDescent="0.25">
      <c r="A1109" s="170">
        <v>43637</v>
      </c>
      <c r="B1109" s="116">
        <v>1248</v>
      </c>
      <c r="C1109" s="116">
        <v>1229.8499999999999</v>
      </c>
      <c r="D1109" s="116">
        <v>1226</v>
      </c>
      <c r="E1109" s="116">
        <v>1244.05</v>
      </c>
      <c r="F1109" s="116">
        <v>1229.8499999999999</v>
      </c>
      <c r="G1109">
        <v>1558</v>
      </c>
      <c r="H1109" s="116"/>
      <c r="I1109" s="116"/>
      <c r="L1109" s="170">
        <v>43637</v>
      </c>
      <c r="M1109" s="116">
        <v>1228.3</v>
      </c>
      <c r="N1109" s="116">
        <v>1250</v>
      </c>
      <c r="O1109" s="116">
        <v>1225</v>
      </c>
      <c r="P1109" s="116">
        <v>1233</v>
      </c>
      <c r="Q1109" s="116">
        <v>1228.3</v>
      </c>
      <c r="R1109">
        <v>29307</v>
      </c>
    </row>
    <row r="1110" spans="1:18" x14ac:dyDescent="0.25">
      <c r="A1110" s="170">
        <v>43640</v>
      </c>
      <c r="B1110" s="116">
        <v>1238.9000000000001</v>
      </c>
      <c r="C1110" s="116">
        <v>1228.2</v>
      </c>
      <c r="D1110" s="116">
        <v>1225.2</v>
      </c>
      <c r="E1110" s="116">
        <v>1229.8499999999999</v>
      </c>
      <c r="F1110" s="116">
        <v>1228.2</v>
      </c>
      <c r="G1110">
        <v>1107</v>
      </c>
      <c r="H1110" s="116"/>
      <c r="I1110" s="116"/>
      <c r="L1110" s="170">
        <v>43640</v>
      </c>
      <c r="M1110" s="116">
        <v>1229.8499999999999</v>
      </c>
      <c r="N1110" s="116">
        <v>1240</v>
      </c>
      <c r="O1110" s="116">
        <v>1228.0999999999999</v>
      </c>
      <c r="P1110" s="116">
        <v>1240</v>
      </c>
      <c r="Q1110" s="116">
        <v>1229.8499999999999</v>
      </c>
      <c r="R1110">
        <v>13786</v>
      </c>
    </row>
    <row r="1111" spans="1:18" x14ac:dyDescent="0.25">
      <c r="A1111" s="170">
        <v>43641</v>
      </c>
      <c r="B1111" s="116">
        <v>1230</v>
      </c>
      <c r="C1111" s="116">
        <v>1227.25</v>
      </c>
      <c r="D1111" s="116">
        <v>1225</v>
      </c>
      <c r="E1111" s="116">
        <v>1225.05</v>
      </c>
      <c r="F1111" s="116">
        <v>1227.25</v>
      </c>
      <c r="G1111">
        <v>1295</v>
      </c>
      <c r="H1111" s="116"/>
      <c r="I1111" s="116"/>
      <c r="L1111" s="170">
        <v>43641</v>
      </c>
      <c r="M1111" s="116">
        <v>1227.2</v>
      </c>
      <c r="N1111" s="116">
        <v>1233.55</v>
      </c>
      <c r="O1111" s="116">
        <v>1225.0999999999999</v>
      </c>
      <c r="P1111" s="116">
        <v>1225.5</v>
      </c>
      <c r="Q1111" s="116">
        <v>1227.2</v>
      </c>
      <c r="R1111">
        <v>38779</v>
      </c>
    </row>
    <row r="1112" spans="1:18" x14ac:dyDescent="0.25">
      <c r="A1112" s="170">
        <v>43642</v>
      </c>
      <c r="B1112" s="116">
        <v>1232.5</v>
      </c>
      <c r="C1112" s="116">
        <v>1221.45</v>
      </c>
      <c r="D1112" s="116">
        <v>1218</v>
      </c>
      <c r="E1112" s="116">
        <v>1231</v>
      </c>
      <c r="F1112" s="116">
        <v>1221.45</v>
      </c>
      <c r="G1112">
        <v>1570</v>
      </c>
      <c r="H1112" s="116"/>
      <c r="I1112" s="116"/>
      <c r="L1112" s="170">
        <v>43642</v>
      </c>
      <c r="M1112" s="116">
        <v>1220</v>
      </c>
      <c r="N1112" s="116">
        <v>1238.4000000000001</v>
      </c>
      <c r="O1112" s="116">
        <v>1215</v>
      </c>
      <c r="P1112" s="116">
        <v>1238.4000000000001</v>
      </c>
      <c r="Q1112" s="116">
        <v>1220</v>
      </c>
      <c r="R1112">
        <v>28328</v>
      </c>
    </row>
    <row r="1113" spans="1:18" x14ac:dyDescent="0.25">
      <c r="A1113" s="170">
        <v>43643</v>
      </c>
      <c r="B1113" s="116">
        <v>1220</v>
      </c>
      <c r="C1113" s="116">
        <v>1218.45</v>
      </c>
      <c r="D1113" s="116">
        <v>1215</v>
      </c>
      <c r="E1113" s="116">
        <v>1220</v>
      </c>
      <c r="F1113" s="116">
        <v>1218.45</v>
      </c>
      <c r="G1113">
        <v>1313</v>
      </c>
      <c r="H1113" s="116"/>
      <c r="I1113" s="116"/>
      <c r="L1113" s="170">
        <v>43643</v>
      </c>
      <c r="M1113" s="116">
        <v>1219.2</v>
      </c>
      <c r="N1113" s="116">
        <v>1225</v>
      </c>
      <c r="O1113" s="116">
        <v>1215.6500000000001</v>
      </c>
      <c r="P1113" s="116">
        <v>1225</v>
      </c>
      <c r="Q1113" s="116">
        <v>1219.2</v>
      </c>
      <c r="R1113">
        <v>14915</v>
      </c>
    </row>
    <row r="1114" spans="1:18" x14ac:dyDescent="0.25">
      <c r="A1114" s="170">
        <v>43644</v>
      </c>
      <c r="B1114" s="116">
        <v>1225</v>
      </c>
      <c r="C1114" s="116">
        <v>1199.5</v>
      </c>
      <c r="D1114" s="116">
        <v>1198.45</v>
      </c>
      <c r="E1114" s="116">
        <v>1216.0999999999999</v>
      </c>
      <c r="F1114" s="116">
        <v>1199.5</v>
      </c>
      <c r="G1114">
        <v>2854</v>
      </c>
      <c r="H1114" s="116"/>
      <c r="I1114" s="116"/>
      <c r="L1114" s="170">
        <v>43644</v>
      </c>
      <c r="M1114" s="116">
        <v>1199.95</v>
      </c>
      <c r="N1114" s="116">
        <v>1220</v>
      </c>
      <c r="O1114" s="116">
        <v>1198</v>
      </c>
      <c r="P1114" s="116">
        <v>1215</v>
      </c>
      <c r="Q1114" s="116">
        <v>1199.95</v>
      </c>
      <c r="R1114">
        <v>30953</v>
      </c>
    </row>
    <row r="1115" spans="1:18" x14ac:dyDescent="0.25">
      <c r="A1115" s="170">
        <v>43647</v>
      </c>
      <c r="B1115" s="116">
        <v>1202</v>
      </c>
      <c r="C1115" s="116">
        <v>1187.05</v>
      </c>
      <c r="D1115" s="116">
        <v>1183.55</v>
      </c>
      <c r="E1115" s="116">
        <v>1199.5</v>
      </c>
      <c r="F1115" s="116">
        <v>1187.05</v>
      </c>
      <c r="G1115">
        <v>2496</v>
      </c>
      <c r="H1115" s="116"/>
      <c r="I1115" s="116"/>
      <c r="L1115" s="170">
        <v>43647</v>
      </c>
      <c r="M1115" s="116">
        <v>1188</v>
      </c>
      <c r="N1115" s="116">
        <v>1204.25</v>
      </c>
      <c r="O1115" s="116">
        <v>1183</v>
      </c>
      <c r="P1115" s="116">
        <v>1200.05</v>
      </c>
      <c r="Q1115" s="116">
        <v>1188</v>
      </c>
      <c r="R1115">
        <v>21953</v>
      </c>
    </row>
    <row r="1116" spans="1:18" x14ac:dyDescent="0.25">
      <c r="A1116" s="170">
        <v>43648</v>
      </c>
      <c r="B1116" s="116">
        <v>1204.5</v>
      </c>
      <c r="C1116" s="116">
        <v>1188.75</v>
      </c>
      <c r="D1116" s="116">
        <v>1185</v>
      </c>
      <c r="E1116" s="116">
        <v>1196</v>
      </c>
      <c r="F1116" s="116">
        <v>1188.75</v>
      </c>
      <c r="G1116">
        <v>1237</v>
      </c>
      <c r="H1116" s="116"/>
      <c r="I1116" s="116"/>
      <c r="L1116" s="170">
        <v>43648</v>
      </c>
      <c r="M1116" s="116">
        <v>1187.6500000000001</v>
      </c>
      <c r="N1116" s="116">
        <v>1220</v>
      </c>
      <c r="O1116" s="116">
        <v>1185.0999999999999</v>
      </c>
      <c r="P1116" s="116">
        <v>1190</v>
      </c>
      <c r="Q1116" s="116">
        <v>1187.6500000000001</v>
      </c>
      <c r="R1116">
        <v>18570</v>
      </c>
    </row>
    <row r="1117" spans="1:18" x14ac:dyDescent="0.25">
      <c r="A1117" s="170">
        <v>43649</v>
      </c>
      <c r="B1117" s="116">
        <v>1192.5999999999999</v>
      </c>
      <c r="C1117" s="116">
        <v>1180.8</v>
      </c>
      <c r="D1117" s="116">
        <v>1180</v>
      </c>
      <c r="E1117" s="116">
        <v>1192.5999999999999</v>
      </c>
      <c r="F1117" s="116">
        <v>1180.8</v>
      </c>
      <c r="G1117">
        <v>1328</v>
      </c>
      <c r="H1117" s="116"/>
      <c r="I1117" s="116"/>
      <c r="L1117" s="170">
        <v>43649</v>
      </c>
      <c r="M1117" s="116">
        <v>1184.3</v>
      </c>
      <c r="N1117" s="116">
        <v>1203.95</v>
      </c>
      <c r="O1117" s="116">
        <v>1179.45</v>
      </c>
      <c r="P1117" s="116">
        <v>1196.95</v>
      </c>
      <c r="Q1117" s="116">
        <v>1184.3</v>
      </c>
      <c r="R1117">
        <v>18899</v>
      </c>
    </row>
    <row r="1118" spans="1:18" x14ac:dyDescent="0.25">
      <c r="A1118" s="170">
        <v>43650</v>
      </c>
      <c r="B1118" s="116">
        <v>1191.55</v>
      </c>
      <c r="C1118" s="116">
        <v>1185.8</v>
      </c>
      <c r="D1118" s="116">
        <v>1176.55</v>
      </c>
      <c r="E1118" s="116">
        <v>1181.8</v>
      </c>
      <c r="F1118" s="116">
        <v>1185.8</v>
      </c>
      <c r="G1118">
        <v>1859</v>
      </c>
      <c r="H1118" s="116"/>
      <c r="I1118" s="116"/>
      <c r="L1118" s="170">
        <v>43650</v>
      </c>
      <c r="M1118" s="116">
        <v>1185</v>
      </c>
      <c r="N1118" s="116">
        <v>1197.8499999999999</v>
      </c>
      <c r="O1118" s="116">
        <v>1177</v>
      </c>
      <c r="P1118" s="116">
        <v>1187.95</v>
      </c>
      <c r="Q1118" s="116">
        <v>1185</v>
      </c>
      <c r="R1118">
        <v>26376</v>
      </c>
    </row>
    <row r="1119" spans="1:18" x14ac:dyDescent="0.25">
      <c r="A1119" s="170">
        <v>43651</v>
      </c>
      <c r="B1119" s="116">
        <v>1190</v>
      </c>
      <c r="C1119" s="116">
        <v>1181.0999999999999</v>
      </c>
      <c r="D1119" s="116">
        <v>1175</v>
      </c>
      <c r="E1119" s="116">
        <v>1186</v>
      </c>
      <c r="F1119" s="116">
        <v>1181.0999999999999</v>
      </c>
      <c r="G1119">
        <v>4720</v>
      </c>
      <c r="H1119" s="116"/>
      <c r="I1119" s="116"/>
      <c r="L1119" s="170">
        <v>43651</v>
      </c>
      <c r="M1119" s="116">
        <v>1181.3499999999999</v>
      </c>
      <c r="N1119" s="116">
        <v>1190</v>
      </c>
      <c r="O1119" s="116">
        <v>1175</v>
      </c>
      <c r="P1119" s="116">
        <v>1182</v>
      </c>
      <c r="Q1119" s="116">
        <v>1181.3499999999999</v>
      </c>
      <c r="R1119">
        <v>20507</v>
      </c>
    </row>
    <row r="1120" spans="1:18" x14ac:dyDescent="0.25">
      <c r="A1120" s="170">
        <v>43654</v>
      </c>
      <c r="B1120" s="116">
        <v>1224</v>
      </c>
      <c r="C1120" s="116">
        <v>1182.3499999999999</v>
      </c>
      <c r="D1120" s="116">
        <v>1167.5</v>
      </c>
      <c r="E1120" s="116">
        <v>1224</v>
      </c>
      <c r="F1120" s="116">
        <v>1182.3499999999999</v>
      </c>
      <c r="G1120">
        <v>2911</v>
      </c>
      <c r="H1120" s="116"/>
      <c r="I1120" s="116"/>
      <c r="L1120" s="170">
        <v>43654</v>
      </c>
      <c r="M1120" s="116">
        <v>1180.2</v>
      </c>
      <c r="N1120" s="116">
        <v>1189</v>
      </c>
      <c r="O1120" s="116">
        <v>1171</v>
      </c>
      <c r="P1120" s="116">
        <v>1179.7</v>
      </c>
      <c r="Q1120" s="116">
        <v>1180.2</v>
      </c>
      <c r="R1120">
        <v>18322</v>
      </c>
    </row>
    <row r="1121" spans="1:18" x14ac:dyDescent="0.25">
      <c r="A1121" s="170">
        <v>43655</v>
      </c>
      <c r="B1121" s="116">
        <v>1180</v>
      </c>
      <c r="C1121" s="116">
        <v>1167.45</v>
      </c>
      <c r="D1121" s="116">
        <v>1161</v>
      </c>
      <c r="E1121" s="116">
        <v>1180</v>
      </c>
      <c r="F1121" s="116">
        <v>1167.45</v>
      </c>
      <c r="G1121">
        <v>1316</v>
      </c>
      <c r="H1121" s="116"/>
      <c r="I1121" s="116"/>
      <c r="L1121" s="170">
        <v>43655</v>
      </c>
      <c r="M1121" s="116">
        <v>1167.05</v>
      </c>
      <c r="N1121" s="116">
        <v>1179.95</v>
      </c>
      <c r="O1121" s="116">
        <v>1160.8</v>
      </c>
      <c r="P1121" s="116">
        <v>1176.1500000000001</v>
      </c>
      <c r="Q1121" s="116">
        <v>1167.05</v>
      </c>
      <c r="R1121">
        <v>35821</v>
      </c>
    </row>
    <row r="1122" spans="1:18" x14ac:dyDescent="0.25">
      <c r="A1122" s="170">
        <v>43656</v>
      </c>
      <c r="B1122" s="116">
        <v>1217.4000000000001</v>
      </c>
      <c r="C1122" s="116">
        <v>1164.75</v>
      </c>
      <c r="D1122" s="116">
        <v>1159.9000000000001</v>
      </c>
      <c r="E1122" s="116">
        <v>1163</v>
      </c>
      <c r="F1122" s="116">
        <v>1164.75</v>
      </c>
      <c r="G1122">
        <v>1717</v>
      </c>
      <c r="H1122" s="116"/>
      <c r="I1122" s="116"/>
      <c r="L1122" s="170">
        <v>43656</v>
      </c>
      <c r="M1122" s="116">
        <v>1165.8</v>
      </c>
      <c r="N1122" s="116">
        <v>1171.75</v>
      </c>
      <c r="O1122" s="116">
        <v>1150.05</v>
      </c>
      <c r="P1122" s="116">
        <v>1170</v>
      </c>
      <c r="Q1122" s="116">
        <v>1165.8</v>
      </c>
      <c r="R1122">
        <v>26185</v>
      </c>
    </row>
    <row r="1123" spans="1:18" x14ac:dyDescent="0.25">
      <c r="A1123" s="170">
        <v>43657</v>
      </c>
      <c r="B1123" s="116">
        <v>1155.75</v>
      </c>
      <c r="C1123" s="116">
        <v>1140.8</v>
      </c>
      <c r="D1123" s="116">
        <v>1137.0999999999999</v>
      </c>
      <c r="E1123" s="116">
        <v>1155.75</v>
      </c>
      <c r="F1123" s="116">
        <v>1140.8</v>
      </c>
      <c r="G1123">
        <v>2230</v>
      </c>
      <c r="H1123" s="116"/>
      <c r="I1123" s="116"/>
      <c r="L1123" s="170">
        <v>43657</v>
      </c>
      <c r="M1123" s="116">
        <v>1140.05</v>
      </c>
      <c r="N1123" s="116">
        <v>1155.8</v>
      </c>
      <c r="O1123" s="116">
        <v>1138</v>
      </c>
      <c r="P1123" s="116">
        <v>1155.8</v>
      </c>
      <c r="Q1123" s="116">
        <v>1140.05</v>
      </c>
      <c r="R1123">
        <v>28947</v>
      </c>
    </row>
    <row r="1124" spans="1:18" x14ac:dyDescent="0.25">
      <c r="A1124" s="170">
        <v>43658</v>
      </c>
      <c r="B1124" s="116">
        <v>1160</v>
      </c>
      <c r="C1124" s="116">
        <v>1151.6500000000001</v>
      </c>
      <c r="D1124" s="116">
        <v>1131.05</v>
      </c>
      <c r="E1124" s="116">
        <v>1148</v>
      </c>
      <c r="F1124" s="116">
        <v>1151.6500000000001</v>
      </c>
      <c r="G1124">
        <v>1379</v>
      </c>
      <c r="H1124" s="116"/>
      <c r="I1124" s="116"/>
      <c r="L1124" s="170">
        <v>43658</v>
      </c>
      <c r="M1124" s="116">
        <v>1149.7</v>
      </c>
      <c r="N1124" s="116">
        <v>1157.9000000000001</v>
      </c>
      <c r="O1124" s="116">
        <v>1130</v>
      </c>
      <c r="P1124" s="116">
        <v>1135.0999999999999</v>
      </c>
      <c r="Q1124" s="116">
        <v>1149.7</v>
      </c>
      <c r="R1124">
        <v>19322</v>
      </c>
    </row>
    <row r="1125" spans="1:18" x14ac:dyDescent="0.25">
      <c r="A1125" s="170">
        <v>43661</v>
      </c>
      <c r="B1125" s="116">
        <v>1212.3</v>
      </c>
      <c r="C1125" s="116">
        <v>1186.8</v>
      </c>
      <c r="D1125" s="116">
        <v>1147</v>
      </c>
      <c r="E1125" s="116">
        <v>1148.75</v>
      </c>
      <c r="F1125" s="116">
        <v>1186.8</v>
      </c>
      <c r="G1125">
        <v>2706</v>
      </c>
      <c r="H1125" s="116"/>
      <c r="I1125" s="116"/>
      <c r="L1125" s="170">
        <v>43661</v>
      </c>
      <c r="M1125" s="116">
        <v>1186.3499999999999</v>
      </c>
      <c r="N1125" s="116">
        <v>1212</v>
      </c>
      <c r="O1125" s="116">
        <v>1147</v>
      </c>
      <c r="P1125" s="116">
        <v>1149.95</v>
      </c>
      <c r="Q1125" s="116">
        <v>1186.3499999999999</v>
      </c>
      <c r="R1125">
        <v>34919</v>
      </c>
    </row>
    <row r="1126" spans="1:18" x14ac:dyDescent="0.25">
      <c r="A1126" s="170">
        <v>43662</v>
      </c>
      <c r="B1126" s="116">
        <v>1180</v>
      </c>
      <c r="C1126" s="116">
        <v>1174.8</v>
      </c>
      <c r="D1126" s="116">
        <v>1158.7</v>
      </c>
      <c r="E1126" s="116">
        <v>1170</v>
      </c>
      <c r="F1126" s="116">
        <v>1174.8</v>
      </c>
      <c r="G1126">
        <v>1890</v>
      </c>
      <c r="H1126" s="116"/>
      <c r="I1126" s="116"/>
      <c r="L1126" s="170">
        <v>43662</v>
      </c>
      <c r="M1126" s="116">
        <v>1176.5999999999999</v>
      </c>
      <c r="N1126" s="116">
        <v>1187</v>
      </c>
      <c r="O1126" s="116">
        <v>1140.2</v>
      </c>
      <c r="P1126" s="116">
        <v>1140.2</v>
      </c>
      <c r="Q1126" s="116">
        <v>1176.5999999999999</v>
      </c>
      <c r="R1126">
        <v>22183</v>
      </c>
    </row>
    <row r="1127" spans="1:18" x14ac:dyDescent="0.25">
      <c r="A1127" s="170">
        <v>43663</v>
      </c>
      <c r="B1127" s="116">
        <v>1198.8</v>
      </c>
      <c r="C1127" s="116">
        <v>1183.05</v>
      </c>
      <c r="D1127" s="116">
        <v>1172.75</v>
      </c>
      <c r="E1127" s="116">
        <v>1184.5999999999999</v>
      </c>
      <c r="F1127" s="116">
        <v>1183.05</v>
      </c>
      <c r="G1127">
        <v>958</v>
      </c>
      <c r="H1127" s="116"/>
      <c r="I1127" s="116"/>
      <c r="L1127" s="170">
        <v>43663</v>
      </c>
      <c r="M1127" s="116">
        <v>1184.3</v>
      </c>
      <c r="N1127" s="116">
        <v>1200.7</v>
      </c>
      <c r="O1127" s="116">
        <v>1170.05</v>
      </c>
      <c r="P1127" s="116">
        <v>1187</v>
      </c>
      <c r="Q1127" s="116">
        <v>1184.3</v>
      </c>
      <c r="R1127">
        <v>18989</v>
      </c>
    </row>
    <row r="1128" spans="1:18" x14ac:dyDescent="0.25">
      <c r="A1128" s="170">
        <v>43664</v>
      </c>
      <c r="B1128" s="116">
        <v>1183</v>
      </c>
      <c r="C1128" s="116">
        <v>1170</v>
      </c>
      <c r="D1128" s="116">
        <v>1166</v>
      </c>
      <c r="E1128" s="116">
        <v>1183</v>
      </c>
      <c r="F1128" s="116">
        <v>1170</v>
      </c>
      <c r="G1128">
        <v>713</v>
      </c>
      <c r="H1128" s="116"/>
      <c r="I1128" s="116"/>
      <c r="L1128" s="170">
        <v>43664</v>
      </c>
      <c r="M1128" s="116">
        <v>1170.5</v>
      </c>
      <c r="N1128" s="116">
        <v>1193</v>
      </c>
      <c r="O1128" s="116">
        <v>1166</v>
      </c>
      <c r="P1128" s="116">
        <v>1184.55</v>
      </c>
      <c r="Q1128" s="116">
        <v>1170.5</v>
      </c>
      <c r="R1128">
        <v>11559</v>
      </c>
    </row>
    <row r="1129" spans="1:18" x14ac:dyDescent="0.25">
      <c r="A1129" s="170">
        <v>43665</v>
      </c>
      <c r="B1129" s="116">
        <v>1180</v>
      </c>
      <c r="C1129" s="116">
        <v>1173.45</v>
      </c>
      <c r="D1129" s="116">
        <v>1155</v>
      </c>
      <c r="E1129" s="116">
        <v>1173.95</v>
      </c>
      <c r="F1129" s="116">
        <v>1173.45</v>
      </c>
      <c r="G1129">
        <v>1080</v>
      </c>
      <c r="H1129" s="116"/>
      <c r="I1129" s="116"/>
      <c r="L1129" s="170">
        <v>43665</v>
      </c>
      <c r="M1129" s="116">
        <v>1173.95</v>
      </c>
      <c r="N1129" s="116">
        <v>1181.95</v>
      </c>
      <c r="O1129" s="116">
        <v>1154</v>
      </c>
      <c r="P1129" s="116">
        <v>1176.9000000000001</v>
      </c>
      <c r="Q1129" s="116">
        <v>1173.95</v>
      </c>
      <c r="R1129">
        <v>10282</v>
      </c>
    </row>
    <row r="1130" spans="1:18" x14ac:dyDescent="0.25">
      <c r="A1130" s="170">
        <v>43668</v>
      </c>
      <c r="B1130" s="116">
        <v>1210</v>
      </c>
      <c r="C1130" s="116">
        <v>1182.6500000000001</v>
      </c>
      <c r="D1130" s="116">
        <v>1154</v>
      </c>
      <c r="E1130" s="116">
        <v>1168</v>
      </c>
      <c r="F1130" s="116">
        <v>1182.6500000000001</v>
      </c>
      <c r="G1130">
        <v>7232</v>
      </c>
      <c r="H1130" s="116"/>
      <c r="I1130" s="116"/>
      <c r="L1130" s="170">
        <v>43668</v>
      </c>
      <c r="M1130" s="116">
        <v>1187.25</v>
      </c>
      <c r="N1130" s="116">
        <v>1214.4000000000001</v>
      </c>
      <c r="O1130" s="116">
        <v>1154</v>
      </c>
      <c r="P1130" s="116">
        <v>1172.8</v>
      </c>
      <c r="Q1130" s="116">
        <v>1187.25</v>
      </c>
      <c r="R1130">
        <v>73623</v>
      </c>
    </row>
    <row r="1131" spans="1:18" x14ac:dyDescent="0.25">
      <c r="A1131" s="170">
        <v>43669</v>
      </c>
      <c r="B1131" s="116">
        <v>1210</v>
      </c>
      <c r="C1131" s="116">
        <v>1205.45</v>
      </c>
      <c r="D1131" s="116">
        <v>1189.55</v>
      </c>
      <c r="E1131" s="116">
        <v>1200</v>
      </c>
      <c r="F1131" s="116">
        <v>1205.45</v>
      </c>
      <c r="G1131">
        <v>2078</v>
      </c>
      <c r="H1131" s="116"/>
      <c r="I1131" s="116"/>
      <c r="L1131" s="170">
        <v>43669</v>
      </c>
      <c r="M1131" s="116">
        <v>1200.8499999999999</v>
      </c>
      <c r="N1131" s="116">
        <v>1210</v>
      </c>
      <c r="O1131" s="116">
        <v>1187.3</v>
      </c>
      <c r="P1131" s="116">
        <v>1200</v>
      </c>
      <c r="Q1131" s="116">
        <v>1200.8499999999999</v>
      </c>
      <c r="R1131">
        <v>55269</v>
      </c>
    </row>
    <row r="1132" spans="1:18" x14ac:dyDescent="0.25">
      <c r="A1132" s="170">
        <v>43670</v>
      </c>
      <c r="B1132" s="116">
        <v>1205</v>
      </c>
      <c r="C1132" s="116">
        <v>1200.45</v>
      </c>
      <c r="D1132" s="116">
        <v>1186</v>
      </c>
      <c r="E1132" s="116">
        <v>1200</v>
      </c>
      <c r="F1132" s="116">
        <v>1200.45</v>
      </c>
      <c r="G1132">
        <v>2101</v>
      </c>
      <c r="H1132" s="116"/>
      <c r="I1132" s="116"/>
      <c r="L1132" s="170">
        <v>43670</v>
      </c>
      <c r="M1132" s="116">
        <v>1199.8499999999999</v>
      </c>
      <c r="N1132" s="116">
        <v>1207.4000000000001</v>
      </c>
      <c r="O1132" s="116">
        <v>1184</v>
      </c>
      <c r="P1132" s="116">
        <v>1200.8499999999999</v>
      </c>
      <c r="Q1132" s="116">
        <v>1199.8499999999999</v>
      </c>
      <c r="R1132">
        <v>26743</v>
      </c>
    </row>
    <row r="1133" spans="1:18" x14ac:dyDescent="0.25">
      <c r="A1133" s="170">
        <v>43671</v>
      </c>
      <c r="B1133" s="116">
        <v>1201.5</v>
      </c>
      <c r="C1133" s="116">
        <v>1198.2</v>
      </c>
      <c r="D1133" s="116">
        <v>1187.25</v>
      </c>
      <c r="E1133" s="116">
        <v>1201</v>
      </c>
      <c r="F1133" s="116">
        <v>1198.2</v>
      </c>
      <c r="G1133">
        <v>884</v>
      </c>
      <c r="H1133" s="116"/>
      <c r="I1133" s="116"/>
      <c r="L1133" s="170">
        <v>43671</v>
      </c>
      <c r="M1133" s="116">
        <v>1198.95</v>
      </c>
      <c r="N1133" s="116">
        <v>1201.1500000000001</v>
      </c>
      <c r="O1133" s="116">
        <v>1187.0999999999999</v>
      </c>
      <c r="P1133" s="116">
        <v>1199</v>
      </c>
      <c r="Q1133" s="116">
        <v>1198.95</v>
      </c>
      <c r="R1133">
        <v>15764</v>
      </c>
    </row>
    <row r="1134" spans="1:18" x14ac:dyDescent="0.25">
      <c r="A1134" s="170">
        <v>43672</v>
      </c>
      <c r="B1134" s="116">
        <v>1214</v>
      </c>
      <c r="C1134" s="116">
        <v>1209.8499999999999</v>
      </c>
      <c r="D1134" s="116">
        <v>1192.75</v>
      </c>
      <c r="E1134" s="116">
        <v>1198</v>
      </c>
      <c r="F1134" s="116">
        <v>1209.8499999999999</v>
      </c>
      <c r="G1134">
        <v>1061</v>
      </c>
      <c r="H1134" s="116"/>
      <c r="I1134" s="116"/>
      <c r="L1134" s="170">
        <v>43672</v>
      </c>
      <c r="M1134" s="116">
        <v>1201.4000000000001</v>
      </c>
      <c r="N1134" s="116">
        <v>1211</v>
      </c>
      <c r="O1134" s="116">
        <v>1190</v>
      </c>
      <c r="P1134" s="116">
        <v>1197</v>
      </c>
      <c r="Q1134" s="116">
        <v>1201.4000000000001</v>
      </c>
      <c r="R1134">
        <v>16382</v>
      </c>
    </row>
    <row r="1135" spans="1:18" x14ac:dyDescent="0.25">
      <c r="A1135" s="170">
        <v>43675</v>
      </c>
      <c r="B1135" s="116">
        <v>1220</v>
      </c>
      <c r="C1135" s="116">
        <v>1195.4000000000001</v>
      </c>
      <c r="D1135" s="116">
        <v>1190</v>
      </c>
      <c r="E1135" s="116">
        <v>1217</v>
      </c>
      <c r="F1135" s="116">
        <v>1195.4000000000001</v>
      </c>
      <c r="G1135">
        <v>1176</v>
      </c>
      <c r="H1135" s="116"/>
      <c r="I1135" s="116"/>
      <c r="L1135" s="170">
        <v>43675</v>
      </c>
      <c r="M1135" s="116">
        <v>1197.3</v>
      </c>
      <c r="N1135" s="116">
        <v>1207.4000000000001</v>
      </c>
      <c r="O1135" s="116">
        <v>1189.3</v>
      </c>
      <c r="P1135" s="116">
        <v>1201.05</v>
      </c>
      <c r="Q1135" s="116">
        <v>1197.3</v>
      </c>
      <c r="R1135">
        <v>13693</v>
      </c>
    </row>
    <row r="1136" spans="1:18" x14ac:dyDescent="0.25">
      <c r="A1136" s="170">
        <v>43676</v>
      </c>
      <c r="B1136" s="116">
        <v>1202.2</v>
      </c>
      <c r="C1136" s="116">
        <v>1197.1500000000001</v>
      </c>
      <c r="D1136" s="116">
        <v>1191.5</v>
      </c>
      <c r="E1136" s="116">
        <v>1202.2</v>
      </c>
      <c r="F1136" s="116">
        <v>1197.1500000000001</v>
      </c>
      <c r="G1136">
        <v>553</v>
      </c>
      <c r="H1136" s="116"/>
      <c r="I1136" s="116"/>
      <c r="L1136" s="170">
        <v>43676</v>
      </c>
      <c r="M1136" s="116">
        <v>1197.75</v>
      </c>
      <c r="N1136" s="116">
        <v>1203.95</v>
      </c>
      <c r="O1136" s="116">
        <v>1190</v>
      </c>
      <c r="P1136" s="116">
        <v>1195.45</v>
      </c>
      <c r="Q1136" s="116">
        <v>1197.75</v>
      </c>
      <c r="R1136">
        <v>24197</v>
      </c>
    </row>
    <row r="1137" spans="1:18" x14ac:dyDescent="0.25">
      <c r="A1137" s="170">
        <v>43677</v>
      </c>
      <c r="B1137" s="116">
        <v>1215</v>
      </c>
      <c r="C1137" s="116">
        <v>1207.75</v>
      </c>
      <c r="D1137" s="116">
        <v>1182</v>
      </c>
      <c r="E1137" s="116">
        <v>1187.5</v>
      </c>
      <c r="F1137" s="116">
        <v>1207.75</v>
      </c>
      <c r="G1137">
        <v>931</v>
      </c>
      <c r="H1137" s="116"/>
      <c r="I1137" s="116"/>
      <c r="L1137" s="170">
        <v>43677</v>
      </c>
      <c r="M1137" s="116">
        <v>1207.3499999999999</v>
      </c>
      <c r="N1137" s="116">
        <v>1212</v>
      </c>
      <c r="O1137" s="116">
        <v>1175.5</v>
      </c>
      <c r="P1137" s="116">
        <v>1190.1500000000001</v>
      </c>
      <c r="Q1137" s="116">
        <v>1207.3499999999999</v>
      </c>
      <c r="R1137">
        <v>35394</v>
      </c>
    </row>
    <row r="1138" spans="1:18" x14ac:dyDescent="0.25">
      <c r="A1138" s="170">
        <v>43678</v>
      </c>
      <c r="B1138" s="116">
        <v>1205</v>
      </c>
      <c r="C1138" s="116">
        <v>1192.75</v>
      </c>
      <c r="D1138" s="116">
        <v>1190</v>
      </c>
      <c r="E1138" s="116">
        <v>1204.75</v>
      </c>
      <c r="F1138" s="116">
        <v>1192.75</v>
      </c>
      <c r="G1138">
        <v>1121</v>
      </c>
      <c r="H1138" s="116"/>
      <c r="I1138" s="116"/>
      <c r="L1138" s="170">
        <v>43678</v>
      </c>
      <c r="M1138" s="116">
        <v>1194.5999999999999</v>
      </c>
      <c r="N1138" s="116">
        <v>1203.95</v>
      </c>
      <c r="O1138" s="116">
        <v>1188.05</v>
      </c>
      <c r="P1138" s="116">
        <v>1198.25</v>
      </c>
      <c r="Q1138" s="116">
        <v>1194.5999999999999</v>
      </c>
      <c r="R1138">
        <v>16296</v>
      </c>
    </row>
    <row r="1139" spans="1:18" x14ac:dyDescent="0.25">
      <c r="A1139" s="170">
        <v>43679</v>
      </c>
      <c r="B1139" s="116">
        <v>1202.05</v>
      </c>
      <c r="C1139" s="116">
        <v>1198.7</v>
      </c>
      <c r="D1139" s="116">
        <v>1185</v>
      </c>
      <c r="E1139" s="116">
        <v>1199.8499999999999</v>
      </c>
      <c r="F1139" s="116">
        <v>1198.7</v>
      </c>
      <c r="G1139">
        <v>1178</v>
      </c>
      <c r="H1139" s="116"/>
      <c r="I1139" s="116"/>
      <c r="L1139" s="170">
        <v>43679</v>
      </c>
      <c r="M1139" s="116">
        <v>1197.95</v>
      </c>
      <c r="N1139" s="116">
        <v>1199.9000000000001</v>
      </c>
      <c r="O1139" s="116">
        <v>1180.05</v>
      </c>
      <c r="P1139" s="116">
        <v>1193.95</v>
      </c>
      <c r="Q1139" s="116">
        <v>1197.95</v>
      </c>
      <c r="R1139">
        <v>13814</v>
      </c>
    </row>
    <row r="1140" spans="1:18" x14ac:dyDescent="0.25">
      <c r="A1140" s="170">
        <v>43682</v>
      </c>
      <c r="B1140" s="116">
        <v>1199.95</v>
      </c>
      <c r="C1140" s="116">
        <v>1198.75</v>
      </c>
      <c r="D1140" s="116">
        <v>1182.5</v>
      </c>
      <c r="E1140" s="116">
        <v>1194</v>
      </c>
      <c r="F1140" s="116">
        <v>1198.75</v>
      </c>
      <c r="G1140">
        <v>2029</v>
      </c>
      <c r="H1140" s="116"/>
      <c r="I1140" s="116"/>
      <c r="L1140" s="170">
        <v>43682</v>
      </c>
      <c r="M1140" s="116">
        <v>1198.45</v>
      </c>
      <c r="N1140" s="116">
        <v>1200</v>
      </c>
      <c r="O1140" s="116">
        <v>1181</v>
      </c>
      <c r="P1140" s="116">
        <v>1194</v>
      </c>
      <c r="Q1140" s="116">
        <v>1198.45</v>
      </c>
      <c r="R1140">
        <v>18787</v>
      </c>
    </row>
    <row r="1141" spans="1:18" x14ac:dyDescent="0.25">
      <c r="A1141" s="170">
        <v>43683</v>
      </c>
      <c r="B1141" s="116">
        <v>1210</v>
      </c>
      <c r="C1141" s="116">
        <v>1208.8</v>
      </c>
      <c r="D1141" s="116">
        <v>1170.3499999999999</v>
      </c>
      <c r="E1141" s="116">
        <v>1199.75</v>
      </c>
      <c r="F1141" s="116">
        <v>1208.8</v>
      </c>
      <c r="G1141">
        <v>1434</v>
      </c>
      <c r="H1141" s="116"/>
      <c r="I1141" s="116"/>
      <c r="L1141" s="170">
        <v>43683</v>
      </c>
      <c r="M1141" s="116">
        <v>1208</v>
      </c>
      <c r="N1141" s="116">
        <v>1215</v>
      </c>
      <c r="O1141" s="116">
        <v>1190.0999999999999</v>
      </c>
      <c r="P1141" s="116">
        <v>1197.9000000000001</v>
      </c>
      <c r="Q1141" s="116">
        <v>1208</v>
      </c>
      <c r="R1141">
        <v>22269</v>
      </c>
    </row>
    <row r="1142" spans="1:18" x14ac:dyDescent="0.25">
      <c r="A1142" s="170">
        <v>43684</v>
      </c>
      <c r="B1142" s="116">
        <v>1214</v>
      </c>
      <c r="C1142" s="116">
        <v>1212.8499999999999</v>
      </c>
      <c r="D1142" s="116">
        <v>1195.95</v>
      </c>
      <c r="E1142" s="116">
        <v>1195.95</v>
      </c>
      <c r="F1142" s="116">
        <v>1212.8499999999999</v>
      </c>
      <c r="G1142">
        <v>1376</v>
      </c>
      <c r="H1142" s="116"/>
      <c r="I1142" s="116"/>
      <c r="L1142" s="170">
        <v>43684</v>
      </c>
      <c r="M1142" s="116">
        <v>1211.3</v>
      </c>
      <c r="N1142" s="116">
        <v>1215</v>
      </c>
      <c r="O1142" s="116">
        <v>1196.05</v>
      </c>
      <c r="P1142" s="116">
        <v>1201.05</v>
      </c>
      <c r="Q1142" s="116">
        <v>1211.3</v>
      </c>
      <c r="R1142">
        <v>14710</v>
      </c>
    </row>
    <row r="1143" spans="1:18" x14ac:dyDescent="0.25">
      <c r="A1143" s="170">
        <v>43685</v>
      </c>
      <c r="B1143" s="116">
        <v>1213</v>
      </c>
      <c r="C1143" s="116">
        <v>1208.55</v>
      </c>
      <c r="D1143" s="116">
        <v>1198.25</v>
      </c>
      <c r="E1143" s="116">
        <v>1201.25</v>
      </c>
      <c r="F1143" s="116">
        <v>1208.55</v>
      </c>
      <c r="G1143">
        <v>1849</v>
      </c>
      <c r="H1143" s="116"/>
      <c r="I1143" s="116"/>
      <c r="L1143" s="170">
        <v>43685</v>
      </c>
      <c r="M1143" s="116">
        <v>1204.5999999999999</v>
      </c>
      <c r="N1143" s="116">
        <v>1212.3499999999999</v>
      </c>
      <c r="O1143" s="116">
        <v>1198</v>
      </c>
      <c r="P1143" s="116">
        <v>1210</v>
      </c>
      <c r="Q1143" s="116">
        <v>1204.5999999999999</v>
      </c>
      <c r="R1143">
        <v>20443</v>
      </c>
    </row>
    <row r="1144" spans="1:18" x14ac:dyDescent="0.25">
      <c r="A1144" s="170">
        <v>43686</v>
      </c>
      <c r="B1144" s="116">
        <v>1212</v>
      </c>
      <c r="C1144" s="116">
        <v>1207.1500000000001</v>
      </c>
      <c r="D1144" s="116">
        <v>1197.55</v>
      </c>
      <c r="E1144" s="116">
        <v>1200</v>
      </c>
      <c r="F1144" s="116">
        <v>1207.1500000000001</v>
      </c>
      <c r="G1144">
        <v>1514</v>
      </c>
      <c r="H1144" s="116"/>
      <c r="I1144" s="116"/>
      <c r="L1144" s="170">
        <v>43686</v>
      </c>
      <c r="M1144" s="116">
        <v>1209.05</v>
      </c>
      <c r="N1144" s="116">
        <v>1214.5999999999999</v>
      </c>
      <c r="O1144" s="116">
        <v>1195.05</v>
      </c>
      <c r="P1144" s="116">
        <v>1201.2</v>
      </c>
      <c r="Q1144" s="116">
        <v>1209.05</v>
      </c>
      <c r="R1144">
        <v>19851</v>
      </c>
    </row>
    <row r="1145" spans="1:18" x14ac:dyDescent="0.25">
      <c r="A1145" s="170">
        <v>43690</v>
      </c>
      <c r="B1145" s="116">
        <v>1213.75</v>
      </c>
      <c r="C1145" s="116">
        <v>1203.45</v>
      </c>
      <c r="D1145" s="116">
        <v>1199</v>
      </c>
      <c r="E1145" s="116">
        <v>1212.2</v>
      </c>
      <c r="F1145" s="116">
        <v>1203.45</v>
      </c>
      <c r="G1145">
        <v>11781</v>
      </c>
      <c r="H1145" s="116"/>
      <c r="I1145" s="116"/>
      <c r="L1145" s="170">
        <v>43690</v>
      </c>
      <c r="M1145" s="116">
        <v>1203.3</v>
      </c>
      <c r="N1145" s="116">
        <v>1217</v>
      </c>
      <c r="O1145" s="116">
        <v>1200.0999999999999</v>
      </c>
      <c r="P1145" s="116">
        <v>1217</v>
      </c>
      <c r="Q1145" s="116">
        <v>1203.3</v>
      </c>
      <c r="R1145">
        <v>37223</v>
      </c>
    </row>
    <row r="1146" spans="1:18" x14ac:dyDescent="0.25">
      <c r="A1146" s="170">
        <v>43691</v>
      </c>
      <c r="B1146" s="116">
        <v>1210.5</v>
      </c>
      <c r="C1146" s="116">
        <v>1207.3</v>
      </c>
      <c r="D1146" s="116">
        <v>1177.3499999999999</v>
      </c>
      <c r="E1146" s="116">
        <v>1204</v>
      </c>
      <c r="F1146" s="116">
        <v>1207.3</v>
      </c>
      <c r="G1146">
        <v>7036</v>
      </c>
      <c r="H1146" s="116"/>
      <c r="I1146" s="116"/>
      <c r="L1146" s="170">
        <v>43691</v>
      </c>
      <c r="M1146" s="116">
        <v>1208.4000000000001</v>
      </c>
      <c r="N1146" s="116">
        <v>1212</v>
      </c>
      <c r="O1146" s="116">
        <v>1196.0999999999999</v>
      </c>
      <c r="P1146" s="116">
        <v>1200.8</v>
      </c>
      <c r="Q1146" s="116">
        <v>1208.4000000000001</v>
      </c>
      <c r="R1146">
        <v>66804</v>
      </c>
    </row>
    <row r="1147" spans="1:18" x14ac:dyDescent="0.25">
      <c r="A1147" s="170">
        <v>43693</v>
      </c>
      <c r="B1147" s="116">
        <v>1215.3</v>
      </c>
      <c r="C1147" s="116">
        <v>1213.2</v>
      </c>
      <c r="D1147" s="116">
        <v>1194.05</v>
      </c>
      <c r="E1147" s="116">
        <v>1200</v>
      </c>
      <c r="F1147" s="116">
        <v>1213.2</v>
      </c>
      <c r="G1147">
        <v>13298</v>
      </c>
      <c r="H1147" s="116"/>
      <c r="I1147" s="116"/>
      <c r="L1147" s="170">
        <v>43693</v>
      </c>
      <c r="M1147" s="116">
        <v>1213.25</v>
      </c>
      <c r="N1147" s="116">
        <v>1218.75</v>
      </c>
      <c r="O1147" s="116">
        <v>1196</v>
      </c>
      <c r="P1147" s="116">
        <v>1208</v>
      </c>
      <c r="Q1147" s="116">
        <v>1213.25</v>
      </c>
      <c r="R1147">
        <v>61631</v>
      </c>
    </row>
    <row r="1148" spans="1:18" x14ac:dyDescent="0.25">
      <c r="A1148" s="170">
        <v>43696</v>
      </c>
      <c r="B1148" s="116">
        <v>1220</v>
      </c>
      <c r="C1148" s="116">
        <v>1212.55</v>
      </c>
      <c r="D1148" s="116">
        <v>1206</v>
      </c>
      <c r="E1148" s="116">
        <v>1219.8</v>
      </c>
      <c r="F1148" s="116">
        <v>1212.55</v>
      </c>
      <c r="G1148">
        <v>1590</v>
      </c>
      <c r="H1148" s="116"/>
      <c r="I1148" s="116"/>
      <c r="L1148" s="170">
        <v>43696</v>
      </c>
      <c r="M1148" s="116">
        <v>1210.7</v>
      </c>
      <c r="N1148" s="116">
        <v>1219.25</v>
      </c>
      <c r="O1148" s="116">
        <v>1205.55</v>
      </c>
      <c r="P1148" s="116">
        <v>1219</v>
      </c>
      <c r="Q1148" s="116">
        <v>1210.7</v>
      </c>
      <c r="R1148">
        <v>57637</v>
      </c>
    </row>
    <row r="1149" spans="1:18" x14ac:dyDescent="0.25">
      <c r="A1149" s="170">
        <v>43697</v>
      </c>
      <c r="B1149" s="116">
        <v>1213.7</v>
      </c>
      <c r="C1149" s="116">
        <v>1207.7</v>
      </c>
      <c r="D1149" s="116">
        <v>1202.2</v>
      </c>
      <c r="E1149" s="116">
        <v>1213.2</v>
      </c>
      <c r="F1149" s="116">
        <v>1207.7</v>
      </c>
      <c r="G1149">
        <v>6338</v>
      </c>
      <c r="H1149" s="116"/>
      <c r="I1149" s="116"/>
      <c r="L1149" s="170">
        <v>43697</v>
      </c>
      <c r="M1149" s="116">
        <v>1207.2</v>
      </c>
      <c r="N1149" s="116">
        <v>1210.95</v>
      </c>
      <c r="O1149" s="116">
        <v>1203.5999999999999</v>
      </c>
      <c r="P1149" s="116">
        <v>1206.5999999999999</v>
      </c>
      <c r="Q1149" s="116">
        <v>1207.2</v>
      </c>
      <c r="R1149">
        <v>50289</v>
      </c>
    </row>
    <row r="1150" spans="1:18" x14ac:dyDescent="0.25">
      <c r="A1150" s="170">
        <v>43698</v>
      </c>
      <c r="B1150" s="116">
        <v>1242</v>
      </c>
      <c r="C1150" s="116">
        <v>1219.6500000000001</v>
      </c>
      <c r="D1150" s="116">
        <v>1201.3499999999999</v>
      </c>
      <c r="E1150" s="116">
        <v>1207.7</v>
      </c>
      <c r="F1150" s="116">
        <v>1219.6500000000001</v>
      </c>
      <c r="G1150">
        <v>2819</v>
      </c>
      <c r="H1150" s="116"/>
      <c r="I1150" s="116"/>
      <c r="L1150" s="170">
        <v>43698</v>
      </c>
      <c r="M1150" s="116">
        <v>1210.8499999999999</v>
      </c>
      <c r="N1150" s="116">
        <v>1248</v>
      </c>
      <c r="O1150" s="116">
        <v>1199.2</v>
      </c>
      <c r="P1150" s="116">
        <v>1207.2</v>
      </c>
      <c r="Q1150" s="116">
        <v>1210.8499999999999</v>
      </c>
      <c r="R1150">
        <v>31459</v>
      </c>
    </row>
    <row r="1151" spans="1:18" x14ac:dyDescent="0.25">
      <c r="A1151" s="170">
        <v>43699</v>
      </c>
      <c r="B1151" s="116">
        <v>1219.5</v>
      </c>
      <c r="C1151" s="116">
        <v>1204.6500000000001</v>
      </c>
      <c r="D1151" s="116">
        <v>1178.55</v>
      </c>
      <c r="E1151" s="116">
        <v>1210</v>
      </c>
      <c r="F1151" s="116">
        <v>1204.6500000000001</v>
      </c>
      <c r="G1151">
        <v>2456</v>
      </c>
      <c r="H1151" s="116"/>
      <c r="I1151" s="116"/>
      <c r="L1151" s="170">
        <v>43699</v>
      </c>
      <c r="M1151" s="116">
        <v>1205.1500000000001</v>
      </c>
      <c r="N1151" s="116">
        <v>1219</v>
      </c>
      <c r="O1151" s="116">
        <v>1197.5999999999999</v>
      </c>
      <c r="P1151" s="116">
        <v>1210</v>
      </c>
      <c r="Q1151" s="116">
        <v>1205.1500000000001</v>
      </c>
      <c r="R1151">
        <v>34312</v>
      </c>
    </row>
    <row r="1152" spans="1:18" x14ac:dyDescent="0.25">
      <c r="A1152" s="170">
        <v>43700</v>
      </c>
      <c r="B1152" s="116">
        <v>1217</v>
      </c>
      <c r="C1152" s="116">
        <v>1208.7</v>
      </c>
      <c r="D1152" s="116">
        <v>1195.95</v>
      </c>
      <c r="E1152" s="116">
        <v>1198</v>
      </c>
      <c r="F1152" s="116">
        <v>1208.7</v>
      </c>
      <c r="G1152">
        <v>1596</v>
      </c>
      <c r="H1152" s="116"/>
      <c r="I1152" s="116"/>
      <c r="L1152" s="170">
        <v>43700</v>
      </c>
      <c r="M1152" s="116">
        <v>1210.5</v>
      </c>
      <c r="N1152" s="116">
        <v>1217.6500000000001</v>
      </c>
      <c r="O1152" s="116">
        <v>1196</v>
      </c>
      <c r="P1152" s="116">
        <v>1205</v>
      </c>
      <c r="Q1152" s="116">
        <v>1210.5</v>
      </c>
      <c r="R1152">
        <v>28720</v>
      </c>
    </row>
    <row r="1153" spans="1:18" x14ac:dyDescent="0.25">
      <c r="A1153" s="170">
        <v>43703</v>
      </c>
      <c r="B1153" s="116">
        <v>1240</v>
      </c>
      <c r="C1153" s="116">
        <v>1207.3</v>
      </c>
      <c r="D1153" s="116">
        <v>1200.5999999999999</v>
      </c>
      <c r="E1153" s="116">
        <v>1240</v>
      </c>
      <c r="F1153" s="116">
        <v>1207.3</v>
      </c>
      <c r="G1153">
        <v>851</v>
      </c>
      <c r="H1153" s="116"/>
      <c r="I1153" s="116"/>
      <c r="L1153" s="170">
        <v>43703</v>
      </c>
      <c r="M1153" s="116">
        <v>1206.95</v>
      </c>
      <c r="N1153" s="116">
        <v>1218</v>
      </c>
      <c r="O1153" s="116">
        <v>1200.05</v>
      </c>
      <c r="P1153" s="116">
        <v>1216.2</v>
      </c>
      <c r="Q1153" s="116">
        <v>1206.95</v>
      </c>
      <c r="R1153">
        <v>25447</v>
      </c>
    </row>
    <row r="1154" spans="1:18" x14ac:dyDescent="0.25">
      <c r="A1154" s="170">
        <v>43704</v>
      </c>
      <c r="B1154" s="116">
        <v>1211.5</v>
      </c>
      <c r="C1154" s="116">
        <v>1198.1500000000001</v>
      </c>
      <c r="D1154" s="116">
        <v>1192.3</v>
      </c>
      <c r="E1154" s="116">
        <v>1207.95</v>
      </c>
      <c r="F1154" s="116">
        <v>1198.1500000000001</v>
      </c>
      <c r="G1154">
        <v>1408</v>
      </c>
      <c r="H1154" s="116"/>
      <c r="I1154" s="116"/>
      <c r="L1154" s="170">
        <v>43704</v>
      </c>
      <c r="M1154" s="116">
        <v>1198.75</v>
      </c>
      <c r="N1154" s="116">
        <v>1211.9000000000001</v>
      </c>
      <c r="O1154" s="116">
        <v>1192.55</v>
      </c>
      <c r="P1154" s="116">
        <v>1211.9000000000001</v>
      </c>
      <c r="Q1154" s="116">
        <v>1198.75</v>
      </c>
      <c r="R1154">
        <v>56420</v>
      </c>
    </row>
    <row r="1155" spans="1:18" x14ac:dyDescent="0.25">
      <c r="A1155" s="170">
        <v>43705</v>
      </c>
      <c r="B1155" s="116">
        <v>1227</v>
      </c>
      <c r="C1155" s="116">
        <v>1200.05</v>
      </c>
      <c r="D1155" s="116">
        <v>1194</v>
      </c>
      <c r="E1155" s="116">
        <v>1227</v>
      </c>
      <c r="F1155" s="116">
        <v>1200.05</v>
      </c>
      <c r="G1155">
        <v>2880</v>
      </c>
      <c r="H1155" s="116"/>
      <c r="I1155" s="116"/>
      <c r="L1155" s="170">
        <v>43705</v>
      </c>
      <c r="M1155" s="116">
        <v>1201.7</v>
      </c>
      <c r="N1155" s="116">
        <v>1207</v>
      </c>
      <c r="O1155" s="116">
        <v>1193.95</v>
      </c>
      <c r="P1155" s="116">
        <v>1202.5999999999999</v>
      </c>
      <c r="Q1155" s="116">
        <v>1201.7</v>
      </c>
      <c r="R1155">
        <v>21171</v>
      </c>
    </row>
    <row r="1156" spans="1:18" x14ac:dyDescent="0.25">
      <c r="A1156" s="170">
        <v>43706</v>
      </c>
      <c r="B1156" s="116">
        <v>1200</v>
      </c>
      <c r="C1156" s="116">
        <v>1194.05</v>
      </c>
      <c r="D1156" s="116">
        <v>1187</v>
      </c>
      <c r="E1156" s="116">
        <v>1200</v>
      </c>
      <c r="F1156" s="116">
        <v>1194.05</v>
      </c>
      <c r="G1156">
        <v>837</v>
      </c>
      <c r="H1156" s="116"/>
      <c r="I1156" s="116"/>
      <c r="L1156" s="170">
        <v>43706</v>
      </c>
      <c r="M1156" s="116">
        <v>1192.25</v>
      </c>
      <c r="N1156" s="116">
        <v>1200.55</v>
      </c>
      <c r="O1156" s="116">
        <v>1185.05</v>
      </c>
      <c r="P1156" s="116">
        <v>1196.2</v>
      </c>
      <c r="Q1156" s="116">
        <v>1192.25</v>
      </c>
      <c r="R1156">
        <v>18419</v>
      </c>
    </row>
    <row r="1157" spans="1:18" x14ac:dyDescent="0.25">
      <c r="A1157" s="170">
        <v>43707</v>
      </c>
      <c r="B1157" s="116">
        <v>1220</v>
      </c>
      <c r="C1157" s="116">
        <v>1215.55</v>
      </c>
      <c r="D1157" s="116">
        <v>1194</v>
      </c>
      <c r="E1157" s="116">
        <v>1198</v>
      </c>
      <c r="F1157" s="116">
        <v>1215.55</v>
      </c>
      <c r="G1157">
        <v>1486</v>
      </c>
      <c r="H1157" s="116"/>
      <c r="I1157" s="116"/>
      <c r="L1157" s="170">
        <v>43707</v>
      </c>
      <c r="M1157" s="116">
        <v>1215.2</v>
      </c>
      <c r="N1157" s="116">
        <v>1222</v>
      </c>
      <c r="O1157" s="116">
        <v>1190</v>
      </c>
      <c r="P1157" s="116">
        <v>1193.5</v>
      </c>
      <c r="Q1157" s="116">
        <v>1215.2</v>
      </c>
      <c r="R1157">
        <v>62058</v>
      </c>
    </row>
    <row r="1158" spans="1:18" x14ac:dyDescent="0.25">
      <c r="A1158" s="170">
        <v>43711</v>
      </c>
      <c r="B1158" s="116">
        <v>1245</v>
      </c>
      <c r="C1158" s="116">
        <v>1239.5999999999999</v>
      </c>
      <c r="D1158" s="116">
        <v>1224.3</v>
      </c>
      <c r="E1158" s="116">
        <v>1224.5999999999999</v>
      </c>
      <c r="F1158" s="116">
        <v>1239.5999999999999</v>
      </c>
      <c r="G1158">
        <v>3140</v>
      </c>
      <c r="H1158" s="116"/>
      <c r="I1158" s="116"/>
      <c r="L1158" s="170">
        <v>43711</v>
      </c>
      <c r="M1158" s="116">
        <v>1239.05</v>
      </c>
      <c r="N1158" s="116">
        <v>1247</v>
      </c>
      <c r="O1158" s="116">
        <v>1219</v>
      </c>
      <c r="P1158" s="116">
        <v>1225</v>
      </c>
      <c r="Q1158" s="116">
        <v>1239.05</v>
      </c>
      <c r="R1158">
        <v>61509</v>
      </c>
    </row>
    <row r="1159" spans="1:18" x14ac:dyDescent="0.25">
      <c r="A1159" s="170">
        <v>43712</v>
      </c>
      <c r="B1159" s="116">
        <v>1260</v>
      </c>
      <c r="C1159" s="116">
        <v>1249.9000000000001</v>
      </c>
      <c r="D1159" s="116">
        <v>1239.7</v>
      </c>
      <c r="E1159" s="116">
        <v>1239.7</v>
      </c>
      <c r="F1159" s="116">
        <v>1249.9000000000001</v>
      </c>
      <c r="G1159">
        <v>2178</v>
      </c>
      <c r="H1159" s="116"/>
      <c r="I1159" s="116"/>
      <c r="L1159" s="170">
        <v>43712</v>
      </c>
      <c r="M1159" s="116">
        <v>1251.3</v>
      </c>
      <c r="N1159" s="116">
        <v>1262</v>
      </c>
      <c r="O1159" s="116">
        <v>1232.45</v>
      </c>
      <c r="P1159" s="116">
        <v>1240</v>
      </c>
      <c r="Q1159" s="116">
        <v>1251.3</v>
      </c>
      <c r="R1159">
        <v>41381</v>
      </c>
    </row>
    <row r="1160" spans="1:18" x14ac:dyDescent="0.25">
      <c r="A1160" s="170">
        <v>43713</v>
      </c>
      <c r="B1160" s="116">
        <v>1258</v>
      </c>
      <c r="C1160" s="116">
        <v>1249.8499999999999</v>
      </c>
      <c r="D1160" s="116">
        <v>1240.8</v>
      </c>
      <c r="E1160" s="116">
        <v>1251.8</v>
      </c>
      <c r="F1160" s="116">
        <v>1249.8499999999999</v>
      </c>
      <c r="G1160">
        <v>2559</v>
      </c>
      <c r="H1160" s="116"/>
      <c r="I1160" s="116"/>
      <c r="L1160" s="170">
        <v>43713</v>
      </c>
      <c r="M1160" s="116">
        <v>1251.9000000000001</v>
      </c>
      <c r="N1160" s="116">
        <v>1259</v>
      </c>
      <c r="O1160" s="116">
        <v>1241.45</v>
      </c>
      <c r="P1160" s="116">
        <v>1254.7</v>
      </c>
      <c r="Q1160" s="116">
        <v>1251.9000000000001</v>
      </c>
      <c r="R1160">
        <v>21053</v>
      </c>
    </row>
    <row r="1161" spans="1:18" x14ac:dyDescent="0.25">
      <c r="A1161" s="170">
        <v>43714</v>
      </c>
      <c r="B1161" s="116">
        <v>1288.0999999999999</v>
      </c>
      <c r="C1161" s="116">
        <v>1278.7</v>
      </c>
      <c r="D1161" s="116">
        <v>1255.8</v>
      </c>
      <c r="E1161" s="116">
        <v>1262</v>
      </c>
      <c r="F1161" s="116">
        <v>1278.7</v>
      </c>
      <c r="G1161">
        <v>2194</v>
      </c>
      <c r="H1161" s="116"/>
      <c r="I1161" s="116"/>
      <c r="L1161" s="170">
        <v>43714</v>
      </c>
      <c r="M1161" s="116">
        <v>1278.3499999999999</v>
      </c>
      <c r="N1161" s="116">
        <v>1287.8499999999999</v>
      </c>
      <c r="O1161" s="116">
        <v>1250.2</v>
      </c>
      <c r="P1161" s="116">
        <v>1250.2</v>
      </c>
      <c r="Q1161" s="116">
        <v>1278.3499999999999</v>
      </c>
      <c r="R1161">
        <v>40944</v>
      </c>
    </row>
    <row r="1162" spans="1:18" x14ac:dyDescent="0.25">
      <c r="A1162" s="170">
        <v>43717</v>
      </c>
      <c r="B1162" s="116">
        <v>1365</v>
      </c>
      <c r="C1162" s="116">
        <v>1330.8</v>
      </c>
      <c r="D1162" s="116">
        <v>1280</v>
      </c>
      <c r="E1162" s="116">
        <v>1280</v>
      </c>
      <c r="F1162" s="116">
        <v>1330.8</v>
      </c>
      <c r="G1162">
        <v>9841</v>
      </c>
      <c r="H1162" s="116"/>
      <c r="I1162" s="116"/>
      <c r="L1162" s="170">
        <v>43717</v>
      </c>
      <c r="M1162" s="116">
        <v>1329.05</v>
      </c>
      <c r="N1162" s="116">
        <v>1366</v>
      </c>
      <c r="O1162" s="116">
        <v>1280</v>
      </c>
      <c r="P1162" s="116">
        <v>1280</v>
      </c>
      <c r="Q1162" s="116">
        <v>1329.05</v>
      </c>
      <c r="R1162">
        <v>431129</v>
      </c>
    </row>
    <row r="1163" spans="1:18" x14ac:dyDescent="0.25">
      <c r="A1163" s="170">
        <v>43719</v>
      </c>
      <c r="B1163" s="116">
        <v>1400</v>
      </c>
      <c r="C1163" s="116">
        <v>1384.6</v>
      </c>
      <c r="D1163" s="116">
        <v>1320</v>
      </c>
      <c r="E1163" s="116">
        <v>1340</v>
      </c>
      <c r="F1163" s="116">
        <v>1384.6</v>
      </c>
      <c r="G1163">
        <v>10546</v>
      </c>
      <c r="H1163" s="116"/>
      <c r="I1163" s="116"/>
      <c r="L1163" s="170">
        <v>43719</v>
      </c>
      <c r="M1163" s="116">
        <v>1383.45</v>
      </c>
      <c r="N1163" s="116">
        <v>1400</v>
      </c>
      <c r="O1163" s="116">
        <v>1334.15</v>
      </c>
      <c r="P1163" s="116">
        <v>1334.15</v>
      </c>
      <c r="Q1163" s="116">
        <v>1383.45</v>
      </c>
      <c r="R1163">
        <v>172436</v>
      </c>
    </row>
    <row r="1164" spans="1:18" x14ac:dyDescent="0.25">
      <c r="A1164" s="170">
        <v>43720</v>
      </c>
      <c r="B1164" s="116">
        <v>1401.35</v>
      </c>
      <c r="C1164" s="116">
        <v>1378.05</v>
      </c>
      <c r="D1164" s="116">
        <v>1363.1</v>
      </c>
      <c r="E1164" s="116">
        <v>1385.15</v>
      </c>
      <c r="F1164" s="116">
        <v>1378.05</v>
      </c>
      <c r="G1164">
        <v>4907</v>
      </c>
      <c r="H1164" s="116"/>
      <c r="I1164" s="116"/>
      <c r="L1164" s="170">
        <v>43720</v>
      </c>
      <c r="M1164" s="116">
        <v>1375.8</v>
      </c>
      <c r="N1164" s="116">
        <v>1403.05</v>
      </c>
      <c r="O1164" s="116">
        <v>1362.1</v>
      </c>
      <c r="P1164" s="116">
        <v>1390</v>
      </c>
      <c r="Q1164" s="116">
        <v>1375.8</v>
      </c>
      <c r="R1164">
        <v>31626</v>
      </c>
    </row>
    <row r="1165" spans="1:18" x14ac:dyDescent="0.25">
      <c r="A1165" s="170">
        <v>43721</v>
      </c>
      <c r="B1165" s="116">
        <v>1387</v>
      </c>
      <c r="C1165" s="116">
        <v>1362.85</v>
      </c>
      <c r="D1165" s="116">
        <v>1353.4</v>
      </c>
      <c r="E1165" s="116">
        <v>1374</v>
      </c>
      <c r="F1165" s="116">
        <v>1362.85</v>
      </c>
      <c r="G1165">
        <v>2151</v>
      </c>
      <c r="H1165" s="116"/>
      <c r="I1165" s="116"/>
      <c r="L1165" s="170">
        <v>43721</v>
      </c>
      <c r="M1165" s="116">
        <v>1362.7</v>
      </c>
      <c r="N1165" s="116">
        <v>1386</v>
      </c>
      <c r="O1165" s="116">
        <v>1352.1</v>
      </c>
      <c r="P1165" s="116">
        <v>1380.05</v>
      </c>
      <c r="Q1165" s="116">
        <v>1362.7</v>
      </c>
      <c r="R1165">
        <v>21691</v>
      </c>
    </row>
    <row r="1166" spans="1:18" x14ac:dyDescent="0.25">
      <c r="A1166" s="170">
        <v>43724</v>
      </c>
      <c r="B1166" s="116">
        <v>1398</v>
      </c>
      <c r="C1166" s="116">
        <v>1389.75</v>
      </c>
      <c r="D1166" s="116">
        <v>1362</v>
      </c>
      <c r="E1166" s="116">
        <v>1362</v>
      </c>
      <c r="F1166" s="116">
        <v>1389.75</v>
      </c>
      <c r="G1166">
        <v>7099</v>
      </c>
      <c r="H1166" s="116"/>
      <c r="I1166" s="116"/>
      <c r="L1166" s="170">
        <v>43724</v>
      </c>
      <c r="M1166" s="116">
        <v>1385.25</v>
      </c>
      <c r="N1166" s="116">
        <v>1399.4</v>
      </c>
      <c r="O1166" s="116">
        <v>1354</v>
      </c>
      <c r="P1166" s="116">
        <v>1362.7</v>
      </c>
      <c r="Q1166" s="116">
        <v>1385.25</v>
      </c>
      <c r="R1166">
        <v>72937</v>
      </c>
    </row>
    <row r="1167" spans="1:18" x14ac:dyDescent="0.25">
      <c r="A1167" s="170">
        <v>43725</v>
      </c>
      <c r="B1167" s="116">
        <v>1404</v>
      </c>
      <c r="C1167" s="116">
        <v>1366.65</v>
      </c>
      <c r="D1167" s="116">
        <v>1360</v>
      </c>
      <c r="E1167" s="116">
        <v>1394.5</v>
      </c>
      <c r="F1167" s="116">
        <v>1366.65</v>
      </c>
      <c r="G1167">
        <v>5077</v>
      </c>
      <c r="H1167" s="116"/>
      <c r="I1167" s="116"/>
      <c r="L1167" s="170">
        <v>43725</v>
      </c>
      <c r="M1167" s="116">
        <v>1364.55</v>
      </c>
      <c r="N1167" s="116">
        <v>1406.45</v>
      </c>
      <c r="O1167" s="116">
        <v>1361</v>
      </c>
      <c r="P1167" s="116">
        <v>1385.25</v>
      </c>
      <c r="Q1167" s="116">
        <v>1364.55</v>
      </c>
      <c r="R1167">
        <v>50446</v>
      </c>
    </row>
    <row r="1168" spans="1:18" x14ac:dyDescent="0.25">
      <c r="A1168" s="170">
        <v>43726</v>
      </c>
      <c r="B1168" s="116">
        <v>1415</v>
      </c>
      <c r="C1168" s="116">
        <v>1410.4</v>
      </c>
      <c r="D1168" s="116">
        <v>1356</v>
      </c>
      <c r="E1168" s="116">
        <v>1375.7</v>
      </c>
      <c r="F1168" s="116">
        <v>1410.4</v>
      </c>
      <c r="G1168">
        <v>7713</v>
      </c>
      <c r="H1168" s="116"/>
      <c r="I1168" s="116"/>
      <c r="L1168" s="170">
        <v>43726</v>
      </c>
      <c r="M1168" s="116">
        <v>1409.45</v>
      </c>
      <c r="N1168" s="116">
        <v>1414</v>
      </c>
      <c r="O1168" s="116">
        <v>1355</v>
      </c>
      <c r="P1168" s="116">
        <v>1366</v>
      </c>
      <c r="Q1168" s="116">
        <v>1409.45</v>
      </c>
      <c r="R1168">
        <v>84862</v>
      </c>
    </row>
    <row r="1169" spans="1:18" x14ac:dyDescent="0.25">
      <c r="A1169" s="170">
        <v>43727</v>
      </c>
      <c r="B1169" s="116">
        <v>1425</v>
      </c>
      <c r="C1169" s="116">
        <v>1396.4</v>
      </c>
      <c r="D1169" s="116">
        <v>1380.6</v>
      </c>
      <c r="E1169" s="116">
        <v>1418.3</v>
      </c>
      <c r="F1169" s="116">
        <v>1396.4</v>
      </c>
      <c r="G1169">
        <v>8854</v>
      </c>
      <c r="H1169" s="116"/>
      <c r="I1169" s="116"/>
      <c r="L1169" s="170">
        <v>43727</v>
      </c>
      <c r="M1169" s="116">
        <v>1395.6</v>
      </c>
      <c r="N1169" s="116">
        <v>1424.95</v>
      </c>
      <c r="O1169" s="116">
        <v>1380.1</v>
      </c>
      <c r="P1169" s="116">
        <v>1419.7</v>
      </c>
      <c r="Q1169" s="116">
        <v>1395.6</v>
      </c>
      <c r="R1169">
        <v>57231</v>
      </c>
    </row>
    <row r="1170" spans="1:18" x14ac:dyDescent="0.25">
      <c r="A1170" s="170">
        <v>43728</v>
      </c>
      <c r="B1170" s="116">
        <v>1425</v>
      </c>
      <c r="C1170" s="116">
        <v>1385.25</v>
      </c>
      <c r="D1170" s="116">
        <v>1371</v>
      </c>
      <c r="E1170" s="116">
        <v>1390</v>
      </c>
      <c r="F1170" s="116">
        <v>1385.25</v>
      </c>
      <c r="G1170">
        <v>10949</v>
      </c>
      <c r="H1170" s="116"/>
      <c r="I1170" s="116"/>
      <c r="L1170" s="170">
        <v>43728</v>
      </c>
      <c r="M1170" s="116">
        <v>1384.2</v>
      </c>
      <c r="N1170" s="116">
        <v>1423</v>
      </c>
      <c r="O1170" s="116">
        <v>1366.8</v>
      </c>
      <c r="P1170" s="116">
        <v>1381</v>
      </c>
      <c r="Q1170" s="116">
        <v>1384.2</v>
      </c>
      <c r="R1170">
        <v>141731</v>
      </c>
    </row>
    <row r="1171" spans="1:18" x14ac:dyDescent="0.25">
      <c r="A1171" s="170">
        <v>43731</v>
      </c>
      <c r="B1171" s="116">
        <v>1463.25</v>
      </c>
      <c r="C1171" s="116">
        <v>1458.6</v>
      </c>
      <c r="D1171" s="116">
        <v>1384.2</v>
      </c>
      <c r="E1171" s="116">
        <v>1384.2</v>
      </c>
      <c r="F1171" s="116">
        <v>1458.6</v>
      </c>
      <c r="G1171">
        <v>16454</v>
      </c>
      <c r="H1171" s="116"/>
      <c r="I1171" s="116"/>
      <c r="L1171" s="170">
        <v>43731</v>
      </c>
      <c r="M1171" s="116">
        <v>1459.4</v>
      </c>
      <c r="N1171" s="116">
        <v>1468</v>
      </c>
      <c r="O1171" s="116">
        <v>1386.55</v>
      </c>
      <c r="P1171" s="116">
        <v>1398.45</v>
      </c>
      <c r="Q1171" s="116">
        <v>1459.4</v>
      </c>
      <c r="R1171">
        <v>270792</v>
      </c>
    </row>
    <row r="1172" spans="1:18" x14ac:dyDescent="0.25">
      <c r="A1172" s="170">
        <v>43732</v>
      </c>
      <c r="B1172" s="116">
        <v>1474</v>
      </c>
      <c r="C1172" s="116">
        <v>1461.1</v>
      </c>
      <c r="D1172" s="116">
        <v>1430</v>
      </c>
      <c r="E1172" s="116">
        <v>1460</v>
      </c>
      <c r="F1172" s="116">
        <v>1461.1</v>
      </c>
      <c r="G1172">
        <v>7576</v>
      </c>
      <c r="H1172" s="116"/>
      <c r="I1172" s="116"/>
      <c r="L1172" s="170">
        <v>43732</v>
      </c>
      <c r="M1172" s="116">
        <v>1466.1</v>
      </c>
      <c r="N1172" s="116">
        <v>1473</v>
      </c>
      <c r="O1172" s="116">
        <v>1428</v>
      </c>
      <c r="P1172" s="116">
        <v>1462</v>
      </c>
      <c r="Q1172" s="116">
        <v>1466.1</v>
      </c>
      <c r="R1172">
        <v>48886</v>
      </c>
    </row>
    <row r="1173" spans="1:18" x14ac:dyDescent="0.25">
      <c r="A1173" s="170">
        <v>43733</v>
      </c>
      <c r="B1173" s="116">
        <v>1480</v>
      </c>
      <c r="C1173" s="116">
        <v>1435.45</v>
      </c>
      <c r="D1173" s="116">
        <v>1430.9</v>
      </c>
      <c r="E1173" s="116">
        <v>1461.1</v>
      </c>
      <c r="F1173" s="116">
        <v>1435.45</v>
      </c>
      <c r="G1173">
        <v>4960</v>
      </c>
      <c r="H1173" s="116"/>
      <c r="I1173" s="116"/>
      <c r="L1173" s="170">
        <v>43733</v>
      </c>
      <c r="M1173" s="116">
        <v>1436.1</v>
      </c>
      <c r="N1173" s="116">
        <v>1466</v>
      </c>
      <c r="O1173" s="116">
        <v>1430</v>
      </c>
      <c r="P1173" s="116">
        <v>1458.5</v>
      </c>
      <c r="Q1173" s="116">
        <v>1436.1</v>
      </c>
      <c r="R1173">
        <v>35070</v>
      </c>
    </row>
    <row r="1174" spans="1:18" x14ac:dyDescent="0.25">
      <c r="A1174" s="170">
        <v>43734</v>
      </c>
      <c r="B1174" s="116">
        <v>1428.45</v>
      </c>
      <c r="C1174" s="116">
        <v>1415.05</v>
      </c>
      <c r="D1174" s="116">
        <v>1377.25</v>
      </c>
      <c r="E1174" s="116">
        <v>1416</v>
      </c>
      <c r="F1174" s="116">
        <v>1415.05</v>
      </c>
      <c r="G1174">
        <v>8023</v>
      </c>
      <c r="H1174" s="116"/>
      <c r="I1174" s="116"/>
      <c r="L1174" s="170">
        <v>43734</v>
      </c>
      <c r="M1174" s="116">
        <v>1419.5</v>
      </c>
      <c r="N1174" s="116">
        <v>1428</v>
      </c>
      <c r="O1174" s="116">
        <v>1375.25</v>
      </c>
      <c r="P1174" s="116">
        <v>1416.1</v>
      </c>
      <c r="Q1174" s="116">
        <v>1419.5</v>
      </c>
      <c r="R1174">
        <v>87341</v>
      </c>
    </row>
    <row r="1175" spans="1:18" x14ac:dyDescent="0.25">
      <c r="A1175" s="170">
        <v>43735</v>
      </c>
      <c r="B1175" s="116">
        <v>1440</v>
      </c>
      <c r="C1175" s="116">
        <v>1402.1</v>
      </c>
      <c r="D1175" s="116">
        <v>1383.2</v>
      </c>
      <c r="E1175" s="116">
        <v>1440</v>
      </c>
      <c r="F1175" s="116">
        <v>1402.1</v>
      </c>
      <c r="G1175">
        <v>3600</v>
      </c>
      <c r="H1175" s="116"/>
      <c r="I1175" s="116"/>
      <c r="L1175" s="170">
        <v>43735</v>
      </c>
      <c r="M1175" s="116">
        <v>1401.95</v>
      </c>
      <c r="N1175" s="116">
        <v>1418</v>
      </c>
      <c r="O1175" s="116">
        <v>1382.2</v>
      </c>
      <c r="P1175" s="116">
        <v>1410.8</v>
      </c>
      <c r="Q1175" s="116">
        <v>1401.95</v>
      </c>
      <c r="R1175">
        <v>52125</v>
      </c>
    </row>
    <row r="1176" spans="1:18" x14ac:dyDescent="0.25">
      <c r="A1176" s="170">
        <v>43738</v>
      </c>
      <c r="B1176" s="116">
        <v>1402.5</v>
      </c>
      <c r="C1176" s="116">
        <v>1387.7</v>
      </c>
      <c r="D1176" s="116">
        <v>1365</v>
      </c>
      <c r="E1176" s="116">
        <v>1400</v>
      </c>
      <c r="F1176" s="116">
        <v>1387.7</v>
      </c>
      <c r="G1176">
        <v>4841</v>
      </c>
      <c r="H1176" s="116"/>
      <c r="I1176" s="116"/>
      <c r="L1176" s="170">
        <v>43738</v>
      </c>
      <c r="M1176" s="116">
        <v>1389.45</v>
      </c>
      <c r="N1176" s="116">
        <v>1404.95</v>
      </c>
      <c r="O1176" s="116">
        <v>1370.4</v>
      </c>
      <c r="P1176" s="116">
        <v>1400</v>
      </c>
      <c r="Q1176" s="116">
        <v>1389.45</v>
      </c>
      <c r="R1176">
        <v>35000</v>
      </c>
    </row>
    <row r="1177" spans="1:18" x14ac:dyDescent="0.25">
      <c r="A1177" s="170">
        <v>43739</v>
      </c>
      <c r="B1177" s="116">
        <v>1405</v>
      </c>
      <c r="C1177" s="116">
        <v>1382.75</v>
      </c>
      <c r="D1177" s="116">
        <v>1375.9</v>
      </c>
      <c r="E1177" s="116">
        <v>1388</v>
      </c>
      <c r="F1177" s="116">
        <v>1382.75</v>
      </c>
      <c r="G1177">
        <v>3429</v>
      </c>
      <c r="H1177" s="116"/>
      <c r="I1177" s="116"/>
      <c r="L1177" s="170">
        <v>43739</v>
      </c>
      <c r="M1177" s="116">
        <v>1380.45</v>
      </c>
      <c r="N1177" s="116">
        <v>1404.3</v>
      </c>
      <c r="O1177" s="116">
        <v>1375</v>
      </c>
      <c r="P1177" s="116">
        <v>1394.45</v>
      </c>
      <c r="Q1177" s="116">
        <v>1380.45</v>
      </c>
      <c r="R1177">
        <v>19258</v>
      </c>
    </row>
    <row r="1178" spans="1:18" x14ac:dyDescent="0.25">
      <c r="A1178" s="170">
        <v>43741</v>
      </c>
      <c r="B1178" s="116">
        <v>1390</v>
      </c>
      <c r="C1178" s="116">
        <v>1378.1</v>
      </c>
      <c r="D1178" s="116">
        <v>1367</v>
      </c>
      <c r="E1178" s="116">
        <v>1380.35</v>
      </c>
      <c r="F1178" s="116">
        <v>1378.1</v>
      </c>
      <c r="G1178">
        <v>1465</v>
      </c>
      <c r="H1178" s="116"/>
      <c r="I1178" s="116"/>
      <c r="L1178" s="170">
        <v>43741</v>
      </c>
      <c r="M1178" s="116">
        <v>1375.1</v>
      </c>
      <c r="N1178" s="116">
        <v>1389.85</v>
      </c>
      <c r="O1178" s="116">
        <v>1365.05</v>
      </c>
      <c r="P1178" s="116">
        <v>1375</v>
      </c>
      <c r="Q1178" s="116">
        <v>1375.1</v>
      </c>
      <c r="R1178">
        <v>25371</v>
      </c>
    </row>
    <row r="1179" spans="1:18" x14ac:dyDescent="0.25">
      <c r="A1179" s="170">
        <v>43742</v>
      </c>
      <c r="B1179" s="116">
        <v>1382.35</v>
      </c>
      <c r="C1179" s="116">
        <v>1344.55</v>
      </c>
      <c r="D1179" s="116">
        <v>1340</v>
      </c>
      <c r="E1179" s="116">
        <v>1380</v>
      </c>
      <c r="F1179" s="116">
        <v>1344.55</v>
      </c>
      <c r="G1179">
        <v>3807</v>
      </c>
      <c r="H1179" s="116"/>
      <c r="I1179" s="116"/>
      <c r="L1179" s="170">
        <v>43742</v>
      </c>
      <c r="M1179" s="116">
        <v>1343.75</v>
      </c>
      <c r="N1179" s="116">
        <v>1385.9</v>
      </c>
      <c r="O1179" s="116">
        <v>1340</v>
      </c>
      <c r="P1179" s="116">
        <v>1376.9</v>
      </c>
      <c r="Q1179" s="116">
        <v>1343.75</v>
      </c>
      <c r="R1179">
        <v>28970</v>
      </c>
    </row>
    <row r="1180" spans="1:18" x14ac:dyDescent="0.25">
      <c r="A1180" s="170">
        <v>43745</v>
      </c>
      <c r="B1180" s="116">
        <v>1388</v>
      </c>
      <c r="C1180" s="116">
        <v>1340.9</v>
      </c>
      <c r="D1180" s="116">
        <v>1311.7</v>
      </c>
      <c r="E1180" s="116">
        <v>1388</v>
      </c>
      <c r="F1180" s="116">
        <v>1340.9</v>
      </c>
      <c r="G1180">
        <v>2076</v>
      </c>
      <c r="H1180" s="116"/>
      <c r="I1180" s="116"/>
      <c r="L1180" s="170">
        <v>43745</v>
      </c>
      <c r="M1180" s="116">
        <v>1341.65</v>
      </c>
      <c r="N1180" s="116">
        <v>1349.4</v>
      </c>
      <c r="O1180" s="116">
        <v>1310.0999999999999</v>
      </c>
      <c r="P1180" s="116">
        <v>1348.95</v>
      </c>
      <c r="Q1180" s="116">
        <v>1341.65</v>
      </c>
      <c r="R1180">
        <v>26183</v>
      </c>
    </row>
    <row r="1181" spans="1:18" x14ac:dyDescent="0.25">
      <c r="A1181" s="170">
        <v>43747</v>
      </c>
      <c r="B1181" s="116">
        <v>1361</v>
      </c>
      <c r="C1181" s="116">
        <v>1358.3</v>
      </c>
      <c r="D1181" s="116">
        <v>1335.9</v>
      </c>
      <c r="E1181" s="116">
        <v>1340</v>
      </c>
      <c r="F1181" s="116">
        <v>1358.3</v>
      </c>
      <c r="G1181">
        <v>1751</v>
      </c>
      <c r="H1181" s="116"/>
      <c r="I1181" s="116"/>
      <c r="L1181" s="170">
        <v>43747</v>
      </c>
      <c r="M1181" s="116">
        <v>1359.35</v>
      </c>
      <c r="N1181" s="116">
        <v>1365</v>
      </c>
      <c r="O1181" s="116">
        <v>1335</v>
      </c>
      <c r="P1181" s="116">
        <v>1348</v>
      </c>
      <c r="Q1181" s="116">
        <v>1359.35</v>
      </c>
      <c r="R1181">
        <v>47967</v>
      </c>
    </row>
    <row r="1182" spans="1:18" x14ac:dyDescent="0.25">
      <c r="A1182" s="170">
        <v>43748</v>
      </c>
      <c r="B1182" s="116">
        <v>1390.1</v>
      </c>
      <c r="C1182" s="116">
        <v>1366.7</v>
      </c>
      <c r="D1182" s="116">
        <v>1338</v>
      </c>
      <c r="E1182" s="116">
        <v>1353.35</v>
      </c>
      <c r="F1182" s="116">
        <v>1366.7</v>
      </c>
      <c r="G1182">
        <v>2270</v>
      </c>
      <c r="H1182" s="116"/>
      <c r="I1182" s="116"/>
      <c r="L1182" s="170">
        <v>43748</v>
      </c>
      <c r="M1182" s="116">
        <v>1370.85</v>
      </c>
      <c r="N1182" s="116">
        <v>1389</v>
      </c>
      <c r="O1182" s="116">
        <v>1355</v>
      </c>
      <c r="P1182" s="116">
        <v>1359.45</v>
      </c>
      <c r="Q1182" s="116">
        <v>1370.85</v>
      </c>
      <c r="R1182">
        <v>35810</v>
      </c>
    </row>
    <row r="1183" spans="1:18" x14ac:dyDescent="0.25">
      <c r="A1183" s="170">
        <v>43749</v>
      </c>
      <c r="B1183" s="116">
        <v>1372</v>
      </c>
      <c r="C1183" s="116">
        <v>1358.9</v>
      </c>
      <c r="D1183" s="116">
        <v>1350.1</v>
      </c>
      <c r="E1183" s="116">
        <v>1370</v>
      </c>
      <c r="F1183" s="116">
        <v>1358.9</v>
      </c>
      <c r="G1183">
        <v>3421</v>
      </c>
      <c r="H1183" s="116"/>
      <c r="I1183" s="116"/>
      <c r="L1183" s="170">
        <v>43749</v>
      </c>
      <c r="M1183" s="116">
        <v>1361.95</v>
      </c>
      <c r="N1183" s="116">
        <v>1383.5</v>
      </c>
      <c r="O1183" s="116">
        <v>1350</v>
      </c>
      <c r="P1183" s="116">
        <v>1361</v>
      </c>
      <c r="Q1183" s="116">
        <v>1361.95</v>
      </c>
      <c r="R1183">
        <v>32731</v>
      </c>
    </row>
    <row r="1184" spans="1:18" x14ac:dyDescent="0.25">
      <c r="A1184" s="170">
        <v>43752</v>
      </c>
      <c r="B1184" s="116">
        <v>1409</v>
      </c>
      <c r="C1184" s="116">
        <v>1394.8</v>
      </c>
      <c r="D1184" s="116">
        <v>1359</v>
      </c>
      <c r="E1184" s="116">
        <v>1365</v>
      </c>
      <c r="F1184" s="116">
        <v>1394.8</v>
      </c>
      <c r="G1184">
        <v>4178</v>
      </c>
      <c r="H1184" s="116"/>
      <c r="I1184" s="116"/>
      <c r="L1184" s="170">
        <v>43752</v>
      </c>
      <c r="M1184" s="116">
        <v>1396.05</v>
      </c>
      <c r="N1184" s="116">
        <v>1410.7</v>
      </c>
      <c r="O1184" s="116">
        <v>1358.15</v>
      </c>
      <c r="P1184" s="116">
        <v>1361.1</v>
      </c>
      <c r="Q1184" s="116">
        <v>1396.05</v>
      </c>
      <c r="R1184">
        <v>27954</v>
      </c>
    </row>
    <row r="1185" spans="1:18" x14ac:dyDescent="0.25">
      <c r="A1185" s="170">
        <v>43753</v>
      </c>
      <c r="B1185" s="116">
        <v>1444.35</v>
      </c>
      <c r="C1185" s="116">
        <v>1432.75</v>
      </c>
      <c r="D1185" s="116">
        <v>1355.5</v>
      </c>
      <c r="E1185" s="116">
        <v>1406</v>
      </c>
      <c r="F1185" s="116">
        <v>1432.75</v>
      </c>
      <c r="G1185">
        <v>7813</v>
      </c>
      <c r="H1185" s="116"/>
      <c r="I1185" s="116"/>
      <c r="L1185" s="170">
        <v>43753</v>
      </c>
      <c r="M1185" s="116">
        <v>1433.15</v>
      </c>
      <c r="N1185" s="116">
        <v>1445.45</v>
      </c>
      <c r="O1185" s="116">
        <v>1398.1</v>
      </c>
      <c r="P1185" s="116">
        <v>1399.8</v>
      </c>
      <c r="Q1185" s="116">
        <v>1433.15</v>
      </c>
      <c r="R1185">
        <v>43272</v>
      </c>
    </row>
    <row r="1186" spans="1:18" x14ac:dyDescent="0.25">
      <c r="A1186" s="170">
        <v>43754</v>
      </c>
      <c r="B1186" s="116">
        <v>1444</v>
      </c>
      <c r="C1186" s="116">
        <v>1430.05</v>
      </c>
      <c r="D1186" s="116">
        <v>1409.3</v>
      </c>
      <c r="E1186" s="116">
        <v>1428</v>
      </c>
      <c r="F1186" s="116">
        <v>1430.05</v>
      </c>
      <c r="G1186">
        <v>2720</v>
      </c>
      <c r="H1186" s="116"/>
      <c r="I1186" s="116"/>
      <c r="L1186" s="170">
        <v>43754</v>
      </c>
      <c r="M1186" s="116">
        <v>1429.2</v>
      </c>
      <c r="N1186" s="116">
        <v>1445.9</v>
      </c>
      <c r="O1186" s="116">
        <v>1408.15</v>
      </c>
      <c r="P1186" s="116">
        <v>1424.1</v>
      </c>
      <c r="Q1186" s="116">
        <v>1429.2</v>
      </c>
      <c r="R1186">
        <v>25468</v>
      </c>
    </row>
    <row r="1187" spans="1:18" x14ac:dyDescent="0.25">
      <c r="A1187" s="170">
        <v>43755</v>
      </c>
      <c r="B1187" s="116">
        <v>1447</v>
      </c>
      <c r="C1187" s="116">
        <v>1437.45</v>
      </c>
      <c r="D1187" s="116">
        <v>1421</v>
      </c>
      <c r="E1187" s="116">
        <v>1438.65</v>
      </c>
      <c r="F1187" s="116">
        <v>1437.45</v>
      </c>
      <c r="G1187">
        <v>5052</v>
      </c>
      <c r="H1187" s="116"/>
      <c r="I1187" s="116"/>
      <c r="L1187" s="170">
        <v>43755</v>
      </c>
      <c r="M1187" s="116">
        <v>1440.1</v>
      </c>
      <c r="N1187" s="116">
        <v>1448.9</v>
      </c>
      <c r="O1187" s="116">
        <v>1419.95</v>
      </c>
      <c r="P1187" s="116">
        <v>1432</v>
      </c>
      <c r="Q1187" s="116">
        <v>1440.1</v>
      </c>
      <c r="R1187">
        <v>33508</v>
      </c>
    </row>
    <row r="1188" spans="1:18" x14ac:dyDescent="0.25">
      <c r="A1188" s="170">
        <v>43756</v>
      </c>
      <c r="B1188" s="116">
        <v>1467.05</v>
      </c>
      <c r="C1188" s="116">
        <v>1440.15</v>
      </c>
      <c r="D1188" s="116">
        <v>1433.35</v>
      </c>
      <c r="E1188" s="116">
        <v>1442.75</v>
      </c>
      <c r="F1188" s="116">
        <v>1440.15</v>
      </c>
      <c r="G1188">
        <v>4707</v>
      </c>
      <c r="H1188" s="116"/>
      <c r="I1188" s="116"/>
      <c r="L1188" s="170">
        <v>43756</v>
      </c>
      <c r="M1188" s="116">
        <v>1438.7</v>
      </c>
      <c r="N1188" s="116">
        <v>1468.95</v>
      </c>
      <c r="O1188" s="116">
        <v>1433</v>
      </c>
      <c r="P1188" s="116">
        <v>1446</v>
      </c>
      <c r="Q1188" s="116">
        <v>1438.7</v>
      </c>
      <c r="R1188">
        <v>36237</v>
      </c>
    </row>
    <row r="1189" spans="1:18" x14ac:dyDescent="0.25">
      <c r="A1189" s="170">
        <v>43760</v>
      </c>
      <c r="B1189" s="116">
        <v>1505.9</v>
      </c>
      <c r="C1189" s="116">
        <v>1482.7</v>
      </c>
      <c r="D1189" s="116">
        <v>1430</v>
      </c>
      <c r="E1189" s="116">
        <v>1440</v>
      </c>
      <c r="F1189" s="116">
        <v>1482.7</v>
      </c>
      <c r="G1189">
        <v>17683</v>
      </c>
      <c r="H1189" s="116"/>
      <c r="I1189" s="116"/>
      <c r="L1189" s="170">
        <v>43760</v>
      </c>
      <c r="M1189" s="116">
        <v>1481.2</v>
      </c>
      <c r="N1189" s="116">
        <v>1504</v>
      </c>
      <c r="O1189" s="116">
        <v>1426.25</v>
      </c>
      <c r="P1189" s="116">
        <v>1438.7</v>
      </c>
      <c r="Q1189" s="116">
        <v>1481.2</v>
      </c>
      <c r="R1189">
        <v>115109</v>
      </c>
    </row>
    <row r="1190" spans="1:18" x14ac:dyDescent="0.25">
      <c r="A1190" s="170">
        <v>43761</v>
      </c>
      <c r="B1190" s="116">
        <v>1533.75</v>
      </c>
      <c r="C1190" s="116">
        <v>1490.6</v>
      </c>
      <c r="D1190" s="116">
        <v>1472.2</v>
      </c>
      <c r="E1190" s="116">
        <v>1484.05</v>
      </c>
      <c r="F1190" s="116">
        <v>1490.6</v>
      </c>
      <c r="G1190">
        <v>14280</v>
      </c>
      <c r="H1190" s="116"/>
      <c r="I1190" s="116"/>
      <c r="L1190" s="170">
        <v>43761</v>
      </c>
      <c r="M1190" s="116">
        <v>1488.55</v>
      </c>
      <c r="N1190" s="116">
        <v>1534.35</v>
      </c>
      <c r="O1190" s="116">
        <v>1471.05</v>
      </c>
      <c r="P1190" s="116">
        <v>1500</v>
      </c>
      <c r="Q1190" s="116">
        <v>1488.55</v>
      </c>
      <c r="R1190">
        <v>81069</v>
      </c>
    </row>
    <row r="1191" spans="1:18" x14ac:dyDescent="0.25">
      <c r="A1191" s="170">
        <v>43762</v>
      </c>
      <c r="B1191" s="116">
        <v>1512.85</v>
      </c>
      <c r="C1191" s="116">
        <v>1478.85</v>
      </c>
      <c r="D1191" s="116">
        <v>1459.8</v>
      </c>
      <c r="E1191" s="116">
        <v>1500</v>
      </c>
      <c r="F1191" s="116">
        <v>1478.85</v>
      </c>
      <c r="G1191">
        <v>4691</v>
      </c>
      <c r="H1191" s="116"/>
      <c r="I1191" s="116"/>
      <c r="L1191" s="170">
        <v>43762</v>
      </c>
      <c r="M1191" s="116">
        <v>1479.55</v>
      </c>
      <c r="N1191" s="116">
        <v>1513.75</v>
      </c>
      <c r="O1191" s="116">
        <v>1458.95</v>
      </c>
      <c r="P1191" s="116">
        <v>1492.3</v>
      </c>
      <c r="Q1191" s="116">
        <v>1479.55</v>
      </c>
      <c r="R1191">
        <v>30497</v>
      </c>
    </row>
    <row r="1192" spans="1:18" x14ac:dyDescent="0.25">
      <c r="A1192" s="170">
        <v>43763</v>
      </c>
      <c r="B1192" s="116">
        <v>1535</v>
      </c>
      <c r="C1192" s="116">
        <v>1518</v>
      </c>
      <c r="D1192" s="116">
        <v>1482.1</v>
      </c>
      <c r="E1192" s="116">
        <v>1482.95</v>
      </c>
      <c r="F1192" s="116">
        <v>1518</v>
      </c>
      <c r="G1192">
        <v>14112</v>
      </c>
      <c r="H1192" s="116"/>
      <c r="I1192" s="116"/>
      <c r="L1192" s="170">
        <v>43763</v>
      </c>
      <c r="M1192" s="116">
        <v>1516.65</v>
      </c>
      <c r="N1192" s="116">
        <v>1535</v>
      </c>
      <c r="O1192" s="116">
        <v>1474.45</v>
      </c>
      <c r="P1192" s="116">
        <v>1479</v>
      </c>
      <c r="Q1192" s="116">
        <v>1516.65</v>
      </c>
      <c r="R1192">
        <v>42785</v>
      </c>
    </row>
    <row r="1193" spans="1:18" x14ac:dyDescent="0.25">
      <c r="A1193" s="170">
        <v>43765</v>
      </c>
      <c r="B1193" s="116">
        <v>1560</v>
      </c>
      <c r="C1193" s="116">
        <v>1550.85</v>
      </c>
      <c r="D1193" s="116">
        <v>1520</v>
      </c>
      <c r="E1193" s="116">
        <v>1520</v>
      </c>
      <c r="F1193" s="116">
        <v>1550.85</v>
      </c>
      <c r="G1193">
        <v>5604</v>
      </c>
      <c r="H1193" s="116"/>
      <c r="I1193" s="116"/>
      <c r="L1193" s="170">
        <v>43765</v>
      </c>
      <c r="M1193" s="116">
        <v>1551.15</v>
      </c>
      <c r="N1193" s="116">
        <v>1561.95</v>
      </c>
      <c r="O1193" s="116">
        <v>1524.9</v>
      </c>
      <c r="P1193" s="116">
        <v>1525</v>
      </c>
      <c r="Q1193" s="116">
        <v>1551.15</v>
      </c>
      <c r="R1193">
        <v>24508</v>
      </c>
    </row>
    <row r="1194" spans="1:18" x14ac:dyDescent="0.25">
      <c r="A1194" s="170">
        <v>43767</v>
      </c>
      <c r="B1194" s="116">
        <v>1612.95</v>
      </c>
      <c r="C1194" s="116">
        <v>1594.2</v>
      </c>
      <c r="D1194" s="116">
        <v>1560</v>
      </c>
      <c r="E1194" s="116">
        <v>1560</v>
      </c>
      <c r="F1194" s="116">
        <v>1594.2</v>
      </c>
      <c r="G1194">
        <v>12480</v>
      </c>
      <c r="H1194" s="116"/>
      <c r="I1194" s="116"/>
      <c r="L1194" s="170">
        <v>43767</v>
      </c>
      <c r="M1194" s="116">
        <v>1594.3</v>
      </c>
      <c r="N1194" s="116">
        <v>1614</v>
      </c>
      <c r="O1194" s="116">
        <v>1552</v>
      </c>
      <c r="P1194" s="116">
        <v>1562</v>
      </c>
      <c r="Q1194" s="116">
        <v>1594.3</v>
      </c>
      <c r="R1194">
        <v>64700</v>
      </c>
    </row>
    <row r="1195" spans="1:18" x14ac:dyDescent="0.25">
      <c r="A1195" s="170">
        <v>43768</v>
      </c>
      <c r="B1195" s="116">
        <v>1628</v>
      </c>
      <c r="C1195" s="116">
        <v>1605.7</v>
      </c>
      <c r="D1195" s="116">
        <v>1574.95</v>
      </c>
      <c r="E1195" s="116">
        <v>1605</v>
      </c>
      <c r="F1195" s="116">
        <v>1605.7</v>
      </c>
      <c r="G1195">
        <v>7045</v>
      </c>
      <c r="H1195" s="116"/>
      <c r="I1195" s="116"/>
      <c r="L1195" s="170">
        <v>43768</v>
      </c>
      <c r="M1195" s="116">
        <v>1599.05</v>
      </c>
      <c r="N1195" s="116">
        <v>1625</v>
      </c>
      <c r="O1195" s="116">
        <v>1574.9</v>
      </c>
      <c r="P1195" s="116">
        <v>1609</v>
      </c>
      <c r="Q1195" s="116">
        <v>1599.05</v>
      </c>
      <c r="R1195">
        <v>55638</v>
      </c>
    </row>
    <row r="1196" spans="1:18" x14ac:dyDescent="0.25">
      <c r="A1196" s="170">
        <v>43769</v>
      </c>
      <c r="B1196" s="116">
        <v>1699.95</v>
      </c>
      <c r="C1196" s="116">
        <v>1662.75</v>
      </c>
      <c r="D1196" s="116">
        <v>1602.6</v>
      </c>
      <c r="E1196" s="116">
        <v>1602.6</v>
      </c>
      <c r="F1196" s="116">
        <v>1662.75</v>
      </c>
      <c r="G1196">
        <v>17574</v>
      </c>
      <c r="H1196" s="116"/>
      <c r="I1196" s="116"/>
      <c r="L1196" s="170">
        <v>43769</v>
      </c>
      <c r="M1196" s="116">
        <v>1662.9</v>
      </c>
      <c r="N1196" s="116">
        <v>1703.65</v>
      </c>
      <c r="O1196" s="116">
        <v>1601.7</v>
      </c>
      <c r="P1196" s="116">
        <v>1612.7</v>
      </c>
      <c r="Q1196" s="116">
        <v>1662.9</v>
      </c>
      <c r="R1196">
        <v>107202</v>
      </c>
    </row>
    <row r="1197" spans="1:18" x14ac:dyDescent="0.25">
      <c r="A1197" s="170">
        <v>43770</v>
      </c>
      <c r="B1197" s="116">
        <v>1698</v>
      </c>
      <c r="C1197" s="116">
        <v>1672.85</v>
      </c>
      <c r="D1197" s="116">
        <v>1651.5</v>
      </c>
      <c r="E1197" s="116">
        <v>1665</v>
      </c>
      <c r="F1197" s="116">
        <v>1672.85</v>
      </c>
      <c r="G1197">
        <v>7636</v>
      </c>
      <c r="H1197" s="116"/>
      <c r="I1197" s="116"/>
      <c r="L1197" s="170">
        <v>43770</v>
      </c>
      <c r="M1197" s="116">
        <v>1671.75</v>
      </c>
      <c r="N1197" s="116">
        <v>1699</v>
      </c>
      <c r="O1197" s="116">
        <v>1650.05</v>
      </c>
      <c r="P1197" s="116">
        <v>1661.2</v>
      </c>
      <c r="Q1197" s="116">
        <v>1671.75</v>
      </c>
      <c r="R1197">
        <v>50289</v>
      </c>
    </row>
    <row r="1198" spans="1:18" x14ac:dyDescent="0.25">
      <c r="A1198" s="170">
        <v>43773</v>
      </c>
      <c r="B1198" s="116">
        <v>1694</v>
      </c>
      <c r="C1198" s="116">
        <v>1650.9</v>
      </c>
      <c r="D1198" s="116">
        <v>1642</v>
      </c>
      <c r="E1198" s="116">
        <v>1672.2</v>
      </c>
      <c r="F1198" s="116">
        <v>1650.9</v>
      </c>
      <c r="G1198">
        <v>3895</v>
      </c>
      <c r="H1198" s="116"/>
      <c r="I1198" s="116"/>
      <c r="L1198" s="170">
        <v>43773</v>
      </c>
      <c r="M1198" s="116">
        <v>1650.8</v>
      </c>
      <c r="N1198" s="116">
        <v>1693</v>
      </c>
      <c r="O1198" s="116">
        <v>1641.2</v>
      </c>
      <c r="P1198" s="116">
        <v>1670</v>
      </c>
      <c r="Q1198" s="116">
        <v>1650.8</v>
      </c>
      <c r="R1198">
        <v>33393</v>
      </c>
    </row>
    <row r="1199" spans="1:18" x14ac:dyDescent="0.25">
      <c r="A1199" s="170">
        <v>43774</v>
      </c>
      <c r="B1199" s="116">
        <v>1667.65</v>
      </c>
      <c r="C1199" s="116">
        <v>1619.25</v>
      </c>
      <c r="D1199" s="116">
        <v>1605.1</v>
      </c>
      <c r="E1199" s="116">
        <v>1665.05</v>
      </c>
      <c r="F1199" s="116">
        <v>1619.25</v>
      </c>
      <c r="G1199">
        <v>5049</v>
      </c>
      <c r="H1199" s="116"/>
      <c r="I1199" s="116"/>
      <c r="L1199" s="170">
        <v>43774</v>
      </c>
      <c r="M1199" s="116">
        <v>1621.95</v>
      </c>
      <c r="N1199" s="116">
        <v>1669.75</v>
      </c>
      <c r="O1199" s="116">
        <v>1601.2</v>
      </c>
      <c r="P1199" s="116">
        <v>1657.85</v>
      </c>
      <c r="Q1199" s="116">
        <v>1621.95</v>
      </c>
      <c r="R1199">
        <v>61682</v>
      </c>
    </row>
    <row r="1200" spans="1:18" x14ac:dyDescent="0.25">
      <c r="A1200" s="170">
        <v>43775</v>
      </c>
      <c r="B1200" s="116">
        <v>1646</v>
      </c>
      <c r="C1200" s="116">
        <v>1613.8</v>
      </c>
      <c r="D1200" s="116">
        <v>1602.45</v>
      </c>
      <c r="E1200" s="116">
        <v>1646</v>
      </c>
      <c r="F1200" s="116">
        <v>1613.8</v>
      </c>
      <c r="G1200">
        <v>5196</v>
      </c>
      <c r="H1200" s="116"/>
      <c r="I1200" s="116"/>
      <c r="L1200" s="170">
        <v>43775</v>
      </c>
      <c r="M1200" s="116">
        <v>1616.2</v>
      </c>
      <c r="N1200" s="116">
        <v>1640</v>
      </c>
      <c r="O1200" s="116">
        <v>1604</v>
      </c>
      <c r="P1200" s="116">
        <v>1619.8</v>
      </c>
      <c r="Q1200" s="116">
        <v>1616.2</v>
      </c>
      <c r="R1200">
        <v>45067</v>
      </c>
    </row>
    <row r="1201" spans="1:18" x14ac:dyDescent="0.25">
      <c r="A1201" s="170">
        <v>43776</v>
      </c>
      <c r="B1201" s="116">
        <v>1636</v>
      </c>
      <c r="C1201" s="116">
        <v>1622.6</v>
      </c>
      <c r="D1201" s="116">
        <v>1603</v>
      </c>
      <c r="E1201" s="116">
        <v>1625</v>
      </c>
      <c r="F1201" s="116">
        <v>1622.6</v>
      </c>
      <c r="G1201">
        <v>4315</v>
      </c>
      <c r="H1201" s="116"/>
      <c r="I1201" s="116"/>
      <c r="L1201" s="170">
        <v>43776</v>
      </c>
      <c r="M1201" s="116">
        <v>1620.65</v>
      </c>
      <c r="N1201" s="116">
        <v>1636.9</v>
      </c>
      <c r="O1201" s="116">
        <v>1601</v>
      </c>
      <c r="P1201" s="116">
        <v>1618</v>
      </c>
      <c r="Q1201" s="116">
        <v>1620.65</v>
      </c>
      <c r="R1201">
        <v>38537</v>
      </c>
    </row>
    <row r="1202" spans="1:18" x14ac:dyDescent="0.25">
      <c r="A1202" s="170">
        <v>43777</v>
      </c>
      <c r="B1202" s="116">
        <v>1639.35</v>
      </c>
      <c r="C1202" s="116">
        <v>1607.75</v>
      </c>
      <c r="D1202" s="116">
        <v>1590.15</v>
      </c>
      <c r="E1202" s="116">
        <v>1630</v>
      </c>
      <c r="F1202" s="116">
        <v>1607.75</v>
      </c>
      <c r="G1202">
        <v>4535</v>
      </c>
      <c r="H1202" s="116"/>
      <c r="I1202" s="116"/>
      <c r="L1202" s="170">
        <v>43777</v>
      </c>
      <c r="M1202" s="116">
        <v>1612.1</v>
      </c>
      <c r="N1202" s="116">
        <v>1644</v>
      </c>
      <c r="O1202" s="116">
        <v>1592.05</v>
      </c>
      <c r="P1202" s="116">
        <v>1622.6</v>
      </c>
      <c r="Q1202" s="116">
        <v>1612.1</v>
      </c>
      <c r="R1202">
        <v>55396</v>
      </c>
    </row>
    <row r="1203" spans="1:18" x14ac:dyDescent="0.25">
      <c r="A1203" s="170">
        <v>43780</v>
      </c>
      <c r="B1203" s="116">
        <v>1639.95</v>
      </c>
      <c r="C1203" s="116">
        <v>1628.35</v>
      </c>
      <c r="D1203" s="116">
        <v>1596.6</v>
      </c>
      <c r="E1203" s="116">
        <v>1639.95</v>
      </c>
      <c r="F1203" s="116">
        <v>1628.35</v>
      </c>
      <c r="G1203">
        <v>1220</v>
      </c>
      <c r="H1203" s="116"/>
      <c r="I1203" s="116"/>
      <c r="L1203" s="170">
        <v>43780</v>
      </c>
      <c r="M1203" s="116">
        <v>1620</v>
      </c>
      <c r="N1203" s="116">
        <v>1638.85</v>
      </c>
      <c r="O1203" s="116">
        <v>1598.6</v>
      </c>
      <c r="P1203" s="116">
        <v>1623.95</v>
      </c>
      <c r="Q1203" s="116">
        <v>1620</v>
      </c>
      <c r="R1203">
        <v>38813</v>
      </c>
    </row>
    <row r="1204" spans="1:18" x14ac:dyDescent="0.25">
      <c r="A1204" s="170">
        <v>43782</v>
      </c>
      <c r="B1204" s="116">
        <v>1630.4</v>
      </c>
      <c r="C1204" s="116">
        <v>1604.6</v>
      </c>
      <c r="D1204" s="116">
        <v>1592</v>
      </c>
      <c r="E1204" s="116">
        <v>1625</v>
      </c>
      <c r="F1204" s="116">
        <v>1604.6</v>
      </c>
      <c r="G1204">
        <v>3597</v>
      </c>
      <c r="H1204" s="116"/>
      <c r="I1204" s="116"/>
      <c r="L1204" s="170">
        <v>43782</v>
      </c>
      <c r="M1204" s="116">
        <v>1604.8</v>
      </c>
      <c r="N1204" s="116">
        <v>1634.95</v>
      </c>
      <c r="O1204" s="116">
        <v>1591.2</v>
      </c>
      <c r="P1204" s="116">
        <v>1621</v>
      </c>
      <c r="Q1204" s="116">
        <v>1604.8</v>
      </c>
      <c r="R1204">
        <v>40954</v>
      </c>
    </row>
    <row r="1205" spans="1:18" x14ac:dyDescent="0.25">
      <c r="A1205" s="170">
        <v>43783</v>
      </c>
      <c r="B1205" s="116">
        <v>1612.9</v>
      </c>
      <c r="C1205" s="116">
        <v>1601.25</v>
      </c>
      <c r="D1205" s="116">
        <v>1589.6</v>
      </c>
      <c r="E1205" s="116">
        <v>1601.5</v>
      </c>
      <c r="F1205" s="116">
        <v>1601.25</v>
      </c>
      <c r="G1205">
        <v>3568</v>
      </c>
      <c r="H1205" s="116"/>
      <c r="I1205" s="116"/>
      <c r="L1205" s="170">
        <v>43783</v>
      </c>
      <c r="M1205" s="116">
        <v>1601.25</v>
      </c>
      <c r="N1205" s="116">
        <v>1615</v>
      </c>
      <c r="O1205" s="116">
        <v>1590</v>
      </c>
      <c r="P1205" s="116">
        <v>1607</v>
      </c>
      <c r="Q1205" s="116">
        <v>1601.25</v>
      </c>
      <c r="R1205">
        <v>39755</v>
      </c>
    </row>
    <row r="1206" spans="1:18" x14ac:dyDescent="0.25">
      <c r="A1206" s="170">
        <v>43784</v>
      </c>
      <c r="B1206" s="116">
        <v>1610</v>
      </c>
      <c r="C1206" s="116">
        <v>1603.7</v>
      </c>
      <c r="D1206" s="116">
        <v>1595</v>
      </c>
      <c r="E1206" s="116">
        <v>1598</v>
      </c>
      <c r="F1206" s="116">
        <v>1603.7</v>
      </c>
      <c r="G1206">
        <v>3944</v>
      </c>
      <c r="H1206" s="116"/>
      <c r="I1206" s="116"/>
      <c r="L1206" s="170">
        <v>43784</v>
      </c>
      <c r="M1206" s="116">
        <v>1606.2</v>
      </c>
      <c r="N1206" s="116">
        <v>1610</v>
      </c>
      <c r="O1206" s="116">
        <v>1595.2</v>
      </c>
      <c r="P1206" s="116">
        <v>1600</v>
      </c>
      <c r="Q1206" s="116">
        <v>1606.2</v>
      </c>
      <c r="R1206">
        <v>44288</v>
      </c>
    </row>
    <row r="1207" spans="1:18" x14ac:dyDescent="0.25">
      <c r="A1207" s="170">
        <v>43787</v>
      </c>
      <c r="B1207" s="116">
        <v>1631.2</v>
      </c>
      <c r="C1207" s="116">
        <v>1626.95</v>
      </c>
      <c r="D1207" s="116">
        <v>1594</v>
      </c>
      <c r="E1207" s="116">
        <v>1603.75</v>
      </c>
      <c r="F1207" s="116">
        <v>1626.95</v>
      </c>
      <c r="G1207">
        <v>5702</v>
      </c>
      <c r="H1207" s="116"/>
      <c r="I1207" s="116"/>
      <c r="L1207" s="170">
        <v>43787</v>
      </c>
      <c r="M1207" s="116">
        <v>1628.4</v>
      </c>
      <c r="N1207" s="116">
        <v>1635</v>
      </c>
      <c r="O1207" s="116">
        <v>1595</v>
      </c>
      <c r="P1207" s="116">
        <v>1600</v>
      </c>
      <c r="Q1207" s="116">
        <v>1628.4</v>
      </c>
      <c r="R1207">
        <v>50654</v>
      </c>
    </row>
    <row r="1208" spans="1:18" x14ac:dyDescent="0.25">
      <c r="A1208" s="170">
        <v>43788</v>
      </c>
      <c r="B1208" s="116">
        <v>1671</v>
      </c>
      <c r="C1208" s="116">
        <v>1640.5</v>
      </c>
      <c r="D1208" s="116">
        <v>1630.1</v>
      </c>
      <c r="E1208" s="116">
        <v>1638</v>
      </c>
      <c r="F1208" s="116">
        <v>1640.5</v>
      </c>
      <c r="G1208">
        <v>4604</v>
      </c>
      <c r="H1208" s="116"/>
      <c r="I1208" s="116"/>
      <c r="L1208" s="170">
        <v>43788</v>
      </c>
      <c r="M1208" s="116">
        <v>1639.85</v>
      </c>
      <c r="N1208" s="116">
        <v>1670.3</v>
      </c>
      <c r="O1208" s="116">
        <v>1626.1</v>
      </c>
      <c r="P1208" s="116">
        <v>1635</v>
      </c>
      <c r="Q1208" s="116">
        <v>1639.85</v>
      </c>
      <c r="R1208">
        <v>58324</v>
      </c>
    </row>
    <row r="1209" spans="1:18" x14ac:dyDescent="0.25">
      <c r="A1209" s="170">
        <v>43789</v>
      </c>
      <c r="B1209" s="116">
        <v>1663.25</v>
      </c>
      <c r="C1209" s="116">
        <v>1659.2</v>
      </c>
      <c r="D1209" s="116">
        <v>1632</v>
      </c>
      <c r="E1209" s="116">
        <v>1640.5</v>
      </c>
      <c r="F1209" s="116">
        <v>1659.2</v>
      </c>
      <c r="G1209">
        <v>3099</v>
      </c>
      <c r="H1209" s="116"/>
      <c r="I1209" s="116"/>
      <c r="L1209" s="170">
        <v>43789</v>
      </c>
      <c r="M1209" s="116">
        <v>1660.15</v>
      </c>
      <c r="N1209" s="116">
        <v>1663.25</v>
      </c>
      <c r="O1209" s="116">
        <v>1631.85</v>
      </c>
      <c r="P1209" s="116">
        <v>1634.7</v>
      </c>
      <c r="Q1209" s="116">
        <v>1660.15</v>
      </c>
      <c r="R1209">
        <v>44173</v>
      </c>
    </row>
    <row r="1210" spans="1:18" x14ac:dyDescent="0.25">
      <c r="A1210" s="170">
        <v>43790</v>
      </c>
      <c r="B1210" s="116">
        <v>1681.65</v>
      </c>
      <c r="C1210" s="116">
        <v>1656.55</v>
      </c>
      <c r="D1210" s="116">
        <v>1646.3</v>
      </c>
      <c r="E1210" s="116">
        <v>1663</v>
      </c>
      <c r="F1210" s="116">
        <v>1656.55</v>
      </c>
      <c r="G1210">
        <v>2536</v>
      </c>
      <c r="H1210" s="116"/>
      <c r="I1210" s="116"/>
      <c r="L1210" s="170">
        <v>43790</v>
      </c>
      <c r="M1210" s="116">
        <v>1658.15</v>
      </c>
      <c r="N1210" s="116">
        <v>1680</v>
      </c>
      <c r="O1210" s="116">
        <v>1646</v>
      </c>
      <c r="P1210" s="116">
        <v>1665</v>
      </c>
      <c r="Q1210" s="116">
        <v>1658.15</v>
      </c>
      <c r="R1210">
        <v>38206</v>
      </c>
    </row>
    <row r="1211" spans="1:18" x14ac:dyDescent="0.25">
      <c r="A1211" s="170">
        <v>43791</v>
      </c>
      <c r="B1211" s="116">
        <v>1655</v>
      </c>
      <c r="C1211" s="116">
        <v>1637.05</v>
      </c>
      <c r="D1211" s="116">
        <v>1629.2</v>
      </c>
      <c r="E1211" s="116">
        <v>1655</v>
      </c>
      <c r="F1211" s="116">
        <v>1637.05</v>
      </c>
      <c r="G1211">
        <v>2074</v>
      </c>
      <c r="H1211" s="116"/>
      <c r="I1211" s="116"/>
      <c r="L1211" s="170">
        <v>43791</v>
      </c>
      <c r="M1211" s="116">
        <v>1640.95</v>
      </c>
      <c r="N1211" s="116">
        <v>1662.5</v>
      </c>
      <c r="O1211" s="116">
        <v>1628.2</v>
      </c>
      <c r="P1211" s="116">
        <v>1652</v>
      </c>
      <c r="Q1211" s="116">
        <v>1640.95</v>
      </c>
      <c r="R1211">
        <v>24186</v>
      </c>
    </row>
    <row r="1212" spans="1:18" x14ac:dyDescent="0.25">
      <c r="A1212" s="170">
        <v>43794</v>
      </c>
      <c r="B1212" s="116">
        <v>1675</v>
      </c>
      <c r="C1212" s="116">
        <v>1660.3</v>
      </c>
      <c r="D1212" s="116">
        <v>1616.1</v>
      </c>
      <c r="E1212" s="116">
        <v>1645</v>
      </c>
      <c r="F1212" s="116">
        <v>1660.3</v>
      </c>
      <c r="G1212">
        <v>2331</v>
      </c>
      <c r="H1212" s="116"/>
      <c r="I1212" s="116"/>
      <c r="L1212" s="170">
        <v>43794</v>
      </c>
      <c r="M1212" s="116">
        <v>1662.9</v>
      </c>
      <c r="N1212" s="116">
        <v>1674.7</v>
      </c>
      <c r="O1212" s="116">
        <v>1615</v>
      </c>
      <c r="P1212" s="116">
        <v>1638.7</v>
      </c>
      <c r="Q1212" s="116">
        <v>1662.9</v>
      </c>
      <c r="R1212">
        <v>32572</v>
      </c>
    </row>
    <row r="1213" spans="1:18" x14ac:dyDescent="0.25">
      <c r="A1213" s="170">
        <v>43795</v>
      </c>
      <c r="B1213" s="116">
        <v>1665.85</v>
      </c>
      <c r="C1213" s="116">
        <v>1646.4</v>
      </c>
      <c r="D1213" s="116">
        <v>1640</v>
      </c>
      <c r="E1213" s="116">
        <v>1663</v>
      </c>
      <c r="F1213" s="116">
        <v>1646.4</v>
      </c>
      <c r="G1213">
        <v>2334</v>
      </c>
      <c r="H1213" s="116"/>
      <c r="I1213" s="116"/>
      <c r="L1213" s="170">
        <v>43795</v>
      </c>
      <c r="M1213" s="116">
        <v>1645.85</v>
      </c>
      <c r="N1213" s="116">
        <v>1674</v>
      </c>
      <c r="O1213" s="116">
        <v>1636.1</v>
      </c>
      <c r="P1213" s="116">
        <v>1663.2</v>
      </c>
      <c r="Q1213" s="116">
        <v>1645.85</v>
      </c>
      <c r="R1213">
        <v>29074</v>
      </c>
    </row>
    <row r="1214" spans="1:18" x14ac:dyDescent="0.25">
      <c r="A1214" s="170">
        <v>43796</v>
      </c>
      <c r="B1214" s="116">
        <v>1678.9</v>
      </c>
      <c r="C1214" s="116">
        <v>1669.55</v>
      </c>
      <c r="D1214" s="116">
        <v>1645</v>
      </c>
      <c r="E1214" s="116">
        <v>1649.45</v>
      </c>
      <c r="F1214" s="116">
        <v>1669.55</v>
      </c>
      <c r="G1214">
        <v>2900</v>
      </c>
      <c r="H1214" s="116"/>
      <c r="I1214" s="116"/>
      <c r="L1214" s="170">
        <v>43796</v>
      </c>
      <c r="M1214" s="116">
        <v>1673.1</v>
      </c>
      <c r="N1214" s="116">
        <v>1680</v>
      </c>
      <c r="O1214" s="116">
        <v>1631.9</v>
      </c>
      <c r="P1214" s="116">
        <v>1645</v>
      </c>
      <c r="Q1214" s="116">
        <v>1673.1</v>
      </c>
      <c r="R1214">
        <v>38495</v>
      </c>
    </row>
    <row r="1215" spans="1:18" x14ac:dyDescent="0.25">
      <c r="A1215" s="170">
        <v>43797</v>
      </c>
      <c r="B1215" s="116">
        <v>1735</v>
      </c>
      <c r="C1215" s="116">
        <v>1696.55</v>
      </c>
      <c r="D1215" s="116">
        <v>1662</v>
      </c>
      <c r="E1215" s="116">
        <v>1680</v>
      </c>
      <c r="F1215" s="116">
        <v>1696.55</v>
      </c>
      <c r="G1215">
        <v>10553</v>
      </c>
      <c r="H1215" s="116"/>
      <c r="I1215" s="116"/>
      <c r="L1215" s="170">
        <v>43797</v>
      </c>
      <c r="M1215" s="116">
        <v>1697.65</v>
      </c>
      <c r="N1215" s="116">
        <v>1737</v>
      </c>
      <c r="O1215" s="116">
        <v>1662.2</v>
      </c>
      <c r="P1215" s="116">
        <v>1679.85</v>
      </c>
      <c r="Q1215" s="116">
        <v>1697.65</v>
      </c>
      <c r="R1215">
        <v>116650</v>
      </c>
    </row>
    <row r="1216" spans="1:18" x14ac:dyDescent="0.25">
      <c r="A1216" s="170">
        <v>43798</v>
      </c>
      <c r="B1216" s="116">
        <v>1705.35</v>
      </c>
      <c r="C1216" s="116">
        <v>1677.5</v>
      </c>
      <c r="D1216" s="116">
        <v>1664.3</v>
      </c>
      <c r="E1216" s="116">
        <v>1700</v>
      </c>
      <c r="F1216" s="116">
        <v>1677.5</v>
      </c>
      <c r="G1216">
        <v>2137</v>
      </c>
      <c r="H1216" s="116"/>
      <c r="I1216" s="116"/>
      <c r="L1216" s="170">
        <v>43798</v>
      </c>
      <c r="M1216" s="116">
        <v>1677</v>
      </c>
      <c r="N1216" s="116">
        <v>1704.7</v>
      </c>
      <c r="O1216" s="116">
        <v>1663.35</v>
      </c>
      <c r="P1216" s="116">
        <v>1695</v>
      </c>
      <c r="Q1216" s="116">
        <v>1677</v>
      </c>
      <c r="R1216">
        <v>23044</v>
      </c>
    </row>
    <row r="1217" spans="1:18" x14ac:dyDescent="0.25">
      <c r="A1217" s="170">
        <v>43801</v>
      </c>
      <c r="B1217" s="116">
        <v>1700</v>
      </c>
      <c r="C1217" s="116">
        <v>1668</v>
      </c>
      <c r="D1217" s="116">
        <v>1659</v>
      </c>
      <c r="E1217" s="116">
        <v>1700</v>
      </c>
      <c r="F1217" s="116">
        <v>1668</v>
      </c>
      <c r="G1217">
        <v>2279</v>
      </c>
      <c r="H1217" s="116"/>
      <c r="I1217" s="116"/>
      <c r="L1217" s="170">
        <v>43801</v>
      </c>
      <c r="M1217" s="116">
        <v>1668.15</v>
      </c>
      <c r="N1217" s="116">
        <v>1699</v>
      </c>
      <c r="O1217" s="116">
        <v>1658.2</v>
      </c>
      <c r="P1217" s="116">
        <v>1680.8</v>
      </c>
      <c r="Q1217" s="116">
        <v>1668.15</v>
      </c>
      <c r="R1217">
        <v>21096</v>
      </c>
    </row>
    <row r="1218" spans="1:18" x14ac:dyDescent="0.25">
      <c r="A1218" s="170">
        <v>43802</v>
      </c>
      <c r="B1218" s="116">
        <v>1727</v>
      </c>
      <c r="C1218" s="116">
        <v>1687.4</v>
      </c>
      <c r="D1218" s="116">
        <v>1668.6</v>
      </c>
      <c r="E1218" s="116">
        <v>1668.6</v>
      </c>
      <c r="F1218" s="116">
        <v>1687.4</v>
      </c>
      <c r="G1218">
        <v>9073</v>
      </c>
      <c r="H1218" s="116"/>
      <c r="I1218" s="116"/>
      <c r="L1218" s="170">
        <v>43802</v>
      </c>
      <c r="M1218" s="116">
        <v>1687.25</v>
      </c>
      <c r="N1218" s="116">
        <v>1729</v>
      </c>
      <c r="O1218" s="116">
        <v>1662</v>
      </c>
      <c r="P1218" s="116">
        <v>1662</v>
      </c>
      <c r="Q1218" s="116">
        <v>1687.25</v>
      </c>
      <c r="R1218">
        <v>100102</v>
      </c>
    </row>
    <row r="1219" spans="1:18" x14ac:dyDescent="0.25">
      <c r="A1219" s="170">
        <v>43803</v>
      </c>
      <c r="B1219" s="116">
        <v>1704.95</v>
      </c>
      <c r="C1219" s="116">
        <v>1685.55</v>
      </c>
      <c r="D1219" s="116">
        <v>1676</v>
      </c>
      <c r="E1219" s="116">
        <v>1684.7</v>
      </c>
      <c r="F1219" s="116">
        <v>1685.55</v>
      </c>
      <c r="G1219">
        <v>11047</v>
      </c>
      <c r="H1219" s="116"/>
      <c r="I1219" s="116"/>
      <c r="L1219" s="170">
        <v>43803</v>
      </c>
      <c r="M1219" s="116">
        <v>1688.1</v>
      </c>
      <c r="N1219" s="116">
        <v>1705</v>
      </c>
      <c r="O1219" s="116">
        <v>1670.2</v>
      </c>
      <c r="P1219" s="116">
        <v>1689.3</v>
      </c>
      <c r="Q1219" s="116">
        <v>1688.1</v>
      </c>
      <c r="R1219">
        <v>43648</v>
      </c>
    </row>
    <row r="1220" spans="1:18" x14ac:dyDescent="0.25">
      <c r="A1220" s="170">
        <v>43804</v>
      </c>
      <c r="B1220" s="116">
        <v>1685</v>
      </c>
      <c r="C1220" s="116">
        <v>1644.75</v>
      </c>
      <c r="D1220" s="116">
        <v>1635</v>
      </c>
      <c r="E1220" s="116">
        <v>1685</v>
      </c>
      <c r="F1220" s="116">
        <v>1644.75</v>
      </c>
      <c r="G1220">
        <v>4603</v>
      </c>
      <c r="H1220" s="116"/>
      <c r="I1220" s="116"/>
      <c r="L1220" s="170">
        <v>43804</v>
      </c>
      <c r="M1220" s="116">
        <v>1648.6</v>
      </c>
      <c r="N1220" s="116">
        <v>1696</v>
      </c>
      <c r="O1220" s="116">
        <v>1635</v>
      </c>
      <c r="P1220" s="116">
        <v>1696</v>
      </c>
      <c r="Q1220" s="116">
        <v>1648.6</v>
      </c>
      <c r="R1220">
        <v>27016</v>
      </c>
    </row>
    <row r="1221" spans="1:18" x14ac:dyDescent="0.25">
      <c r="A1221" s="170">
        <v>43805</v>
      </c>
      <c r="B1221" s="116">
        <v>1660</v>
      </c>
      <c r="C1221" s="116">
        <v>1632.35</v>
      </c>
      <c r="D1221" s="116">
        <v>1616.3</v>
      </c>
      <c r="E1221" s="116">
        <v>1645.05</v>
      </c>
      <c r="F1221" s="116">
        <v>1632.35</v>
      </c>
      <c r="G1221">
        <v>5547</v>
      </c>
      <c r="H1221" s="116"/>
      <c r="I1221" s="116"/>
      <c r="L1221" s="170">
        <v>43805</v>
      </c>
      <c r="M1221" s="116">
        <v>1635.9</v>
      </c>
      <c r="N1221" s="116">
        <v>1659.7</v>
      </c>
      <c r="O1221" s="116">
        <v>1615</v>
      </c>
      <c r="P1221" s="116">
        <v>1650</v>
      </c>
      <c r="Q1221" s="116">
        <v>1635.9</v>
      </c>
      <c r="R1221">
        <v>53743</v>
      </c>
    </row>
    <row r="1222" spans="1:18" x14ac:dyDescent="0.25">
      <c r="A1222" s="170">
        <v>43808</v>
      </c>
      <c r="B1222" s="116">
        <v>1642.9</v>
      </c>
      <c r="C1222" s="116">
        <v>1614.5</v>
      </c>
      <c r="D1222" s="116">
        <v>1602.3</v>
      </c>
      <c r="E1222" s="116">
        <v>1632.6</v>
      </c>
      <c r="F1222" s="116">
        <v>1614.5</v>
      </c>
      <c r="G1222">
        <v>2938</v>
      </c>
      <c r="H1222" s="116"/>
      <c r="I1222" s="116"/>
      <c r="L1222" s="170">
        <v>43808</v>
      </c>
      <c r="M1222" s="116">
        <v>1614.5</v>
      </c>
      <c r="N1222" s="116">
        <v>1646</v>
      </c>
      <c r="O1222" s="116">
        <v>1601.2</v>
      </c>
      <c r="P1222" s="116">
        <v>1638.6</v>
      </c>
      <c r="Q1222" s="116">
        <v>1614.5</v>
      </c>
      <c r="R1222">
        <v>36585</v>
      </c>
    </row>
    <row r="1223" spans="1:18" x14ac:dyDescent="0.25">
      <c r="A1223" s="170">
        <v>43809</v>
      </c>
      <c r="B1223" s="116">
        <v>1643.2</v>
      </c>
      <c r="C1223" s="116">
        <v>1600.75</v>
      </c>
      <c r="D1223" s="116">
        <v>1585.4</v>
      </c>
      <c r="E1223" s="116">
        <v>1614.6</v>
      </c>
      <c r="F1223" s="116">
        <v>1600.75</v>
      </c>
      <c r="G1223">
        <v>2043</v>
      </c>
      <c r="H1223" s="116"/>
      <c r="I1223" s="116"/>
      <c r="L1223" s="170">
        <v>43809</v>
      </c>
      <c r="M1223" s="116">
        <v>1609.7</v>
      </c>
      <c r="N1223" s="116">
        <v>1645</v>
      </c>
      <c r="O1223" s="116">
        <v>1585</v>
      </c>
      <c r="P1223" s="116">
        <v>1614.25</v>
      </c>
      <c r="Q1223" s="116">
        <v>1609.7</v>
      </c>
      <c r="R1223">
        <v>33825</v>
      </c>
    </row>
    <row r="1224" spans="1:18" x14ac:dyDescent="0.25">
      <c r="A1224" s="170">
        <v>43810</v>
      </c>
      <c r="B1224" s="116">
        <v>1644.55</v>
      </c>
      <c r="C1224" s="116">
        <v>1632</v>
      </c>
      <c r="D1224" s="116">
        <v>1604.45</v>
      </c>
      <c r="E1224" s="116">
        <v>1604.45</v>
      </c>
      <c r="F1224" s="116">
        <v>1632</v>
      </c>
      <c r="G1224">
        <v>68661</v>
      </c>
      <c r="H1224" s="116"/>
      <c r="I1224" s="116"/>
      <c r="L1224" s="170">
        <v>43810</v>
      </c>
      <c r="M1224" s="116">
        <v>1632.1</v>
      </c>
      <c r="N1224" s="116">
        <v>1644</v>
      </c>
      <c r="O1224" s="116">
        <v>1598.1</v>
      </c>
      <c r="P1224" s="116">
        <v>1610</v>
      </c>
      <c r="Q1224" s="116">
        <v>1632.1</v>
      </c>
      <c r="R1224">
        <v>48939</v>
      </c>
    </row>
    <row r="1225" spans="1:18" x14ac:dyDescent="0.25">
      <c r="A1225" s="170">
        <v>43811</v>
      </c>
      <c r="B1225" s="116">
        <v>1650</v>
      </c>
      <c r="C1225" s="116">
        <v>1645.75</v>
      </c>
      <c r="D1225" s="116">
        <v>1630</v>
      </c>
      <c r="E1225" s="116">
        <v>1639.75</v>
      </c>
      <c r="F1225" s="116">
        <v>1645.75</v>
      </c>
      <c r="G1225">
        <v>59391</v>
      </c>
      <c r="H1225" s="116"/>
      <c r="I1225" s="116"/>
      <c r="L1225" s="170">
        <v>43811</v>
      </c>
      <c r="M1225" s="116">
        <v>1645.35</v>
      </c>
      <c r="N1225" s="116">
        <v>1654</v>
      </c>
      <c r="O1225" s="116">
        <v>1627</v>
      </c>
      <c r="P1225" s="116">
        <v>1633</v>
      </c>
      <c r="Q1225" s="116">
        <v>1645.35</v>
      </c>
      <c r="R1225">
        <v>44366</v>
      </c>
    </row>
    <row r="1226" spans="1:18" x14ac:dyDescent="0.25">
      <c r="A1226" s="170">
        <v>43812</v>
      </c>
      <c r="B1226" s="116">
        <v>1683</v>
      </c>
      <c r="C1226" s="116">
        <v>1672.55</v>
      </c>
      <c r="D1226" s="116">
        <v>1631</v>
      </c>
      <c r="E1226" s="116">
        <v>1650</v>
      </c>
      <c r="F1226" s="116">
        <v>1672.55</v>
      </c>
      <c r="G1226">
        <v>102081</v>
      </c>
      <c r="H1226" s="116"/>
      <c r="I1226" s="116"/>
      <c r="L1226" s="170">
        <v>43812</v>
      </c>
      <c r="M1226" s="116">
        <v>1674.6</v>
      </c>
      <c r="N1226" s="116">
        <v>1682.1</v>
      </c>
      <c r="O1226" s="116">
        <v>1631.55</v>
      </c>
      <c r="P1226" s="116">
        <v>1653.1</v>
      </c>
      <c r="Q1226" s="116">
        <v>1674.6</v>
      </c>
      <c r="R1226">
        <v>72497</v>
      </c>
    </row>
    <row r="1227" spans="1:18" x14ac:dyDescent="0.25">
      <c r="A1227" s="170">
        <v>43815</v>
      </c>
      <c r="B1227" s="116">
        <v>1686.25</v>
      </c>
      <c r="C1227" s="116">
        <v>1652.65</v>
      </c>
      <c r="D1227" s="116">
        <v>1646.5</v>
      </c>
      <c r="E1227" s="116">
        <v>1683</v>
      </c>
      <c r="F1227" s="116">
        <v>1652.65</v>
      </c>
      <c r="G1227">
        <v>1938</v>
      </c>
      <c r="H1227" s="116"/>
      <c r="I1227" s="116"/>
      <c r="L1227" s="170">
        <v>43815</v>
      </c>
      <c r="M1227" s="116">
        <v>1653.5</v>
      </c>
      <c r="N1227" s="116">
        <v>1687.95</v>
      </c>
      <c r="O1227" s="116">
        <v>1645.05</v>
      </c>
      <c r="P1227" s="116">
        <v>1677</v>
      </c>
      <c r="Q1227" s="116">
        <v>1653.5</v>
      </c>
      <c r="R1227">
        <v>28474</v>
      </c>
    </row>
    <row r="1228" spans="1:18" x14ac:dyDescent="0.25">
      <c r="A1228" s="170">
        <v>43816</v>
      </c>
      <c r="B1228" s="116">
        <v>1658.8</v>
      </c>
      <c r="C1228" s="116">
        <v>1646.75</v>
      </c>
      <c r="D1228" s="116">
        <v>1635.2</v>
      </c>
      <c r="E1228" s="116">
        <v>1658.8</v>
      </c>
      <c r="F1228" s="116">
        <v>1646.75</v>
      </c>
      <c r="G1228">
        <v>1609</v>
      </c>
      <c r="H1228" s="116"/>
      <c r="I1228" s="116"/>
      <c r="L1228" s="170">
        <v>43816</v>
      </c>
      <c r="M1228" s="116">
        <v>1643.8</v>
      </c>
      <c r="N1228" s="116">
        <v>1662</v>
      </c>
      <c r="O1228" s="116">
        <v>1635.1</v>
      </c>
      <c r="P1228" s="116">
        <v>1658.6</v>
      </c>
      <c r="Q1228" s="116">
        <v>1643.8</v>
      </c>
      <c r="R1228">
        <v>55242</v>
      </c>
    </row>
    <row r="1229" spans="1:18" x14ac:dyDescent="0.25">
      <c r="A1229" s="170">
        <v>43817</v>
      </c>
      <c r="B1229" s="116">
        <v>1658.3</v>
      </c>
      <c r="C1229" s="116">
        <v>1633.3</v>
      </c>
      <c r="D1229" s="116">
        <v>1617.45</v>
      </c>
      <c r="E1229" s="116">
        <v>1649.55</v>
      </c>
      <c r="F1229" s="116">
        <v>1633.3</v>
      </c>
      <c r="G1229">
        <v>4045</v>
      </c>
      <c r="H1229" s="116"/>
      <c r="I1229" s="116"/>
      <c r="L1229" s="170">
        <v>43817</v>
      </c>
      <c r="M1229" s="116">
        <v>1637.75</v>
      </c>
      <c r="N1229" s="116">
        <v>1659.45</v>
      </c>
      <c r="O1229" s="116">
        <v>1616.1</v>
      </c>
      <c r="P1229" s="116">
        <v>1643</v>
      </c>
      <c r="Q1229" s="116">
        <v>1637.75</v>
      </c>
      <c r="R1229">
        <v>76305</v>
      </c>
    </row>
    <row r="1230" spans="1:18" x14ac:dyDescent="0.25">
      <c r="A1230" s="170">
        <v>43818</v>
      </c>
      <c r="B1230" s="116">
        <v>1685</v>
      </c>
      <c r="C1230" s="116">
        <v>1678.2</v>
      </c>
      <c r="D1230" s="116">
        <v>1620.9</v>
      </c>
      <c r="E1230" s="116">
        <v>1620.9</v>
      </c>
      <c r="F1230" s="116">
        <v>1678.2</v>
      </c>
      <c r="G1230">
        <v>72220</v>
      </c>
      <c r="H1230" s="116"/>
      <c r="I1230" s="116"/>
      <c r="L1230" s="170">
        <v>43818</v>
      </c>
      <c r="M1230" s="116">
        <v>1663.6</v>
      </c>
      <c r="N1230" s="116">
        <v>1683.5</v>
      </c>
      <c r="O1230" s="116">
        <v>1633</v>
      </c>
      <c r="P1230" s="116">
        <v>1639</v>
      </c>
      <c r="Q1230" s="116">
        <v>1663.6</v>
      </c>
      <c r="R1230">
        <v>90334</v>
      </c>
    </row>
    <row r="1231" spans="1:18" x14ac:dyDescent="0.25">
      <c r="A1231" s="170">
        <v>43819</v>
      </c>
      <c r="B1231" s="116">
        <v>1688</v>
      </c>
      <c r="C1231" s="116">
        <v>1663.9</v>
      </c>
      <c r="D1231" s="116">
        <v>1643.2</v>
      </c>
      <c r="E1231" s="116">
        <v>1676.7</v>
      </c>
      <c r="F1231" s="116">
        <v>1663.9</v>
      </c>
      <c r="G1231">
        <v>4594</v>
      </c>
      <c r="H1231" s="116"/>
      <c r="I1231" s="116"/>
      <c r="L1231" s="170">
        <v>43819</v>
      </c>
      <c r="M1231" s="116">
        <v>1659.6</v>
      </c>
      <c r="N1231" s="116">
        <v>1688</v>
      </c>
      <c r="O1231" s="116">
        <v>1641.8</v>
      </c>
      <c r="P1231" s="116">
        <v>1675</v>
      </c>
      <c r="Q1231" s="116">
        <v>1659.6</v>
      </c>
      <c r="R1231">
        <v>56122</v>
      </c>
    </row>
    <row r="1232" spans="1:18" x14ac:dyDescent="0.25">
      <c r="A1232" s="170">
        <v>43822</v>
      </c>
      <c r="B1232" s="116">
        <v>1658.3</v>
      </c>
      <c r="C1232" s="116">
        <v>1638.9</v>
      </c>
      <c r="D1232" s="116">
        <v>1605</v>
      </c>
      <c r="E1232" s="116">
        <v>1645</v>
      </c>
      <c r="F1232" s="116">
        <v>1638.9</v>
      </c>
      <c r="G1232">
        <v>26534</v>
      </c>
      <c r="H1232" s="116"/>
      <c r="I1232" s="116"/>
      <c r="L1232" s="170">
        <v>43822</v>
      </c>
      <c r="M1232" s="116">
        <v>1641.65</v>
      </c>
      <c r="N1232" s="116">
        <v>1659.8</v>
      </c>
      <c r="O1232" s="116">
        <v>1631.2</v>
      </c>
      <c r="P1232" s="116">
        <v>1647.1</v>
      </c>
      <c r="Q1232" s="116">
        <v>1641.65</v>
      </c>
      <c r="R1232">
        <v>41858</v>
      </c>
    </row>
    <row r="1233" spans="1:18" x14ac:dyDescent="0.25">
      <c r="A1233" s="170">
        <v>43823</v>
      </c>
      <c r="B1233" s="116">
        <v>1649.2</v>
      </c>
      <c r="C1233" s="116">
        <v>1634.05</v>
      </c>
      <c r="D1233" s="116">
        <v>1623.85</v>
      </c>
      <c r="E1233" s="116">
        <v>1647.7</v>
      </c>
      <c r="F1233" s="116">
        <v>1634.05</v>
      </c>
      <c r="G1233">
        <v>5222</v>
      </c>
      <c r="H1233" s="116"/>
      <c r="I1233" s="116"/>
      <c r="L1233" s="170">
        <v>43823</v>
      </c>
      <c r="M1233" s="116">
        <v>1635.35</v>
      </c>
      <c r="N1233" s="116">
        <v>1652</v>
      </c>
      <c r="O1233" s="116">
        <v>1625.3</v>
      </c>
      <c r="P1233" s="116">
        <v>1642.25</v>
      </c>
      <c r="Q1233" s="116">
        <v>1635.35</v>
      </c>
      <c r="R1233">
        <v>29118</v>
      </c>
    </row>
    <row r="1234" spans="1:18" x14ac:dyDescent="0.25">
      <c r="A1234" s="170">
        <v>43825</v>
      </c>
      <c r="B1234" s="116">
        <v>1637</v>
      </c>
      <c r="C1234" s="116">
        <v>1622.5</v>
      </c>
      <c r="D1234" s="116">
        <v>1619.55</v>
      </c>
      <c r="E1234" s="116">
        <v>1636</v>
      </c>
      <c r="F1234" s="116">
        <v>1622.5</v>
      </c>
      <c r="G1234">
        <v>1354</v>
      </c>
      <c r="H1234" s="116"/>
      <c r="I1234" s="116"/>
      <c r="L1234" s="170">
        <v>43825</v>
      </c>
      <c r="M1234" s="116">
        <v>1624.35</v>
      </c>
      <c r="N1234" s="116">
        <v>1646</v>
      </c>
      <c r="O1234" s="116">
        <v>1617.05</v>
      </c>
      <c r="P1234" s="116">
        <v>1635.3</v>
      </c>
      <c r="Q1234" s="116">
        <v>1624.35</v>
      </c>
      <c r="R1234">
        <v>22009</v>
      </c>
    </row>
    <row r="1235" spans="1:18" x14ac:dyDescent="0.25">
      <c r="A1235" s="170">
        <v>43826</v>
      </c>
      <c r="B1235" s="116">
        <v>1637.3</v>
      </c>
      <c r="C1235" s="116">
        <v>1619</v>
      </c>
      <c r="D1235" s="116">
        <v>1612.95</v>
      </c>
      <c r="E1235" s="116">
        <v>1636.6</v>
      </c>
      <c r="F1235" s="116">
        <v>1619</v>
      </c>
      <c r="G1235">
        <v>1691</v>
      </c>
      <c r="H1235" s="116"/>
      <c r="I1235" s="116"/>
      <c r="L1235" s="170">
        <v>43826</v>
      </c>
      <c r="M1235" s="116">
        <v>1618</v>
      </c>
      <c r="N1235" s="116">
        <v>1640</v>
      </c>
      <c r="O1235" s="116">
        <v>1610.4</v>
      </c>
      <c r="P1235" s="116">
        <v>1632</v>
      </c>
      <c r="Q1235" s="116">
        <v>1618</v>
      </c>
      <c r="R1235">
        <v>40531</v>
      </c>
    </row>
    <row r="1236" spans="1:18" x14ac:dyDescent="0.25">
      <c r="A1236" s="170">
        <v>43829</v>
      </c>
      <c r="B1236" s="116">
        <v>1638.7</v>
      </c>
      <c r="C1236" s="116">
        <v>1611.85</v>
      </c>
      <c r="D1236" s="116">
        <v>1604.4</v>
      </c>
      <c r="E1236" s="116">
        <v>1620.1</v>
      </c>
      <c r="F1236" s="116">
        <v>1611.85</v>
      </c>
      <c r="G1236">
        <v>3235</v>
      </c>
      <c r="H1236" s="116"/>
      <c r="I1236" s="116"/>
      <c r="L1236" s="170">
        <v>43829</v>
      </c>
      <c r="M1236" s="116">
        <v>1611.95</v>
      </c>
      <c r="N1236" s="116">
        <v>1639.8</v>
      </c>
      <c r="O1236" s="116">
        <v>1604</v>
      </c>
      <c r="P1236" s="116">
        <v>1625</v>
      </c>
      <c r="Q1236" s="116">
        <v>1611.95</v>
      </c>
      <c r="R1236">
        <v>39645</v>
      </c>
    </row>
    <row r="1237" spans="1:18" x14ac:dyDescent="0.25">
      <c r="A1237" s="170">
        <v>43830</v>
      </c>
      <c r="B1237" s="116">
        <v>1633.95</v>
      </c>
      <c r="C1237" s="116">
        <v>1608.3</v>
      </c>
      <c r="D1237" s="116">
        <v>1602.4</v>
      </c>
      <c r="E1237" s="116">
        <v>1620.9</v>
      </c>
      <c r="F1237" s="116">
        <v>1608.3</v>
      </c>
      <c r="G1237">
        <v>5492</v>
      </c>
      <c r="H1237" s="116"/>
      <c r="I1237" s="116"/>
      <c r="L1237" s="170">
        <v>43830</v>
      </c>
      <c r="M1237" s="116">
        <v>1610.3</v>
      </c>
      <c r="N1237" s="116">
        <v>1638.95</v>
      </c>
      <c r="O1237" s="116">
        <v>1602.3</v>
      </c>
      <c r="P1237" s="116">
        <v>1615</v>
      </c>
      <c r="Q1237" s="116">
        <v>1610.3</v>
      </c>
      <c r="R1237">
        <v>36975</v>
      </c>
    </row>
    <row r="1238" spans="1:18" x14ac:dyDescent="0.25">
      <c r="A1238" s="170">
        <v>43831</v>
      </c>
      <c r="B1238" s="116">
        <v>1650</v>
      </c>
      <c r="C1238" s="116">
        <v>1630.95</v>
      </c>
      <c r="D1238" s="116">
        <v>1617</v>
      </c>
      <c r="E1238" s="116">
        <v>1626.75</v>
      </c>
      <c r="F1238" s="116">
        <v>1630.95</v>
      </c>
      <c r="G1238">
        <v>1770</v>
      </c>
      <c r="H1238" s="116"/>
      <c r="I1238" s="116"/>
      <c r="L1238" s="170">
        <v>43831</v>
      </c>
      <c r="M1238" s="116">
        <v>1631.85</v>
      </c>
      <c r="N1238" s="116">
        <v>1651.5</v>
      </c>
      <c r="O1238" s="116">
        <v>1614.1</v>
      </c>
      <c r="P1238" s="116">
        <v>1626</v>
      </c>
      <c r="Q1238" s="116">
        <v>1631.85</v>
      </c>
      <c r="R1238">
        <v>174481</v>
      </c>
    </row>
    <row r="1239" spans="1:18" x14ac:dyDescent="0.25">
      <c r="A1239" s="170">
        <v>43832</v>
      </c>
      <c r="B1239" s="116">
        <v>1652.95</v>
      </c>
      <c r="C1239" s="116">
        <v>1623.1</v>
      </c>
      <c r="D1239" s="116">
        <v>1615</v>
      </c>
      <c r="E1239" s="116">
        <v>1652.95</v>
      </c>
      <c r="F1239" s="116">
        <v>1623.1</v>
      </c>
      <c r="G1239">
        <v>1512</v>
      </c>
      <c r="H1239" s="116"/>
      <c r="I1239" s="116"/>
      <c r="L1239" s="170">
        <v>43832</v>
      </c>
      <c r="M1239" s="116">
        <v>1624.45</v>
      </c>
      <c r="N1239" s="116">
        <v>1645.65</v>
      </c>
      <c r="O1239" s="116">
        <v>1615.35</v>
      </c>
      <c r="P1239" s="116">
        <v>1645</v>
      </c>
      <c r="Q1239" s="116">
        <v>1624.45</v>
      </c>
      <c r="R1239">
        <v>43839</v>
      </c>
    </row>
    <row r="1240" spans="1:18" x14ac:dyDescent="0.25">
      <c r="A1240" s="170">
        <v>43833</v>
      </c>
      <c r="B1240" s="116">
        <v>1626</v>
      </c>
      <c r="C1240" s="116">
        <v>1612.55</v>
      </c>
      <c r="D1240" s="116">
        <v>1603.1</v>
      </c>
      <c r="E1240" s="116">
        <v>1626</v>
      </c>
      <c r="F1240" s="116">
        <v>1612.55</v>
      </c>
      <c r="G1240">
        <v>1803</v>
      </c>
      <c r="H1240" s="116"/>
      <c r="I1240" s="116"/>
      <c r="L1240" s="170">
        <v>43833</v>
      </c>
      <c r="M1240" s="116">
        <v>1611.1</v>
      </c>
      <c r="N1240" s="116">
        <v>1630</v>
      </c>
      <c r="O1240" s="116">
        <v>1602</v>
      </c>
      <c r="P1240" s="116">
        <v>1624</v>
      </c>
      <c r="Q1240" s="116">
        <v>1611.1</v>
      </c>
      <c r="R1240">
        <v>50214</v>
      </c>
    </row>
    <row r="1241" spans="1:18" x14ac:dyDescent="0.25">
      <c r="A1241" s="170">
        <v>43836</v>
      </c>
      <c r="B1241" s="116">
        <v>1612</v>
      </c>
      <c r="C1241" s="116">
        <v>1593.65</v>
      </c>
      <c r="D1241" s="116">
        <v>1589.7</v>
      </c>
      <c r="E1241" s="116">
        <v>1612</v>
      </c>
      <c r="F1241" s="116">
        <v>1593.65</v>
      </c>
      <c r="G1241">
        <v>1875</v>
      </c>
      <c r="H1241" s="116"/>
      <c r="I1241" s="116"/>
      <c r="L1241" s="170">
        <v>43836</v>
      </c>
      <c r="M1241" s="116">
        <v>1592.1</v>
      </c>
      <c r="N1241" s="116">
        <v>1619.6</v>
      </c>
      <c r="O1241" s="116">
        <v>1589</v>
      </c>
      <c r="P1241" s="116">
        <v>1619.6</v>
      </c>
      <c r="Q1241" s="116">
        <v>1592.1</v>
      </c>
      <c r="R1241">
        <v>22034</v>
      </c>
    </row>
    <row r="1242" spans="1:18" x14ac:dyDescent="0.25">
      <c r="A1242" s="170">
        <v>43837</v>
      </c>
      <c r="B1242" s="116">
        <v>1654</v>
      </c>
      <c r="C1242" s="116">
        <v>1639.65</v>
      </c>
      <c r="D1242" s="116">
        <v>1609.75</v>
      </c>
      <c r="E1242" s="116">
        <v>1609.8</v>
      </c>
      <c r="F1242" s="116">
        <v>1639.65</v>
      </c>
      <c r="G1242">
        <v>38320</v>
      </c>
      <c r="H1242" s="116"/>
      <c r="I1242" s="116"/>
      <c r="L1242" s="170">
        <v>43837</v>
      </c>
      <c r="M1242" s="116">
        <v>1628.85</v>
      </c>
      <c r="N1242" s="116">
        <v>1655</v>
      </c>
      <c r="O1242" s="116">
        <v>1605</v>
      </c>
      <c r="P1242" s="116">
        <v>1609.95</v>
      </c>
      <c r="Q1242" s="116">
        <v>1628.85</v>
      </c>
      <c r="R1242">
        <v>103521</v>
      </c>
    </row>
    <row r="1243" spans="1:18" x14ac:dyDescent="0.25">
      <c r="A1243" s="170">
        <v>43838</v>
      </c>
      <c r="B1243" s="116">
        <v>1644</v>
      </c>
      <c r="C1243" s="116">
        <v>1625.6</v>
      </c>
      <c r="D1243" s="116">
        <v>1606</v>
      </c>
      <c r="E1243" s="116">
        <v>1620</v>
      </c>
      <c r="F1243" s="116">
        <v>1625.6</v>
      </c>
      <c r="G1243">
        <v>3357</v>
      </c>
      <c r="H1243" s="116"/>
      <c r="I1243" s="116"/>
      <c r="L1243" s="170">
        <v>43838</v>
      </c>
      <c r="M1243" s="116">
        <v>1635.5</v>
      </c>
      <c r="N1243" s="116">
        <v>1644</v>
      </c>
      <c r="O1243" s="116">
        <v>1602.45</v>
      </c>
      <c r="P1243" s="116">
        <v>1605.05</v>
      </c>
      <c r="Q1243" s="116">
        <v>1635.5</v>
      </c>
      <c r="R1243">
        <v>87929</v>
      </c>
    </row>
    <row r="1244" spans="1:18" x14ac:dyDescent="0.25">
      <c r="A1244" s="170">
        <v>43839</v>
      </c>
      <c r="B1244" s="116">
        <v>1653.4</v>
      </c>
      <c r="C1244" s="116">
        <v>1639.9</v>
      </c>
      <c r="D1244" s="116">
        <v>1624.7</v>
      </c>
      <c r="E1244" s="116">
        <v>1640.5</v>
      </c>
      <c r="F1244" s="116">
        <v>1639.9</v>
      </c>
      <c r="G1244">
        <v>1999</v>
      </c>
      <c r="H1244" s="116"/>
      <c r="I1244" s="116"/>
      <c r="L1244" s="170">
        <v>43839</v>
      </c>
      <c r="M1244" s="116">
        <v>1640.65</v>
      </c>
      <c r="N1244" s="116">
        <v>1653.1</v>
      </c>
      <c r="O1244" s="116">
        <v>1623.05</v>
      </c>
      <c r="P1244" s="116">
        <v>1648</v>
      </c>
      <c r="Q1244" s="116">
        <v>1640.65</v>
      </c>
      <c r="R1244">
        <v>34375</v>
      </c>
    </row>
    <row r="1245" spans="1:18" x14ac:dyDescent="0.25">
      <c r="A1245" s="170">
        <v>43840</v>
      </c>
      <c r="B1245" s="116">
        <v>1664.5</v>
      </c>
      <c r="C1245" s="116">
        <v>1625.55</v>
      </c>
      <c r="D1245" s="116">
        <v>1622.7</v>
      </c>
      <c r="E1245" s="116">
        <v>1648.3</v>
      </c>
      <c r="F1245" s="116">
        <v>1625.55</v>
      </c>
      <c r="G1245">
        <v>2873</v>
      </c>
      <c r="H1245" s="116"/>
      <c r="I1245" s="116"/>
      <c r="L1245" s="170">
        <v>43840</v>
      </c>
      <c r="M1245" s="116">
        <v>1626.9</v>
      </c>
      <c r="N1245" s="116">
        <v>1664.95</v>
      </c>
      <c r="O1245" s="116">
        <v>1622</v>
      </c>
      <c r="P1245" s="116">
        <v>1640.65</v>
      </c>
      <c r="Q1245" s="116">
        <v>1626.9</v>
      </c>
      <c r="R1245">
        <v>35463</v>
      </c>
    </row>
    <row r="1246" spans="1:18" x14ac:dyDescent="0.25">
      <c r="A1246" s="170">
        <v>43843</v>
      </c>
      <c r="B1246" s="116">
        <v>1636.85</v>
      </c>
      <c r="C1246" s="116">
        <v>1626.6</v>
      </c>
      <c r="D1246" s="116">
        <v>1616.3</v>
      </c>
      <c r="E1246" s="116">
        <v>1625.55</v>
      </c>
      <c r="F1246" s="116">
        <v>1626.6</v>
      </c>
      <c r="G1246">
        <v>1491</v>
      </c>
      <c r="H1246" s="116"/>
      <c r="I1246" s="116"/>
      <c r="L1246" s="170">
        <v>43843</v>
      </c>
      <c r="M1246" s="116">
        <v>1627.9</v>
      </c>
      <c r="N1246" s="116">
        <v>1640</v>
      </c>
      <c r="O1246" s="116">
        <v>1616.55</v>
      </c>
      <c r="P1246" s="116">
        <v>1626.5</v>
      </c>
      <c r="Q1246" s="116">
        <v>1627.9</v>
      </c>
      <c r="R1246">
        <v>25376</v>
      </c>
    </row>
    <row r="1247" spans="1:18" x14ac:dyDescent="0.25">
      <c r="A1247" s="170">
        <v>43844</v>
      </c>
      <c r="B1247" s="116">
        <v>1633</v>
      </c>
      <c r="C1247" s="116">
        <v>1628.2</v>
      </c>
      <c r="D1247" s="116">
        <v>1620</v>
      </c>
      <c r="E1247" s="116">
        <v>1630.1</v>
      </c>
      <c r="F1247" s="116">
        <v>1628.2</v>
      </c>
      <c r="G1247">
        <v>2290</v>
      </c>
      <c r="H1247" s="116"/>
      <c r="I1247" s="116"/>
      <c r="L1247" s="170">
        <v>43844</v>
      </c>
      <c r="M1247" s="116">
        <v>1627.65</v>
      </c>
      <c r="N1247" s="116">
        <v>1635.15</v>
      </c>
      <c r="O1247" s="116">
        <v>1618.5</v>
      </c>
      <c r="P1247" s="116">
        <v>1629</v>
      </c>
      <c r="Q1247" s="116">
        <v>1627.65</v>
      </c>
      <c r="R1247">
        <v>34260</v>
      </c>
    </row>
    <row r="1248" spans="1:18" x14ac:dyDescent="0.25">
      <c r="A1248" s="170">
        <v>43845</v>
      </c>
      <c r="B1248" s="116">
        <v>1647.45</v>
      </c>
      <c r="C1248" s="116">
        <v>1625.4</v>
      </c>
      <c r="D1248" s="116">
        <v>1618.75</v>
      </c>
      <c r="E1248" s="116">
        <v>1628.95</v>
      </c>
      <c r="F1248" s="116">
        <v>1625.4</v>
      </c>
      <c r="G1248">
        <v>1402</v>
      </c>
      <c r="H1248" s="116"/>
      <c r="I1248" s="116"/>
      <c r="L1248" s="170">
        <v>43845</v>
      </c>
      <c r="M1248" s="116">
        <v>1625.6</v>
      </c>
      <c r="N1248" s="116">
        <v>1651</v>
      </c>
      <c r="O1248" s="116">
        <v>1618.05</v>
      </c>
      <c r="P1248" s="116">
        <v>1629</v>
      </c>
      <c r="Q1248" s="116">
        <v>1625.6</v>
      </c>
      <c r="R1248">
        <v>33832</v>
      </c>
    </row>
    <row r="1249" spans="1:18" x14ac:dyDescent="0.25">
      <c r="A1249" s="170">
        <v>43846</v>
      </c>
      <c r="B1249" s="116">
        <v>1657.75</v>
      </c>
      <c r="C1249" s="116">
        <v>1628.45</v>
      </c>
      <c r="D1249" s="116">
        <v>1626.1</v>
      </c>
      <c r="E1249" s="116">
        <v>1638.5</v>
      </c>
      <c r="F1249" s="116">
        <v>1628.45</v>
      </c>
      <c r="G1249">
        <v>2075</v>
      </c>
      <c r="H1249" s="116"/>
      <c r="I1249" s="116"/>
      <c r="L1249" s="170">
        <v>43846</v>
      </c>
      <c r="M1249" s="116">
        <v>1629.5</v>
      </c>
      <c r="N1249" s="116">
        <v>1657</v>
      </c>
      <c r="O1249" s="116">
        <v>1625.1</v>
      </c>
      <c r="P1249" s="116">
        <v>1644.85</v>
      </c>
      <c r="Q1249" s="116">
        <v>1629.5</v>
      </c>
      <c r="R1249">
        <v>25104</v>
      </c>
    </row>
    <row r="1250" spans="1:18" x14ac:dyDescent="0.25">
      <c r="A1250" s="170">
        <v>43847</v>
      </c>
      <c r="B1250" s="116">
        <v>1645</v>
      </c>
      <c r="C1250" s="116">
        <v>1627.15</v>
      </c>
      <c r="D1250" s="116">
        <v>1621.1</v>
      </c>
      <c r="E1250" s="116">
        <v>1636.5</v>
      </c>
      <c r="F1250" s="116">
        <v>1627.15</v>
      </c>
      <c r="G1250">
        <v>107818</v>
      </c>
      <c r="H1250" s="116"/>
      <c r="I1250" s="116"/>
      <c r="L1250" s="170">
        <v>43847</v>
      </c>
      <c r="M1250" s="116">
        <v>1627.85</v>
      </c>
      <c r="N1250" s="116">
        <v>1647</v>
      </c>
      <c r="O1250" s="116">
        <v>1618.5</v>
      </c>
      <c r="P1250" s="116">
        <v>1634.8</v>
      </c>
      <c r="Q1250" s="116">
        <v>1627.85</v>
      </c>
      <c r="R1250">
        <v>665255</v>
      </c>
    </row>
    <row r="1251" spans="1:18" x14ac:dyDescent="0.25">
      <c r="A1251" s="170">
        <v>43850</v>
      </c>
      <c r="B1251" s="116">
        <v>1646.2</v>
      </c>
      <c r="C1251" s="116">
        <v>1630.5</v>
      </c>
      <c r="D1251" s="116">
        <v>1623.65</v>
      </c>
      <c r="E1251" s="116">
        <v>1632</v>
      </c>
      <c r="F1251" s="116">
        <v>1630.5</v>
      </c>
      <c r="G1251">
        <v>3189</v>
      </c>
      <c r="H1251" s="116"/>
      <c r="I1251" s="116"/>
      <c r="L1251" s="170">
        <v>43850</v>
      </c>
      <c r="M1251" s="116">
        <v>1630.2</v>
      </c>
      <c r="N1251" s="116">
        <v>1647</v>
      </c>
      <c r="O1251" s="116">
        <v>1623.25</v>
      </c>
      <c r="P1251" s="116">
        <v>1630</v>
      </c>
      <c r="Q1251" s="116">
        <v>1630.2</v>
      </c>
      <c r="R1251">
        <v>79844</v>
      </c>
    </row>
    <row r="1252" spans="1:18" x14ac:dyDescent="0.25">
      <c r="A1252" s="170">
        <v>43851</v>
      </c>
      <c r="B1252" s="116">
        <v>1629.6</v>
      </c>
      <c r="C1252" s="116">
        <v>1622.7</v>
      </c>
      <c r="D1252" s="116">
        <v>1620</v>
      </c>
      <c r="E1252" s="116">
        <v>1628.45</v>
      </c>
      <c r="F1252" s="116">
        <v>1622.7</v>
      </c>
      <c r="G1252">
        <v>1051</v>
      </c>
      <c r="H1252" s="116"/>
      <c r="I1252" s="116"/>
      <c r="L1252" s="170">
        <v>43851</v>
      </c>
      <c r="M1252" s="116">
        <v>1623.35</v>
      </c>
      <c r="N1252" s="116">
        <v>1632.5</v>
      </c>
      <c r="O1252" s="116">
        <v>1616.25</v>
      </c>
      <c r="P1252" s="116">
        <v>1631</v>
      </c>
      <c r="Q1252" s="116">
        <v>1623.35</v>
      </c>
      <c r="R1252">
        <v>15763</v>
      </c>
    </row>
    <row r="1253" spans="1:18" x14ac:dyDescent="0.25">
      <c r="A1253" s="170">
        <v>43852</v>
      </c>
      <c r="B1253" s="116">
        <v>1634.1</v>
      </c>
      <c r="C1253" s="116">
        <v>1620.15</v>
      </c>
      <c r="D1253" s="116">
        <v>1619.75</v>
      </c>
      <c r="E1253" s="116">
        <v>1630</v>
      </c>
      <c r="F1253" s="116">
        <v>1620.15</v>
      </c>
      <c r="G1253">
        <v>12259</v>
      </c>
      <c r="H1253" s="116"/>
      <c r="I1253" s="116"/>
      <c r="L1253" s="170">
        <v>43852</v>
      </c>
      <c r="M1253" s="116">
        <v>1621.5</v>
      </c>
      <c r="N1253" s="116">
        <v>1634</v>
      </c>
      <c r="O1253" s="116">
        <v>1618</v>
      </c>
      <c r="P1253" s="116">
        <v>1624.8</v>
      </c>
      <c r="Q1253" s="116">
        <v>1621.5</v>
      </c>
      <c r="R1253">
        <v>47883</v>
      </c>
    </row>
    <row r="1254" spans="1:18" x14ac:dyDescent="0.25">
      <c r="A1254" s="170">
        <v>43853</v>
      </c>
      <c r="B1254" s="116">
        <v>1637.8</v>
      </c>
      <c r="C1254" s="116">
        <v>1627.8</v>
      </c>
      <c r="D1254" s="116">
        <v>1624</v>
      </c>
      <c r="E1254" s="116">
        <v>1627</v>
      </c>
      <c r="F1254" s="116">
        <v>1627.8</v>
      </c>
      <c r="G1254">
        <v>1160</v>
      </c>
      <c r="H1254" s="116"/>
      <c r="I1254" s="116"/>
      <c r="L1254" s="170">
        <v>43853</v>
      </c>
      <c r="M1254" s="116">
        <v>1629.9</v>
      </c>
      <c r="N1254" s="116">
        <v>1639.8</v>
      </c>
      <c r="O1254" s="116">
        <v>1622</v>
      </c>
      <c r="P1254" s="116">
        <v>1628.95</v>
      </c>
      <c r="Q1254" s="116">
        <v>1629.9</v>
      </c>
      <c r="R1254">
        <v>41182</v>
      </c>
    </row>
    <row r="1255" spans="1:18" x14ac:dyDescent="0.25">
      <c r="A1255" s="170">
        <v>43854</v>
      </c>
      <c r="B1255" s="116">
        <v>1664.85</v>
      </c>
      <c r="C1255" s="116">
        <v>1638.35</v>
      </c>
      <c r="D1255" s="116">
        <v>1630.15</v>
      </c>
      <c r="E1255" s="116">
        <v>1633.95</v>
      </c>
      <c r="F1255" s="116">
        <v>1638.35</v>
      </c>
      <c r="G1255">
        <v>2595</v>
      </c>
      <c r="H1255" s="116"/>
      <c r="I1255" s="116"/>
      <c r="L1255" s="170">
        <v>43854</v>
      </c>
      <c r="M1255" s="116">
        <v>1639.3</v>
      </c>
      <c r="N1255" s="116">
        <v>1663.5</v>
      </c>
      <c r="O1255" s="116">
        <v>1627.35</v>
      </c>
      <c r="P1255" s="116">
        <v>1635</v>
      </c>
      <c r="Q1255" s="116">
        <v>1639.3</v>
      </c>
      <c r="R1255">
        <v>68470</v>
      </c>
    </row>
    <row r="1256" spans="1:18" x14ac:dyDescent="0.25">
      <c r="A1256" s="170">
        <v>43857</v>
      </c>
      <c r="B1256" s="116">
        <v>1715</v>
      </c>
      <c r="C1256" s="116">
        <v>1677.35</v>
      </c>
      <c r="D1256" s="116">
        <v>1644.25</v>
      </c>
      <c r="E1256" s="116">
        <v>1663.5</v>
      </c>
      <c r="F1256" s="116">
        <v>1677.35</v>
      </c>
      <c r="G1256">
        <v>7981</v>
      </c>
      <c r="H1256" s="116"/>
      <c r="I1256" s="116"/>
      <c r="L1256" s="170">
        <v>43857</v>
      </c>
      <c r="M1256" s="116">
        <v>1675.6</v>
      </c>
      <c r="N1256" s="116">
        <v>1718</v>
      </c>
      <c r="O1256" s="116">
        <v>1644.95</v>
      </c>
      <c r="P1256" s="116">
        <v>1645</v>
      </c>
      <c r="Q1256" s="116">
        <v>1675.6</v>
      </c>
      <c r="R1256">
        <v>116153</v>
      </c>
    </row>
    <row r="1257" spans="1:18" x14ac:dyDescent="0.25">
      <c r="A1257" s="170">
        <v>43858</v>
      </c>
      <c r="B1257" s="116">
        <v>1714</v>
      </c>
      <c r="C1257" s="116">
        <v>1687.8</v>
      </c>
      <c r="D1257" s="116">
        <v>1669.75</v>
      </c>
      <c r="E1257" s="116">
        <v>1669.75</v>
      </c>
      <c r="F1257" s="116">
        <v>1687.8</v>
      </c>
      <c r="G1257">
        <v>4888</v>
      </c>
      <c r="H1257" s="116"/>
      <c r="I1257" s="116"/>
      <c r="L1257" s="170">
        <v>43858</v>
      </c>
      <c r="M1257" s="116">
        <v>1686.5</v>
      </c>
      <c r="N1257" s="116">
        <v>1715</v>
      </c>
      <c r="O1257" s="116">
        <v>1677</v>
      </c>
      <c r="P1257" s="116">
        <v>1680</v>
      </c>
      <c r="Q1257" s="116">
        <v>1686.5</v>
      </c>
      <c r="R1257">
        <v>62775</v>
      </c>
    </row>
    <row r="1258" spans="1:18" x14ac:dyDescent="0.25">
      <c r="A1258" s="170">
        <v>43859</v>
      </c>
      <c r="B1258" s="116">
        <v>1745</v>
      </c>
      <c r="C1258" s="116">
        <v>1696.1</v>
      </c>
      <c r="D1258" s="116">
        <v>1690</v>
      </c>
      <c r="E1258" s="116">
        <v>1690</v>
      </c>
      <c r="F1258" s="116">
        <v>1696.1</v>
      </c>
      <c r="G1258">
        <v>11657</v>
      </c>
      <c r="H1258" s="116"/>
      <c r="I1258" s="116"/>
      <c r="L1258" s="170">
        <v>43859</v>
      </c>
      <c r="M1258" s="116">
        <v>1696.15</v>
      </c>
      <c r="N1258" s="116">
        <v>1748</v>
      </c>
      <c r="O1258" s="116">
        <v>1684.7</v>
      </c>
      <c r="P1258" s="116">
        <v>1699.95</v>
      </c>
      <c r="Q1258" s="116">
        <v>1696.15</v>
      </c>
      <c r="R1258">
        <v>82112</v>
      </c>
    </row>
    <row r="1259" spans="1:18" x14ac:dyDescent="0.25">
      <c r="A1259" s="170">
        <v>43860</v>
      </c>
      <c r="B1259" s="116">
        <v>1709.75</v>
      </c>
      <c r="C1259" s="116">
        <v>1673.4</v>
      </c>
      <c r="D1259" s="116">
        <v>1664.25</v>
      </c>
      <c r="E1259" s="116">
        <v>1700</v>
      </c>
      <c r="F1259" s="116">
        <v>1673.4</v>
      </c>
      <c r="G1259">
        <v>4690</v>
      </c>
      <c r="H1259" s="116"/>
      <c r="I1259" s="116"/>
      <c r="L1259" s="170">
        <v>43860</v>
      </c>
      <c r="M1259" s="116">
        <v>1674.9</v>
      </c>
      <c r="N1259" s="116">
        <v>1709.7</v>
      </c>
      <c r="O1259" s="116">
        <v>1665.3</v>
      </c>
      <c r="P1259" s="116">
        <v>1690.1</v>
      </c>
      <c r="Q1259" s="116">
        <v>1674.9</v>
      </c>
      <c r="R1259">
        <v>32519</v>
      </c>
    </row>
    <row r="1260" spans="1:18" x14ac:dyDescent="0.25">
      <c r="A1260" s="170">
        <v>43861</v>
      </c>
      <c r="B1260" s="116">
        <v>1685</v>
      </c>
      <c r="C1260" s="116">
        <v>1663.55</v>
      </c>
      <c r="D1260" s="116">
        <v>1656</v>
      </c>
      <c r="E1260" s="116">
        <v>1681</v>
      </c>
      <c r="F1260" s="116">
        <v>1663.55</v>
      </c>
      <c r="G1260">
        <v>5017</v>
      </c>
      <c r="H1260" s="116"/>
      <c r="I1260" s="116"/>
      <c r="L1260" s="170">
        <v>43861</v>
      </c>
      <c r="M1260" s="116">
        <v>1665.4</v>
      </c>
      <c r="N1260" s="116">
        <v>1694</v>
      </c>
      <c r="O1260" s="116">
        <v>1655</v>
      </c>
      <c r="P1260" s="116">
        <v>1694</v>
      </c>
      <c r="Q1260" s="116">
        <v>1665.4</v>
      </c>
      <c r="R1260">
        <v>30484</v>
      </c>
    </row>
    <row r="1261" spans="1:18" x14ac:dyDescent="0.25">
      <c r="A1261" s="170">
        <v>43862</v>
      </c>
      <c r="B1261" s="116">
        <v>1699.9</v>
      </c>
      <c r="C1261" s="116">
        <v>1637.9</v>
      </c>
      <c r="D1261" s="116">
        <v>1631.85</v>
      </c>
      <c r="E1261" s="116">
        <v>1699.9</v>
      </c>
      <c r="F1261" s="116">
        <v>1637.9</v>
      </c>
      <c r="G1261">
        <v>3354</v>
      </c>
      <c r="H1261" s="116"/>
      <c r="I1261" s="116"/>
      <c r="L1261" s="170">
        <v>43862</v>
      </c>
      <c r="M1261" s="116">
        <v>1640.3</v>
      </c>
      <c r="N1261" s="116">
        <v>1687</v>
      </c>
      <c r="O1261" s="116">
        <v>1631.15</v>
      </c>
      <c r="P1261" s="116">
        <v>1687</v>
      </c>
      <c r="Q1261" s="116">
        <v>1640.3</v>
      </c>
      <c r="R1261">
        <v>39362</v>
      </c>
    </row>
    <row r="1262" spans="1:18" x14ac:dyDescent="0.25">
      <c r="A1262" s="170">
        <v>43864</v>
      </c>
      <c r="B1262" s="116">
        <v>1707</v>
      </c>
      <c r="C1262" s="116">
        <v>1647.55</v>
      </c>
      <c r="D1262" s="116">
        <v>1610.7</v>
      </c>
      <c r="E1262" s="116">
        <v>1648.4</v>
      </c>
      <c r="F1262" s="116">
        <v>1647.55</v>
      </c>
      <c r="G1262">
        <v>6992</v>
      </c>
      <c r="H1262" s="116"/>
      <c r="I1262" s="116"/>
      <c r="L1262" s="170">
        <v>43864</v>
      </c>
      <c r="M1262" s="116">
        <v>1646.35</v>
      </c>
      <c r="N1262" s="116">
        <v>1678.3</v>
      </c>
      <c r="O1262" s="116">
        <v>1611.25</v>
      </c>
      <c r="P1262" s="116">
        <v>1645</v>
      </c>
      <c r="Q1262" s="116">
        <v>1646.35</v>
      </c>
      <c r="R1262">
        <v>50313</v>
      </c>
    </row>
    <row r="1263" spans="1:18" x14ac:dyDescent="0.25">
      <c r="A1263" s="170">
        <v>43865</v>
      </c>
      <c r="B1263" s="116">
        <v>1546.95</v>
      </c>
      <c r="C1263" s="116">
        <v>1447.35</v>
      </c>
      <c r="D1263" s="116">
        <v>1429.25</v>
      </c>
      <c r="E1263" s="116">
        <v>1525</v>
      </c>
      <c r="F1263" s="116">
        <v>1447.35</v>
      </c>
      <c r="G1263">
        <v>52557</v>
      </c>
      <c r="H1263" s="116"/>
      <c r="I1263" s="116"/>
      <c r="L1263" s="170">
        <v>43865</v>
      </c>
      <c r="M1263" s="116">
        <v>1447.55</v>
      </c>
      <c r="N1263" s="116">
        <v>1522</v>
      </c>
      <c r="O1263" s="116">
        <v>1425.05</v>
      </c>
      <c r="P1263" s="116">
        <v>1520</v>
      </c>
      <c r="Q1263" s="116">
        <v>1447.55</v>
      </c>
      <c r="R1263">
        <v>342618</v>
      </c>
    </row>
    <row r="1264" spans="1:18" x14ac:dyDescent="0.25">
      <c r="A1264" s="170">
        <v>43866</v>
      </c>
      <c r="B1264" s="116">
        <v>1535.85</v>
      </c>
      <c r="C1264" s="116">
        <v>1377.6</v>
      </c>
      <c r="D1264" s="116">
        <v>1365</v>
      </c>
      <c r="E1264" s="116">
        <v>1445.45</v>
      </c>
      <c r="F1264" s="116">
        <v>1377.6</v>
      </c>
      <c r="G1264">
        <v>58910</v>
      </c>
      <c r="H1264" s="116"/>
      <c r="I1264" s="116"/>
      <c r="L1264" s="170">
        <v>43866</v>
      </c>
      <c r="M1264" s="116">
        <v>1376.5</v>
      </c>
      <c r="N1264" s="116">
        <v>1538.8</v>
      </c>
      <c r="O1264" s="116">
        <v>1365</v>
      </c>
      <c r="P1264" s="116">
        <v>1434.1</v>
      </c>
      <c r="Q1264" s="116">
        <v>1376.5</v>
      </c>
      <c r="R1264">
        <v>614869</v>
      </c>
    </row>
    <row r="1265" spans="1:18" x14ac:dyDescent="0.25">
      <c r="A1265" s="170">
        <v>43867</v>
      </c>
      <c r="B1265" s="116">
        <v>1400.55</v>
      </c>
      <c r="C1265" s="116">
        <v>1343</v>
      </c>
      <c r="D1265" s="116">
        <v>1327.4</v>
      </c>
      <c r="E1265" s="116">
        <v>1389.15</v>
      </c>
      <c r="F1265" s="116">
        <v>1343</v>
      </c>
      <c r="G1265">
        <v>23410</v>
      </c>
      <c r="H1265" s="116"/>
      <c r="I1265" s="116"/>
      <c r="L1265" s="170">
        <v>43867</v>
      </c>
      <c r="M1265" s="116">
        <v>1342.95</v>
      </c>
      <c r="N1265" s="116">
        <v>1400</v>
      </c>
      <c r="O1265" s="116">
        <v>1327.1</v>
      </c>
      <c r="P1265" s="116">
        <v>1390</v>
      </c>
      <c r="Q1265" s="116">
        <v>1342.95</v>
      </c>
      <c r="R1265">
        <v>237376</v>
      </c>
    </row>
    <row r="1266" spans="1:18" x14ac:dyDescent="0.25">
      <c r="A1266" s="170">
        <v>43868</v>
      </c>
      <c r="B1266" s="116">
        <v>1377.35</v>
      </c>
      <c r="C1266" s="116">
        <v>1352.9</v>
      </c>
      <c r="D1266" s="116">
        <v>1344</v>
      </c>
      <c r="E1266" s="116">
        <v>1358.4</v>
      </c>
      <c r="F1266" s="116">
        <v>1352.9</v>
      </c>
      <c r="G1266">
        <v>6735</v>
      </c>
      <c r="H1266" s="116"/>
      <c r="I1266" s="116"/>
      <c r="L1266" s="170">
        <v>43868</v>
      </c>
      <c r="M1266" s="116">
        <v>1356.45</v>
      </c>
      <c r="N1266" s="116">
        <v>1378</v>
      </c>
      <c r="O1266" s="116">
        <v>1342.5</v>
      </c>
      <c r="P1266" s="116">
        <v>1351.05</v>
      </c>
      <c r="Q1266" s="116">
        <v>1356.45</v>
      </c>
      <c r="R1266">
        <v>102180</v>
      </c>
    </row>
    <row r="1267" spans="1:18" x14ac:dyDescent="0.25">
      <c r="A1267" s="170">
        <v>43871</v>
      </c>
      <c r="B1267" s="116">
        <v>1365</v>
      </c>
      <c r="C1267" s="116">
        <v>1301.25</v>
      </c>
      <c r="D1267" s="116">
        <v>1296</v>
      </c>
      <c r="E1267" s="116">
        <v>1365</v>
      </c>
      <c r="F1267" s="116">
        <v>1301.25</v>
      </c>
      <c r="G1267">
        <v>8998</v>
      </c>
      <c r="H1267" s="116"/>
      <c r="I1267" s="116"/>
      <c r="L1267" s="170">
        <v>43871</v>
      </c>
      <c r="M1267" s="116">
        <v>1301.4000000000001</v>
      </c>
      <c r="N1267" s="116">
        <v>1363.6</v>
      </c>
      <c r="O1267" s="116">
        <v>1296.1500000000001</v>
      </c>
      <c r="P1267" s="116">
        <v>1358</v>
      </c>
      <c r="Q1267" s="116">
        <v>1301.4000000000001</v>
      </c>
      <c r="R1267">
        <v>106337</v>
      </c>
    </row>
    <row r="1268" spans="1:18" x14ac:dyDescent="0.25">
      <c r="A1268" s="170">
        <v>43872</v>
      </c>
      <c r="B1268" s="116">
        <v>1353</v>
      </c>
      <c r="C1268" s="116">
        <v>1323.55</v>
      </c>
      <c r="D1268" s="116">
        <v>1280</v>
      </c>
      <c r="E1268" s="116">
        <v>1305.8</v>
      </c>
      <c r="F1268" s="116">
        <v>1323.55</v>
      </c>
      <c r="G1268">
        <v>16446</v>
      </c>
      <c r="H1268" s="116"/>
      <c r="I1268" s="116"/>
      <c r="L1268" s="170">
        <v>43872</v>
      </c>
      <c r="M1268" s="116">
        <v>1322.5</v>
      </c>
      <c r="N1268" s="116">
        <v>1354</v>
      </c>
      <c r="O1268" s="116">
        <v>1280.05</v>
      </c>
      <c r="P1268" s="116">
        <v>1302</v>
      </c>
      <c r="Q1268" s="116">
        <v>1322.5</v>
      </c>
      <c r="R1268">
        <v>154159</v>
      </c>
    </row>
    <row r="1269" spans="1:18" x14ac:dyDescent="0.25">
      <c r="A1269" s="170">
        <v>43873</v>
      </c>
      <c r="B1269" s="116">
        <v>1329.8</v>
      </c>
      <c r="C1269" s="116">
        <v>1301.9000000000001</v>
      </c>
      <c r="D1269" s="116">
        <v>1299.5999999999999</v>
      </c>
      <c r="E1269" s="116">
        <v>1322</v>
      </c>
      <c r="F1269" s="116">
        <v>1301.9000000000001</v>
      </c>
      <c r="G1269">
        <v>10467</v>
      </c>
      <c r="H1269" s="116"/>
      <c r="I1269" s="116"/>
      <c r="L1269" s="170">
        <v>43873</v>
      </c>
      <c r="M1269" s="116">
        <v>1306.05</v>
      </c>
      <c r="N1269" s="116">
        <v>1333.95</v>
      </c>
      <c r="O1269" s="116">
        <v>1297.4000000000001</v>
      </c>
      <c r="P1269" s="116">
        <v>1333.95</v>
      </c>
      <c r="Q1269" s="116">
        <v>1306.05</v>
      </c>
      <c r="R1269">
        <v>194152</v>
      </c>
    </row>
    <row r="1270" spans="1:18" x14ac:dyDescent="0.25">
      <c r="A1270" s="170">
        <v>43874</v>
      </c>
      <c r="B1270" s="116">
        <v>1349.25</v>
      </c>
      <c r="C1270" s="116">
        <v>1343.95</v>
      </c>
      <c r="D1270" s="116">
        <v>1301.9000000000001</v>
      </c>
      <c r="E1270" s="116">
        <v>1311.85</v>
      </c>
      <c r="F1270" s="116">
        <v>1343.95</v>
      </c>
      <c r="G1270">
        <v>7257</v>
      </c>
      <c r="H1270" s="116"/>
      <c r="I1270" s="116"/>
      <c r="L1270" s="170">
        <v>43874</v>
      </c>
      <c r="M1270" s="116">
        <v>1343.9</v>
      </c>
      <c r="N1270" s="116">
        <v>1349.95</v>
      </c>
      <c r="O1270" s="116">
        <v>1300</v>
      </c>
      <c r="P1270" s="116">
        <v>1313</v>
      </c>
      <c r="Q1270" s="116">
        <v>1343.9</v>
      </c>
      <c r="R1270">
        <v>167286</v>
      </c>
    </row>
    <row r="1271" spans="1:18" x14ac:dyDescent="0.25">
      <c r="A1271" s="170">
        <v>43875</v>
      </c>
      <c r="B1271" s="116">
        <v>1351</v>
      </c>
      <c r="C1271" s="116">
        <v>1332.55</v>
      </c>
      <c r="D1271" s="116">
        <v>1326</v>
      </c>
      <c r="E1271" s="116">
        <v>1350</v>
      </c>
      <c r="F1271" s="116">
        <v>1332.55</v>
      </c>
      <c r="G1271">
        <v>3879</v>
      </c>
      <c r="H1271" s="116"/>
      <c r="I1271" s="116"/>
      <c r="L1271" s="170">
        <v>43875</v>
      </c>
      <c r="M1271" s="116">
        <v>1335.95</v>
      </c>
      <c r="N1271" s="116">
        <v>1358.8</v>
      </c>
      <c r="O1271" s="116">
        <v>1327</v>
      </c>
      <c r="P1271" s="116">
        <v>1353.8</v>
      </c>
      <c r="Q1271" s="116">
        <v>1335.95</v>
      </c>
      <c r="R1271">
        <v>79241</v>
      </c>
    </row>
    <row r="1272" spans="1:18" x14ac:dyDescent="0.25">
      <c r="A1272" s="170">
        <v>43878</v>
      </c>
      <c r="B1272" s="116">
        <v>1355</v>
      </c>
      <c r="C1272" s="116">
        <v>1315.9</v>
      </c>
      <c r="D1272" s="116">
        <v>1310</v>
      </c>
      <c r="E1272" s="116">
        <v>1355</v>
      </c>
      <c r="F1272" s="116">
        <v>1315.9</v>
      </c>
      <c r="G1272">
        <v>2756</v>
      </c>
      <c r="H1272" s="116"/>
      <c r="I1272" s="116"/>
      <c r="L1272" s="170">
        <v>43878</v>
      </c>
      <c r="M1272" s="116">
        <v>1317.05</v>
      </c>
      <c r="N1272" s="116">
        <v>1334.9</v>
      </c>
      <c r="O1272" s="116">
        <v>1305</v>
      </c>
      <c r="P1272" s="116">
        <v>1334.9</v>
      </c>
      <c r="Q1272" s="116">
        <v>1317.05</v>
      </c>
      <c r="R1272">
        <v>76166</v>
      </c>
    </row>
    <row r="1273" spans="1:18" x14ac:dyDescent="0.25">
      <c r="A1273" s="170">
        <v>43879</v>
      </c>
      <c r="B1273" s="116">
        <v>1349.4</v>
      </c>
      <c r="C1273" s="116">
        <v>1344.6</v>
      </c>
      <c r="D1273" s="116">
        <v>1318</v>
      </c>
      <c r="E1273" s="116">
        <v>1321</v>
      </c>
      <c r="F1273" s="116">
        <v>1344.6</v>
      </c>
      <c r="G1273">
        <v>3552</v>
      </c>
      <c r="H1273" s="116"/>
      <c r="I1273" s="116"/>
      <c r="L1273" s="170">
        <v>43879</v>
      </c>
      <c r="M1273" s="116">
        <v>1344.9</v>
      </c>
      <c r="N1273" s="116">
        <v>1350</v>
      </c>
      <c r="O1273" s="116">
        <v>1319</v>
      </c>
      <c r="P1273" s="116">
        <v>1321.1</v>
      </c>
      <c r="Q1273" s="116">
        <v>1344.9</v>
      </c>
      <c r="R1273">
        <v>105761</v>
      </c>
    </row>
    <row r="1274" spans="1:18" x14ac:dyDescent="0.25">
      <c r="A1274" s="170">
        <v>43880</v>
      </c>
      <c r="B1274" s="116">
        <v>1362.75</v>
      </c>
      <c r="C1274" s="116">
        <v>1341.7</v>
      </c>
      <c r="D1274" s="116">
        <v>1326.1</v>
      </c>
      <c r="E1274" s="116">
        <v>1349</v>
      </c>
      <c r="F1274" s="116">
        <v>1341.7</v>
      </c>
      <c r="G1274">
        <v>9146</v>
      </c>
      <c r="H1274" s="116"/>
      <c r="I1274" s="116"/>
      <c r="L1274" s="170">
        <v>43880</v>
      </c>
      <c r="M1274" s="116">
        <v>1341.35</v>
      </c>
      <c r="N1274" s="116">
        <v>1362.05</v>
      </c>
      <c r="O1274" s="116">
        <v>1325</v>
      </c>
      <c r="P1274" s="116">
        <v>1345</v>
      </c>
      <c r="Q1274" s="116">
        <v>1341.35</v>
      </c>
      <c r="R1274">
        <v>51275</v>
      </c>
    </row>
    <row r="1275" spans="1:18" x14ac:dyDescent="0.25">
      <c r="A1275" s="170">
        <v>43881</v>
      </c>
      <c r="B1275" s="116">
        <v>1358</v>
      </c>
      <c r="C1275" s="116">
        <v>1344.85</v>
      </c>
      <c r="D1275" s="116">
        <v>1338.55</v>
      </c>
      <c r="E1275" s="116">
        <v>1342</v>
      </c>
      <c r="F1275" s="116">
        <v>1344.85</v>
      </c>
      <c r="G1275">
        <v>2300</v>
      </c>
      <c r="H1275" s="116"/>
      <c r="I1275" s="116"/>
      <c r="L1275" s="170">
        <v>43881</v>
      </c>
      <c r="M1275" s="116">
        <v>1344.65</v>
      </c>
      <c r="N1275" s="116">
        <v>1358</v>
      </c>
      <c r="O1275" s="116">
        <v>1336</v>
      </c>
      <c r="P1275" s="116">
        <v>1341.8</v>
      </c>
      <c r="Q1275" s="116">
        <v>1344.65</v>
      </c>
      <c r="R1275">
        <v>54312</v>
      </c>
    </row>
    <row r="1276" spans="1:18" x14ac:dyDescent="0.25">
      <c r="A1276" s="170">
        <v>43885</v>
      </c>
      <c r="B1276" s="116">
        <v>1358</v>
      </c>
      <c r="C1276" s="116">
        <v>1338.6</v>
      </c>
      <c r="D1276" s="116">
        <v>1325.1</v>
      </c>
      <c r="E1276" s="116">
        <v>1358</v>
      </c>
      <c r="F1276" s="116">
        <v>1338.6</v>
      </c>
      <c r="G1276">
        <v>2650</v>
      </c>
      <c r="H1276" s="116"/>
      <c r="I1276" s="116"/>
      <c r="L1276" s="170">
        <v>43885</v>
      </c>
      <c r="M1276" s="116">
        <v>1338.65</v>
      </c>
      <c r="N1276" s="116">
        <v>1353</v>
      </c>
      <c r="O1276" s="116">
        <v>1325</v>
      </c>
      <c r="P1276" s="116">
        <v>1351</v>
      </c>
      <c r="Q1276" s="116">
        <v>1338.65</v>
      </c>
      <c r="R1276">
        <v>29355</v>
      </c>
    </row>
    <row r="1277" spans="1:18" x14ac:dyDescent="0.25">
      <c r="A1277" s="170">
        <v>43886</v>
      </c>
      <c r="B1277" s="116">
        <v>1370</v>
      </c>
      <c r="C1277" s="116">
        <v>1365.35</v>
      </c>
      <c r="D1277" s="116">
        <v>1338.35</v>
      </c>
      <c r="E1277" s="116">
        <v>1341.2</v>
      </c>
      <c r="F1277" s="116">
        <v>1365.35</v>
      </c>
      <c r="G1277">
        <v>3343</v>
      </c>
      <c r="H1277" s="116"/>
      <c r="I1277" s="116"/>
      <c r="L1277" s="170">
        <v>43886</v>
      </c>
      <c r="M1277" s="116">
        <v>1366.15</v>
      </c>
      <c r="N1277" s="116">
        <v>1369.9</v>
      </c>
      <c r="O1277" s="116">
        <v>1338</v>
      </c>
      <c r="P1277" s="116">
        <v>1341</v>
      </c>
      <c r="Q1277" s="116">
        <v>1366.15</v>
      </c>
      <c r="R1277">
        <v>53687</v>
      </c>
    </row>
    <row r="1278" spans="1:18" x14ac:dyDescent="0.25">
      <c r="A1278" s="170">
        <v>43887</v>
      </c>
      <c r="B1278" s="116">
        <v>1395.5</v>
      </c>
      <c r="C1278" s="116">
        <v>1354.05</v>
      </c>
      <c r="D1278" s="116">
        <v>1340.1</v>
      </c>
      <c r="E1278" s="116">
        <v>1361</v>
      </c>
      <c r="F1278" s="116">
        <v>1354.05</v>
      </c>
      <c r="G1278">
        <v>6905</v>
      </c>
      <c r="H1278" s="116"/>
      <c r="I1278" s="116"/>
      <c r="L1278" s="170">
        <v>43887</v>
      </c>
      <c r="M1278" s="116">
        <v>1355.95</v>
      </c>
      <c r="N1278" s="116">
        <v>1395.95</v>
      </c>
      <c r="O1278" s="116">
        <v>1340</v>
      </c>
      <c r="P1278" s="116">
        <v>1364.9</v>
      </c>
      <c r="Q1278" s="116">
        <v>1355.95</v>
      </c>
      <c r="R1278">
        <v>81279</v>
      </c>
    </row>
    <row r="1279" spans="1:18" x14ac:dyDescent="0.25">
      <c r="A1279" s="170">
        <v>43888</v>
      </c>
      <c r="B1279" s="116">
        <v>1357.95</v>
      </c>
      <c r="C1279" s="116">
        <v>1341.4</v>
      </c>
      <c r="D1279" s="116">
        <v>1327.85</v>
      </c>
      <c r="E1279" s="116">
        <v>1357.8</v>
      </c>
      <c r="F1279" s="116">
        <v>1341.4</v>
      </c>
      <c r="G1279">
        <v>4440</v>
      </c>
      <c r="H1279" s="116"/>
      <c r="I1279" s="116"/>
      <c r="L1279" s="170">
        <v>43888</v>
      </c>
      <c r="M1279" s="116">
        <v>1341.15</v>
      </c>
      <c r="N1279" s="116">
        <v>1362</v>
      </c>
      <c r="O1279" s="116">
        <v>1325</v>
      </c>
      <c r="P1279" s="116">
        <v>1360</v>
      </c>
      <c r="Q1279" s="116">
        <v>1341.15</v>
      </c>
      <c r="R1279">
        <v>31913</v>
      </c>
    </row>
    <row r="1280" spans="1:18" x14ac:dyDescent="0.25">
      <c r="A1280" s="170">
        <v>43889</v>
      </c>
      <c r="B1280" s="116">
        <v>1341.35</v>
      </c>
      <c r="C1280" s="116">
        <v>1305</v>
      </c>
      <c r="D1280" s="116">
        <v>1281</v>
      </c>
      <c r="E1280" s="116">
        <v>1340</v>
      </c>
      <c r="F1280" s="116">
        <v>1305</v>
      </c>
      <c r="G1280">
        <v>8581</v>
      </c>
      <c r="H1280" s="116"/>
      <c r="I1280" s="116"/>
      <c r="L1280" s="170">
        <v>43889</v>
      </c>
      <c r="M1280" s="116">
        <v>1306</v>
      </c>
      <c r="N1280" s="116">
        <v>1347.85</v>
      </c>
      <c r="O1280" s="116">
        <v>1300</v>
      </c>
      <c r="P1280" s="116">
        <v>1346.5</v>
      </c>
      <c r="Q1280" s="116">
        <v>1306</v>
      </c>
      <c r="R1280">
        <v>50378</v>
      </c>
    </row>
    <row r="1281" spans="1:18" x14ac:dyDescent="0.25">
      <c r="A1281" s="170">
        <v>43892</v>
      </c>
      <c r="B1281" s="116">
        <v>1349</v>
      </c>
      <c r="C1281" s="116">
        <v>1300.55</v>
      </c>
      <c r="D1281" s="116">
        <v>1298.25</v>
      </c>
      <c r="E1281" s="116">
        <v>1349</v>
      </c>
      <c r="F1281" s="116">
        <v>1300.55</v>
      </c>
      <c r="G1281">
        <v>3125</v>
      </c>
      <c r="H1281" s="116"/>
      <c r="I1281" s="116"/>
      <c r="L1281" s="170">
        <v>43892</v>
      </c>
      <c r="M1281" s="116">
        <v>1303.25</v>
      </c>
      <c r="N1281" s="116">
        <v>1337.65</v>
      </c>
      <c r="O1281" s="116">
        <v>1300</v>
      </c>
      <c r="P1281" s="116">
        <v>1310</v>
      </c>
      <c r="Q1281" s="116">
        <v>1303.25</v>
      </c>
      <c r="R1281">
        <v>27735</v>
      </c>
    </row>
    <row r="1282" spans="1:18" x14ac:dyDescent="0.25">
      <c r="A1282" s="170">
        <v>43893</v>
      </c>
      <c r="B1282" s="116">
        <v>1331.7</v>
      </c>
      <c r="C1282" s="116">
        <v>1310.75</v>
      </c>
      <c r="D1282" s="116">
        <v>1291</v>
      </c>
      <c r="E1282" s="116">
        <v>1320</v>
      </c>
      <c r="F1282" s="116">
        <v>1310.75</v>
      </c>
      <c r="G1282">
        <v>4666</v>
      </c>
      <c r="H1282" s="116"/>
      <c r="I1282" s="116"/>
      <c r="L1282" s="170">
        <v>43893</v>
      </c>
      <c r="M1282" s="116">
        <v>1312.75</v>
      </c>
      <c r="N1282" s="116">
        <v>1332.7</v>
      </c>
      <c r="O1282" s="116">
        <v>1290</v>
      </c>
      <c r="P1282" s="116">
        <v>1305.0999999999999</v>
      </c>
      <c r="Q1282" s="116">
        <v>1312.75</v>
      </c>
      <c r="R1282">
        <v>39855</v>
      </c>
    </row>
    <row r="1283" spans="1:18" x14ac:dyDescent="0.25">
      <c r="A1283" s="170">
        <v>43894</v>
      </c>
      <c r="B1283" s="116">
        <v>1324.5</v>
      </c>
      <c r="C1283" s="116">
        <v>1307.55</v>
      </c>
      <c r="D1283" s="116">
        <v>1285.2</v>
      </c>
      <c r="E1283" s="116">
        <v>1315.05</v>
      </c>
      <c r="F1283" s="116">
        <v>1307.55</v>
      </c>
      <c r="G1283">
        <v>9614</v>
      </c>
      <c r="H1283" s="116"/>
      <c r="I1283" s="116"/>
      <c r="L1283" s="170">
        <v>43894</v>
      </c>
      <c r="M1283" s="116">
        <v>1308.55</v>
      </c>
      <c r="N1283" s="116">
        <v>1325</v>
      </c>
      <c r="O1283" s="116">
        <v>1285.3</v>
      </c>
      <c r="P1283" s="116">
        <v>1307</v>
      </c>
      <c r="Q1283" s="116">
        <v>1308.55</v>
      </c>
      <c r="R1283">
        <v>48286</v>
      </c>
    </row>
    <row r="1284" spans="1:18" x14ac:dyDescent="0.25">
      <c r="A1284" s="170">
        <v>43895</v>
      </c>
      <c r="B1284" s="116">
        <v>1327.95</v>
      </c>
      <c r="C1284" s="116">
        <v>1315.15</v>
      </c>
      <c r="D1284" s="116">
        <v>1307.3</v>
      </c>
      <c r="E1284" s="116">
        <v>1320.95</v>
      </c>
      <c r="F1284" s="116">
        <v>1315.15</v>
      </c>
      <c r="G1284">
        <v>1575</v>
      </c>
      <c r="H1284" s="116"/>
      <c r="I1284" s="116"/>
      <c r="L1284" s="170">
        <v>43895</v>
      </c>
      <c r="M1284" s="116">
        <v>1314.25</v>
      </c>
      <c r="N1284" s="116">
        <v>1329</v>
      </c>
      <c r="O1284" s="116">
        <v>1306.5</v>
      </c>
      <c r="P1284" s="116">
        <v>1324</v>
      </c>
      <c r="Q1284" s="116">
        <v>1314.25</v>
      </c>
      <c r="R1284">
        <v>21513</v>
      </c>
    </row>
    <row r="1285" spans="1:18" x14ac:dyDescent="0.25">
      <c r="A1285" s="170">
        <v>43896</v>
      </c>
      <c r="B1285" s="116">
        <v>1338.95</v>
      </c>
      <c r="C1285" s="116">
        <v>1330.4</v>
      </c>
      <c r="D1285" s="116">
        <v>1294.25</v>
      </c>
      <c r="E1285" s="116">
        <v>1300.55</v>
      </c>
      <c r="F1285" s="116">
        <v>1330.4</v>
      </c>
      <c r="G1285">
        <v>4643</v>
      </c>
      <c r="H1285" s="116"/>
      <c r="I1285" s="116"/>
      <c r="L1285" s="170">
        <v>43896</v>
      </c>
      <c r="M1285" s="116">
        <v>1330.95</v>
      </c>
      <c r="N1285" s="116">
        <v>1340</v>
      </c>
      <c r="O1285" s="116">
        <v>1293.3</v>
      </c>
      <c r="P1285" s="116">
        <v>1310.2</v>
      </c>
      <c r="Q1285" s="116">
        <v>1330.95</v>
      </c>
      <c r="R1285">
        <v>34384</v>
      </c>
    </row>
    <row r="1286" spans="1:18" x14ac:dyDescent="0.25">
      <c r="A1286" s="170">
        <v>43899</v>
      </c>
      <c r="B1286" s="116">
        <v>1329</v>
      </c>
      <c r="C1286" s="116">
        <v>1310.45</v>
      </c>
      <c r="D1286" s="116">
        <v>1290</v>
      </c>
      <c r="E1286" s="116">
        <v>1329</v>
      </c>
      <c r="F1286" s="116">
        <v>1310.45</v>
      </c>
      <c r="G1286">
        <v>3834</v>
      </c>
      <c r="H1286" s="116"/>
      <c r="I1286" s="116"/>
      <c r="L1286" s="170">
        <v>43899</v>
      </c>
      <c r="M1286" s="116">
        <v>1311</v>
      </c>
      <c r="N1286" s="116">
        <v>1319</v>
      </c>
      <c r="O1286" s="116">
        <v>1291</v>
      </c>
      <c r="P1286" s="116">
        <v>1319</v>
      </c>
      <c r="Q1286" s="116">
        <v>1311</v>
      </c>
      <c r="R1286">
        <v>41575</v>
      </c>
    </row>
    <row r="1287" spans="1:18" x14ac:dyDescent="0.25">
      <c r="A1287" s="170">
        <v>43901</v>
      </c>
      <c r="B1287" s="116">
        <v>1329.85</v>
      </c>
      <c r="C1287" s="116">
        <v>1296.1500000000001</v>
      </c>
      <c r="D1287" s="116">
        <v>1281.2</v>
      </c>
      <c r="E1287" s="116">
        <v>1320.35</v>
      </c>
      <c r="F1287" s="116">
        <v>1296.1500000000001</v>
      </c>
      <c r="G1287">
        <v>4101</v>
      </c>
      <c r="H1287" s="116"/>
      <c r="I1287" s="116"/>
      <c r="L1287" s="170">
        <v>43901</v>
      </c>
      <c r="M1287" s="116">
        <v>1297.25</v>
      </c>
      <c r="N1287" s="116">
        <v>1327.65</v>
      </c>
      <c r="O1287" s="116">
        <v>1292.05</v>
      </c>
      <c r="P1287" s="116">
        <v>1317.95</v>
      </c>
      <c r="Q1287" s="116">
        <v>1297.25</v>
      </c>
      <c r="R1287">
        <v>26647</v>
      </c>
    </row>
    <row r="1288" spans="1:18" x14ac:dyDescent="0.25">
      <c r="A1288" s="170">
        <v>43902</v>
      </c>
      <c r="B1288" s="116">
        <v>1281</v>
      </c>
      <c r="C1288" s="116">
        <v>1201.9000000000001</v>
      </c>
      <c r="D1288" s="116">
        <v>1150</v>
      </c>
      <c r="E1288" s="116">
        <v>1281</v>
      </c>
      <c r="F1288" s="116">
        <v>1201.9000000000001</v>
      </c>
      <c r="G1288">
        <v>11132</v>
      </c>
      <c r="H1288" s="116"/>
      <c r="I1288" s="116"/>
      <c r="L1288" s="170">
        <v>43902</v>
      </c>
      <c r="M1288" s="116">
        <v>1202.25</v>
      </c>
      <c r="N1288" s="116">
        <v>1285</v>
      </c>
      <c r="O1288" s="116">
        <v>1160</v>
      </c>
      <c r="P1288" s="116">
        <v>1281</v>
      </c>
      <c r="Q1288" s="116">
        <v>1202.25</v>
      </c>
      <c r="R1288">
        <v>90470</v>
      </c>
    </row>
    <row r="1289" spans="1:18" x14ac:dyDescent="0.25">
      <c r="A1289" s="170">
        <v>43903</v>
      </c>
      <c r="B1289" s="116">
        <v>1290.3</v>
      </c>
      <c r="C1289" s="116">
        <v>1258.95</v>
      </c>
      <c r="D1289" s="116">
        <v>1046.4000000000001</v>
      </c>
      <c r="E1289" s="116">
        <v>1190</v>
      </c>
      <c r="F1289" s="116">
        <v>1258.95</v>
      </c>
      <c r="G1289">
        <v>7237</v>
      </c>
      <c r="H1289" s="116"/>
      <c r="I1289" s="116"/>
      <c r="L1289" s="170">
        <v>43903</v>
      </c>
      <c r="M1289" s="116">
        <v>1264.8499999999999</v>
      </c>
      <c r="N1289" s="116">
        <v>1298</v>
      </c>
      <c r="O1289" s="116">
        <v>962.65</v>
      </c>
      <c r="P1289" s="116">
        <v>1151</v>
      </c>
      <c r="Q1289" s="116">
        <v>1264.8499999999999</v>
      </c>
      <c r="R1289">
        <v>61361</v>
      </c>
    </row>
    <row r="1290" spans="1:18" x14ac:dyDescent="0.25">
      <c r="A1290" s="170">
        <v>43906</v>
      </c>
      <c r="B1290" s="116">
        <v>1250.05</v>
      </c>
      <c r="C1290" s="116">
        <v>1233.0999999999999</v>
      </c>
      <c r="D1290" s="116">
        <v>1206</v>
      </c>
      <c r="E1290" s="116">
        <v>1250.05</v>
      </c>
      <c r="F1290" s="116">
        <v>1233.0999999999999</v>
      </c>
      <c r="G1290">
        <v>4500</v>
      </c>
      <c r="H1290" s="116"/>
      <c r="I1290" s="116"/>
      <c r="L1290" s="170">
        <v>43906</v>
      </c>
      <c r="M1290" s="116">
        <v>1230.8499999999999</v>
      </c>
      <c r="N1290" s="116">
        <v>1255</v>
      </c>
      <c r="O1290" s="116">
        <v>1203</v>
      </c>
      <c r="P1290" s="116">
        <v>1255</v>
      </c>
      <c r="Q1290" s="116">
        <v>1230.8499999999999</v>
      </c>
      <c r="R1290">
        <v>33319</v>
      </c>
    </row>
    <row r="1291" spans="1:18" x14ac:dyDescent="0.25">
      <c r="A1291" s="170">
        <v>43907</v>
      </c>
      <c r="B1291" s="116">
        <v>1258.5999999999999</v>
      </c>
      <c r="C1291" s="116">
        <v>1246.05</v>
      </c>
      <c r="D1291" s="116">
        <v>1207</v>
      </c>
      <c r="E1291" s="116">
        <v>1230.55</v>
      </c>
      <c r="F1291" s="116">
        <v>1246.05</v>
      </c>
      <c r="G1291">
        <v>1852</v>
      </c>
      <c r="H1291" s="116"/>
      <c r="I1291" s="116"/>
      <c r="L1291" s="170">
        <v>43907</v>
      </c>
      <c r="M1291" s="116">
        <v>1246.6500000000001</v>
      </c>
      <c r="N1291" s="116">
        <v>1258.25</v>
      </c>
      <c r="O1291" s="116">
        <v>1206.95</v>
      </c>
      <c r="P1291" s="116">
        <v>1240.8499999999999</v>
      </c>
      <c r="Q1291" s="116">
        <v>1246.6500000000001</v>
      </c>
      <c r="R1291">
        <v>33608</v>
      </c>
    </row>
    <row r="1292" spans="1:18" x14ac:dyDescent="0.25">
      <c r="A1292" s="170">
        <v>43908</v>
      </c>
      <c r="B1292" s="116">
        <v>1252.4000000000001</v>
      </c>
      <c r="C1292" s="116">
        <v>1226.55</v>
      </c>
      <c r="D1292" s="116">
        <v>1209</v>
      </c>
      <c r="E1292" s="116">
        <v>1252.4000000000001</v>
      </c>
      <c r="F1292" s="116">
        <v>1226.55</v>
      </c>
      <c r="G1292">
        <v>3865</v>
      </c>
      <c r="H1292" s="116"/>
      <c r="I1292" s="116"/>
      <c r="L1292" s="170">
        <v>43908</v>
      </c>
      <c r="M1292" s="116">
        <v>1228.5</v>
      </c>
      <c r="N1292" s="116">
        <v>1260</v>
      </c>
      <c r="O1292" s="116">
        <v>1207.9000000000001</v>
      </c>
      <c r="P1292" s="116">
        <v>1258.7</v>
      </c>
      <c r="Q1292" s="116">
        <v>1228.5</v>
      </c>
      <c r="R1292">
        <v>31577</v>
      </c>
    </row>
    <row r="1293" spans="1:18" x14ac:dyDescent="0.25">
      <c r="A1293" s="170">
        <v>43909</v>
      </c>
      <c r="B1293" s="116">
        <v>1211.45</v>
      </c>
      <c r="C1293" s="116">
        <v>1187.75</v>
      </c>
      <c r="D1293" s="116">
        <v>1125</v>
      </c>
      <c r="E1293" s="116">
        <v>1205</v>
      </c>
      <c r="F1293" s="116">
        <v>1187.75</v>
      </c>
      <c r="G1293">
        <v>16920</v>
      </c>
      <c r="H1293" s="116"/>
      <c r="I1293" s="116"/>
      <c r="L1293" s="170">
        <v>43909</v>
      </c>
      <c r="M1293" s="116">
        <v>1191.5</v>
      </c>
      <c r="N1293" s="116">
        <v>1225</v>
      </c>
      <c r="O1293" s="116">
        <v>1150</v>
      </c>
      <c r="P1293" s="116">
        <v>1225</v>
      </c>
      <c r="Q1293" s="116">
        <v>1191.5</v>
      </c>
      <c r="R1293">
        <v>57519</v>
      </c>
    </row>
    <row r="1294" spans="1:18" x14ac:dyDescent="0.25">
      <c r="A1294" s="170">
        <v>43910</v>
      </c>
      <c r="B1294" s="116">
        <v>1256.55</v>
      </c>
      <c r="C1294" s="116">
        <v>1235.3</v>
      </c>
      <c r="D1294" s="116">
        <v>1182.0999999999999</v>
      </c>
      <c r="E1294" s="116">
        <v>1202.45</v>
      </c>
      <c r="F1294" s="116">
        <v>1235.3</v>
      </c>
      <c r="G1294">
        <v>4592</v>
      </c>
      <c r="H1294" s="116"/>
      <c r="I1294" s="116"/>
      <c r="L1294" s="170">
        <v>43910</v>
      </c>
      <c r="M1294" s="116">
        <v>1224.95</v>
      </c>
      <c r="N1294" s="116">
        <v>1275</v>
      </c>
      <c r="O1294" s="116">
        <v>1176.05</v>
      </c>
      <c r="P1294" s="116">
        <v>1202</v>
      </c>
      <c r="Q1294" s="116">
        <v>1224.95</v>
      </c>
      <c r="R1294">
        <v>31931</v>
      </c>
    </row>
    <row r="1295" spans="1:18" x14ac:dyDescent="0.25">
      <c r="A1295" s="170">
        <v>43913</v>
      </c>
      <c r="B1295" s="116">
        <v>1200</v>
      </c>
      <c r="C1295" s="116">
        <v>1119.8499999999999</v>
      </c>
      <c r="D1295" s="116">
        <v>1055</v>
      </c>
      <c r="E1295" s="116">
        <v>1200</v>
      </c>
      <c r="F1295" s="116">
        <v>1119.8499999999999</v>
      </c>
      <c r="G1295">
        <v>3361</v>
      </c>
      <c r="H1295" s="116"/>
      <c r="I1295" s="116"/>
      <c r="L1295" s="170">
        <v>43913</v>
      </c>
      <c r="M1295" s="116">
        <v>1101.8499999999999</v>
      </c>
      <c r="N1295" s="116">
        <v>1189.95</v>
      </c>
      <c r="O1295" s="116">
        <v>1053.8</v>
      </c>
      <c r="P1295" s="116">
        <v>1100</v>
      </c>
      <c r="Q1295" s="116">
        <v>1101.8499999999999</v>
      </c>
      <c r="R1295">
        <v>42795</v>
      </c>
    </row>
    <row r="1296" spans="1:18" x14ac:dyDescent="0.25">
      <c r="A1296" s="170">
        <v>43914</v>
      </c>
      <c r="B1296" s="116">
        <v>1152.75</v>
      </c>
      <c r="C1296" s="116">
        <v>1142.45</v>
      </c>
      <c r="D1296" s="116">
        <v>1093.3499999999999</v>
      </c>
      <c r="E1296" s="116">
        <v>1140</v>
      </c>
      <c r="F1296" s="116">
        <v>1142.45</v>
      </c>
      <c r="G1296">
        <v>3056</v>
      </c>
      <c r="H1296" s="116"/>
      <c r="I1296" s="116"/>
      <c r="L1296" s="170">
        <v>43914</v>
      </c>
      <c r="M1296" s="116">
        <v>1139.8</v>
      </c>
      <c r="N1296" s="116">
        <v>1160</v>
      </c>
      <c r="O1296" s="116">
        <v>1100</v>
      </c>
      <c r="P1296" s="116">
        <v>1120</v>
      </c>
      <c r="Q1296" s="116">
        <v>1139.8</v>
      </c>
      <c r="R1296">
        <v>20245</v>
      </c>
    </row>
    <row r="1297" spans="1:18" x14ac:dyDescent="0.25">
      <c r="A1297" s="170">
        <v>43915</v>
      </c>
      <c r="B1297" s="116">
        <v>1201.6500000000001</v>
      </c>
      <c r="C1297" s="116">
        <v>1190.55</v>
      </c>
      <c r="D1297" s="116">
        <v>1078.3</v>
      </c>
      <c r="E1297" s="116">
        <v>1141.05</v>
      </c>
      <c r="F1297" s="116">
        <v>1190.55</v>
      </c>
      <c r="G1297">
        <v>1894</v>
      </c>
      <c r="H1297" s="116"/>
      <c r="I1297" s="116"/>
      <c r="L1297" s="170">
        <v>43915</v>
      </c>
      <c r="M1297" s="116">
        <v>1196.7</v>
      </c>
      <c r="N1297" s="116">
        <v>1205</v>
      </c>
      <c r="O1297" s="116">
        <v>973</v>
      </c>
      <c r="P1297" s="116">
        <v>1149</v>
      </c>
      <c r="Q1297" s="116">
        <v>1196.7</v>
      </c>
      <c r="R1297">
        <v>30972</v>
      </c>
    </row>
    <row r="1298" spans="1:18" x14ac:dyDescent="0.25">
      <c r="A1298" s="170">
        <v>43916</v>
      </c>
      <c r="B1298" s="116">
        <v>1235</v>
      </c>
      <c r="C1298" s="116">
        <v>1196.25</v>
      </c>
      <c r="D1298" s="116">
        <v>1175</v>
      </c>
      <c r="E1298" s="116">
        <v>1197</v>
      </c>
      <c r="F1298" s="116">
        <v>1196.25</v>
      </c>
      <c r="G1298">
        <v>2058</v>
      </c>
      <c r="H1298" s="116"/>
      <c r="I1298" s="116"/>
      <c r="L1298" s="170">
        <v>43916</v>
      </c>
      <c r="M1298" s="116">
        <v>1199.0999999999999</v>
      </c>
      <c r="N1298" s="116">
        <v>1240</v>
      </c>
      <c r="O1298" s="116">
        <v>1175.05</v>
      </c>
      <c r="P1298" s="116">
        <v>1198</v>
      </c>
      <c r="Q1298" s="116">
        <v>1199.0999999999999</v>
      </c>
      <c r="R1298">
        <v>30320</v>
      </c>
    </row>
    <row r="1299" spans="1:18" x14ac:dyDescent="0.25">
      <c r="A1299" s="170">
        <v>43917</v>
      </c>
      <c r="B1299" s="116">
        <v>1250</v>
      </c>
      <c r="C1299" s="116">
        <v>1150.95</v>
      </c>
      <c r="D1299" s="116">
        <v>1121.3499999999999</v>
      </c>
      <c r="E1299" s="116">
        <v>1239.5999999999999</v>
      </c>
      <c r="F1299" s="116">
        <v>1150.95</v>
      </c>
      <c r="G1299">
        <v>6832</v>
      </c>
      <c r="H1299" s="116"/>
      <c r="I1299" s="116"/>
      <c r="L1299" s="170">
        <v>43917</v>
      </c>
      <c r="M1299" s="116">
        <v>1179.55</v>
      </c>
      <c r="N1299" s="116">
        <v>1247.3</v>
      </c>
      <c r="O1299" s="116">
        <v>1122.05</v>
      </c>
      <c r="P1299" s="116">
        <v>1239</v>
      </c>
      <c r="Q1299" s="116">
        <v>1179.55</v>
      </c>
      <c r="R1299">
        <v>37410</v>
      </c>
    </row>
    <row r="1300" spans="1:18" x14ac:dyDescent="0.25">
      <c r="A1300" s="170">
        <v>43920</v>
      </c>
      <c r="B1300" s="116">
        <v>1255</v>
      </c>
      <c r="C1300" s="116">
        <v>1229.05</v>
      </c>
      <c r="D1300" s="116">
        <v>1164</v>
      </c>
      <c r="E1300" s="116">
        <v>1181.0999999999999</v>
      </c>
      <c r="F1300" s="116">
        <v>1229.05</v>
      </c>
      <c r="G1300">
        <v>1609</v>
      </c>
      <c r="H1300" s="116"/>
      <c r="I1300" s="116"/>
      <c r="L1300" s="170">
        <v>43920</v>
      </c>
      <c r="M1300" s="116">
        <v>1227.3</v>
      </c>
      <c r="N1300" s="116">
        <v>1232</v>
      </c>
      <c r="O1300" s="116">
        <v>1165</v>
      </c>
      <c r="P1300" s="116">
        <v>1179.55</v>
      </c>
      <c r="Q1300" s="116">
        <v>1227.3</v>
      </c>
      <c r="R1300">
        <v>26313</v>
      </c>
    </row>
    <row r="1301" spans="1:18" x14ac:dyDescent="0.25">
      <c r="A1301" s="170">
        <v>43921</v>
      </c>
      <c r="B1301" s="116">
        <v>1286</v>
      </c>
      <c r="C1301" s="116">
        <v>1245.25</v>
      </c>
      <c r="D1301" s="116">
        <v>1230</v>
      </c>
      <c r="E1301" s="116">
        <v>1240</v>
      </c>
      <c r="F1301" s="116">
        <v>1245.25</v>
      </c>
      <c r="G1301">
        <v>2815</v>
      </c>
      <c r="H1301" s="116"/>
      <c r="I1301" s="116"/>
      <c r="L1301" s="170">
        <v>43921</v>
      </c>
      <c r="M1301" s="116">
        <v>1257.4000000000001</v>
      </c>
      <c r="N1301" s="116">
        <v>1288.9000000000001</v>
      </c>
      <c r="O1301" s="116">
        <v>1221</v>
      </c>
      <c r="P1301" s="116">
        <v>1245</v>
      </c>
      <c r="Q1301" s="116">
        <v>1257.4000000000001</v>
      </c>
      <c r="R1301">
        <v>37373</v>
      </c>
    </row>
    <row r="1302" spans="1:18" x14ac:dyDescent="0.25">
      <c r="A1302" s="170">
        <v>43922</v>
      </c>
      <c r="B1302" s="116">
        <v>1268.05</v>
      </c>
      <c r="C1302" s="116">
        <v>1209.8499999999999</v>
      </c>
      <c r="D1302" s="116">
        <v>1154.7</v>
      </c>
      <c r="E1302" s="116">
        <v>1252.95</v>
      </c>
      <c r="F1302" s="116">
        <v>1209.8499999999999</v>
      </c>
      <c r="G1302">
        <v>4931</v>
      </c>
      <c r="H1302" s="116"/>
      <c r="I1302" s="116"/>
      <c r="L1302" s="170">
        <v>43922</v>
      </c>
      <c r="M1302" s="116">
        <v>1210.25</v>
      </c>
      <c r="N1302" s="116">
        <v>1269.3499999999999</v>
      </c>
      <c r="O1302" s="116">
        <v>1150</v>
      </c>
      <c r="P1302" s="116">
        <v>1255</v>
      </c>
      <c r="Q1302" s="116">
        <v>1210.25</v>
      </c>
      <c r="R1302">
        <v>54266</v>
      </c>
    </row>
    <row r="1303" spans="1:18" x14ac:dyDescent="0.25">
      <c r="A1303" s="170">
        <v>43924</v>
      </c>
      <c r="B1303" s="116">
        <v>1244</v>
      </c>
      <c r="C1303" s="116">
        <v>1223</v>
      </c>
      <c r="D1303" s="116">
        <v>1155.2</v>
      </c>
      <c r="E1303" s="116">
        <v>1216.25</v>
      </c>
      <c r="F1303" s="116">
        <v>1223</v>
      </c>
      <c r="G1303">
        <v>4760</v>
      </c>
      <c r="H1303" s="116"/>
      <c r="I1303" s="116"/>
      <c r="L1303" s="170">
        <v>43924</v>
      </c>
      <c r="M1303" s="116">
        <v>1224.2</v>
      </c>
      <c r="N1303" s="116">
        <v>1248</v>
      </c>
      <c r="O1303" s="116">
        <v>1155</v>
      </c>
      <c r="P1303" s="116">
        <v>1230</v>
      </c>
      <c r="Q1303" s="116">
        <v>1224.2</v>
      </c>
      <c r="R1303">
        <v>64230</v>
      </c>
    </row>
    <row r="1304" spans="1:18" x14ac:dyDescent="0.25">
      <c r="A1304" s="170">
        <v>43928</v>
      </c>
      <c r="B1304" s="116">
        <v>1275</v>
      </c>
      <c r="C1304" s="116">
        <v>1245.8499999999999</v>
      </c>
      <c r="D1304" s="116">
        <v>1177.25</v>
      </c>
      <c r="E1304" s="116">
        <v>1260.8</v>
      </c>
      <c r="F1304" s="116">
        <v>1245.8499999999999</v>
      </c>
      <c r="G1304">
        <v>13297</v>
      </c>
      <c r="H1304" s="116"/>
      <c r="I1304" s="116"/>
      <c r="L1304" s="170">
        <v>43928</v>
      </c>
      <c r="M1304" s="116">
        <v>1248.5</v>
      </c>
      <c r="N1304" s="116">
        <v>1265</v>
      </c>
      <c r="O1304" s="116">
        <v>1175</v>
      </c>
      <c r="P1304" s="116">
        <v>1260</v>
      </c>
      <c r="Q1304" s="116">
        <v>1248.5</v>
      </c>
      <c r="R1304">
        <v>162388</v>
      </c>
    </row>
    <row r="1305" spans="1:18" x14ac:dyDescent="0.25">
      <c r="A1305" s="170">
        <v>43929</v>
      </c>
      <c r="B1305" s="116">
        <v>1289.55</v>
      </c>
      <c r="C1305" s="116">
        <v>1250.5999999999999</v>
      </c>
      <c r="D1305" s="116">
        <v>1215</v>
      </c>
      <c r="E1305" s="116">
        <v>1274</v>
      </c>
      <c r="F1305" s="116">
        <v>1250.5999999999999</v>
      </c>
      <c r="G1305">
        <v>16418</v>
      </c>
      <c r="H1305" s="116"/>
      <c r="I1305" s="116"/>
      <c r="L1305" s="170">
        <v>43929</v>
      </c>
      <c r="M1305" s="116">
        <v>1246.25</v>
      </c>
      <c r="N1305" s="116">
        <v>1291</v>
      </c>
      <c r="O1305" s="116">
        <v>1214</v>
      </c>
      <c r="P1305" s="116">
        <v>1265</v>
      </c>
      <c r="Q1305" s="116">
        <v>1246.25</v>
      </c>
      <c r="R1305">
        <v>191915</v>
      </c>
    </row>
    <row r="1306" spans="1:18" x14ac:dyDescent="0.25">
      <c r="A1306" s="170">
        <v>43930</v>
      </c>
      <c r="B1306" s="116">
        <v>1500</v>
      </c>
      <c r="C1306" s="116">
        <v>1393.25</v>
      </c>
      <c r="D1306" s="116">
        <v>1253</v>
      </c>
      <c r="E1306" s="116">
        <v>1253</v>
      </c>
      <c r="F1306" s="116">
        <v>1393.25</v>
      </c>
      <c r="G1306">
        <v>12971</v>
      </c>
      <c r="H1306" s="116"/>
      <c r="I1306" s="116"/>
      <c r="L1306" s="170">
        <v>43930</v>
      </c>
      <c r="M1306" s="116">
        <v>1396.35</v>
      </c>
      <c r="N1306" s="116">
        <v>1415</v>
      </c>
      <c r="O1306" s="116">
        <v>1264</v>
      </c>
      <c r="P1306" s="116">
        <v>1270</v>
      </c>
      <c r="Q1306" s="116">
        <v>1396.35</v>
      </c>
      <c r="R1306">
        <v>199995</v>
      </c>
    </row>
    <row r="1307" spans="1:18" x14ac:dyDescent="0.25">
      <c r="A1307" s="170">
        <v>43934</v>
      </c>
      <c r="B1307" s="116">
        <v>1478</v>
      </c>
      <c r="C1307" s="116">
        <v>1452.7</v>
      </c>
      <c r="D1307" s="116">
        <v>1343</v>
      </c>
      <c r="E1307" s="116">
        <v>1400</v>
      </c>
      <c r="F1307" s="116">
        <v>1452.7</v>
      </c>
      <c r="G1307">
        <v>9892</v>
      </c>
      <c r="H1307" s="116"/>
      <c r="I1307" s="116"/>
      <c r="L1307" s="170">
        <v>43934</v>
      </c>
      <c r="M1307" s="116">
        <v>1451.3</v>
      </c>
      <c r="N1307" s="116">
        <v>1483.3</v>
      </c>
      <c r="O1307" s="116">
        <v>1336.05</v>
      </c>
      <c r="P1307" s="116">
        <v>1414</v>
      </c>
      <c r="Q1307" s="116">
        <v>1451.3</v>
      </c>
      <c r="R1307">
        <v>144109</v>
      </c>
    </row>
    <row r="1308" spans="1:18" x14ac:dyDescent="0.25">
      <c r="A1308" s="170">
        <v>43936</v>
      </c>
      <c r="B1308" s="116">
        <v>1540</v>
      </c>
      <c r="C1308" s="116">
        <v>1478.2</v>
      </c>
      <c r="D1308" s="116">
        <v>1464</v>
      </c>
      <c r="E1308" s="116">
        <v>1504</v>
      </c>
      <c r="F1308" s="116">
        <v>1478.2</v>
      </c>
      <c r="G1308">
        <v>11472</v>
      </c>
      <c r="H1308" s="116"/>
      <c r="I1308" s="116"/>
      <c r="L1308" s="170">
        <v>43936</v>
      </c>
      <c r="M1308" s="116">
        <v>1476.85</v>
      </c>
      <c r="N1308" s="116">
        <v>1544</v>
      </c>
      <c r="O1308" s="116">
        <v>1463.75</v>
      </c>
      <c r="P1308" s="116">
        <v>1544</v>
      </c>
      <c r="Q1308" s="116">
        <v>1476.85</v>
      </c>
      <c r="R1308">
        <v>165735</v>
      </c>
    </row>
    <row r="1309" spans="1:18" x14ac:dyDescent="0.25">
      <c r="A1309" s="170">
        <v>43937</v>
      </c>
      <c r="B1309" s="116">
        <v>1493.35</v>
      </c>
      <c r="C1309" s="116">
        <v>1472.35</v>
      </c>
      <c r="D1309" s="116">
        <v>1451</v>
      </c>
      <c r="E1309" s="116">
        <v>1478</v>
      </c>
      <c r="F1309" s="116">
        <v>1472.35</v>
      </c>
      <c r="G1309">
        <v>3716</v>
      </c>
      <c r="H1309" s="116"/>
      <c r="I1309" s="116"/>
      <c r="L1309" s="170">
        <v>43937</v>
      </c>
      <c r="M1309" s="116">
        <v>1474.4</v>
      </c>
      <c r="N1309" s="116">
        <v>1494.4</v>
      </c>
      <c r="O1309" s="116">
        <v>1452</v>
      </c>
      <c r="P1309" s="116">
        <v>1481</v>
      </c>
      <c r="Q1309" s="116">
        <v>1474.4</v>
      </c>
      <c r="R1309">
        <v>44345</v>
      </c>
    </row>
    <row r="1310" spans="1:18" x14ac:dyDescent="0.25">
      <c r="A1310" s="170">
        <v>43938</v>
      </c>
      <c r="B1310" s="116">
        <v>1498.55</v>
      </c>
      <c r="C1310" s="116">
        <v>1454.65</v>
      </c>
      <c r="D1310" s="116">
        <v>1426.4</v>
      </c>
      <c r="E1310" s="116">
        <v>1495</v>
      </c>
      <c r="F1310" s="116">
        <v>1454.65</v>
      </c>
      <c r="G1310">
        <v>3211</v>
      </c>
      <c r="H1310" s="116"/>
      <c r="I1310" s="116"/>
      <c r="L1310" s="170">
        <v>43938</v>
      </c>
      <c r="M1310" s="116">
        <v>1455.3</v>
      </c>
      <c r="N1310" s="116">
        <v>1505</v>
      </c>
      <c r="O1310" s="116">
        <v>1425</v>
      </c>
      <c r="P1310" s="116">
        <v>1498</v>
      </c>
      <c r="Q1310" s="116">
        <v>1455.3</v>
      </c>
      <c r="R1310">
        <v>51378</v>
      </c>
    </row>
    <row r="1311" spans="1:18" x14ac:dyDescent="0.25">
      <c r="A1311" s="170">
        <v>43941</v>
      </c>
      <c r="B1311" s="116">
        <v>1478.95</v>
      </c>
      <c r="C1311" s="116">
        <v>1455.05</v>
      </c>
      <c r="D1311" s="116">
        <v>1435</v>
      </c>
      <c r="E1311" s="116">
        <v>1478.95</v>
      </c>
      <c r="F1311" s="116">
        <v>1455.05</v>
      </c>
      <c r="G1311">
        <v>1991</v>
      </c>
      <c r="H1311" s="116"/>
      <c r="I1311" s="116"/>
      <c r="L1311" s="170">
        <v>43941</v>
      </c>
      <c r="M1311" s="116">
        <v>1455.6</v>
      </c>
      <c r="N1311" s="116">
        <v>1474</v>
      </c>
      <c r="O1311" s="116">
        <v>1428.45</v>
      </c>
      <c r="P1311" s="116">
        <v>1463</v>
      </c>
      <c r="Q1311" s="116">
        <v>1455.6</v>
      </c>
      <c r="R1311">
        <v>28753</v>
      </c>
    </row>
    <row r="1312" spans="1:18" x14ac:dyDescent="0.25">
      <c r="A1312" s="170">
        <v>43942</v>
      </c>
      <c r="B1312" s="116">
        <v>1484.25</v>
      </c>
      <c r="C1312" s="116">
        <v>1458.5</v>
      </c>
      <c r="D1312" s="116">
        <v>1415</v>
      </c>
      <c r="E1312" s="116">
        <v>1450</v>
      </c>
      <c r="F1312" s="116">
        <v>1458.5</v>
      </c>
      <c r="G1312">
        <v>4422</v>
      </c>
      <c r="H1312" s="116"/>
      <c r="I1312" s="116"/>
      <c r="L1312" s="170">
        <v>43942</v>
      </c>
      <c r="M1312" s="116">
        <v>1459.5</v>
      </c>
      <c r="N1312" s="116">
        <v>1484</v>
      </c>
      <c r="O1312" s="116">
        <v>1416</v>
      </c>
      <c r="P1312" s="116">
        <v>1428</v>
      </c>
      <c r="Q1312" s="116">
        <v>1459.5</v>
      </c>
      <c r="R1312">
        <v>44520</v>
      </c>
    </row>
    <row r="1313" spans="1:18" x14ac:dyDescent="0.25">
      <c r="A1313" s="170">
        <v>43943</v>
      </c>
      <c r="B1313" s="116">
        <v>1468</v>
      </c>
      <c r="C1313" s="116">
        <v>1437.05</v>
      </c>
      <c r="D1313" s="116">
        <v>1432</v>
      </c>
      <c r="E1313" s="116">
        <v>1450</v>
      </c>
      <c r="F1313" s="116">
        <v>1437.05</v>
      </c>
      <c r="G1313">
        <v>1391</v>
      </c>
      <c r="H1313" s="116"/>
      <c r="I1313" s="116"/>
      <c r="L1313" s="170">
        <v>43943</v>
      </c>
      <c r="M1313" s="116">
        <v>1436.25</v>
      </c>
      <c r="N1313" s="116">
        <v>1470</v>
      </c>
      <c r="O1313" s="116">
        <v>1430</v>
      </c>
      <c r="P1313" s="116">
        <v>1470</v>
      </c>
      <c r="Q1313" s="116">
        <v>1436.25</v>
      </c>
      <c r="R1313">
        <v>20558</v>
      </c>
    </row>
    <row r="1314" spans="1:18" x14ac:dyDescent="0.25">
      <c r="A1314" s="170">
        <v>43944</v>
      </c>
      <c r="B1314" s="116">
        <v>1464.2</v>
      </c>
      <c r="C1314" s="116">
        <v>1447.25</v>
      </c>
      <c r="D1314" s="116">
        <v>1431.7</v>
      </c>
      <c r="E1314" s="116">
        <v>1449</v>
      </c>
      <c r="F1314" s="116">
        <v>1447.25</v>
      </c>
      <c r="G1314">
        <v>1941</v>
      </c>
      <c r="H1314" s="116"/>
      <c r="I1314" s="116"/>
      <c r="L1314" s="170">
        <v>43944</v>
      </c>
      <c r="M1314" s="116">
        <v>1448.5</v>
      </c>
      <c r="N1314" s="116">
        <v>1465.5</v>
      </c>
      <c r="O1314" s="116">
        <v>1426</v>
      </c>
      <c r="P1314" s="116">
        <v>1426</v>
      </c>
      <c r="Q1314" s="116">
        <v>1448.5</v>
      </c>
      <c r="R1314">
        <v>38191</v>
      </c>
    </row>
    <row r="1315" spans="1:18" x14ac:dyDescent="0.25">
      <c r="A1315" s="170">
        <v>43945</v>
      </c>
      <c r="B1315" s="116">
        <v>1473</v>
      </c>
      <c r="C1315" s="116">
        <v>1454.45</v>
      </c>
      <c r="D1315" s="116">
        <v>1441</v>
      </c>
      <c r="E1315" s="116">
        <v>1448.05</v>
      </c>
      <c r="F1315" s="116">
        <v>1454.45</v>
      </c>
      <c r="G1315">
        <v>5566</v>
      </c>
      <c r="H1315" s="116"/>
      <c r="I1315" s="116"/>
      <c r="L1315" s="170">
        <v>43945</v>
      </c>
      <c r="M1315" s="116">
        <v>1455.05</v>
      </c>
      <c r="N1315" s="116">
        <v>1472</v>
      </c>
      <c r="O1315" s="116">
        <v>1440.1</v>
      </c>
      <c r="P1315" s="116">
        <v>1445.6</v>
      </c>
      <c r="Q1315" s="116">
        <v>1455.05</v>
      </c>
      <c r="R1315">
        <v>33465</v>
      </c>
    </row>
    <row r="1316" spans="1:18" x14ac:dyDescent="0.25">
      <c r="A1316" s="170">
        <v>43948</v>
      </c>
      <c r="B1316" s="116">
        <v>1473.15</v>
      </c>
      <c r="C1316" s="116">
        <v>1444</v>
      </c>
      <c r="D1316" s="116">
        <v>1440</v>
      </c>
      <c r="E1316" s="116">
        <v>1470.45</v>
      </c>
      <c r="F1316" s="116">
        <v>1444</v>
      </c>
      <c r="G1316">
        <v>1551</v>
      </c>
      <c r="H1316" s="116"/>
      <c r="I1316" s="116"/>
      <c r="L1316" s="170">
        <v>43948</v>
      </c>
      <c r="M1316" s="116">
        <v>1443.55</v>
      </c>
      <c r="N1316" s="116">
        <v>1480</v>
      </c>
      <c r="O1316" s="116">
        <v>1440</v>
      </c>
      <c r="P1316" s="116">
        <v>1480</v>
      </c>
      <c r="Q1316" s="116">
        <v>1443.55</v>
      </c>
      <c r="R1316">
        <v>33040</v>
      </c>
    </row>
    <row r="1317" spans="1:18" x14ac:dyDescent="0.25">
      <c r="A1317" s="170">
        <v>43949</v>
      </c>
      <c r="B1317" s="116">
        <v>1460.7</v>
      </c>
      <c r="C1317" s="116">
        <v>1453.45</v>
      </c>
      <c r="D1317" s="116">
        <v>1431</v>
      </c>
      <c r="E1317" s="116">
        <v>1449.85</v>
      </c>
      <c r="F1317" s="116">
        <v>1453.45</v>
      </c>
      <c r="G1317">
        <v>3073</v>
      </c>
      <c r="H1317" s="116"/>
      <c r="I1317" s="116"/>
      <c r="L1317" s="170">
        <v>43949</v>
      </c>
      <c r="M1317" s="116">
        <v>1453</v>
      </c>
      <c r="N1317" s="116">
        <v>1461.75</v>
      </c>
      <c r="O1317" s="116">
        <v>1429.15</v>
      </c>
      <c r="P1317" s="116">
        <v>1450</v>
      </c>
      <c r="Q1317" s="116">
        <v>1453</v>
      </c>
      <c r="R1317">
        <v>34705</v>
      </c>
    </row>
    <row r="1318" spans="1:18" x14ac:dyDescent="0.25">
      <c r="A1318" s="170">
        <v>43950</v>
      </c>
      <c r="B1318" s="116">
        <v>1454</v>
      </c>
      <c r="C1318" s="116">
        <v>1438.85</v>
      </c>
      <c r="D1318" s="116">
        <v>1433</v>
      </c>
      <c r="E1318" s="116">
        <v>1451.55</v>
      </c>
      <c r="F1318" s="116">
        <v>1438.85</v>
      </c>
      <c r="G1318">
        <v>4210</v>
      </c>
      <c r="H1318" s="116"/>
      <c r="I1318" s="116"/>
      <c r="L1318" s="170">
        <v>43950</v>
      </c>
      <c r="M1318" s="116">
        <v>1440.55</v>
      </c>
      <c r="N1318" s="116">
        <v>1460</v>
      </c>
      <c r="O1318" s="116">
        <v>1432.6</v>
      </c>
      <c r="P1318" s="116">
        <v>1460</v>
      </c>
      <c r="Q1318" s="116">
        <v>1440.55</v>
      </c>
      <c r="R1318">
        <v>46021</v>
      </c>
    </row>
    <row r="1319" spans="1:18" x14ac:dyDescent="0.25">
      <c r="A1319" s="170">
        <v>43951</v>
      </c>
      <c r="B1319" s="116">
        <v>1489</v>
      </c>
      <c r="C1319" s="116">
        <v>1444.65</v>
      </c>
      <c r="D1319" s="116">
        <v>1425.6</v>
      </c>
      <c r="E1319" s="116">
        <v>1455</v>
      </c>
      <c r="F1319" s="116">
        <v>1444.65</v>
      </c>
      <c r="G1319">
        <v>8248</v>
      </c>
      <c r="H1319" s="116"/>
      <c r="I1319" s="116"/>
      <c r="L1319" s="170">
        <v>43951</v>
      </c>
      <c r="M1319" s="116">
        <v>1444.25</v>
      </c>
      <c r="N1319" s="116">
        <v>1490</v>
      </c>
      <c r="O1319" s="116">
        <v>1432.5</v>
      </c>
      <c r="P1319" s="116">
        <v>1459.9</v>
      </c>
      <c r="Q1319" s="116">
        <v>1444.25</v>
      </c>
      <c r="R1319">
        <v>170424</v>
      </c>
    </row>
    <row r="1320" spans="1:18" x14ac:dyDescent="0.25">
      <c r="A1320" s="170">
        <v>43955</v>
      </c>
      <c r="B1320" s="116">
        <v>1485</v>
      </c>
      <c r="C1320" s="116">
        <v>1480.3</v>
      </c>
      <c r="D1320" s="116">
        <v>1421.9</v>
      </c>
      <c r="E1320" s="116">
        <v>1439</v>
      </c>
      <c r="F1320" s="116">
        <v>1480.3</v>
      </c>
      <c r="G1320">
        <v>6164</v>
      </c>
      <c r="H1320" s="116"/>
      <c r="I1320" s="116"/>
      <c r="L1320" s="170">
        <v>43955</v>
      </c>
      <c r="M1320" s="116">
        <v>1480.45</v>
      </c>
      <c r="N1320" s="116">
        <v>1485</v>
      </c>
      <c r="O1320" s="116">
        <v>1419.05</v>
      </c>
      <c r="P1320" s="116">
        <v>1435</v>
      </c>
      <c r="Q1320" s="116">
        <v>1480.45</v>
      </c>
      <c r="R1320">
        <v>76569</v>
      </c>
    </row>
    <row r="1321" spans="1:18" x14ac:dyDescent="0.25">
      <c r="A1321" s="170">
        <v>43956</v>
      </c>
      <c r="B1321" s="116">
        <v>1524</v>
      </c>
      <c r="C1321" s="116">
        <v>1448.25</v>
      </c>
      <c r="D1321" s="116">
        <v>1442.3</v>
      </c>
      <c r="E1321" s="116">
        <v>1499.95</v>
      </c>
      <c r="F1321" s="116">
        <v>1448.25</v>
      </c>
      <c r="G1321">
        <v>11631</v>
      </c>
      <c r="H1321" s="116"/>
      <c r="I1321" s="116"/>
      <c r="L1321" s="170">
        <v>43956</v>
      </c>
      <c r="M1321" s="116">
        <v>1448.35</v>
      </c>
      <c r="N1321" s="116">
        <v>1522</v>
      </c>
      <c r="O1321" s="116">
        <v>1442.5</v>
      </c>
      <c r="P1321" s="116">
        <v>1500</v>
      </c>
      <c r="Q1321" s="116">
        <v>1448.35</v>
      </c>
      <c r="R1321">
        <v>72813</v>
      </c>
    </row>
    <row r="1322" spans="1:18" x14ac:dyDescent="0.25">
      <c r="A1322" s="170">
        <v>43957</v>
      </c>
      <c r="B1322" s="116">
        <v>1485</v>
      </c>
      <c r="C1322" s="116">
        <v>1462.8</v>
      </c>
      <c r="D1322" s="116">
        <v>1442</v>
      </c>
      <c r="E1322" s="116">
        <v>1448</v>
      </c>
      <c r="F1322" s="116">
        <v>1462.8</v>
      </c>
      <c r="G1322">
        <v>2190</v>
      </c>
      <c r="H1322" s="116"/>
      <c r="I1322" s="116"/>
      <c r="L1322" s="170">
        <v>43957</v>
      </c>
      <c r="M1322" s="116">
        <v>1464.45</v>
      </c>
      <c r="N1322" s="116">
        <v>1485</v>
      </c>
      <c r="O1322" s="116">
        <v>1441</v>
      </c>
      <c r="P1322" s="116">
        <v>1450</v>
      </c>
      <c r="Q1322" s="116">
        <v>1464.45</v>
      </c>
      <c r="R1322">
        <v>33562</v>
      </c>
    </row>
    <row r="1323" spans="1:18" x14ac:dyDescent="0.25">
      <c r="A1323" s="170">
        <v>43958</v>
      </c>
      <c r="B1323" s="116">
        <v>1492.95</v>
      </c>
      <c r="C1323" s="116">
        <v>1450.55</v>
      </c>
      <c r="D1323" s="116">
        <v>1448.75</v>
      </c>
      <c r="E1323" s="116">
        <v>1485</v>
      </c>
      <c r="F1323" s="116">
        <v>1450.55</v>
      </c>
      <c r="G1323">
        <v>2384</v>
      </c>
      <c r="H1323" s="116"/>
      <c r="I1323" s="116"/>
      <c r="L1323" s="170">
        <v>43958</v>
      </c>
      <c r="M1323" s="116">
        <v>1451.6</v>
      </c>
      <c r="N1323" s="116">
        <v>1492</v>
      </c>
      <c r="O1323" s="116">
        <v>1442</v>
      </c>
      <c r="P1323" s="116">
        <v>1490</v>
      </c>
      <c r="Q1323" s="116">
        <v>1451.6</v>
      </c>
      <c r="R1323">
        <v>29568</v>
      </c>
    </row>
    <row r="1324" spans="1:18" x14ac:dyDescent="0.25">
      <c r="A1324" s="170">
        <v>43959</v>
      </c>
      <c r="B1324" s="116">
        <v>1468.65</v>
      </c>
      <c r="C1324" s="116">
        <v>1438.05</v>
      </c>
      <c r="D1324" s="116">
        <v>1432</v>
      </c>
      <c r="E1324" s="116">
        <v>1468.45</v>
      </c>
      <c r="F1324" s="116">
        <v>1438.05</v>
      </c>
      <c r="G1324">
        <v>2154</v>
      </c>
      <c r="H1324" s="116"/>
      <c r="I1324" s="116"/>
      <c r="L1324" s="170">
        <v>43959</v>
      </c>
      <c r="M1324" s="116">
        <v>1437.45</v>
      </c>
      <c r="N1324" s="116">
        <v>1468.45</v>
      </c>
      <c r="O1324" s="116">
        <v>1431.35</v>
      </c>
      <c r="P1324" s="116">
        <v>1454</v>
      </c>
      <c r="Q1324" s="116">
        <v>1437.45</v>
      </c>
      <c r="R1324">
        <v>21380</v>
      </c>
    </row>
    <row r="1325" spans="1:18" x14ac:dyDescent="0.25">
      <c r="A1325" s="170">
        <v>43962</v>
      </c>
      <c r="B1325" s="116">
        <v>1452</v>
      </c>
      <c r="C1325" s="116">
        <v>1420</v>
      </c>
      <c r="D1325" s="116">
        <v>1415</v>
      </c>
      <c r="E1325" s="116">
        <v>1450.75</v>
      </c>
      <c r="F1325" s="116">
        <v>1420</v>
      </c>
      <c r="G1325">
        <v>1325</v>
      </c>
      <c r="H1325" s="116"/>
      <c r="I1325" s="116"/>
      <c r="L1325" s="170">
        <v>43962</v>
      </c>
      <c r="M1325" s="116">
        <v>1421.2</v>
      </c>
      <c r="N1325" s="116">
        <v>1454</v>
      </c>
      <c r="O1325" s="116">
        <v>1415.1</v>
      </c>
      <c r="P1325" s="116">
        <v>1448.55</v>
      </c>
      <c r="Q1325" s="116">
        <v>1421.2</v>
      </c>
      <c r="R1325">
        <v>27570</v>
      </c>
    </row>
    <row r="1326" spans="1:18" x14ac:dyDescent="0.25">
      <c r="A1326" s="170">
        <v>43963</v>
      </c>
      <c r="B1326" s="116">
        <v>1429.5</v>
      </c>
      <c r="C1326" s="116">
        <v>1379.05</v>
      </c>
      <c r="D1326" s="116">
        <v>1370</v>
      </c>
      <c r="E1326" s="116">
        <v>1429.5</v>
      </c>
      <c r="F1326" s="116">
        <v>1379.05</v>
      </c>
      <c r="G1326">
        <v>2267</v>
      </c>
      <c r="H1326" s="116"/>
      <c r="I1326" s="116"/>
      <c r="L1326" s="170">
        <v>43963</v>
      </c>
      <c r="M1326" s="116">
        <v>1378.85</v>
      </c>
      <c r="N1326" s="116">
        <v>1429.6</v>
      </c>
      <c r="O1326" s="116">
        <v>1373</v>
      </c>
      <c r="P1326" s="116">
        <v>1421.5</v>
      </c>
      <c r="Q1326" s="116">
        <v>1378.85</v>
      </c>
      <c r="R1326">
        <v>34270</v>
      </c>
    </row>
    <row r="1327" spans="1:18" x14ac:dyDescent="0.25">
      <c r="A1327" s="170">
        <v>43964</v>
      </c>
      <c r="B1327" s="116">
        <v>1418</v>
      </c>
      <c r="C1327" s="116">
        <v>1399.85</v>
      </c>
      <c r="D1327" s="116">
        <v>1385.5</v>
      </c>
      <c r="E1327" s="116">
        <v>1418</v>
      </c>
      <c r="F1327" s="116">
        <v>1399.85</v>
      </c>
      <c r="G1327">
        <v>1362</v>
      </c>
      <c r="H1327" s="116"/>
      <c r="I1327" s="116"/>
      <c r="L1327" s="170">
        <v>43964</v>
      </c>
      <c r="M1327" s="116">
        <v>1400.1</v>
      </c>
      <c r="N1327" s="116">
        <v>1412.9</v>
      </c>
      <c r="O1327" s="116">
        <v>1385</v>
      </c>
      <c r="P1327" s="116">
        <v>1394</v>
      </c>
      <c r="Q1327" s="116">
        <v>1400.1</v>
      </c>
      <c r="R1327">
        <v>48678</v>
      </c>
    </row>
    <row r="1328" spans="1:18" x14ac:dyDescent="0.25">
      <c r="A1328" s="170">
        <v>43965</v>
      </c>
      <c r="B1328" s="116">
        <v>1430</v>
      </c>
      <c r="C1328" s="116">
        <v>1418</v>
      </c>
      <c r="D1328" s="116">
        <v>1373.1</v>
      </c>
      <c r="E1328" s="116">
        <v>1373.1</v>
      </c>
      <c r="F1328" s="116">
        <v>1418</v>
      </c>
      <c r="G1328">
        <v>1252</v>
      </c>
      <c r="H1328" s="116"/>
      <c r="I1328" s="116"/>
      <c r="L1328" s="170">
        <v>43965</v>
      </c>
      <c r="M1328" s="116">
        <v>1420.2</v>
      </c>
      <c r="N1328" s="116">
        <v>1430</v>
      </c>
      <c r="O1328" s="116">
        <v>1380.1</v>
      </c>
      <c r="P1328" s="116">
        <v>1389.95</v>
      </c>
      <c r="Q1328" s="116">
        <v>1420.2</v>
      </c>
      <c r="R1328">
        <v>26400</v>
      </c>
    </row>
    <row r="1329" spans="1:18" x14ac:dyDescent="0.25">
      <c r="A1329" s="170">
        <v>43966</v>
      </c>
      <c r="B1329" s="116">
        <v>1421.5</v>
      </c>
      <c r="C1329" s="116">
        <v>1392.9</v>
      </c>
      <c r="D1329" s="116">
        <v>1389.05</v>
      </c>
      <c r="E1329" s="116">
        <v>1418</v>
      </c>
      <c r="F1329" s="116">
        <v>1392.9</v>
      </c>
      <c r="G1329">
        <v>714</v>
      </c>
      <c r="H1329" s="116"/>
      <c r="I1329" s="116"/>
      <c r="L1329" s="170">
        <v>43966</v>
      </c>
      <c r="M1329" s="116">
        <v>1392.95</v>
      </c>
      <c r="N1329" s="116">
        <v>1420.15</v>
      </c>
      <c r="O1329" s="116">
        <v>1388.1</v>
      </c>
      <c r="P1329" s="116">
        <v>1420.15</v>
      </c>
      <c r="Q1329" s="116">
        <v>1392.95</v>
      </c>
      <c r="R1329">
        <v>20461</v>
      </c>
    </row>
    <row r="1330" spans="1:18" x14ac:dyDescent="0.25">
      <c r="A1330" s="170">
        <v>43969</v>
      </c>
      <c r="B1330" s="116">
        <v>1415</v>
      </c>
      <c r="C1330" s="116">
        <v>1364.4</v>
      </c>
      <c r="D1330" s="116">
        <v>1356</v>
      </c>
      <c r="E1330" s="116">
        <v>1408</v>
      </c>
      <c r="F1330" s="116">
        <v>1364.4</v>
      </c>
      <c r="G1330">
        <v>1372</v>
      </c>
      <c r="H1330" s="116"/>
      <c r="I1330" s="116"/>
      <c r="L1330" s="170">
        <v>43969</v>
      </c>
      <c r="M1330" s="116">
        <v>1363.05</v>
      </c>
      <c r="N1330" s="116">
        <v>1418.5</v>
      </c>
      <c r="O1330" s="116">
        <v>1355</v>
      </c>
      <c r="P1330" s="116">
        <v>1399</v>
      </c>
      <c r="Q1330" s="116">
        <v>1363.05</v>
      </c>
      <c r="R1330">
        <v>22649</v>
      </c>
    </row>
    <row r="1331" spans="1:18" x14ac:dyDescent="0.25">
      <c r="A1331" s="170">
        <v>43970</v>
      </c>
      <c r="B1331" s="116">
        <v>1428.25</v>
      </c>
      <c r="C1331" s="116">
        <v>1383.05</v>
      </c>
      <c r="D1331" s="116">
        <v>1374.95</v>
      </c>
      <c r="E1331" s="116">
        <v>1380</v>
      </c>
      <c r="F1331" s="116">
        <v>1383.05</v>
      </c>
      <c r="G1331">
        <v>2183</v>
      </c>
      <c r="H1331" s="116"/>
      <c r="I1331" s="116"/>
      <c r="L1331" s="170">
        <v>43970</v>
      </c>
      <c r="M1331" s="116">
        <v>1386</v>
      </c>
      <c r="N1331" s="116">
        <v>1430</v>
      </c>
      <c r="O1331" s="116">
        <v>1373.1</v>
      </c>
      <c r="P1331" s="116">
        <v>1395</v>
      </c>
      <c r="Q1331" s="116">
        <v>1386</v>
      </c>
      <c r="R1331">
        <v>48216</v>
      </c>
    </row>
    <row r="1332" spans="1:18" x14ac:dyDescent="0.25">
      <c r="A1332" s="170">
        <v>43971</v>
      </c>
      <c r="B1332" s="116">
        <v>1395.6</v>
      </c>
      <c r="C1332" s="116">
        <v>1372.7</v>
      </c>
      <c r="D1332" s="116">
        <v>1364.25</v>
      </c>
      <c r="E1332" s="116">
        <v>1391.9</v>
      </c>
      <c r="F1332" s="116">
        <v>1372.7</v>
      </c>
      <c r="G1332">
        <v>1660</v>
      </c>
      <c r="H1332" s="116"/>
      <c r="I1332" s="116"/>
      <c r="L1332" s="170">
        <v>43971</v>
      </c>
      <c r="M1332" s="116">
        <v>1373.7</v>
      </c>
      <c r="N1332" s="116">
        <v>1398.7</v>
      </c>
      <c r="O1332" s="116">
        <v>1363.45</v>
      </c>
      <c r="P1332" s="116">
        <v>1387</v>
      </c>
      <c r="Q1332" s="116">
        <v>1373.7</v>
      </c>
      <c r="R1332">
        <v>37627</v>
      </c>
    </row>
    <row r="1333" spans="1:18" x14ac:dyDescent="0.25">
      <c r="A1333" s="170">
        <v>43972</v>
      </c>
      <c r="B1333" s="116">
        <v>1385.95</v>
      </c>
      <c r="C1333" s="116">
        <v>1369.15</v>
      </c>
      <c r="D1333" s="116">
        <v>1366</v>
      </c>
      <c r="E1333" s="116">
        <v>1380</v>
      </c>
      <c r="F1333" s="116">
        <v>1369.15</v>
      </c>
      <c r="G1333">
        <v>1091</v>
      </c>
      <c r="H1333" s="116"/>
      <c r="I1333" s="116"/>
      <c r="L1333" s="170">
        <v>43972</v>
      </c>
      <c r="M1333" s="116">
        <v>1369.85</v>
      </c>
      <c r="N1333" s="116">
        <v>1386.05</v>
      </c>
      <c r="O1333" s="116">
        <v>1365</v>
      </c>
      <c r="P1333" s="116">
        <v>1375</v>
      </c>
      <c r="Q1333" s="116">
        <v>1369.85</v>
      </c>
      <c r="R1333">
        <v>12717</v>
      </c>
    </row>
    <row r="1334" spans="1:18" x14ac:dyDescent="0.25">
      <c r="A1334" s="170">
        <v>43973</v>
      </c>
      <c r="B1334" s="116">
        <v>1389.95</v>
      </c>
      <c r="C1334" s="116">
        <v>1376.4</v>
      </c>
      <c r="D1334" s="116">
        <v>1362</v>
      </c>
      <c r="E1334" s="116">
        <v>1389.95</v>
      </c>
      <c r="F1334" s="116">
        <v>1376.4</v>
      </c>
      <c r="G1334">
        <v>1425</v>
      </c>
      <c r="H1334" s="116"/>
      <c r="I1334" s="116"/>
      <c r="L1334" s="170">
        <v>43973</v>
      </c>
      <c r="M1334" s="116">
        <v>1378.5</v>
      </c>
      <c r="N1334" s="116">
        <v>1385.05</v>
      </c>
      <c r="O1334" s="116">
        <v>1360</v>
      </c>
      <c r="P1334" s="116">
        <v>1375</v>
      </c>
      <c r="Q1334" s="116">
        <v>1378.5</v>
      </c>
      <c r="R1334">
        <v>15251</v>
      </c>
    </row>
    <row r="1335" spans="1:18" x14ac:dyDescent="0.25">
      <c r="A1335" s="170">
        <v>43977</v>
      </c>
      <c r="B1335" s="116">
        <v>1400.25</v>
      </c>
      <c r="C1335" s="116">
        <v>1371.1</v>
      </c>
      <c r="D1335" s="116">
        <v>1367</v>
      </c>
      <c r="E1335" s="116">
        <v>1400</v>
      </c>
      <c r="F1335" s="116">
        <v>1371.1</v>
      </c>
      <c r="G1335">
        <v>3508</v>
      </c>
      <c r="H1335" s="116"/>
      <c r="I1335" s="116"/>
      <c r="L1335" s="170">
        <v>43977</v>
      </c>
      <c r="M1335" s="116">
        <v>1372.45</v>
      </c>
      <c r="N1335" s="116">
        <v>1402</v>
      </c>
      <c r="O1335" s="116">
        <v>1365.4</v>
      </c>
      <c r="P1335" s="116">
        <v>1383</v>
      </c>
      <c r="Q1335" s="116">
        <v>1372.45</v>
      </c>
      <c r="R1335">
        <v>23014</v>
      </c>
    </row>
    <row r="1336" spans="1:18" x14ac:dyDescent="0.25">
      <c r="A1336" s="170">
        <v>43978</v>
      </c>
      <c r="B1336" s="116">
        <v>1372</v>
      </c>
      <c r="C1336" s="116">
        <v>1357.15</v>
      </c>
      <c r="D1336" s="116">
        <v>1354.1</v>
      </c>
      <c r="E1336" s="116">
        <v>1372</v>
      </c>
      <c r="F1336" s="116">
        <v>1357.15</v>
      </c>
      <c r="G1336">
        <v>1407</v>
      </c>
      <c r="H1336" s="116"/>
      <c r="I1336" s="116"/>
      <c r="L1336" s="170">
        <v>43978</v>
      </c>
      <c r="M1336" s="116">
        <v>1356.35</v>
      </c>
      <c r="N1336" s="116">
        <v>1385</v>
      </c>
      <c r="O1336" s="116">
        <v>1352.7</v>
      </c>
      <c r="P1336" s="116">
        <v>1385</v>
      </c>
      <c r="Q1336" s="116">
        <v>1356.35</v>
      </c>
      <c r="R1336">
        <v>23755</v>
      </c>
    </row>
    <row r="1337" spans="1:18" x14ac:dyDescent="0.25">
      <c r="A1337" s="170">
        <v>43979</v>
      </c>
      <c r="B1337" s="116">
        <v>1367.4</v>
      </c>
      <c r="C1337" s="116">
        <v>1341.35</v>
      </c>
      <c r="D1337" s="116">
        <v>1340</v>
      </c>
      <c r="E1337" s="116">
        <v>1356.15</v>
      </c>
      <c r="F1337" s="116">
        <v>1341.35</v>
      </c>
      <c r="G1337">
        <v>3682</v>
      </c>
      <c r="H1337" s="116"/>
      <c r="I1337" s="116"/>
      <c r="L1337" s="170">
        <v>43979</v>
      </c>
      <c r="M1337" s="116">
        <v>1340.7</v>
      </c>
      <c r="N1337" s="116">
        <v>1370</v>
      </c>
      <c r="O1337" s="116">
        <v>1336</v>
      </c>
      <c r="P1337" s="116">
        <v>1367</v>
      </c>
      <c r="Q1337" s="116">
        <v>1340.7</v>
      </c>
      <c r="R1337">
        <v>73364</v>
      </c>
    </row>
    <row r="1338" spans="1:18" x14ac:dyDescent="0.25">
      <c r="A1338" s="170">
        <v>43980</v>
      </c>
      <c r="B1338" s="116">
        <v>1390</v>
      </c>
      <c r="C1338" s="116">
        <v>1369.75</v>
      </c>
      <c r="D1338" s="116">
        <v>1337</v>
      </c>
      <c r="E1338" s="116">
        <v>1350.45</v>
      </c>
      <c r="F1338" s="116">
        <v>1369.75</v>
      </c>
      <c r="G1338">
        <v>4110</v>
      </c>
      <c r="H1338" s="116"/>
      <c r="I1338" s="116"/>
      <c r="L1338" s="170">
        <v>43980</v>
      </c>
      <c r="M1338" s="116">
        <v>1369.35</v>
      </c>
      <c r="N1338" s="116">
        <v>1393.95</v>
      </c>
      <c r="O1338" s="116">
        <v>1335</v>
      </c>
      <c r="P1338" s="116">
        <v>1350</v>
      </c>
      <c r="Q1338" s="116">
        <v>1369.35</v>
      </c>
      <c r="R1338">
        <v>92092</v>
      </c>
    </row>
    <row r="1339" spans="1:18" x14ac:dyDescent="0.25">
      <c r="A1339" s="170">
        <v>43983</v>
      </c>
      <c r="B1339" s="116">
        <v>1392</v>
      </c>
      <c r="C1339" s="116">
        <v>1372.3</v>
      </c>
      <c r="D1339" s="116">
        <v>1366.8</v>
      </c>
      <c r="E1339" s="116">
        <v>1392</v>
      </c>
      <c r="F1339" s="116">
        <v>1372.3</v>
      </c>
      <c r="G1339">
        <v>2565</v>
      </c>
      <c r="H1339" s="116"/>
      <c r="I1339" s="116"/>
      <c r="L1339" s="170">
        <v>43983</v>
      </c>
      <c r="M1339" s="116">
        <v>1372.2</v>
      </c>
      <c r="N1339" s="116">
        <v>1396.6</v>
      </c>
      <c r="O1339" s="116">
        <v>1366</v>
      </c>
      <c r="P1339" s="116">
        <v>1390</v>
      </c>
      <c r="Q1339" s="116">
        <v>1372.2</v>
      </c>
      <c r="R1339">
        <v>28591</v>
      </c>
    </row>
    <row r="1340" spans="1:18" x14ac:dyDescent="0.25">
      <c r="A1340" s="170">
        <v>43984</v>
      </c>
      <c r="B1340" s="116">
        <v>1382.95</v>
      </c>
      <c r="C1340" s="116">
        <v>1359.7</v>
      </c>
      <c r="D1340" s="116">
        <v>1350.05</v>
      </c>
      <c r="E1340" s="116">
        <v>1380.95</v>
      </c>
      <c r="F1340" s="116">
        <v>1359.7</v>
      </c>
      <c r="G1340">
        <v>2948</v>
      </c>
      <c r="H1340" s="116"/>
      <c r="I1340" s="116"/>
      <c r="L1340" s="170">
        <v>43984</v>
      </c>
      <c r="M1340" s="116">
        <v>1356</v>
      </c>
      <c r="N1340" s="116">
        <v>1389</v>
      </c>
      <c r="O1340" s="116">
        <v>1349.2</v>
      </c>
      <c r="P1340" s="116">
        <v>1372.3</v>
      </c>
      <c r="Q1340" s="116">
        <v>1356</v>
      </c>
      <c r="R1340">
        <v>42826</v>
      </c>
    </row>
    <row r="1341" spans="1:18" x14ac:dyDescent="0.25">
      <c r="A1341" s="170">
        <v>43985</v>
      </c>
      <c r="B1341" s="116">
        <v>1377.3</v>
      </c>
      <c r="C1341" s="116">
        <v>1365.75</v>
      </c>
      <c r="D1341" s="116">
        <v>1355</v>
      </c>
      <c r="E1341" s="116">
        <v>1364.25</v>
      </c>
      <c r="F1341" s="116">
        <v>1365.75</v>
      </c>
      <c r="G1341">
        <v>2690</v>
      </c>
      <c r="H1341" s="116"/>
      <c r="I1341" s="116"/>
      <c r="L1341" s="170">
        <v>43985</v>
      </c>
      <c r="M1341" s="116">
        <v>1370.7</v>
      </c>
      <c r="N1341" s="116">
        <v>1385.9</v>
      </c>
      <c r="O1341" s="116">
        <v>1355.1</v>
      </c>
      <c r="P1341" s="116">
        <v>1364</v>
      </c>
      <c r="Q1341" s="116">
        <v>1370.7</v>
      </c>
      <c r="R1341">
        <v>24013</v>
      </c>
    </row>
    <row r="1342" spans="1:18" x14ac:dyDescent="0.25">
      <c r="A1342" s="170">
        <v>43986</v>
      </c>
      <c r="B1342" s="116">
        <v>1390</v>
      </c>
      <c r="C1342" s="116">
        <v>1371.7</v>
      </c>
      <c r="D1342" s="116">
        <v>1362.45</v>
      </c>
      <c r="E1342" s="116">
        <v>1380</v>
      </c>
      <c r="F1342" s="116">
        <v>1371.7</v>
      </c>
      <c r="G1342">
        <v>3815</v>
      </c>
      <c r="H1342" s="116"/>
      <c r="I1342" s="116"/>
      <c r="L1342" s="170">
        <v>43986</v>
      </c>
      <c r="M1342" s="116">
        <v>1372.95</v>
      </c>
      <c r="N1342" s="116">
        <v>1390</v>
      </c>
      <c r="O1342" s="116">
        <v>1361.2</v>
      </c>
      <c r="P1342" s="116">
        <v>1383.95</v>
      </c>
      <c r="Q1342" s="116">
        <v>1372.95</v>
      </c>
      <c r="R1342">
        <v>24528</v>
      </c>
    </row>
    <row r="1343" spans="1:18" x14ac:dyDescent="0.25">
      <c r="A1343" s="170">
        <v>43987</v>
      </c>
      <c r="B1343" s="116">
        <v>1389.95</v>
      </c>
      <c r="C1343" s="116">
        <v>1380.35</v>
      </c>
      <c r="D1343" s="116">
        <v>1370.4</v>
      </c>
      <c r="E1343" s="116">
        <v>1389.95</v>
      </c>
      <c r="F1343" s="116">
        <v>1380.35</v>
      </c>
      <c r="G1343">
        <v>2045</v>
      </c>
      <c r="H1343" s="116"/>
      <c r="I1343" s="116"/>
      <c r="L1343" s="170">
        <v>43987</v>
      </c>
      <c r="M1343" s="116">
        <v>1382.3</v>
      </c>
      <c r="N1343" s="116">
        <v>1385.05</v>
      </c>
      <c r="O1343" s="116">
        <v>1370</v>
      </c>
      <c r="P1343" s="116">
        <v>1378</v>
      </c>
      <c r="Q1343" s="116">
        <v>1382.3</v>
      </c>
      <c r="R1343">
        <v>23401</v>
      </c>
    </row>
    <row r="1344" spans="1:18" x14ac:dyDescent="0.25">
      <c r="A1344" s="170">
        <v>43990</v>
      </c>
      <c r="B1344" s="116">
        <v>1385.05</v>
      </c>
      <c r="C1344" s="116">
        <v>1354.3</v>
      </c>
      <c r="D1344" s="116">
        <v>1258</v>
      </c>
      <c r="E1344" s="116">
        <v>1385.05</v>
      </c>
      <c r="F1344" s="116">
        <v>1354.3</v>
      </c>
      <c r="G1344">
        <v>4060</v>
      </c>
      <c r="H1344" s="116"/>
      <c r="I1344" s="116"/>
      <c r="L1344" s="170">
        <v>43990</v>
      </c>
      <c r="M1344" s="116">
        <v>1352.15</v>
      </c>
      <c r="N1344" s="116">
        <v>1393.2</v>
      </c>
      <c r="O1344" s="116">
        <v>1206</v>
      </c>
      <c r="P1344" s="116">
        <v>1380.2</v>
      </c>
      <c r="Q1344" s="116">
        <v>1352.15</v>
      </c>
      <c r="R1344">
        <v>37996</v>
      </c>
    </row>
    <row r="1345" spans="1:18" x14ac:dyDescent="0.25">
      <c r="A1345" s="170">
        <v>43991</v>
      </c>
      <c r="B1345" s="116">
        <v>1372.35</v>
      </c>
      <c r="C1345" s="116">
        <v>1356.3</v>
      </c>
      <c r="D1345" s="116">
        <v>1353.05</v>
      </c>
      <c r="E1345" s="116">
        <v>1360</v>
      </c>
      <c r="F1345" s="116">
        <v>1356.3</v>
      </c>
      <c r="G1345">
        <v>2840</v>
      </c>
      <c r="H1345" s="116"/>
      <c r="I1345" s="116"/>
      <c r="L1345" s="170">
        <v>43991</v>
      </c>
      <c r="M1345" s="116">
        <v>1355.4</v>
      </c>
      <c r="N1345" s="116">
        <v>1372</v>
      </c>
      <c r="O1345" s="116">
        <v>1352</v>
      </c>
      <c r="P1345" s="116">
        <v>1354</v>
      </c>
      <c r="Q1345" s="116">
        <v>1355.4</v>
      </c>
      <c r="R1345">
        <v>19187</v>
      </c>
    </row>
    <row r="1346" spans="1:18" x14ac:dyDescent="0.25">
      <c r="A1346" s="170">
        <v>43992</v>
      </c>
      <c r="B1346" s="116">
        <v>1395</v>
      </c>
      <c r="C1346" s="116">
        <v>1386.3</v>
      </c>
      <c r="D1346" s="116">
        <v>1351</v>
      </c>
      <c r="E1346" s="116">
        <v>1351</v>
      </c>
      <c r="F1346" s="116">
        <v>1386.3</v>
      </c>
      <c r="G1346">
        <v>3638</v>
      </c>
      <c r="H1346" s="116"/>
      <c r="I1346" s="116"/>
      <c r="L1346" s="170">
        <v>43992</v>
      </c>
      <c r="M1346" s="116">
        <v>1386.85</v>
      </c>
      <c r="N1346" s="116">
        <v>1395</v>
      </c>
      <c r="O1346" s="116">
        <v>1352.9</v>
      </c>
      <c r="P1346" s="116">
        <v>1362</v>
      </c>
      <c r="Q1346" s="116">
        <v>1386.85</v>
      </c>
      <c r="R1346">
        <v>36365</v>
      </c>
    </row>
    <row r="1347" spans="1:18" x14ac:dyDescent="0.25">
      <c r="A1347" s="170">
        <v>43993</v>
      </c>
      <c r="B1347" s="116">
        <v>1434.8</v>
      </c>
      <c r="C1347" s="116">
        <v>1407.85</v>
      </c>
      <c r="D1347" s="116">
        <v>1387.4</v>
      </c>
      <c r="E1347" s="116">
        <v>1391.35</v>
      </c>
      <c r="F1347" s="116">
        <v>1407.85</v>
      </c>
      <c r="G1347">
        <v>3852</v>
      </c>
      <c r="H1347" s="116"/>
      <c r="I1347" s="116"/>
      <c r="L1347" s="170">
        <v>43993</v>
      </c>
      <c r="M1347" s="116">
        <v>1408.6</v>
      </c>
      <c r="N1347" s="116">
        <v>1435.05</v>
      </c>
      <c r="O1347" s="116">
        <v>1385</v>
      </c>
      <c r="P1347" s="116">
        <v>1397.95</v>
      </c>
      <c r="Q1347" s="116">
        <v>1408.6</v>
      </c>
      <c r="R1347">
        <v>70166</v>
      </c>
    </row>
    <row r="1348" spans="1:18" x14ac:dyDescent="0.25">
      <c r="A1348" s="170">
        <v>43994</v>
      </c>
      <c r="B1348" s="116">
        <v>1408</v>
      </c>
      <c r="C1348" s="116">
        <v>1394.55</v>
      </c>
      <c r="D1348" s="116">
        <v>1383.6</v>
      </c>
      <c r="E1348" s="116">
        <v>1407.5</v>
      </c>
      <c r="F1348" s="116">
        <v>1394.55</v>
      </c>
      <c r="G1348">
        <v>2807</v>
      </c>
      <c r="H1348" s="116"/>
      <c r="I1348" s="116"/>
      <c r="L1348" s="170">
        <v>43994</v>
      </c>
      <c r="M1348" s="116">
        <v>1394.45</v>
      </c>
      <c r="N1348" s="116">
        <v>1409.95</v>
      </c>
      <c r="O1348" s="116">
        <v>1377</v>
      </c>
      <c r="P1348" s="116">
        <v>1391</v>
      </c>
      <c r="Q1348" s="116">
        <v>1394.45</v>
      </c>
      <c r="R1348">
        <v>34995</v>
      </c>
    </row>
    <row r="1349" spans="1:18" x14ac:dyDescent="0.25">
      <c r="A1349" s="170">
        <v>43997</v>
      </c>
      <c r="B1349" s="116">
        <v>1420</v>
      </c>
      <c r="C1349" s="116">
        <v>1385.85</v>
      </c>
      <c r="D1349" s="116">
        <v>1384</v>
      </c>
      <c r="E1349" s="116">
        <v>1417.9</v>
      </c>
      <c r="F1349" s="116">
        <v>1385.85</v>
      </c>
      <c r="G1349">
        <v>3214</v>
      </c>
      <c r="H1349" s="116"/>
      <c r="I1349" s="116"/>
      <c r="L1349" s="170">
        <v>43997</v>
      </c>
      <c r="M1349" s="116">
        <v>1388.4</v>
      </c>
      <c r="N1349" s="116">
        <v>1417.25</v>
      </c>
      <c r="O1349" s="116">
        <v>1385</v>
      </c>
      <c r="P1349" s="116">
        <v>1397</v>
      </c>
      <c r="Q1349" s="116">
        <v>1388.4</v>
      </c>
      <c r="R1349">
        <v>22466</v>
      </c>
    </row>
    <row r="1350" spans="1:18" x14ac:dyDescent="0.25">
      <c r="A1350" s="170">
        <v>43998</v>
      </c>
      <c r="B1350" s="116">
        <v>1419</v>
      </c>
      <c r="C1350" s="116">
        <v>1374.65</v>
      </c>
      <c r="D1350" s="116">
        <v>1372</v>
      </c>
      <c r="E1350" s="116">
        <v>1411.3</v>
      </c>
      <c r="F1350" s="116">
        <v>1374.65</v>
      </c>
      <c r="G1350">
        <v>1902</v>
      </c>
      <c r="H1350" s="116"/>
      <c r="I1350" s="116"/>
      <c r="L1350" s="170">
        <v>43998</v>
      </c>
      <c r="M1350" s="116">
        <v>1375.4</v>
      </c>
      <c r="N1350" s="116">
        <v>1414</v>
      </c>
      <c r="O1350" s="116">
        <v>1371</v>
      </c>
      <c r="P1350" s="116">
        <v>1400</v>
      </c>
      <c r="Q1350" s="116">
        <v>1375.4</v>
      </c>
      <c r="R1350">
        <v>28288</v>
      </c>
    </row>
    <row r="1351" spans="1:18" x14ac:dyDescent="0.25">
      <c r="A1351" s="170">
        <v>43999</v>
      </c>
      <c r="B1351" s="116">
        <v>1403</v>
      </c>
      <c r="C1351" s="116">
        <v>1389.9</v>
      </c>
      <c r="D1351" s="116">
        <v>1374.65</v>
      </c>
      <c r="E1351" s="116">
        <v>1374.65</v>
      </c>
      <c r="F1351" s="116">
        <v>1389.9</v>
      </c>
      <c r="G1351">
        <v>1422</v>
      </c>
      <c r="H1351" s="116"/>
      <c r="I1351" s="116"/>
      <c r="L1351" s="170">
        <v>43999</v>
      </c>
      <c r="M1351" s="116">
        <v>1390.05</v>
      </c>
      <c r="N1351" s="116">
        <v>1405</v>
      </c>
      <c r="O1351" s="116">
        <v>1369.55</v>
      </c>
      <c r="P1351" s="116">
        <v>1384</v>
      </c>
      <c r="Q1351" s="116">
        <v>1390.05</v>
      </c>
      <c r="R1351">
        <v>24090</v>
      </c>
    </row>
    <row r="1352" spans="1:18" x14ac:dyDescent="0.25">
      <c r="A1352" s="170">
        <v>44000</v>
      </c>
      <c r="B1352" s="116">
        <v>1395</v>
      </c>
      <c r="C1352" s="116">
        <v>1371.1</v>
      </c>
      <c r="D1352" s="116">
        <v>1362</v>
      </c>
      <c r="E1352" s="116">
        <v>1389.9</v>
      </c>
      <c r="F1352" s="116">
        <v>1371.1</v>
      </c>
      <c r="G1352">
        <v>1081</v>
      </c>
      <c r="H1352" s="116"/>
      <c r="I1352" s="116"/>
      <c r="L1352" s="170">
        <v>44000</v>
      </c>
      <c r="M1352" s="116">
        <v>1371.6</v>
      </c>
      <c r="N1352" s="116">
        <v>1397.35</v>
      </c>
      <c r="O1352" s="116">
        <v>1360.1</v>
      </c>
      <c r="P1352" s="116">
        <v>1381</v>
      </c>
      <c r="Q1352" s="116">
        <v>1371.6</v>
      </c>
      <c r="R1352">
        <v>25720</v>
      </c>
    </row>
    <row r="1353" spans="1:18" x14ac:dyDescent="0.25">
      <c r="A1353" s="170">
        <v>44001</v>
      </c>
      <c r="B1353" s="116">
        <v>1381.8</v>
      </c>
      <c r="C1353" s="116">
        <v>1368.7</v>
      </c>
      <c r="D1353" s="116">
        <v>1362.8</v>
      </c>
      <c r="E1353" s="116">
        <v>1371</v>
      </c>
      <c r="F1353" s="116">
        <v>1368.7</v>
      </c>
      <c r="G1353">
        <v>1330</v>
      </c>
      <c r="H1353" s="116"/>
      <c r="I1353" s="116"/>
      <c r="L1353" s="170">
        <v>44001</v>
      </c>
      <c r="M1353" s="116">
        <v>1367.8</v>
      </c>
      <c r="N1353" s="116">
        <v>1383.2</v>
      </c>
      <c r="O1353" s="116">
        <v>1361</v>
      </c>
      <c r="P1353" s="116">
        <v>1371.6</v>
      </c>
      <c r="Q1353" s="116">
        <v>1367.8</v>
      </c>
      <c r="R1353">
        <v>16504</v>
      </c>
    </row>
    <row r="1354" spans="1:18" x14ac:dyDescent="0.25">
      <c r="A1354" s="170">
        <v>44004</v>
      </c>
      <c r="B1354" s="116">
        <v>1443</v>
      </c>
      <c r="C1354" s="116">
        <v>1436.9</v>
      </c>
      <c r="D1354" s="116">
        <v>1372.9</v>
      </c>
      <c r="E1354" s="116">
        <v>1402.2</v>
      </c>
      <c r="F1354" s="116">
        <v>1436.9</v>
      </c>
      <c r="G1354">
        <v>9081</v>
      </c>
      <c r="H1354" s="116"/>
      <c r="I1354" s="116"/>
      <c r="L1354" s="170">
        <v>44004</v>
      </c>
      <c r="M1354" s="116">
        <v>1437.6</v>
      </c>
      <c r="N1354" s="116">
        <v>1443.85</v>
      </c>
      <c r="O1354" s="116">
        <v>1371.1</v>
      </c>
      <c r="P1354" s="116">
        <v>1415</v>
      </c>
      <c r="Q1354" s="116">
        <v>1437.6</v>
      </c>
      <c r="R1354">
        <v>83557</v>
      </c>
    </row>
    <row r="1355" spans="1:18" x14ac:dyDescent="0.25">
      <c r="A1355" s="170">
        <v>44005</v>
      </c>
      <c r="B1355" s="116">
        <v>1524</v>
      </c>
      <c r="C1355" s="116">
        <v>1509.35</v>
      </c>
      <c r="D1355" s="116">
        <v>1450</v>
      </c>
      <c r="E1355" s="116">
        <v>1450</v>
      </c>
      <c r="F1355" s="116">
        <v>1509.35</v>
      </c>
      <c r="G1355">
        <v>11874</v>
      </c>
      <c r="H1355" s="116"/>
      <c r="I1355" s="116"/>
      <c r="L1355" s="170">
        <v>44005</v>
      </c>
      <c r="M1355" s="116">
        <v>1511</v>
      </c>
      <c r="N1355" s="116">
        <v>1525</v>
      </c>
      <c r="O1355" s="116">
        <v>1450.05</v>
      </c>
      <c r="P1355" s="116">
        <v>1459</v>
      </c>
      <c r="Q1355" s="116">
        <v>1511</v>
      </c>
      <c r="R1355">
        <v>156652</v>
      </c>
    </row>
    <row r="1356" spans="1:18" x14ac:dyDescent="0.25">
      <c r="A1356" s="170">
        <v>44006</v>
      </c>
      <c r="B1356" s="116">
        <v>1521</v>
      </c>
      <c r="C1356" s="116">
        <v>1466.55</v>
      </c>
      <c r="D1356" s="116">
        <v>1460</v>
      </c>
      <c r="E1356" s="116">
        <v>1498</v>
      </c>
      <c r="F1356" s="116">
        <v>1466.55</v>
      </c>
      <c r="G1356">
        <v>3712</v>
      </c>
      <c r="H1356" s="116"/>
      <c r="I1356" s="116"/>
      <c r="L1356" s="170">
        <v>44006</v>
      </c>
      <c r="M1356" s="116">
        <v>1464</v>
      </c>
      <c r="N1356" s="116">
        <v>1524</v>
      </c>
      <c r="O1356" s="116">
        <v>1460</v>
      </c>
      <c r="P1356" s="116">
        <v>1515</v>
      </c>
      <c r="Q1356" s="116">
        <v>1464</v>
      </c>
      <c r="R1356">
        <v>43426</v>
      </c>
    </row>
    <row r="1357" spans="1:18" x14ac:dyDescent="0.25">
      <c r="A1357" s="170">
        <v>44007</v>
      </c>
      <c r="B1357" s="116">
        <v>1521</v>
      </c>
      <c r="C1357" s="116">
        <v>1500.3</v>
      </c>
      <c r="D1357" s="116">
        <v>1447.9</v>
      </c>
      <c r="E1357" s="116">
        <v>1460.5</v>
      </c>
      <c r="F1357" s="116">
        <v>1500.3</v>
      </c>
      <c r="G1357">
        <v>7675</v>
      </c>
      <c r="H1357" s="116"/>
      <c r="I1357" s="116"/>
      <c r="L1357" s="170">
        <v>44007</v>
      </c>
      <c r="M1357" s="116">
        <v>1500.7</v>
      </c>
      <c r="N1357" s="116">
        <v>1522.7</v>
      </c>
      <c r="O1357" s="116">
        <v>1445</v>
      </c>
      <c r="P1357" s="116">
        <v>1459</v>
      </c>
      <c r="Q1357" s="116">
        <v>1500.7</v>
      </c>
      <c r="R1357">
        <v>51147</v>
      </c>
    </row>
    <row r="1358" spans="1:18" x14ac:dyDescent="0.25">
      <c r="A1358" s="170">
        <v>44008</v>
      </c>
      <c r="B1358" s="116">
        <v>1519.95</v>
      </c>
      <c r="C1358" s="116">
        <v>1481.1</v>
      </c>
      <c r="D1358" s="116">
        <v>1479.1</v>
      </c>
      <c r="E1358" s="116">
        <v>1501.5</v>
      </c>
      <c r="F1358" s="116">
        <v>1481.1</v>
      </c>
      <c r="G1358">
        <v>2559</v>
      </c>
      <c r="H1358" s="116"/>
      <c r="I1358" s="116"/>
      <c r="L1358" s="170">
        <v>44008</v>
      </c>
      <c r="M1358" s="116">
        <v>1481.1</v>
      </c>
      <c r="N1358" s="116">
        <v>1521</v>
      </c>
      <c r="O1358" s="116">
        <v>1479</v>
      </c>
      <c r="P1358" s="116">
        <v>1502.5</v>
      </c>
      <c r="Q1358" s="116">
        <v>1481.1</v>
      </c>
      <c r="R1358">
        <v>28565</v>
      </c>
    </row>
    <row r="1359" spans="1:18" x14ac:dyDescent="0.25">
      <c r="A1359" s="170">
        <v>44011</v>
      </c>
      <c r="B1359" s="116">
        <v>1502.5</v>
      </c>
      <c r="C1359" s="116">
        <v>1490.5</v>
      </c>
      <c r="D1359" s="116">
        <v>1473</v>
      </c>
      <c r="E1359" s="116">
        <v>1490</v>
      </c>
      <c r="F1359" s="116">
        <v>1490.5</v>
      </c>
      <c r="G1359">
        <v>2433</v>
      </c>
      <c r="H1359" s="116"/>
      <c r="I1359" s="116"/>
      <c r="L1359" s="170">
        <v>44011</v>
      </c>
      <c r="M1359" s="116">
        <v>1490.25</v>
      </c>
      <c r="N1359" s="116">
        <v>1505.5</v>
      </c>
      <c r="O1359" s="116">
        <v>1471.5</v>
      </c>
      <c r="P1359" s="116">
        <v>1484.05</v>
      </c>
      <c r="Q1359" s="116">
        <v>1490.25</v>
      </c>
      <c r="R1359">
        <v>25759</v>
      </c>
    </row>
    <row r="1360" spans="1:18" x14ac:dyDescent="0.25">
      <c r="A1360" s="170">
        <v>44012</v>
      </c>
      <c r="B1360" s="116">
        <v>1505</v>
      </c>
      <c r="C1360" s="116">
        <v>1481.25</v>
      </c>
      <c r="D1360" s="116">
        <v>1463.6</v>
      </c>
      <c r="E1360" s="116">
        <v>1495.05</v>
      </c>
      <c r="F1360" s="116">
        <v>1481.25</v>
      </c>
      <c r="G1360">
        <v>3781</v>
      </c>
      <c r="H1360" s="116"/>
      <c r="I1360" s="116"/>
      <c r="L1360" s="170">
        <v>44012</v>
      </c>
      <c r="M1360" s="116">
        <v>1481.6</v>
      </c>
      <c r="N1360" s="116">
        <v>1508.95</v>
      </c>
      <c r="O1360" s="116">
        <v>1475</v>
      </c>
      <c r="P1360" s="116">
        <v>1500</v>
      </c>
      <c r="Q1360" s="116">
        <v>1481.6</v>
      </c>
      <c r="R1360">
        <v>19325</v>
      </c>
    </row>
    <row r="1361" spans="1:18" x14ac:dyDescent="0.25">
      <c r="A1361" s="170">
        <v>44013</v>
      </c>
      <c r="B1361" s="116">
        <v>1492</v>
      </c>
      <c r="C1361" s="116">
        <v>1476.05</v>
      </c>
      <c r="D1361" s="116">
        <v>1466</v>
      </c>
      <c r="E1361" s="116">
        <v>1482</v>
      </c>
      <c r="F1361" s="116">
        <v>1476.05</v>
      </c>
      <c r="G1361">
        <v>1914</v>
      </c>
      <c r="H1361" s="116"/>
      <c r="I1361" s="116"/>
      <c r="L1361" s="170">
        <v>44013</v>
      </c>
      <c r="M1361" s="116">
        <v>1472.35</v>
      </c>
      <c r="N1361" s="116">
        <v>1490</v>
      </c>
      <c r="O1361" s="116">
        <v>1466</v>
      </c>
      <c r="P1361" s="116">
        <v>1490</v>
      </c>
      <c r="Q1361" s="116">
        <v>1472.35</v>
      </c>
      <c r="R1361">
        <v>15679</v>
      </c>
    </row>
    <row r="1362" spans="1:18" x14ac:dyDescent="0.25">
      <c r="A1362" s="170">
        <v>44014</v>
      </c>
      <c r="B1362" s="116">
        <v>1488.35</v>
      </c>
      <c r="C1362" s="116">
        <v>1467.15</v>
      </c>
      <c r="D1362" s="116">
        <v>1461</v>
      </c>
      <c r="E1362" s="116">
        <v>1480</v>
      </c>
      <c r="F1362" s="116">
        <v>1467.15</v>
      </c>
      <c r="G1362">
        <v>2945</v>
      </c>
      <c r="H1362" s="116"/>
      <c r="I1362" s="116"/>
      <c r="L1362" s="170">
        <v>44014</v>
      </c>
      <c r="M1362" s="116">
        <v>1466.25</v>
      </c>
      <c r="N1362" s="116">
        <v>1489.9</v>
      </c>
      <c r="O1362" s="116">
        <v>1460</v>
      </c>
      <c r="P1362" s="116">
        <v>1485</v>
      </c>
      <c r="Q1362" s="116">
        <v>1466.25</v>
      </c>
      <c r="R1362">
        <v>19355</v>
      </c>
    </row>
    <row r="1363" spans="1:18" x14ac:dyDescent="0.25">
      <c r="A1363" s="170">
        <v>44015</v>
      </c>
      <c r="B1363" s="116">
        <v>1485</v>
      </c>
      <c r="C1363" s="116">
        <v>1466.5</v>
      </c>
      <c r="D1363" s="116">
        <v>1462.9</v>
      </c>
      <c r="E1363" s="116">
        <v>1470</v>
      </c>
      <c r="F1363" s="116">
        <v>1466.5</v>
      </c>
      <c r="G1363">
        <v>4245</v>
      </c>
      <c r="H1363" s="116"/>
      <c r="I1363" s="116"/>
      <c r="L1363" s="170">
        <v>44015</v>
      </c>
      <c r="M1363" s="116">
        <v>1466.1</v>
      </c>
      <c r="N1363" s="116">
        <v>1486.15</v>
      </c>
      <c r="O1363" s="116">
        <v>1460.5</v>
      </c>
      <c r="P1363" s="116">
        <v>1479.85</v>
      </c>
      <c r="Q1363" s="116">
        <v>1466.1</v>
      </c>
      <c r="R1363">
        <v>19597</v>
      </c>
    </row>
    <row r="1364" spans="1:18" x14ac:dyDescent="0.25">
      <c r="A1364" s="170">
        <v>44018</v>
      </c>
      <c r="B1364" s="116">
        <v>1499.25</v>
      </c>
      <c r="C1364" s="116">
        <v>1482.4</v>
      </c>
      <c r="D1364" s="116">
        <v>1469.5</v>
      </c>
      <c r="E1364" s="116">
        <v>1499.25</v>
      </c>
      <c r="F1364" s="116">
        <v>1482.4</v>
      </c>
      <c r="G1364">
        <v>3114</v>
      </c>
      <c r="H1364" s="116"/>
      <c r="I1364" s="116"/>
      <c r="L1364" s="170">
        <v>44018</v>
      </c>
      <c r="M1364" s="116">
        <v>1482.8</v>
      </c>
      <c r="N1364" s="116">
        <v>1499</v>
      </c>
      <c r="O1364" s="116">
        <v>1480</v>
      </c>
      <c r="P1364" s="116">
        <v>1498</v>
      </c>
      <c r="Q1364" s="116">
        <v>1482.8</v>
      </c>
      <c r="R1364">
        <v>23868</v>
      </c>
    </row>
    <row r="1365" spans="1:18" x14ac:dyDescent="0.25">
      <c r="A1365" s="170">
        <v>44019</v>
      </c>
      <c r="B1365" s="116">
        <v>1492</v>
      </c>
      <c r="C1365" s="116">
        <v>1478.8</v>
      </c>
      <c r="D1365" s="116">
        <v>1470.05</v>
      </c>
      <c r="E1365" s="116">
        <v>1470.05</v>
      </c>
      <c r="F1365" s="116">
        <v>1478.8</v>
      </c>
      <c r="G1365">
        <v>1621</v>
      </c>
      <c r="H1365" s="116"/>
      <c r="I1365" s="116"/>
      <c r="L1365" s="170">
        <v>44019</v>
      </c>
      <c r="M1365" s="116">
        <v>1478.7</v>
      </c>
      <c r="N1365" s="116">
        <v>1493.3</v>
      </c>
      <c r="O1365" s="116">
        <v>1475.1</v>
      </c>
      <c r="P1365" s="116">
        <v>1482.8</v>
      </c>
      <c r="Q1365" s="116">
        <v>1478.7</v>
      </c>
      <c r="R1365">
        <v>12005</v>
      </c>
    </row>
    <row r="1366" spans="1:18" x14ac:dyDescent="0.25">
      <c r="A1366" s="170">
        <v>44020</v>
      </c>
      <c r="B1366" s="116">
        <v>1498</v>
      </c>
      <c r="C1366" s="116">
        <v>1462.6</v>
      </c>
      <c r="D1366" s="116">
        <v>1458</v>
      </c>
      <c r="E1366" s="116">
        <v>1491</v>
      </c>
      <c r="F1366" s="116">
        <v>1462.6</v>
      </c>
      <c r="G1366">
        <v>2713</v>
      </c>
      <c r="H1366" s="116"/>
      <c r="I1366" s="116"/>
      <c r="L1366" s="170">
        <v>44020</v>
      </c>
      <c r="M1366" s="116">
        <v>1462.45</v>
      </c>
      <c r="N1366" s="116">
        <v>1495.05</v>
      </c>
      <c r="O1366" s="116">
        <v>1458.5</v>
      </c>
      <c r="P1366" s="116">
        <v>1480</v>
      </c>
      <c r="Q1366" s="116">
        <v>1462.45</v>
      </c>
      <c r="R1366">
        <v>21658</v>
      </c>
    </row>
    <row r="1367" spans="1:18" x14ac:dyDescent="0.25">
      <c r="A1367" s="170">
        <v>44021</v>
      </c>
      <c r="B1367" s="116">
        <v>1490</v>
      </c>
      <c r="C1367" s="116">
        <v>1474.8</v>
      </c>
      <c r="D1367" s="116">
        <v>1471</v>
      </c>
      <c r="E1367" s="116">
        <v>1490</v>
      </c>
      <c r="F1367" s="116">
        <v>1474.8</v>
      </c>
      <c r="G1367">
        <v>2201</v>
      </c>
      <c r="H1367" s="116"/>
      <c r="I1367" s="116"/>
      <c r="L1367" s="170">
        <v>44021</v>
      </c>
      <c r="M1367" s="116">
        <v>1474.4</v>
      </c>
      <c r="N1367" s="116">
        <v>1488</v>
      </c>
      <c r="O1367" s="116">
        <v>1465.25</v>
      </c>
      <c r="P1367" s="116">
        <v>1465.25</v>
      </c>
      <c r="Q1367" s="116">
        <v>1474.4</v>
      </c>
      <c r="R1367">
        <v>16212</v>
      </c>
    </row>
    <row r="1368" spans="1:18" x14ac:dyDescent="0.25">
      <c r="A1368" s="170">
        <v>44022</v>
      </c>
      <c r="B1368" s="116">
        <v>1492.2</v>
      </c>
      <c r="C1368" s="116">
        <v>1487</v>
      </c>
      <c r="D1368" s="116">
        <v>1470</v>
      </c>
      <c r="E1368" s="116">
        <v>1474.8</v>
      </c>
      <c r="F1368" s="116">
        <v>1487</v>
      </c>
      <c r="G1368">
        <v>2532</v>
      </c>
      <c r="H1368" s="116"/>
      <c r="I1368" s="116"/>
      <c r="L1368" s="170">
        <v>44022</v>
      </c>
      <c r="M1368" s="116">
        <v>1488.25</v>
      </c>
      <c r="N1368" s="116">
        <v>1493.3</v>
      </c>
      <c r="O1368" s="116">
        <v>1465.3</v>
      </c>
      <c r="P1368" s="116">
        <v>1465.3</v>
      </c>
      <c r="Q1368" s="116">
        <v>1488.25</v>
      </c>
      <c r="R1368">
        <v>17827</v>
      </c>
    </row>
    <row r="1369" spans="1:18" x14ac:dyDescent="0.25">
      <c r="A1369" s="170">
        <v>44025</v>
      </c>
      <c r="B1369" s="116">
        <v>1516</v>
      </c>
      <c r="C1369" s="116">
        <v>1506.55</v>
      </c>
      <c r="D1369" s="116">
        <v>1491.75</v>
      </c>
      <c r="E1369" s="116">
        <v>1499.9</v>
      </c>
      <c r="F1369" s="116">
        <v>1506.55</v>
      </c>
      <c r="G1369">
        <v>3577</v>
      </c>
      <c r="H1369" s="116"/>
      <c r="I1369" s="116"/>
      <c r="L1369" s="170">
        <v>44025</v>
      </c>
      <c r="M1369" s="116">
        <v>1504.65</v>
      </c>
      <c r="N1369" s="116">
        <v>1515</v>
      </c>
      <c r="O1369" s="116">
        <v>1489.15</v>
      </c>
      <c r="P1369" s="116">
        <v>1492.6</v>
      </c>
      <c r="Q1369" s="116">
        <v>1504.65</v>
      </c>
      <c r="R1369">
        <v>44848</v>
      </c>
    </row>
    <row r="1370" spans="1:18" x14ac:dyDescent="0.25">
      <c r="A1370" s="170">
        <v>44026</v>
      </c>
      <c r="B1370" s="116">
        <v>1511.2</v>
      </c>
      <c r="C1370" s="116">
        <v>1502.65</v>
      </c>
      <c r="D1370" s="116">
        <v>1490</v>
      </c>
      <c r="E1370" s="116">
        <v>1506.55</v>
      </c>
      <c r="F1370" s="116">
        <v>1502.65</v>
      </c>
      <c r="G1370">
        <v>3018</v>
      </c>
      <c r="H1370" s="116"/>
      <c r="I1370" s="116"/>
      <c r="L1370" s="170">
        <v>44026</v>
      </c>
      <c r="M1370" s="116">
        <v>1502.75</v>
      </c>
      <c r="N1370" s="116">
        <v>1513.4</v>
      </c>
      <c r="O1370" s="116">
        <v>1490.25</v>
      </c>
      <c r="P1370" s="116">
        <v>1513.4</v>
      </c>
      <c r="Q1370" s="116">
        <v>1502.75</v>
      </c>
      <c r="R1370">
        <v>22676</v>
      </c>
    </row>
    <row r="1371" spans="1:18" x14ac:dyDescent="0.25">
      <c r="A1371" s="170">
        <v>44027</v>
      </c>
      <c r="B1371" s="116">
        <v>1570.65</v>
      </c>
      <c r="C1371" s="116">
        <v>1525.8</v>
      </c>
      <c r="D1371" s="116">
        <v>1505</v>
      </c>
      <c r="E1371" s="116">
        <v>1514.95</v>
      </c>
      <c r="F1371" s="116">
        <v>1525.8</v>
      </c>
      <c r="G1371">
        <v>10845</v>
      </c>
      <c r="H1371" s="116"/>
      <c r="I1371" s="116"/>
      <c r="L1371" s="170">
        <v>44027</v>
      </c>
      <c r="M1371" s="116">
        <v>1527.25</v>
      </c>
      <c r="N1371" s="116">
        <v>1574</v>
      </c>
      <c r="O1371" s="116">
        <v>1503.15</v>
      </c>
      <c r="P1371" s="116">
        <v>1506</v>
      </c>
      <c r="Q1371" s="116">
        <v>1527.25</v>
      </c>
      <c r="R1371">
        <v>112796</v>
      </c>
    </row>
    <row r="1372" spans="1:18" x14ac:dyDescent="0.25">
      <c r="A1372" s="170">
        <v>44028</v>
      </c>
      <c r="B1372" s="116">
        <v>1559.3</v>
      </c>
      <c r="C1372" s="116">
        <v>1547.25</v>
      </c>
      <c r="D1372" s="116">
        <v>1518</v>
      </c>
      <c r="E1372" s="116">
        <v>1532.8</v>
      </c>
      <c r="F1372" s="116">
        <v>1547.25</v>
      </c>
      <c r="G1372">
        <v>3864</v>
      </c>
      <c r="H1372" s="116"/>
      <c r="I1372" s="116"/>
      <c r="L1372" s="170">
        <v>44028</v>
      </c>
      <c r="M1372" s="116">
        <v>1548.1</v>
      </c>
      <c r="N1372" s="116">
        <v>1557.95</v>
      </c>
      <c r="O1372" s="116">
        <v>1516</v>
      </c>
      <c r="P1372" s="116">
        <v>1535</v>
      </c>
      <c r="Q1372" s="116">
        <v>1548.1</v>
      </c>
      <c r="R1372">
        <v>59057</v>
      </c>
    </row>
    <row r="1373" spans="1:18" x14ac:dyDescent="0.25">
      <c r="A1373" s="170">
        <v>44029</v>
      </c>
      <c r="B1373" s="116">
        <v>1533</v>
      </c>
      <c r="C1373" s="116">
        <v>1519.75</v>
      </c>
      <c r="D1373" s="116">
        <v>1515</v>
      </c>
      <c r="E1373" s="116">
        <v>1532</v>
      </c>
      <c r="F1373" s="116">
        <v>1519.75</v>
      </c>
      <c r="G1373">
        <v>1993</v>
      </c>
      <c r="H1373" s="116"/>
      <c r="I1373" s="116"/>
      <c r="L1373" s="170">
        <v>44029</v>
      </c>
      <c r="M1373" s="116">
        <v>1519.2</v>
      </c>
      <c r="N1373" s="116">
        <v>1535</v>
      </c>
      <c r="O1373" s="116">
        <v>1511</v>
      </c>
      <c r="P1373" s="116">
        <v>1516.2</v>
      </c>
      <c r="Q1373" s="116">
        <v>1519.2</v>
      </c>
      <c r="R1373">
        <v>28140</v>
      </c>
    </row>
    <row r="1374" spans="1:18" x14ac:dyDescent="0.25">
      <c r="A1374" s="170">
        <v>44032</v>
      </c>
      <c r="B1374" s="116">
        <v>1540.45</v>
      </c>
      <c r="C1374" s="116">
        <v>1507.5</v>
      </c>
      <c r="D1374" s="116">
        <v>1495.1</v>
      </c>
      <c r="E1374" s="116">
        <v>1520</v>
      </c>
      <c r="F1374" s="116">
        <v>1507.5</v>
      </c>
      <c r="G1374">
        <v>3770</v>
      </c>
      <c r="H1374" s="116"/>
      <c r="I1374" s="116"/>
      <c r="L1374" s="170">
        <v>44032</v>
      </c>
      <c r="M1374" s="116">
        <v>1505.5</v>
      </c>
      <c r="N1374" s="116">
        <v>1542.05</v>
      </c>
      <c r="O1374" s="116">
        <v>1485</v>
      </c>
      <c r="P1374" s="116">
        <v>1522.6</v>
      </c>
      <c r="Q1374" s="116">
        <v>1505.5</v>
      </c>
      <c r="R1374">
        <v>25712</v>
      </c>
    </row>
    <row r="1375" spans="1:18" x14ac:dyDescent="0.25">
      <c r="A1375" s="170">
        <v>44033</v>
      </c>
      <c r="B1375" s="116">
        <v>1524</v>
      </c>
      <c r="C1375" s="116">
        <v>1480.05</v>
      </c>
      <c r="D1375" s="116">
        <v>1474</v>
      </c>
      <c r="E1375" s="116">
        <v>1520.4</v>
      </c>
      <c r="F1375" s="116">
        <v>1480.05</v>
      </c>
      <c r="G1375">
        <v>6762</v>
      </c>
      <c r="H1375" s="116"/>
      <c r="I1375" s="116"/>
      <c r="L1375" s="170">
        <v>44033</v>
      </c>
      <c r="M1375" s="116">
        <v>1481.6</v>
      </c>
      <c r="N1375" s="116">
        <v>1524.9</v>
      </c>
      <c r="O1375" s="116">
        <v>1475</v>
      </c>
      <c r="P1375" s="116">
        <v>1514</v>
      </c>
      <c r="Q1375" s="116">
        <v>1481.6</v>
      </c>
      <c r="R1375">
        <v>28742</v>
      </c>
    </row>
    <row r="1376" spans="1:18" x14ac:dyDescent="0.25">
      <c r="A1376" s="170">
        <v>44034</v>
      </c>
      <c r="B1376" s="116">
        <v>1491.45</v>
      </c>
      <c r="C1376" s="116">
        <v>1468.4</v>
      </c>
      <c r="D1376" s="116">
        <v>1464.8</v>
      </c>
      <c r="E1376" s="116">
        <v>1478.15</v>
      </c>
      <c r="F1376" s="116">
        <v>1468.4</v>
      </c>
      <c r="G1376">
        <v>2142</v>
      </c>
      <c r="H1376" s="116"/>
      <c r="I1376" s="116"/>
      <c r="L1376" s="170">
        <v>44034</v>
      </c>
      <c r="M1376" s="116">
        <v>1468.55</v>
      </c>
      <c r="N1376" s="116">
        <v>1493.95</v>
      </c>
      <c r="O1376" s="116">
        <v>1464</v>
      </c>
      <c r="P1376" s="116">
        <v>1485</v>
      </c>
      <c r="Q1376" s="116">
        <v>1468.55</v>
      </c>
      <c r="R1376">
        <v>16243</v>
      </c>
    </row>
    <row r="1377" spans="1:18" x14ac:dyDescent="0.25">
      <c r="A1377" s="170">
        <v>44035</v>
      </c>
      <c r="B1377" s="116">
        <v>1487</v>
      </c>
      <c r="C1377" s="116">
        <v>1469.25</v>
      </c>
      <c r="D1377" s="116">
        <v>1454.05</v>
      </c>
      <c r="E1377" s="116">
        <v>1454.05</v>
      </c>
      <c r="F1377" s="116">
        <v>1469.25</v>
      </c>
      <c r="G1377">
        <v>2696</v>
      </c>
      <c r="H1377" s="116"/>
      <c r="I1377" s="116"/>
      <c r="L1377" s="170">
        <v>44035</v>
      </c>
      <c r="M1377" s="116">
        <v>1466.15</v>
      </c>
      <c r="N1377" s="116">
        <v>1488.35</v>
      </c>
      <c r="O1377" s="116">
        <v>1459</v>
      </c>
      <c r="P1377" s="116">
        <v>1474</v>
      </c>
      <c r="Q1377" s="116">
        <v>1466.15</v>
      </c>
      <c r="R1377">
        <v>18492</v>
      </c>
    </row>
    <row r="1378" spans="1:18" x14ac:dyDescent="0.25">
      <c r="A1378" s="170">
        <v>44036</v>
      </c>
      <c r="B1378" s="116">
        <v>1495.55</v>
      </c>
      <c r="C1378" s="116">
        <v>1474.95</v>
      </c>
      <c r="D1378" s="116">
        <v>1460.75</v>
      </c>
      <c r="E1378" s="116">
        <v>1472.4</v>
      </c>
      <c r="F1378" s="116">
        <v>1474.95</v>
      </c>
      <c r="G1378">
        <v>2220</v>
      </c>
      <c r="H1378" s="116"/>
      <c r="I1378" s="116"/>
      <c r="L1378" s="170">
        <v>44036</v>
      </c>
      <c r="M1378" s="116">
        <v>1476.1</v>
      </c>
      <c r="N1378" s="116">
        <v>1496</v>
      </c>
      <c r="O1378" s="116">
        <v>1461</v>
      </c>
      <c r="P1378" s="116">
        <v>1466</v>
      </c>
      <c r="Q1378" s="116">
        <v>1476.1</v>
      </c>
      <c r="R1378">
        <v>49623</v>
      </c>
    </row>
    <row r="1379" spans="1:18" x14ac:dyDescent="0.25">
      <c r="A1379" s="170">
        <v>44039</v>
      </c>
      <c r="B1379" s="116">
        <v>1480</v>
      </c>
      <c r="C1379" s="116">
        <v>1456.5</v>
      </c>
      <c r="D1379" s="116">
        <v>1451.15</v>
      </c>
      <c r="E1379" s="116">
        <v>1477</v>
      </c>
      <c r="F1379" s="116">
        <v>1456.5</v>
      </c>
      <c r="G1379">
        <v>1593</v>
      </c>
      <c r="H1379" s="116"/>
      <c r="I1379" s="116"/>
      <c r="L1379" s="170">
        <v>44039</v>
      </c>
      <c r="M1379" s="116">
        <v>1455.75</v>
      </c>
      <c r="N1379" s="116">
        <v>1483</v>
      </c>
      <c r="O1379" s="116">
        <v>1451</v>
      </c>
      <c r="P1379" s="116">
        <v>1477.05</v>
      </c>
      <c r="Q1379" s="116">
        <v>1455.75</v>
      </c>
      <c r="R1379">
        <v>23138</v>
      </c>
    </row>
    <row r="1380" spans="1:18" x14ac:dyDescent="0.25">
      <c r="A1380" s="170">
        <v>44040</v>
      </c>
      <c r="B1380" s="116">
        <v>1470</v>
      </c>
      <c r="C1380" s="116">
        <v>1462.25</v>
      </c>
      <c r="D1380" s="116">
        <v>1450.3</v>
      </c>
      <c r="E1380" s="116">
        <v>1455.55</v>
      </c>
      <c r="F1380" s="116">
        <v>1462.25</v>
      </c>
      <c r="G1380">
        <v>2260</v>
      </c>
      <c r="H1380" s="116"/>
      <c r="I1380" s="116"/>
      <c r="L1380" s="170">
        <v>44040</v>
      </c>
      <c r="M1380" s="116">
        <v>1464.3</v>
      </c>
      <c r="N1380" s="116">
        <v>1472.45</v>
      </c>
      <c r="O1380" s="116">
        <v>1455</v>
      </c>
      <c r="P1380" s="116">
        <v>1457.95</v>
      </c>
      <c r="Q1380" s="116">
        <v>1464.3</v>
      </c>
      <c r="R1380">
        <v>12878</v>
      </c>
    </row>
    <row r="1381" spans="1:18" x14ac:dyDescent="0.25">
      <c r="A1381" s="170">
        <v>44041</v>
      </c>
      <c r="B1381" s="116">
        <v>1498.45</v>
      </c>
      <c r="C1381" s="116">
        <v>1482.05</v>
      </c>
      <c r="D1381" s="116">
        <v>1465</v>
      </c>
      <c r="E1381" s="116">
        <v>1465</v>
      </c>
      <c r="F1381" s="116">
        <v>1482.05</v>
      </c>
      <c r="G1381">
        <v>1642</v>
      </c>
      <c r="H1381" s="116"/>
      <c r="I1381" s="116"/>
      <c r="L1381" s="170">
        <v>44041</v>
      </c>
      <c r="M1381" s="116">
        <v>1480.65</v>
      </c>
      <c r="N1381" s="116">
        <v>1497</v>
      </c>
      <c r="O1381" s="116">
        <v>1467.15</v>
      </c>
      <c r="P1381" s="116">
        <v>1476</v>
      </c>
      <c r="Q1381" s="116">
        <v>1480.65</v>
      </c>
      <c r="R1381">
        <v>23789</v>
      </c>
    </row>
    <row r="1382" spans="1:18" x14ac:dyDescent="0.25">
      <c r="A1382" s="170">
        <v>44042</v>
      </c>
      <c r="B1382" s="116">
        <v>1482</v>
      </c>
      <c r="C1382" s="116">
        <v>1443.05</v>
      </c>
      <c r="D1382" s="116">
        <v>1439</v>
      </c>
      <c r="E1382" s="116">
        <v>1482</v>
      </c>
      <c r="F1382" s="116">
        <v>1443.05</v>
      </c>
      <c r="G1382">
        <v>4242</v>
      </c>
      <c r="H1382" s="116"/>
      <c r="I1382" s="116"/>
      <c r="L1382" s="170">
        <v>44042</v>
      </c>
      <c r="M1382" s="116">
        <v>1442.45</v>
      </c>
      <c r="N1382" s="116">
        <v>1484.95</v>
      </c>
      <c r="O1382" s="116">
        <v>1436.55</v>
      </c>
      <c r="P1382" s="116">
        <v>1480.65</v>
      </c>
      <c r="Q1382" s="116">
        <v>1442.45</v>
      </c>
      <c r="R1382">
        <v>54716</v>
      </c>
    </row>
    <row r="1383" spans="1:18" x14ac:dyDescent="0.25">
      <c r="A1383" s="170">
        <v>44043</v>
      </c>
      <c r="B1383" s="116">
        <v>1445.3</v>
      </c>
      <c r="C1383" s="116">
        <v>1437.75</v>
      </c>
      <c r="D1383" s="116">
        <v>1430</v>
      </c>
      <c r="E1383" s="116">
        <v>1442.7</v>
      </c>
      <c r="F1383" s="116">
        <v>1437.75</v>
      </c>
      <c r="G1383">
        <v>6751</v>
      </c>
      <c r="H1383" s="116"/>
      <c r="I1383" s="116"/>
      <c r="L1383" s="170">
        <v>44043</v>
      </c>
      <c r="M1383" s="116">
        <v>1437.3</v>
      </c>
      <c r="N1383" s="116">
        <v>1449.4</v>
      </c>
      <c r="O1383" s="116">
        <v>1435</v>
      </c>
      <c r="P1383" s="116">
        <v>1441</v>
      </c>
      <c r="Q1383" s="116">
        <v>1437.3</v>
      </c>
      <c r="R1383">
        <v>25932</v>
      </c>
    </row>
    <row r="1384" spans="1:18" x14ac:dyDescent="0.25">
      <c r="A1384" s="170">
        <v>44046</v>
      </c>
      <c r="B1384" s="116">
        <v>1504.2</v>
      </c>
      <c r="C1384" s="116">
        <v>1478.65</v>
      </c>
      <c r="D1384" s="116">
        <v>1424.4</v>
      </c>
      <c r="E1384" s="116">
        <v>1440</v>
      </c>
      <c r="F1384" s="116">
        <v>1478.65</v>
      </c>
      <c r="G1384">
        <v>4939</v>
      </c>
      <c r="H1384" s="116"/>
      <c r="I1384" s="116"/>
      <c r="L1384" s="170">
        <v>44046</v>
      </c>
      <c r="M1384" s="116">
        <v>1477.95</v>
      </c>
      <c r="N1384" s="116">
        <v>1509</v>
      </c>
      <c r="O1384" s="116">
        <v>1423.1</v>
      </c>
      <c r="P1384" s="116">
        <v>1441.6</v>
      </c>
      <c r="Q1384" s="116">
        <v>1477.95</v>
      </c>
      <c r="R1384">
        <v>141024</v>
      </c>
    </row>
    <row r="1385" spans="1:18" x14ac:dyDescent="0.25">
      <c r="A1385" s="170">
        <v>44047</v>
      </c>
      <c r="B1385" s="116">
        <v>1530</v>
      </c>
      <c r="C1385" s="116">
        <v>1507.05</v>
      </c>
      <c r="D1385" s="116">
        <v>1463.05</v>
      </c>
      <c r="E1385" s="116">
        <v>1497</v>
      </c>
      <c r="F1385" s="116">
        <v>1507.05</v>
      </c>
      <c r="G1385">
        <v>8679</v>
      </c>
      <c r="H1385" s="116"/>
      <c r="I1385" s="116"/>
      <c r="L1385" s="170">
        <v>44047</v>
      </c>
      <c r="M1385" s="116">
        <v>1507.45</v>
      </c>
      <c r="N1385" s="116">
        <v>1530</v>
      </c>
      <c r="O1385" s="116">
        <v>1481.65</v>
      </c>
      <c r="P1385" s="116">
        <v>1497</v>
      </c>
      <c r="Q1385" s="116">
        <v>1507.45</v>
      </c>
      <c r="R1385">
        <v>136597</v>
      </c>
    </row>
    <row r="1386" spans="1:18" x14ac:dyDescent="0.25">
      <c r="A1386" s="170">
        <v>44048</v>
      </c>
      <c r="B1386" s="116">
        <v>1516</v>
      </c>
      <c r="C1386" s="116">
        <v>1476.85</v>
      </c>
      <c r="D1386" s="116">
        <v>1473.25</v>
      </c>
      <c r="E1386" s="116">
        <v>1509.65</v>
      </c>
      <c r="F1386" s="116">
        <v>1476.85</v>
      </c>
      <c r="G1386">
        <v>1783</v>
      </c>
      <c r="H1386" s="116"/>
      <c r="I1386" s="116"/>
      <c r="L1386" s="170">
        <v>44048</v>
      </c>
      <c r="M1386" s="116">
        <v>1480.5</v>
      </c>
      <c r="N1386" s="116">
        <v>1524</v>
      </c>
      <c r="O1386" s="116">
        <v>1470</v>
      </c>
      <c r="P1386" s="116">
        <v>1518</v>
      </c>
      <c r="Q1386" s="116">
        <v>1480.5</v>
      </c>
      <c r="R1386">
        <v>85405</v>
      </c>
    </row>
    <row r="1387" spans="1:18" x14ac:dyDescent="0.25">
      <c r="A1387" s="170">
        <v>44049</v>
      </c>
      <c r="B1387" s="116">
        <v>1520</v>
      </c>
      <c r="C1387" s="116">
        <v>1479</v>
      </c>
      <c r="D1387" s="116">
        <v>1476.15</v>
      </c>
      <c r="E1387" s="116">
        <v>1499.9</v>
      </c>
      <c r="F1387" s="116">
        <v>1479</v>
      </c>
      <c r="G1387">
        <v>1483</v>
      </c>
      <c r="H1387" s="116"/>
      <c r="I1387" s="116"/>
      <c r="L1387" s="170">
        <v>44049</v>
      </c>
      <c r="M1387" s="116">
        <v>1478.05</v>
      </c>
      <c r="N1387" s="116">
        <v>1515.1</v>
      </c>
      <c r="O1387" s="116">
        <v>1475</v>
      </c>
      <c r="P1387" s="116">
        <v>1482</v>
      </c>
      <c r="Q1387" s="116">
        <v>1478.05</v>
      </c>
      <c r="R1387">
        <v>29096</v>
      </c>
    </row>
    <row r="1388" spans="1:18" x14ac:dyDescent="0.25">
      <c r="A1388" s="170">
        <v>44050</v>
      </c>
      <c r="B1388" s="116">
        <v>1500</v>
      </c>
      <c r="C1388" s="116">
        <v>1485.05</v>
      </c>
      <c r="D1388" s="116">
        <v>1482.25</v>
      </c>
      <c r="E1388" s="116">
        <v>1490.2</v>
      </c>
      <c r="F1388" s="116">
        <v>1485.05</v>
      </c>
      <c r="G1388">
        <v>2450</v>
      </c>
      <c r="H1388" s="116"/>
      <c r="I1388" s="116"/>
      <c r="L1388" s="170">
        <v>44050</v>
      </c>
      <c r="M1388" s="116">
        <v>1488.7</v>
      </c>
      <c r="N1388" s="116">
        <v>1500</v>
      </c>
      <c r="O1388" s="116">
        <v>1482.65</v>
      </c>
      <c r="P1388" s="116">
        <v>1486</v>
      </c>
      <c r="Q1388" s="116">
        <v>1488.7</v>
      </c>
      <c r="R1388">
        <v>120079</v>
      </c>
    </row>
    <row r="1389" spans="1:18" x14ac:dyDescent="0.25">
      <c r="A1389" s="170">
        <v>44053</v>
      </c>
      <c r="B1389" s="116">
        <v>1508.25</v>
      </c>
      <c r="C1389" s="116">
        <v>1469</v>
      </c>
      <c r="D1389" s="116">
        <v>1459</v>
      </c>
      <c r="E1389" s="116">
        <v>1493</v>
      </c>
      <c r="F1389" s="116">
        <v>1469</v>
      </c>
      <c r="G1389">
        <v>3642</v>
      </c>
      <c r="H1389" s="116"/>
      <c r="I1389" s="116"/>
      <c r="L1389" s="170">
        <v>44053</v>
      </c>
      <c r="M1389" s="116">
        <v>1468.75</v>
      </c>
      <c r="N1389" s="116">
        <v>1509.95</v>
      </c>
      <c r="O1389" s="116">
        <v>1458.2</v>
      </c>
      <c r="P1389" s="116">
        <v>1490</v>
      </c>
      <c r="Q1389" s="116">
        <v>1468.75</v>
      </c>
      <c r="R1389">
        <v>67712</v>
      </c>
    </row>
    <row r="1390" spans="1:18" x14ac:dyDescent="0.25">
      <c r="A1390" s="170">
        <v>44054</v>
      </c>
      <c r="B1390" s="116">
        <v>1491.75</v>
      </c>
      <c r="C1390" s="116">
        <v>1474.4</v>
      </c>
      <c r="D1390" s="116">
        <v>1468.35</v>
      </c>
      <c r="E1390" s="116">
        <v>1469</v>
      </c>
      <c r="F1390" s="116">
        <v>1474.4</v>
      </c>
      <c r="G1390">
        <v>2231</v>
      </c>
      <c r="H1390" s="116"/>
      <c r="I1390" s="116"/>
      <c r="L1390" s="170">
        <v>44054</v>
      </c>
      <c r="M1390" s="116">
        <v>1473.2</v>
      </c>
      <c r="N1390" s="116">
        <v>1499</v>
      </c>
      <c r="O1390" s="116">
        <v>1469.95</v>
      </c>
      <c r="P1390" s="116">
        <v>1470</v>
      </c>
      <c r="Q1390" s="116">
        <v>1473.2</v>
      </c>
      <c r="R1390">
        <v>42982</v>
      </c>
    </row>
    <row r="1391" spans="1:18" x14ac:dyDescent="0.25">
      <c r="A1391" s="170">
        <v>44055</v>
      </c>
      <c r="B1391" s="116">
        <v>1491.75</v>
      </c>
      <c r="C1391" s="116">
        <v>1457.85</v>
      </c>
      <c r="D1391" s="116">
        <v>1455.1</v>
      </c>
      <c r="E1391" s="116">
        <v>1491.75</v>
      </c>
      <c r="F1391" s="116">
        <v>1457.85</v>
      </c>
      <c r="G1391">
        <v>2071</v>
      </c>
      <c r="H1391" s="116"/>
      <c r="I1391" s="116"/>
      <c r="L1391" s="170">
        <v>44055</v>
      </c>
      <c r="M1391" s="116">
        <v>1456.5</v>
      </c>
      <c r="N1391" s="116">
        <v>1481.9</v>
      </c>
      <c r="O1391" s="116">
        <v>1455.55</v>
      </c>
      <c r="P1391" s="116">
        <v>1481.9</v>
      </c>
      <c r="Q1391" s="116">
        <v>1456.5</v>
      </c>
      <c r="R1391">
        <v>58756</v>
      </c>
    </row>
    <row r="1392" spans="1:18" x14ac:dyDescent="0.25">
      <c r="A1392" s="170">
        <v>44056</v>
      </c>
      <c r="B1392" s="116">
        <v>1539.9</v>
      </c>
      <c r="C1392" s="116">
        <v>1523.6</v>
      </c>
      <c r="D1392" s="116">
        <v>1470.5</v>
      </c>
      <c r="E1392" s="116">
        <v>1479.3</v>
      </c>
      <c r="F1392" s="116">
        <v>1523.6</v>
      </c>
      <c r="G1392">
        <v>11672</v>
      </c>
      <c r="H1392" s="116"/>
      <c r="I1392" s="116"/>
      <c r="L1392" s="170">
        <v>44056</v>
      </c>
      <c r="M1392" s="116">
        <v>1524.1</v>
      </c>
      <c r="N1392" s="116">
        <v>1540</v>
      </c>
      <c r="O1392" s="116">
        <v>1461.65</v>
      </c>
      <c r="P1392" s="116">
        <v>1475</v>
      </c>
      <c r="Q1392" s="116">
        <v>1524.1</v>
      </c>
      <c r="R1392">
        <v>267310</v>
      </c>
    </row>
    <row r="1393" spans="1:18" x14ac:dyDescent="0.25">
      <c r="A1393" s="170">
        <v>44057</v>
      </c>
      <c r="B1393" s="116">
        <v>1547.8</v>
      </c>
      <c r="C1393" s="116">
        <v>1520.65</v>
      </c>
      <c r="D1393" s="116">
        <v>1505</v>
      </c>
      <c r="E1393" s="116">
        <v>1524</v>
      </c>
      <c r="F1393" s="116">
        <v>1520.65</v>
      </c>
      <c r="G1393">
        <v>4560</v>
      </c>
      <c r="H1393" s="116"/>
      <c r="I1393" s="116"/>
      <c r="L1393" s="170">
        <v>44057</v>
      </c>
      <c r="M1393" s="116">
        <v>1518.1</v>
      </c>
      <c r="N1393" s="116">
        <v>1548.8</v>
      </c>
      <c r="O1393" s="116">
        <v>1505</v>
      </c>
      <c r="P1393" s="116">
        <v>1535</v>
      </c>
      <c r="Q1393" s="116">
        <v>1518.1</v>
      </c>
      <c r="R1393">
        <v>93612</v>
      </c>
    </row>
    <row r="1394" spans="1:18" x14ac:dyDescent="0.25">
      <c r="A1394" s="170">
        <v>44060</v>
      </c>
      <c r="B1394" s="116">
        <v>1532.05</v>
      </c>
      <c r="C1394" s="116">
        <v>1513.15</v>
      </c>
      <c r="D1394" s="116">
        <v>1490</v>
      </c>
      <c r="E1394" s="116">
        <v>1525</v>
      </c>
      <c r="F1394" s="116">
        <v>1513.15</v>
      </c>
      <c r="G1394">
        <v>2648</v>
      </c>
      <c r="H1394" s="116"/>
      <c r="I1394" s="116"/>
      <c r="L1394" s="170">
        <v>44060</v>
      </c>
      <c r="M1394" s="116">
        <v>1513.1</v>
      </c>
      <c r="N1394" s="116">
        <v>1540</v>
      </c>
      <c r="O1394" s="116">
        <v>1488.35</v>
      </c>
      <c r="P1394" s="116">
        <v>1522.05</v>
      </c>
      <c r="Q1394" s="116">
        <v>1513.1</v>
      </c>
      <c r="R1394">
        <v>35030</v>
      </c>
    </row>
    <row r="1395" spans="1:18" x14ac:dyDescent="0.25">
      <c r="A1395" s="170">
        <v>44061</v>
      </c>
      <c r="B1395" s="116">
        <v>1525</v>
      </c>
      <c r="C1395" s="116">
        <v>1503.8</v>
      </c>
      <c r="D1395" s="116">
        <v>1499.45</v>
      </c>
      <c r="E1395" s="116">
        <v>1525</v>
      </c>
      <c r="F1395" s="116">
        <v>1503.8</v>
      </c>
      <c r="G1395">
        <v>2312</v>
      </c>
      <c r="H1395" s="116"/>
      <c r="I1395" s="116"/>
      <c r="L1395" s="170">
        <v>44061</v>
      </c>
      <c r="M1395" s="116">
        <v>1503.15</v>
      </c>
      <c r="N1395" s="116">
        <v>1519.6</v>
      </c>
      <c r="O1395" s="116">
        <v>1500.4</v>
      </c>
      <c r="P1395" s="116">
        <v>1519.6</v>
      </c>
      <c r="Q1395" s="116">
        <v>1503.15</v>
      </c>
      <c r="R1395">
        <v>96626</v>
      </c>
    </row>
    <row r="1396" spans="1:18" x14ac:dyDescent="0.25">
      <c r="A1396" s="170">
        <v>44062</v>
      </c>
      <c r="B1396" s="116">
        <v>1524.65</v>
      </c>
      <c r="C1396" s="116">
        <v>1514.25</v>
      </c>
      <c r="D1396" s="116">
        <v>1492.3</v>
      </c>
      <c r="E1396" s="116">
        <v>1522.95</v>
      </c>
      <c r="F1396" s="116">
        <v>1514.25</v>
      </c>
      <c r="G1396">
        <v>2931</v>
      </c>
      <c r="H1396" s="116"/>
      <c r="I1396" s="116"/>
      <c r="L1396" s="170">
        <v>44062</v>
      </c>
      <c r="M1396" s="116">
        <v>1514.45</v>
      </c>
      <c r="N1396" s="116">
        <v>1527.8</v>
      </c>
      <c r="O1396" s="116">
        <v>1490</v>
      </c>
      <c r="P1396" s="116">
        <v>1515</v>
      </c>
      <c r="Q1396" s="116">
        <v>1514.45</v>
      </c>
      <c r="R1396">
        <v>126900</v>
      </c>
    </row>
    <row r="1397" spans="1:18" x14ac:dyDescent="0.25">
      <c r="A1397" s="170">
        <v>44063</v>
      </c>
      <c r="B1397" s="116">
        <v>1515</v>
      </c>
      <c r="C1397" s="116">
        <v>1489.35</v>
      </c>
      <c r="D1397" s="116">
        <v>1482.65</v>
      </c>
      <c r="E1397" s="116">
        <v>1501.25</v>
      </c>
      <c r="F1397" s="116">
        <v>1489.35</v>
      </c>
      <c r="G1397">
        <v>2442</v>
      </c>
      <c r="H1397" s="116"/>
      <c r="I1397" s="116"/>
      <c r="L1397" s="170">
        <v>44063</v>
      </c>
      <c r="M1397" s="116">
        <v>1490.05</v>
      </c>
      <c r="N1397" s="116">
        <v>1515.45</v>
      </c>
      <c r="O1397" s="116">
        <v>1482.65</v>
      </c>
      <c r="P1397" s="116">
        <v>1510</v>
      </c>
      <c r="Q1397" s="116">
        <v>1490.05</v>
      </c>
      <c r="R1397">
        <v>99206</v>
      </c>
    </row>
    <row r="1398" spans="1:18" x14ac:dyDescent="0.25">
      <c r="A1398" s="170">
        <v>44064</v>
      </c>
      <c r="B1398" s="116">
        <v>1519.95</v>
      </c>
      <c r="C1398" s="116">
        <v>1485.1</v>
      </c>
      <c r="D1398" s="116">
        <v>1482.75</v>
      </c>
      <c r="E1398" s="116">
        <v>1519.95</v>
      </c>
      <c r="F1398" s="116">
        <v>1485.1</v>
      </c>
      <c r="G1398">
        <v>1661</v>
      </c>
      <c r="H1398" s="116"/>
      <c r="I1398" s="116"/>
      <c r="L1398" s="170">
        <v>44064</v>
      </c>
      <c r="M1398" s="116">
        <v>1485.55</v>
      </c>
      <c r="N1398" s="116">
        <v>1510.85</v>
      </c>
      <c r="O1398" s="116">
        <v>1482.05</v>
      </c>
      <c r="P1398" s="116">
        <v>1510.2</v>
      </c>
      <c r="Q1398" s="116">
        <v>1485.55</v>
      </c>
      <c r="R1398">
        <v>59032</v>
      </c>
    </row>
    <row r="1399" spans="1:18" x14ac:dyDescent="0.25">
      <c r="A1399" s="170">
        <v>44067</v>
      </c>
      <c r="B1399" s="116">
        <v>1529</v>
      </c>
      <c r="C1399" s="116">
        <v>1522.15</v>
      </c>
      <c r="D1399" s="116">
        <v>1489.5</v>
      </c>
      <c r="E1399" s="116">
        <v>1510</v>
      </c>
      <c r="F1399" s="116">
        <v>1522.15</v>
      </c>
      <c r="G1399">
        <v>4981</v>
      </c>
      <c r="H1399" s="116"/>
      <c r="I1399" s="116"/>
      <c r="L1399" s="170">
        <v>44067</v>
      </c>
      <c r="M1399" s="116">
        <v>1522.85</v>
      </c>
      <c r="N1399" s="116">
        <v>1529</v>
      </c>
      <c r="O1399" s="116">
        <v>1491</v>
      </c>
      <c r="P1399" s="116">
        <v>1500</v>
      </c>
      <c r="Q1399" s="116">
        <v>1522.85</v>
      </c>
      <c r="R1399">
        <v>207679</v>
      </c>
    </row>
    <row r="1400" spans="1:18" x14ac:dyDescent="0.25">
      <c r="A1400" s="170">
        <v>44068</v>
      </c>
      <c r="B1400" s="116">
        <v>1626.85</v>
      </c>
      <c r="C1400" s="116">
        <v>1571.25</v>
      </c>
      <c r="D1400" s="116">
        <v>1522</v>
      </c>
      <c r="E1400" s="116">
        <v>1522</v>
      </c>
      <c r="F1400" s="116">
        <v>1571.25</v>
      </c>
      <c r="G1400">
        <v>11804</v>
      </c>
      <c r="H1400" s="116"/>
      <c r="I1400" s="116"/>
      <c r="L1400" s="170">
        <v>44068</v>
      </c>
      <c r="M1400" s="116">
        <v>1570.65</v>
      </c>
      <c r="N1400" s="116">
        <v>1628.95</v>
      </c>
      <c r="O1400" s="116">
        <v>1525</v>
      </c>
      <c r="P1400" s="116">
        <v>1530</v>
      </c>
      <c r="Q1400" s="116">
        <v>1570.65</v>
      </c>
      <c r="R1400">
        <v>408913</v>
      </c>
    </row>
    <row r="1401" spans="1:18" x14ac:dyDescent="0.25">
      <c r="A1401" s="170">
        <v>44069</v>
      </c>
      <c r="B1401" s="116">
        <v>1612</v>
      </c>
      <c r="C1401" s="116">
        <v>1588.05</v>
      </c>
      <c r="D1401" s="116">
        <v>1575</v>
      </c>
      <c r="E1401" s="116">
        <v>1575</v>
      </c>
      <c r="F1401" s="116">
        <v>1588.05</v>
      </c>
      <c r="G1401">
        <v>7544</v>
      </c>
      <c r="H1401" s="116"/>
      <c r="I1401" s="116"/>
      <c r="L1401" s="170">
        <v>44069</v>
      </c>
      <c r="M1401" s="116">
        <v>1589.5</v>
      </c>
      <c r="N1401" s="116">
        <v>1613</v>
      </c>
      <c r="O1401" s="116">
        <v>1576.05</v>
      </c>
      <c r="P1401" s="116">
        <v>1585.05</v>
      </c>
      <c r="Q1401" s="116">
        <v>1589.5</v>
      </c>
      <c r="R1401">
        <v>107040</v>
      </c>
    </row>
    <row r="1402" spans="1:18" x14ac:dyDescent="0.25">
      <c r="A1402" s="170">
        <v>44070</v>
      </c>
      <c r="B1402" s="116">
        <v>1628.9</v>
      </c>
      <c r="C1402" s="116">
        <v>1595.35</v>
      </c>
      <c r="D1402" s="116">
        <v>1588</v>
      </c>
      <c r="E1402" s="116">
        <v>1609</v>
      </c>
      <c r="F1402" s="116">
        <v>1595.35</v>
      </c>
      <c r="G1402">
        <v>5383</v>
      </c>
      <c r="H1402" s="116"/>
      <c r="I1402" s="116"/>
      <c r="L1402" s="170">
        <v>44070</v>
      </c>
      <c r="M1402" s="116">
        <v>1598.45</v>
      </c>
      <c r="N1402" s="116">
        <v>1629.5</v>
      </c>
      <c r="O1402" s="116">
        <v>1581.25</v>
      </c>
      <c r="P1402" s="116">
        <v>1600</v>
      </c>
      <c r="Q1402" s="116">
        <v>1598.45</v>
      </c>
      <c r="R1402">
        <v>140193</v>
      </c>
    </row>
    <row r="1403" spans="1:18" x14ac:dyDescent="0.25">
      <c r="A1403" s="170">
        <v>44071</v>
      </c>
      <c r="B1403" s="116">
        <v>1601.5</v>
      </c>
      <c r="C1403" s="116">
        <v>1582.6</v>
      </c>
      <c r="D1403" s="116">
        <v>1561</v>
      </c>
      <c r="E1403" s="116">
        <v>1590</v>
      </c>
      <c r="F1403" s="116">
        <v>1582.6</v>
      </c>
      <c r="G1403">
        <v>1909</v>
      </c>
      <c r="H1403" s="116"/>
      <c r="I1403" s="116"/>
      <c r="L1403" s="170">
        <v>44071</v>
      </c>
      <c r="M1403" s="116">
        <v>1583.15</v>
      </c>
      <c r="N1403" s="116">
        <v>1604</v>
      </c>
      <c r="O1403" s="116">
        <v>1561</v>
      </c>
      <c r="P1403" s="116">
        <v>1600</v>
      </c>
      <c r="Q1403" s="116">
        <v>1583.15</v>
      </c>
      <c r="R1403">
        <v>83032</v>
      </c>
    </row>
    <row r="1404" spans="1:18" x14ac:dyDescent="0.25">
      <c r="A1404" s="170">
        <v>44074</v>
      </c>
      <c r="B1404" s="116">
        <v>1619.8</v>
      </c>
      <c r="C1404" s="116">
        <v>1565.3</v>
      </c>
      <c r="D1404" s="116">
        <v>1514.8</v>
      </c>
      <c r="E1404" s="116">
        <v>1580</v>
      </c>
      <c r="F1404" s="116">
        <v>1565.3</v>
      </c>
      <c r="G1404">
        <v>5956</v>
      </c>
      <c r="H1404" s="116"/>
      <c r="I1404" s="116"/>
      <c r="L1404" s="170">
        <v>44074</v>
      </c>
      <c r="M1404" s="116">
        <v>1566.3</v>
      </c>
      <c r="N1404" s="116">
        <v>1620</v>
      </c>
      <c r="O1404" s="116">
        <v>1513.1</v>
      </c>
      <c r="P1404" s="116">
        <v>1583</v>
      </c>
      <c r="Q1404" s="116">
        <v>1566.3</v>
      </c>
      <c r="R1404">
        <v>71921</v>
      </c>
    </row>
    <row r="1405" spans="1:18" x14ac:dyDescent="0.25">
      <c r="A1405" s="170">
        <v>44075</v>
      </c>
      <c r="B1405" s="116">
        <v>1591.25</v>
      </c>
      <c r="C1405" s="116">
        <v>1568.55</v>
      </c>
      <c r="D1405" s="116">
        <v>1540.55</v>
      </c>
      <c r="E1405" s="116">
        <v>1567</v>
      </c>
      <c r="F1405" s="116">
        <v>1568.55</v>
      </c>
      <c r="G1405">
        <v>1671</v>
      </c>
      <c r="H1405" s="116"/>
      <c r="I1405" s="116"/>
      <c r="L1405" s="170">
        <v>44075</v>
      </c>
      <c r="M1405" s="116">
        <v>1569.7</v>
      </c>
      <c r="N1405" s="116">
        <v>1593.95</v>
      </c>
      <c r="O1405" s="116">
        <v>1540.05</v>
      </c>
      <c r="P1405" s="116">
        <v>1566.3</v>
      </c>
      <c r="Q1405" s="116">
        <v>1569.7</v>
      </c>
      <c r="R1405">
        <v>67293</v>
      </c>
    </row>
    <row r="1406" spans="1:18" x14ac:dyDescent="0.25">
      <c r="A1406" s="170">
        <v>44076</v>
      </c>
      <c r="B1406" s="116">
        <v>1596</v>
      </c>
      <c r="C1406" s="116">
        <v>1575.35</v>
      </c>
      <c r="D1406" s="116">
        <v>1564.5</v>
      </c>
      <c r="E1406" s="116">
        <v>1568</v>
      </c>
      <c r="F1406" s="116">
        <v>1575.35</v>
      </c>
      <c r="G1406">
        <v>885</v>
      </c>
      <c r="H1406" s="116"/>
      <c r="I1406" s="116"/>
      <c r="L1406" s="170">
        <v>44076</v>
      </c>
      <c r="M1406" s="116">
        <v>1574.6</v>
      </c>
      <c r="N1406" s="116">
        <v>1597.8</v>
      </c>
      <c r="O1406" s="116">
        <v>1561.05</v>
      </c>
      <c r="P1406" s="116">
        <v>1565.65</v>
      </c>
      <c r="Q1406" s="116">
        <v>1574.6</v>
      </c>
      <c r="R1406">
        <v>85711</v>
      </c>
    </row>
    <row r="1407" spans="1:18" x14ac:dyDescent="0.25">
      <c r="A1407" s="170">
        <v>44077</v>
      </c>
      <c r="B1407" s="116">
        <v>1604.85</v>
      </c>
      <c r="C1407" s="116">
        <v>1562.45</v>
      </c>
      <c r="D1407" s="116">
        <v>1552.2</v>
      </c>
      <c r="E1407" s="116">
        <v>1587.4</v>
      </c>
      <c r="F1407" s="116">
        <v>1562.45</v>
      </c>
      <c r="G1407">
        <v>3417</v>
      </c>
      <c r="H1407" s="116"/>
      <c r="I1407" s="116"/>
      <c r="L1407" s="170">
        <v>44077</v>
      </c>
      <c r="M1407" s="116">
        <v>1560.55</v>
      </c>
      <c r="N1407" s="116">
        <v>1604.35</v>
      </c>
      <c r="O1407" s="116">
        <v>1556.9</v>
      </c>
      <c r="P1407" s="116">
        <v>1574</v>
      </c>
      <c r="Q1407" s="116">
        <v>1560.55</v>
      </c>
      <c r="R1407">
        <v>85491</v>
      </c>
    </row>
    <row r="1408" spans="1:18" x14ac:dyDescent="0.25">
      <c r="A1408" s="170">
        <v>44078</v>
      </c>
      <c r="B1408" s="116">
        <v>1599</v>
      </c>
      <c r="C1408" s="116">
        <v>1574.55</v>
      </c>
      <c r="D1408" s="116">
        <v>1543.9</v>
      </c>
      <c r="E1408" s="116">
        <v>1559</v>
      </c>
      <c r="F1408" s="116">
        <v>1574.55</v>
      </c>
      <c r="G1408">
        <v>5822</v>
      </c>
      <c r="H1408" s="116"/>
      <c r="I1408" s="116"/>
      <c r="L1408" s="170">
        <v>44078</v>
      </c>
      <c r="M1408" s="116">
        <v>1574.65</v>
      </c>
      <c r="N1408" s="116">
        <v>1599.95</v>
      </c>
      <c r="O1408" s="116">
        <v>1545.35</v>
      </c>
      <c r="P1408" s="116">
        <v>1554</v>
      </c>
      <c r="Q1408" s="116">
        <v>1574.65</v>
      </c>
      <c r="R1408">
        <v>85092</v>
      </c>
    </row>
    <row r="1409" spans="1:18" x14ac:dyDescent="0.25">
      <c r="A1409" s="170">
        <v>44081</v>
      </c>
      <c r="B1409" s="116">
        <v>1670</v>
      </c>
      <c r="C1409" s="116">
        <v>1625.5</v>
      </c>
      <c r="D1409" s="116">
        <v>1580</v>
      </c>
      <c r="E1409" s="116">
        <v>1580</v>
      </c>
      <c r="F1409" s="116">
        <v>1625.5</v>
      </c>
      <c r="G1409">
        <v>9373</v>
      </c>
      <c r="H1409" s="116"/>
      <c r="I1409" s="116"/>
      <c r="L1409" s="170">
        <v>44081</v>
      </c>
      <c r="M1409" s="116">
        <v>1625.95</v>
      </c>
      <c r="N1409" s="116">
        <v>1669.95</v>
      </c>
      <c r="O1409" s="116">
        <v>1580.55</v>
      </c>
      <c r="P1409" s="116">
        <v>1588.25</v>
      </c>
      <c r="Q1409" s="116">
        <v>1625.95</v>
      </c>
      <c r="R1409">
        <v>272134</v>
      </c>
    </row>
    <row r="1410" spans="1:18" x14ac:dyDescent="0.25">
      <c r="A1410" s="170">
        <v>44082</v>
      </c>
      <c r="B1410" s="116">
        <v>1683</v>
      </c>
      <c r="C1410" s="116">
        <v>1634.75</v>
      </c>
      <c r="D1410" s="116">
        <v>1611.65</v>
      </c>
      <c r="E1410" s="116">
        <v>1634.05</v>
      </c>
      <c r="F1410" s="116">
        <v>1634.75</v>
      </c>
      <c r="G1410">
        <v>5950</v>
      </c>
      <c r="H1410" s="116"/>
      <c r="I1410" s="116"/>
      <c r="L1410" s="170">
        <v>44082</v>
      </c>
      <c r="M1410" s="116">
        <v>1635.25</v>
      </c>
      <c r="N1410" s="116">
        <v>1684</v>
      </c>
      <c r="O1410" s="116">
        <v>1610</v>
      </c>
      <c r="P1410" s="116">
        <v>1636.5</v>
      </c>
      <c r="Q1410" s="116">
        <v>1635.25</v>
      </c>
      <c r="R1410">
        <v>156923</v>
      </c>
    </row>
    <row r="1411" spans="1:18" x14ac:dyDescent="0.25">
      <c r="A1411" s="170">
        <v>44083</v>
      </c>
      <c r="B1411" s="116">
        <v>1659</v>
      </c>
      <c r="C1411" s="116">
        <v>1639.05</v>
      </c>
      <c r="D1411" s="116">
        <v>1620</v>
      </c>
      <c r="E1411" s="116">
        <v>1620</v>
      </c>
      <c r="F1411" s="116">
        <v>1639.05</v>
      </c>
      <c r="G1411">
        <v>2706</v>
      </c>
      <c r="H1411" s="116"/>
      <c r="I1411" s="116"/>
      <c r="L1411" s="170">
        <v>44083</v>
      </c>
      <c r="M1411" s="116">
        <v>1639.8</v>
      </c>
      <c r="N1411" s="116">
        <v>1660</v>
      </c>
      <c r="O1411" s="116">
        <v>1617</v>
      </c>
      <c r="P1411" s="116">
        <v>1617</v>
      </c>
      <c r="Q1411" s="116">
        <v>1639.8</v>
      </c>
      <c r="R1411">
        <v>145126</v>
      </c>
    </row>
    <row r="1412" spans="1:18" x14ac:dyDescent="0.25">
      <c r="A1412" s="170">
        <v>44084</v>
      </c>
      <c r="B1412" s="116">
        <v>1695</v>
      </c>
      <c r="C1412" s="116">
        <v>1669.3</v>
      </c>
      <c r="D1412" s="116">
        <v>1642.9</v>
      </c>
      <c r="E1412" s="116">
        <v>1642.9</v>
      </c>
      <c r="F1412" s="116">
        <v>1669.3</v>
      </c>
      <c r="G1412">
        <v>4294</v>
      </c>
      <c r="H1412" s="116"/>
      <c r="I1412" s="116"/>
      <c r="L1412" s="170">
        <v>44084</v>
      </c>
      <c r="M1412" s="116">
        <v>1669.45</v>
      </c>
      <c r="N1412" s="116">
        <v>1694.85</v>
      </c>
      <c r="O1412" s="116">
        <v>1645.05</v>
      </c>
      <c r="P1412" s="116">
        <v>1665</v>
      </c>
      <c r="Q1412" s="116">
        <v>1669.45</v>
      </c>
      <c r="R1412">
        <v>134563</v>
      </c>
    </row>
    <row r="1413" spans="1:18" x14ac:dyDescent="0.25">
      <c r="A1413" s="170">
        <v>44085</v>
      </c>
      <c r="B1413" s="116">
        <v>1699</v>
      </c>
      <c r="C1413" s="116">
        <v>1672.65</v>
      </c>
      <c r="D1413" s="116">
        <v>1647</v>
      </c>
      <c r="E1413" s="116">
        <v>1669</v>
      </c>
      <c r="F1413" s="116">
        <v>1672.65</v>
      </c>
      <c r="G1413">
        <v>8146</v>
      </c>
      <c r="H1413" s="116"/>
      <c r="I1413" s="116"/>
      <c r="L1413" s="170">
        <v>44085</v>
      </c>
      <c r="M1413" s="116">
        <v>1674.95</v>
      </c>
      <c r="N1413" s="116">
        <v>1700</v>
      </c>
      <c r="O1413" s="116">
        <v>1647</v>
      </c>
      <c r="P1413" s="116">
        <v>1676</v>
      </c>
      <c r="Q1413" s="116">
        <v>1674.95</v>
      </c>
      <c r="R1413">
        <v>145594</v>
      </c>
    </row>
    <row r="1414" spans="1:18" x14ac:dyDescent="0.25">
      <c r="A1414" s="170">
        <v>44088</v>
      </c>
      <c r="B1414" s="116">
        <v>1766</v>
      </c>
      <c r="C1414" s="116">
        <v>1728.05</v>
      </c>
      <c r="D1414" s="116">
        <v>1681.45</v>
      </c>
      <c r="E1414" s="116">
        <v>1681.45</v>
      </c>
      <c r="F1414" s="116">
        <v>1728.05</v>
      </c>
      <c r="G1414">
        <v>7535</v>
      </c>
      <c r="H1414" s="116"/>
      <c r="I1414" s="116"/>
      <c r="L1414" s="170">
        <v>44088</v>
      </c>
      <c r="M1414" s="116">
        <v>1728</v>
      </c>
      <c r="N1414" s="116">
        <v>1767</v>
      </c>
      <c r="O1414" s="116">
        <v>1675</v>
      </c>
      <c r="P1414" s="116">
        <v>1675</v>
      </c>
      <c r="Q1414" s="116">
        <v>1728</v>
      </c>
      <c r="R1414">
        <v>347359</v>
      </c>
    </row>
    <row r="1415" spans="1:18" x14ac:dyDescent="0.25">
      <c r="A1415" s="170">
        <v>44089</v>
      </c>
      <c r="B1415" s="116">
        <v>1805</v>
      </c>
      <c r="C1415" s="116">
        <v>1778.25</v>
      </c>
      <c r="D1415" s="116">
        <v>1736.85</v>
      </c>
      <c r="E1415" s="116">
        <v>1736.85</v>
      </c>
      <c r="F1415" s="116">
        <v>1778.25</v>
      </c>
      <c r="G1415">
        <v>14545</v>
      </c>
      <c r="H1415" s="116"/>
      <c r="I1415" s="116"/>
      <c r="L1415" s="170">
        <v>44089</v>
      </c>
      <c r="M1415" s="116">
        <v>1778.6</v>
      </c>
      <c r="N1415" s="116">
        <v>1807.5</v>
      </c>
      <c r="O1415" s="116">
        <v>1726</v>
      </c>
      <c r="P1415" s="116">
        <v>1726</v>
      </c>
      <c r="Q1415" s="116">
        <v>1778.6</v>
      </c>
      <c r="R1415">
        <v>300393</v>
      </c>
    </row>
    <row r="1416" spans="1:18" x14ac:dyDescent="0.25">
      <c r="A1416" s="170">
        <v>44090</v>
      </c>
      <c r="B1416" s="116">
        <v>1803</v>
      </c>
      <c r="C1416" s="116">
        <v>1771</v>
      </c>
      <c r="D1416" s="116">
        <v>1751.15</v>
      </c>
      <c r="E1416" s="116">
        <v>1759</v>
      </c>
      <c r="F1416" s="116">
        <v>1771</v>
      </c>
      <c r="G1416">
        <v>2060</v>
      </c>
      <c r="H1416" s="116"/>
      <c r="I1416" s="116"/>
      <c r="L1416" s="170">
        <v>44090</v>
      </c>
      <c r="M1416" s="116">
        <v>1772.4</v>
      </c>
      <c r="N1416" s="116">
        <v>1801</v>
      </c>
      <c r="O1416" s="116">
        <v>1751</v>
      </c>
      <c r="P1416" s="116">
        <v>1790</v>
      </c>
      <c r="Q1416" s="116">
        <v>1772.4</v>
      </c>
      <c r="R1416">
        <v>94779</v>
      </c>
    </row>
    <row r="1417" spans="1:18" x14ac:dyDescent="0.25">
      <c r="A1417" s="170">
        <v>44091</v>
      </c>
      <c r="B1417" s="116">
        <v>1796.25</v>
      </c>
      <c r="C1417" s="116">
        <v>1762.55</v>
      </c>
      <c r="D1417" s="116">
        <v>1751.25</v>
      </c>
      <c r="E1417" s="116">
        <v>1771</v>
      </c>
      <c r="F1417" s="116">
        <v>1762.55</v>
      </c>
      <c r="G1417">
        <v>1863</v>
      </c>
      <c r="H1417" s="116"/>
      <c r="I1417" s="116"/>
      <c r="L1417" s="170">
        <v>44091</v>
      </c>
      <c r="M1417" s="116">
        <v>1763.5</v>
      </c>
      <c r="N1417" s="116">
        <v>1800</v>
      </c>
      <c r="O1417" s="116">
        <v>1750</v>
      </c>
      <c r="P1417" s="116">
        <v>1770</v>
      </c>
      <c r="Q1417" s="116">
        <v>1763.5</v>
      </c>
      <c r="R1417">
        <v>88815</v>
      </c>
    </row>
    <row r="1418" spans="1:18" x14ac:dyDescent="0.25">
      <c r="A1418" s="170">
        <v>44092</v>
      </c>
      <c r="B1418" s="116">
        <v>1785.45</v>
      </c>
      <c r="C1418" s="116">
        <v>1698.95</v>
      </c>
      <c r="D1418" s="116">
        <v>1661.25</v>
      </c>
      <c r="E1418" s="116">
        <v>1785.45</v>
      </c>
      <c r="F1418" s="116">
        <v>1698.95</v>
      </c>
      <c r="G1418">
        <v>9128</v>
      </c>
      <c r="H1418" s="116"/>
      <c r="I1418" s="116"/>
      <c r="L1418" s="170">
        <v>44092</v>
      </c>
      <c r="M1418" s="116">
        <v>1697.9</v>
      </c>
      <c r="N1418" s="116">
        <v>1790</v>
      </c>
      <c r="O1418" s="116">
        <v>1661</v>
      </c>
      <c r="P1418" s="116">
        <v>1777</v>
      </c>
      <c r="Q1418" s="116">
        <v>1697.9</v>
      </c>
      <c r="R1418">
        <v>859170</v>
      </c>
    </row>
    <row r="1419" spans="1:18" x14ac:dyDescent="0.25">
      <c r="A1419" s="170">
        <v>44095</v>
      </c>
      <c r="B1419" s="116">
        <v>1765</v>
      </c>
      <c r="C1419" s="116">
        <v>1694.45</v>
      </c>
      <c r="D1419" s="116">
        <v>1640</v>
      </c>
      <c r="E1419" s="116">
        <v>1720</v>
      </c>
      <c r="F1419" s="116">
        <v>1694.45</v>
      </c>
      <c r="G1419">
        <v>8056</v>
      </c>
      <c r="H1419" s="116"/>
      <c r="I1419" s="116"/>
      <c r="L1419" s="170">
        <v>44095</v>
      </c>
      <c r="M1419" s="116">
        <v>1694.65</v>
      </c>
      <c r="N1419" s="116">
        <v>1742.7</v>
      </c>
      <c r="O1419" s="116">
        <v>1639</v>
      </c>
      <c r="P1419" s="116">
        <v>1730</v>
      </c>
      <c r="Q1419" s="116">
        <v>1694.65</v>
      </c>
      <c r="R1419">
        <v>214883</v>
      </c>
    </row>
    <row r="1420" spans="1:18" x14ac:dyDescent="0.25">
      <c r="A1420" s="170">
        <v>44096</v>
      </c>
      <c r="B1420" s="116">
        <v>1696</v>
      </c>
      <c r="C1420" s="116">
        <v>1603.55</v>
      </c>
      <c r="D1420" s="116">
        <v>1592.6</v>
      </c>
      <c r="E1420" s="116">
        <v>1695</v>
      </c>
      <c r="F1420" s="116">
        <v>1603.55</v>
      </c>
      <c r="G1420">
        <v>4020</v>
      </c>
      <c r="H1420" s="116"/>
      <c r="I1420" s="116"/>
      <c r="L1420" s="170">
        <v>44096</v>
      </c>
      <c r="M1420" s="116">
        <v>1606.15</v>
      </c>
      <c r="N1420" s="116">
        <v>1699</v>
      </c>
      <c r="O1420" s="116">
        <v>1592</v>
      </c>
      <c r="P1420" s="116">
        <v>1680.25</v>
      </c>
      <c r="Q1420" s="116">
        <v>1606.15</v>
      </c>
      <c r="R1420">
        <v>134117</v>
      </c>
    </row>
    <row r="1421" spans="1:18" x14ac:dyDescent="0.25">
      <c r="A1421" s="170">
        <v>44097</v>
      </c>
      <c r="B1421" s="116">
        <v>1638.45</v>
      </c>
      <c r="C1421" s="116">
        <v>1590.3</v>
      </c>
      <c r="D1421" s="116">
        <v>1580</v>
      </c>
      <c r="E1421" s="116">
        <v>1636.95</v>
      </c>
      <c r="F1421" s="116">
        <v>1590.3</v>
      </c>
      <c r="G1421">
        <v>3416</v>
      </c>
      <c r="H1421" s="116"/>
      <c r="I1421" s="116"/>
      <c r="L1421" s="170">
        <v>44097</v>
      </c>
      <c r="M1421" s="116">
        <v>1588.1</v>
      </c>
      <c r="N1421" s="116">
        <v>1650</v>
      </c>
      <c r="O1421" s="116">
        <v>1580</v>
      </c>
      <c r="P1421" s="116">
        <v>1616.65</v>
      </c>
      <c r="Q1421" s="116">
        <v>1588.1</v>
      </c>
      <c r="R1421">
        <v>64893</v>
      </c>
    </row>
    <row r="1422" spans="1:18" x14ac:dyDescent="0.25">
      <c r="A1422" s="170">
        <v>44098</v>
      </c>
      <c r="B1422" s="116">
        <v>1608.75</v>
      </c>
      <c r="C1422" s="116">
        <v>1545.1</v>
      </c>
      <c r="D1422" s="116">
        <v>1530.05</v>
      </c>
      <c r="E1422" s="116">
        <v>1555</v>
      </c>
      <c r="F1422" s="116">
        <v>1545.1</v>
      </c>
      <c r="G1422">
        <v>3306</v>
      </c>
      <c r="H1422" s="116"/>
      <c r="I1422" s="116"/>
      <c r="L1422" s="170">
        <v>44098</v>
      </c>
      <c r="M1422" s="116">
        <v>1545.8</v>
      </c>
      <c r="N1422" s="116">
        <v>1613.45</v>
      </c>
      <c r="O1422" s="116">
        <v>1526</v>
      </c>
      <c r="P1422" s="116">
        <v>1575</v>
      </c>
      <c r="Q1422" s="116">
        <v>1545.8</v>
      </c>
      <c r="R1422">
        <v>47820</v>
      </c>
    </row>
    <row r="1423" spans="1:18" x14ac:dyDescent="0.25">
      <c r="A1423" s="170">
        <v>44099</v>
      </c>
      <c r="B1423" s="116">
        <v>1574.3</v>
      </c>
      <c r="C1423" s="116">
        <v>1544.1</v>
      </c>
      <c r="D1423" s="116">
        <v>1535.05</v>
      </c>
      <c r="E1423" s="116">
        <v>1535.05</v>
      </c>
      <c r="F1423" s="116">
        <v>1544.1</v>
      </c>
      <c r="G1423">
        <v>3641</v>
      </c>
      <c r="H1423" s="116"/>
      <c r="I1423" s="116"/>
      <c r="L1423" s="170">
        <v>44099</v>
      </c>
      <c r="M1423" s="116">
        <v>1543.6</v>
      </c>
      <c r="N1423" s="116">
        <v>1573.2</v>
      </c>
      <c r="O1423" s="116">
        <v>1540</v>
      </c>
      <c r="P1423" s="116">
        <v>1550.1</v>
      </c>
      <c r="Q1423" s="116">
        <v>1543.6</v>
      </c>
      <c r="R1423">
        <v>57963</v>
      </c>
    </row>
    <row r="1424" spans="1:18" x14ac:dyDescent="0.25">
      <c r="A1424" s="170">
        <v>44102</v>
      </c>
      <c r="B1424" s="116">
        <v>1589.25</v>
      </c>
      <c r="C1424" s="116">
        <v>1576.9</v>
      </c>
      <c r="D1424" s="116">
        <v>1530</v>
      </c>
      <c r="E1424" s="116">
        <v>1530</v>
      </c>
      <c r="F1424" s="116">
        <v>1576.9</v>
      </c>
      <c r="G1424">
        <v>6279</v>
      </c>
      <c r="H1424" s="116"/>
      <c r="I1424" s="116"/>
      <c r="L1424" s="170">
        <v>44102</v>
      </c>
      <c r="M1424" s="116">
        <v>1576.85</v>
      </c>
      <c r="N1424" s="116">
        <v>1590.55</v>
      </c>
      <c r="O1424" s="116">
        <v>1535</v>
      </c>
      <c r="P1424" s="116">
        <v>1560</v>
      </c>
      <c r="Q1424" s="116">
        <v>1576.85</v>
      </c>
      <c r="R1424">
        <v>109121</v>
      </c>
    </row>
    <row r="1425" spans="1:18" x14ac:dyDescent="0.25">
      <c r="A1425" s="170">
        <v>44103</v>
      </c>
      <c r="B1425" s="116">
        <v>1591.15</v>
      </c>
      <c r="C1425" s="116">
        <v>1572.65</v>
      </c>
      <c r="D1425" s="116">
        <v>1565</v>
      </c>
      <c r="E1425" s="116">
        <v>1590.55</v>
      </c>
      <c r="F1425" s="116">
        <v>1572.65</v>
      </c>
      <c r="G1425">
        <v>4141</v>
      </c>
      <c r="H1425" s="116"/>
      <c r="I1425" s="116"/>
      <c r="L1425" s="170">
        <v>44103</v>
      </c>
      <c r="M1425" s="116">
        <v>1574.2</v>
      </c>
      <c r="N1425" s="116">
        <v>1595</v>
      </c>
      <c r="O1425" s="116">
        <v>1562.55</v>
      </c>
      <c r="P1425" s="116">
        <v>1584</v>
      </c>
      <c r="Q1425" s="116">
        <v>1574.2</v>
      </c>
      <c r="R1425">
        <v>57096</v>
      </c>
    </row>
    <row r="1426" spans="1:18" x14ac:dyDescent="0.25">
      <c r="A1426" s="170">
        <v>44104</v>
      </c>
      <c r="B1426" s="116">
        <v>1596.2</v>
      </c>
      <c r="C1426" s="116">
        <v>1573.9</v>
      </c>
      <c r="D1426" s="116">
        <v>1543.3</v>
      </c>
      <c r="E1426" s="116">
        <v>1543.3</v>
      </c>
      <c r="F1426" s="116">
        <v>1573.9</v>
      </c>
      <c r="G1426">
        <v>616</v>
      </c>
      <c r="H1426" s="116"/>
      <c r="I1426" s="116"/>
      <c r="L1426" s="170">
        <v>44104</v>
      </c>
      <c r="M1426" s="116">
        <v>1575.15</v>
      </c>
      <c r="N1426" s="116">
        <v>1597.45</v>
      </c>
      <c r="O1426" s="116">
        <v>1565</v>
      </c>
      <c r="P1426" s="116">
        <v>1581.9</v>
      </c>
      <c r="Q1426" s="116">
        <v>1575.15</v>
      </c>
      <c r="R1426">
        <v>22669</v>
      </c>
    </row>
    <row r="1427" spans="1:18" x14ac:dyDescent="0.25">
      <c r="A1427" s="170">
        <v>44105</v>
      </c>
      <c r="B1427" s="116">
        <v>1596.45</v>
      </c>
      <c r="C1427" s="116">
        <v>1566.45</v>
      </c>
      <c r="D1427" s="116">
        <v>1563</v>
      </c>
      <c r="E1427" s="116">
        <v>1596.45</v>
      </c>
      <c r="F1427" s="116">
        <v>1566.45</v>
      </c>
      <c r="G1427">
        <v>963</v>
      </c>
      <c r="H1427" s="116"/>
      <c r="I1427" s="116"/>
      <c r="L1427" s="170">
        <v>44105</v>
      </c>
      <c r="M1427" s="116">
        <v>1569.05</v>
      </c>
      <c r="N1427" s="116">
        <v>1595.95</v>
      </c>
      <c r="O1427" s="116">
        <v>1561.3</v>
      </c>
      <c r="P1427" s="116">
        <v>1580</v>
      </c>
      <c r="Q1427" s="116">
        <v>1569.05</v>
      </c>
      <c r="R1427">
        <v>55333</v>
      </c>
    </row>
    <row r="1428" spans="1:18" x14ac:dyDescent="0.25">
      <c r="A1428" s="170">
        <v>44109</v>
      </c>
      <c r="B1428" s="116">
        <v>1585</v>
      </c>
      <c r="C1428" s="116">
        <v>1567.8</v>
      </c>
      <c r="D1428" s="116">
        <v>1560</v>
      </c>
      <c r="E1428" s="116">
        <v>1565</v>
      </c>
      <c r="F1428" s="116">
        <v>1567.8</v>
      </c>
      <c r="G1428">
        <v>2511</v>
      </c>
      <c r="H1428" s="116"/>
      <c r="I1428" s="116"/>
      <c r="L1428" s="170">
        <v>44109</v>
      </c>
      <c r="M1428" s="116">
        <v>1567.45</v>
      </c>
      <c r="N1428" s="116">
        <v>1585</v>
      </c>
      <c r="O1428" s="116">
        <v>1556</v>
      </c>
      <c r="P1428" s="116">
        <v>1570</v>
      </c>
      <c r="Q1428" s="116">
        <v>1567.45</v>
      </c>
      <c r="R1428">
        <v>52809</v>
      </c>
    </row>
    <row r="1429" spans="1:18" x14ac:dyDescent="0.25">
      <c r="A1429" s="170">
        <v>44110</v>
      </c>
      <c r="B1429" s="116">
        <v>1595</v>
      </c>
      <c r="C1429" s="116">
        <v>1578.3</v>
      </c>
      <c r="D1429" s="116">
        <v>1567.05</v>
      </c>
      <c r="E1429" s="116">
        <v>1567.05</v>
      </c>
      <c r="F1429" s="116">
        <v>1578.3</v>
      </c>
      <c r="G1429">
        <v>1962</v>
      </c>
      <c r="H1429" s="116"/>
      <c r="I1429" s="116"/>
      <c r="L1429" s="170">
        <v>44110</v>
      </c>
      <c r="M1429" s="116">
        <v>1578.95</v>
      </c>
      <c r="N1429" s="116">
        <v>1594.9</v>
      </c>
      <c r="O1429" s="116">
        <v>1571.05</v>
      </c>
      <c r="P1429" s="116">
        <v>1577.25</v>
      </c>
      <c r="Q1429" s="116">
        <v>1578.95</v>
      </c>
      <c r="R1429">
        <v>60446</v>
      </c>
    </row>
    <row r="1430" spans="1:18" x14ac:dyDescent="0.25">
      <c r="A1430" s="170">
        <v>44111</v>
      </c>
      <c r="B1430" s="116">
        <v>1612</v>
      </c>
      <c r="C1430" s="116">
        <v>1589.35</v>
      </c>
      <c r="D1430" s="116">
        <v>1577.35</v>
      </c>
      <c r="E1430" s="116">
        <v>1577.35</v>
      </c>
      <c r="F1430" s="116">
        <v>1589.35</v>
      </c>
      <c r="G1430">
        <v>1784</v>
      </c>
      <c r="H1430" s="116"/>
      <c r="I1430" s="116"/>
      <c r="L1430" s="170">
        <v>44111</v>
      </c>
      <c r="M1430" s="116">
        <v>1589.5</v>
      </c>
      <c r="N1430" s="116">
        <v>1612</v>
      </c>
      <c r="O1430" s="116">
        <v>1575</v>
      </c>
      <c r="P1430" s="116">
        <v>1587</v>
      </c>
      <c r="Q1430" s="116">
        <v>1589.5</v>
      </c>
      <c r="R1430">
        <v>48981</v>
      </c>
    </row>
    <row r="1431" spans="1:18" x14ac:dyDescent="0.25">
      <c r="A1431" s="170">
        <v>44112</v>
      </c>
      <c r="B1431" s="116">
        <v>1596.55</v>
      </c>
      <c r="C1431" s="116">
        <v>1560.65</v>
      </c>
      <c r="D1431" s="116">
        <v>1558.95</v>
      </c>
      <c r="E1431" s="116">
        <v>1590</v>
      </c>
      <c r="F1431" s="116">
        <v>1560.65</v>
      </c>
      <c r="G1431">
        <v>2459</v>
      </c>
      <c r="H1431" s="116"/>
      <c r="I1431" s="116"/>
      <c r="L1431" s="170">
        <v>44112</v>
      </c>
      <c r="M1431" s="116">
        <v>1563.1</v>
      </c>
      <c r="N1431" s="116">
        <v>1598.95</v>
      </c>
      <c r="O1431" s="116">
        <v>1560.1</v>
      </c>
      <c r="P1431" s="116">
        <v>1590</v>
      </c>
      <c r="Q1431" s="116">
        <v>1563.1</v>
      </c>
      <c r="R1431">
        <v>56941</v>
      </c>
    </row>
    <row r="1432" spans="1:18" x14ac:dyDescent="0.25">
      <c r="A1432" s="170">
        <v>44113</v>
      </c>
      <c r="B1432" s="116">
        <v>1577.35</v>
      </c>
      <c r="C1432" s="116">
        <v>1558.95</v>
      </c>
      <c r="D1432" s="116">
        <v>1545.6</v>
      </c>
      <c r="E1432" s="116">
        <v>1571.45</v>
      </c>
      <c r="F1432" s="116">
        <v>1558.95</v>
      </c>
      <c r="G1432">
        <v>206788</v>
      </c>
      <c r="H1432" s="116"/>
      <c r="I1432" s="116"/>
      <c r="L1432" s="170">
        <v>44113</v>
      </c>
      <c r="M1432" s="116">
        <v>1557.8</v>
      </c>
      <c r="N1432" s="116">
        <v>1583.6</v>
      </c>
      <c r="O1432" s="116">
        <v>1545</v>
      </c>
      <c r="P1432" s="116">
        <v>1570.85</v>
      </c>
      <c r="Q1432" s="116">
        <v>1557.8</v>
      </c>
      <c r="R1432">
        <v>776156</v>
      </c>
    </row>
    <row r="1433" spans="1:18" x14ac:dyDescent="0.25">
      <c r="A1433" s="170">
        <v>44116</v>
      </c>
      <c r="B1433" s="116">
        <v>1597.9</v>
      </c>
      <c r="C1433" s="116">
        <v>1587.25</v>
      </c>
      <c r="D1433" s="116">
        <v>1551.9</v>
      </c>
      <c r="E1433" s="116">
        <v>1572</v>
      </c>
      <c r="F1433" s="116">
        <v>1587.25</v>
      </c>
      <c r="G1433">
        <v>4886</v>
      </c>
      <c r="H1433" s="116"/>
      <c r="I1433" s="116"/>
      <c r="L1433" s="170">
        <v>44116</v>
      </c>
      <c r="M1433" s="116">
        <v>1588.6</v>
      </c>
      <c r="N1433" s="116">
        <v>1596.9</v>
      </c>
      <c r="O1433" s="116">
        <v>1553.5</v>
      </c>
      <c r="P1433" s="116">
        <v>1571.35</v>
      </c>
      <c r="Q1433" s="116">
        <v>1588.6</v>
      </c>
      <c r="R1433">
        <v>44706</v>
      </c>
    </row>
    <row r="1434" spans="1:18" x14ac:dyDescent="0.25">
      <c r="A1434" s="170">
        <v>44117</v>
      </c>
      <c r="B1434" s="116">
        <v>1609.15</v>
      </c>
      <c r="C1434" s="116">
        <v>1562.65</v>
      </c>
      <c r="D1434" s="116">
        <v>1560</v>
      </c>
      <c r="E1434" s="116">
        <v>1583.25</v>
      </c>
      <c r="F1434" s="116">
        <v>1562.65</v>
      </c>
      <c r="G1434">
        <v>1810</v>
      </c>
      <c r="H1434" s="116"/>
      <c r="I1434" s="116"/>
      <c r="L1434" s="170">
        <v>44117</v>
      </c>
      <c r="M1434" s="116">
        <v>1563.75</v>
      </c>
      <c r="N1434" s="116">
        <v>1611.75</v>
      </c>
      <c r="O1434" s="116">
        <v>1560</v>
      </c>
      <c r="P1434" s="116">
        <v>1590</v>
      </c>
      <c r="Q1434" s="116">
        <v>1563.75</v>
      </c>
      <c r="R1434">
        <v>50835</v>
      </c>
    </row>
    <row r="1435" spans="1:18" x14ac:dyDescent="0.25">
      <c r="A1435" s="170">
        <v>44118</v>
      </c>
      <c r="B1435" s="116">
        <v>1575</v>
      </c>
      <c r="C1435" s="116">
        <v>1544.3</v>
      </c>
      <c r="D1435" s="116">
        <v>1541</v>
      </c>
      <c r="E1435" s="116">
        <v>1571.4</v>
      </c>
      <c r="F1435" s="116">
        <v>1544.3</v>
      </c>
      <c r="G1435">
        <v>848</v>
      </c>
      <c r="H1435" s="116"/>
      <c r="I1435" s="116"/>
      <c r="L1435" s="170">
        <v>44118</v>
      </c>
      <c r="M1435" s="116">
        <v>1544.9</v>
      </c>
      <c r="N1435" s="116">
        <v>1580.6</v>
      </c>
      <c r="O1435" s="116">
        <v>1541</v>
      </c>
      <c r="P1435" s="116">
        <v>1563.75</v>
      </c>
      <c r="Q1435" s="116">
        <v>1544.9</v>
      </c>
      <c r="R1435">
        <v>57925</v>
      </c>
    </row>
    <row r="1436" spans="1:18" x14ac:dyDescent="0.25">
      <c r="A1436" s="170">
        <v>44119</v>
      </c>
      <c r="B1436" s="116">
        <v>1555.6</v>
      </c>
      <c r="C1436" s="116">
        <v>1516.75</v>
      </c>
      <c r="D1436" s="116">
        <v>1511</v>
      </c>
      <c r="E1436" s="116">
        <v>1551.1</v>
      </c>
      <c r="F1436" s="116">
        <v>1516.75</v>
      </c>
      <c r="G1436">
        <v>1432</v>
      </c>
      <c r="H1436" s="116"/>
      <c r="I1436" s="116"/>
      <c r="L1436" s="170">
        <v>44119</v>
      </c>
      <c r="M1436" s="116">
        <v>1518</v>
      </c>
      <c r="N1436" s="116">
        <v>1555.05</v>
      </c>
      <c r="O1436" s="116">
        <v>1511.35</v>
      </c>
      <c r="P1436" s="116">
        <v>1552.6</v>
      </c>
      <c r="Q1436" s="116">
        <v>1518</v>
      </c>
      <c r="R1436">
        <v>30867</v>
      </c>
    </row>
    <row r="1437" spans="1:18" x14ac:dyDescent="0.25">
      <c r="A1437" s="170">
        <v>44120</v>
      </c>
      <c r="B1437" s="116">
        <v>1568.95</v>
      </c>
      <c r="C1437" s="116">
        <v>1517.5</v>
      </c>
      <c r="D1437" s="116">
        <v>1512.05</v>
      </c>
      <c r="E1437" s="116">
        <v>1517</v>
      </c>
      <c r="F1437" s="116">
        <v>1517.5</v>
      </c>
      <c r="G1437">
        <v>1710</v>
      </c>
      <c r="H1437" s="116"/>
      <c r="I1437" s="116"/>
      <c r="L1437" s="170">
        <v>44120</v>
      </c>
      <c r="M1437" s="116">
        <v>1517.25</v>
      </c>
      <c r="N1437" s="116">
        <v>1569.05</v>
      </c>
      <c r="O1437" s="116">
        <v>1511</v>
      </c>
      <c r="P1437" s="116">
        <v>1511</v>
      </c>
      <c r="Q1437" s="116">
        <v>1517.25</v>
      </c>
      <c r="R1437">
        <v>77576</v>
      </c>
    </row>
    <row r="1438" spans="1:18" x14ac:dyDescent="0.25">
      <c r="A1438" s="170">
        <v>44123</v>
      </c>
      <c r="B1438" s="116">
        <v>1545.7</v>
      </c>
      <c r="C1438" s="116">
        <v>1519.05</v>
      </c>
      <c r="D1438" s="116">
        <v>1515.15</v>
      </c>
      <c r="E1438" s="116">
        <v>1519</v>
      </c>
      <c r="F1438" s="116">
        <v>1519.05</v>
      </c>
      <c r="G1438">
        <v>1844</v>
      </c>
      <c r="H1438" s="116"/>
      <c r="I1438" s="116"/>
      <c r="L1438" s="170">
        <v>44123</v>
      </c>
      <c r="M1438" s="116">
        <v>1518.2</v>
      </c>
      <c r="N1438" s="116">
        <v>1546.9</v>
      </c>
      <c r="O1438" s="116">
        <v>1512.5</v>
      </c>
      <c r="P1438" s="116">
        <v>1530</v>
      </c>
      <c r="Q1438" s="116">
        <v>1518.2</v>
      </c>
      <c r="R1438">
        <v>54411</v>
      </c>
    </row>
    <row r="1439" spans="1:18" x14ac:dyDescent="0.25">
      <c r="A1439" s="170">
        <v>44124</v>
      </c>
      <c r="B1439" s="116">
        <v>1547</v>
      </c>
      <c r="C1439" s="116">
        <v>1538.15</v>
      </c>
      <c r="D1439" s="116">
        <v>1516.25</v>
      </c>
      <c r="E1439" s="116">
        <v>1522</v>
      </c>
      <c r="F1439" s="116">
        <v>1538.15</v>
      </c>
      <c r="G1439">
        <v>2219</v>
      </c>
      <c r="H1439" s="116"/>
      <c r="I1439" s="116"/>
      <c r="L1439" s="170">
        <v>44124</v>
      </c>
      <c r="M1439" s="116">
        <v>1538.1</v>
      </c>
      <c r="N1439" s="116">
        <v>1547.95</v>
      </c>
      <c r="O1439" s="116">
        <v>1518</v>
      </c>
      <c r="P1439" s="116">
        <v>1528</v>
      </c>
      <c r="Q1439" s="116">
        <v>1538.1</v>
      </c>
      <c r="R1439">
        <v>97454</v>
      </c>
    </row>
    <row r="1440" spans="1:18" x14ac:dyDescent="0.25">
      <c r="A1440" s="170">
        <v>44125</v>
      </c>
      <c r="B1440" s="116">
        <v>1547</v>
      </c>
      <c r="C1440" s="116">
        <v>1514.55</v>
      </c>
      <c r="D1440" s="116">
        <v>1507.85</v>
      </c>
      <c r="E1440" s="116">
        <v>1547</v>
      </c>
      <c r="F1440" s="116">
        <v>1514.55</v>
      </c>
      <c r="G1440">
        <v>3478</v>
      </c>
      <c r="H1440" s="116"/>
      <c r="I1440" s="116"/>
      <c r="L1440" s="170">
        <v>44125</v>
      </c>
      <c r="M1440" s="116">
        <v>1515.5</v>
      </c>
      <c r="N1440" s="116">
        <v>1549.55</v>
      </c>
      <c r="O1440" s="116">
        <v>1507.6</v>
      </c>
      <c r="P1440" s="116">
        <v>1538.15</v>
      </c>
      <c r="Q1440" s="116">
        <v>1515.5</v>
      </c>
      <c r="R1440">
        <v>27938</v>
      </c>
    </row>
    <row r="1441" spans="1:18" x14ac:dyDescent="0.25">
      <c r="A1441" s="170">
        <v>44126</v>
      </c>
      <c r="B1441" s="116">
        <v>1544</v>
      </c>
      <c r="C1441" s="116">
        <v>1510.5</v>
      </c>
      <c r="D1441" s="116">
        <v>1505.05</v>
      </c>
      <c r="E1441" s="116">
        <v>1544</v>
      </c>
      <c r="F1441" s="116">
        <v>1510.5</v>
      </c>
      <c r="G1441">
        <v>1099</v>
      </c>
      <c r="H1441" s="116"/>
      <c r="I1441" s="116"/>
      <c r="L1441" s="170">
        <v>44126</v>
      </c>
      <c r="M1441" s="116">
        <v>1509.8</v>
      </c>
      <c r="N1441" s="116">
        <v>1525.9</v>
      </c>
      <c r="O1441" s="116">
        <v>1505</v>
      </c>
      <c r="P1441" s="116">
        <v>1523</v>
      </c>
      <c r="Q1441" s="116">
        <v>1509.8</v>
      </c>
      <c r="R1441">
        <v>127770</v>
      </c>
    </row>
    <row r="1442" spans="1:18" x14ac:dyDescent="0.25">
      <c r="A1442" s="170">
        <v>44127</v>
      </c>
      <c r="B1442" s="116">
        <v>1523.8</v>
      </c>
      <c r="C1442" s="116">
        <v>1505.45</v>
      </c>
      <c r="D1442" s="116">
        <v>1502</v>
      </c>
      <c r="E1442" s="116">
        <v>1515.2</v>
      </c>
      <c r="F1442" s="116">
        <v>1505.45</v>
      </c>
      <c r="G1442">
        <v>2222</v>
      </c>
      <c r="H1442" s="116"/>
      <c r="I1442" s="116"/>
      <c r="L1442" s="170">
        <v>44127</v>
      </c>
      <c r="M1442" s="116">
        <v>1504.15</v>
      </c>
      <c r="N1442" s="116">
        <v>1523.9</v>
      </c>
      <c r="O1442" s="116">
        <v>1501</v>
      </c>
      <c r="P1442" s="116">
        <v>1519.95</v>
      </c>
      <c r="Q1442" s="116">
        <v>1504.15</v>
      </c>
      <c r="R1442">
        <v>20604</v>
      </c>
    </row>
    <row r="1443" spans="1:18" x14ac:dyDescent="0.25">
      <c r="A1443" s="170">
        <v>44130</v>
      </c>
      <c r="B1443" s="116">
        <v>1518.8</v>
      </c>
      <c r="C1443" s="116">
        <v>1490.8</v>
      </c>
      <c r="D1443" s="116">
        <v>1483.3</v>
      </c>
      <c r="E1443" s="116">
        <v>1505.45</v>
      </c>
      <c r="F1443" s="116">
        <v>1490.8</v>
      </c>
      <c r="G1443">
        <v>3462</v>
      </c>
      <c r="H1443" s="116"/>
      <c r="I1443" s="116"/>
      <c r="L1443" s="170">
        <v>44130</v>
      </c>
      <c r="M1443" s="116">
        <v>1491.35</v>
      </c>
      <c r="N1443" s="116">
        <v>1518.8</v>
      </c>
      <c r="O1443" s="116">
        <v>1482.8</v>
      </c>
      <c r="P1443" s="116">
        <v>1511.65</v>
      </c>
      <c r="Q1443" s="116">
        <v>1491.35</v>
      </c>
      <c r="R1443">
        <v>17165</v>
      </c>
    </row>
    <row r="1444" spans="1:18" x14ac:dyDescent="0.25">
      <c r="A1444" s="170">
        <v>44131</v>
      </c>
      <c r="B1444" s="116">
        <v>1517.25</v>
      </c>
      <c r="C1444" s="116">
        <v>1494.9</v>
      </c>
      <c r="D1444" s="116">
        <v>1483</v>
      </c>
      <c r="E1444" s="116">
        <v>1495.3</v>
      </c>
      <c r="F1444" s="116">
        <v>1494.9</v>
      </c>
      <c r="G1444">
        <v>1257</v>
      </c>
      <c r="H1444" s="116"/>
      <c r="I1444" s="116"/>
      <c r="L1444" s="170">
        <v>44131</v>
      </c>
      <c r="M1444" s="116">
        <v>1495.65</v>
      </c>
      <c r="N1444" s="116">
        <v>1519</v>
      </c>
      <c r="O1444" s="116">
        <v>1483</v>
      </c>
      <c r="P1444" s="116">
        <v>1490</v>
      </c>
      <c r="Q1444" s="116">
        <v>1495.65</v>
      </c>
      <c r="R1444">
        <v>58773</v>
      </c>
    </row>
    <row r="1445" spans="1:18" x14ac:dyDescent="0.25">
      <c r="A1445" s="170">
        <v>44132</v>
      </c>
      <c r="B1445" s="116">
        <v>1513.85</v>
      </c>
      <c r="C1445" s="116">
        <v>1499.55</v>
      </c>
      <c r="D1445" s="116">
        <v>1497.1</v>
      </c>
      <c r="E1445" s="116">
        <v>1505.95</v>
      </c>
      <c r="F1445" s="116">
        <v>1499.55</v>
      </c>
      <c r="G1445">
        <v>1073</v>
      </c>
      <c r="H1445" s="116"/>
      <c r="I1445" s="116"/>
      <c r="L1445" s="170">
        <v>44132</v>
      </c>
      <c r="M1445" s="116">
        <v>1498.75</v>
      </c>
      <c r="N1445" s="116">
        <v>1515.05</v>
      </c>
      <c r="O1445" s="116">
        <v>1496</v>
      </c>
      <c r="P1445" s="116">
        <v>1496</v>
      </c>
      <c r="Q1445" s="116">
        <v>1498.75</v>
      </c>
      <c r="R1445">
        <v>11523</v>
      </c>
    </row>
    <row r="1446" spans="1:18" x14ac:dyDescent="0.25">
      <c r="A1446" s="170">
        <v>44133</v>
      </c>
      <c r="B1446" s="116">
        <v>1499.7</v>
      </c>
      <c r="C1446" s="116">
        <v>1481.65</v>
      </c>
      <c r="D1446" s="116">
        <v>1470</v>
      </c>
      <c r="E1446" s="116">
        <v>1499.7</v>
      </c>
      <c r="F1446" s="116">
        <v>1481.65</v>
      </c>
      <c r="G1446">
        <v>2188</v>
      </c>
      <c r="H1446" s="116"/>
      <c r="I1446" s="116"/>
      <c r="L1446" s="170">
        <v>44133</v>
      </c>
      <c r="M1446" s="116">
        <v>1480.35</v>
      </c>
      <c r="N1446" s="116">
        <v>1489.95</v>
      </c>
      <c r="O1446" s="116">
        <v>1468.05</v>
      </c>
      <c r="P1446" s="116">
        <v>1480</v>
      </c>
      <c r="Q1446" s="116">
        <v>1480.35</v>
      </c>
      <c r="R1446">
        <v>26168</v>
      </c>
    </row>
    <row r="1447" spans="1:18" x14ac:dyDescent="0.25">
      <c r="A1447" s="170">
        <v>44134</v>
      </c>
      <c r="B1447" s="116">
        <v>1487</v>
      </c>
      <c r="C1447" s="116">
        <v>1465.65</v>
      </c>
      <c r="D1447" s="116">
        <v>1461</v>
      </c>
      <c r="E1447" s="116">
        <v>1484.1</v>
      </c>
      <c r="F1447" s="116">
        <v>1465.65</v>
      </c>
      <c r="G1447">
        <v>2545</v>
      </c>
      <c r="H1447" s="116"/>
      <c r="I1447" s="116"/>
      <c r="L1447" s="170">
        <v>44134</v>
      </c>
      <c r="M1447" s="116">
        <v>1464.75</v>
      </c>
      <c r="N1447" s="116">
        <v>1490</v>
      </c>
      <c r="O1447" s="116">
        <v>1461</v>
      </c>
      <c r="P1447" s="116">
        <v>1485.05</v>
      </c>
      <c r="Q1447" s="116">
        <v>1464.75</v>
      </c>
      <c r="R1447">
        <v>18208</v>
      </c>
    </row>
    <row r="1448" spans="1:18" x14ac:dyDescent="0.25">
      <c r="A1448" s="170">
        <v>44137</v>
      </c>
      <c r="B1448" s="116">
        <v>1479.9</v>
      </c>
      <c r="C1448" s="116">
        <v>1409.1</v>
      </c>
      <c r="D1448" s="116">
        <v>1403</v>
      </c>
      <c r="E1448" s="116">
        <v>1479.9</v>
      </c>
      <c r="F1448" s="116">
        <v>1409.1</v>
      </c>
      <c r="G1448">
        <v>4063</v>
      </c>
      <c r="H1448" s="116"/>
      <c r="I1448" s="116"/>
      <c r="L1448" s="170">
        <v>44137</v>
      </c>
      <c r="M1448" s="116">
        <v>1409.05</v>
      </c>
      <c r="N1448" s="116">
        <v>1472.05</v>
      </c>
      <c r="O1448" s="116">
        <v>1402.65</v>
      </c>
      <c r="P1448" s="116">
        <v>1470</v>
      </c>
      <c r="Q1448" s="116">
        <v>1409.05</v>
      </c>
      <c r="R1448">
        <v>42165</v>
      </c>
    </row>
    <row r="1449" spans="1:18" x14ac:dyDescent="0.25">
      <c r="A1449" s="170">
        <v>44138</v>
      </c>
      <c r="B1449" s="116">
        <v>1426.8</v>
      </c>
      <c r="C1449" s="116">
        <v>1405.4</v>
      </c>
      <c r="D1449" s="116">
        <v>1395.6</v>
      </c>
      <c r="E1449" s="116">
        <v>1411</v>
      </c>
      <c r="F1449" s="116">
        <v>1405.4</v>
      </c>
      <c r="G1449">
        <v>3280</v>
      </c>
      <c r="H1449" s="116"/>
      <c r="I1449" s="116"/>
      <c r="L1449" s="170">
        <v>44138</v>
      </c>
      <c r="M1449" s="116">
        <v>1404.15</v>
      </c>
      <c r="N1449" s="116">
        <v>1426.95</v>
      </c>
      <c r="O1449" s="116">
        <v>1395.8</v>
      </c>
      <c r="P1449" s="116">
        <v>1401.05</v>
      </c>
      <c r="Q1449" s="116">
        <v>1404.15</v>
      </c>
      <c r="R1449">
        <v>52781</v>
      </c>
    </row>
    <row r="1450" spans="1:18" x14ac:dyDescent="0.25">
      <c r="A1450" s="170">
        <v>44139</v>
      </c>
      <c r="B1450" s="116">
        <v>1426</v>
      </c>
      <c r="C1450" s="116">
        <v>1395.8</v>
      </c>
      <c r="D1450" s="116">
        <v>1392.6</v>
      </c>
      <c r="E1450" s="116">
        <v>1410</v>
      </c>
      <c r="F1450" s="116">
        <v>1395.8</v>
      </c>
      <c r="G1450">
        <v>2104</v>
      </c>
      <c r="H1450" s="116"/>
      <c r="I1450" s="116"/>
      <c r="L1450" s="170">
        <v>44139</v>
      </c>
      <c r="M1450" s="116">
        <v>1395.4</v>
      </c>
      <c r="N1450" s="116">
        <v>1426.5</v>
      </c>
      <c r="O1450" s="116">
        <v>1391</v>
      </c>
      <c r="P1450" s="116">
        <v>1409</v>
      </c>
      <c r="Q1450" s="116">
        <v>1395.4</v>
      </c>
      <c r="R1450">
        <v>42381</v>
      </c>
    </row>
    <row r="1451" spans="1:18" x14ac:dyDescent="0.25">
      <c r="A1451" s="170">
        <v>44140</v>
      </c>
      <c r="B1451" s="116">
        <v>1421</v>
      </c>
      <c r="C1451" s="116">
        <v>1411.75</v>
      </c>
      <c r="D1451" s="116">
        <v>1395.4</v>
      </c>
      <c r="E1451" s="116">
        <v>1395.4</v>
      </c>
      <c r="F1451" s="116">
        <v>1411.75</v>
      </c>
      <c r="G1451">
        <v>1919</v>
      </c>
      <c r="H1451" s="116"/>
      <c r="I1451" s="116"/>
      <c r="L1451" s="170">
        <v>44140</v>
      </c>
      <c r="M1451" s="116">
        <v>1410.1</v>
      </c>
      <c r="N1451" s="116">
        <v>1430</v>
      </c>
      <c r="O1451" s="116">
        <v>1398</v>
      </c>
      <c r="P1451" s="116">
        <v>1410</v>
      </c>
      <c r="Q1451" s="116">
        <v>1410.1</v>
      </c>
      <c r="R1451">
        <v>50264</v>
      </c>
    </row>
    <row r="1452" spans="1:18" x14ac:dyDescent="0.25">
      <c r="A1452" s="170">
        <v>44141</v>
      </c>
      <c r="B1452" s="116">
        <v>1420</v>
      </c>
      <c r="C1452" s="116">
        <v>1400.75</v>
      </c>
      <c r="D1452" s="116">
        <v>1391</v>
      </c>
      <c r="E1452" s="116">
        <v>1410</v>
      </c>
      <c r="F1452" s="116">
        <v>1400.75</v>
      </c>
      <c r="G1452">
        <v>8106</v>
      </c>
      <c r="H1452" s="116"/>
      <c r="I1452" s="116"/>
      <c r="L1452" s="170">
        <v>44141</v>
      </c>
      <c r="M1452" s="116">
        <v>1400.55</v>
      </c>
      <c r="N1452" s="116">
        <v>1423.4</v>
      </c>
      <c r="O1452" s="116">
        <v>1395.45</v>
      </c>
      <c r="P1452" s="116">
        <v>1418</v>
      </c>
      <c r="Q1452" s="116">
        <v>1400.55</v>
      </c>
      <c r="R1452">
        <v>56387</v>
      </c>
    </row>
    <row r="1453" spans="1:18" x14ac:dyDescent="0.25">
      <c r="A1453" s="170">
        <v>44144</v>
      </c>
      <c r="B1453" s="116">
        <v>1421.75</v>
      </c>
      <c r="C1453" s="116">
        <v>1409.65</v>
      </c>
      <c r="D1453" s="116">
        <v>1402.05</v>
      </c>
      <c r="E1453" s="116">
        <v>1402.05</v>
      </c>
      <c r="F1453" s="116">
        <v>1409.65</v>
      </c>
      <c r="G1453">
        <v>3236</v>
      </c>
      <c r="H1453" s="116"/>
      <c r="I1453" s="116"/>
      <c r="L1453" s="170">
        <v>44144</v>
      </c>
      <c r="M1453" s="116">
        <v>1409.75</v>
      </c>
      <c r="N1453" s="116">
        <v>1425</v>
      </c>
      <c r="O1453" s="116">
        <v>1405</v>
      </c>
      <c r="P1453" s="116">
        <v>1407</v>
      </c>
      <c r="Q1453" s="116">
        <v>1409.75</v>
      </c>
      <c r="R1453">
        <v>79166</v>
      </c>
    </row>
    <row r="1454" spans="1:18" x14ac:dyDescent="0.25">
      <c r="A1454" s="170">
        <v>44145</v>
      </c>
      <c r="B1454" s="116">
        <v>1428</v>
      </c>
      <c r="C1454" s="116">
        <v>1414.65</v>
      </c>
      <c r="D1454" s="116">
        <v>1406.4</v>
      </c>
      <c r="E1454" s="116">
        <v>1424</v>
      </c>
      <c r="F1454" s="116">
        <v>1414.65</v>
      </c>
      <c r="G1454">
        <v>2075</v>
      </c>
      <c r="H1454" s="116"/>
      <c r="I1454" s="116"/>
      <c r="L1454" s="170">
        <v>44145</v>
      </c>
      <c r="M1454" s="116">
        <v>1413.55</v>
      </c>
      <c r="N1454" s="116">
        <v>1429.5</v>
      </c>
      <c r="O1454" s="116">
        <v>1405</v>
      </c>
      <c r="P1454" s="116">
        <v>1423</v>
      </c>
      <c r="Q1454" s="116">
        <v>1413.55</v>
      </c>
      <c r="R1454">
        <v>48301</v>
      </c>
    </row>
    <row r="1455" spans="1:18" x14ac:dyDescent="0.25">
      <c r="A1455" s="170">
        <v>44146</v>
      </c>
      <c r="B1455" s="116">
        <v>1446.15</v>
      </c>
      <c r="C1455" s="116">
        <v>1441.85</v>
      </c>
      <c r="D1455" s="116">
        <v>1406</v>
      </c>
      <c r="E1455" s="116">
        <v>1413.75</v>
      </c>
      <c r="F1455" s="116">
        <v>1441.85</v>
      </c>
      <c r="G1455">
        <v>4531</v>
      </c>
      <c r="H1455" s="116"/>
      <c r="I1455" s="116"/>
      <c r="L1455" s="170">
        <v>44146</v>
      </c>
      <c r="M1455" s="116">
        <v>1442.2</v>
      </c>
      <c r="N1455" s="116">
        <v>1448</v>
      </c>
      <c r="O1455" s="116">
        <v>1405.1</v>
      </c>
      <c r="P1455" s="116">
        <v>1418.1</v>
      </c>
      <c r="Q1455" s="116">
        <v>1442.2</v>
      </c>
      <c r="R1455">
        <v>47147</v>
      </c>
    </row>
    <row r="1456" spans="1:18" x14ac:dyDescent="0.25">
      <c r="A1456" s="170">
        <v>44147</v>
      </c>
      <c r="B1456" s="116">
        <v>1468.2</v>
      </c>
      <c r="C1456" s="116">
        <v>1430.75</v>
      </c>
      <c r="D1456" s="116">
        <v>1413.3</v>
      </c>
      <c r="E1456" s="116">
        <v>1440</v>
      </c>
      <c r="F1456" s="116">
        <v>1430.75</v>
      </c>
      <c r="G1456">
        <v>2829</v>
      </c>
      <c r="H1456" s="116"/>
      <c r="I1456" s="116"/>
      <c r="L1456" s="170">
        <v>44147</v>
      </c>
      <c r="M1456" s="116">
        <v>1430.25</v>
      </c>
      <c r="N1456" s="116">
        <v>1468.75</v>
      </c>
      <c r="O1456" s="116">
        <v>1413</v>
      </c>
      <c r="P1456" s="116">
        <v>1442</v>
      </c>
      <c r="Q1456" s="116">
        <v>1430.25</v>
      </c>
      <c r="R1456">
        <v>90183</v>
      </c>
    </row>
    <row r="1457" spans="1:18" x14ac:dyDescent="0.25">
      <c r="A1457" s="170">
        <v>44148</v>
      </c>
      <c r="B1457" s="116">
        <v>1435</v>
      </c>
      <c r="C1457" s="116">
        <v>1426.15</v>
      </c>
      <c r="D1457" s="116">
        <v>1410</v>
      </c>
      <c r="E1457" s="116">
        <v>1430</v>
      </c>
      <c r="F1457" s="116">
        <v>1426.15</v>
      </c>
      <c r="G1457">
        <v>2988</v>
      </c>
      <c r="H1457" s="116"/>
      <c r="I1457" s="116"/>
      <c r="L1457" s="170">
        <v>44148</v>
      </c>
      <c r="M1457" s="116">
        <v>1428.35</v>
      </c>
      <c r="N1457" s="116">
        <v>1435</v>
      </c>
      <c r="O1457" s="116">
        <v>1410</v>
      </c>
      <c r="P1457" s="116">
        <v>1427</v>
      </c>
      <c r="Q1457" s="116">
        <v>1428.35</v>
      </c>
      <c r="R1457">
        <v>47680</v>
      </c>
    </row>
    <row r="1458" spans="1:18" x14ac:dyDescent="0.25">
      <c r="A1458" s="170">
        <v>44149</v>
      </c>
      <c r="B1458" s="116">
        <v>1465</v>
      </c>
      <c r="C1458" s="116">
        <v>1442.75</v>
      </c>
      <c r="D1458" s="116">
        <v>1436.05</v>
      </c>
      <c r="E1458" s="116">
        <v>1463.25</v>
      </c>
      <c r="F1458" s="116">
        <v>1442.75</v>
      </c>
      <c r="G1458">
        <v>1120</v>
      </c>
      <c r="H1458" s="116"/>
      <c r="I1458" s="116"/>
      <c r="L1458" s="170">
        <v>44149</v>
      </c>
      <c r="M1458" s="116">
        <v>1442.1</v>
      </c>
      <c r="N1458" s="116">
        <v>1456</v>
      </c>
      <c r="O1458" s="116">
        <v>1435.05</v>
      </c>
      <c r="P1458" s="116">
        <v>1449.7</v>
      </c>
      <c r="Q1458" s="116">
        <v>1442.1</v>
      </c>
      <c r="R1458">
        <v>8072</v>
      </c>
    </row>
    <row r="1459" spans="1:18" x14ac:dyDescent="0.25">
      <c r="A1459" s="170">
        <v>44152</v>
      </c>
      <c r="B1459" s="116">
        <v>1453</v>
      </c>
      <c r="C1459" s="116">
        <v>1440.8</v>
      </c>
      <c r="D1459" s="116">
        <v>1431.9</v>
      </c>
      <c r="E1459" s="116">
        <v>1445.25</v>
      </c>
      <c r="F1459" s="116">
        <v>1440.8</v>
      </c>
      <c r="G1459">
        <v>2974</v>
      </c>
      <c r="H1459" s="116"/>
      <c r="I1459" s="116"/>
      <c r="L1459" s="170">
        <v>44152</v>
      </c>
      <c r="M1459" s="116">
        <v>1444.05</v>
      </c>
      <c r="N1459" s="116">
        <v>1454.35</v>
      </c>
      <c r="O1459" s="116">
        <v>1432.5</v>
      </c>
      <c r="P1459" s="116">
        <v>1450</v>
      </c>
      <c r="Q1459" s="116">
        <v>1444.05</v>
      </c>
      <c r="R1459">
        <v>37928</v>
      </c>
    </row>
    <row r="1460" spans="1:18" x14ac:dyDescent="0.25">
      <c r="A1460" s="170">
        <v>44153</v>
      </c>
      <c r="B1460" s="116">
        <v>1445</v>
      </c>
      <c r="C1460" s="116">
        <v>1428.9</v>
      </c>
      <c r="D1460" s="116">
        <v>1422.9</v>
      </c>
      <c r="E1460" s="116">
        <v>1440</v>
      </c>
      <c r="F1460" s="116">
        <v>1428.9</v>
      </c>
      <c r="G1460">
        <v>1884</v>
      </c>
      <c r="H1460" s="116"/>
      <c r="I1460" s="116"/>
      <c r="L1460" s="170">
        <v>44153</v>
      </c>
      <c r="M1460" s="116">
        <v>1429</v>
      </c>
      <c r="N1460" s="116">
        <v>1449.05</v>
      </c>
      <c r="O1460" s="116">
        <v>1421</v>
      </c>
      <c r="P1460" s="116">
        <v>1442</v>
      </c>
      <c r="Q1460" s="116">
        <v>1429</v>
      </c>
      <c r="R1460">
        <v>19728</v>
      </c>
    </row>
    <row r="1461" spans="1:18" x14ac:dyDescent="0.25">
      <c r="A1461" s="170">
        <v>44154</v>
      </c>
      <c r="B1461" s="116">
        <v>1495</v>
      </c>
      <c r="C1461" s="116">
        <v>1484.55</v>
      </c>
      <c r="D1461" s="116">
        <v>1431.2</v>
      </c>
      <c r="E1461" s="116">
        <v>1435.4</v>
      </c>
      <c r="F1461" s="116">
        <v>1484.55</v>
      </c>
      <c r="G1461">
        <v>4459</v>
      </c>
      <c r="H1461" s="116"/>
      <c r="I1461" s="116"/>
      <c r="L1461" s="170">
        <v>44154</v>
      </c>
      <c r="M1461" s="116">
        <v>1484.6</v>
      </c>
      <c r="N1461" s="116">
        <v>1497.9</v>
      </c>
      <c r="O1461" s="116">
        <v>1430</v>
      </c>
      <c r="P1461" s="116">
        <v>1430</v>
      </c>
      <c r="Q1461" s="116">
        <v>1484.6</v>
      </c>
      <c r="R1461">
        <v>98686</v>
      </c>
    </row>
    <row r="1462" spans="1:18" x14ac:dyDescent="0.25">
      <c r="A1462" s="170">
        <v>44155</v>
      </c>
      <c r="B1462" s="116">
        <v>1528</v>
      </c>
      <c r="C1462" s="116">
        <v>1522.4</v>
      </c>
      <c r="D1462" s="116">
        <v>1472</v>
      </c>
      <c r="E1462" s="116">
        <v>1489.25</v>
      </c>
      <c r="F1462" s="116">
        <v>1522.4</v>
      </c>
      <c r="G1462">
        <v>6116</v>
      </c>
      <c r="H1462" s="116"/>
      <c r="I1462" s="116"/>
      <c r="L1462" s="170">
        <v>44155</v>
      </c>
      <c r="M1462" s="116">
        <v>1524.2</v>
      </c>
      <c r="N1462" s="116">
        <v>1529.95</v>
      </c>
      <c r="O1462" s="116">
        <v>1471.2</v>
      </c>
      <c r="P1462" s="116">
        <v>1492.15</v>
      </c>
      <c r="Q1462" s="116">
        <v>1524.2</v>
      </c>
      <c r="R1462">
        <v>93833</v>
      </c>
    </row>
    <row r="1463" spans="1:18" x14ac:dyDescent="0.25">
      <c r="A1463" s="170">
        <v>44158</v>
      </c>
      <c r="B1463" s="116">
        <v>1537.15</v>
      </c>
      <c r="C1463" s="116">
        <v>1526.4</v>
      </c>
      <c r="D1463" s="116">
        <v>1524.9</v>
      </c>
      <c r="E1463" s="116">
        <v>1526.3</v>
      </c>
      <c r="F1463" s="116">
        <v>1526.4</v>
      </c>
      <c r="G1463">
        <v>3942</v>
      </c>
      <c r="H1463" s="116"/>
      <c r="I1463" s="116"/>
      <c r="L1463" s="170">
        <v>44158</v>
      </c>
      <c r="M1463" s="116">
        <v>1525.7</v>
      </c>
      <c r="N1463" s="116">
        <v>1537.85</v>
      </c>
      <c r="O1463" s="116">
        <v>1521</v>
      </c>
      <c r="P1463" s="116">
        <v>1530</v>
      </c>
      <c r="Q1463" s="116">
        <v>1525.7</v>
      </c>
      <c r="R1463">
        <v>57494</v>
      </c>
    </row>
    <row r="1464" spans="1:18" x14ac:dyDescent="0.25">
      <c r="A1464" s="170">
        <v>44159</v>
      </c>
      <c r="B1464" s="116">
        <v>1536</v>
      </c>
      <c r="C1464" s="116">
        <v>1524.95</v>
      </c>
      <c r="D1464" s="116">
        <v>1523</v>
      </c>
      <c r="E1464" s="116">
        <v>1528</v>
      </c>
      <c r="F1464" s="116">
        <v>1524.95</v>
      </c>
      <c r="G1464">
        <v>3869</v>
      </c>
      <c r="H1464" s="116"/>
      <c r="I1464" s="116"/>
      <c r="L1464" s="170">
        <v>44159</v>
      </c>
      <c r="M1464" s="116">
        <v>1525.45</v>
      </c>
      <c r="N1464" s="116">
        <v>1537.9</v>
      </c>
      <c r="O1464" s="116">
        <v>1520.1</v>
      </c>
      <c r="P1464" s="116">
        <v>1529.8</v>
      </c>
      <c r="Q1464" s="116">
        <v>1525.45</v>
      </c>
      <c r="R1464">
        <v>27413</v>
      </c>
    </row>
    <row r="1465" spans="1:18" x14ac:dyDescent="0.25">
      <c r="A1465" s="170">
        <v>44160</v>
      </c>
      <c r="B1465" s="116">
        <v>1549</v>
      </c>
      <c r="C1465" s="116">
        <v>1526.45</v>
      </c>
      <c r="D1465" s="116">
        <v>1477</v>
      </c>
      <c r="E1465" s="116">
        <v>1477</v>
      </c>
      <c r="F1465" s="116">
        <v>1526.45</v>
      </c>
      <c r="G1465">
        <v>3637</v>
      </c>
      <c r="H1465" s="116"/>
      <c r="I1465" s="116"/>
      <c r="L1465" s="170">
        <v>44160</v>
      </c>
      <c r="M1465" s="116">
        <v>1526.25</v>
      </c>
      <c r="N1465" s="116">
        <v>1548</v>
      </c>
      <c r="O1465" s="116">
        <v>1521.25</v>
      </c>
      <c r="P1465" s="116">
        <v>1521.25</v>
      </c>
      <c r="Q1465" s="116">
        <v>1526.25</v>
      </c>
      <c r="R1465">
        <v>40266</v>
      </c>
    </row>
    <row r="1466" spans="1:18" x14ac:dyDescent="0.25">
      <c r="A1466" s="170">
        <v>44161</v>
      </c>
      <c r="B1466" s="116">
        <v>1543.6</v>
      </c>
      <c r="C1466" s="116">
        <v>1540.45</v>
      </c>
      <c r="D1466" s="116">
        <v>1524.9</v>
      </c>
      <c r="E1466" s="116">
        <v>1525</v>
      </c>
      <c r="F1466" s="116">
        <v>1540.45</v>
      </c>
      <c r="G1466">
        <v>3210</v>
      </c>
      <c r="H1466" s="116"/>
      <c r="I1466" s="116"/>
      <c r="L1466" s="170">
        <v>44161</v>
      </c>
      <c r="M1466" s="116">
        <v>1540.1</v>
      </c>
      <c r="N1466" s="116">
        <v>1545</v>
      </c>
      <c r="O1466" s="116">
        <v>1524</v>
      </c>
      <c r="P1466" s="116">
        <v>1530</v>
      </c>
      <c r="Q1466" s="116">
        <v>1540.1</v>
      </c>
      <c r="R1466">
        <v>25633</v>
      </c>
    </row>
    <row r="1467" spans="1:18" x14ac:dyDescent="0.25">
      <c r="A1467" s="170">
        <v>44162</v>
      </c>
      <c r="B1467" s="116">
        <v>1569</v>
      </c>
      <c r="C1467" s="116">
        <v>1555.1</v>
      </c>
      <c r="D1467" s="116">
        <v>1539.6</v>
      </c>
      <c r="E1467" s="116">
        <v>1539.8</v>
      </c>
      <c r="F1467" s="116">
        <v>1555.1</v>
      </c>
      <c r="G1467">
        <v>4092</v>
      </c>
      <c r="H1467" s="116"/>
      <c r="I1467" s="116"/>
      <c r="L1467" s="170">
        <v>44162</v>
      </c>
      <c r="M1467" s="116">
        <v>1553.45</v>
      </c>
      <c r="N1467" s="116">
        <v>1570</v>
      </c>
      <c r="O1467" s="116">
        <v>1540</v>
      </c>
      <c r="P1467" s="116">
        <v>1547.75</v>
      </c>
      <c r="Q1467" s="116">
        <v>1553.45</v>
      </c>
      <c r="R1467">
        <v>29798</v>
      </c>
    </row>
    <row r="1468" spans="1:18" x14ac:dyDescent="0.25">
      <c r="A1468" s="170">
        <v>44166</v>
      </c>
      <c r="B1468" s="116">
        <v>1573.95</v>
      </c>
      <c r="C1468" s="116">
        <v>1552.05</v>
      </c>
      <c r="D1468" s="116">
        <v>1544.7</v>
      </c>
      <c r="E1468" s="116">
        <v>1553</v>
      </c>
      <c r="F1468" s="116">
        <v>1552.05</v>
      </c>
      <c r="G1468">
        <v>2844</v>
      </c>
      <c r="H1468" s="116"/>
      <c r="I1468" s="116"/>
      <c r="L1468" s="170">
        <v>44166</v>
      </c>
      <c r="M1468" s="116">
        <v>1550.95</v>
      </c>
      <c r="N1468" s="116">
        <v>1573.5</v>
      </c>
      <c r="O1468" s="116">
        <v>1542.55</v>
      </c>
      <c r="P1468" s="116">
        <v>1555</v>
      </c>
      <c r="Q1468" s="116">
        <v>1550.95</v>
      </c>
      <c r="R1468">
        <v>22096</v>
      </c>
    </row>
    <row r="1469" spans="1:18" x14ac:dyDescent="0.25">
      <c r="A1469" s="170">
        <v>44167</v>
      </c>
      <c r="B1469" s="116">
        <v>1572</v>
      </c>
      <c r="C1469" s="116">
        <v>1550.15</v>
      </c>
      <c r="D1469" s="116">
        <v>1547.2</v>
      </c>
      <c r="E1469" s="116">
        <v>1565</v>
      </c>
      <c r="F1469" s="116">
        <v>1550.15</v>
      </c>
      <c r="G1469">
        <v>1857</v>
      </c>
      <c r="H1469" s="116"/>
      <c r="I1469" s="116"/>
      <c r="L1469" s="170">
        <v>44167</v>
      </c>
      <c r="M1469" s="116">
        <v>1551.05</v>
      </c>
      <c r="N1469" s="116">
        <v>1574.9</v>
      </c>
      <c r="O1469" s="116">
        <v>1546.75</v>
      </c>
      <c r="P1469" s="116">
        <v>1574.9</v>
      </c>
      <c r="Q1469" s="116">
        <v>1551.05</v>
      </c>
      <c r="R1469">
        <v>43707</v>
      </c>
    </row>
    <row r="1470" spans="1:18" x14ac:dyDescent="0.25">
      <c r="A1470" s="170">
        <v>44168</v>
      </c>
      <c r="B1470" s="116">
        <v>1558.65</v>
      </c>
      <c r="C1470" s="116">
        <v>1551.55</v>
      </c>
      <c r="D1470" s="116">
        <v>1550</v>
      </c>
      <c r="E1470" s="116">
        <v>1557.3</v>
      </c>
      <c r="F1470" s="116">
        <v>1551.55</v>
      </c>
      <c r="G1470">
        <v>1521</v>
      </c>
      <c r="H1470" s="116"/>
      <c r="I1470" s="116"/>
      <c r="L1470" s="170">
        <v>44168</v>
      </c>
      <c r="M1470" s="116">
        <v>1552.05</v>
      </c>
      <c r="N1470" s="116">
        <v>1560</v>
      </c>
      <c r="O1470" s="116">
        <v>1548.7</v>
      </c>
      <c r="P1470" s="116">
        <v>1553</v>
      </c>
      <c r="Q1470" s="116">
        <v>1552.05</v>
      </c>
      <c r="R1470">
        <v>27207</v>
      </c>
    </row>
    <row r="1471" spans="1:18" x14ac:dyDescent="0.25">
      <c r="A1471" s="170">
        <v>44169</v>
      </c>
      <c r="B1471" s="116">
        <v>1567.15</v>
      </c>
      <c r="C1471" s="116">
        <v>1552.45</v>
      </c>
      <c r="D1471" s="116">
        <v>1550</v>
      </c>
      <c r="E1471" s="116">
        <v>1560</v>
      </c>
      <c r="F1471" s="116">
        <v>1552.45</v>
      </c>
      <c r="G1471">
        <v>1277</v>
      </c>
      <c r="H1471" s="116"/>
      <c r="I1471" s="116"/>
      <c r="L1471" s="170">
        <v>44169</v>
      </c>
      <c r="M1471" s="116">
        <v>1552.05</v>
      </c>
      <c r="N1471" s="116">
        <v>1568</v>
      </c>
      <c r="O1471" s="116">
        <v>1549.25</v>
      </c>
      <c r="P1471" s="116">
        <v>1555</v>
      </c>
      <c r="Q1471" s="116">
        <v>1552.05</v>
      </c>
      <c r="R1471">
        <v>68320</v>
      </c>
    </row>
    <row r="1472" spans="1:18" x14ac:dyDescent="0.25">
      <c r="A1472" s="170">
        <v>44172</v>
      </c>
      <c r="B1472" s="116">
        <v>1558.5</v>
      </c>
      <c r="C1472" s="116">
        <v>1550.75</v>
      </c>
      <c r="D1472" s="116">
        <v>1512.55</v>
      </c>
      <c r="E1472" s="116">
        <v>1550</v>
      </c>
      <c r="F1472" s="116">
        <v>1550.75</v>
      </c>
      <c r="G1472">
        <v>4274</v>
      </c>
      <c r="H1472" s="116"/>
      <c r="I1472" s="116"/>
      <c r="L1472" s="170">
        <v>44172</v>
      </c>
      <c r="M1472" s="116">
        <v>1551.3</v>
      </c>
      <c r="N1472" s="116">
        <v>1562.7</v>
      </c>
      <c r="O1472" s="116">
        <v>1546.1</v>
      </c>
      <c r="P1472" s="116">
        <v>1558</v>
      </c>
      <c r="Q1472" s="116">
        <v>1551.3</v>
      </c>
      <c r="R1472">
        <v>82845</v>
      </c>
    </row>
    <row r="1473" spans="1:18" x14ac:dyDescent="0.25">
      <c r="A1473" s="170">
        <v>44173</v>
      </c>
      <c r="B1473" s="116">
        <v>1555.95</v>
      </c>
      <c r="C1473" s="116">
        <v>1549</v>
      </c>
      <c r="D1473" s="116">
        <v>1547.65</v>
      </c>
      <c r="E1473" s="116">
        <v>1552</v>
      </c>
      <c r="F1473" s="116">
        <v>1549</v>
      </c>
      <c r="G1473">
        <v>2415</v>
      </c>
      <c r="H1473" s="116"/>
      <c r="I1473" s="116"/>
      <c r="L1473" s="170">
        <v>44173</v>
      </c>
      <c r="M1473" s="116">
        <v>1550.05</v>
      </c>
      <c r="N1473" s="116">
        <v>1575</v>
      </c>
      <c r="O1473" s="116">
        <v>1546</v>
      </c>
      <c r="P1473" s="116">
        <v>1574</v>
      </c>
      <c r="Q1473" s="116">
        <v>1550.05</v>
      </c>
      <c r="R1473">
        <v>68681</v>
      </c>
    </row>
    <row r="1474" spans="1:18" x14ac:dyDescent="0.25">
      <c r="A1474" s="170">
        <v>44174</v>
      </c>
      <c r="B1474" s="116">
        <v>1560</v>
      </c>
      <c r="C1474" s="116">
        <v>1549.35</v>
      </c>
      <c r="D1474" s="116">
        <v>1549</v>
      </c>
      <c r="E1474" s="116">
        <v>1560</v>
      </c>
      <c r="F1474" s="116">
        <v>1549.35</v>
      </c>
      <c r="G1474">
        <v>1300</v>
      </c>
      <c r="H1474" s="116"/>
      <c r="I1474" s="116"/>
      <c r="L1474" s="170">
        <v>44174</v>
      </c>
      <c r="M1474" s="116">
        <v>1550.1</v>
      </c>
      <c r="N1474" s="116">
        <v>1565.45</v>
      </c>
      <c r="O1474" s="116">
        <v>1549</v>
      </c>
      <c r="P1474" s="116">
        <v>1552</v>
      </c>
      <c r="Q1474" s="116">
        <v>1550.1</v>
      </c>
      <c r="R1474">
        <v>86299</v>
      </c>
    </row>
    <row r="1475" spans="1:18" x14ac:dyDescent="0.25">
      <c r="A1475" s="170">
        <v>44175</v>
      </c>
      <c r="B1475" s="116">
        <v>1556.25</v>
      </c>
      <c r="C1475" s="116">
        <v>1550.2</v>
      </c>
      <c r="D1475" s="116">
        <v>1548.35</v>
      </c>
      <c r="E1475" s="116">
        <v>1556.2</v>
      </c>
      <c r="F1475" s="116">
        <v>1550.2</v>
      </c>
      <c r="G1475">
        <v>1152</v>
      </c>
      <c r="H1475" s="116"/>
      <c r="I1475" s="116"/>
      <c r="L1475" s="170">
        <v>44175</v>
      </c>
      <c r="M1475" s="116">
        <v>1550.25</v>
      </c>
      <c r="N1475" s="116">
        <v>1565</v>
      </c>
      <c r="O1475" s="116">
        <v>1548.1</v>
      </c>
      <c r="P1475" s="116">
        <v>1564</v>
      </c>
      <c r="Q1475" s="116">
        <v>1550.25</v>
      </c>
      <c r="R1475">
        <v>20094</v>
      </c>
    </row>
    <row r="1476" spans="1:18" x14ac:dyDescent="0.25">
      <c r="A1476" s="170">
        <v>44176</v>
      </c>
      <c r="B1476" s="116">
        <v>1559</v>
      </c>
      <c r="C1476" s="116">
        <v>1550.9</v>
      </c>
      <c r="D1476" s="116">
        <v>1546</v>
      </c>
      <c r="E1476" s="116">
        <v>1546</v>
      </c>
      <c r="F1476" s="116">
        <v>1550.9</v>
      </c>
      <c r="G1476">
        <v>1241</v>
      </c>
      <c r="H1476" s="116"/>
      <c r="I1476" s="116"/>
      <c r="L1476" s="170">
        <v>44176</v>
      </c>
      <c r="M1476" s="116">
        <v>1551.15</v>
      </c>
      <c r="N1476" s="116">
        <v>1564</v>
      </c>
      <c r="O1476" s="116">
        <v>1547.1</v>
      </c>
      <c r="P1476" s="116">
        <v>1557.95</v>
      </c>
      <c r="Q1476" s="116">
        <v>1551.15</v>
      </c>
      <c r="R1476">
        <v>16371</v>
      </c>
    </row>
    <row r="1477" spans="1:18" x14ac:dyDescent="0.25">
      <c r="A1477" s="170">
        <v>44179</v>
      </c>
      <c r="B1477" s="116">
        <v>1558</v>
      </c>
      <c r="C1477" s="116">
        <v>1548.7</v>
      </c>
      <c r="D1477" s="116">
        <v>1548</v>
      </c>
      <c r="E1477" s="116">
        <v>1556.35</v>
      </c>
      <c r="F1477" s="116">
        <v>1548.7</v>
      </c>
      <c r="G1477">
        <v>1661</v>
      </c>
      <c r="H1477" s="116"/>
      <c r="I1477" s="116"/>
      <c r="L1477" s="170">
        <v>44179</v>
      </c>
      <c r="M1477" s="116">
        <v>1549.85</v>
      </c>
      <c r="N1477" s="116">
        <v>1560</v>
      </c>
      <c r="O1477" s="116">
        <v>1545</v>
      </c>
      <c r="P1477" s="116">
        <v>1551.35</v>
      </c>
      <c r="Q1477" s="116">
        <v>1549.85</v>
      </c>
      <c r="R1477">
        <v>21307</v>
      </c>
    </row>
    <row r="1478" spans="1:18" x14ac:dyDescent="0.25">
      <c r="A1478" s="170">
        <v>44180</v>
      </c>
      <c r="B1478" s="116">
        <v>1553</v>
      </c>
      <c r="C1478" s="116">
        <v>1549.9</v>
      </c>
      <c r="D1478" s="116">
        <v>1548</v>
      </c>
      <c r="E1478" s="116">
        <v>1550</v>
      </c>
      <c r="F1478" s="116">
        <v>1549.9</v>
      </c>
      <c r="G1478">
        <v>1037</v>
      </c>
      <c r="H1478" s="116"/>
      <c r="I1478" s="116"/>
      <c r="L1478" s="170">
        <v>44180</v>
      </c>
      <c r="M1478" s="116">
        <v>1550.3</v>
      </c>
      <c r="N1478" s="116">
        <v>1555.85</v>
      </c>
      <c r="O1478" s="116">
        <v>1543.35</v>
      </c>
      <c r="P1478" s="116">
        <v>1547.5</v>
      </c>
      <c r="Q1478" s="116">
        <v>1550.3</v>
      </c>
      <c r="R1478">
        <v>23076</v>
      </c>
    </row>
    <row r="1479" spans="1:18" x14ac:dyDescent="0.25">
      <c r="A1479" s="170">
        <v>44181</v>
      </c>
      <c r="B1479" s="116">
        <v>1554</v>
      </c>
      <c r="C1479" s="116">
        <v>1551.55</v>
      </c>
      <c r="D1479" s="116">
        <v>1547.2</v>
      </c>
      <c r="E1479" s="116">
        <v>1549.3</v>
      </c>
      <c r="F1479" s="116">
        <v>1551.55</v>
      </c>
      <c r="G1479">
        <v>727</v>
      </c>
      <c r="H1479" s="116"/>
      <c r="I1479" s="116"/>
      <c r="L1479" s="170">
        <v>44181</v>
      </c>
      <c r="M1479" s="116">
        <v>1550.55</v>
      </c>
      <c r="N1479" s="116">
        <v>1557.6</v>
      </c>
      <c r="O1479" s="116">
        <v>1540</v>
      </c>
      <c r="P1479" s="116">
        <v>1554.85</v>
      </c>
      <c r="Q1479" s="116">
        <v>1550.55</v>
      </c>
      <c r="R1479">
        <v>37192</v>
      </c>
    </row>
    <row r="1480" spans="1:18" x14ac:dyDescent="0.25">
      <c r="A1480" s="170">
        <v>44182</v>
      </c>
      <c r="B1480" s="116">
        <v>1592.15</v>
      </c>
      <c r="C1480" s="116">
        <v>1585.65</v>
      </c>
      <c r="D1480" s="116">
        <v>1540</v>
      </c>
      <c r="E1480" s="116">
        <v>1545</v>
      </c>
      <c r="F1480" s="116">
        <v>1585.65</v>
      </c>
      <c r="G1480">
        <v>7359</v>
      </c>
      <c r="H1480" s="116"/>
      <c r="I1480" s="116"/>
      <c r="L1480" s="170">
        <v>44182</v>
      </c>
      <c r="M1480" s="116">
        <v>1585.55</v>
      </c>
      <c r="N1480" s="116">
        <v>1593.85</v>
      </c>
      <c r="O1480" s="116">
        <v>1549.4</v>
      </c>
      <c r="P1480" s="116">
        <v>1550</v>
      </c>
      <c r="Q1480" s="116">
        <v>1585.55</v>
      </c>
      <c r="R1480">
        <v>69443</v>
      </c>
    </row>
    <row r="1481" spans="1:18" x14ac:dyDescent="0.25">
      <c r="A1481" s="170">
        <v>44183</v>
      </c>
      <c r="B1481" s="116">
        <v>1617.35</v>
      </c>
      <c r="C1481" s="116">
        <v>1611.25</v>
      </c>
      <c r="D1481" s="116">
        <v>1589.4</v>
      </c>
      <c r="E1481" s="116">
        <v>1600</v>
      </c>
      <c r="F1481" s="116">
        <v>1611.25</v>
      </c>
      <c r="G1481">
        <v>9148</v>
      </c>
      <c r="H1481" s="116"/>
      <c r="I1481" s="116"/>
      <c r="L1481" s="170">
        <v>44183</v>
      </c>
      <c r="M1481" s="116">
        <v>1612.4</v>
      </c>
      <c r="N1481" s="116">
        <v>1619</v>
      </c>
      <c r="O1481" s="116">
        <v>1590</v>
      </c>
      <c r="P1481" s="116">
        <v>1598</v>
      </c>
      <c r="Q1481" s="116">
        <v>1612.4</v>
      </c>
      <c r="R1481">
        <v>100353</v>
      </c>
    </row>
    <row r="1482" spans="1:18" x14ac:dyDescent="0.25">
      <c r="A1482" s="170">
        <v>44186</v>
      </c>
      <c r="B1482" s="116">
        <v>1642.6</v>
      </c>
      <c r="C1482" s="116">
        <v>1549.25</v>
      </c>
      <c r="D1482" s="116">
        <v>1520.1</v>
      </c>
      <c r="E1482" s="116">
        <v>1620</v>
      </c>
      <c r="F1482" s="116">
        <v>1549.25</v>
      </c>
      <c r="G1482">
        <v>9817</v>
      </c>
      <c r="H1482" s="116"/>
      <c r="I1482" s="116"/>
      <c r="L1482" s="170">
        <v>44186</v>
      </c>
      <c r="M1482" s="116">
        <v>1551</v>
      </c>
      <c r="N1482" s="116">
        <v>1645</v>
      </c>
      <c r="O1482" s="116">
        <v>1511.25</v>
      </c>
      <c r="P1482" s="116">
        <v>1620.35</v>
      </c>
      <c r="Q1482" s="116">
        <v>1551</v>
      </c>
      <c r="R1482">
        <v>207011</v>
      </c>
    </row>
    <row r="1483" spans="1:18" x14ac:dyDescent="0.25">
      <c r="A1483" s="170">
        <v>44187</v>
      </c>
      <c r="B1483" s="116">
        <v>1560</v>
      </c>
      <c r="C1483" s="116">
        <v>1532.5</v>
      </c>
      <c r="D1483" s="116">
        <v>1490</v>
      </c>
      <c r="E1483" s="116">
        <v>1560</v>
      </c>
      <c r="F1483" s="116">
        <v>1532.5</v>
      </c>
      <c r="G1483">
        <v>3076</v>
      </c>
      <c r="H1483" s="116"/>
      <c r="I1483" s="116"/>
      <c r="L1483" s="170">
        <v>44187</v>
      </c>
      <c r="M1483" s="116">
        <v>1532.25</v>
      </c>
      <c r="N1483" s="116">
        <v>1597</v>
      </c>
      <c r="O1483" s="116">
        <v>1485.15</v>
      </c>
      <c r="P1483" s="116">
        <v>1551</v>
      </c>
      <c r="Q1483" s="116">
        <v>1532.25</v>
      </c>
      <c r="R1483">
        <v>46131</v>
      </c>
    </row>
    <row r="1484" spans="1:18" x14ac:dyDescent="0.25">
      <c r="A1484" s="170">
        <v>44188</v>
      </c>
      <c r="B1484" s="116">
        <v>1550</v>
      </c>
      <c r="C1484" s="116">
        <v>1527.55</v>
      </c>
      <c r="D1484" s="116">
        <v>1515</v>
      </c>
      <c r="E1484" s="116">
        <v>1539.45</v>
      </c>
      <c r="F1484" s="116">
        <v>1527.55</v>
      </c>
      <c r="G1484">
        <v>2163</v>
      </c>
      <c r="H1484" s="116"/>
      <c r="I1484" s="116"/>
      <c r="L1484" s="170">
        <v>44188</v>
      </c>
      <c r="M1484" s="116">
        <v>1527.7</v>
      </c>
      <c r="N1484" s="116">
        <v>1548.85</v>
      </c>
      <c r="O1484" s="116">
        <v>1513.1</v>
      </c>
      <c r="P1484" s="116">
        <v>1532.25</v>
      </c>
      <c r="Q1484" s="116">
        <v>1527.7</v>
      </c>
      <c r="R1484">
        <v>28162</v>
      </c>
    </row>
    <row r="1485" spans="1:18" x14ac:dyDescent="0.25">
      <c r="A1485" s="170">
        <v>44189</v>
      </c>
      <c r="B1485" s="116">
        <v>1547.6</v>
      </c>
      <c r="C1485" s="116">
        <v>1533.8</v>
      </c>
      <c r="D1485" s="116">
        <v>1522.4</v>
      </c>
      <c r="E1485" s="116">
        <v>1522.4</v>
      </c>
      <c r="F1485" s="116">
        <v>1533.8</v>
      </c>
      <c r="G1485">
        <v>1757</v>
      </c>
      <c r="H1485" s="116"/>
      <c r="I1485" s="116"/>
      <c r="L1485" s="170">
        <v>44189</v>
      </c>
      <c r="M1485" s="116">
        <v>1532.5</v>
      </c>
      <c r="N1485" s="116">
        <v>1549.85</v>
      </c>
      <c r="O1485" s="116">
        <v>1526</v>
      </c>
      <c r="P1485" s="116">
        <v>1540</v>
      </c>
      <c r="Q1485" s="116">
        <v>1532.5</v>
      </c>
      <c r="R1485">
        <v>22344</v>
      </c>
    </row>
    <row r="1486" spans="1:18" x14ac:dyDescent="0.25">
      <c r="A1486" s="170">
        <v>44193</v>
      </c>
      <c r="B1486" s="116">
        <v>1645</v>
      </c>
      <c r="C1486" s="116">
        <v>1616.6</v>
      </c>
      <c r="D1486" s="116">
        <v>1519</v>
      </c>
      <c r="E1486" s="116">
        <v>1519</v>
      </c>
      <c r="F1486" s="116">
        <v>1616.6</v>
      </c>
      <c r="G1486">
        <v>12386</v>
      </c>
      <c r="H1486" s="116"/>
      <c r="I1486" s="116"/>
      <c r="L1486" s="170">
        <v>44193</v>
      </c>
      <c r="M1486" s="116">
        <v>1619</v>
      </c>
      <c r="N1486" s="116">
        <v>1634</v>
      </c>
      <c r="O1486" s="116">
        <v>1540</v>
      </c>
      <c r="P1486" s="116">
        <v>1544.95</v>
      </c>
      <c r="Q1486" s="116">
        <v>1619</v>
      </c>
      <c r="R1486">
        <v>172099</v>
      </c>
    </row>
    <row r="1487" spans="1:18" x14ac:dyDescent="0.25">
      <c r="A1487" s="170">
        <v>44194</v>
      </c>
      <c r="B1487" s="116">
        <v>1645</v>
      </c>
      <c r="C1487" s="116">
        <v>1585.8</v>
      </c>
      <c r="D1487" s="116">
        <v>1574.15</v>
      </c>
      <c r="E1487" s="116">
        <v>1645</v>
      </c>
      <c r="F1487" s="116">
        <v>1585.8</v>
      </c>
      <c r="G1487">
        <v>3920</v>
      </c>
      <c r="H1487" s="116"/>
      <c r="I1487" s="116"/>
      <c r="L1487" s="170">
        <v>44194</v>
      </c>
      <c r="M1487" s="116">
        <v>1586.7</v>
      </c>
      <c r="N1487" s="116">
        <v>1640</v>
      </c>
      <c r="O1487" s="116">
        <v>1572</v>
      </c>
      <c r="P1487" s="116">
        <v>1638.9</v>
      </c>
      <c r="Q1487" s="116">
        <v>1586.7</v>
      </c>
      <c r="R1487">
        <v>67668</v>
      </c>
    </row>
    <row r="1488" spans="1:18" x14ac:dyDescent="0.25">
      <c r="A1488" s="170">
        <v>44195</v>
      </c>
      <c r="B1488" s="116">
        <v>1606</v>
      </c>
      <c r="C1488" s="116">
        <v>1601.3</v>
      </c>
      <c r="D1488" s="116">
        <v>1578.85</v>
      </c>
      <c r="E1488" s="116">
        <v>1585.8</v>
      </c>
      <c r="F1488" s="116">
        <v>1601.3</v>
      </c>
      <c r="G1488">
        <v>1460</v>
      </c>
      <c r="H1488" s="116"/>
      <c r="I1488" s="116"/>
      <c r="L1488" s="170">
        <v>44195</v>
      </c>
      <c r="M1488" s="116">
        <v>1601.45</v>
      </c>
      <c r="N1488" s="116">
        <v>1610</v>
      </c>
      <c r="O1488" s="116">
        <v>1577.95</v>
      </c>
      <c r="P1488" s="116">
        <v>1587</v>
      </c>
      <c r="Q1488" s="116">
        <v>1601.45</v>
      </c>
      <c r="R1488">
        <v>25274</v>
      </c>
    </row>
    <row r="1489" spans="1:18" x14ac:dyDescent="0.25">
      <c r="A1489" s="170">
        <v>44196</v>
      </c>
      <c r="B1489" s="116">
        <v>1634.25</v>
      </c>
      <c r="C1489" s="116">
        <v>1623.2</v>
      </c>
      <c r="D1489" s="116">
        <v>1590</v>
      </c>
      <c r="E1489" s="116">
        <v>1606</v>
      </c>
      <c r="F1489" s="116">
        <v>1623.2</v>
      </c>
      <c r="G1489">
        <v>1758</v>
      </c>
      <c r="H1489" s="116"/>
      <c r="I1489" s="116"/>
      <c r="L1489" s="170">
        <v>44196</v>
      </c>
      <c r="M1489" s="116">
        <v>1623.95</v>
      </c>
      <c r="N1489" s="116">
        <v>1635</v>
      </c>
      <c r="O1489" s="116">
        <v>1589.3</v>
      </c>
      <c r="P1489" s="116">
        <v>1601.05</v>
      </c>
      <c r="Q1489" s="116">
        <v>1623.95</v>
      </c>
      <c r="R1489">
        <v>51183</v>
      </c>
    </row>
    <row r="1490" spans="1:18" x14ac:dyDescent="0.25">
      <c r="A1490" s="170">
        <v>44197</v>
      </c>
      <c r="B1490" s="116">
        <v>1623.2</v>
      </c>
      <c r="C1490" s="116">
        <v>1611.05</v>
      </c>
      <c r="D1490" s="116">
        <v>1601.25</v>
      </c>
      <c r="E1490" s="116">
        <v>1623.2</v>
      </c>
      <c r="F1490" s="116">
        <v>1611.05</v>
      </c>
      <c r="G1490">
        <v>1092</v>
      </c>
      <c r="H1490" s="116"/>
      <c r="I1490" s="116"/>
      <c r="L1490" s="170">
        <v>44197</v>
      </c>
      <c r="M1490" s="116">
        <v>1611.5</v>
      </c>
      <c r="N1490" s="116">
        <v>1626.55</v>
      </c>
      <c r="O1490" s="116">
        <v>1602</v>
      </c>
      <c r="P1490" s="116">
        <v>1607.2</v>
      </c>
      <c r="Q1490" s="116">
        <v>1611.5</v>
      </c>
      <c r="R1490">
        <v>23871</v>
      </c>
    </row>
    <row r="1491" spans="1:18" x14ac:dyDescent="0.25">
      <c r="A1491" s="170">
        <v>44200</v>
      </c>
      <c r="B1491" s="116">
        <v>1623.2</v>
      </c>
      <c r="C1491" s="116">
        <v>1598.45</v>
      </c>
      <c r="D1491" s="116">
        <v>1592.9</v>
      </c>
      <c r="E1491" s="116">
        <v>1623.2</v>
      </c>
      <c r="F1491" s="116">
        <v>1598.45</v>
      </c>
      <c r="G1491">
        <v>1741</v>
      </c>
      <c r="H1491" s="116"/>
      <c r="I1491" s="116"/>
      <c r="L1491" s="170">
        <v>44200</v>
      </c>
      <c r="M1491" s="116">
        <v>1599.8</v>
      </c>
      <c r="N1491" s="116">
        <v>1630</v>
      </c>
      <c r="O1491" s="116">
        <v>1590</v>
      </c>
      <c r="P1491" s="116">
        <v>1626</v>
      </c>
      <c r="Q1491" s="116">
        <v>1599.8</v>
      </c>
      <c r="R1491">
        <v>23376</v>
      </c>
    </row>
    <row r="1492" spans="1:18" x14ac:dyDescent="0.25">
      <c r="A1492" s="170">
        <v>44201</v>
      </c>
      <c r="B1492" s="116">
        <v>1614</v>
      </c>
      <c r="C1492" s="116">
        <v>1593.1</v>
      </c>
      <c r="D1492" s="116">
        <v>1586.3</v>
      </c>
      <c r="E1492" s="116">
        <v>1601.2</v>
      </c>
      <c r="F1492" s="116">
        <v>1593.1</v>
      </c>
      <c r="G1492">
        <v>2286</v>
      </c>
      <c r="H1492" s="116"/>
      <c r="I1492" s="116"/>
      <c r="L1492" s="170">
        <v>44201</v>
      </c>
      <c r="M1492" s="116">
        <v>1593.2</v>
      </c>
      <c r="N1492" s="116">
        <v>1616</v>
      </c>
      <c r="O1492" s="116">
        <v>1585.1</v>
      </c>
      <c r="P1492" s="116">
        <v>1600</v>
      </c>
      <c r="Q1492" s="116">
        <v>1593.2</v>
      </c>
      <c r="R1492">
        <v>22879</v>
      </c>
    </row>
    <row r="1493" spans="1:18" x14ac:dyDescent="0.25">
      <c r="A1493" s="170">
        <v>44202</v>
      </c>
      <c r="B1493" s="116">
        <v>1602.85</v>
      </c>
      <c r="C1493" s="116">
        <v>1598.6</v>
      </c>
      <c r="D1493" s="116">
        <v>1586.5</v>
      </c>
      <c r="E1493" s="116">
        <v>1589.75</v>
      </c>
      <c r="F1493" s="116">
        <v>1598.6</v>
      </c>
      <c r="G1493">
        <v>2948</v>
      </c>
      <c r="H1493" s="116"/>
      <c r="I1493" s="116"/>
      <c r="L1493" s="170">
        <v>44202</v>
      </c>
      <c r="M1493" s="116">
        <v>1600.1</v>
      </c>
      <c r="N1493" s="116">
        <v>1605.5</v>
      </c>
      <c r="O1493" s="116">
        <v>1580</v>
      </c>
      <c r="P1493" s="116">
        <v>1595</v>
      </c>
      <c r="Q1493" s="116">
        <v>1600.1</v>
      </c>
      <c r="R1493">
        <v>31045</v>
      </c>
    </row>
    <row r="1494" spans="1:18" x14ac:dyDescent="0.25">
      <c r="A1494" s="170">
        <v>44203</v>
      </c>
      <c r="B1494" s="116">
        <v>1618.6</v>
      </c>
      <c r="C1494" s="116">
        <v>1598.7</v>
      </c>
      <c r="D1494" s="116">
        <v>1594.8</v>
      </c>
      <c r="E1494" s="116">
        <v>1604</v>
      </c>
      <c r="F1494" s="116">
        <v>1598.7</v>
      </c>
      <c r="G1494">
        <v>1626</v>
      </c>
      <c r="H1494" s="116"/>
      <c r="I1494" s="116"/>
      <c r="L1494" s="170">
        <v>44203</v>
      </c>
      <c r="M1494" s="116">
        <v>1599.75</v>
      </c>
      <c r="N1494" s="116">
        <v>1620</v>
      </c>
      <c r="O1494" s="116">
        <v>1590.25</v>
      </c>
      <c r="P1494" s="116">
        <v>1601</v>
      </c>
      <c r="Q1494" s="116">
        <v>1599.75</v>
      </c>
      <c r="R1494">
        <v>54605</v>
      </c>
    </row>
    <row r="1495" spans="1:18" x14ac:dyDescent="0.25">
      <c r="A1495" s="170">
        <v>44204</v>
      </c>
      <c r="B1495" s="116">
        <v>1650</v>
      </c>
      <c r="C1495" s="116">
        <v>1586.9</v>
      </c>
      <c r="D1495" s="116">
        <v>1571.75</v>
      </c>
      <c r="E1495" s="116">
        <v>1606.45</v>
      </c>
      <c r="F1495" s="116">
        <v>1586.9</v>
      </c>
      <c r="G1495">
        <v>3404</v>
      </c>
      <c r="H1495" s="116"/>
      <c r="I1495" s="116"/>
      <c r="L1495" s="170">
        <v>44204</v>
      </c>
      <c r="M1495" s="116">
        <v>1587</v>
      </c>
      <c r="N1495" s="116">
        <v>1618.3</v>
      </c>
      <c r="O1495" s="116">
        <v>1570.05</v>
      </c>
      <c r="P1495" s="116">
        <v>1607.75</v>
      </c>
      <c r="Q1495" s="116">
        <v>1587</v>
      </c>
      <c r="R1495">
        <v>35869</v>
      </c>
    </row>
    <row r="1496" spans="1:18" x14ac:dyDescent="0.25">
      <c r="A1496" s="170">
        <v>44207</v>
      </c>
      <c r="B1496" s="116">
        <v>1605</v>
      </c>
      <c r="C1496" s="116">
        <v>1566.2</v>
      </c>
      <c r="D1496" s="116">
        <v>1557.4</v>
      </c>
      <c r="E1496" s="116">
        <v>1600</v>
      </c>
      <c r="F1496" s="116">
        <v>1566.2</v>
      </c>
      <c r="G1496">
        <v>4656</v>
      </c>
      <c r="H1496" s="116"/>
      <c r="I1496" s="116"/>
      <c r="L1496" s="170">
        <v>44207</v>
      </c>
      <c r="M1496" s="116">
        <v>1563.75</v>
      </c>
      <c r="N1496" s="116">
        <v>1605</v>
      </c>
      <c r="O1496" s="116">
        <v>1557.05</v>
      </c>
      <c r="P1496" s="116">
        <v>1594.95</v>
      </c>
      <c r="Q1496" s="116">
        <v>1563.75</v>
      </c>
      <c r="R1496">
        <v>50394</v>
      </c>
    </row>
    <row r="1497" spans="1:18" x14ac:dyDescent="0.25">
      <c r="A1497" s="170">
        <v>44208</v>
      </c>
      <c r="B1497" s="116">
        <v>1566.1</v>
      </c>
      <c r="C1497" s="116">
        <v>1545.4</v>
      </c>
      <c r="D1497" s="116">
        <v>1531.1</v>
      </c>
      <c r="E1497" s="116">
        <v>1563</v>
      </c>
      <c r="F1497" s="116">
        <v>1545.4</v>
      </c>
      <c r="G1497">
        <v>6669</v>
      </c>
      <c r="H1497" s="116"/>
      <c r="I1497" s="116"/>
      <c r="L1497" s="170">
        <v>44208</v>
      </c>
      <c r="M1497" s="116">
        <v>1547.3</v>
      </c>
      <c r="N1497" s="116">
        <v>1571.6</v>
      </c>
      <c r="O1497" s="116">
        <v>1529.95</v>
      </c>
      <c r="P1497" s="116">
        <v>1563.75</v>
      </c>
      <c r="Q1497" s="116">
        <v>1547.3</v>
      </c>
      <c r="R1497">
        <v>48335</v>
      </c>
    </row>
    <row r="1498" spans="1:18" x14ac:dyDescent="0.25">
      <c r="A1498" s="170">
        <v>44209</v>
      </c>
      <c r="B1498" s="116">
        <v>1566.85</v>
      </c>
      <c r="C1498" s="116">
        <v>1529.5</v>
      </c>
      <c r="D1498" s="116">
        <v>1519.9</v>
      </c>
      <c r="E1498" s="116">
        <v>1564</v>
      </c>
      <c r="F1498" s="116">
        <v>1529.5</v>
      </c>
      <c r="G1498">
        <v>2900</v>
      </c>
      <c r="H1498" s="116"/>
      <c r="I1498" s="116"/>
      <c r="L1498" s="170">
        <v>44209</v>
      </c>
      <c r="M1498" s="116">
        <v>1527.3</v>
      </c>
      <c r="N1498" s="116">
        <v>1566.95</v>
      </c>
      <c r="O1498" s="116">
        <v>1521</v>
      </c>
      <c r="P1498" s="116">
        <v>1555.05</v>
      </c>
      <c r="Q1498" s="116">
        <v>1527.3</v>
      </c>
      <c r="R1498">
        <v>50467</v>
      </c>
    </row>
    <row r="1499" spans="1:18" x14ac:dyDescent="0.25">
      <c r="A1499" s="170">
        <v>44210</v>
      </c>
      <c r="B1499" s="116">
        <v>1546</v>
      </c>
      <c r="C1499" s="116">
        <v>1517.3</v>
      </c>
      <c r="D1499" s="116">
        <v>1510</v>
      </c>
      <c r="E1499" s="116">
        <v>1529.5</v>
      </c>
      <c r="F1499" s="116">
        <v>1517.3</v>
      </c>
      <c r="G1499">
        <v>4782</v>
      </c>
      <c r="H1499" s="116"/>
      <c r="I1499" s="116"/>
      <c r="L1499" s="170">
        <v>44210</v>
      </c>
      <c r="M1499" s="116">
        <v>1518.35</v>
      </c>
      <c r="N1499" s="116">
        <v>1548.9</v>
      </c>
      <c r="O1499" s="116">
        <v>1502.2</v>
      </c>
      <c r="P1499" s="116">
        <v>1530</v>
      </c>
      <c r="Q1499" s="116">
        <v>1518.35</v>
      </c>
      <c r="R1499">
        <v>48321</v>
      </c>
    </row>
    <row r="1500" spans="1:18" x14ac:dyDescent="0.25">
      <c r="A1500" s="170">
        <v>44211</v>
      </c>
      <c r="B1500" s="116">
        <v>1539.95</v>
      </c>
      <c r="C1500" s="116">
        <v>1515.9</v>
      </c>
      <c r="D1500" s="116">
        <v>1500</v>
      </c>
      <c r="E1500" s="116">
        <v>1539.95</v>
      </c>
      <c r="F1500" s="116">
        <v>1515.9</v>
      </c>
      <c r="G1500">
        <v>2537</v>
      </c>
      <c r="H1500" s="116"/>
      <c r="I1500" s="116"/>
      <c r="L1500" s="170">
        <v>44211</v>
      </c>
      <c r="M1500" s="116">
        <v>1519.3</v>
      </c>
      <c r="N1500" s="116">
        <v>1530.5</v>
      </c>
      <c r="O1500" s="116">
        <v>1500</v>
      </c>
      <c r="P1500" s="116">
        <v>1525</v>
      </c>
      <c r="Q1500" s="116">
        <v>1519.3</v>
      </c>
      <c r="R1500">
        <v>44780</v>
      </c>
    </row>
    <row r="1501" spans="1:18" x14ac:dyDescent="0.25">
      <c r="A1501" s="170">
        <v>44214</v>
      </c>
      <c r="B1501" s="116">
        <v>1539.3</v>
      </c>
      <c r="C1501" s="116">
        <v>1529.05</v>
      </c>
      <c r="D1501" s="116">
        <v>1499</v>
      </c>
      <c r="E1501" s="116">
        <v>1528</v>
      </c>
      <c r="F1501" s="116">
        <v>1529.05</v>
      </c>
      <c r="G1501">
        <v>2675</v>
      </c>
      <c r="H1501" s="116"/>
      <c r="I1501" s="116"/>
      <c r="L1501" s="170">
        <v>44214</v>
      </c>
      <c r="M1501" s="116">
        <v>1530.5</v>
      </c>
      <c r="N1501" s="116">
        <v>1540</v>
      </c>
      <c r="O1501" s="116">
        <v>1495</v>
      </c>
      <c r="P1501" s="116">
        <v>1519.3</v>
      </c>
      <c r="Q1501" s="116">
        <v>1530.5</v>
      </c>
      <c r="R1501">
        <v>62418</v>
      </c>
    </row>
    <row r="1502" spans="1:18" x14ac:dyDescent="0.25">
      <c r="A1502" s="170">
        <v>44215</v>
      </c>
      <c r="B1502" s="116">
        <v>1559.35</v>
      </c>
      <c r="C1502" s="116">
        <v>1540.6</v>
      </c>
      <c r="D1502" s="116">
        <v>1531.25</v>
      </c>
      <c r="E1502" s="116">
        <v>1539</v>
      </c>
      <c r="F1502" s="116">
        <v>1540.6</v>
      </c>
      <c r="G1502">
        <v>3001</v>
      </c>
      <c r="H1502" s="116"/>
      <c r="I1502" s="116"/>
      <c r="L1502" s="170">
        <v>44215</v>
      </c>
      <c r="M1502" s="116">
        <v>1541.15</v>
      </c>
      <c r="N1502" s="116">
        <v>1560</v>
      </c>
      <c r="O1502" s="116">
        <v>1530</v>
      </c>
      <c r="P1502" s="116">
        <v>1560</v>
      </c>
      <c r="Q1502" s="116">
        <v>1541.15</v>
      </c>
      <c r="R1502">
        <v>43217</v>
      </c>
    </row>
    <row r="1503" spans="1:18" x14ac:dyDescent="0.25">
      <c r="A1503" s="170">
        <v>44216</v>
      </c>
      <c r="B1503" s="116">
        <v>1587.55</v>
      </c>
      <c r="C1503" s="116">
        <v>1571.95</v>
      </c>
      <c r="D1503" s="116">
        <v>1541.65</v>
      </c>
      <c r="E1503" s="116">
        <v>1546.9</v>
      </c>
      <c r="F1503" s="116">
        <v>1571.95</v>
      </c>
      <c r="G1503">
        <v>1746</v>
      </c>
      <c r="H1503" s="116"/>
      <c r="I1503" s="116"/>
      <c r="L1503" s="170">
        <v>44216</v>
      </c>
      <c r="M1503" s="116">
        <v>1570.6</v>
      </c>
      <c r="N1503" s="116">
        <v>1589</v>
      </c>
      <c r="O1503" s="116">
        <v>1538.05</v>
      </c>
      <c r="P1503" s="116">
        <v>1540</v>
      </c>
      <c r="Q1503" s="116">
        <v>1570.6</v>
      </c>
      <c r="R1503">
        <v>44094</v>
      </c>
    </row>
    <row r="1504" spans="1:18" x14ac:dyDescent="0.25">
      <c r="A1504" s="170">
        <v>44217</v>
      </c>
      <c r="B1504" s="116">
        <v>1572.4</v>
      </c>
      <c r="C1504" s="116">
        <v>1520.65</v>
      </c>
      <c r="D1504" s="116">
        <v>1516.55</v>
      </c>
      <c r="E1504" s="116">
        <v>1572.4</v>
      </c>
      <c r="F1504" s="116">
        <v>1520.65</v>
      </c>
      <c r="G1504">
        <v>7049</v>
      </c>
      <c r="H1504" s="116"/>
      <c r="I1504" s="116"/>
      <c r="L1504" s="170">
        <v>44217</v>
      </c>
      <c r="M1504" s="116">
        <v>1519.5</v>
      </c>
      <c r="N1504" s="116">
        <v>1578.5</v>
      </c>
      <c r="O1504" s="116">
        <v>1515</v>
      </c>
      <c r="P1504" s="116">
        <v>1570</v>
      </c>
      <c r="Q1504" s="116">
        <v>1519.5</v>
      </c>
      <c r="R1504">
        <v>56577</v>
      </c>
    </row>
    <row r="1505" spans="1:18" x14ac:dyDescent="0.25">
      <c r="A1505" s="170">
        <v>44218</v>
      </c>
      <c r="B1505" s="116">
        <v>1528.2</v>
      </c>
      <c r="C1505" s="116">
        <v>1517.85</v>
      </c>
      <c r="D1505" s="116">
        <v>1507.85</v>
      </c>
      <c r="E1505" s="116">
        <v>1520</v>
      </c>
      <c r="F1505" s="116">
        <v>1517.85</v>
      </c>
      <c r="G1505">
        <v>3854</v>
      </c>
      <c r="H1505" s="116"/>
      <c r="I1505" s="116"/>
      <c r="L1505" s="170">
        <v>44218</v>
      </c>
      <c r="M1505" s="116">
        <v>1517.85</v>
      </c>
      <c r="N1505" s="116">
        <v>1527.1</v>
      </c>
      <c r="O1505" s="116">
        <v>1508</v>
      </c>
      <c r="P1505" s="116">
        <v>1527.1</v>
      </c>
      <c r="Q1505" s="116">
        <v>1517.85</v>
      </c>
      <c r="R1505">
        <v>21780</v>
      </c>
    </row>
    <row r="1506" spans="1:18" x14ac:dyDescent="0.25">
      <c r="A1506" s="170">
        <v>44221</v>
      </c>
      <c r="B1506" s="116">
        <v>1528.4</v>
      </c>
      <c r="C1506" s="116">
        <v>1488.9</v>
      </c>
      <c r="D1506" s="116">
        <v>1481.25</v>
      </c>
      <c r="E1506" s="116">
        <v>1528.4</v>
      </c>
      <c r="F1506" s="116">
        <v>1488.9</v>
      </c>
      <c r="G1506">
        <v>2704</v>
      </c>
      <c r="H1506" s="116"/>
      <c r="I1506" s="116"/>
      <c r="L1506" s="170">
        <v>44221</v>
      </c>
      <c r="M1506" s="116">
        <v>1487.9</v>
      </c>
      <c r="N1506" s="116">
        <v>1540</v>
      </c>
      <c r="O1506" s="116">
        <v>1480</v>
      </c>
      <c r="P1506" s="116">
        <v>1530</v>
      </c>
      <c r="Q1506" s="116">
        <v>1487.9</v>
      </c>
      <c r="R1506">
        <v>38517</v>
      </c>
    </row>
    <row r="1507" spans="1:18" x14ac:dyDescent="0.25">
      <c r="A1507" s="170">
        <v>44223</v>
      </c>
      <c r="B1507" s="116">
        <v>1529</v>
      </c>
      <c r="C1507" s="116">
        <v>1469.05</v>
      </c>
      <c r="D1507" s="116">
        <v>1456.9</v>
      </c>
      <c r="E1507" s="116">
        <v>1529</v>
      </c>
      <c r="F1507" s="116">
        <v>1469.05</v>
      </c>
      <c r="G1507">
        <v>3849</v>
      </c>
      <c r="H1507" s="116"/>
      <c r="I1507" s="116"/>
      <c r="L1507" s="170">
        <v>44223</v>
      </c>
      <c r="M1507" s="116">
        <v>1467.5</v>
      </c>
      <c r="N1507" s="116">
        <v>1511</v>
      </c>
      <c r="O1507" s="116">
        <v>1455.05</v>
      </c>
      <c r="P1507" s="116">
        <v>1485</v>
      </c>
      <c r="Q1507" s="116">
        <v>1467.5</v>
      </c>
      <c r="R1507">
        <v>51747</v>
      </c>
    </row>
    <row r="1508" spans="1:18" x14ac:dyDescent="0.25">
      <c r="A1508" s="170">
        <v>44224</v>
      </c>
      <c r="B1508" s="116">
        <v>1472.8</v>
      </c>
      <c r="C1508" s="116">
        <v>1461.2</v>
      </c>
      <c r="D1508" s="116">
        <v>1425</v>
      </c>
      <c r="E1508" s="116">
        <v>1425</v>
      </c>
      <c r="F1508" s="116">
        <v>1461.2</v>
      </c>
      <c r="G1508">
        <v>2170</v>
      </c>
      <c r="H1508" s="116"/>
      <c r="I1508" s="116"/>
      <c r="L1508" s="170">
        <v>44224</v>
      </c>
      <c r="M1508" s="116">
        <v>1460.35</v>
      </c>
      <c r="N1508" s="116">
        <v>1475.75</v>
      </c>
      <c r="O1508" s="116">
        <v>1450.1</v>
      </c>
      <c r="P1508" s="116">
        <v>1469.2</v>
      </c>
      <c r="Q1508" s="116">
        <v>1460.35</v>
      </c>
      <c r="R1508">
        <v>18309</v>
      </c>
    </row>
    <row r="1509" spans="1:18" x14ac:dyDescent="0.25">
      <c r="A1509" s="170">
        <v>44225</v>
      </c>
      <c r="B1509" s="116">
        <v>1477.75</v>
      </c>
      <c r="C1509" s="116">
        <v>1464.9</v>
      </c>
      <c r="D1509" s="116">
        <v>1454.6</v>
      </c>
      <c r="E1509" s="116">
        <v>1454.6</v>
      </c>
      <c r="F1509" s="116">
        <v>1464.9</v>
      </c>
      <c r="G1509">
        <v>1632</v>
      </c>
      <c r="H1509" s="116"/>
      <c r="I1509" s="116"/>
      <c r="L1509" s="170">
        <v>44225</v>
      </c>
      <c r="M1509" s="116">
        <v>1465.8</v>
      </c>
      <c r="N1509" s="116">
        <v>1485</v>
      </c>
      <c r="O1509" s="116">
        <v>1460</v>
      </c>
      <c r="P1509" s="116">
        <v>1467.7</v>
      </c>
      <c r="Q1509" s="116">
        <v>1465.8</v>
      </c>
      <c r="R1509">
        <v>11076</v>
      </c>
    </row>
    <row r="1510" spans="1:18" x14ac:dyDescent="0.25">
      <c r="A1510" s="170">
        <v>44228</v>
      </c>
      <c r="B1510" s="116">
        <v>1477.9</v>
      </c>
      <c r="C1510" s="116">
        <v>1467.25</v>
      </c>
      <c r="D1510" s="116">
        <v>1456.5</v>
      </c>
      <c r="E1510" s="116">
        <v>1460.25</v>
      </c>
      <c r="F1510" s="116">
        <v>1467.25</v>
      </c>
      <c r="G1510">
        <v>1253</v>
      </c>
      <c r="H1510" s="116"/>
      <c r="I1510" s="116"/>
      <c r="L1510" s="170">
        <v>44228</v>
      </c>
      <c r="M1510" s="116">
        <v>1463.6</v>
      </c>
      <c r="N1510" s="116">
        <v>1480</v>
      </c>
      <c r="O1510" s="116">
        <v>1455.7</v>
      </c>
      <c r="P1510" s="116">
        <v>1465</v>
      </c>
      <c r="Q1510" s="116">
        <v>1463.6</v>
      </c>
      <c r="R1510">
        <v>15292</v>
      </c>
    </row>
    <row r="1511" spans="1:18" x14ac:dyDescent="0.25">
      <c r="A1511" s="170">
        <v>44229</v>
      </c>
      <c r="B1511" s="116">
        <v>1492.75</v>
      </c>
      <c r="C1511" s="116">
        <v>1456.55</v>
      </c>
      <c r="D1511" s="116">
        <v>1452</v>
      </c>
      <c r="E1511" s="116">
        <v>1482</v>
      </c>
      <c r="F1511" s="116">
        <v>1456.55</v>
      </c>
      <c r="G1511">
        <v>3355</v>
      </c>
      <c r="H1511" s="116"/>
      <c r="I1511" s="116"/>
      <c r="L1511" s="170">
        <v>44229</v>
      </c>
      <c r="M1511" s="116">
        <v>1456.05</v>
      </c>
      <c r="N1511" s="116">
        <v>1497.85</v>
      </c>
      <c r="O1511" s="116">
        <v>1450</v>
      </c>
      <c r="P1511" s="116">
        <v>1485</v>
      </c>
      <c r="Q1511" s="116">
        <v>1456.05</v>
      </c>
      <c r="R1511">
        <v>27206</v>
      </c>
    </row>
    <row r="1512" spans="1:18" x14ac:dyDescent="0.25">
      <c r="A1512" s="170">
        <v>44230</v>
      </c>
      <c r="B1512" s="116">
        <v>1476.1</v>
      </c>
      <c r="C1512" s="116">
        <v>1459.05</v>
      </c>
      <c r="D1512" s="116">
        <v>1453.85</v>
      </c>
      <c r="E1512" s="116">
        <v>1475.2</v>
      </c>
      <c r="F1512" s="116">
        <v>1459.05</v>
      </c>
      <c r="G1512">
        <v>4892</v>
      </c>
      <c r="H1512" s="116"/>
      <c r="I1512" s="116"/>
      <c r="L1512" s="170">
        <v>44230</v>
      </c>
      <c r="M1512" s="116">
        <v>1460.4</v>
      </c>
      <c r="N1512" s="116">
        <v>1474.45</v>
      </c>
      <c r="O1512" s="116">
        <v>1452.5</v>
      </c>
      <c r="P1512" s="116">
        <v>1460</v>
      </c>
      <c r="Q1512" s="116">
        <v>1460.4</v>
      </c>
      <c r="R1512">
        <v>102489</v>
      </c>
    </row>
    <row r="1513" spans="1:18" x14ac:dyDescent="0.25">
      <c r="A1513" s="170">
        <v>44231</v>
      </c>
      <c r="B1513" s="116">
        <v>1498.9</v>
      </c>
      <c r="C1513" s="116">
        <v>1455.75</v>
      </c>
      <c r="D1513" s="116">
        <v>1449.55</v>
      </c>
      <c r="E1513" s="116">
        <v>1498.9</v>
      </c>
      <c r="F1513" s="116">
        <v>1455.75</v>
      </c>
      <c r="G1513">
        <v>4345</v>
      </c>
      <c r="H1513" s="116"/>
      <c r="I1513" s="116"/>
      <c r="L1513" s="170">
        <v>44231</v>
      </c>
      <c r="M1513" s="116">
        <v>1454.7</v>
      </c>
      <c r="N1513" s="116">
        <v>1469.2</v>
      </c>
      <c r="O1513" s="116">
        <v>1446.6</v>
      </c>
      <c r="P1513" s="116">
        <v>1459.5</v>
      </c>
      <c r="Q1513" s="116">
        <v>1454.7</v>
      </c>
      <c r="R1513">
        <v>59117</v>
      </c>
    </row>
    <row r="1514" spans="1:18" x14ac:dyDescent="0.25">
      <c r="A1514" s="170">
        <v>44232</v>
      </c>
      <c r="B1514" s="116">
        <v>1472</v>
      </c>
      <c r="C1514" s="116">
        <v>1431.45</v>
      </c>
      <c r="D1514" s="116">
        <v>1426.7</v>
      </c>
      <c r="E1514" s="116">
        <v>1460</v>
      </c>
      <c r="F1514" s="116">
        <v>1431.45</v>
      </c>
      <c r="G1514">
        <v>5914</v>
      </c>
      <c r="H1514" s="116"/>
      <c r="I1514" s="116"/>
      <c r="L1514" s="170">
        <v>44232</v>
      </c>
      <c r="M1514" s="116">
        <v>1430.15</v>
      </c>
      <c r="N1514" s="116">
        <v>1472</v>
      </c>
      <c r="O1514" s="116">
        <v>1425.5</v>
      </c>
      <c r="P1514" s="116">
        <v>1463</v>
      </c>
      <c r="Q1514" s="116">
        <v>1430.15</v>
      </c>
      <c r="R1514">
        <v>88815</v>
      </c>
    </row>
    <row r="1515" spans="1:18" x14ac:dyDescent="0.25">
      <c r="A1515" s="170">
        <v>44235</v>
      </c>
      <c r="B1515" s="116">
        <v>1549</v>
      </c>
      <c r="C1515" s="116">
        <v>1458.75</v>
      </c>
      <c r="D1515" s="116">
        <v>1450</v>
      </c>
      <c r="E1515" s="116">
        <v>1549</v>
      </c>
      <c r="F1515" s="116">
        <v>1458.75</v>
      </c>
      <c r="G1515">
        <v>13286</v>
      </c>
      <c r="H1515" s="116"/>
      <c r="I1515" s="116"/>
      <c r="L1515" s="170">
        <v>44235</v>
      </c>
      <c r="M1515" s="116">
        <v>1460.25</v>
      </c>
      <c r="N1515" s="116">
        <v>1515</v>
      </c>
      <c r="O1515" s="116">
        <v>1449.15</v>
      </c>
      <c r="P1515" s="116">
        <v>1488</v>
      </c>
      <c r="Q1515" s="116">
        <v>1460.25</v>
      </c>
      <c r="R1515">
        <v>308080</v>
      </c>
    </row>
    <row r="1516" spans="1:18" x14ac:dyDescent="0.25">
      <c r="A1516" s="170">
        <v>44236</v>
      </c>
      <c r="B1516" s="116">
        <v>1488</v>
      </c>
      <c r="C1516" s="116">
        <v>1459.75</v>
      </c>
      <c r="D1516" s="116">
        <v>1457</v>
      </c>
      <c r="E1516" s="116">
        <v>1474</v>
      </c>
      <c r="F1516" s="116">
        <v>1459.75</v>
      </c>
      <c r="G1516">
        <v>4004</v>
      </c>
      <c r="H1516" s="116"/>
      <c r="I1516" s="116"/>
      <c r="L1516" s="170">
        <v>44236</v>
      </c>
      <c r="M1516" s="116">
        <v>1460.1</v>
      </c>
      <c r="N1516" s="116">
        <v>1488</v>
      </c>
      <c r="O1516" s="116">
        <v>1456.1</v>
      </c>
      <c r="P1516" s="116">
        <v>1470</v>
      </c>
      <c r="Q1516" s="116">
        <v>1460.1</v>
      </c>
      <c r="R1516">
        <v>71258</v>
      </c>
    </row>
    <row r="1517" spans="1:18" x14ac:dyDescent="0.25">
      <c r="A1517" s="170">
        <v>44237</v>
      </c>
      <c r="B1517" s="116">
        <v>1467.25</v>
      </c>
      <c r="C1517" s="116">
        <v>1445.1</v>
      </c>
      <c r="D1517" s="116">
        <v>1443.25</v>
      </c>
      <c r="E1517" s="116">
        <v>1463.55</v>
      </c>
      <c r="F1517" s="116">
        <v>1445.1</v>
      </c>
      <c r="G1517">
        <v>4286</v>
      </c>
      <c r="H1517" s="116"/>
      <c r="I1517" s="116"/>
      <c r="L1517" s="170">
        <v>44237</v>
      </c>
      <c r="M1517" s="116">
        <v>1446.85</v>
      </c>
      <c r="N1517" s="116">
        <v>1469</v>
      </c>
      <c r="O1517" s="116">
        <v>1443.4</v>
      </c>
      <c r="P1517" s="116">
        <v>1465</v>
      </c>
      <c r="Q1517" s="116">
        <v>1446.85</v>
      </c>
      <c r="R1517">
        <v>68342</v>
      </c>
    </row>
    <row r="1518" spans="1:18" x14ac:dyDescent="0.25">
      <c r="A1518" s="170">
        <v>44238</v>
      </c>
      <c r="B1518" s="116">
        <v>1455.25</v>
      </c>
      <c r="C1518" s="116">
        <v>1441</v>
      </c>
      <c r="D1518" s="116">
        <v>1424</v>
      </c>
      <c r="E1518" s="116">
        <v>1450</v>
      </c>
      <c r="F1518" s="116">
        <v>1441</v>
      </c>
      <c r="G1518">
        <v>3575</v>
      </c>
      <c r="H1518" s="116"/>
      <c r="I1518" s="116"/>
      <c r="L1518" s="170">
        <v>44238</v>
      </c>
      <c r="M1518" s="116">
        <v>1441.05</v>
      </c>
      <c r="N1518" s="116">
        <v>1454.05</v>
      </c>
      <c r="O1518" s="116">
        <v>1421.55</v>
      </c>
      <c r="P1518" s="116">
        <v>1450</v>
      </c>
      <c r="Q1518" s="116">
        <v>1441.05</v>
      </c>
      <c r="R1518">
        <v>65171</v>
      </c>
    </row>
    <row r="1519" spans="1:18" x14ac:dyDescent="0.25">
      <c r="A1519" s="170">
        <v>44239</v>
      </c>
      <c r="B1519" s="116">
        <v>1456.35</v>
      </c>
      <c r="C1519" s="116">
        <v>1425.05</v>
      </c>
      <c r="D1519" s="116">
        <v>1421.05</v>
      </c>
      <c r="E1519" s="116">
        <v>1449.45</v>
      </c>
      <c r="F1519" s="116">
        <v>1425.05</v>
      </c>
      <c r="G1519">
        <v>2568</v>
      </c>
      <c r="H1519" s="116"/>
      <c r="I1519" s="116"/>
      <c r="L1519" s="170">
        <v>44239</v>
      </c>
      <c r="M1519" s="116">
        <v>1424.65</v>
      </c>
      <c r="N1519" s="116">
        <v>1457.45</v>
      </c>
      <c r="O1519" s="116">
        <v>1420</v>
      </c>
      <c r="P1519" s="116">
        <v>1442</v>
      </c>
      <c r="Q1519" s="116">
        <v>1424.65</v>
      </c>
      <c r="R1519">
        <v>76163</v>
      </c>
    </row>
    <row r="1520" spans="1:18" x14ac:dyDescent="0.25">
      <c r="A1520" s="170">
        <v>44242</v>
      </c>
      <c r="B1520" s="116">
        <v>1449.9</v>
      </c>
      <c r="C1520" s="116">
        <v>1432.85</v>
      </c>
      <c r="D1520" s="116">
        <v>1420</v>
      </c>
      <c r="E1520" s="116">
        <v>1423</v>
      </c>
      <c r="F1520" s="116">
        <v>1432.85</v>
      </c>
      <c r="G1520">
        <v>5241</v>
      </c>
      <c r="H1520" s="116"/>
      <c r="I1520" s="116"/>
      <c r="L1520" s="170">
        <v>44242</v>
      </c>
      <c r="M1520" s="116">
        <v>1432.9</v>
      </c>
      <c r="N1520" s="116">
        <v>1450</v>
      </c>
      <c r="O1520" s="116">
        <v>1419.3</v>
      </c>
      <c r="P1520" s="116">
        <v>1430</v>
      </c>
      <c r="Q1520" s="116">
        <v>1432.9</v>
      </c>
      <c r="R1520">
        <v>52545</v>
      </c>
    </row>
    <row r="1521" spans="1:18" x14ac:dyDescent="0.25">
      <c r="A1521" s="170">
        <v>44243</v>
      </c>
      <c r="B1521" s="116">
        <v>1444.8</v>
      </c>
      <c r="C1521" s="116">
        <v>1437</v>
      </c>
      <c r="D1521" s="116">
        <v>1427.35</v>
      </c>
      <c r="E1521" s="116">
        <v>1443</v>
      </c>
      <c r="F1521" s="116">
        <v>1437</v>
      </c>
      <c r="G1521">
        <v>1511</v>
      </c>
      <c r="H1521" s="116"/>
      <c r="I1521" s="116"/>
      <c r="L1521" s="170">
        <v>44243</v>
      </c>
      <c r="M1521" s="116">
        <v>1438.55</v>
      </c>
      <c r="N1521" s="116">
        <v>1447</v>
      </c>
      <c r="O1521" s="116">
        <v>1428</v>
      </c>
      <c r="P1521" s="116">
        <v>1440.1</v>
      </c>
      <c r="Q1521" s="116">
        <v>1438.55</v>
      </c>
      <c r="R1521">
        <v>29186</v>
      </c>
    </row>
    <row r="1522" spans="1:18" x14ac:dyDescent="0.25">
      <c r="A1522" s="170">
        <v>44244</v>
      </c>
      <c r="B1522" s="116">
        <v>1450</v>
      </c>
      <c r="C1522" s="116">
        <v>1443.45</v>
      </c>
      <c r="D1522" s="116">
        <v>1433.35</v>
      </c>
      <c r="E1522" s="116">
        <v>1450</v>
      </c>
      <c r="F1522" s="116">
        <v>1443.45</v>
      </c>
      <c r="G1522">
        <v>1201</v>
      </c>
      <c r="H1522" s="116"/>
      <c r="I1522" s="116"/>
      <c r="L1522" s="170">
        <v>44244</v>
      </c>
      <c r="M1522" s="116">
        <v>1443.85</v>
      </c>
      <c r="N1522" s="116">
        <v>1450</v>
      </c>
      <c r="O1522" s="116">
        <v>1432.25</v>
      </c>
      <c r="P1522" s="116">
        <v>1445</v>
      </c>
      <c r="Q1522" s="116">
        <v>1443.85</v>
      </c>
      <c r="R1522">
        <v>27440</v>
      </c>
    </row>
    <row r="1523" spans="1:18" x14ac:dyDescent="0.25">
      <c r="A1523" s="170">
        <v>44245</v>
      </c>
      <c r="B1523" s="116">
        <v>1450</v>
      </c>
      <c r="C1523" s="116">
        <v>1438.85</v>
      </c>
      <c r="D1523" s="116">
        <v>1429.65</v>
      </c>
      <c r="E1523" s="116">
        <v>1450</v>
      </c>
      <c r="F1523" s="116">
        <v>1438.85</v>
      </c>
      <c r="G1523">
        <v>2068</v>
      </c>
      <c r="H1523" s="116"/>
      <c r="I1523" s="116"/>
      <c r="L1523" s="170">
        <v>44245</v>
      </c>
      <c r="M1523" s="116">
        <v>1439.4</v>
      </c>
      <c r="N1523" s="116">
        <v>1451.4</v>
      </c>
      <c r="O1523" s="116">
        <v>1429</v>
      </c>
      <c r="P1523" s="116">
        <v>1450</v>
      </c>
      <c r="Q1523" s="116">
        <v>1439.4</v>
      </c>
      <c r="R1523">
        <v>60190</v>
      </c>
    </row>
    <row r="1524" spans="1:18" x14ac:dyDescent="0.25">
      <c r="A1524" s="170">
        <v>44246</v>
      </c>
      <c r="B1524" s="116">
        <v>1453.05</v>
      </c>
      <c r="C1524" s="116">
        <v>1450.5</v>
      </c>
      <c r="D1524" s="116">
        <v>1434</v>
      </c>
      <c r="E1524" s="116">
        <v>1443.7</v>
      </c>
      <c r="F1524" s="116">
        <v>1450.5</v>
      </c>
      <c r="G1524">
        <v>1966</v>
      </c>
      <c r="H1524" s="116"/>
      <c r="I1524" s="116"/>
      <c r="L1524" s="170">
        <v>44246</v>
      </c>
      <c r="M1524" s="116">
        <v>1450.7</v>
      </c>
      <c r="N1524" s="116">
        <v>1454</v>
      </c>
      <c r="O1524" s="116">
        <v>1435.1</v>
      </c>
      <c r="P1524" s="116">
        <v>1445</v>
      </c>
      <c r="Q1524" s="116">
        <v>1450.7</v>
      </c>
      <c r="R1524">
        <v>93033</v>
      </c>
    </row>
    <row r="1525" spans="1:18" x14ac:dyDescent="0.25">
      <c r="A1525" s="170">
        <v>44249</v>
      </c>
      <c r="B1525" s="116">
        <v>1450</v>
      </c>
      <c r="C1525" s="116">
        <v>1445.25</v>
      </c>
      <c r="D1525" s="116">
        <v>1438.65</v>
      </c>
      <c r="E1525" s="116">
        <v>1449.6</v>
      </c>
      <c r="F1525" s="116">
        <v>1445.25</v>
      </c>
      <c r="G1525">
        <v>1091</v>
      </c>
      <c r="H1525" s="116"/>
      <c r="I1525" s="116"/>
      <c r="L1525" s="170">
        <v>44249</v>
      </c>
      <c r="M1525" s="116">
        <v>1446.4</v>
      </c>
      <c r="N1525" s="116">
        <v>1457</v>
      </c>
      <c r="O1525" s="116">
        <v>1440</v>
      </c>
      <c r="P1525" s="116">
        <v>1450</v>
      </c>
      <c r="Q1525" s="116">
        <v>1446.4</v>
      </c>
      <c r="R1525">
        <v>24767</v>
      </c>
    </row>
    <row r="1526" spans="1:18" x14ac:dyDescent="0.25">
      <c r="A1526" s="170">
        <v>44250</v>
      </c>
      <c r="B1526" s="116">
        <v>1482.35</v>
      </c>
      <c r="C1526" s="116">
        <v>1453.55</v>
      </c>
      <c r="D1526" s="116">
        <v>1446.4</v>
      </c>
      <c r="E1526" s="116">
        <v>1446.4</v>
      </c>
      <c r="F1526" s="116">
        <v>1453.55</v>
      </c>
      <c r="G1526">
        <v>1885</v>
      </c>
      <c r="H1526" s="116"/>
      <c r="I1526" s="116"/>
      <c r="L1526" s="170">
        <v>44250</v>
      </c>
      <c r="M1526" s="116">
        <v>1453.55</v>
      </c>
      <c r="N1526" s="116">
        <v>1484</v>
      </c>
      <c r="O1526" s="116">
        <v>1445</v>
      </c>
      <c r="P1526" s="116">
        <v>1447.5</v>
      </c>
      <c r="Q1526" s="116">
        <v>1453.55</v>
      </c>
      <c r="R1526">
        <v>44699</v>
      </c>
    </row>
    <row r="1527" spans="1:18" x14ac:dyDescent="0.25">
      <c r="A1527" s="170">
        <v>44251</v>
      </c>
      <c r="B1527" s="116">
        <v>1477</v>
      </c>
      <c r="C1527" s="116">
        <v>1455.3</v>
      </c>
      <c r="D1527" s="116">
        <v>1406.3</v>
      </c>
      <c r="E1527" s="116">
        <v>1462.5</v>
      </c>
      <c r="F1527" s="116">
        <v>1455.3</v>
      </c>
      <c r="G1527">
        <v>5702</v>
      </c>
      <c r="H1527" s="116"/>
      <c r="I1527" s="116"/>
      <c r="L1527" s="170">
        <v>44251</v>
      </c>
      <c r="M1527" s="116">
        <v>1453</v>
      </c>
      <c r="N1527" s="116">
        <v>1479.8</v>
      </c>
      <c r="O1527" s="116">
        <v>1430</v>
      </c>
      <c r="P1527" s="116">
        <v>1460</v>
      </c>
      <c r="Q1527" s="116">
        <v>1453</v>
      </c>
      <c r="R1527">
        <v>15878</v>
      </c>
    </row>
    <row r="1528" spans="1:18" x14ac:dyDescent="0.25">
      <c r="A1528" s="170">
        <v>44252</v>
      </c>
      <c r="B1528" s="116">
        <v>1481</v>
      </c>
      <c r="C1528" s="116">
        <v>1472.1</v>
      </c>
      <c r="D1528" s="116">
        <v>1451.25</v>
      </c>
      <c r="E1528" s="116">
        <v>1458.55</v>
      </c>
      <c r="F1528" s="116">
        <v>1472.1</v>
      </c>
      <c r="G1528">
        <v>6428</v>
      </c>
      <c r="H1528" s="116"/>
      <c r="I1528" s="116"/>
      <c r="L1528" s="170">
        <v>44252</v>
      </c>
      <c r="M1528" s="116">
        <v>1474.7</v>
      </c>
      <c r="N1528" s="116">
        <v>1482.5</v>
      </c>
      <c r="O1528" s="116">
        <v>1450.1</v>
      </c>
      <c r="P1528" s="116">
        <v>1467.4</v>
      </c>
      <c r="Q1528" s="116">
        <v>1474.7</v>
      </c>
      <c r="R1528">
        <v>65907</v>
      </c>
    </row>
    <row r="1529" spans="1:18" x14ac:dyDescent="0.25">
      <c r="A1529" s="170">
        <v>44253</v>
      </c>
      <c r="B1529" s="116">
        <v>1474</v>
      </c>
      <c r="C1529" s="116">
        <v>1460.7</v>
      </c>
      <c r="D1529" s="116">
        <v>1451.1</v>
      </c>
      <c r="E1529" s="116">
        <v>1473.95</v>
      </c>
      <c r="F1529" s="116">
        <v>1460.7</v>
      </c>
      <c r="G1529">
        <v>1780</v>
      </c>
      <c r="H1529" s="116"/>
      <c r="I1529" s="116"/>
      <c r="L1529" s="170">
        <v>44253</v>
      </c>
      <c r="M1529" s="116">
        <v>1460.55</v>
      </c>
      <c r="N1529" s="116">
        <v>1475</v>
      </c>
      <c r="O1529" s="116">
        <v>1455.5</v>
      </c>
      <c r="P1529" s="116">
        <v>1474</v>
      </c>
      <c r="Q1529" s="116">
        <v>1460.55</v>
      </c>
      <c r="R1529">
        <v>30860</v>
      </c>
    </row>
    <row r="1530" spans="1:18" x14ac:dyDescent="0.25">
      <c r="A1530" s="170">
        <v>44256</v>
      </c>
      <c r="B1530" s="116">
        <v>1473</v>
      </c>
      <c r="C1530" s="116">
        <v>1454.8</v>
      </c>
      <c r="D1530" s="116">
        <v>1446.9</v>
      </c>
      <c r="E1530" s="116">
        <v>1455</v>
      </c>
      <c r="F1530" s="116">
        <v>1454.8</v>
      </c>
      <c r="G1530">
        <v>3257</v>
      </c>
      <c r="H1530" s="116"/>
      <c r="I1530" s="116"/>
      <c r="L1530" s="170">
        <v>44256</v>
      </c>
      <c r="M1530" s="116">
        <v>1457.25</v>
      </c>
      <c r="N1530" s="116">
        <v>1474.45</v>
      </c>
      <c r="O1530" s="116">
        <v>1443.65</v>
      </c>
      <c r="P1530" s="116">
        <v>1461.15</v>
      </c>
      <c r="Q1530" s="116">
        <v>1457.25</v>
      </c>
      <c r="R1530">
        <v>31233</v>
      </c>
    </row>
    <row r="1531" spans="1:18" x14ac:dyDescent="0.25">
      <c r="A1531" s="170">
        <v>44257</v>
      </c>
      <c r="B1531" s="116">
        <v>1476.55</v>
      </c>
      <c r="C1531" s="116">
        <v>1467.1</v>
      </c>
      <c r="D1531" s="116">
        <v>1451</v>
      </c>
      <c r="E1531" s="116">
        <v>1451</v>
      </c>
      <c r="F1531" s="116">
        <v>1467.1</v>
      </c>
      <c r="G1531">
        <v>1620</v>
      </c>
      <c r="H1531" s="116"/>
      <c r="I1531" s="116"/>
      <c r="L1531" s="170">
        <v>44257</v>
      </c>
      <c r="M1531" s="116">
        <v>1469.85</v>
      </c>
      <c r="N1531" s="116">
        <v>1479</v>
      </c>
      <c r="O1531" s="116">
        <v>1459</v>
      </c>
      <c r="P1531" s="116">
        <v>1464.55</v>
      </c>
      <c r="Q1531" s="116">
        <v>1469.85</v>
      </c>
      <c r="R1531">
        <v>22952</v>
      </c>
    </row>
    <row r="1532" spans="1:18" x14ac:dyDescent="0.25">
      <c r="A1532" s="170">
        <v>44258</v>
      </c>
      <c r="B1532" s="116">
        <v>1526</v>
      </c>
      <c r="C1532" s="116">
        <v>1524.5</v>
      </c>
      <c r="D1532" s="116">
        <v>1468.75</v>
      </c>
      <c r="E1532" s="116">
        <v>1488.8</v>
      </c>
      <c r="F1532" s="116">
        <v>1524.5</v>
      </c>
      <c r="G1532">
        <v>4470</v>
      </c>
      <c r="H1532" s="116"/>
      <c r="I1532" s="116"/>
      <c r="L1532" s="170">
        <v>44258</v>
      </c>
      <c r="M1532" s="116">
        <v>1523.8</v>
      </c>
      <c r="N1532" s="116">
        <v>1529</v>
      </c>
      <c r="O1532" s="116">
        <v>1466.1</v>
      </c>
      <c r="P1532" s="116">
        <v>1470.15</v>
      </c>
      <c r="Q1532" s="116">
        <v>1523.8</v>
      </c>
      <c r="R1532">
        <v>105092</v>
      </c>
    </row>
    <row r="1533" spans="1:18" x14ac:dyDescent="0.25">
      <c r="A1533" s="170">
        <v>44259</v>
      </c>
      <c r="B1533" s="116">
        <v>1565</v>
      </c>
      <c r="C1533" s="116">
        <v>1541.65</v>
      </c>
      <c r="D1533" s="116">
        <v>1480</v>
      </c>
      <c r="E1533" s="116">
        <v>1515</v>
      </c>
      <c r="F1533" s="116">
        <v>1541.65</v>
      </c>
      <c r="G1533">
        <v>8085</v>
      </c>
      <c r="H1533" s="116"/>
      <c r="I1533" s="116"/>
      <c r="L1533" s="170">
        <v>44259</v>
      </c>
      <c r="M1533" s="116">
        <v>1540.7</v>
      </c>
      <c r="N1533" s="116">
        <v>1568.9</v>
      </c>
      <c r="O1533" s="116">
        <v>1515.05</v>
      </c>
      <c r="P1533" s="116">
        <v>1523</v>
      </c>
      <c r="Q1533" s="116">
        <v>1540.7</v>
      </c>
      <c r="R1533">
        <v>102917</v>
      </c>
    </row>
    <row r="1534" spans="1:18" x14ac:dyDescent="0.25">
      <c r="A1534" s="170">
        <v>44260</v>
      </c>
      <c r="B1534" s="116">
        <v>1574.85</v>
      </c>
      <c r="C1534" s="116">
        <v>1545.3</v>
      </c>
      <c r="D1534" s="116">
        <v>1522</v>
      </c>
      <c r="E1534" s="116">
        <v>1541.65</v>
      </c>
      <c r="F1534" s="116">
        <v>1545.3</v>
      </c>
      <c r="G1534">
        <v>7781</v>
      </c>
      <c r="H1534" s="116"/>
      <c r="I1534" s="116"/>
      <c r="L1534" s="170">
        <v>44260</v>
      </c>
      <c r="M1534" s="116">
        <v>1544.2</v>
      </c>
      <c r="N1534" s="116">
        <v>1575</v>
      </c>
      <c r="O1534" s="116">
        <v>1521</v>
      </c>
      <c r="P1534" s="116">
        <v>1548.8</v>
      </c>
      <c r="Q1534" s="116">
        <v>1544.2</v>
      </c>
      <c r="R1534">
        <v>65002</v>
      </c>
    </row>
    <row r="1535" spans="1:18" x14ac:dyDescent="0.25">
      <c r="A1535" s="170">
        <v>44263</v>
      </c>
      <c r="B1535" s="116">
        <v>1569</v>
      </c>
      <c r="C1535" s="116">
        <v>1521.55</v>
      </c>
      <c r="D1535" s="116">
        <v>1510.05</v>
      </c>
      <c r="E1535" s="116">
        <v>1540</v>
      </c>
      <c r="F1535" s="116">
        <v>1521.55</v>
      </c>
      <c r="G1535">
        <v>3343</v>
      </c>
      <c r="H1535" s="116"/>
      <c r="I1535" s="116"/>
      <c r="L1535" s="170">
        <v>44263</v>
      </c>
      <c r="M1535" s="116">
        <v>1520.9</v>
      </c>
      <c r="N1535" s="116">
        <v>1569.9</v>
      </c>
      <c r="O1535" s="116">
        <v>1505.55</v>
      </c>
      <c r="P1535" s="116">
        <v>1550</v>
      </c>
      <c r="Q1535" s="116">
        <v>1520.9</v>
      </c>
      <c r="R1535">
        <v>27009</v>
      </c>
    </row>
    <row r="1536" spans="1:18" x14ac:dyDescent="0.25">
      <c r="A1536" s="170">
        <v>44264</v>
      </c>
      <c r="B1536" s="116">
        <v>1535.85</v>
      </c>
      <c r="C1536" s="116">
        <v>1500.55</v>
      </c>
      <c r="D1536" s="116">
        <v>1495</v>
      </c>
      <c r="E1536" s="116">
        <v>1511</v>
      </c>
      <c r="F1536" s="116">
        <v>1500.55</v>
      </c>
      <c r="G1536">
        <v>3263</v>
      </c>
      <c r="H1536" s="116"/>
      <c r="I1536" s="116"/>
      <c r="L1536" s="170">
        <v>44264</v>
      </c>
      <c r="M1536" s="116">
        <v>1500.1</v>
      </c>
      <c r="N1536" s="116">
        <v>1538.8</v>
      </c>
      <c r="O1536" s="116">
        <v>1495.85</v>
      </c>
      <c r="P1536" s="116">
        <v>1521</v>
      </c>
      <c r="Q1536" s="116">
        <v>1500.1</v>
      </c>
      <c r="R1536">
        <v>131757</v>
      </c>
    </row>
    <row r="1537" spans="1:18" x14ac:dyDescent="0.25">
      <c r="A1537" s="170">
        <v>44265</v>
      </c>
      <c r="B1537" s="116">
        <v>1517.3</v>
      </c>
      <c r="C1537" s="116">
        <v>1472.9</v>
      </c>
      <c r="D1537" s="116">
        <v>1465</v>
      </c>
      <c r="E1537" s="116">
        <v>1500</v>
      </c>
      <c r="F1537" s="116">
        <v>1472.9</v>
      </c>
      <c r="G1537">
        <v>5348</v>
      </c>
      <c r="H1537" s="116"/>
      <c r="I1537" s="116"/>
      <c r="L1537" s="170">
        <v>44265</v>
      </c>
      <c r="M1537" s="116">
        <v>1471.9</v>
      </c>
      <c r="N1537" s="116">
        <v>1519.95</v>
      </c>
      <c r="O1537" s="116">
        <v>1464</v>
      </c>
      <c r="P1537" s="116">
        <v>1515</v>
      </c>
      <c r="Q1537" s="116">
        <v>1471.9</v>
      </c>
      <c r="R1537">
        <v>55952</v>
      </c>
    </row>
    <row r="1538" spans="1:18" x14ac:dyDescent="0.25">
      <c r="A1538" s="170">
        <v>44267</v>
      </c>
      <c r="B1538" s="116">
        <v>1483.75</v>
      </c>
      <c r="C1538" s="116">
        <v>1451.1</v>
      </c>
      <c r="D1538" s="116">
        <v>1445.5</v>
      </c>
      <c r="E1538" s="116">
        <v>1482</v>
      </c>
      <c r="F1538" s="116">
        <v>1451.1</v>
      </c>
      <c r="G1538">
        <v>4708</v>
      </c>
      <c r="H1538" s="116"/>
      <c r="I1538" s="116"/>
      <c r="L1538" s="170">
        <v>44267</v>
      </c>
      <c r="M1538" s="116">
        <v>1450.7</v>
      </c>
      <c r="N1538" s="116">
        <v>1485.15</v>
      </c>
      <c r="O1538" s="116">
        <v>1445.1</v>
      </c>
      <c r="P1538" s="116">
        <v>1480</v>
      </c>
      <c r="Q1538" s="116">
        <v>1450.7</v>
      </c>
      <c r="R1538">
        <v>40890</v>
      </c>
    </row>
    <row r="1539" spans="1:18" x14ac:dyDescent="0.25">
      <c r="A1539" s="170">
        <v>44270</v>
      </c>
      <c r="B1539" s="116">
        <v>1460</v>
      </c>
      <c r="C1539" s="116">
        <v>1430.75</v>
      </c>
      <c r="D1539" s="116">
        <v>1417.2</v>
      </c>
      <c r="E1539" s="116">
        <v>1460</v>
      </c>
      <c r="F1539" s="116">
        <v>1430.75</v>
      </c>
      <c r="G1539">
        <v>5029</v>
      </c>
      <c r="H1539" s="116"/>
      <c r="I1539" s="116"/>
      <c r="L1539" s="170">
        <v>44270</v>
      </c>
      <c r="M1539" s="116">
        <v>1430.6</v>
      </c>
      <c r="N1539" s="116">
        <v>1465</v>
      </c>
      <c r="O1539" s="116">
        <v>1418</v>
      </c>
      <c r="P1539" s="116">
        <v>1465</v>
      </c>
      <c r="Q1539" s="116">
        <v>1430.6</v>
      </c>
      <c r="R1539">
        <v>45293</v>
      </c>
    </row>
    <row r="1540" spans="1:18" x14ac:dyDescent="0.25">
      <c r="A1540" s="170">
        <v>44271</v>
      </c>
      <c r="B1540" s="116">
        <v>1446</v>
      </c>
      <c r="C1540" s="116">
        <v>1426.65</v>
      </c>
      <c r="D1540" s="116">
        <v>1422</v>
      </c>
      <c r="E1540" s="116">
        <v>1432.3</v>
      </c>
      <c r="F1540" s="116">
        <v>1426.65</v>
      </c>
      <c r="G1540">
        <v>2865</v>
      </c>
      <c r="H1540" s="116"/>
      <c r="I1540" s="116"/>
      <c r="L1540" s="170">
        <v>44271</v>
      </c>
      <c r="M1540" s="116">
        <v>1425.3</v>
      </c>
      <c r="N1540" s="116">
        <v>1445</v>
      </c>
      <c r="O1540" s="116">
        <v>1420</v>
      </c>
      <c r="P1540" s="116">
        <v>1420</v>
      </c>
      <c r="Q1540" s="116">
        <v>1425.3</v>
      </c>
      <c r="R1540">
        <v>28436</v>
      </c>
    </row>
    <row r="1541" spans="1:18" x14ac:dyDescent="0.25">
      <c r="A1541" s="170">
        <v>44272</v>
      </c>
      <c r="B1541" s="116">
        <v>1435.45</v>
      </c>
      <c r="C1541" s="116">
        <v>1410.4</v>
      </c>
      <c r="D1541" s="116">
        <v>1384.3</v>
      </c>
      <c r="E1541" s="116">
        <v>1430</v>
      </c>
      <c r="F1541" s="116">
        <v>1410.4</v>
      </c>
      <c r="G1541">
        <v>4943</v>
      </c>
      <c r="H1541" s="116"/>
      <c r="I1541" s="116"/>
      <c r="L1541" s="170">
        <v>44272</v>
      </c>
      <c r="M1541" s="116">
        <v>1412.5</v>
      </c>
      <c r="N1541" s="116">
        <v>1439.9</v>
      </c>
      <c r="O1541" s="116">
        <v>1401.1</v>
      </c>
      <c r="P1541" s="116">
        <v>1430</v>
      </c>
      <c r="Q1541" s="116">
        <v>1412.5</v>
      </c>
      <c r="R1541">
        <v>29734</v>
      </c>
    </row>
    <row r="1542" spans="1:18" x14ac:dyDescent="0.25">
      <c r="A1542" s="170">
        <v>44273</v>
      </c>
      <c r="B1542" s="116">
        <v>1429.95</v>
      </c>
      <c r="C1542" s="116">
        <v>1405.9</v>
      </c>
      <c r="D1542" s="116">
        <v>1392.6</v>
      </c>
      <c r="E1542" s="116">
        <v>1426.45</v>
      </c>
      <c r="F1542" s="116">
        <v>1405.9</v>
      </c>
      <c r="G1542">
        <v>2347</v>
      </c>
      <c r="H1542" s="116"/>
      <c r="I1542" s="116"/>
      <c r="L1542" s="170">
        <v>44273</v>
      </c>
      <c r="M1542" s="116">
        <v>1402.75</v>
      </c>
      <c r="N1542" s="116">
        <v>1434.95</v>
      </c>
      <c r="O1542" s="116">
        <v>1390</v>
      </c>
      <c r="P1542" s="116">
        <v>1425</v>
      </c>
      <c r="Q1542" s="116">
        <v>1402.75</v>
      </c>
      <c r="R1542">
        <v>24156</v>
      </c>
    </row>
    <row r="1543" spans="1:18" x14ac:dyDescent="0.25">
      <c r="A1543" s="170">
        <v>44274</v>
      </c>
      <c r="B1543" s="116">
        <v>1447</v>
      </c>
      <c r="C1543" s="116">
        <v>1433.25</v>
      </c>
      <c r="D1543" s="116">
        <v>1381</v>
      </c>
      <c r="E1543" s="116">
        <v>1394.15</v>
      </c>
      <c r="F1543" s="116">
        <v>1433.25</v>
      </c>
      <c r="G1543">
        <v>5449</v>
      </c>
      <c r="H1543" s="116"/>
      <c r="I1543" s="116"/>
      <c r="L1543" s="170">
        <v>44274</v>
      </c>
      <c r="M1543" s="116">
        <v>1431.9</v>
      </c>
      <c r="N1543" s="116">
        <v>1450</v>
      </c>
      <c r="O1543" s="116">
        <v>1380</v>
      </c>
      <c r="P1543" s="116">
        <v>1414</v>
      </c>
      <c r="Q1543" s="116">
        <v>1431.9</v>
      </c>
      <c r="R1543">
        <v>46137</v>
      </c>
    </row>
    <row r="1544" spans="1:18" x14ac:dyDescent="0.25">
      <c r="A1544" s="170">
        <v>44277</v>
      </c>
      <c r="B1544" s="116">
        <v>1437.2</v>
      </c>
      <c r="C1544" s="116">
        <v>1426.3</v>
      </c>
      <c r="D1544" s="116">
        <v>1422</v>
      </c>
      <c r="E1544" s="116">
        <v>1433</v>
      </c>
      <c r="F1544" s="116">
        <v>1426.3</v>
      </c>
      <c r="G1544">
        <v>11350</v>
      </c>
      <c r="H1544" s="116"/>
      <c r="I1544" s="116"/>
      <c r="L1544" s="170">
        <v>44277</v>
      </c>
      <c r="M1544" s="116">
        <v>1425.45</v>
      </c>
      <c r="N1544" s="116">
        <v>1443</v>
      </c>
      <c r="O1544" s="116">
        <v>1422</v>
      </c>
      <c r="P1544" s="116">
        <v>1431.9</v>
      </c>
      <c r="Q1544" s="116">
        <v>1425.45</v>
      </c>
      <c r="R1544">
        <v>13543</v>
      </c>
    </row>
    <row r="1545" spans="1:18" x14ac:dyDescent="0.25">
      <c r="A1545" s="170">
        <v>44278</v>
      </c>
      <c r="B1545" s="116">
        <v>1442.95</v>
      </c>
      <c r="C1545" s="116">
        <v>1419.75</v>
      </c>
      <c r="D1545" s="116">
        <v>1401.85</v>
      </c>
      <c r="E1545" s="116">
        <v>1415</v>
      </c>
      <c r="F1545" s="116">
        <v>1419.75</v>
      </c>
      <c r="G1545">
        <v>3213</v>
      </c>
      <c r="H1545" s="116"/>
      <c r="I1545" s="116"/>
      <c r="L1545" s="170">
        <v>44278</v>
      </c>
      <c r="M1545" s="116">
        <v>1418.25</v>
      </c>
      <c r="N1545" s="116">
        <v>1442</v>
      </c>
      <c r="O1545" s="116">
        <v>1410</v>
      </c>
      <c r="P1545" s="116">
        <v>1422</v>
      </c>
      <c r="Q1545" s="116">
        <v>1418.25</v>
      </c>
      <c r="R1545">
        <v>17467</v>
      </c>
    </row>
    <row r="1546" spans="1:18" x14ac:dyDescent="0.25">
      <c r="A1546" s="170">
        <v>44279</v>
      </c>
      <c r="B1546" s="116">
        <v>1423.5</v>
      </c>
      <c r="C1546" s="116">
        <v>1401.5</v>
      </c>
      <c r="D1546" s="116">
        <v>1398.2</v>
      </c>
      <c r="E1546" s="116">
        <v>1419.5</v>
      </c>
      <c r="F1546" s="116">
        <v>1401.5</v>
      </c>
      <c r="G1546">
        <v>1906</v>
      </c>
      <c r="H1546" s="116"/>
      <c r="I1546" s="116"/>
      <c r="L1546" s="170">
        <v>44279</v>
      </c>
      <c r="M1546" s="116">
        <v>1401.55</v>
      </c>
      <c r="N1546" s="116">
        <v>1425.7</v>
      </c>
      <c r="O1546" s="116">
        <v>1398.85</v>
      </c>
      <c r="P1546" s="116">
        <v>1418.25</v>
      </c>
      <c r="Q1546" s="116">
        <v>1401.55</v>
      </c>
      <c r="R1546">
        <v>23217</v>
      </c>
    </row>
    <row r="1547" spans="1:18" x14ac:dyDescent="0.25">
      <c r="A1547" s="170">
        <v>44280</v>
      </c>
      <c r="B1547" s="116">
        <v>1415.1</v>
      </c>
      <c r="C1547" s="116">
        <v>1400.6</v>
      </c>
      <c r="D1547" s="116">
        <v>1379</v>
      </c>
      <c r="E1547" s="116">
        <v>1403</v>
      </c>
      <c r="F1547" s="116">
        <v>1400.6</v>
      </c>
      <c r="G1547">
        <v>9959</v>
      </c>
      <c r="H1547" s="116"/>
      <c r="I1547" s="116"/>
      <c r="L1547" s="170">
        <v>44280</v>
      </c>
      <c r="M1547" s="116">
        <v>1402.6</v>
      </c>
      <c r="N1547" s="116">
        <v>1416</v>
      </c>
      <c r="O1547" s="116">
        <v>1376</v>
      </c>
      <c r="P1547" s="116">
        <v>1402</v>
      </c>
      <c r="Q1547" s="116">
        <v>1402.6</v>
      </c>
      <c r="R1547">
        <v>41719</v>
      </c>
    </row>
    <row r="1548" spans="1:18" x14ac:dyDescent="0.25">
      <c r="A1548" s="170">
        <v>44281</v>
      </c>
      <c r="B1548" s="116">
        <v>1411.45</v>
      </c>
      <c r="C1548" s="116">
        <v>1405.35</v>
      </c>
      <c r="D1548" s="116">
        <v>1399.5</v>
      </c>
      <c r="E1548" s="116">
        <v>1408</v>
      </c>
      <c r="F1548" s="116">
        <v>1405.35</v>
      </c>
      <c r="G1548">
        <v>1606</v>
      </c>
      <c r="H1548" s="116"/>
      <c r="I1548" s="116"/>
      <c r="L1548" s="170">
        <v>44281</v>
      </c>
      <c r="M1548" s="116">
        <v>1405.55</v>
      </c>
      <c r="N1548" s="116">
        <v>1410</v>
      </c>
      <c r="O1548" s="116">
        <v>1398.05</v>
      </c>
      <c r="P1548" s="116">
        <v>1408</v>
      </c>
      <c r="Q1548" s="116">
        <v>1405.55</v>
      </c>
      <c r="R1548">
        <v>23192</v>
      </c>
    </row>
    <row r="1549" spans="1:18" x14ac:dyDescent="0.25">
      <c r="A1549" s="170">
        <v>44285</v>
      </c>
      <c r="B1549" s="116">
        <v>1429.75</v>
      </c>
      <c r="C1549" s="116">
        <v>1424.9</v>
      </c>
      <c r="D1549" s="116">
        <v>1417.75</v>
      </c>
      <c r="E1549" s="116">
        <v>1417.75</v>
      </c>
      <c r="F1549" s="116">
        <v>1424.9</v>
      </c>
      <c r="G1549">
        <v>789</v>
      </c>
      <c r="H1549" s="116"/>
      <c r="I1549" s="116"/>
      <c r="L1549" s="170">
        <v>44285</v>
      </c>
      <c r="M1549" s="116">
        <v>1426.2</v>
      </c>
      <c r="N1549" s="116">
        <v>1429.7</v>
      </c>
      <c r="O1549" s="116">
        <v>1410.45</v>
      </c>
      <c r="P1549" s="116">
        <v>1412.9</v>
      </c>
      <c r="Q1549" s="116">
        <v>1426.2</v>
      </c>
      <c r="R1549">
        <v>23836</v>
      </c>
    </row>
    <row r="1550" spans="1:18" x14ac:dyDescent="0.25">
      <c r="A1550" s="170">
        <v>44286</v>
      </c>
      <c r="B1550" s="116">
        <v>1448.5</v>
      </c>
      <c r="C1550" s="116">
        <v>1440.4</v>
      </c>
      <c r="D1550" s="116">
        <v>1417.4</v>
      </c>
      <c r="E1550" s="116">
        <v>1426.2</v>
      </c>
      <c r="F1550" s="116">
        <v>1440.4</v>
      </c>
      <c r="G1550">
        <v>1436</v>
      </c>
      <c r="H1550" s="116"/>
      <c r="I1550" s="116"/>
      <c r="L1550" s="170">
        <v>44286</v>
      </c>
      <c r="M1550" s="116">
        <v>1440.75</v>
      </c>
      <c r="N1550" s="116">
        <v>1450</v>
      </c>
      <c r="O1550" s="116">
        <v>1415</v>
      </c>
      <c r="P1550" s="116">
        <v>1430</v>
      </c>
      <c r="Q1550" s="116">
        <v>1440.75</v>
      </c>
      <c r="R1550">
        <v>43477</v>
      </c>
    </row>
    <row r="1551" spans="1:18" x14ac:dyDescent="0.25">
      <c r="A1551" s="170">
        <v>44287</v>
      </c>
      <c r="B1551" s="116">
        <v>1455</v>
      </c>
      <c r="C1551" s="116">
        <v>1425.55</v>
      </c>
      <c r="D1551" s="116">
        <v>1410.9</v>
      </c>
      <c r="E1551" s="116">
        <v>1440.75</v>
      </c>
      <c r="F1551" s="116">
        <v>1425.55</v>
      </c>
      <c r="G1551">
        <v>1522</v>
      </c>
      <c r="H1551" s="116"/>
      <c r="I1551" s="116"/>
      <c r="L1551" s="170">
        <v>44287</v>
      </c>
      <c r="M1551" s="116">
        <v>1432.15</v>
      </c>
      <c r="N1551" s="116">
        <v>1455</v>
      </c>
      <c r="O1551" s="116">
        <v>1430</v>
      </c>
      <c r="P1551" s="116">
        <v>1440</v>
      </c>
      <c r="Q1551" s="116">
        <v>1432.15</v>
      </c>
      <c r="R1551">
        <v>30043</v>
      </c>
    </row>
    <row r="1552" spans="1:18" x14ac:dyDescent="0.25">
      <c r="A1552" s="170">
        <v>44291</v>
      </c>
      <c r="B1552" s="116">
        <v>1463</v>
      </c>
      <c r="C1552" s="116">
        <v>1404.3</v>
      </c>
      <c r="D1552" s="116">
        <v>1400</v>
      </c>
      <c r="E1552" s="116">
        <v>1463</v>
      </c>
      <c r="F1552" s="116">
        <v>1404.3</v>
      </c>
      <c r="G1552">
        <v>2038</v>
      </c>
      <c r="H1552" s="116"/>
      <c r="I1552" s="116"/>
      <c r="L1552" s="170">
        <v>44291</v>
      </c>
      <c r="M1552" s="116">
        <v>1406.1</v>
      </c>
      <c r="N1552" s="116">
        <v>1439.7</v>
      </c>
      <c r="O1552" s="116">
        <v>1399.3</v>
      </c>
      <c r="P1552" s="116">
        <v>1433.15</v>
      </c>
      <c r="Q1552" s="116">
        <v>1406.1</v>
      </c>
      <c r="R1552">
        <v>95479</v>
      </c>
    </row>
    <row r="1553" spans="1:18" x14ac:dyDescent="0.25">
      <c r="A1553" s="170">
        <v>44292</v>
      </c>
      <c r="B1553" s="116">
        <v>1435.2</v>
      </c>
      <c r="C1553" s="116">
        <v>1424.1</v>
      </c>
      <c r="D1553" s="116">
        <v>1409.15</v>
      </c>
      <c r="E1553" s="116">
        <v>1413.55</v>
      </c>
      <c r="F1553" s="116">
        <v>1424.1</v>
      </c>
      <c r="G1553">
        <v>795</v>
      </c>
      <c r="H1553" s="116"/>
      <c r="I1553" s="116"/>
      <c r="L1553" s="170">
        <v>44292</v>
      </c>
      <c r="M1553" s="116">
        <v>1424.9</v>
      </c>
      <c r="N1553" s="116">
        <v>1435</v>
      </c>
      <c r="O1553" s="116">
        <v>1408</v>
      </c>
      <c r="P1553" s="116">
        <v>1413.5</v>
      </c>
      <c r="Q1553" s="116">
        <v>1424.9</v>
      </c>
      <c r="R1553">
        <v>50939</v>
      </c>
    </row>
    <row r="1554" spans="1:18" x14ac:dyDescent="0.25">
      <c r="A1554" s="170">
        <v>44293</v>
      </c>
      <c r="B1554" s="116">
        <v>1440</v>
      </c>
      <c r="C1554" s="116">
        <v>1424.7</v>
      </c>
      <c r="D1554" s="116">
        <v>1421.05</v>
      </c>
      <c r="E1554" s="116">
        <v>1432.45</v>
      </c>
      <c r="F1554" s="116">
        <v>1424.7</v>
      </c>
      <c r="G1554">
        <v>1459</v>
      </c>
      <c r="H1554" s="116"/>
      <c r="I1554" s="116"/>
      <c r="L1554" s="170">
        <v>44293</v>
      </c>
      <c r="M1554" s="116">
        <v>1427.8</v>
      </c>
      <c r="N1554" s="116">
        <v>1445</v>
      </c>
      <c r="O1554" s="116">
        <v>1423.5</v>
      </c>
      <c r="P1554" s="116">
        <v>1433.2</v>
      </c>
      <c r="Q1554" s="116">
        <v>1427.8</v>
      </c>
      <c r="R1554">
        <v>13803</v>
      </c>
    </row>
    <row r="1555" spans="1:18" x14ac:dyDescent="0.25">
      <c r="A1555" s="170">
        <v>44294</v>
      </c>
      <c r="B1555" s="116">
        <v>1441.75</v>
      </c>
      <c r="C1555" s="116">
        <v>1425.05</v>
      </c>
      <c r="D1555" s="116">
        <v>1420</v>
      </c>
      <c r="E1555" s="116">
        <v>1432.65</v>
      </c>
      <c r="F1555" s="116">
        <v>1425.05</v>
      </c>
      <c r="G1555">
        <v>2269</v>
      </c>
      <c r="H1555" s="116"/>
      <c r="I1555" s="116"/>
      <c r="L1555" s="170">
        <v>44294</v>
      </c>
      <c r="M1555" s="116">
        <v>1425.4</v>
      </c>
      <c r="N1555" s="116">
        <v>1439.9</v>
      </c>
      <c r="O1555" s="116">
        <v>1420.05</v>
      </c>
      <c r="P1555" s="116">
        <v>1435</v>
      </c>
      <c r="Q1555" s="116">
        <v>1425.4</v>
      </c>
      <c r="R1555">
        <v>18068</v>
      </c>
    </row>
    <row r="1556" spans="1:18" x14ac:dyDescent="0.25">
      <c r="A1556" s="170">
        <v>44295</v>
      </c>
      <c r="B1556" s="116">
        <v>1476.3</v>
      </c>
      <c r="C1556" s="116">
        <v>1445.8</v>
      </c>
      <c r="D1556" s="116">
        <v>1415.5</v>
      </c>
      <c r="E1556" s="116">
        <v>1432.7</v>
      </c>
      <c r="F1556" s="116">
        <v>1445.8</v>
      </c>
      <c r="G1556">
        <v>3098</v>
      </c>
      <c r="H1556" s="116"/>
      <c r="I1556" s="116"/>
      <c r="L1556" s="170">
        <v>44295</v>
      </c>
      <c r="M1556" s="116">
        <v>1446.05</v>
      </c>
      <c r="N1556" s="116">
        <v>1478.95</v>
      </c>
      <c r="O1556" s="116">
        <v>1421</v>
      </c>
      <c r="P1556" s="116">
        <v>1438.75</v>
      </c>
      <c r="Q1556" s="116">
        <v>1446.05</v>
      </c>
      <c r="R1556">
        <v>112071</v>
      </c>
    </row>
    <row r="1557" spans="1:18" x14ac:dyDescent="0.25">
      <c r="A1557" s="170">
        <v>44298</v>
      </c>
      <c r="B1557" s="116">
        <v>1480</v>
      </c>
      <c r="C1557" s="116">
        <v>1454.3</v>
      </c>
      <c r="D1557" s="116">
        <v>1428</v>
      </c>
      <c r="E1557" s="116">
        <v>1465</v>
      </c>
      <c r="F1557" s="116">
        <v>1454.3</v>
      </c>
      <c r="G1557">
        <v>4086</v>
      </c>
      <c r="H1557" s="116"/>
      <c r="I1557" s="116"/>
      <c r="L1557" s="170">
        <v>44298</v>
      </c>
      <c r="M1557" s="116">
        <v>1455.15</v>
      </c>
      <c r="N1557" s="116">
        <v>1469.95</v>
      </c>
      <c r="O1557" s="116">
        <v>1431</v>
      </c>
      <c r="P1557" s="116">
        <v>1444</v>
      </c>
      <c r="Q1557" s="116">
        <v>1455.15</v>
      </c>
      <c r="R1557">
        <v>70780</v>
      </c>
    </row>
    <row r="1558" spans="1:18" x14ac:dyDescent="0.25">
      <c r="A1558" s="170">
        <v>44299</v>
      </c>
      <c r="B1558" s="116">
        <v>1467</v>
      </c>
      <c r="C1558" s="116">
        <v>1455.1</v>
      </c>
      <c r="D1558" s="116">
        <v>1445.25</v>
      </c>
      <c r="E1558" s="116">
        <v>1460.35</v>
      </c>
      <c r="F1558" s="116">
        <v>1455.1</v>
      </c>
      <c r="G1558">
        <v>1350</v>
      </c>
      <c r="H1558" s="116"/>
      <c r="I1558" s="116"/>
      <c r="L1558" s="170">
        <v>44299</v>
      </c>
      <c r="M1558" s="116">
        <v>1455.55</v>
      </c>
      <c r="N1558" s="116">
        <v>1484</v>
      </c>
      <c r="O1558" s="116">
        <v>1442.5</v>
      </c>
      <c r="P1558" s="116">
        <v>1445</v>
      </c>
      <c r="Q1558" s="116">
        <v>1455.55</v>
      </c>
      <c r="R1558">
        <v>58121</v>
      </c>
    </row>
    <row r="1559" spans="1:18" x14ac:dyDescent="0.25">
      <c r="A1559" s="170">
        <v>44301</v>
      </c>
      <c r="B1559" s="116">
        <v>1475.25</v>
      </c>
      <c r="C1559" s="116">
        <v>1463.6</v>
      </c>
      <c r="D1559" s="116">
        <v>1440.8</v>
      </c>
      <c r="E1559" s="116">
        <v>1455</v>
      </c>
      <c r="F1559" s="116">
        <v>1463.6</v>
      </c>
      <c r="G1559">
        <v>865</v>
      </c>
      <c r="H1559" s="116"/>
      <c r="I1559" s="116"/>
      <c r="L1559" s="170">
        <v>44301</v>
      </c>
      <c r="M1559" s="116">
        <v>1465.55</v>
      </c>
      <c r="N1559" s="116">
        <v>1478</v>
      </c>
      <c r="O1559" s="116">
        <v>1440</v>
      </c>
      <c r="P1559" s="116">
        <v>1455.55</v>
      </c>
      <c r="Q1559" s="116">
        <v>1465.55</v>
      </c>
      <c r="R1559">
        <v>58084</v>
      </c>
    </row>
    <row r="1560" spans="1:18" x14ac:dyDescent="0.25">
      <c r="A1560" s="170">
        <v>44302</v>
      </c>
      <c r="B1560" s="116">
        <v>1503.5</v>
      </c>
      <c r="C1560" s="116">
        <v>1469.6</v>
      </c>
      <c r="D1560" s="116">
        <v>1460</v>
      </c>
      <c r="E1560" s="116">
        <v>1475.25</v>
      </c>
      <c r="F1560" s="116">
        <v>1469.6</v>
      </c>
      <c r="G1560">
        <v>2997</v>
      </c>
      <c r="H1560" s="116"/>
      <c r="I1560" s="116"/>
      <c r="L1560" s="170">
        <v>44302</v>
      </c>
      <c r="M1560" s="116">
        <v>1470.2</v>
      </c>
      <c r="N1560" s="116">
        <v>1495</v>
      </c>
      <c r="O1560" s="116">
        <v>1465</v>
      </c>
      <c r="P1560" s="116">
        <v>1475</v>
      </c>
      <c r="Q1560" s="116">
        <v>1470.2</v>
      </c>
      <c r="R1560">
        <v>76280</v>
      </c>
    </row>
    <row r="1561" spans="1:18" x14ac:dyDescent="0.25">
      <c r="A1561" s="170">
        <v>44305</v>
      </c>
      <c r="B1561" s="116">
        <v>1471</v>
      </c>
      <c r="C1561" s="116">
        <v>1424.5</v>
      </c>
      <c r="D1561" s="116">
        <v>1417.05</v>
      </c>
      <c r="E1561" s="116">
        <v>1471</v>
      </c>
      <c r="F1561" s="116">
        <v>1424.5</v>
      </c>
      <c r="G1561">
        <v>4208</v>
      </c>
      <c r="H1561" s="116"/>
      <c r="I1561" s="116"/>
      <c r="L1561" s="170">
        <v>44305</v>
      </c>
      <c r="M1561" s="116">
        <v>1424.2</v>
      </c>
      <c r="N1561" s="116">
        <v>1470</v>
      </c>
      <c r="O1561" s="116">
        <v>1418</v>
      </c>
      <c r="P1561" s="116">
        <v>1466</v>
      </c>
      <c r="Q1561" s="116">
        <v>1424.2</v>
      </c>
      <c r="R1561">
        <v>111951</v>
      </c>
    </row>
    <row r="1562" spans="1:18" x14ac:dyDescent="0.25">
      <c r="A1562" s="170">
        <v>44306</v>
      </c>
      <c r="B1562" s="116">
        <v>1444</v>
      </c>
      <c r="C1562" s="116">
        <v>1431.95</v>
      </c>
      <c r="D1562" s="116">
        <v>1415.3</v>
      </c>
      <c r="E1562" s="116">
        <v>1444</v>
      </c>
      <c r="F1562" s="116">
        <v>1431.95</v>
      </c>
      <c r="G1562">
        <v>4928</v>
      </c>
      <c r="H1562" s="116"/>
      <c r="I1562" s="116"/>
      <c r="L1562" s="170">
        <v>44306</v>
      </c>
      <c r="M1562" s="116">
        <v>1436.1</v>
      </c>
      <c r="N1562" s="116">
        <v>1445</v>
      </c>
      <c r="O1562" s="116">
        <v>1414.05</v>
      </c>
      <c r="P1562" s="116">
        <v>1431.35</v>
      </c>
      <c r="Q1562" s="116">
        <v>1436.1</v>
      </c>
      <c r="R1562">
        <v>50901</v>
      </c>
    </row>
    <row r="1563" spans="1:18" x14ac:dyDescent="0.25">
      <c r="A1563" s="170">
        <v>44308</v>
      </c>
      <c r="B1563" s="116">
        <v>1494.45</v>
      </c>
      <c r="C1563" s="116">
        <v>1457.4</v>
      </c>
      <c r="D1563" s="116">
        <v>1432</v>
      </c>
      <c r="E1563" s="116">
        <v>1432</v>
      </c>
      <c r="F1563" s="116">
        <v>1457.4</v>
      </c>
      <c r="G1563">
        <v>3530</v>
      </c>
      <c r="H1563" s="116"/>
      <c r="I1563" s="116"/>
      <c r="L1563" s="170">
        <v>44308</v>
      </c>
      <c r="M1563" s="116">
        <v>1457.5</v>
      </c>
      <c r="N1563" s="116">
        <v>1494</v>
      </c>
      <c r="O1563" s="116">
        <v>1430</v>
      </c>
      <c r="P1563" s="116">
        <v>1443.3</v>
      </c>
      <c r="Q1563" s="116">
        <v>1457.5</v>
      </c>
      <c r="R1563">
        <v>92947</v>
      </c>
    </row>
    <row r="1564" spans="1:18" x14ac:dyDescent="0.25">
      <c r="A1564" s="170">
        <v>44309</v>
      </c>
      <c r="B1564" s="116">
        <v>1488</v>
      </c>
      <c r="C1564" s="116">
        <v>1451.35</v>
      </c>
      <c r="D1564" s="116">
        <v>1444.8</v>
      </c>
      <c r="E1564" s="116">
        <v>1488</v>
      </c>
      <c r="F1564" s="116">
        <v>1451.35</v>
      </c>
      <c r="G1564">
        <v>2182</v>
      </c>
      <c r="H1564" s="116"/>
      <c r="I1564" s="116"/>
      <c r="L1564" s="170">
        <v>44309</v>
      </c>
      <c r="M1564" s="116">
        <v>1451.95</v>
      </c>
      <c r="N1564" s="116">
        <v>1478</v>
      </c>
      <c r="O1564" s="116">
        <v>1450</v>
      </c>
      <c r="P1564" s="116">
        <v>1468</v>
      </c>
      <c r="Q1564" s="116">
        <v>1451.95</v>
      </c>
      <c r="R1564">
        <v>27420</v>
      </c>
    </row>
    <row r="1565" spans="1:18" x14ac:dyDescent="0.25">
      <c r="A1565" s="170">
        <v>44312</v>
      </c>
      <c r="B1565" s="116">
        <v>1498.05</v>
      </c>
      <c r="C1565" s="116">
        <v>1474.6</v>
      </c>
      <c r="D1565" s="116">
        <v>1435.9</v>
      </c>
      <c r="E1565" s="116">
        <v>1451.3</v>
      </c>
      <c r="F1565" s="116">
        <v>1474.6</v>
      </c>
      <c r="G1565">
        <v>1743</v>
      </c>
      <c r="H1565" s="116"/>
      <c r="I1565" s="116"/>
      <c r="L1565" s="170">
        <v>44312</v>
      </c>
      <c r="M1565" s="116">
        <v>1451.15</v>
      </c>
      <c r="N1565" s="116">
        <v>1462</v>
      </c>
      <c r="O1565" s="116">
        <v>1433.05</v>
      </c>
      <c r="P1565" s="116">
        <v>1452</v>
      </c>
      <c r="Q1565" s="116">
        <v>1451.15</v>
      </c>
      <c r="R1565">
        <v>20536</v>
      </c>
    </row>
    <row r="1566" spans="1:18" x14ac:dyDescent="0.25">
      <c r="A1566" s="170">
        <v>44313</v>
      </c>
      <c r="B1566" s="116">
        <v>1460</v>
      </c>
      <c r="C1566" s="116">
        <v>1454.5</v>
      </c>
      <c r="D1566" s="116">
        <v>1440.7</v>
      </c>
      <c r="E1566" s="116">
        <v>1449.95</v>
      </c>
      <c r="F1566" s="116">
        <v>1454.5</v>
      </c>
      <c r="G1566">
        <v>30783</v>
      </c>
      <c r="H1566" s="116"/>
      <c r="I1566" s="116"/>
      <c r="L1566" s="170">
        <v>44313</v>
      </c>
      <c r="M1566" s="116">
        <v>1454.15</v>
      </c>
      <c r="N1566" s="116">
        <v>1459.8</v>
      </c>
      <c r="O1566" s="116">
        <v>1440.05</v>
      </c>
      <c r="P1566" s="116">
        <v>1446.7</v>
      </c>
      <c r="Q1566" s="116">
        <v>1454.15</v>
      </c>
      <c r="R1566">
        <v>12493</v>
      </c>
    </row>
    <row r="1567" spans="1:18" x14ac:dyDescent="0.25">
      <c r="A1567" s="170">
        <v>44314</v>
      </c>
      <c r="B1567" s="116">
        <v>1467</v>
      </c>
      <c r="C1567" s="116">
        <v>1456.2</v>
      </c>
      <c r="D1567" s="116">
        <v>1447</v>
      </c>
      <c r="E1567" s="116">
        <v>1465.25</v>
      </c>
      <c r="F1567" s="116">
        <v>1456.2</v>
      </c>
      <c r="G1567">
        <v>2595</v>
      </c>
      <c r="H1567" s="116"/>
      <c r="I1567" s="116"/>
      <c r="L1567" s="170">
        <v>44314</v>
      </c>
      <c r="M1567" s="116">
        <v>1458.4</v>
      </c>
      <c r="N1567" s="116">
        <v>1469.7</v>
      </c>
      <c r="O1567" s="116">
        <v>1446</v>
      </c>
      <c r="P1567" s="116">
        <v>1469.7</v>
      </c>
      <c r="Q1567" s="116">
        <v>1458.4</v>
      </c>
      <c r="R1567">
        <v>23695</v>
      </c>
    </row>
    <row r="1568" spans="1:18" x14ac:dyDescent="0.25">
      <c r="A1568" s="170">
        <v>44315</v>
      </c>
      <c r="B1568" s="116">
        <v>1470</v>
      </c>
      <c r="C1568" s="116">
        <v>1460.55</v>
      </c>
      <c r="D1568" s="116">
        <v>1436.8</v>
      </c>
      <c r="E1568" s="116">
        <v>1464.05</v>
      </c>
      <c r="F1568" s="116">
        <v>1460.55</v>
      </c>
      <c r="G1568">
        <v>1890</v>
      </c>
      <c r="H1568" s="116"/>
      <c r="I1568" s="116"/>
      <c r="L1568" s="170">
        <v>44315</v>
      </c>
      <c r="M1568" s="116">
        <v>1458.85</v>
      </c>
      <c r="N1568" s="116">
        <v>1468</v>
      </c>
      <c r="O1568" s="116">
        <v>1436.3</v>
      </c>
      <c r="P1568" s="116">
        <v>1460</v>
      </c>
      <c r="Q1568" s="116">
        <v>1458.85</v>
      </c>
      <c r="R1568">
        <v>29473</v>
      </c>
    </row>
    <row r="1569" spans="1:18" x14ac:dyDescent="0.25">
      <c r="A1569" s="170">
        <v>44316</v>
      </c>
      <c r="B1569" s="116">
        <v>1462.5</v>
      </c>
      <c r="C1569" s="116">
        <v>1453.7</v>
      </c>
      <c r="D1569" s="116">
        <v>1427.95</v>
      </c>
      <c r="E1569" s="116">
        <v>1451.1</v>
      </c>
      <c r="F1569" s="116">
        <v>1453.7</v>
      </c>
      <c r="G1569">
        <v>2400</v>
      </c>
      <c r="H1569" s="116"/>
      <c r="I1569" s="116"/>
      <c r="L1569" s="170">
        <v>44316</v>
      </c>
      <c r="M1569" s="116">
        <v>1458.9</v>
      </c>
      <c r="N1569" s="116">
        <v>1464.9</v>
      </c>
      <c r="O1569" s="116">
        <v>1440.5</v>
      </c>
      <c r="P1569" s="116">
        <v>1455</v>
      </c>
      <c r="Q1569" s="116">
        <v>1458.9</v>
      </c>
      <c r="R1569">
        <v>23086</v>
      </c>
    </row>
    <row r="1570" spans="1:18" x14ac:dyDescent="0.25">
      <c r="A1570" s="170">
        <v>44319</v>
      </c>
      <c r="B1570" s="116">
        <v>1465</v>
      </c>
      <c r="C1570" s="116">
        <v>1460.55</v>
      </c>
      <c r="D1570" s="116">
        <v>1448</v>
      </c>
      <c r="E1570" s="116">
        <v>1461</v>
      </c>
      <c r="F1570" s="116">
        <v>1460.55</v>
      </c>
      <c r="G1570">
        <v>752</v>
      </c>
      <c r="H1570" s="116"/>
      <c r="I1570" s="116"/>
      <c r="L1570" s="170">
        <v>44319</v>
      </c>
      <c r="M1570" s="116">
        <v>1459.05</v>
      </c>
      <c r="N1570" s="116">
        <v>1466.2</v>
      </c>
      <c r="O1570" s="116">
        <v>1446</v>
      </c>
      <c r="P1570" s="116">
        <v>1455</v>
      </c>
      <c r="Q1570" s="116">
        <v>1459.05</v>
      </c>
      <c r="R1570">
        <v>16406</v>
      </c>
    </row>
    <row r="1571" spans="1:18" x14ac:dyDescent="0.25">
      <c r="A1571" s="170">
        <v>44320</v>
      </c>
      <c r="B1571" s="116">
        <v>1463.6</v>
      </c>
      <c r="C1571" s="116">
        <v>1457.3</v>
      </c>
      <c r="D1571" s="116">
        <v>1451.85</v>
      </c>
      <c r="E1571" s="116">
        <v>1453</v>
      </c>
      <c r="F1571" s="116">
        <v>1457.3</v>
      </c>
      <c r="G1571">
        <v>2299</v>
      </c>
      <c r="H1571" s="116"/>
      <c r="I1571" s="116"/>
      <c r="L1571" s="170">
        <v>44320</v>
      </c>
      <c r="M1571" s="116">
        <v>1457.7</v>
      </c>
      <c r="N1571" s="116">
        <v>1465</v>
      </c>
      <c r="O1571" s="116">
        <v>1451.1</v>
      </c>
      <c r="P1571" s="116">
        <v>1460</v>
      </c>
      <c r="Q1571" s="116">
        <v>1457.7</v>
      </c>
      <c r="R1571">
        <v>38754</v>
      </c>
    </row>
    <row r="1572" spans="1:18" x14ac:dyDescent="0.25">
      <c r="A1572" s="170">
        <v>44321</v>
      </c>
      <c r="B1572" s="116">
        <v>1498</v>
      </c>
      <c r="C1572" s="116">
        <v>1467.05</v>
      </c>
      <c r="D1572" s="116">
        <v>1453</v>
      </c>
      <c r="E1572" s="116">
        <v>1465.9</v>
      </c>
      <c r="F1572" s="116">
        <v>1467.05</v>
      </c>
      <c r="G1572">
        <v>2447</v>
      </c>
      <c r="H1572" s="116"/>
      <c r="I1572" s="116"/>
      <c r="L1572" s="170">
        <v>44321</v>
      </c>
      <c r="M1572" s="116">
        <v>1472.65</v>
      </c>
      <c r="N1572" s="116">
        <v>1480</v>
      </c>
      <c r="O1572" s="116">
        <v>1452</v>
      </c>
      <c r="P1572" s="116">
        <v>1465</v>
      </c>
      <c r="Q1572" s="116">
        <v>1472.65</v>
      </c>
      <c r="R1572">
        <v>24565</v>
      </c>
    </row>
    <row r="1573" spans="1:18" x14ac:dyDescent="0.25">
      <c r="A1573" s="170">
        <v>44322</v>
      </c>
      <c r="B1573" s="116">
        <v>1495</v>
      </c>
      <c r="C1573" s="116">
        <v>1463.5</v>
      </c>
      <c r="D1573" s="116">
        <v>1461.65</v>
      </c>
      <c r="E1573" s="116">
        <v>1495</v>
      </c>
      <c r="F1573" s="116">
        <v>1463.5</v>
      </c>
      <c r="G1573">
        <v>1925</v>
      </c>
      <c r="H1573" s="116"/>
      <c r="I1573" s="116"/>
      <c r="L1573" s="170">
        <v>44322</v>
      </c>
      <c r="M1573" s="116">
        <v>1464.2</v>
      </c>
      <c r="N1573" s="116">
        <v>1490</v>
      </c>
      <c r="O1573" s="116">
        <v>1462</v>
      </c>
      <c r="P1573" s="116">
        <v>1487.5</v>
      </c>
      <c r="Q1573" s="116">
        <v>1464.2</v>
      </c>
      <c r="R1573">
        <v>22764</v>
      </c>
    </row>
    <row r="1574" spans="1:18" x14ac:dyDescent="0.25">
      <c r="A1574" s="170">
        <v>44323</v>
      </c>
      <c r="B1574" s="116">
        <v>1475.25</v>
      </c>
      <c r="C1574" s="116">
        <v>1467.2</v>
      </c>
      <c r="D1574" s="116">
        <v>1450.95</v>
      </c>
      <c r="E1574" s="116">
        <v>1470</v>
      </c>
      <c r="F1574" s="116">
        <v>1467.2</v>
      </c>
      <c r="G1574">
        <v>3702</v>
      </c>
      <c r="H1574" s="116"/>
      <c r="I1574" s="116"/>
      <c r="L1574" s="170">
        <v>44323</v>
      </c>
      <c r="M1574" s="116">
        <v>1465.65</v>
      </c>
      <c r="N1574" s="116">
        <v>1477.15</v>
      </c>
      <c r="O1574" s="116">
        <v>1452.45</v>
      </c>
      <c r="P1574" s="116">
        <v>1471</v>
      </c>
      <c r="Q1574" s="116">
        <v>1465.65</v>
      </c>
      <c r="R1574">
        <v>21508</v>
      </c>
    </row>
    <row r="1575" spans="1:18" x14ac:dyDescent="0.25">
      <c r="A1575" s="170">
        <v>44326</v>
      </c>
      <c r="B1575" s="116">
        <v>1480</v>
      </c>
      <c r="C1575" s="116">
        <v>1453.05</v>
      </c>
      <c r="D1575" s="116">
        <v>1450</v>
      </c>
      <c r="E1575" s="116">
        <v>1480</v>
      </c>
      <c r="F1575" s="116">
        <v>1453.05</v>
      </c>
      <c r="G1575">
        <v>3930</v>
      </c>
      <c r="H1575" s="116"/>
      <c r="I1575" s="116"/>
      <c r="L1575" s="170">
        <v>44326</v>
      </c>
      <c r="M1575" s="116">
        <v>1451.8</v>
      </c>
      <c r="N1575" s="116">
        <v>1477</v>
      </c>
      <c r="O1575" s="116">
        <v>1448.6</v>
      </c>
      <c r="P1575" s="116">
        <v>1470</v>
      </c>
      <c r="Q1575" s="116">
        <v>1451.8</v>
      </c>
      <c r="R1575">
        <v>57157</v>
      </c>
    </row>
    <row r="1576" spans="1:18" x14ac:dyDescent="0.25">
      <c r="A1576" s="170">
        <v>44327</v>
      </c>
      <c r="B1576" s="116">
        <v>1480</v>
      </c>
      <c r="C1576" s="116">
        <v>1475.45</v>
      </c>
      <c r="D1576" s="116">
        <v>1450</v>
      </c>
      <c r="E1576" s="116">
        <v>1453</v>
      </c>
      <c r="F1576" s="116">
        <v>1475.45</v>
      </c>
      <c r="G1576">
        <v>3551</v>
      </c>
      <c r="H1576" s="116"/>
      <c r="I1576" s="116"/>
      <c r="L1576" s="170">
        <v>44327</v>
      </c>
      <c r="M1576" s="116">
        <v>1475.75</v>
      </c>
      <c r="N1576" s="116">
        <v>1480.7</v>
      </c>
      <c r="O1576" s="116">
        <v>1449.95</v>
      </c>
      <c r="P1576" s="116">
        <v>1450</v>
      </c>
      <c r="Q1576" s="116">
        <v>1475.75</v>
      </c>
      <c r="R1576">
        <v>74875</v>
      </c>
    </row>
    <row r="1577" spans="1:18" x14ac:dyDescent="0.25">
      <c r="A1577" s="170">
        <v>44328</v>
      </c>
      <c r="B1577" s="116">
        <v>1484</v>
      </c>
      <c r="C1577" s="116">
        <v>1479.45</v>
      </c>
      <c r="D1577" s="116">
        <v>1463.05</v>
      </c>
      <c r="E1577" s="116">
        <v>1475.75</v>
      </c>
      <c r="F1577" s="116">
        <v>1479.45</v>
      </c>
      <c r="G1577">
        <v>2453</v>
      </c>
      <c r="H1577" s="116"/>
      <c r="I1577" s="116"/>
      <c r="L1577" s="170">
        <v>44328</v>
      </c>
      <c r="M1577" s="116">
        <v>1477.5</v>
      </c>
      <c r="N1577" s="116">
        <v>1484</v>
      </c>
      <c r="O1577" s="116">
        <v>1463</v>
      </c>
      <c r="P1577" s="116">
        <v>1476</v>
      </c>
      <c r="Q1577" s="116">
        <v>1477.5</v>
      </c>
      <c r="R1577">
        <v>31506</v>
      </c>
    </row>
    <row r="1578" spans="1:18" x14ac:dyDescent="0.25">
      <c r="A1578" s="170">
        <v>44330</v>
      </c>
      <c r="B1578" s="116">
        <v>1542</v>
      </c>
      <c r="C1578" s="116">
        <v>1503.8</v>
      </c>
      <c r="D1578" s="116">
        <v>1475</v>
      </c>
      <c r="E1578" s="116">
        <v>1475</v>
      </c>
      <c r="F1578" s="116">
        <v>1503.8</v>
      </c>
      <c r="G1578">
        <v>12593</v>
      </c>
      <c r="H1578" s="116"/>
      <c r="I1578" s="116"/>
      <c r="L1578" s="170">
        <v>44330</v>
      </c>
      <c r="M1578" s="116">
        <v>1504.1</v>
      </c>
      <c r="N1578" s="116">
        <v>1544</v>
      </c>
      <c r="O1578" s="116">
        <v>1475.85</v>
      </c>
      <c r="P1578" s="116">
        <v>1485</v>
      </c>
      <c r="Q1578" s="116">
        <v>1504.1</v>
      </c>
      <c r="R1578">
        <v>289937</v>
      </c>
    </row>
    <row r="1579" spans="1:18" x14ac:dyDescent="0.25">
      <c r="A1579" s="170">
        <v>44333</v>
      </c>
      <c r="B1579" s="116">
        <v>1542.8</v>
      </c>
      <c r="C1579" s="116">
        <v>1518.15</v>
      </c>
      <c r="D1579" s="116">
        <v>1510.05</v>
      </c>
      <c r="E1579" s="116">
        <v>1524</v>
      </c>
      <c r="F1579" s="116">
        <v>1518.15</v>
      </c>
      <c r="G1579">
        <v>5664</v>
      </c>
      <c r="H1579" s="116"/>
      <c r="I1579" s="116"/>
      <c r="L1579" s="170">
        <v>44333</v>
      </c>
      <c r="M1579" s="116">
        <v>1516.45</v>
      </c>
      <c r="N1579" s="116">
        <v>1543.45</v>
      </c>
      <c r="O1579" s="116">
        <v>1511.2</v>
      </c>
      <c r="P1579" s="116">
        <v>1519.9</v>
      </c>
      <c r="Q1579" s="116">
        <v>1516.45</v>
      </c>
      <c r="R1579">
        <v>95728</v>
      </c>
    </row>
    <row r="1580" spans="1:18" x14ac:dyDescent="0.25">
      <c r="A1580" s="170">
        <v>44334</v>
      </c>
      <c r="B1580" s="116">
        <v>1545</v>
      </c>
      <c r="C1580" s="116">
        <v>1515.75</v>
      </c>
      <c r="D1580" s="116">
        <v>1505.95</v>
      </c>
      <c r="E1580" s="116">
        <v>1518</v>
      </c>
      <c r="F1580" s="116">
        <v>1515.75</v>
      </c>
      <c r="G1580">
        <v>6456</v>
      </c>
      <c r="H1580" s="116"/>
      <c r="I1580" s="116"/>
      <c r="L1580" s="170">
        <v>44334</v>
      </c>
      <c r="M1580" s="116">
        <v>1516.45</v>
      </c>
      <c r="N1580" s="116">
        <v>1546</v>
      </c>
      <c r="O1580" s="116">
        <v>1508</v>
      </c>
      <c r="P1580" s="116">
        <v>1516.45</v>
      </c>
      <c r="Q1580" s="116">
        <v>1516.45</v>
      </c>
      <c r="R1580">
        <v>83400</v>
      </c>
    </row>
    <row r="1581" spans="1:18" x14ac:dyDescent="0.25">
      <c r="A1581" s="170">
        <v>44335</v>
      </c>
      <c r="B1581" s="116">
        <v>1515.75</v>
      </c>
      <c r="C1581" s="116">
        <v>1479.6</v>
      </c>
      <c r="D1581" s="116">
        <v>1456</v>
      </c>
      <c r="E1581" s="116">
        <v>1515.75</v>
      </c>
      <c r="F1581" s="116">
        <v>1479.6</v>
      </c>
      <c r="G1581">
        <v>7166</v>
      </c>
      <c r="H1581" s="116"/>
      <c r="I1581" s="116"/>
      <c r="L1581" s="170">
        <v>44335</v>
      </c>
      <c r="M1581" s="116">
        <v>1494.1</v>
      </c>
      <c r="N1581" s="116">
        <v>1509.9</v>
      </c>
      <c r="O1581" s="116">
        <v>1470</v>
      </c>
      <c r="P1581" s="116">
        <v>1507.05</v>
      </c>
      <c r="Q1581" s="116">
        <v>1494.1</v>
      </c>
      <c r="R1581">
        <v>98748</v>
      </c>
    </row>
    <row r="1582" spans="1:18" x14ac:dyDescent="0.25">
      <c r="A1582" s="170">
        <v>44336</v>
      </c>
      <c r="B1582" s="116">
        <v>1500.4</v>
      </c>
      <c r="C1582" s="116">
        <v>1460.65</v>
      </c>
      <c r="D1582" s="116">
        <v>1450</v>
      </c>
      <c r="E1582" s="116">
        <v>1499.25</v>
      </c>
      <c r="F1582" s="116">
        <v>1460.65</v>
      </c>
      <c r="G1582">
        <v>3051</v>
      </c>
      <c r="H1582" s="116"/>
      <c r="I1582" s="116"/>
      <c r="L1582" s="170">
        <v>44336</v>
      </c>
      <c r="M1582" s="116">
        <v>1463.8</v>
      </c>
      <c r="N1582" s="116">
        <v>1503.85</v>
      </c>
      <c r="O1582" s="116">
        <v>1449</v>
      </c>
      <c r="P1582" s="116">
        <v>1494.2</v>
      </c>
      <c r="Q1582" s="116">
        <v>1463.8</v>
      </c>
      <c r="R1582">
        <v>50043</v>
      </c>
    </row>
    <row r="1583" spans="1:18" x14ac:dyDescent="0.25">
      <c r="A1583" s="170">
        <v>44337</v>
      </c>
      <c r="B1583" s="116">
        <v>1484.7</v>
      </c>
      <c r="C1583" s="116">
        <v>1462.4</v>
      </c>
      <c r="D1583" s="116">
        <v>1456</v>
      </c>
      <c r="E1583" s="116">
        <v>1484.7</v>
      </c>
      <c r="F1583" s="116">
        <v>1462.4</v>
      </c>
      <c r="G1583">
        <v>2417</v>
      </c>
      <c r="H1583" s="116"/>
      <c r="I1583" s="116"/>
      <c r="L1583" s="170">
        <v>44337</v>
      </c>
      <c r="M1583" s="116">
        <v>1462.15</v>
      </c>
      <c r="N1583" s="116">
        <v>1487.85</v>
      </c>
      <c r="O1583" s="116">
        <v>1454.2</v>
      </c>
      <c r="P1583" s="116">
        <v>1483</v>
      </c>
      <c r="Q1583" s="116">
        <v>1462.15</v>
      </c>
      <c r="R1583">
        <v>41049</v>
      </c>
    </row>
    <row r="1584" spans="1:18" x14ac:dyDescent="0.25">
      <c r="A1584" s="170">
        <v>44340</v>
      </c>
      <c r="B1584" s="116">
        <v>1474</v>
      </c>
      <c r="C1584" s="116">
        <v>1465.9</v>
      </c>
      <c r="D1584" s="116">
        <v>1456.5</v>
      </c>
      <c r="E1584" s="116">
        <v>1456.5</v>
      </c>
      <c r="F1584" s="116">
        <v>1465.9</v>
      </c>
      <c r="G1584">
        <v>2675</v>
      </c>
      <c r="H1584" s="116"/>
      <c r="I1584" s="116"/>
      <c r="L1584" s="170">
        <v>44340</v>
      </c>
      <c r="M1584" s="116">
        <v>1467.25</v>
      </c>
      <c r="N1584" s="116">
        <v>1476.9</v>
      </c>
      <c r="O1584" s="116">
        <v>1457.55</v>
      </c>
      <c r="P1584" s="116">
        <v>1470.8</v>
      </c>
      <c r="Q1584" s="116">
        <v>1467.25</v>
      </c>
      <c r="R1584">
        <v>21140</v>
      </c>
    </row>
    <row r="1585" spans="1:18" x14ac:dyDescent="0.25">
      <c r="A1585" s="170">
        <v>44341</v>
      </c>
      <c r="B1585" s="116">
        <v>1473.25</v>
      </c>
      <c r="C1585" s="116">
        <v>1459.95</v>
      </c>
      <c r="D1585" s="116">
        <v>1445.6</v>
      </c>
      <c r="E1585" s="116">
        <v>1472.7</v>
      </c>
      <c r="F1585" s="116">
        <v>1459.95</v>
      </c>
      <c r="G1585">
        <v>3860</v>
      </c>
      <c r="H1585" s="116"/>
      <c r="I1585" s="116"/>
      <c r="L1585" s="170">
        <v>44341</v>
      </c>
      <c r="M1585" s="116">
        <v>1468.7</v>
      </c>
      <c r="N1585" s="116">
        <v>1474.7</v>
      </c>
      <c r="O1585" s="116">
        <v>1456</v>
      </c>
      <c r="P1585" s="116">
        <v>1467.25</v>
      </c>
      <c r="Q1585" s="116">
        <v>1468.7</v>
      </c>
      <c r="R1585">
        <v>31911</v>
      </c>
    </row>
    <row r="1586" spans="1:18" x14ac:dyDescent="0.25">
      <c r="A1586" s="170">
        <v>44342</v>
      </c>
      <c r="B1586" s="116">
        <v>1472.5</v>
      </c>
      <c r="C1586" s="116">
        <v>1463.35</v>
      </c>
      <c r="D1586" s="116">
        <v>1458</v>
      </c>
      <c r="E1586" s="116">
        <v>1465.7</v>
      </c>
      <c r="F1586" s="116">
        <v>1463.35</v>
      </c>
      <c r="G1586">
        <v>2155</v>
      </c>
      <c r="H1586" s="116"/>
      <c r="I1586" s="116"/>
      <c r="L1586" s="170">
        <v>44342</v>
      </c>
      <c r="M1586" s="116">
        <v>1464.05</v>
      </c>
      <c r="N1586" s="116">
        <v>1475</v>
      </c>
      <c r="O1586" s="116">
        <v>1457</v>
      </c>
      <c r="P1586" s="116">
        <v>1470.05</v>
      </c>
      <c r="Q1586" s="116">
        <v>1464.05</v>
      </c>
      <c r="R1586">
        <v>22466</v>
      </c>
    </row>
    <row r="1587" spans="1:18" x14ac:dyDescent="0.25">
      <c r="A1587" s="170">
        <v>44343</v>
      </c>
      <c r="B1587" s="116">
        <v>1524.85</v>
      </c>
      <c r="C1587" s="116">
        <v>1503.8</v>
      </c>
      <c r="D1587" s="116">
        <v>1471.7</v>
      </c>
      <c r="E1587" s="116">
        <v>1474</v>
      </c>
      <c r="F1587" s="116">
        <v>1503.8</v>
      </c>
      <c r="G1587">
        <v>6387</v>
      </c>
      <c r="H1587" s="116"/>
      <c r="I1587" s="116"/>
      <c r="L1587" s="170">
        <v>44343</v>
      </c>
      <c r="M1587" s="116">
        <v>1504.75</v>
      </c>
      <c r="N1587" s="116">
        <v>1525</v>
      </c>
      <c r="O1587" s="116">
        <v>1469.25</v>
      </c>
      <c r="P1587" s="116">
        <v>1475</v>
      </c>
      <c r="Q1587" s="116">
        <v>1504.75</v>
      </c>
      <c r="R1587">
        <v>125571</v>
      </c>
    </row>
    <row r="1588" spans="1:18" x14ac:dyDescent="0.25">
      <c r="A1588" s="170">
        <v>44344</v>
      </c>
      <c r="B1588" s="116">
        <v>1574.35</v>
      </c>
      <c r="C1588" s="116">
        <v>1530.85</v>
      </c>
      <c r="D1588" s="116">
        <v>1506.5</v>
      </c>
      <c r="E1588" s="116">
        <v>1540</v>
      </c>
      <c r="F1588" s="116">
        <v>1530.85</v>
      </c>
      <c r="G1588">
        <v>7013</v>
      </c>
      <c r="H1588" s="116"/>
      <c r="I1588" s="116"/>
      <c r="L1588" s="170">
        <v>44344</v>
      </c>
      <c r="M1588" s="116">
        <v>1528.6</v>
      </c>
      <c r="N1588" s="116">
        <v>1575</v>
      </c>
      <c r="O1588" s="116">
        <v>1506</v>
      </c>
      <c r="P1588" s="116">
        <v>1528</v>
      </c>
      <c r="Q1588" s="116">
        <v>1528.6</v>
      </c>
      <c r="R1588">
        <v>116777</v>
      </c>
    </row>
    <row r="1589" spans="1:18" x14ac:dyDescent="0.25">
      <c r="A1589" s="170">
        <v>44347</v>
      </c>
      <c r="B1589" s="116">
        <v>1546.5</v>
      </c>
      <c r="C1589" s="116">
        <v>1515.75</v>
      </c>
      <c r="D1589" s="116">
        <v>1510</v>
      </c>
      <c r="E1589" s="116">
        <v>1530</v>
      </c>
      <c r="F1589" s="116">
        <v>1515.75</v>
      </c>
      <c r="G1589">
        <v>4218</v>
      </c>
      <c r="H1589" s="116"/>
      <c r="I1589" s="116"/>
      <c r="L1589" s="170">
        <v>44347</v>
      </c>
      <c r="M1589" s="116">
        <v>1517.7</v>
      </c>
      <c r="N1589" s="116">
        <v>1547.85</v>
      </c>
      <c r="O1589" s="116">
        <v>1512</v>
      </c>
      <c r="P1589" s="116">
        <v>1535</v>
      </c>
      <c r="Q1589" s="116">
        <v>1517.7</v>
      </c>
      <c r="R1589">
        <v>31343</v>
      </c>
    </row>
    <row r="1590" spans="1:18" x14ac:dyDescent="0.25">
      <c r="A1590" s="170">
        <v>44348</v>
      </c>
      <c r="B1590" s="116">
        <v>1545.85</v>
      </c>
      <c r="C1590" s="116">
        <v>1494.9</v>
      </c>
      <c r="D1590" s="116">
        <v>1492.05</v>
      </c>
      <c r="E1590" s="116">
        <v>1539</v>
      </c>
      <c r="F1590" s="116">
        <v>1494.9</v>
      </c>
      <c r="G1590">
        <v>1403</v>
      </c>
      <c r="H1590" s="116"/>
      <c r="I1590" s="116"/>
      <c r="L1590" s="170">
        <v>44348</v>
      </c>
      <c r="M1590" s="116">
        <v>1495.75</v>
      </c>
      <c r="N1590" s="116">
        <v>1530</v>
      </c>
      <c r="O1590" s="116">
        <v>1492.5</v>
      </c>
      <c r="P1590" s="116">
        <v>1524.9</v>
      </c>
      <c r="Q1590" s="116">
        <v>1495.75</v>
      </c>
      <c r="R1590">
        <v>25913</v>
      </c>
    </row>
    <row r="1591" spans="1:18" x14ac:dyDescent="0.25">
      <c r="A1591" s="170">
        <v>44349</v>
      </c>
      <c r="B1591" s="116">
        <v>1529</v>
      </c>
      <c r="C1591" s="116">
        <v>1522.6</v>
      </c>
      <c r="D1591" s="116">
        <v>1504</v>
      </c>
      <c r="E1591" s="116">
        <v>1504</v>
      </c>
      <c r="F1591" s="116">
        <v>1522.6</v>
      </c>
      <c r="G1591">
        <v>1581</v>
      </c>
      <c r="H1591" s="116"/>
      <c r="I1591" s="116"/>
      <c r="L1591" s="170">
        <v>44349</v>
      </c>
      <c r="M1591" s="116">
        <v>1524.35</v>
      </c>
      <c r="N1591" s="116">
        <v>1529</v>
      </c>
      <c r="O1591" s="116">
        <v>1495.8</v>
      </c>
      <c r="P1591" s="116">
        <v>1500</v>
      </c>
      <c r="Q1591" s="116">
        <v>1524.35</v>
      </c>
      <c r="R1591">
        <v>39275</v>
      </c>
    </row>
    <row r="1592" spans="1:18" x14ac:dyDescent="0.25">
      <c r="A1592" s="170">
        <v>44350</v>
      </c>
      <c r="B1592" s="116">
        <v>1530.6</v>
      </c>
      <c r="C1592" s="116">
        <v>1521.2</v>
      </c>
      <c r="D1592" s="116">
        <v>1505</v>
      </c>
      <c r="E1592" s="116">
        <v>1505</v>
      </c>
      <c r="F1592" s="116">
        <v>1521.2</v>
      </c>
      <c r="G1592">
        <v>1247</v>
      </c>
      <c r="H1592" s="116"/>
      <c r="I1592" s="116"/>
      <c r="L1592" s="170">
        <v>44350</v>
      </c>
      <c r="M1592" s="116">
        <v>1520.65</v>
      </c>
      <c r="N1592" s="116">
        <v>1532.8</v>
      </c>
      <c r="O1592" s="116">
        <v>1505.1</v>
      </c>
      <c r="P1592" s="116">
        <v>1524.4</v>
      </c>
      <c r="Q1592" s="116">
        <v>1520.65</v>
      </c>
      <c r="R1592">
        <v>33191</v>
      </c>
    </row>
    <row r="1593" spans="1:18" x14ac:dyDescent="0.25">
      <c r="A1593" s="170">
        <v>44351</v>
      </c>
      <c r="B1593" s="116">
        <v>1526.95</v>
      </c>
      <c r="C1593" s="116">
        <v>1508</v>
      </c>
      <c r="D1593" s="116">
        <v>1505</v>
      </c>
      <c r="E1593" s="116">
        <v>1520.75</v>
      </c>
      <c r="F1593" s="116">
        <v>1508</v>
      </c>
      <c r="G1593">
        <v>2665</v>
      </c>
      <c r="H1593" s="116"/>
      <c r="I1593" s="116"/>
      <c r="L1593" s="170">
        <v>44351</v>
      </c>
      <c r="M1593" s="116">
        <v>1507.6</v>
      </c>
      <c r="N1593" s="116">
        <v>1527.05</v>
      </c>
      <c r="O1593" s="116">
        <v>1505.05</v>
      </c>
      <c r="P1593" s="116">
        <v>1521</v>
      </c>
      <c r="Q1593" s="116">
        <v>1507.6</v>
      </c>
      <c r="R1593">
        <v>16615</v>
      </c>
    </row>
    <row r="1594" spans="1:18" x14ac:dyDescent="0.25">
      <c r="A1594" s="170">
        <v>44354</v>
      </c>
      <c r="B1594" s="116">
        <v>1520.6</v>
      </c>
      <c r="C1594" s="116">
        <v>1491.9</v>
      </c>
      <c r="D1594" s="116">
        <v>1490</v>
      </c>
      <c r="E1594" s="116">
        <v>1520.6</v>
      </c>
      <c r="F1594" s="116">
        <v>1491.9</v>
      </c>
      <c r="G1594">
        <v>4894</v>
      </c>
      <c r="H1594" s="116"/>
      <c r="I1594" s="116"/>
      <c r="L1594" s="170">
        <v>44354</v>
      </c>
      <c r="M1594" s="116">
        <v>1491.95</v>
      </c>
      <c r="N1594" s="116">
        <v>1520</v>
      </c>
      <c r="O1594" s="116">
        <v>1490</v>
      </c>
      <c r="P1594" s="116">
        <v>1520</v>
      </c>
      <c r="Q1594" s="116">
        <v>1491.95</v>
      </c>
      <c r="R1594">
        <v>27995</v>
      </c>
    </row>
    <row r="1595" spans="1:18" x14ac:dyDescent="0.25">
      <c r="A1595" s="170">
        <v>44355</v>
      </c>
      <c r="B1595" s="116">
        <v>1505</v>
      </c>
      <c r="C1595" s="116">
        <v>1481.2</v>
      </c>
      <c r="D1595" s="116">
        <v>1471.2</v>
      </c>
      <c r="E1595" s="116">
        <v>1497.65</v>
      </c>
      <c r="F1595" s="116">
        <v>1481.2</v>
      </c>
      <c r="G1595">
        <v>3187</v>
      </c>
      <c r="H1595" s="116"/>
      <c r="I1595" s="116"/>
      <c r="L1595" s="170">
        <v>44355</v>
      </c>
      <c r="M1595" s="116">
        <v>1488.25</v>
      </c>
      <c r="N1595" s="116">
        <v>1507.85</v>
      </c>
      <c r="O1595" s="116">
        <v>1485</v>
      </c>
      <c r="P1595" s="116">
        <v>1499</v>
      </c>
      <c r="Q1595" s="116">
        <v>1488.25</v>
      </c>
      <c r="R1595">
        <v>21273</v>
      </c>
    </row>
    <row r="1596" spans="1:18" x14ac:dyDescent="0.25">
      <c r="A1596" s="170">
        <v>44356</v>
      </c>
      <c r="B1596" s="116">
        <v>1499.8</v>
      </c>
      <c r="C1596" s="116">
        <v>1482.3</v>
      </c>
      <c r="D1596" s="116">
        <v>1478.45</v>
      </c>
      <c r="E1596" s="116">
        <v>1482.05</v>
      </c>
      <c r="F1596" s="116">
        <v>1482.3</v>
      </c>
      <c r="G1596">
        <v>1439</v>
      </c>
      <c r="H1596" s="116"/>
      <c r="I1596" s="116"/>
      <c r="L1596" s="170">
        <v>44356</v>
      </c>
      <c r="M1596" s="116">
        <v>1482.2</v>
      </c>
      <c r="N1596" s="116">
        <v>1500</v>
      </c>
      <c r="O1596" s="116">
        <v>1477.3</v>
      </c>
      <c r="P1596" s="116">
        <v>1490</v>
      </c>
      <c r="Q1596" s="116">
        <v>1482.2</v>
      </c>
      <c r="R1596">
        <v>19084</v>
      </c>
    </row>
    <row r="1597" spans="1:18" x14ac:dyDescent="0.25">
      <c r="A1597" s="170">
        <v>44357</v>
      </c>
      <c r="B1597" s="116">
        <v>1492</v>
      </c>
      <c r="C1597" s="116">
        <v>1480.5</v>
      </c>
      <c r="D1597" s="116">
        <v>1477.2</v>
      </c>
      <c r="E1597" s="116">
        <v>1492</v>
      </c>
      <c r="F1597" s="116">
        <v>1480.5</v>
      </c>
      <c r="G1597">
        <v>5332</v>
      </c>
      <c r="H1597" s="116"/>
      <c r="I1597" s="116"/>
      <c r="L1597" s="170">
        <v>44357</v>
      </c>
      <c r="M1597" s="116">
        <v>1480.15</v>
      </c>
      <c r="N1597" s="116">
        <v>1492</v>
      </c>
      <c r="O1597" s="116">
        <v>1478.05</v>
      </c>
      <c r="P1597" s="116">
        <v>1480</v>
      </c>
      <c r="Q1597" s="116">
        <v>1480.15</v>
      </c>
      <c r="R1597">
        <v>22016</v>
      </c>
    </row>
    <row r="1598" spans="1:18" x14ac:dyDescent="0.25">
      <c r="A1598" s="170">
        <v>44358</v>
      </c>
      <c r="B1598" s="116">
        <v>1524.4</v>
      </c>
      <c r="C1598" s="116">
        <v>1515.5</v>
      </c>
      <c r="D1598" s="116">
        <v>1470</v>
      </c>
      <c r="E1598" s="116">
        <v>1485</v>
      </c>
      <c r="F1598" s="116">
        <v>1515.5</v>
      </c>
      <c r="G1598">
        <v>6975</v>
      </c>
      <c r="H1598" s="116"/>
      <c r="I1598" s="116"/>
      <c r="L1598" s="170">
        <v>44358</v>
      </c>
      <c r="M1598" s="116">
        <v>1517.05</v>
      </c>
      <c r="N1598" s="116">
        <v>1525.4</v>
      </c>
      <c r="O1598" s="116">
        <v>1481.05</v>
      </c>
      <c r="P1598" s="116">
        <v>1491.95</v>
      </c>
      <c r="Q1598" s="116">
        <v>1517.05</v>
      </c>
      <c r="R1598">
        <v>74430</v>
      </c>
    </row>
    <row r="1599" spans="1:18" x14ac:dyDescent="0.25">
      <c r="A1599" s="170">
        <v>44361</v>
      </c>
      <c r="B1599" s="116">
        <v>1612.45</v>
      </c>
      <c r="C1599" s="116">
        <v>1584.05</v>
      </c>
      <c r="D1599" s="116">
        <v>1495.9</v>
      </c>
      <c r="E1599" s="116">
        <v>1520</v>
      </c>
      <c r="F1599" s="116">
        <v>1584.05</v>
      </c>
      <c r="G1599">
        <v>19641</v>
      </c>
      <c r="H1599" s="116"/>
      <c r="I1599" s="116"/>
      <c r="L1599" s="170">
        <v>44361</v>
      </c>
      <c r="M1599" s="116">
        <v>1582.2</v>
      </c>
      <c r="N1599" s="116">
        <v>1614</v>
      </c>
      <c r="O1599" s="116">
        <v>1495</v>
      </c>
      <c r="P1599" s="116">
        <v>1525</v>
      </c>
      <c r="Q1599" s="116">
        <v>1582.2</v>
      </c>
      <c r="R1599">
        <v>255881</v>
      </c>
    </row>
    <row r="1600" spans="1:18" x14ac:dyDescent="0.25">
      <c r="A1600" s="170">
        <v>44362</v>
      </c>
      <c r="B1600" s="116">
        <v>1634</v>
      </c>
      <c r="C1600" s="116">
        <v>1580.25</v>
      </c>
      <c r="D1600" s="116">
        <v>1568.6</v>
      </c>
      <c r="E1600" s="116">
        <v>1596</v>
      </c>
      <c r="F1600" s="116">
        <v>1580.25</v>
      </c>
      <c r="G1600">
        <v>15741</v>
      </c>
      <c r="H1600" s="116"/>
      <c r="I1600" s="116"/>
      <c r="L1600" s="170">
        <v>44362</v>
      </c>
      <c r="M1600" s="116">
        <v>1580.15</v>
      </c>
      <c r="N1600" s="116">
        <v>1634.35</v>
      </c>
      <c r="O1600" s="116">
        <v>1565.2</v>
      </c>
      <c r="P1600" s="116">
        <v>1599</v>
      </c>
      <c r="Q1600" s="116">
        <v>1580.15</v>
      </c>
      <c r="R1600">
        <v>106906</v>
      </c>
    </row>
    <row r="1601" spans="1:18" x14ac:dyDescent="0.25">
      <c r="A1601" s="170">
        <v>44363</v>
      </c>
      <c r="B1601" s="116">
        <v>1589.65</v>
      </c>
      <c r="C1601" s="116">
        <v>1568.35</v>
      </c>
      <c r="D1601" s="116">
        <v>1558.9</v>
      </c>
      <c r="E1601" s="116">
        <v>1580</v>
      </c>
      <c r="F1601" s="116">
        <v>1568.35</v>
      </c>
      <c r="G1601">
        <v>6537</v>
      </c>
      <c r="H1601" s="116"/>
      <c r="I1601" s="116"/>
      <c r="L1601" s="170">
        <v>44363</v>
      </c>
      <c r="M1601" s="116">
        <v>1568.15</v>
      </c>
      <c r="N1601" s="116">
        <v>1589.95</v>
      </c>
      <c r="O1601" s="116">
        <v>1560</v>
      </c>
      <c r="P1601" s="116">
        <v>1584.95</v>
      </c>
      <c r="Q1601" s="116">
        <v>1568.15</v>
      </c>
      <c r="R1601">
        <v>36410</v>
      </c>
    </row>
    <row r="1602" spans="1:18" x14ac:dyDescent="0.25">
      <c r="A1602" s="170">
        <v>44364</v>
      </c>
      <c r="B1602" s="116">
        <v>1562</v>
      </c>
      <c r="C1602" s="116">
        <v>1543.25</v>
      </c>
      <c r="D1602" s="116">
        <v>1541</v>
      </c>
      <c r="E1602" s="116">
        <v>1550</v>
      </c>
      <c r="F1602" s="116">
        <v>1543.25</v>
      </c>
      <c r="G1602">
        <v>10477</v>
      </c>
      <c r="H1602" s="116"/>
      <c r="I1602" s="116"/>
      <c r="L1602" s="170">
        <v>44364</v>
      </c>
      <c r="M1602" s="116">
        <v>1542.85</v>
      </c>
      <c r="N1602" s="116">
        <v>1563.8</v>
      </c>
      <c r="O1602" s="116">
        <v>1530</v>
      </c>
      <c r="P1602" s="116">
        <v>1530</v>
      </c>
      <c r="Q1602" s="116">
        <v>1542.85</v>
      </c>
      <c r="R1602">
        <v>41986</v>
      </c>
    </row>
    <row r="1603" spans="1:18" x14ac:dyDescent="0.25">
      <c r="A1603" s="170">
        <v>44365</v>
      </c>
      <c r="B1603" s="116">
        <v>1558.55</v>
      </c>
      <c r="C1603" s="116">
        <v>1515.55</v>
      </c>
      <c r="D1603" s="116">
        <v>1500</v>
      </c>
      <c r="E1603" s="116">
        <v>1544.05</v>
      </c>
      <c r="F1603" s="116">
        <v>1515.55</v>
      </c>
      <c r="G1603">
        <v>5988</v>
      </c>
      <c r="H1603" s="116"/>
      <c r="I1603" s="116"/>
      <c r="L1603" s="170">
        <v>44365</v>
      </c>
      <c r="M1603" s="116">
        <v>1517.2</v>
      </c>
      <c r="N1603" s="116">
        <v>1558.75</v>
      </c>
      <c r="O1603" s="116">
        <v>1501.1</v>
      </c>
      <c r="P1603" s="116">
        <v>1546</v>
      </c>
      <c r="Q1603" s="116">
        <v>1517.2</v>
      </c>
      <c r="R1603">
        <v>45569</v>
      </c>
    </row>
    <row r="1604" spans="1:18" x14ac:dyDescent="0.25">
      <c r="A1604" s="170">
        <v>44368</v>
      </c>
      <c r="B1604" s="116">
        <v>1553.35</v>
      </c>
      <c r="C1604" s="116">
        <v>1535.45</v>
      </c>
      <c r="D1604" s="116">
        <v>1500.05</v>
      </c>
      <c r="E1604" s="116">
        <v>1515.55</v>
      </c>
      <c r="F1604" s="116">
        <v>1535.45</v>
      </c>
      <c r="G1604">
        <v>3496</v>
      </c>
      <c r="H1604" s="116"/>
      <c r="I1604" s="116"/>
      <c r="L1604" s="170">
        <v>44368</v>
      </c>
      <c r="M1604" s="116">
        <v>1535.65</v>
      </c>
      <c r="N1604" s="116">
        <v>1555</v>
      </c>
      <c r="O1604" s="116">
        <v>1500.15</v>
      </c>
      <c r="P1604" s="116">
        <v>1515.1</v>
      </c>
      <c r="Q1604" s="116">
        <v>1535.65</v>
      </c>
      <c r="R1604">
        <v>29406</v>
      </c>
    </row>
    <row r="1605" spans="1:18" x14ac:dyDescent="0.25">
      <c r="A1605" s="170">
        <v>44369</v>
      </c>
      <c r="B1605" s="116">
        <v>1546.35</v>
      </c>
      <c r="C1605" s="116">
        <v>1511.6</v>
      </c>
      <c r="D1605" s="116">
        <v>1506.75</v>
      </c>
      <c r="E1605" s="116">
        <v>1546.35</v>
      </c>
      <c r="F1605" s="116">
        <v>1511.6</v>
      </c>
      <c r="G1605">
        <v>2153</v>
      </c>
      <c r="H1605" s="116"/>
      <c r="I1605" s="116"/>
      <c r="L1605" s="170">
        <v>44369</v>
      </c>
      <c r="M1605" s="116">
        <v>1510.75</v>
      </c>
      <c r="N1605" s="116">
        <v>1551.45</v>
      </c>
      <c r="O1605" s="116">
        <v>1507</v>
      </c>
      <c r="P1605" s="116">
        <v>1550</v>
      </c>
      <c r="Q1605" s="116">
        <v>1510.75</v>
      </c>
      <c r="R1605">
        <v>39564</v>
      </c>
    </row>
    <row r="1606" spans="1:18" x14ac:dyDescent="0.25">
      <c r="A1606" s="170">
        <v>44370</v>
      </c>
      <c r="B1606" s="116">
        <v>1535</v>
      </c>
      <c r="C1606" s="116">
        <v>1525.05</v>
      </c>
      <c r="D1606" s="116">
        <v>1509</v>
      </c>
      <c r="E1606" s="116">
        <v>1524.95</v>
      </c>
      <c r="F1606" s="116">
        <v>1525.05</v>
      </c>
      <c r="G1606">
        <v>3414</v>
      </c>
      <c r="H1606" s="116"/>
      <c r="I1606" s="116"/>
      <c r="L1606" s="170">
        <v>44370</v>
      </c>
      <c r="M1606" s="116">
        <v>1526.4</v>
      </c>
      <c r="N1606" s="116">
        <v>1537</v>
      </c>
      <c r="O1606" s="116">
        <v>1508</v>
      </c>
      <c r="P1606" s="116">
        <v>1518.7</v>
      </c>
      <c r="Q1606" s="116">
        <v>1526.4</v>
      </c>
      <c r="R1606">
        <v>18732</v>
      </c>
    </row>
    <row r="1607" spans="1:18" x14ac:dyDescent="0.25">
      <c r="A1607" s="170">
        <v>44371</v>
      </c>
      <c r="B1607" s="116">
        <v>1544.25</v>
      </c>
      <c r="C1607" s="116">
        <v>1516.7</v>
      </c>
      <c r="D1607" s="116">
        <v>1514</v>
      </c>
      <c r="E1607" s="116">
        <v>1541.4</v>
      </c>
      <c r="F1607" s="116">
        <v>1516.7</v>
      </c>
      <c r="G1607">
        <v>1200</v>
      </c>
      <c r="H1607" s="116"/>
      <c r="I1607" s="116"/>
      <c r="L1607" s="170">
        <v>44371</v>
      </c>
      <c r="M1607" s="116">
        <v>1517.1</v>
      </c>
      <c r="N1607" s="116">
        <v>1548.8</v>
      </c>
      <c r="O1607" s="116">
        <v>1513.65</v>
      </c>
      <c r="P1607" s="116">
        <v>1545</v>
      </c>
      <c r="Q1607" s="116">
        <v>1517.1</v>
      </c>
      <c r="R1607">
        <v>19952</v>
      </c>
    </row>
    <row r="1608" spans="1:18" x14ac:dyDescent="0.25">
      <c r="A1608" s="170">
        <v>44372</v>
      </c>
      <c r="B1608" s="116">
        <v>1539.55</v>
      </c>
      <c r="C1608" s="116">
        <v>1515.2</v>
      </c>
      <c r="D1608" s="116">
        <v>1511.4</v>
      </c>
      <c r="E1608" s="116">
        <v>1516.9</v>
      </c>
      <c r="F1608" s="116">
        <v>1515.2</v>
      </c>
      <c r="G1608">
        <v>1665</v>
      </c>
      <c r="H1608" s="116"/>
      <c r="I1608" s="116"/>
      <c r="L1608" s="170">
        <v>44372</v>
      </c>
      <c r="M1608" s="116">
        <v>1514.8</v>
      </c>
      <c r="N1608" s="116">
        <v>1540</v>
      </c>
      <c r="O1608" s="116">
        <v>1510.6</v>
      </c>
      <c r="P1608" s="116">
        <v>1515</v>
      </c>
      <c r="Q1608" s="116">
        <v>1514.8</v>
      </c>
      <c r="R1608">
        <v>28954</v>
      </c>
    </row>
    <row r="1609" spans="1:18" x14ac:dyDescent="0.25">
      <c r="A1609" s="170">
        <v>44375</v>
      </c>
      <c r="B1609" s="116">
        <v>1539.25</v>
      </c>
      <c r="C1609" s="116">
        <v>1527.8</v>
      </c>
      <c r="D1609" s="116">
        <v>1511.05</v>
      </c>
      <c r="E1609" s="116">
        <v>1511.05</v>
      </c>
      <c r="F1609" s="116">
        <v>1527.8</v>
      </c>
      <c r="G1609">
        <v>4631</v>
      </c>
      <c r="H1609" s="116"/>
      <c r="I1609" s="116"/>
      <c r="L1609" s="170">
        <v>44375</v>
      </c>
      <c r="M1609" s="116">
        <v>1527.9</v>
      </c>
      <c r="N1609" s="116">
        <v>1540.35</v>
      </c>
      <c r="O1609" s="116">
        <v>1516</v>
      </c>
      <c r="P1609" s="116">
        <v>1519.95</v>
      </c>
      <c r="Q1609" s="116">
        <v>1527.9</v>
      </c>
      <c r="R1609">
        <v>34243</v>
      </c>
    </row>
    <row r="1610" spans="1:18" x14ac:dyDescent="0.25">
      <c r="A1610" s="170">
        <v>44376</v>
      </c>
      <c r="B1610" s="116">
        <v>1536.1</v>
      </c>
      <c r="C1610" s="116">
        <v>1514.45</v>
      </c>
      <c r="D1610" s="116">
        <v>1510.1</v>
      </c>
      <c r="E1610" s="116">
        <v>1522</v>
      </c>
      <c r="F1610" s="116">
        <v>1514.45</v>
      </c>
      <c r="G1610">
        <v>1946</v>
      </c>
      <c r="H1610" s="116"/>
      <c r="I1610" s="116"/>
      <c r="L1610" s="170">
        <v>44376</v>
      </c>
      <c r="M1610" s="116">
        <v>1516.15</v>
      </c>
      <c r="N1610" s="116">
        <v>1536.05</v>
      </c>
      <c r="O1610" s="116">
        <v>1510.35</v>
      </c>
      <c r="P1610" s="116">
        <v>1529</v>
      </c>
      <c r="Q1610" s="116">
        <v>1516.15</v>
      </c>
      <c r="R1610">
        <v>28228</v>
      </c>
    </row>
    <row r="1611" spans="1:18" x14ac:dyDescent="0.25">
      <c r="A1611" s="170">
        <v>44377</v>
      </c>
      <c r="B1611" s="116">
        <v>1546</v>
      </c>
      <c r="C1611" s="116">
        <v>1502.55</v>
      </c>
      <c r="D1611" s="116">
        <v>1500.35</v>
      </c>
      <c r="E1611" s="116">
        <v>1546</v>
      </c>
      <c r="F1611" s="116">
        <v>1502.55</v>
      </c>
      <c r="G1611">
        <v>2433</v>
      </c>
      <c r="H1611" s="116"/>
      <c r="I1611" s="116"/>
      <c r="L1611" s="170">
        <v>44377</v>
      </c>
      <c r="M1611" s="116">
        <v>1502.2</v>
      </c>
      <c r="N1611" s="116">
        <v>1539</v>
      </c>
      <c r="O1611" s="116">
        <v>1500.05</v>
      </c>
      <c r="P1611" s="116">
        <v>1519</v>
      </c>
      <c r="Q1611" s="116">
        <v>1502.2</v>
      </c>
      <c r="R1611">
        <v>47287</v>
      </c>
    </row>
    <row r="1612" spans="1:18" x14ac:dyDescent="0.25">
      <c r="A1612" s="170">
        <v>44378</v>
      </c>
      <c r="B1612" s="116">
        <v>1521</v>
      </c>
      <c r="C1612" s="116">
        <v>1507.85</v>
      </c>
      <c r="D1612" s="116">
        <v>1502.1</v>
      </c>
      <c r="E1612" s="116">
        <v>1509.8</v>
      </c>
      <c r="F1612" s="116">
        <v>1507.85</v>
      </c>
      <c r="G1612">
        <v>3690</v>
      </c>
      <c r="H1612" s="116"/>
      <c r="I1612" s="116"/>
      <c r="L1612" s="170">
        <v>44378</v>
      </c>
      <c r="M1612" s="116">
        <v>1507.95</v>
      </c>
      <c r="N1612" s="116">
        <v>1522.9</v>
      </c>
      <c r="O1612" s="116">
        <v>1500.1</v>
      </c>
      <c r="P1612" s="116">
        <v>1503.05</v>
      </c>
      <c r="Q1612" s="116">
        <v>1507.95</v>
      </c>
      <c r="R1612">
        <v>24209</v>
      </c>
    </row>
    <row r="1613" spans="1:18" x14ac:dyDescent="0.25">
      <c r="A1613" s="170">
        <v>44379</v>
      </c>
      <c r="B1613" s="116">
        <v>1524</v>
      </c>
      <c r="C1613" s="116">
        <v>1517.3</v>
      </c>
      <c r="D1613" s="116">
        <v>1501.35</v>
      </c>
      <c r="E1613" s="116">
        <v>1524</v>
      </c>
      <c r="F1613" s="116">
        <v>1517.3</v>
      </c>
      <c r="G1613">
        <v>1086</v>
      </c>
      <c r="H1613" s="116"/>
      <c r="I1613" s="116"/>
      <c r="L1613" s="170">
        <v>44379</v>
      </c>
      <c r="M1613" s="116">
        <v>1515.8</v>
      </c>
      <c r="N1613" s="116">
        <v>1521.05</v>
      </c>
      <c r="O1613" s="116">
        <v>1500</v>
      </c>
      <c r="P1613" s="116">
        <v>1512.7</v>
      </c>
      <c r="Q1613" s="116">
        <v>1515.8</v>
      </c>
      <c r="R1613">
        <v>29664</v>
      </c>
    </row>
    <row r="1614" spans="1:18" x14ac:dyDescent="0.25">
      <c r="A1614" s="170">
        <v>44382</v>
      </c>
      <c r="B1614" s="116">
        <v>1529.6</v>
      </c>
      <c r="C1614" s="116">
        <v>1510.8</v>
      </c>
      <c r="D1614" s="116">
        <v>1508.05</v>
      </c>
      <c r="E1614" s="116">
        <v>1521</v>
      </c>
      <c r="F1614" s="116">
        <v>1510.8</v>
      </c>
      <c r="G1614">
        <v>3556</v>
      </c>
      <c r="H1614" s="116"/>
      <c r="I1614" s="116"/>
      <c r="L1614" s="170">
        <v>44382</v>
      </c>
      <c r="M1614" s="116">
        <v>1511.7</v>
      </c>
      <c r="N1614" s="116">
        <v>1529.55</v>
      </c>
      <c r="O1614" s="116">
        <v>1510</v>
      </c>
      <c r="P1614" s="116">
        <v>1522.9</v>
      </c>
      <c r="Q1614" s="116">
        <v>1511.7</v>
      </c>
      <c r="R1614">
        <v>20032</v>
      </c>
    </row>
    <row r="1615" spans="1:18" x14ac:dyDescent="0.25">
      <c r="A1615" s="170">
        <v>44383</v>
      </c>
      <c r="B1615" s="116">
        <v>1529</v>
      </c>
      <c r="C1615" s="116">
        <v>1513.8</v>
      </c>
      <c r="D1615" s="116">
        <v>1510</v>
      </c>
      <c r="E1615" s="116">
        <v>1520.35</v>
      </c>
      <c r="F1615" s="116">
        <v>1513.8</v>
      </c>
      <c r="G1615">
        <v>799</v>
      </c>
      <c r="H1615" s="116"/>
      <c r="I1615" s="116"/>
      <c r="L1615" s="170">
        <v>44383</v>
      </c>
      <c r="M1615" s="116">
        <v>1514.7</v>
      </c>
      <c r="N1615" s="116">
        <v>1526.5</v>
      </c>
      <c r="O1615" s="116">
        <v>1508.9</v>
      </c>
      <c r="P1615" s="116">
        <v>1513</v>
      </c>
      <c r="Q1615" s="116">
        <v>1514.7</v>
      </c>
      <c r="R1615">
        <v>25146</v>
      </c>
    </row>
    <row r="1616" spans="1:18" x14ac:dyDescent="0.25">
      <c r="A1616" s="170">
        <v>44384</v>
      </c>
      <c r="B1616" s="116">
        <v>1533.6</v>
      </c>
      <c r="C1616" s="116">
        <v>1514.3</v>
      </c>
      <c r="D1616" s="116">
        <v>1506.45</v>
      </c>
      <c r="E1616" s="116">
        <v>1516</v>
      </c>
      <c r="F1616" s="116">
        <v>1514.3</v>
      </c>
      <c r="G1616">
        <v>3405</v>
      </c>
      <c r="H1616" s="116"/>
      <c r="I1616" s="116"/>
      <c r="L1616" s="170">
        <v>44384</v>
      </c>
      <c r="M1616" s="116">
        <v>1512</v>
      </c>
      <c r="N1616" s="116">
        <v>1534.95</v>
      </c>
      <c r="O1616" s="116">
        <v>1507.1</v>
      </c>
      <c r="P1616" s="116">
        <v>1517</v>
      </c>
      <c r="Q1616" s="116">
        <v>1512</v>
      </c>
      <c r="R1616">
        <v>37498</v>
      </c>
    </row>
    <row r="1617" spans="1:18" x14ac:dyDescent="0.25">
      <c r="A1617" s="170">
        <v>44385</v>
      </c>
      <c r="B1617" s="116">
        <v>1518</v>
      </c>
      <c r="C1617" s="116">
        <v>1506.1</v>
      </c>
      <c r="D1617" s="116">
        <v>1499.65</v>
      </c>
      <c r="E1617" s="116">
        <v>1508</v>
      </c>
      <c r="F1617" s="116">
        <v>1506.1</v>
      </c>
      <c r="G1617">
        <v>3798</v>
      </c>
      <c r="H1617" s="116"/>
      <c r="I1617" s="116"/>
      <c r="L1617" s="170">
        <v>44385</v>
      </c>
      <c r="M1617" s="116">
        <v>1504.75</v>
      </c>
      <c r="N1617" s="116">
        <v>1517.35</v>
      </c>
      <c r="O1617" s="116">
        <v>1499</v>
      </c>
      <c r="P1617" s="116">
        <v>1514</v>
      </c>
      <c r="Q1617" s="116">
        <v>1504.75</v>
      </c>
      <c r="R1617">
        <v>71703</v>
      </c>
    </row>
    <row r="1618" spans="1:18" x14ac:dyDescent="0.25">
      <c r="A1618" s="170">
        <v>44386</v>
      </c>
      <c r="B1618" s="116">
        <v>1509.5</v>
      </c>
      <c r="C1618" s="116">
        <v>1497.15</v>
      </c>
      <c r="D1618" s="116">
        <v>1490</v>
      </c>
      <c r="E1618" s="116">
        <v>1508</v>
      </c>
      <c r="F1618" s="116">
        <v>1497.15</v>
      </c>
      <c r="G1618">
        <v>3653</v>
      </c>
      <c r="H1618" s="116"/>
      <c r="I1618" s="116"/>
      <c r="L1618" s="170">
        <v>44386</v>
      </c>
      <c r="M1618" s="116">
        <v>1496.95</v>
      </c>
      <c r="N1618" s="116">
        <v>1509.7</v>
      </c>
      <c r="O1618" s="116">
        <v>1492</v>
      </c>
      <c r="P1618" s="116">
        <v>1509.7</v>
      </c>
      <c r="Q1618" s="116">
        <v>1496.95</v>
      </c>
      <c r="R1618">
        <v>47068</v>
      </c>
    </row>
    <row r="1619" spans="1:18" x14ac:dyDescent="0.25">
      <c r="A1619" s="170">
        <v>44389</v>
      </c>
      <c r="B1619" s="116">
        <v>1513.45</v>
      </c>
      <c r="C1619" s="116">
        <v>1496.95</v>
      </c>
      <c r="D1619" s="116">
        <v>1494</v>
      </c>
      <c r="E1619" s="116">
        <v>1496</v>
      </c>
      <c r="F1619" s="116">
        <v>1496.95</v>
      </c>
      <c r="G1619">
        <v>2519</v>
      </c>
      <c r="H1619" s="116"/>
      <c r="I1619" s="116"/>
      <c r="L1619" s="170">
        <v>44389</v>
      </c>
      <c r="M1619" s="116">
        <v>1496.05</v>
      </c>
      <c r="N1619" s="116">
        <v>1515</v>
      </c>
      <c r="O1619" s="116">
        <v>1495</v>
      </c>
      <c r="P1619" s="116">
        <v>1504.8</v>
      </c>
      <c r="Q1619" s="116">
        <v>1496.05</v>
      </c>
      <c r="R1619">
        <v>21438</v>
      </c>
    </row>
    <row r="1620" spans="1:18" x14ac:dyDescent="0.25">
      <c r="A1620" s="170">
        <v>44390</v>
      </c>
      <c r="B1620" s="116">
        <v>1515</v>
      </c>
      <c r="C1620" s="116">
        <v>1512.2</v>
      </c>
      <c r="D1620" s="116">
        <v>1495.2</v>
      </c>
      <c r="E1620" s="116">
        <v>1497</v>
      </c>
      <c r="F1620" s="116">
        <v>1512.2</v>
      </c>
      <c r="G1620">
        <v>3519</v>
      </c>
      <c r="H1620" s="116"/>
      <c r="I1620" s="116"/>
      <c r="L1620" s="170">
        <v>44390</v>
      </c>
      <c r="M1620" s="116">
        <v>1513</v>
      </c>
      <c r="N1620" s="116">
        <v>1514.9</v>
      </c>
      <c r="O1620" s="116">
        <v>1490</v>
      </c>
      <c r="P1620" s="116">
        <v>1504</v>
      </c>
      <c r="Q1620" s="116">
        <v>1513</v>
      </c>
      <c r="R1620">
        <v>42399</v>
      </c>
    </row>
    <row r="1621" spans="1:18" x14ac:dyDescent="0.25">
      <c r="A1621" s="170">
        <v>44391</v>
      </c>
      <c r="B1621" s="116">
        <v>1558.7</v>
      </c>
      <c r="C1621" s="116">
        <v>1544.85</v>
      </c>
      <c r="D1621" s="116">
        <v>1518.55</v>
      </c>
      <c r="E1621" s="116">
        <v>1518.55</v>
      </c>
      <c r="F1621" s="116">
        <v>1544.85</v>
      </c>
      <c r="G1621">
        <v>6503</v>
      </c>
      <c r="H1621" s="116"/>
      <c r="I1621" s="116"/>
      <c r="L1621" s="170">
        <v>44391</v>
      </c>
      <c r="M1621" s="116">
        <v>1542.15</v>
      </c>
      <c r="N1621" s="116">
        <v>1559</v>
      </c>
      <c r="O1621" s="116">
        <v>1516.05</v>
      </c>
      <c r="P1621" s="116">
        <v>1516.6</v>
      </c>
      <c r="Q1621" s="116">
        <v>1542.15</v>
      </c>
      <c r="R1621">
        <v>100230</v>
      </c>
    </row>
    <row r="1622" spans="1:18" x14ac:dyDescent="0.25">
      <c r="A1622" s="170">
        <v>44392</v>
      </c>
      <c r="B1622" s="116">
        <v>1554.55</v>
      </c>
      <c r="C1622" s="116">
        <v>1544.9</v>
      </c>
      <c r="D1622" s="116">
        <v>1535</v>
      </c>
      <c r="E1622" s="116">
        <v>1546.2</v>
      </c>
      <c r="F1622" s="116">
        <v>1544.9</v>
      </c>
      <c r="G1622">
        <v>4734</v>
      </c>
      <c r="H1622" s="116"/>
      <c r="I1622" s="116"/>
      <c r="L1622" s="170">
        <v>44392</v>
      </c>
      <c r="M1622" s="116">
        <v>1546.55</v>
      </c>
      <c r="N1622" s="116">
        <v>1555</v>
      </c>
      <c r="O1622" s="116">
        <v>1520.15</v>
      </c>
      <c r="P1622" s="116">
        <v>1549</v>
      </c>
      <c r="Q1622" s="116">
        <v>1546.55</v>
      </c>
      <c r="R1622">
        <v>40835</v>
      </c>
    </row>
    <row r="1623" spans="1:18" x14ac:dyDescent="0.25">
      <c r="A1623" s="170">
        <v>44393</v>
      </c>
      <c r="B1623" s="116">
        <v>1580.6</v>
      </c>
      <c r="C1623" s="116">
        <v>1575.75</v>
      </c>
      <c r="D1623" s="116">
        <v>1539.2</v>
      </c>
      <c r="E1623" s="116">
        <v>1548.3</v>
      </c>
      <c r="F1623" s="116">
        <v>1575.75</v>
      </c>
      <c r="G1623">
        <v>3611</v>
      </c>
      <c r="H1623" s="116"/>
      <c r="I1623" s="116"/>
      <c r="L1623" s="170">
        <v>44393</v>
      </c>
      <c r="M1623" s="116">
        <v>1577.35</v>
      </c>
      <c r="N1623" s="116">
        <v>1582.5</v>
      </c>
      <c r="O1623" s="116">
        <v>1537.2</v>
      </c>
      <c r="P1623" s="116">
        <v>1545</v>
      </c>
      <c r="Q1623" s="116">
        <v>1577.35</v>
      </c>
      <c r="R1623">
        <v>117686</v>
      </c>
    </row>
    <row r="1624" spans="1:18" x14ac:dyDescent="0.25">
      <c r="A1624" s="170">
        <v>44396</v>
      </c>
      <c r="B1624" s="116">
        <v>1651</v>
      </c>
      <c r="C1624" s="116">
        <v>1606.9</v>
      </c>
      <c r="D1624" s="116">
        <v>1553.7</v>
      </c>
      <c r="E1624" s="116">
        <v>1553.7</v>
      </c>
      <c r="F1624" s="116">
        <v>1606.9</v>
      </c>
      <c r="G1624">
        <v>10966</v>
      </c>
      <c r="H1624" s="116"/>
      <c r="I1624" s="116"/>
      <c r="L1624" s="170">
        <v>44396</v>
      </c>
      <c r="M1624" s="116">
        <v>1607.55</v>
      </c>
      <c r="N1624" s="116">
        <v>1652</v>
      </c>
      <c r="O1624" s="116">
        <v>1548.25</v>
      </c>
      <c r="P1624" s="116">
        <v>1550</v>
      </c>
      <c r="Q1624" s="116">
        <v>1607.55</v>
      </c>
      <c r="R1624">
        <v>218580</v>
      </c>
    </row>
    <row r="1625" spans="1:18" x14ac:dyDescent="0.25">
      <c r="A1625" s="170">
        <v>44397</v>
      </c>
      <c r="B1625" s="116">
        <v>1627</v>
      </c>
      <c r="C1625" s="116">
        <v>1604.4</v>
      </c>
      <c r="D1625" s="116">
        <v>1596</v>
      </c>
      <c r="E1625" s="116">
        <v>1608.8</v>
      </c>
      <c r="F1625" s="116">
        <v>1604.4</v>
      </c>
      <c r="G1625">
        <v>5330</v>
      </c>
      <c r="H1625" s="116"/>
      <c r="I1625" s="116"/>
      <c r="L1625" s="170">
        <v>44397</v>
      </c>
      <c r="M1625" s="116">
        <v>1605.3</v>
      </c>
      <c r="N1625" s="116">
        <v>1628</v>
      </c>
      <c r="O1625" s="116">
        <v>1593.05</v>
      </c>
      <c r="P1625" s="116">
        <v>1610</v>
      </c>
      <c r="Q1625" s="116">
        <v>1605.3</v>
      </c>
      <c r="R1625">
        <v>64070</v>
      </c>
    </row>
    <row r="1626" spans="1:18" x14ac:dyDescent="0.25">
      <c r="A1626" s="170">
        <v>44399</v>
      </c>
      <c r="B1626" s="116">
        <v>1658.6</v>
      </c>
      <c r="C1626" s="116">
        <v>1609</v>
      </c>
      <c r="D1626" s="116">
        <v>1605</v>
      </c>
      <c r="E1626" s="116">
        <v>1614.65</v>
      </c>
      <c r="F1626" s="116">
        <v>1609</v>
      </c>
      <c r="G1626">
        <v>6031</v>
      </c>
      <c r="H1626" s="116"/>
      <c r="I1626" s="116"/>
      <c r="L1626" s="170">
        <v>44399</v>
      </c>
      <c r="M1626" s="116">
        <v>1609.05</v>
      </c>
      <c r="N1626" s="116">
        <v>1659</v>
      </c>
      <c r="O1626" s="116">
        <v>1605</v>
      </c>
      <c r="P1626" s="116">
        <v>1620</v>
      </c>
      <c r="Q1626" s="116">
        <v>1609.05</v>
      </c>
      <c r="R1626">
        <v>78179</v>
      </c>
    </row>
    <row r="1627" spans="1:18" x14ac:dyDescent="0.25">
      <c r="A1627" s="170">
        <v>44400</v>
      </c>
      <c r="B1627" s="116">
        <v>1688</v>
      </c>
      <c r="C1627" s="116">
        <v>1681.7</v>
      </c>
      <c r="D1627" s="116">
        <v>1629</v>
      </c>
      <c r="E1627" s="116">
        <v>1629</v>
      </c>
      <c r="F1627" s="116">
        <v>1681.7</v>
      </c>
      <c r="G1627">
        <v>12816</v>
      </c>
      <c r="H1627" s="116"/>
      <c r="I1627" s="116"/>
      <c r="L1627" s="170">
        <v>44400</v>
      </c>
      <c r="M1627" s="116">
        <v>1681.75</v>
      </c>
      <c r="N1627" s="116">
        <v>1687</v>
      </c>
      <c r="O1627" s="116">
        <v>1627</v>
      </c>
      <c r="P1627" s="116">
        <v>1627</v>
      </c>
      <c r="Q1627" s="116">
        <v>1681.75</v>
      </c>
      <c r="R1627">
        <v>264189</v>
      </c>
    </row>
    <row r="1628" spans="1:18" x14ac:dyDescent="0.25">
      <c r="A1628" s="170">
        <v>44403</v>
      </c>
      <c r="B1628" s="116">
        <v>1744</v>
      </c>
      <c r="C1628" s="116">
        <v>1726.2</v>
      </c>
      <c r="D1628" s="116">
        <v>1673.85</v>
      </c>
      <c r="E1628" s="116">
        <v>1700</v>
      </c>
      <c r="F1628" s="116">
        <v>1726.2</v>
      </c>
      <c r="G1628">
        <v>15769</v>
      </c>
      <c r="H1628" s="116"/>
      <c r="I1628" s="116"/>
      <c r="L1628" s="170">
        <v>44403</v>
      </c>
      <c r="M1628" s="116">
        <v>1728.4</v>
      </c>
      <c r="N1628" s="116">
        <v>1745</v>
      </c>
      <c r="O1628" s="116">
        <v>1670.1</v>
      </c>
      <c r="P1628" s="116">
        <v>1700</v>
      </c>
      <c r="Q1628" s="116">
        <v>1728.4</v>
      </c>
      <c r="R1628">
        <v>258069</v>
      </c>
    </row>
    <row r="1629" spans="1:18" x14ac:dyDescent="0.25">
      <c r="A1629" s="170">
        <v>44404</v>
      </c>
      <c r="B1629" s="116">
        <v>1765.95</v>
      </c>
      <c r="C1629" s="116">
        <v>1672.1</v>
      </c>
      <c r="D1629" s="116">
        <v>1657.6</v>
      </c>
      <c r="E1629" s="116">
        <v>1749</v>
      </c>
      <c r="F1629" s="116">
        <v>1672.1</v>
      </c>
      <c r="G1629">
        <v>7184</v>
      </c>
      <c r="H1629" s="116"/>
      <c r="I1629" s="116"/>
      <c r="L1629" s="170">
        <v>44404</v>
      </c>
      <c r="M1629" s="116">
        <v>1675.65</v>
      </c>
      <c r="N1629" s="116">
        <v>1767.4</v>
      </c>
      <c r="O1629" s="116">
        <v>1656</v>
      </c>
      <c r="P1629" s="116">
        <v>1740</v>
      </c>
      <c r="Q1629" s="116">
        <v>1675.65</v>
      </c>
      <c r="R1629">
        <v>168210</v>
      </c>
    </row>
    <row r="1630" spans="1:18" x14ac:dyDescent="0.25">
      <c r="A1630" s="170">
        <v>44405</v>
      </c>
      <c r="B1630" s="116">
        <v>1685</v>
      </c>
      <c r="C1630" s="116">
        <v>1612.95</v>
      </c>
      <c r="D1630" s="116">
        <v>1600</v>
      </c>
      <c r="E1630" s="116">
        <v>1685</v>
      </c>
      <c r="F1630" s="116">
        <v>1612.95</v>
      </c>
      <c r="G1630">
        <v>5398</v>
      </c>
      <c r="H1630" s="116"/>
      <c r="I1630" s="116"/>
      <c r="L1630" s="170">
        <v>44405</v>
      </c>
      <c r="M1630" s="116">
        <v>1613.05</v>
      </c>
      <c r="N1630" s="116">
        <v>1683.4</v>
      </c>
      <c r="O1630" s="116">
        <v>1599.65</v>
      </c>
      <c r="P1630" s="116">
        <v>1671.05</v>
      </c>
      <c r="Q1630" s="116">
        <v>1613.05</v>
      </c>
      <c r="R1630">
        <v>94969</v>
      </c>
    </row>
    <row r="1631" spans="1:18" x14ac:dyDescent="0.25">
      <c r="A1631" s="170">
        <v>44406</v>
      </c>
      <c r="B1631" s="116">
        <v>1659</v>
      </c>
      <c r="C1631" s="116">
        <v>1626.9</v>
      </c>
      <c r="D1631" s="116">
        <v>1615</v>
      </c>
      <c r="E1631" s="116">
        <v>1659</v>
      </c>
      <c r="F1631" s="116">
        <v>1626.9</v>
      </c>
      <c r="G1631">
        <v>1301</v>
      </c>
      <c r="H1631" s="116"/>
      <c r="I1631" s="116"/>
      <c r="L1631" s="170">
        <v>44406</v>
      </c>
      <c r="M1631" s="116">
        <v>1627</v>
      </c>
      <c r="N1631" s="116">
        <v>1650</v>
      </c>
      <c r="O1631" s="116">
        <v>1602.35</v>
      </c>
      <c r="P1631" s="116">
        <v>1630.1</v>
      </c>
      <c r="Q1631" s="116">
        <v>1627</v>
      </c>
      <c r="R1631">
        <v>28518</v>
      </c>
    </row>
    <row r="1632" spans="1:18" x14ac:dyDescent="0.25">
      <c r="A1632" s="170">
        <v>44407</v>
      </c>
      <c r="B1632" s="116">
        <v>1639.15</v>
      </c>
      <c r="C1632" s="116">
        <v>1608.1</v>
      </c>
      <c r="D1632" s="116">
        <v>1602.5</v>
      </c>
      <c r="E1632" s="116">
        <v>1626.9</v>
      </c>
      <c r="F1632" s="116">
        <v>1608.1</v>
      </c>
      <c r="G1632">
        <v>1940</v>
      </c>
      <c r="H1632" s="116"/>
      <c r="I1632" s="116"/>
      <c r="L1632" s="170">
        <v>44407</v>
      </c>
      <c r="M1632" s="116">
        <v>1607.75</v>
      </c>
      <c r="N1632" s="116">
        <v>1639.9</v>
      </c>
      <c r="O1632" s="116">
        <v>1602.5</v>
      </c>
      <c r="P1632" s="116">
        <v>1631</v>
      </c>
      <c r="Q1632" s="116">
        <v>1607.75</v>
      </c>
      <c r="R1632">
        <v>24869</v>
      </c>
    </row>
    <row r="1633" spans="1:18" x14ac:dyDescent="0.25">
      <c r="A1633" s="170">
        <v>44410</v>
      </c>
      <c r="B1633" s="116">
        <v>1629</v>
      </c>
      <c r="C1633" s="116">
        <v>1605</v>
      </c>
      <c r="D1633" s="116">
        <v>1601</v>
      </c>
      <c r="E1633" s="116">
        <v>1611</v>
      </c>
      <c r="F1633" s="116">
        <v>1605</v>
      </c>
      <c r="G1633">
        <v>3439</v>
      </c>
      <c r="H1633" s="116"/>
      <c r="I1633" s="116"/>
      <c r="L1633" s="170">
        <v>44410</v>
      </c>
      <c r="M1633" s="116">
        <v>1603.95</v>
      </c>
      <c r="N1633" s="116">
        <v>1635.95</v>
      </c>
      <c r="O1633" s="116">
        <v>1599.55</v>
      </c>
      <c r="P1633" s="116">
        <v>1615.8</v>
      </c>
      <c r="Q1633" s="116">
        <v>1603.95</v>
      </c>
      <c r="R1633">
        <v>35030</v>
      </c>
    </row>
    <row r="1634" spans="1:18" x14ac:dyDescent="0.25">
      <c r="A1634" s="170">
        <v>44411</v>
      </c>
      <c r="B1634" s="116">
        <v>1763.6</v>
      </c>
      <c r="C1634" s="116">
        <v>1682.75</v>
      </c>
      <c r="D1634" s="116">
        <v>1600.1</v>
      </c>
      <c r="E1634" s="116">
        <v>1600.1</v>
      </c>
      <c r="F1634" s="116">
        <v>1682.75</v>
      </c>
      <c r="G1634">
        <v>35493</v>
      </c>
      <c r="H1634" s="116"/>
      <c r="I1634" s="116"/>
      <c r="L1634" s="170">
        <v>44411</v>
      </c>
      <c r="M1634" s="116">
        <v>1683.1</v>
      </c>
      <c r="N1634" s="116">
        <v>1763.7</v>
      </c>
      <c r="O1634" s="116">
        <v>1609.95</v>
      </c>
      <c r="P1634" s="116">
        <v>1612</v>
      </c>
      <c r="Q1634" s="116">
        <v>1683.1</v>
      </c>
      <c r="R1634">
        <v>654909</v>
      </c>
    </row>
    <row r="1635" spans="1:18" x14ac:dyDescent="0.25">
      <c r="A1635" s="170">
        <v>44412</v>
      </c>
      <c r="B1635" s="116">
        <v>1723</v>
      </c>
      <c r="C1635" s="116">
        <v>1689.5</v>
      </c>
      <c r="D1635" s="116">
        <v>1670.45</v>
      </c>
      <c r="E1635" s="116">
        <v>1670.45</v>
      </c>
      <c r="F1635" s="116">
        <v>1689.5</v>
      </c>
      <c r="G1635">
        <v>3938</v>
      </c>
      <c r="H1635" s="116"/>
      <c r="I1635" s="116"/>
      <c r="L1635" s="170">
        <v>44412</v>
      </c>
      <c r="M1635" s="116">
        <v>1691.8</v>
      </c>
      <c r="N1635" s="116">
        <v>1729.7</v>
      </c>
      <c r="O1635" s="116">
        <v>1675</v>
      </c>
      <c r="P1635" s="116">
        <v>1683.1</v>
      </c>
      <c r="Q1635" s="116">
        <v>1691.8</v>
      </c>
      <c r="R1635">
        <v>95465</v>
      </c>
    </row>
    <row r="1636" spans="1:18" x14ac:dyDescent="0.25">
      <c r="A1636" s="170">
        <v>44413</v>
      </c>
      <c r="B1636" s="116">
        <v>1701.5</v>
      </c>
      <c r="C1636" s="116">
        <v>1660.8</v>
      </c>
      <c r="D1636" s="116">
        <v>1658.25</v>
      </c>
      <c r="E1636" s="116">
        <v>1685</v>
      </c>
      <c r="F1636" s="116">
        <v>1660.8</v>
      </c>
      <c r="G1636">
        <v>2696</v>
      </c>
      <c r="H1636" s="116"/>
      <c r="I1636" s="116"/>
      <c r="L1636" s="170">
        <v>44413</v>
      </c>
      <c r="M1636" s="116">
        <v>1662.75</v>
      </c>
      <c r="N1636" s="116">
        <v>1704.35</v>
      </c>
      <c r="O1636" s="116">
        <v>1655.1</v>
      </c>
      <c r="P1636" s="116">
        <v>1689</v>
      </c>
      <c r="Q1636" s="116">
        <v>1662.75</v>
      </c>
      <c r="R1636">
        <v>47470</v>
      </c>
    </row>
    <row r="1637" spans="1:18" x14ac:dyDescent="0.25">
      <c r="A1637" s="170">
        <v>44414</v>
      </c>
      <c r="B1637" s="116">
        <v>1693.35</v>
      </c>
      <c r="C1637" s="116">
        <v>1644.65</v>
      </c>
      <c r="D1637" s="116">
        <v>1639</v>
      </c>
      <c r="E1637" s="116">
        <v>1669.75</v>
      </c>
      <c r="F1637" s="116">
        <v>1644.65</v>
      </c>
      <c r="G1637">
        <v>3023</v>
      </c>
      <c r="H1637" s="116"/>
      <c r="I1637" s="116"/>
      <c r="L1637" s="170">
        <v>44414</v>
      </c>
      <c r="M1637" s="116">
        <v>1645.9</v>
      </c>
      <c r="N1637" s="116">
        <v>1694.2</v>
      </c>
      <c r="O1637" s="116">
        <v>1639.65</v>
      </c>
      <c r="P1637" s="116">
        <v>1673.25</v>
      </c>
      <c r="Q1637" s="116">
        <v>1645.9</v>
      </c>
      <c r="R1637">
        <v>43042</v>
      </c>
    </row>
    <row r="1638" spans="1:18" x14ac:dyDescent="0.25">
      <c r="A1638" s="170">
        <v>44417</v>
      </c>
      <c r="B1638" s="116">
        <v>1662.65</v>
      </c>
      <c r="C1638" s="116">
        <v>1632.1</v>
      </c>
      <c r="D1638" s="116">
        <v>1625</v>
      </c>
      <c r="E1638" s="116">
        <v>1661.05</v>
      </c>
      <c r="F1638" s="116">
        <v>1632.1</v>
      </c>
      <c r="G1638">
        <v>1918</v>
      </c>
      <c r="H1638" s="116"/>
      <c r="I1638" s="116"/>
      <c r="L1638" s="170">
        <v>44417</v>
      </c>
      <c r="M1638" s="116">
        <v>1630.1</v>
      </c>
      <c r="N1638" s="116">
        <v>1664.05</v>
      </c>
      <c r="O1638" s="116">
        <v>1625</v>
      </c>
      <c r="P1638" s="116">
        <v>1645.9</v>
      </c>
      <c r="Q1638" s="116">
        <v>1630.1</v>
      </c>
      <c r="R1638">
        <v>20433</v>
      </c>
    </row>
    <row r="1639" spans="1:18" x14ac:dyDescent="0.25">
      <c r="A1639" s="170">
        <v>44418</v>
      </c>
      <c r="B1639" s="116">
        <v>1717</v>
      </c>
      <c r="C1639" s="116">
        <v>1668.1</v>
      </c>
      <c r="D1639" s="116">
        <v>1636.3</v>
      </c>
      <c r="E1639" s="116">
        <v>1640</v>
      </c>
      <c r="F1639" s="116">
        <v>1668.1</v>
      </c>
      <c r="G1639">
        <v>12583</v>
      </c>
      <c r="H1639" s="116"/>
      <c r="I1639" s="116"/>
      <c r="L1639" s="170">
        <v>44418</v>
      </c>
      <c r="M1639" s="116">
        <v>1666.15</v>
      </c>
      <c r="N1639" s="116">
        <v>1720</v>
      </c>
      <c r="O1639" s="116">
        <v>1633.45</v>
      </c>
      <c r="P1639" s="116">
        <v>1638.3</v>
      </c>
      <c r="Q1639" s="116">
        <v>1666.15</v>
      </c>
      <c r="R1639">
        <v>150766</v>
      </c>
    </row>
    <row r="1640" spans="1:18" x14ac:dyDescent="0.25">
      <c r="A1640" s="170">
        <v>44419</v>
      </c>
      <c r="B1640" s="116">
        <v>1668</v>
      </c>
      <c r="C1640" s="116">
        <v>1620.6</v>
      </c>
      <c r="D1640" s="116">
        <v>1605.7</v>
      </c>
      <c r="E1640" s="116">
        <v>1668</v>
      </c>
      <c r="F1640" s="116">
        <v>1620.6</v>
      </c>
      <c r="G1640">
        <v>4679</v>
      </c>
      <c r="H1640" s="116"/>
      <c r="I1640" s="116"/>
      <c r="L1640" s="170">
        <v>44419</v>
      </c>
      <c r="M1640" s="116">
        <v>1619.25</v>
      </c>
      <c r="N1640" s="116">
        <v>1669.6</v>
      </c>
      <c r="O1640" s="116">
        <v>1604.95</v>
      </c>
      <c r="P1640" s="116">
        <v>1666</v>
      </c>
      <c r="Q1640" s="116">
        <v>1619.25</v>
      </c>
      <c r="R1640">
        <v>36908</v>
      </c>
    </row>
    <row r="1641" spans="1:18" x14ac:dyDescent="0.25">
      <c r="A1641" s="170">
        <v>44420</v>
      </c>
      <c r="B1641" s="116">
        <v>1640</v>
      </c>
      <c r="C1641" s="116">
        <v>1606.8</v>
      </c>
      <c r="D1641" s="116">
        <v>1604.6</v>
      </c>
      <c r="E1641" s="116">
        <v>1640</v>
      </c>
      <c r="F1641" s="116">
        <v>1606.8</v>
      </c>
      <c r="G1641">
        <v>3372</v>
      </c>
      <c r="H1641" s="116"/>
      <c r="I1641" s="116"/>
      <c r="L1641" s="170">
        <v>44420</v>
      </c>
      <c r="M1641" s="116">
        <v>1607.95</v>
      </c>
      <c r="N1641" s="116">
        <v>1637.95</v>
      </c>
      <c r="O1641" s="116">
        <v>1605</v>
      </c>
      <c r="P1641" s="116">
        <v>1610.1</v>
      </c>
      <c r="Q1641" s="116">
        <v>1607.95</v>
      </c>
      <c r="R1641">
        <v>32837</v>
      </c>
    </row>
    <row r="1642" spans="1:18" x14ac:dyDescent="0.25">
      <c r="A1642" s="170">
        <v>44421</v>
      </c>
      <c r="B1642" s="116">
        <v>1628.95</v>
      </c>
      <c r="C1642" s="116">
        <v>1608.2</v>
      </c>
      <c r="D1642" s="116">
        <v>1605</v>
      </c>
      <c r="E1642" s="116">
        <v>1613.2</v>
      </c>
      <c r="F1642" s="116">
        <v>1608.2</v>
      </c>
      <c r="G1642">
        <v>3037</v>
      </c>
      <c r="H1642" s="116"/>
      <c r="I1642" s="116"/>
      <c r="L1642" s="170">
        <v>44421</v>
      </c>
      <c r="M1642" s="116">
        <v>1606.7</v>
      </c>
      <c r="N1642" s="116">
        <v>1630</v>
      </c>
      <c r="O1642" s="116">
        <v>1605</v>
      </c>
      <c r="P1642" s="116">
        <v>1615</v>
      </c>
      <c r="Q1642" s="116">
        <v>1606.7</v>
      </c>
      <c r="R1642">
        <v>26693</v>
      </c>
    </row>
    <row r="1643" spans="1:18" x14ac:dyDescent="0.25">
      <c r="A1643" s="170">
        <v>44424</v>
      </c>
      <c r="B1643" s="116">
        <v>1620.05</v>
      </c>
      <c r="C1643" s="116">
        <v>1606.65</v>
      </c>
      <c r="D1643" s="116">
        <v>1604</v>
      </c>
      <c r="E1643" s="116">
        <v>1604.05</v>
      </c>
      <c r="F1643" s="116">
        <v>1606.65</v>
      </c>
      <c r="G1643">
        <v>1760</v>
      </c>
      <c r="H1643" s="116"/>
      <c r="I1643" s="116"/>
      <c r="L1643" s="170">
        <v>44424</v>
      </c>
      <c r="M1643" s="116">
        <v>1606.15</v>
      </c>
      <c r="N1643" s="116">
        <v>1625.95</v>
      </c>
      <c r="O1643" s="116">
        <v>1600</v>
      </c>
      <c r="P1643" s="116">
        <v>1605</v>
      </c>
      <c r="Q1643" s="116">
        <v>1606.15</v>
      </c>
      <c r="R1643">
        <v>14465</v>
      </c>
    </row>
    <row r="1644" spans="1:18" x14ac:dyDescent="0.25">
      <c r="A1644" s="170">
        <v>44425</v>
      </c>
      <c r="B1644" s="116">
        <v>1631.3</v>
      </c>
      <c r="C1644" s="116">
        <v>1596.3</v>
      </c>
      <c r="D1644" s="116">
        <v>1582.35</v>
      </c>
      <c r="E1644" s="116">
        <v>1631.3</v>
      </c>
      <c r="F1644" s="116">
        <v>1596.3</v>
      </c>
      <c r="G1644">
        <v>2260</v>
      </c>
      <c r="H1644" s="116"/>
      <c r="I1644" s="116"/>
      <c r="L1644" s="170">
        <v>44425</v>
      </c>
      <c r="M1644" s="116">
        <v>1593.95</v>
      </c>
      <c r="N1644" s="116">
        <v>1617</v>
      </c>
      <c r="O1644" s="116">
        <v>1582.2</v>
      </c>
      <c r="P1644" s="116">
        <v>1610</v>
      </c>
      <c r="Q1644" s="116">
        <v>1593.95</v>
      </c>
      <c r="R1644">
        <v>30552</v>
      </c>
    </row>
    <row r="1645" spans="1:18" x14ac:dyDescent="0.25">
      <c r="A1645" s="170">
        <v>44426</v>
      </c>
      <c r="B1645" s="116">
        <v>1600.5</v>
      </c>
      <c r="C1645" s="116">
        <v>1575.95</v>
      </c>
      <c r="D1645" s="116">
        <v>1566.7</v>
      </c>
      <c r="E1645" s="116">
        <v>1595</v>
      </c>
      <c r="F1645" s="116">
        <v>1575.95</v>
      </c>
      <c r="G1645">
        <v>2309</v>
      </c>
      <c r="H1645" s="116"/>
      <c r="I1645" s="116"/>
      <c r="L1645" s="170">
        <v>44426</v>
      </c>
      <c r="M1645" s="116">
        <v>1575.15</v>
      </c>
      <c r="N1645" s="116">
        <v>1605.95</v>
      </c>
      <c r="O1645" s="116">
        <v>1565</v>
      </c>
      <c r="P1645" s="116">
        <v>1600</v>
      </c>
      <c r="Q1645" s="116">
        <v>1575.15</v>
      </c>
      <c r="R1645">
        <v>32869</v>
      </c>
    </row>
    <row r="1646" spans="1:18" x14ac:dyDescent="0.25">
      <c r="A1646" s="170">
        <v>44428</v>
      </c>
      <c r="B1646" s="116">
        <v>1608.2</v>
      </c>
      <c r="C1646" s="116">
        <v>1561.9</v>
      </c>
      <c r="D1646" s="116">
        <v>1551.75</v>
      </c>
      <c r="E1646" s="116">
        <v>1580</v>
      </c>
      <c r="F1646" s="116">
        <v>1561.9</v>
      </c>
      <c r="G1646">
        <v>4740</v>
      </c>
      <c r="H1646" s="116"/>
      <c r="I1646" s="116"/>
      <c r="L1646" s="170">
        <v>44428</v>
      </c>
      <c r="M1646" s="116">
        <v>1562.75</v>
      </c>
      <c r="N1646" s="116">
        <v>1605.1</v>
      </c>
      <c r="O1646" s="116">
        <v>1550</v>
      </c>
      <c r="P1646" s="116">
        <v>1590</v>
      </c>
      <c r="Q1646" s="116">
        <v>1562.75</v>
      </c>
      <c r="R1646">
        <v>41098</v>
      </c>
    </row>
    <row r="1647" spans="1:18" x14ac:dyDescent="0.25">
      <c r="A1647" s="170">
        <v>44431</v>
      </c>
      <c r="B1647" s="116">
        <v>1584.7</v>
      </c>
      <c r="C1647" s="116">
        <v>1532.55</v>
      </c>
      <c r="D1647" s="116">
        <v>1521</v>
      </c>
      <c r="E1647" s="116">
        <v>1584.7</v>
      </c>
      <c r="F1647" s="116">
        <v>1532.55</v>
      </c>
      <c r="G1647">
        <v>1790</v>
      </c>
      <c r="H1647" s="116"/>
      <c r="I1647" s="116"/>
      <c r="L1647" s="170">
        <v>44431</v>
      </c>
      <c r="M1647" s="116">
        <v>1534.8</v>
      </c>
      <c r="N1647" s="116">
        <v>1587.55</v>
      </c>
      <c r="O1647" s="116">
        <v>1520</v>
      </c>
      <c r="P1647" s="116">
        <v>1563</v>
      </c>
      <c r="Q1647" s="116">
        <v>1534.8</v>
      </c>
      <c r="R1647">
        <v>44214</v>
      </c>
    </row>
    <row r="1648" spans="1:18" x14ac:dyDescent="0.25">
      <c r="A1648" s="170">
        <v>44432</v>
      </c>
      <c r="B1648" s="116">
        <v>1557.7</v>
      </c>
      <c r="C1648" s="116">
        <v>1528.15</v>
      </c>
      <c r="D1648" s="116">
        <v>1523.55</v>
      </c>
      <c r="E1648" s="116">
        <v>1550.8</v>
      </c>
      <c r="F1648" s="116">
        <v>1528.15</v>
      </c>
      <c r="G1648">
        <v>2000</v>
      </c>
      <c r="H1648" s="116"/>
      <c r="I1648" s="116"/>
      <c r="L1648" s="170">
        <v>44432</v>
      </c>
      <c r="M1648" s="116">
        <v>1532.5</v>
      </c>
      <c r="N1648" s="116">
        <v>1570</v>
      </c>
      <c r="O1648" s="116">
        <v>1524</v>
      </c>
      <c r="P1648" s="116">
        <v>1542.3</v>
      </c>
      <c r="Q1648" s="116">
        <v>1532.5</v>
      </c>
      <c r="R1648">
        <v>21709</v>
      </c>
    </row>
    <row r="1649" spans="1:18" x14ac:dyDescent="0.25">
      <c r="A1649" s="170">
        <v>44433</v>
      </c>
      <c r="B1649" s="116">
        <v>1553.35</v>
      </c>
      <c r="C1649" s="116">
        <v>1523.85</v>
      </c>
      <c r="D1649" s="116">
        <v>1517.95</v>
      </c>
      <c r="E1649" s="116">
        <v>1543.25</v>
      </c>
      <c r="F1649" s="116">
        <v>1523.85</v>
      </c>
      <c r="G1649">
        <v>1555</v>
      </c>
      <c r="H1649" s="116"/>
      <c r="I1649" s="116"/>
      <c r="L1649" s="170">
        <v>44433</v>
      </c>
      <c r="M1649" s="116">
        <v>1522.75</v>
      </c>
      <c r="N1649" s="116">
        <v>1553.75</v>
      </c>
      <c r="O1649" s="116">
        <v>1515</v>
      </c>
      <c r="P1649" s="116">
        <v>1540</v>
      </c>
      <c r="Q1649" s="116">
        <v>1522.75</v>
      </c>
      <c r="R1649">
        <v>20778</v>
      </c>
    </row>
    <row r="1650" spans="1:18" x14ac:dyDescent="0.25">
      <c r="A1650" s="170">
        <v>44434</v>
      </c>
      <c r="B1650" s="116">
        <v>1532</v>
      </c>
      <c r="C1650" s="116">
        <v>1516.2</v>
      </c>
      <c r="D1650" s="116">
        <v>1507.8</v>
      </c>
      <c r="E1650" s="116">
        <v>1521.1</v>
      </c>
      <c r="F1650" s="116">
        <v>1516.2</v>
      </c>
      <c r="G1650">
        <v>3661</v>
      </c>
      <c r="H1650" s="116"/>
      <c r="I1650" s="116"/>
      <c r="L1650" s="170">
        <v>44434</v>
      </c>
      <c r="M1650" s="116">
        <v>1516.6</v>
      </c>
      <c r="N1650" s="116">
        <v>1535</v>
      </c>
      <c r="O1650" s="116">
        <v>1512.5</v>
      </c>
      <c r="P1650" s="116">
        <v>1530.4</v>
      </c>
      <c r="Q1650" s="116">
        <v>1516.6</v>
      </c>
      <c r="R1650">
        <v>20132</v>
      </c>
    </row>
    <row r="1651" spans="1:18" x14ac:dyDescent="0.25">
      <c r="A1651" s="170">
        <v>44435</v>
      </c>
      <c r="B1651" s="116">
        <v>1519</v>
      </c>
      <c r="C1651" s="116">
        <v>1515.55</v>
      </c>
      <c r="D1651" s="116">
        <v>1509</v>
      </c>
      <c r="E1651" s="116">
        <v>1510.85</v>
      </c>
      <c r="F1651" s="116">
        <v>1515.55</v>
      </c>
      <c r="G1651">
        <v>1610</v>
      </c>
      <c r="H1651" s="116"/>
      <c r="I1651" s="116"/>
      <c r="L1651" s="170">
        <v>44435</v>
      </c>
      <c r="M1651" s="116">
        <v>1515.65</v>
      </c>
      <c r="N1651" s="116">
        <v>1520</v>
      </c>
      <c r="O1651" s="116">
        <v>1508.9</v>
      </c>
      <c r="P1651" s="116">
        <v>1520</v>
      </c>
      <c r="Q1651" s="116">
        <v>1515.65</v>
      </c>
      <c r="R1651">
        <v>23148</v>
      </c>
    </row>
    <row r="1652" spans="1:18" x14ac:dyDescent="0.25">
      <c r="A1652" s="170">
        <v>44438</v>
      </c>
      <c r="B1652" s="116">
        <v>1537.5</v>
      </c>
      <c r="C1652" s="116">
        <v>1523.05</v>
      </c>
      <c r="D1652" s="116">
        <v>1517.1</v>
      </c>
      <c r="E1652" s="116">
        <v>1537.35</v>
      </c>
      <c r="F1652" s="116">
        <v>1523.05</v>
      </c>
      <c r="G1652">
        <v>2872</v>
      </c>
      <c r="H1652" s="116"/>
      <c r="I1652" s="116"/>
      <c r="L1652" s="170">
        <v>44438</v>
      </c>
      <c r="M1652" s="116">
        <v>1521</v>
      </c>
      <c r="N1652" s="116">
        <v>1538.45</v>
      </c>
      <c r="O1652" s="116">
        <v>1516.05</v>
      </c>
      <c r="P1652" s="116">
        <v>1530</v>
      </c>
      <c r="Q1652" s="116">
        <v>1521</v>
      </c>
      <c r="R1652">
        <v>27195</v>
      </c>
    </row>
    <row r="1653" spans="1:18" x14ac:dyDescent="0.25">
      <c r="A1653" s="170">
        <v>44439</v>
      </c>
      <c r="B1653" s="116">
        <v>1554</v>
      </c>
      <c r="C1653" s="116">
        <v>1531.3</v>
      </c>
      <c r="D1653" s="116">
        <v>1521.85</v>
      </c>
      <c r="E1653" s="116">
        <v>1525.9</v>
      </c>
      <c r="F1653" s="116">
        <v>1531.3</v>
      </c>
      <c r="G1653">
        <v>3720</v>
      </c>
      <c r="H1653" s="116"/>
      <c r="I1653" s="116"/>
      <c r="L1653" s="170">
        <v>44439</v>
      </c>
      <c r="M1653" s="116">
        <v>1527.7</v>
      </c>
      <c r="N1653" s="116">
        <v>1554.5</v>
      </c>
      <c r="O1653" s="116">
        <v>1520.1</v>
      </c>
      <c r="P1653" s="116">
        <v>1529.9</v>
      </c>
      <c r="Q1653" s="116">
        <v>1527.7</v>
      </c>
      <c r="R1653">
        <v>32832</v>
      </c>
    </row>
    <row r="1654" spans="1:18" x14ac:dyDescent="0.25">
      <c r="A1654" s="170">
        <v>44440</v>
      </c>
      <c r="B1654" s="116">
        <v>1564.85</v>
      </c>
      <c r="C1654" s="116">
        <v>1530.85</v>
      </c>
      <c r="D1654" s="116">
        <v>1526</v>
      </c>
      <c r="E1654" s="116">
        <v>1538.95</v>
      </c>
      <c r="F1654" s="116">
        <v>1530.85</v>
      </c>
      <c r="G1654">
        <v>3473</v>
      </c>
      <c r="H1654" s="116"/>
      <c r="I1654" s="116"/>
      <c r="L1654" s="170">
        <v>44440</v>
      </c>
      <c r="M1654" s="116">
        <v>1528.85</v>
      </c>
      <c r="N1654" s="116">
        <v>1567</v>
      </c>
      <c r="O1654" s="116">
        <v>1525.1</v>
      </c>
      <c r="P1654" s="116">
        <v>1542.8</v>
      </c>
      <c r="Q1654" s="116">
        <v>1528.85</v>
      </c>
      <c r="R1654">
        <v>48807</v>
      </c>
    </row>
    <row r="1655" spans="1:18" x14ac:dyDescent="0.25">
      <c r="A1655" s="170">
        <v>44441</v>
      </c>
      <c r="B1655" s="116">
        <v>1555</v>
      </c>
      <c r="C1655" s="116">
        <v>1529.8</v>
      </c>
      <c r="D1655" s="116">
        <v>1526.85</v>
      </c>
      <c r="E1655" s="116">
        <v>1555</v>
      </c>
      <c r="F1655" s="116">
        <v>1529.8</v>
      </c>
      <c r="G1655">
        <v>2388</v>
      </c>
      <c r="H1655" s="116"/>
      <c r="I1655" s="116"/>
      <c r="L1655" s="170">
        <v>44441</v>
      </c>
      <c r="M1655" s="116">
        <v>1529.25</v>
      </c>
      <c r="N1655" s="116">
        <v>1551.9</v>
      </c>
      <c r="O1655" s="116">
        <v>1525.55</v>
      </c>
      <c r="P1655" s="116">
        <v>1535</v>
      </c>
      <c r="Q1655" s="116">
        <v>1529.25</v>
      </c>
      <c r="R1655">
        <v>22121</v>
      </c>
    </row>
    <row r="1656" spans="1:18" x14ac:dyDescent="0.25">
      <c r="A1656" s="170">
        <v>44442</v>
      </c>
      <c r="B1656" s="116">
        <v>1553.1</v>
      </c>
      <c r="C1656" s="116">
        <v>1519.35</v>
      </c>
      <c r="D1656" s="116">
        <v>1497.15</v>
      </c>
      <c r="E1656" s="116">
        <v>1531.35</v>
      </c>
      <c r="F1656" s="116">
        <v>1519.35</v>
      </c>
      <c r="G1656">
        <v>3229</v>
      </c>
      <c r="H1656" s="116"/>
      <c r="I1656" s="116"/>
      <c r="L1656" s="170">
        <v>44442</v>
      </c>
      <c r="M1656" s="116">
        <v>1511.35</v>
      </c>
      <c r="N1656" s="116">
        <v>1554</v>
      </c>
      <c r="O1656" s="116">
        <v>1498</v>
      </c>
      <c r="P1656" s="116">
        <v>1540</v>
      </c>
      <c r="Q1656" s="116">
        <v>1511.35</v>
      </c>
      <c r="R1656">
        <v>56927</v>
      </c>
    </row>
    <row r="1657" spans="1:18" x14ac:dyDescent="0.25">
      <c r="A1657" s="170">
        <v>44445</v>
      </c>
      <c r="B1657" s="116">
        <v>1519</v>
      </c>
      <c r="C1657" s="116">
        <v>1499.05</v>
      </c>
      <c r="D1657" s="116">
        <v>1495.05</v>
      </c>
      <c r="E1657" s="116">
        <v>1505.1</v>
      </c>
      <c r="F1657" s="116">
        <v>1499.05</v>
      </c>
      <c r="G1657">
        <v>4951</v>
      </c>
      <c r="H1657" s="116"/>
      <c r="I1657" s="116"/>
      <c r="L1657" s="170">
        <v>44445</v>
      </c>
      <c r="M1657" s="116">
        <v>1499.5</v>
      </c>
      <c r="N1657" s="116">
        <v>1514.85</v>
      </c>
      <c r="O1657" s="116">
        <v>1495.1</v>
      </c>
      <c r="P1657" s="116">
        <v>1507.9</v>
      </c>
      <c r="Q1657" s="116">
        <v>1499.5</v>
      </c>
      <c r="R1657">
        <v>51297</v>
      </c>
    </row>
    <row r="1658" spans="1:18" x14ac:dyDescent="0.25">
      <c r="A1658" s="170">
        <v>44446</v>
      </c>
      <c r="B1658" s="116">
        <v>1530</v>
      </c>
      <c r="C1658" s="116">
        <v>1491.5</v>
      </c>
      <c r="D1658" s="116">
        <v>1484.95</v>
      </c>
      <c r="E1658" s="116">
        <v>1512.9</v>
      </c>
      <c r="F1658" s="116">
        <v>1491.5</v>
      </c>
      <c r="G1658">
        <v>8426</v>
      </c>
      <c r="H1658" s="116"/>
      <c r="I1658" s="116"/>
      <c r="L1658" s="170">
        <v>44446</v>
      </c>
      <c r="M1658" s="116">
        <v>1492.5</v>
      </c>
      <c r="N1658" s="116">
        <v>1508</v>
      </c>
      <c r="O1658" s="116">
        <v>1485</v>
      </c>
      <c r="P1658" s="116">
        <v>1506.95</v>
      </c>
      <c r="Q1658" s="116">
        <v>1492.5</v>
      </c>
      <c r="R1658">
        <v>35802</v>
      </c>
    </row>
    <row r="1659" spans="1:18" x14ac:dyDescent="0.25">
      <c r="A1659" s="170">
        <v>44447</v>
      </c>
      <c r="B1659" s="116">
        <v>1531.7</v>
      </c>
      <c r="C1659" s="116">
        <v>1519.55</v>
      </c>
      <c r="D1659" s="116">
        <v>1487.7</v>
      </c>
      <c r="E1659" s="116">
        <v>1491.55</v>
      </c>
      <c r="F1659" s="116">
        <v>1519.55</v>
      </c>
      <c r="G1659">
        <v>1991</v>
      </c>
      <c r="H1659" s="116"/>
      <c r="I1659" s="116"/>
      <c r="L1659" s="170">
        <v>44447</v>
      </c>
      <c r="M1659" s="116">
        <v>1518.1</v>
      </c>
      <c r="N1659" s="116">
        <v>1531.75</v>
      </c>
      <c r="O1659" s="116">
        <v>1487</v>
      </c>
      <c r="P1659" s="116">
        <v>1498</v>
      </c>
      <c r="Q1659" s="116">
        <v>1518.1</v>
      </c>
      <c r="R1659">
        <v>94824</v>
      </c>
    </row>
    <row r="1660" spans="1:18" x14ac:dyDescent="0.25">
      <c r="A1660" s="170">
        <v>44448</v>
      </c>
      <c r="B1660" s="116">
        <v>1530</v>
      </c>
      <c r="C1660" s="116">
        <v>1526.45</v>
      </c>
      <c r="D1660" s="116">
        <v>1510</v>
      </c>
      <c r="E1660" s="116">
        <v>1528</v>
      </c>
      <c r="F1660" s="116">
        <v>1526.45</v>
      </c>
      <c r="G1660">
        <v>4521</v>
      </c>
      <c r="H1660" s="116"/>
      <c r="I1660" s="116"/>
      <c r="L1660" s="170">
        <v>44448</v>
      </c>
      <c r="M1660" s="116">
        <v>1527.05</v>
      </c>
      <c r="N1660" s="116">
        <v>1529.5</v>
      </c>
      <c r="O1660" s="116">
        <v>1510.1</v>
      </c>
      <c r="P1660" s="116">
        <v>1518.1</v>
      </c>
      <c r="Q1660" s="116">
        <v>1527.05</v>
      </c>
      <c r="R1660">
        <v>25387</v>
      </c>
    </row>
    <row r="1661" spans="1:18" x14ac:dyDescent="0.25">
      <c r="A1661" s="170">
        <v>44452</v>
      </c>
      <c r="B1661" s="116">
        <v>1547.15</v>
      </c>
      <c r="C1661" s="116">
        <v>1538.65</v>
      </c>
      <c r="D1661" s="116">
        <v>1529.45</v>
      </c>
      <c r="E1661" s="116">
        <v>1531.1</v>
      </c>
      <c r="F1661" s="116">
        <v>1538.65</v>
      </c>
      <c r="G1661">
        <v>2299</v>
      </c>
      <c r="H1661" s="116"/>
      <c r="I1661" s="116"/>
      <c r="L1661" s="170">
        <v>44452</v>
      </c>
      <c r="M1661" s="116">
        <v>1538.6</v>
      </c>
      <c r="N1661" s="116">
        <v>1547</v>
      </c>
      <c r="O1661" s="116">
        <v>1528.35</v>
      </c>
      <c r="P1661" s="116">
        <v>1530</v>
      </c>
      <c r="Q1661" s="116">
        <v>1538.6</v>
      </c>
      <c r="R1661">
        <v>37715</v>
      </c>
    </row>
    <row r="1662" spans="1:18" x14ac:dyDescent="0.25">
      <c r="A1662" s="170">
        <v>44453</v>
      </c>
      <c r="B1662" s="116">
        <v>1584.6</v>
      </c>
      <c r="C1662" s="116">
        <v>1560.9</v>
      </c>
      <c r="D1662" s="116">
        <v>1530.25</v>
      </c>
      <c r="E1662" s="116">
        <v>1544.45</v>
      </c>
      <c r="F1662" s="116">
        <v>1560.9</v>
      </c>
      <c r="G1662">
        <v>12708</v>
      </c>
      <c r="H1662" s="116"/>
      <c r="I1662" s="116"/>
      <c r="L1662" s="170">
        <v>44453</v>
      </c>
      <c r="M1662" s="116">
        <v>1562.7</v>
      </c>
      <c r="N1662" s="116">
        <v>1584.45</v>
      </c>
      <c r="O1662" s="116">
        <v>1530</v>
      </c>
      <c r="P1662" s="116">
        <v>1545</v>
      </c>
      <c r="Q1662" s="116">
        <v>1562.7</v>
      </c>
      <c r="R1662">
        <v>81502</v>
      </c>
    </row>
    <row r="1663" spans="1:18" x14ac:dyDescent="0.25">
      <c r="A1663" s="170">
        <v>44454</v>
      </c>
      <c r="B1663" s="116">
        <v>1573.45</v>
      </c>
      <c r="C1663" s="116">
        <v>1555.15</v>
      </c>
      <c r="D1663" s="116">
        <v>1541</v>
      </c>
      <c r="E1663" s="116">
        <v>1556.5</v>
      </c>
      <c r="F1663" s="116">
        <v>1555.15</v>
      </c>
      <c r="G1663">
        <v>1122</v>
      </c>
      <c r="H1663" s="116"/>
      <c r="I1663" s="116"/>
      <c r="L1663" s="170">
        <v>44454</v>
      </c>
      <c r="M1663" s="116">
        <v>1559.2</v>
      </c>
      <c r="N1663" s="116">
        <v>1577.6</v>
      </c>
      <c r="O1663" s="116">
        <v>1540.9</v>
      </c>
      <c r="P1663" s="116">
        <v>1561</v>
      </c>
      <c r="Q1663" s="116">
        <v>1559.2</v>
      </c>
      <c r="R1663">
        <v>144085</v>
      </c>
    </row>
    <row r="1664" spans="1:18" x14ac:dyDescent="0.25">
      <c r="A1664" s="170">
        <v>44455</v>
      </c>
      <c r="B1664" s="116">
        <v>1603.8</v>
      </c>
      <c r="C1664" s="116">
        <v>1575</v>
      </c>
      <c r="D1664" s="116">
        <v>1564.25</v>
      </c>
      <c r="E1664" s="116">
        <v>1567.3</v>
      </c>
      <c r="F1664" s="116">
        <v>1575</v>
      </c>
      <c r="G1664">
        <v>5487</v>
      </c>
      <c r="H1664" s="116"/>
      <c r="I1664" s="116"/>
      <c r="L1664" s="170">
        <v>44455</v>
      </c>
      <c r="M1664" s="116">
        <v>1572.95</v>
      </c>
      <c r="N1664" s="116">
        <v>1604.9</v>
      </c>
      <c r="O1664" s="116">
        <v>1560</v>
      </c>
      <c r="P1664" s="116">
        <v>1560</v>
      </c>
      <c r="Q1664" s="116">
        <v>1572.95</v>
      </c>
      <c r="R1664">
        <v>201776</v>
      </c>
    </row>
    <row r="1665" spans="1:18" x14ac:dyDescent="0.25">
      <c r="A1665" s="170">
        <v>44456</v>
      </c>
      <c r="B1665" s="116">
        <v>1591.95</v>
      </c>
      <c r="C1665" s="116">
        <v>1540.7</v>
      </c>
      <c r="D1665" s="116">
        <v>1523.95</v>
      </c>
      <c r="E1665" s="116">
        <v>1550.9</v>
      </c>
      <c r="F1665" s="116">
        <v>1540.7</v>
      </c>
      <c r="G1665">
        <v>5171</v>
      </c>
      <c r="H1665" s="116"/>
      <c r="I1665" s="116"/>
      <c r="L1665" s="170">
        <v>44456</v>
      </c>
      <c r="M1665" s="116">
        <v>1538.95</v>
      </c>
      <c r="N1665" s="116">
        <v>1595.15</v>
      </c>
      <c r="O1665" s="116">
        <v>1521.1</v>
      </c>
      <c r="P1665" s="116">
        <v>1575.05</v>
      </c>
      <c r="Q1665" s="116">
        <v>1538.95</v>
      </c>
      <c r="R1665">
        <v>88068</v>
      </c>
    </row>
    <row r="1666" spans="1:18" x14ac:dyDescent="0.25">
      <c r="A1666" s="170">
        <v>44459</v>
      </c>
      <c r="B1666" s="116">
        <v>1550</v>
      </c>
      <c r="C1666" s="116">
        <v>1514.1</v>
      </c>
      <c r="D1666" s="116">
        <v>1511</v>
      </c>
      <c r="E1666" s="116">
        <v>1550</v>
      </c>
      <c r="F1666" s="116">
        <v>1514.1</v>
      </c>
      <c r="G1666">
        <v>3691</v>
      </c>
      <c r="H1666" s="116"/>
      <c r="I1666" s="116"/>
      <c r="L1666" s="170">
        <v>44459</v>
      </c>
      <c r="M1666" s="116">
        <v>1513.6</v>
      </c>
      <c r="N1666" s="116">
        <v>1548.9</v>
      </c>
      <c r="O1666" s="116">
        <v>1510</v>
      </c>
      <c r="P1666" s="116">
        <v>1538.95</v>
      </c>
      <c r="Q1666" s="116">
        <v>1513.6</v>
      </c>
      <c r="R1666">
        <v>42151</v>
      </c>
    </row>
    <row r="1667" spans="1:18" x14ac:dyDescent="0.25">
      <c r="A1667" s="170">
        <v>44460</v>
      </c>
      <c r="B1667" s="116">
        <v>1519.5</v>
      </c>
      <c r="C1667" s="116">
        <v>1505.5</v>
      </c>
      <c r="D1667" s="116">
        <v>1500.85</v>
      </c>
      <c r="E1667" s="116">
        <v>1517.2</v>
      </c>
      <c r="F1667" s="116">
        <v>1505.5</v>
      </c>
      <c r="G1667">
        <v>2808</v>
      </c>
      <c r="H1667" s="116"/>
      <c r="I1667" s="116"/>
      <c r="L1667" s="170">
        <v>44460</v>
      </c>
      <c r="M1667" s="116">
        <v>1504.95</v>
      </c>
      <c r="N1667" s="116">
        <v>1519.95</v>
      </c>
      <c r="O1667" s="116">
        <v>1501</v>
      </c>
      <c r="P1667" s="116">
        <v>1515</v>
      </c>
      <c r="Q1667" s="116">
        <v>1504.95</v>
      </c>
      <c r="R1667">
        <v>35744</v>
      </c>
    </row>
    <row r="1668" spans="1:18" x14ac:dyDescent="0.25">
      <c r="A1668" s="170">
        <v>44461</v>
      </c>
      <c r="B1668" s="116">
        <v>1517.75</v>
      </c>
      <c r="C1668" s="116">
        <v>1501.25</v>
      </c>
      <c r="D1668" s="116">
        <v>1499.25</v>
      </c>
      <c r="E1668" s="116">
        <v>1501</v>
      </c>
      <c r="F1668" s="116">
        <v>1501.25</v>
      </c>
      <c r="G1668">
        <v>2555</v>
      </c>
      <c r="H1668" s="116"/>
      <c r="I1668" s="116"/>
      <c r="L1668" s="170">
        <v>44461</v>
      </c>
      <c r="M1668" s="116">
        <v>1500.75</v>
      </c>
      <c r="N1668" s="116">
        <v>1518.2</v>
      </c>
      <c r="O1668" s="116">
        <v>1498.1</v>
      </c>
      <c r="P1668" s="116">
        <v>1505</v>
      </c>
      <c r="Q1668" s="116">
        <v>1500.75</v>
      </c>
      <c r="R1668">
        <v>35381</v>
      </c>
    </row>
    <row r="1669" spans="1:18" x14ac:dyDescent="0.25">
      <c r="A1669" s="170">
        <v>44462</v>
      </c>
      <c r="B1669" s="116">
        <v>1520</v>
      </c>
      <c r="C1669" s="116">
        <v>1510.4</v>
      </c>
      <c r="D1669" s="116">
        <v>1501</v>
      </c>
      <c r="E1669" s="116">
        <v>1501</v>
      </c>
      <c r="F1669" s="116">
        <v>1510.4</v>
      </c>
      <c r="G1669">
        <v>3650</v>
      </c>
      <c r="H1669" s="116"/>
      <c r="I1669" s="116"/>
      <c r="L1669" s="170">
        <v>44462</v>
      </c>
      <c r="M1669" s="116">
        <v>1509.4</v>
      </c>
      <c r="N1669" s="116">
        <v>1521</v>
      </c>
      <c r="O1669" s="116">
        <v>1506</v>
      </c>
      <c r="P1669" s="116">
        <v>1510</v>
      </c>
      <c r="Q1669" s="116">
        <v>1509.4</v>
      </c>
      <c r="R1669">
        <v>46866</v>
      </c>
    </row>
    <row r="1670" spans="1:18" x14ac:dyDescent="0.25">
      <c r="A1670" s="170">
        <v>44463</v>
      </c>
      <c r="B1670" s="116">
        <v>1517</v>
      </c>
      <c r="C1670" s="116">
        <v>1498.5</v>
      </c>
      <c r="D1670" s="116">
        <v>1497</v>
      </c>
      <c r="E1670" s="116">
        <v>1510</v>
      </c>
      <c r="F1670" s="116">
        <v>1498.5</v>
      </c>
      <c r="G1670">
        <v>3651</v>
      </c>
      <c r="H1670" s="116"/>
      <c r="I1670" s="116"/>
      <c r="L1670" s="170">
        <v>44463</v>
      </c>
      <c r="M1670" s="116">
        <v>1498.25</v>
      </c>
      <c r="N1670" s="116">
        <v>1516.95</v>
      </c>
      <c r="O1670" s="116">
        <v>1495.25</v>
      </c>
      <c r="P1670" s="116">
        <v>1509.5</v>
      </c>
      <c r="Q1670" s="116">
        <v>1498.25</v>
      </c>
      <c r="R1670">
        <v>35473</v>
      </c>
    </row>
    <row r="1671" spans="1:18" x14ac:dyDescent="0.25">
      <c r="A1671" s="170">
        <v>44466</v>
      </c>
      <c r="B1671" s="116">
        <v>1514.9</v>
      </c>
      <c r="C1671" s="116">
        <v>1489.2</v>
      </c>
      <c r="D1671" s="116">
        <v>1486</v>
      </c>
      <c r="E1671" s="116">
        <v>1514.9</v>
      </c>
      <c r="F1671" s="116">
        <v>1489.2</v>
      </c>
      <c r="G1671">
        <v>4365</v>
      </c>
      <c r="H1671" s="116"/>
      <c r="I1671" s="116"/>
      <c r="L1671" s="170">
        <v>44466</v>
      </c>
      <c r="M1671" s="116">
        <v>1489.4</v>
      </c>
      <c r="N1671" s="116">
        <v>1514.95</v>
      </c>
      <c r="O1671" s="116">
        <v>1485.7</v>
      </c>
      <c r="P1671" s="116">
        <v>1501.05</v>
      </c>
      <c r="Q1671" s="116">
        <v>1489.4</v>
      </c>
      <c r="R1671">
        <v>37409</v>
      </c>
    </row>
    <row r="1672" spans="1:18" x14ac:dyDescent="0.25">
      <c r="A1672" s="170">
        <v>44467</v>
      </c>
      <c r="B1672" s="116">
        <v>1514</v>
      </c>
      <c r="C1672" s="116">
        <v>1497.95</v>
      </c>
      <c r="D1672" s="116">
        <v>1472</v>
      </c>
      <c r="E1672" s="116">
        <v>1499.9</v>
      </c>
      <c r="F1672" s="116">
        <v>1497.95</v>
      </c>
      <c r="G1672">
        <v>4251</v>
      </c>
      <c r="H1672" s="116"/>
      <c r="I1672" s="116"/>
      <c r="L1672" s="170">
        <v>44467</v>
      </c>
      <c r="M1672" s="116">
        <v>1495.2</v>
      </c>
      <c r="N1672" s="116">
        <v>1519</v>
      </c>
      <c r="O1672" s="116">
        <v>1471</v>
      </c>
      <c r="P1672" s="116">
        <v>1497.2</v>
      </c>
      <c r="Q1672" s="116">
        <v>1495.2</v>
      </c>
      <c r="R1672">
        <v>64970</v>
      </c>
    </row>
    <row r="1673" spans="1:18" x14ac:dyDescent="0.25">
      <c r="A1673" s="170">
        <v>44468</v>
      </c>
      <c r="B1673" s="116">
        <v>1502.15</v>
      </c>
      <c r="C1673" s="116">
        <v>1483.95</v>
      </c>
      <c r="D1673" s="116">
        <v>1480</v>
      </c>
      <c r="E1673" s="116">
        <v>1480</v>
      </c>
      <c r="F1673" s="116">
        <v>1483.95</v>
      </c>
      <c r="G1673">
        <v>3011</v>
      </c>
      <c r="H1673" s="116"/>
      <c r="I1673" s="116"/>
      <c r="L1673" s="170">
        <v>44468</v>
      </c>
      <c r="M1673" s="116">
        <v>1484.25</v>
      </c>
      <c r="N1673" s="116">
        <v>1502.2</v>
      </c>
      <c r="O1673" s="116">
        <v>1483.05</v>
      </c>
      <c r="P1673" s="116">
        <v>1490</v>
      </c>
      <c r="Q1673" s="116">
        <v>1484.25</v>
      </c>
      <c r="R1673">
        <v>28792</v>
      </c>
    </row>
    <row r="1674" spans="1:18" x14ac:dyDescent="0.25">
      <c r="A1674" s="170">
        <v>44469</v>
      </c>
      <c r="B1674" s="116">
        <v>1496.25</v>
      </c>
      <c r="C1674" s="116">
        <v>1481.15</v>
      </c>
      <c r="D1674" s="116">
        <v>1478.8</v>
      </c>
      <c r="E1674" s="116">
        <v>1489.35</v>
      </c>
      <c r="F1674" s="116">
        <v>1481.15</v>
      </c>
      <c r="G1674">
        <v>2516</v>
      </c>
      <c r="H1674" s="116"/>
      <c r="I1674" s="116"/>
      <c r="L1674" s="170">
        <v>44469</v>
      </c>
      <c r="M1674" s="116">
        <v>1480.75</v>
      </c>
      <c r="N1674" s="116">
        <v>1497.9</v>
      </c>
      <c r="O1674" s="116">
        <v>1478.05</v>
      </c>
      <c r="P1674" s="116">
        <v>1480.15</v>
      </c>
      <c r="Q1674" s="116">
        <v>1480.75</v>
      </c>
      <c r="R1674">
        <v>59910</v>
      </c>
    </row>
    <row r="1675" spans="1:18" x14ac:dyDescent="0.25">
      <c r="A1675" s="170">
        <v>44470</v>
      </c>
      <c r="B1675" s="116">
        <v>1486.05</v>
      </c>
      <c r="C1675" s="116">
        <v>1470.1</v>
      </c>
      <c r="D1675" s="116">
        <v>1467.25</v>
      </c>
      <c r="E1675" s="116">
        <v>1483.4</v>
      </c>
      <c r="F1675" s="116">
        <v>1470.1</v>
      </c>
      <c r="G1675">
        <v>3532</v>
      </c>
      <c r="H1675" s="116"/>
      <c r="I1675" s="116"/>
      <c r="L1675" s="170">
        <v>44470</v>
      </c>
      <c r="M1675" s="116">
        <v>1469.3</v>
      </c>
      <c r="N1675" s="116">
        <v>1487.9</v>
      </c>
      <c r="O1675" s="116">
        <v>1467</v>
      </c>
      <c r="P1675" s="116">
        <v>1482</v>
      </c>
      <c r="Q1675" s="116">
        <v>1469.3</v>
      </c>
      <c r="R1675">
        <v>59003</v>
      </c>
    </row>
    <row r="1676" spans="1:18" x14ac:dyDescent="0.25">
      <c r="A1676" s="170">
        <v>44473</v>
      </c>
      <c r="B1676" s="116">
        <v>1502.75</v>
      </c>
      <c r="C1676" s="116">
        <v>1499.15</v>
      </c>
      <c r="D1676" s="116">
        <v>1467.1</v>
      </c>
      <c r="E1676" s="116">
        <v>1467.1</v>
      </c>
      <c r="F1676" s="116">
        <v>1499.15</v>
      </c>
      <c r="G1676">
        <v>3727</v>
      </c>
      <c r="H1676" s="116"/>
      <c r="I1676" s="116"/>
      <c r="L1676" s="170">
        <v>44473</v>
      </c>
      <c r="M1676" s="116">
        <v>1498.35</v>
      </c>
      <c r="N1676" s="116">
        <v>1502.9</v>
      </c>
      <c r="O1676" s="116">
        <v>1472</v>
      </c>
      <c r="P1676" s="116">
        <v>1472</v>
      </c>
      <c r="Q1676" s="116">
        <v>1498.35</v>
      </c>
      <c r="R1676">
        <v>34878</v>
      </c>
    </row>
    <row r="1677" spans="1:18" x14ac:dyDescent="0.25">
      <c r="A1677" s="170">
        <v>44474</v>
      </c>
      <c r="B1677" s="116">
        <v>1499</v>
      </c>
      <c r="C1677" s="116">
        <v>1478</v>
      </c>
      <c r="D1677" s="116">
        <v>1475.55</v>
      </c>
      <c r="E1677" s="116">
        <v>1491</v>
      </c>
      <c r="F1677" s="116">
        <v>1478</v>
      </c>
      <c r="G1677">
        <v>4999</v>
      </c>
      <c r="H1677" s="116"/>
      <c r="I1677" s="116"/>
      <c r="L1677" s="170">
        <v>44474</v>
      </c>
      <c r="M1677" s="116">
        <v>1478.55</v>
      </c>
      <c r="N1677" s="116">
        <v>1499</v>
      </c>
      <c r="O1677" s="116">
        <v>1475</v>
      </c>
      <c r="P1677" s="116">
        <v>1498</v>
      </c>
      <c r="Q1677" s="116">
        <v>1478.55</v>
      </c>
      <c r="R1677">
        <v>64795</v>
      </c>
    </row>
    <row r="1678" spans="1:18" x14ac:dyDescent="0.25">
      <c r="A1678" s="170">
        <v>44475</v>
      </c>
      <c r="B1678" s="116">
        <v>1496.25</v>
      </c>
      <c r="C1678" s="116">
        <v>1488.6</v>
      </c>
      <c r="D1678" s="116">
        <v>1476.7</v>
      </c>
      <c r="E1678" s="116">
        <v>1484.95</v>
      </c>
      <c r="F1678" s="116">
        <v>1488.6</v>
      </c>
      <c r="G1678">
        <v>2094</v>
      </c>
      <c r="H1678" s="116"/>
      <c r="I1678" s="116"/>
      <c r="L1678" s="170">
        <v>44475</v>
      </c>
      <c r="M1678" s="116">
        <v>1483.65</v>
      </c>
      <c r="N1678" s="116">
        <v>1497</v>
      </c>
      <c r="O1678" s="116">
        <v>1476.05</v>
      </c>
      <c r="P1678" s="116">
        <v>1484</v>
      </c>
      <c r="Q1678" s="116">
        <v>1483.65</v>
      </c>
      <c r="R1678">
        <v>47461</v>
      </c>
    </row>
    <row r="1679" spans="1:18" x14ac:dyDescent="0.25">
      <c r="A1679" s="170">
        <v>44476</v>
      </c>
      <c r="B1679" s="116">
        <v>1515</v>
      </c>
      <c r="C1679" s="116">
        <v>1484.4</v>
      </c>
      <c r="D1679" s="116">
        <v>1480</v>
      </c>
      <c r="E1679" s="116">
        <v>1508</v>
      </c>
      <c r="F1679" s="116">
        <v>1484.4</v>
      </c>
      <c r="G1679">
        <v>9377</v>
      </c>
      <c r="H1679" s="116"/>
      <c r="I1679" s="116"/>
      <c r="L1679" s="170">
        <v>44476</v>
      </c>
      <c r="M1679" s="116">
        <v>1483.5</v>
      </c>
      <c r="N1679" s="116">
        <v>1515</v>
      </c>
      <c r="O1679" s="116">
        <v>1480</v>
      </c>
      <c r="P1679" s="116">
        <v>1515</v>
      </c>
      <c r="Q1679" s="116">
        <v>1483.5</v>
      </c>
      <c r="R1679">
        <v>60486</v>
      </c>
    </row>
    <row r="1680" spans="1:18" x14ac:dyDescent="0.25">
      <c r="A1680" s="170">
        <v>44477</v>
      </c>
      <c r="B1680" s="116">
        <v>1508.6</v>
      </c>
      <c r="C1680" s="116">
        <v>1488.9</v>
      </c>
      <c r="D1680" s="116">
        <v>1484</v>
      </c>
      <c r="E1680" s="116">
        <v>1495</v>
      </c>
      <c r="F1680" s="116">
        <v>1488.9</v>
      </c>
      <c r="G1680">
        <v>3761</v>
      </c>
      <c r="H1680" s="116"/>
      <c r="I1680" s="116"/>
      <c r="L1680" s="170">
        <v>44477</v>
      </c>
      <c r="M1680" s="116">
        <v>1489.35</v>
      </c>
      <c r="N1680" s="116">
        <v>1507.85</v>
      </c>
      <c r="O1680" s="116">
        <v>1484</v>
      </c>
      <c r="P1680" s="116">
        <v>1499</v>
      </c>
      <c r="Q1680" s="116">
        <v>1489.35</v>
      </c>
      <c r="R1680">
        <v>46538</v>
      </c>
    </row>
    <row r="1681" spans="1:18" x14ac:dyDescent="0.25">
      <c r="A1681" s="170">
        <v>44480</v>
      </c>
      <c r="B1681" s="116">
        <v>1495.95</v>
      </c>
      <c r="C1681" s="116">
        <v>1477</v>
      </c>
      <c r="D1681" s="116">
        <v>1475.1</v>
      </c>
      <c r="E1681" s="116">
        <v>1491.05</v>
      </c>
      <c r="F1681" s="116">
        <v>1477</v>
      </c>
      <c r="G1681">
        <v>3005</v>
      </c>
      <c r="H1681" s="116"/>
      <c r="I1681" s="116"/>
      <c r="L1681" s="170">
        <v>44480</v>
      </c>
      <c r="M1681" s="116">
        <v>1477</v>
      </c>
      <c r="N1681" s="116">
        <v>1498.05</v>
      </c>
      <c r="O1681" s="116">
        <v>1475</v>
      </c>
      <c r="P1681" s="116">
        <v>1494.05</v>
      </c>
      <c r="Q1681" s="116">
        <v>1477</v>
      </c>
      <c r="R1681">
        <v>58511</v>
      </c>
    </row>
    <row r="1682" spans="1:18" x14ac:dyDescent="0.25">
      <c r="A1682" s="170">
        <v>44481</v>
      </c>
      <c r="B1682" s="116">
        <v>1490.1</v>
      </c>
      <c r="C1682" s="116">
        <v>1485.3</v>
      </c>
      <c r="D1682" s="116">
        <v>1477.1</v>
      </c>
      <c r="E1682" s="116">
        <v>1479</v>
      </c>
      <c r="F1682" s="116">
        <v>1485.3</v>
      </c>
      <c r="G1682">
        <v>2554</v>
      </c>
      <c r="H1682" s="116"/>
      <c r="I1682" s="116"/>
      <c r="L1682" s="170">
        <v>44481</v>
      </c>
      <c r="M1682" s="116">
        <v>1484.75</v>
      </c>
      <c r="N1682" s="116">
        <v>1490</v>
      </c>
      <c r="O1682" s="116">
        <v>1475</v>
      </c>
      <c r="P1682" s="116">
        <v>1479</v>
      </c>
      <c r="Q1682" s="116">
        <v>1484.75</v>
      </c>
      <c r="R1682">
        <v>31288</v>
      </c>
    </row>
    <row r="1683" spans="1:18" x14ac:dyDescent="0.25">
      <c r="A1683" s="170">
        <v>44482</v>
      </c>
      <c r="B1683" s="116">
        <v>1498.15</v>
      </c>
      <c r="C1683" s="116">
        <v>1477.15</v>
      </c>
      <c r="D1683" s="116">
        <v>1475.15</v>
      </c>
      <c r="E1683" s="116">
        <v>1494.95</v>
      </c>
      <c r="F1683" s="116">
        <v>1477.15</v>
      </c>
      <c r="G1683">
        <v>4308</v>
      </c>
      <c r="H1683" s="116"/>
      <c r="I1683" s="116"/>
      <c r="L1683" s="170">
        <v>44482</v>
      </c>
      <c r="M1683" s="116">
        <v>1477.15</v>
      </c>
      <c r="N1683" s="116">
        <v>1499.5</v>
      </c>
      <c r="O1683" s="116">
        <v>1475</v>
      </c>
      <c r="P1683" s="116">
        <v>1492.6</v>
      </c>
      <c r="Q1683" s="116">
        <v>1477.15</v>
      </c>
      <c r="R1683">
        <v>47445</v>
      </c>
    </row>
    <row r="1684" spans="1:18" x14ac:dyDescent="0.25">
      <c r="A1684" s="170">
        <v>44483</v>
      </c>
      <c r="B1684" s="116">
        <v>1489.35</v>
      </c>
      <c r="C1684" s="116">
        <v>1481.65</v>
      </c>
      <c r="D1684" s="116">
        <v>1480.5</v>
      </c>
      <c r="E1684" s="116">
        <v>1481.95</v>
      </c>
      <c r="F1684" s="116">
        <v>1481.65</v>
      </c>
      <c r="G1684">
        <v>2255</v>
      </c>
      <c r="H1684" s="116"/>
      <c r="I1684" s="116"/>
      <c r="L1684" s="170">
        <v>44483</v>
      </c>
      <c r="M1684" s="116">
        <v>1481.7</v>
      </c>
      <c r="N1684" s="116">
        <v>1489.15</v>
      </c>
      <c r="O1684" s="116">
        <v>1479</v>
      </c>
      <c r="P1684" s="116">
        <v>1483.45</v>
      </c>
      <c r="Q1684" s="116">
        <v>1481.7</v>
      </c>
      <c r="R1684">
        <v>18583</v>
      </c>
    </row>
    <row r="1685" spans="1:18" x14ac:dyDescent="0.25">
      <c r="A1685" s="170">
        <v>44487</v>
      </c>
      <c r="B1685" s="116">
        <v>1496.25</v>
      </c>
      <c r="C1685" s="116">
        <v>1474.65</v>
      </c>
      <c r="D1685" s="116">
        <v>1472.95</v>
      </c>
      <c r="E1685" s="116">
        <v>1485.1</v>
      </c>
      <c r="F1685" s="116">
        <v>1474.65</v>
      </c>
      <c r="G1685">
        <v>3451</v>
      </c>
      <c r="H1685" s="116"/>
      <c r="I1685" s="116"/>
      <c r="L1685" s="170">
        <v>44487</v>
      </c>
      <c r="M1685" s="116">
        <v>1474.8</v>
      </c>
      <c r="N1685" s="116">
        <v>1497</v>
      </c>
      <c r="O1685" s="116">
        <v>1471.15</v>
      </c>
      <c r="P1685" s="116">
        <v>1485</v>
      </c>
      <c r="Q1685" s="116">
        <v>1474.8</v>
      </c>
      <c r="R1685">
        <v>36912</v>
      </c>
    </row>
    <row r="1686" spans="1:18" x14ac:dyDescent="0.25">
      <c r="A1686" s="170">
        <v>44488</v>
      </c>
      <c r="B1686" s="116">
        <v>1482.2</v>
      </c>
      <c r="C1686" s="116">
        <v>1465.2</v>
      </c>
      <c r="D1686" s="116">
        <v>1464</v>
      </c>
      <c r="E1686" s="116">
        <v>1476.05</v>
      </c>
      <c r="F1686" s="116">
        <v>1465.2</v>
      </c>
      <c r="G1686">
        <v>2776</v>
      </c>
      <c r="H1686" s="116"/>
      <c r="I1686" s="116"/>
      <c r="L1686" s="170">
        <v>44488</v>
      </c>
      <c r="M1686" s="116">
        <v>1465.6</v>
      </c>
      <c r="N1686" s="116">
        <v>1487</v>
      </c>
      <c r="O1686" s="116">
        <v>1461</v>
      </c>
      <c r="P1686" s="116">
        <v>1487</v>
      </c>
      <c r="Q1686" s="116">
        <v>1465.6</v>
      </c>
      <c r="R1686">
        <v>32062</v>
      </c>
    </row>
    <row r="1687" spans="1:18" x14ac:dyDescent="0.25">
      <c r="A1687" s="170">
        <v>44489</v>
      </c>
      <c r="B1687" s="116">
        <v>1475.25</v>
      </c>
      <c r="C1687" s="116">
        <v>1469.55</v>
      </c>
      <c r="D1687" s="116">
        <v>1456</v>
      </c>
      <c r="E1687" s="116">
        <v>1465.25</v>
      </c>
      <c r="F1687" s="116">
        <v>1469.55</v>
      </c>
      <c r="G1687">
        <v>2201</v>
      </c>
      <c r="H1687" s="116"/>
      <c r="I1687" s="116"/>
      <c r="L1687" s="170">
        <v>44489</v>
      </c>
      <c r="M1687" s="116">
        <v>1471.35</v>
      </c>
      <c r="N1687" s="116">
        <v>1476.3</v>
      </c>
      <c r="O1687" s="116">
        <v>1455.1</v>
      </c>
      <c r="P1687" s="116">
        <v>1473.3</v>
      </c>
      <c r="Q1687" s="116">
        <v>1471.35</v>
      </c>
      <c r="R1687">
        <v>53136</v>
      </c>
    </row>
    <row r="1688" spans="1:18" x14ac:dyDescent="0.25">
      <c r="A1688" s="170">
        <v>44490</v>
      </c>
      <c r="B1688" s="116">
        <v>1477.7</v>
      </c>
      <c r="C1688" s="116">
        <v>1468.7</v>
      </c>
      <c r="D1688" s="116">
        <v>1460</v>
      </c>
      <c r="E1688" s="116">
        <v>1460</v>
      </c>
      <c r="F1688" s="116">
        <v>1468.7</v>
      </c>
      <c r="G1688">
        <v>1901</v>
      </c>
      <c r="H1688" s="116"/>
      <c r="I1688" s="116"/>
      <c r="L1688" s="170">
        <v>44490</v>
      </c>
      <c r="M1688" s="116">
        <v>1468.7</v>
      </c>
      <c r="N1688" s="116">
        <v>1478</v>
      </c>
      <c r="O1688" s="116">
        <v>1459.5</v>
      </c>
      <c r="P1688" s="116">
        <v>1475</v>
      </c>
      <c r="Q1688" s="116">
        <v>1468.7</v>
      </c>
      <c r="R1688">
        <v>64321</v>
      </c>
    </row>
    <row r="1689" spans="1:18" x14ac:dyDescent="0.25">
      <c r="A1689" s="170">
        <v>44491</v>
      </c>
      <c r="B1689" s="116">
        <v>1471.7</v>
      </c>
      <c r="C1689" s="116">
        <v>1465.1</v>
      </c>
      <c r="D1689" s="116">
        <v>1460</v>
      </c>
      <c r="E1689" s="116">
        <v>1470</v>
      </c>
      <c r="F1689" s="116">
        <v>1465.1</v>
      </c>
      <c r="G1689">
        <v>1600</v>
      </c>
      <c r="H1689" s="116"/>
      <c r="I1689" s="116"/>
      <c r="L1689" s="170">
        <v>44491</v>
      </c>
      <c r="M1689" s="116">
        <v>1466.1</v>
      </c>
      <c r="N1689" s="116">
        <v>1476</v>
      </c>
      <c r="O1689" s="116">
        <v>1460.2</v>
      </c>
      <c r="P1689" s="116">
        <v>1468.2</v>
      </c>
      <c r="Q1689" s="116">
        <v>1466.1</v>
      </c>
      <c r="R1689">
        <v>15115</v>
      </c>
    </row>
    <row r="1690" spans="1:18" x14ac:dyDescent="0.25">
      <c r="A1690" s="170">
        <v>44494</v>
      </c>
      <c r="B1690" s="116">
        <v>1473.55</v>
      </c>
      <c r="C1690" s="116">
        <v>1453.35</v>
      </c>
      <c r="D1690" s="116">
        <v>1450</v>
      </c>
      <c r="E1690" s="116">
        <v>1473.55</v>
      </c>
      <c r="F1690" s="116">
        <v>1453.35</v>
      </c>
      <c r="G1690">
        <v>917</v>
      </c>
      <c r="H1690" s="116"/>
      <c r="I1690" s="116"/>
      <c r="L1690" s="170">
        <v>44494</v>
      </c>
      <c r="M1690" s="116">
        <v>1454.5</v>
      </c>
      <c r="N1690" s="116">
        <v>1473.7</v>
      </c>
      <c r="O1690" s="116">
        <v>1450</v>
      </c>
      <c r="P1690" s="116">
        <v>1462.2</v>
      </c>
      <c r="Q1690" s="116">
        <v>1454.5</v>
      </c>
      <c r="R1690">
        <v>20502</v>
      </c>
    </row>
    <row r="1691" spans="1:18" x14ac:dyDescent="0.25">
      <c r="A1691" s="170">
        <v>44495</v>
      </c>
      <c r="B1691" s="116">
        <v>1473</v>
      </c>
      <c r="C1691" s="116">
        <v>1459.15</v>
      </c>
      <c r="D1691" s="116">
        <v>1453.35</v>
      </c>
      <c r="E1691" s="116">
        <v>1455.05</v>
      </c>
      <c r="F1691" s="116">
        <v>1459.15</v>
      </c>
      <c r="G1691">
        <v>1909</v>
      </c>
      <c r="H1691" s="116"/>
      <c r="I1691" s="116"/>
      <c r="L1691" s="170">
        <v>44495</v>
      </c>
      <c r="M1691" s="116">
        <v>1462.4</v>
      </c>
      <c r="N1691" s="116">
        <v>1473.55</v>
      </c>
      <c r="O1691" s="116">
        <v>1451.75</v>
      </c>
      <c r="P1691" s="116">
        <v>1455</v>
      </c>
      <c r="Q1691" s="116">
        <v>1462.4</v>
      </c>
      <c r="R1691">
        <v>19248</v>
      </c>
    </row>
    <row r="1692" spans="1:18" x14ac:dyDescent="0.25">
      <c r="A1692" s="170">
        <v>44496</v>
      </c>
      <c r="B1692" s="116">
        <v>1487.15</v>
      </c>
      <c r="C1692" s="116">
        <v>1480.9</v>
      </c>
      <c r="D1692" s="116">
        <v>1462.05</v>
      </c>
      <c r="E1692" s="116">
        <v>1465.9</v>
      </c>
      <c r="F1692" s="116">
        <v>1480.9</v>
      </c>
      <c r="G1692">
        <v>1189</v>
      </c>
      <c r="H1692" s="116"/>
      <c r="I1692" s="116"/>
      <c r="L1692" s="170">
        <v>44496</v>
      </c>
      <c r="M1692" s="116">
        <v>1482.05</v>
      </c>
      <c r="N1692" s="116">
        <v>1487.5</v>
      </c>
      <c r="O1692" s="116">
        <v>1462</v>
      </c>
      <c r="P1692" s="116">
        <v>1469</v>
      </c>
      <c r="Q1692" s="116">
        <v>1482.05</v>
      </c>
      <c r="R1692">
        <v>29869</v>
      </c>
    </row>
    <row r="1693" spans="1:18" x14ac:dyDescent="0.25">
      <c r="A1693" s="170">
        <v>44497</v>
      </c>
      <c r="B1693" s="116">
        <v>1489.8</v>
      </c>
      <c r="C1693" s="116">
        <v>1479.85</v>
      </c>
      <c r="D1693" s="116">
        <v>1461.95</v>
      </c>
      <c r="E1693" s="116">
        <v>1482.05</v>
      </c>
      <c r="F1693" s="116">
        <v>1479.85</v>
      </c>
      <c r="G1693">
        <v>2086</v>
      </c>
      <c r="H1693" s="116"/>
      <c r="I1693" s="116"/>
      <c r="L1693" s="170">
        <v>44497</v>
      </c>
      <c r="M1693" s="116">
        <v>1481.7</v>
      </c>
      <c r="N1693" s="116">
        <v>1489.9</v>
      </c>
      <c r="O1693" s="116">
        <v>1458.3</v>
      </c>
      <c r="P1693" s="116">
        <v>1480</v>
      </c>
      <c r="Q1693" s="116">
        <v>1481.7</v>
      </c>
      <c r="R1693">
        <v>51298</v>
      </c>
    </row>
    <row r="1694" spans="1:18" x14ac:dyDescent="0.25">
      <c r="A1694" s="170">
        <v>44498</v>
      </c>
      <c r="B1694" s="116">
        <v>1514</v>
      </c>
      <c r="C1694" s="116">
        <v>1503.05</v>
      </c>
      <c r="D1694" s="116">
        <v>1474</v>
      </c>
      <c r="E1694" s="116">
        <v>1478.8</v>
      </c>
      <c r="F1694" s="116">
        <v>1503.05</v>
      </c>
      <c r="G1694">
        <v>2506</v>
      </c>
      <c r="H1694" s="116"/>
      <c r="I1694" s="116"/>
      <c r="L1694" s="170">
        <v>44498</v>
      </c>
      <c r="M1694" s="116">
        <v>1503.95</v>
      </c>
      <c r="N1694" s="116">
        <v>1515</v>
      </c>
      <c r="O1694" s="116">
        <v>1476</v>
      </c>
      <c r="P1694" s="116">
        <v>1482</v>
      </c>
      <c r="Q1694" s="116">
        <v>1503.95</v>
      </c>
      <c r="R1694">
        <v>57854</v>
      </c>
    </row>
    <row r="1695" spans="1:18" x14ac:dyDescent="0.25">
      <c r="A1695" s="170">
        <v>44501</v>
      </c>
      <c r="B1695" s="116">
        <v>1605.05</v>
      </c>
      <c r="C1695" s="116">
        <v>1600.65</v>
      </c>
      <c r="D1695" s="116">
        <v>1538</v>
      </c>
      <c r="E1695" s="116">
        <v>1540</v>
      </c>
      <c r="F1695" s="116">
        <v>1600.65</v>
      </c>
      <c r="G1695">
        <v>19611</v>
      </c>
      <c r="H1695" s="116"/>
      <c r="I1695" s="116"/>
      <c r="L1695" s="170">
        <v>44501</v>
      </c>
      <c r="M1695" s="116">
        <v>1597.6</v>
      </c>
      <c r="N1695" s="116">
        <v>1605</v>
      </c>
      <c r="O1695" s="116">
        <v>1531</v>
      </c>
      <c r="P1695" s="116">
        <v>1548</v>
      </c>
      <c r="Q1695" s="116">
        <v>1597.6</v>
      </c>
      <c r="R1695">
        <v>313193</v>
      </c>
    </row>
    <row r="1696" spans="1:18" x14ac:dyDescent="0.25">
      <c r="A1696" s="170">
        <v>44502</v>
      </c>
      <c r="B1696" s="116">
        <v>1624.95</v>
      </c>
      <c r="C1696" s="116">
        <v>1618.45</v>
      </c>
      <c r="D1696" s="116">
        <v>1567.4</v>
      </c>
      <c r="E1696" s="116">
        <v>1610</v>
      </c>
      <c r="F1696" s="116">
        <v>1618.45</v>
      </c>
      <c r="G1696">
        <v>14909</v>
      </c>
      <c r="H1696" s="116"/>
      <c r="I1696" s="116"/>
      <c r="L1696" s="170">
        <v>44502</v>
      </c>
      <c r="M1696" s="116">
        <v>1619.6</v>
      </c>
      <c r="N1696" s="116">
        <v>1624.95</v>
      </c>
      <c r="O1696" s="116">
        <v>1555.05</v>
      </c>
      <c r="P1696" s="116">
        <v>1610</v>
      </c>
      <c r="Q1696" s="116">
        <v>1619.6</v>
      </c>
      <c r="R1696">
        <v>122690</v>
      </c>
    </row>
    <row r="1697" spans="1:18" x14ac:dyDescent="0.25">
      <c r="A1697" s="170">
        <v>44503</v>
      </c>
      <c r="B1697" s="116">
        <v>1645</v>
      </c>
      <c r="C1697" s="116">
        <v>1639.25</v>
      </c>
      <c r="D1697" s="116">
        <v>1607</v>
      </c>
      <c r="E1697" s="116">
        <v>1615.85</v>
      </c>
      <c r="F1697" s="116">
        <v>1639.25</v>
      </c>
      <c r="G1697">
        <v>5474</v>
      </c>
      <c r="H1697" s="116"/>
      <c r="I1697" s="116"/>
      <c r="L1697" s="170">
        <v>44503</v>
      </c>
      <c r="M1697" s="116">
        <v>1640.7</v>
      </c>
      <c r="N1697" s="116">
        <v>1645</v>
      </c>
      <c r="O1697" s="116">
        <v>1586</v>
      </c>
      <c r="P1697" s="116">
        <v>1605</v>
      </c>
      <c r="Q1697" s="116">
        <v>1640.7</v>
      </c>
      <c r="R1697">
        <v>88910</v>
      </c>
    </row>
    <row r="1698" spans="1:18" x14ac:dyDescent="0.25">
      <c r="A1698" s="170">
        <v>44504</v>
      </c>
      <c r="B1698" s="116">
        <v>1658.05</v>
      </c>
      <c r="C1698" s="116">
        <v>1643.2</v>
      </c>
      <c r="D1698" s="116">
        <v>1634.9</v>
      </c>
      <c r="E1698" s="116">
        <v>1650</v>
      </c>
      <c r="F1698" s="116">
        <v>1643.2</v>
      </c>
      <c r="G1698">
        <v>1297</v>
      </c>
      <c r="H1698" s="116"/>
      <c r="I1698" s="116"/>
      <c r="L1698" s="170">
        <v>44504</v>
      </c>
      <c r="M1698" s="116">
        <v>1642.3</v>
      </c>
      <c r="N1698" s="116">
        <v>1659.85</v>
      </c>
      <c r="O1698" s="116">
        <v>1632</v>
      </c>
      <c r="P1698" s="116">
        <v>1650.2</v>
      </c>
      <c r="Q1698" s="116">
        <v>1642.3</v>
      </c>
      <c r="R1698">
        <v>29398</v>
      </c>
    </row>
    <row r="1699" spans="1:18" x14ac:dyDescent="0.25">
      <c r="A1699" s="170">
        <v>44508</v>
      </c>
      <c r="B1699" s="116">
        <v>1680.4</v>
      </c>
      <c r="C1699" s="116">
        <v>1674.85</v>
      </c>
      <c r="D1699" s="116">
        <v>1607.25</v>
      </c>
      <c r="E1699" s="116">
        <v>1607.25</v>
      </c>
      <c r="F1699" s="116">
        <v>1674.85</v>
      </c>
      <c r="G1699">
        <v>12441</v>
      </c>
      <c r="H1699" s="116"/>
      <c r="I1699" s="116"/>
      <c r="L1699" s="170">
        <v>44508</v>
      </c>
      <c r="M1699" s="116">
        <v>1675.2</v>
      </c>
      <c r="N1699" s="116">
        <v>1681</v>
      </c>
      <c r="O1699" s="116">
        <v>1629.1</v>
      </c>
      <c r="P1699" s="116">
        <v>1635</v>
      </c>
      <c r="Q1699" s="116">
        <v>1675.2</v>
      </c>
      <c r="R1699">
        <v>82728</v>
      </c>
    </row>
    <row r="1700" spans="1:18" x14ac:dyDescent="0.25">
      <c r="A1700" s="170">
        <v>44509</v>
      </c>
      <c r="B1700" s="116">
        <v>1683</v>
      </c>
      <c r="C1700" s="116">
        <v>1618.45</v>
      </c>
      <c r="D1700" s="116">
        <v>1600.4</v>
      </c>
      <c r="E1700" s="116">
        <v>1662.1</v>
      </c>
      <c r="F1700" s="116">
        <v>1618.45</v>
      </c>
      <c r="G1700">
        <v>3174</v>
      </c>
      <c r="H1700" s="116"/>
      <c r="I1700" s="116"/>
      <c r="L1700" s="170">
        <v>44509</v>
      </c>
      <c r="M1700" s="116">
        <v>1609.85</v>
      </c>
      <c r="N1700" s="116">
        <v>1685.35</v>
      </c>
      <c r="O1700" s="116">
        <v>1600.25</v>
      </c>
      <c r="P1700" s="116">
        <v>1675.2</v>
      </c>
      <c r="Q1700" s="116">
        <v>1609.85</v>
      </c>
      <c r="R1700">
        <v>106003</v>
      </c>
    </row>
    <row r="1701" spans="1:18" x14ac:dyDescent="0.25">
      <c r="A1701" s="170">
        <v>44510</v>
      </c>
      <c r="B1701" s="116">
        <v>1628.6</v>
      </c>
      <c r="C1701" s="116">
        <v>1591.25</v>
      </c>
      <c r="D1701" s="116">
        <v>1582.45</v>
      </c>
      <c r="E1701" s="116">
        <v>1616</v>
      </c>
      <c r="F1701" s="116">
        <v>1591.25</v>
      </c>
      <c r="G1701">
        <v>3146</v>
      </c>
      <c r="H1701" s="116"/>
      <c r="I1701" s="116"/>
      <c r="L1701" s="170">
        <v>44510</v>
      </c>
      <c r="M1701" s="116">
        <v>1589.7</v>
      </c>
      <c r="N1701" s="116">
        <v>1629.9</v>
      </c>
      <c r="O1701" s="116">
        <v>1583.55</v>
      </c>
      <c r="P1701" s="116">
        <v>1612</v>
      </c>
      <c r="Q1701" s="116">
        <v>1589.7</v>
      </c>
      <c r="R1701">
        <v>44454</v>
      </c>
    </row>
    <row r="1702" spans="1:18" x14ac:dyDescent="0.25">
      <c r="A1702" s="170">
        <v>44511</v>
      </c>
      <c r="B1702" s="116">
        <v>1606.9</v>
      </c>
      <c r="C1702" s="116">
        <v>1596.6</v>
      </c>
      <c r="D1702" s="116">
        <v>1559.65</v>
      </c>
      <c r="E1702" s="116">
        <v>1580</v>
      </c>
      <c r="F1702" s="116">
        <v>1596.6</v>
      </c>
      <c r="G1702">
        <v>4789</v>
      </c>
      <c r="H1702" s="116"/>
      <c r="I1702" s="116"/>
      <c r="L1702" s="170">
        <v>44511</v>
      </c>
      <c r="M1702" s="116">
        <v>1598.55</v>
      </c>
      <c r="N1702" s="116">
        <v>1607.6</v>
      </c>
      <c r="O1702" s="116">
        <v>1559.6</v>
      </c>
      <c r="P1702" s="116">
        <v>1582</v>
      </c>
      <c r="Q1702" s="116">
        <v>1598.55</v>
      </c>
      <c r="R1702">
        <v>66665</v>
      </c>
    </row>
    <row r="1703" spans="1:18" x14ac:dyDescent="0.25">
      <c r="A1703" s="170">
        <v>44512</v>
      </c>
      <c r="B1703" s="116">
        <v>1630.95</v>
      </c>
      <c r="C1703" s="116">
        <v>1612.35</v>
      </c>
      <c r="D1703" s="116">
        <v>1580.15</v>
      </c>
      <c r="E1703" s="116">
        <v>1580.15</v>
      </c>
      <c r="F1703" s="116">
        <v>1612.35</v>
      </c>
      <c r="G1703">
        <v>2998</v>
      </c>
      <c r="H1703" s="116"/>
      <c r="I1703" s="116"/>
      <c r="L1703" s="170">
        <v>44512</v>
      </c>
      <c r="M1703" s="116">
        <v>1612.35</v>
      </c>
      <c r="N1703" s="116">
        <v>1634.95</v>
      </c>
      <c r="O1703" s="116">
        <v>1592</v>
      </c>
      <c r="P1703" s="116">
        <v>1599</v>
      </c>
      <c r="Q1703" s="116">
        <v>1612.35</v>
      </c>
      <c r="R1703">
        <v>48981</v>
      </c>
    </row>
    <row r="1704" spans="1:18" x14ac:dyDescent="0.25">
      <c r="A1704" s="170">
        <v>44515</v>
      </c>
      <c r="B1704" s="116">
        <v>1659.95</v>
      </c>
      <c r="C1704" s="116">
        <v>1652.75</v>
      </c>
      <c r="D1704" s="116">
        <v>1602.35</v>
      </c>
      <c r="E1704" s="116">
        <v>1610</v>
      </c>
      <c r="F1704" s="116">
        <v>1652.75</v>
      </c>
      <c r="G1704">
        <v>7841</v>
      </c>
      <c r="H1704" s="116"/>
      <c r="I1704" s="116"/>
      <c r="L1704" s="170">
        <v>44515</v>
      </c>
      <c r="M1704" s="116">
        <v>1653.8</v>
      </c>
      <c r="N1704" s="116">
        <v>1660</v>
      </c>
      <c r="O1704" s="116">
        <v>1601</v>
      </c>
      <c r="P1704" s="116">
        <v>1601</v>
      </c>
      <c r="Q1704" s="116">
        <v>1653.8</v>
      </c>
      <c r="R1704">
        <v>119256</v>
      </c>
    </row>
    <row r="1705" spans="1:18" x14ac:dyDescent="0.25">
      <c r="A1705" s="170">
        <v>44516</v>
      </c>
      <c r="B1705" s="116">
        <v>1662.8</v>
      </c>
      <c r="C1705" s="116">
        <v>1634.8</v>
      </c>
      <c r="D1705" s="116">
        <v>1624.7</v>
      </c>
      <c r="E1705" s="116">
        <v>1662.8</v>
      </c>
      <c r="F1705" s="116">
        <v>1634.8</v>
      </c>
      <c r="G1705">
        <v>2528</v>
      </c>
      <c r="H1705" s="116"/>
      <c r="I1705" s="116"/>
      <c r="L1705" s="170">
        <v>44516</v>
      </c>
      <c r="M1705" s="116">
        <v>1632.6</v>
      </c>
      <c r="N1705" s="116">
        <v>1659</v>
      </c>
      <c r="O1705" s="116">
        <v>1624.1</v>
      </c>
      <c r="P1705" s="116">
        <v>1659</v>
      </c>
      <c r="Q1705" s="116">
        <v>1632.6</v>
      </c>
      <c r="R1705">
        <v>34451</v>
      </c>
    </row>
    <row r="1706" spans="1:18" x14ac:dyDescent="0.25">
      <c r="A1706" s="170">
        <v>44517</v>
      </c>
      <c r="B1706" s="116">
        <v>1728</v>
      </c>
      <c r="C1706" s="116">
        <v>1699.15</v>
      </c>
      <c r="D1706" s="116">
        <v>1635.35</v>
      </c>
      <c r="E1706" s="116">
        <v>1641</v>
      </c>
      <c r="F1706" s="116">
        <v>1699.15</v>
      </c>
      <c r="G1706">
        <v>15507</v>
      </c>
      <c r="H1706" s="116"/>
      <c r="I1706" s="116"/>
      <c r="L1706" s="170">
        <v>44517</v>
      </c>
      <c r="M1706" s="116">
        <v>1700.2</v>
      </c>
      <c r="N1706" s="116">
        <v>1730</v>
      </c>
      <c r="O1706" s="116">
        <v>1632.6</v>
      </c>
      <c r="P1706" s="116">
        <v>1648</v>
      </c>
      <c r="Q1706" s="116">
        <v>1700.2</v>
      </c>
      <c r="R1706">
        <v>224075</v>
      </c>
    </row>
    <row r="1707" spans="1:18" x14ac:dyDescent="0.25">
      <c r="A1707" s="170">
        <v>44518</v>
      </c>
      <c r="B1707" s="116">
        <v>1739.75</v>
      </c>
      <c r="C1707" s="116">
        <v>1636.55</v>
      </c>
      <c r="D1707" s="116">
        <v>1627</v>
      </c>
      <c r="E1707" s="116">
        <v>1715</v>
      </c>
      <c r="F1707" s="116">
        <v>1636.55</v>
      </c>
      <c r="G1707">
        <v>6345</v>
      </c>
      <c r="H1707" s="116"/>
      <c r="I1707" s="116"/>
      <c r="L1707" s="170">
        <v>44518</v>
      </c>
      <c r="M1707" s="116">
        <v>1639.7</v>
      </c>
      <c r="N1707" s="116">
        <v>1742.5</v>
      </c>
      <c r="O1707" s="116">
        <v>1625.75</v>
      </c>
      <c r="P1707" s="116">
        <v>1711.2</v>
      </c>
      <c r="Q1707" s="116">
        <v>1639.7</v>
      </c>
      <c r="R1707">
        <v>86202</v>
      </c>
    </row>
    <row r="1708" spans="1:18" x14ac:dyDescent="0.25">
      <c r="A1708" s="170">
        <v>44522</v>
      </c>
      <c r="B1708" s="116">
        <v>1679</v>
      </c>
      <c r="C1708" s="116">
        <v>1596.9</v>
      </c>
      <c r="D1708" s="116">
        <v>1581.85</v>
      </c>
      <c r="E1708" s="116">
        <v>1679</v>
      </c>
      <c r="F1708" s="116">
        <v>1596.9</v>
      </c>
      <c r="G1708">
        <v>4301</v>
      </c>
      <c r="H1708" s="116"/>
      <c r="I1708" s="116"/>
      <c r="L1708" s="170">
        <v>44522</v>
      </c>
      <c r="M1708" s="116">
        <v>1597.35</v>
      </c>
      <c r="N1708" s="116">
        <v>1674</v>
      </c>
      <c r="O1708" s="116">
        <v>1579</v>
      </c>
      <c r="P1708" s="116">
        <v>1659.7</v>
      </c>
      <c r="Q1708" s="116">
        <v>1597.35</v>
      </c>
      <c r="R1708">
        <v>59593</v>
      </c>
    </row>
    <row r="1709" spans="1:18" x14ac:dyDescent="0.25">
      <c r="A1709" s="170">
        <v>44523</v>
      </c>
      <c r="B1709" s="116">
        <v>1609.9</v>
      </c>
      <c r="C1709" s="116">
        <v>1600.3</v>
      </c>
      <c r="D1709" s="116">
        <v>1568.2</v>
      </c>
      <c r="E1709" s="116">
        <v>1596.85</v>
      </c>
      <c r="F1709" s="116">
        <v>1600.3</v>
      </c>
      <c r="G1709">
        <v>3320</v>
      </c>
      <c r="H1709" s="116"/>
      <c r="I1709" s="116"/>
      <c r="L1709" s="170">
        <v>44523</v>
      </c>
      <c r="M1709" s="116">
        <v>1598.8</v>
      </c>
      <c r="N1709" s="116">
        <v>1611.35</v>
      </c>
      <c r="O1709" s="116">
        <v>1566.5</v>
      </c>
      <c r="P1709" s="116">
        <v>1587.05</v>
      </c>
      <c r="Q1709" s="116">
        <v>1598.8</v>
      </c>
      <c r="R1709">
        <v>83329</v>
      </c>
    </row>
    <row r="1710" spans="1:18" x14ac:dyDescent="0.25">
      <c r="A1710" s="170">
        <v>44524</v>
      </c>
      <c r="B1710" s="116">
        <v>1648.75</v>
      </c>
      <c r="C1710" s="116">
        <v>1616</v>
      </c>
      <c r="D1710" s="116">
        <v>1608.75</v>
      </c>
      <c r="E1710" s="116">
        <v>1608.8</v>
      </c>
      <c r="F1710" s="116">
        <v>1616</v>
      </c>
      <c r="G1710">
        <v>1519</v>
      </c>
      <c r="H1710" s="116"/>
      <c r="I1710" s="116"/>
      <c r="L1710" s="170">
        <v>44524</v>
      </c>
      <c r="M1710" s="116">
        <v>1619.15</v>
      </c>
      <c r="N1710" s="116">
        <v>1650</v>
      </c>
      <c r="O1710" s="116">
        <v>1596</v>
      </c>
      <c r="P1710" s="116">
        <v>1596</v>
      </c>
      <c r="Q1710" s="116">
        <v>1619.15</v>
      </c>
      <c r="R1710">
        <v>45812</v>
      </c>
    </row>
    <row r="1711" spans="1:18" x14ac:dyDescent="0.25">
      <c r="A1711" s="170">
        <v>44525</v>
      </c>
      <c r="B1711" s="116">
        <v>1824.65</v>
      </c>
      <c r="C1711" s="116">
        <v>1759.35</v>
      </c>
      <c r="D1711" s="116">
        <v>1615.35</v>
      </c>
      <c r="E1711" s="116">
        <v>1615.35</v>
      </c>
      <c r="F1711" s="116">
        <v>1759.35</v>
      </c>
      <c r="G1711">
        <v>33334</v>
      </c>
      <c r="H1711" s="116"/>
      <c r="I1711" s="116"/>
      <c r="L1711" s="170">
        <v>44525</v>
      </c>
      <c r="M1711" s="116">
        <v>1757.35</v>
      </c>
      <c r="N1711" s="116">
        <v>1824</v>
      </c>
      <c r="O1711" s="116">
        <v>1609.95</v>
      </c>
      <c r="P1711" s="116">
        <v>1610</v>
      </c>
      <c r="Q1711" s="116">
        <v>1757.35</v>
      </c>
      <c r="R1711">
        <v>854830</v>
      </c>
    </row>
    <row r="1712" spans="1:18" x14ac:dyDescent="0.25">
      <c r="A1712" s="170">
        <v>44526</v>
      </c>
      <c r="B1712" s="116">
        <v>1787.65</v>
      </c>
      <c r="C1712" s="116">
        <v>1704.35</v>
      </c>
      <c r="D1712" s="116">
        <v>1697.05</v>
      </c>
      <c r="E1712" s="116">
        <v>1759.35</v>
      </c>
      <c r="F1712" s="116">
        <v>1704.35</v>
      </c>
      <c r="G1712">
        <v>14266</v>
      </c>
      <c r="H1712" s="116"/>
      <c r="I1712" s="116"/>
      <c r="L1712" s="170">
        <v>44526</v>
      </c>
      <c r="M1712" s="116">
        <v>1703.65</v>
      </c>
      <c r="N1712" s="116">
        <v>1788</v>
      </c>
      <c r="O1712" s="116">
        <v>1700</v>
      </c>
      <c r="P1712" s="116">
        <v>1750</v>
      </c>
      <c r="Q1712" s="116">
        <v>1703.65</v>
      </c>
      <c r="R1712">
        <v>194037</v>
      </c>
    </row>
    <row r="1713" spans="1:18" x14ac:dyDescent="0.25">
      <c r="A1713" s="170">
        <v>44529</v>
      </c>
      <c r="B1713" s="116">
        <v>1767.05</v>
      </c>
      <c r="C1713" s="116">
        <v>1689.85</v>
      </c>
      <c r="D1713" s="116">
        <v>1662.7</v>
      </c>
      <c r="E1713" s="116">
        <v>1700</v>
      </c>
      <c r="F1713" s="116">
        <v>1689.85</v>
      </c>
      <c r="G1713">
        <v>10418</v>
      </c>
      <c r="H1713" s="116"/>
      <c r="I1713" s="116"/>
      <c r="L1713" s="170">
        <v>44529</v>
      </c>
      <c r="M1713" s="116">
        <v>1684.5</v>
      </c>
      <c r="N1713" s="116">
        <v>1768.9</v>
      </c>
      <c r="O1713" s="116">
        <v>1661.3</v>
      </c>
      <c r="P1713" s="116">
        <v>1700</v>
      </c>
      <c r="Q1713" s="116">
        <v>1684.5</v>
      </c>
      <c r="R1713">
        <v>116603</v>
      </c>
    </row>
    <row r="1714" spans="1:18" x14ac:dyDescent="0.25">
      <c r="A1714" s="170">
        <v>44530</v>
      </c>
      <c r="B1714" s="116">
        <v>1727.4</v>
      </c>
      <c r="C1714" s="116">
        <v>1702.85</v>
      </c>
      <c r="D1714" s="116">
        <v>1635.95</v>
      </c>
      <c r="E1714" s="116">
        <v>1710</v>
      </c>
      <c r="F1714" s="116">
        <v>1702.85</v>
      </c>
      <c r="G1714">
        <v>10293</v>
      </c>
      <c r="H1714" s="116"/>
      <c r="I1714" s="116"/>
      <c r="L1714" s="170">
        <v>44530</v>
      </c>
      <c r="M1714" s="116">
        <v>1678.95</v>
      </c>
      <c r="N1714" s="116">
        <v>1725</v>
      </c>
      <c r="O1714" s="116">
        <v>1638.6</v>
      </c>
      <c r="P1714" s="116">
        <v>1708</v>
      </c>
      <c r="Q1714" s="116">
        <v>1678.95</v>
      </c>
      <c r="R1714">
        <v>686523</v>
      </c>
    </row>
    <row r="1715" spans="1:18" x14ac:dyDescent="0.25">
      <c r="A1715" s="170">
        <v>44531</v>
      </c>
      <c r="B1715" s="116">
        <v>1748</v>
      </c>
      <c r="C1715" s="116">
        <v>1671.9</v>
      </c>
      <c r="D1715" s="116">
        <v>1661</v>
      </c>
      <c r="E1715" s="116">
        <v>1719</v>
      </c>
      <c r="F1715" s="116">
        <v>1671.9</v>
      </c>
      <c r="G1715">
        <v>6004</v>
      </c>
      <c r="H1715" s="116"/>
      <c r="I1715" s="116"/>
      <c r="L1715" s="170">
        <v>44531</v>
      </c>
      <c r="M1715" s="116">
        <v>1671.45</v>
      </c>
      <c r="N1715" s="116">
        <v>1749.8</v>
      </c>
      <c r="O1715" s="116">
        <v>1661.15</v>
      </c>
      <c r="P1715" s="116">
        <v>1719</v>
      </c>
      <c r="Q1715" s="116">
        <v>1671.45</v>
      </c>
      <c r="R1715">
        <v>126597</v>
      </c>
    </row>
    <row r="1716" spans="1:18" x14ac:dyDescent="0.25">
      <c r="A1716" s="170">
        <v>44532</v>
      </c>
      <c r="B1716" s="116">
        <v>1730.25</v>
      </c>
      <c r="C1716" s="116">
        <v>1694.3</v>
      </c>
      <c r="D1716" s="116">
        <v>1646.4</v>
      </c>
      <c r="E1716" s="116">
        <v>1689</v>
      </c>
      <c r="F1716" s="116">
        <v>1694.3</v>
      </c>
      <c r="G1716">
        <v>7836</v>
      </c>
      <c r="H1716" s="116"/>
      <c r="I1716" s="116"/>
      <c r="L1716" s="170">
        <v>44532</v>
      </c>
      <c r="M1716" s="116">
        <v>1691.95</v>
      </c>
      <c r="N1716" s="116">
        <v>1733</v>
      </c>
      <c r="O1716" s="116">
        <v>1645.05</v>
      </c>
      <c r="P1716" s="116">
        <v>1679.65</v>
      </c>
      <c r="Q1716" s="116">
        <v>1691.95</v>
      </c>
      <c r="R1716">
        <v>171765</v>
      </c>
    </row>
    <row r="1717" spans="1:18" x14ac:dyDescent="0.25">
      <c r="A1717" s="170">
        <v>44533</v>
      </c>
      <c r="B1717" s="116">
        <v>1752.3</v>
      </c>
      <c r="C1717" s="116">
        <v>1732.1</v>
      </c>
      <c r="D1717" s="116">
        <v>1698</v>
      </c>
      <c r="E1717" s="116">
        <v>1698</v>
      </c>
      <c r="F1717" s="116">
        <v>1732.1</v>
      </c>
      <c r="G1717">
        <v>11412</v>
      </c>
      <c r="H1717" s="116"/>
      <c r="I1717" s="116"/>
      <c r="L1717" s="170">
        <v>44533</v>
      </c>
      <c r="M1717" s="116">
        <v>1731.05</v>
      </c>
      <c r="N1717" s="116">
        <v>1752</v>
      </c>
      <c r="O1717" s="116">
        <v>1705.7</v>
      </c>
      <c r="P1717" s="116">
        <v>1705.7</v>
      </c>
      <c r="Q1717" s="116">
        <v>1731.05</v>
      </c>
      <c r="R1717">
        <v>179815</v>
      </c>
    </row>
    <row r="1718" spans="1:18" x14ac:dyDescent="0.25">
      <c r="A1718" s="170">
        <v>44536</v>
      </c>
      <c r="B1718" s="116">
        <v>1822</v>
      </c>
      <c r="C1718" s="116">
        <v>1781.15</v>
      </c>
      <c r="D1718" s="116">
        <v>1756</v>
      </c>
      <c r="E1718" s="116">
        <v>1790</v>
      </c>
      <c r="F1718" s="116">
        <v>1781.15</v>
      </c>
      <c r="G1718">
        <v>18666</v>
      </c>
      <c r="H1718" s="116"/>
      <c r="I1718" s="116"/>
      <c r="L1718" s="170">
        <v>44536</v>
      </c>
      <c r="M1718" s="116">
        <v>1780.15</v>
      </c>
      <c r="N1718" s="116">
        <v>1825</v>
      </c>
      <c r="O1718" s="116">
        <v>1745.95</v>
      </c>
      <c r="P1718" s="116">
        <v>1787</v>
      </c>
      <c r="Q1718" s="116">
        <v>1780.15</v>
      </c>
      <c r="R1718">
        <v>310767</v>
      </c>
    </row>
    <row r="1719" spans="1:18" x14ac:dyDescent="0.25">
      <c r="A1719" s="170">
        <v>44537</v>
      </c>
      <c r="B1719" s="116">
        <v>1844</v>
      </c>
      <c r="C1719" s="116">
        <v>1797.6</v>
      </c>
      <c r="D1719" s="116">
        <v>1766.3</v>
      </c>
      <c r="E1719" s="116">
        <v>1799</v>
      </c>
      <c r="F1719" s="116">
        <v>1797.6</v>
      </c>
      <c r="G1719">
        <v>17387</v>
      </c>
      <c r="H1719" s="116"/>
      <c r="I1719" s="116"/>
      <c r="L1719" s="170">
        <v>44537</v>
      </c>
      <c r="M1719" s="116">
        <v>1793.15</v>
      </c>
      <c r="N1719" s="116">
        <v>1845</v>
      </c>
      <c r="O1719" s="116">
        <v>1757.65</v>
      </c>
      <c r="P1719" s="116">
        <v>1800</v>
      </c>
      <c r="Q1719" s="116">
        <v>1793.15</v>
      </c>
      <c r="R1719">
        <v>277597</v>
      </c>
    </row>
    <row r="1720" spans="1:18" x14ac:dyDescent="0.25">
      <c r="A1720" s="170">
        <v>44538</v>
      </c>
      <c r="B1720" s="116">
        <v>1860</v>
      </c>
      <c r="C1720" s="116">
        <v>1843.65</v>
      </c>
      <c r="D1720" s="116">
        <v>1800</v>
      </c>
      <c r="E1720" s="116">
        <v>1807.6</v>
      </c>
      <c r="F1720" s="116">
        <v>1843.65</v>
      </c>
      <c r="G1720">
        <v>26167</v>
      </c>
      <c r="H1720" s="116"/>
      <c r="I1720" s="116"/>
      <c r="L1720" s="170">
        <v>44538</v>
      </c>
      <c r="M1720" s="116">
        <v>1841.4</v>
      </c>
      <c r="N1720" s="116">
        <v>1856</v>
      </c>
      <c r="O1720" s="116">
        <v>1800</v>
      </c>
      <c r="P1720" s="116">
        <v>1800</v>
      </c>
      <c r="Q1720" s="116">
        <v>1841.4</v>
      </c>
      <c r="R1720">
        <v>177008</v>
      </c>
    </row>
    <row r="1721" spans="1:18" x14ac:dyDescent="0.25">
      <c r="A1721" s="170">
        <v>44539</v>
      </c>
      <c r="B1721" s="116">
        <v>1883.5</v>
      </c>
      <c r="C1721" s="116">
        <v>1869.65</v>
      </c>
      <c r="D1721" s="116">
        <v>1841.4</v>
      </c>
      <c r="E1721" s="116">
        <v>1870</v>
      </c>
      <c r="F1721" s="116">
        <v>1869.65</v>
      </c>
      <c r="G1721">
        <v>30302</v>
      </c>
      <c r="H1721" s="116"/>
      <c r="I1721" s="116"/>
      <c r="L1721" s="170">
        <v>44539</v>
      </c>
      <c r="M1721" s="116">
        <v>1868.2</v>
      </c>
      <c r="N1721" s="116">
        <v>1883.3</v>
      </c>
      <c r="O1721" s="116">
        <v>1841.4</v>
      </c>
      <c r="P1721" s="116">
        <v>1870</v>
      </c>
      <c r="Q1721" s="116">
        <v>1868.2</v>
      </c>
      <c r="R1721">
        <v>201704</v>
      </c>
    </row>
    <row r="1722" spans="1:18" x14ac:dyDescent="0.25">
      <c r="A1722" s="170">
        <v>44540</v>
      </c>
      <c r="B1722" s="116">
        <v>1906.7</v>
      </c>
      <c r="C1722" s="116">
        <v>1882.6</v>
      </c>
      <c r="D1722" s="116">
        <v>1843.45</v>
      </c>
      <c r="E1722" s="116">
        <v>1845.55</v>
      </c>
      <c r="F1722" s="116">
        <v>1882.6</v>
      </c>
      <c r="G1722">
        <v>18307</v>
      </c>
      <c r="H1722" s="116"/>
      <c r="I1722" s="116"/>
      <c r="L1722" s="170">
        <v>44540</v>
      </c>
      <c r="M1722" s="116">
        <v>1882.6</v>
      </c>
      <c r="N1722" s="116">
        <v>1906.9</v>
      </c>
      <c r="O1722" s="116">
        <v>1844.8</v>
      </c>
      <c r="P1722" s="116">
        <v>1870</v>
      </c>
      <c r="Q1722" s="116">
        <v>1882.6</v>
      </c>
      <c r="R1722">
        <v>108104</v>
      </c>
    </row>
    <row r="1723" spans="1:18" x14ac:dyDescent="0.25">
      <c r="A1723" s="170">
        <v>44543</v>
      </c>
      <c r="B1723" s="116">
        <v>1917</v>
      </c>
      <c r="C1723" s="116">
        <v>1860.9</v>
      </c>
      <c r="D1723" s="116">
        <v>1857</v>
      </c>
      <c r="E1723" s="116">
        <v>1884</v>
      </c>
      <c r="F1723" s="116">
        <v>1860.9</v>
      </c>
      <c r="G1723">
        <v>9199</v>
      </c>
      <c r="H1723" s="116"/>
      <c r="I1723" s="116"/>
      <c r="L1723" s="170">
        <v>44543</v>
      </c>
      <c r="M1723" s="116">
        <v>1861.5</v>
      </c>
      <c r="N1723" s="116">
        <v>1918.75</v>
      </c>
      <c r="O1723" s="116">
        <v>1855</v>
      </c>
      <c r="P1723" s="116">
        <v>1907.4</v>
      </c>
      <c r="Q1723" s="116">
        <v>1861.5</v>
      </c>
      <c r="R1723">
        <v>130627</v>
      </c>
    </row>
    <row r="1724" spans="1:18" x14ac:dyDescent="0.25">
      <c r="A1724" s="170">
        <v>44544</v>
      </c>
      <c r="B1724" s="116">
        <v>1891</v>
      </c>
      <c r="C1724" s="116">
        <v>1866.1</v>
      </c>
      <c r="D1724" s="116">
        <v>1844.05</v>
      </c>
      <c r="E1724" s="116">
        <v>1865</v>
      </c>
      <c r="F1724" s="116">
        <v>1866.1</v>
      </c>
      <c r="G1724">
        <v>2207</v>
      </c>
      <c r="H1724" s="116"/>
      <c r="I1724" s="116"/>
      <c r="L1724" s="170">
        <v>44544</v>
      </c>
      <c r="M1724" s="116">
        <v>1867.75</v>
      </c>
      <c r="N1724" s="116">
        <v>1892.65</v>
      </c>
      <c r="O1724" s="116">
        <v>1846</v>
      </c>
      <c r="P1724" s="116">
        <v>1860</v>
      </c>
      <c r="Q1724" s="116">
        <v>1867.75</v>
      </c>
      <c r="R1724">
        <v>49791</v>
      </c>
    </row>
    <row r="1725" spans="1:18" x14ac:dyDescent="0.25">
      <c r="A1725" s="170">
        <v>44545</v>
      </c>
      <c r="B1725" s="116">
        <v>1888.65</v>
      </c>
      <c r="C1725" s="116">
        <v>1851.1</v>
      </c>
      <c r="D1725" s="116">
        <v>1830</v>
      </c>
      <c r="E1725" s="116">
        <v>1866.5</v>
      </c>
      <c r="F1725" s="116">
        <v>1851.1</v>
      </c>
      <c r="G1725">
        <v>1576</v>
      </c>
      <c r="H1725" s="116"/>
      <c r="I1725" s="116"/>
      <c r="L1725" s="170">
        <v>44545</v>
      </c>
      <c r="M1725" s="116">
        <v>1851.85</v>
      </c>
      <c r="N1725" s="116">
        <v>1890</v>
      </c>
      <c r="O1725" s="116">
        <v>1830.3</v>
      </c>
      <c r="P1725" s="116">
        <v>1874</v>
      </c>
      <c r="Q1725" s="116">
        <v>1851.85</v>
      </c>
      <c r="R1725">
        <v>39080</v>
      </c>
    </row>
    <row r="1726" spans="1:18" x14ac:dyDescent="0.25">
      <c r="A1726" s="170">
        <v>44546</v>
      </c>
      <c r="B1726" s="116">
        <v>1861.95</v>
      </c>
      <c r="C1726" s="116">
        <v>1773</v>
      </c>
      <c r="D1726" s="116">
        <v>1769.55</v>
      </c>
      <c r="E1726" s="116">
        <v>1860.35</v>
      </c>
      <c r="F1726" s="116">
        <v>1773</v>
      </c>
      <c r="G1726">
        <v>5271</v>
      </c>
      <c r="H1726" s="116"/>
      <c r="I1726" s="116"/>
      <c r="L1726" s="170">
        <v>44546</v>
      </c>
      <c r="M1726" s="116">
        <v>1772.7</v>
      </c>
      <c r="N1726" s="116">
        <v>1874.8</v>
      </c>
      <c r="O1726" s="116">
        <v>1770</v>
      </c>
      <c r="P1726" s="116">
        <v>1873</v>
      </c>
      <c r="Q1726" s="116">
        <v>1772.7</v>
      </c>
      <c r="R1726">
        <v>71634</v>
      </c>
    </row>
    <row r="1727" spans="1:18" x14ac:dyDescent="0.25">
      <c r="A1727" s="170">
        <v>44547</v>
      </c>
      <c r="B1727" s="116">
        <v>1811.55</v>
      </c>
      <c r="C1727" s="116">
        <v>1787.3</v>
      </c>
      <c r="D1727" s="116">
        <v>1737.1</v>
      </c>
      <c r="E1727" s="116">
        <v>1772.6</v>
      </c>
      <c r="F1727" s="116">
        <v>1787.3</v>
      </c>
      <c r="G1727">
        <v>6770</v>
      </c>
      <c r="H1727" s="116"/>
      <c r="I1727" s="116"/>
      <c r="L1727" s="170">
        <v>44547</v>
      </c>
      <c r="M1727" s="116">
        <v>1789.65</v>
      </c>
      <c r="N1727" s="116">
        <v>1810</v>
      </c>
      <c r="O1727" s="116">
        <v>1737.7</v>
      </c>
      <c r="P1727" s="116">
        <v>1772.7</v>
      </c>
      <c r="Q1727" s="116">
        <v>1789.65</v>
      </c>
      <c r="R1727">
        <v>63602</v>
      </c>
    </row>
    <row r="1728" spans="1:18" x14ac:dyDescent="0.25">
      <c r="A1728" s="170">
        <v>44550</v>
      </c>
      <c r="B1728" s="116">
        <v>1780.1</v>
      </c>
      <c r="C1728" s="116">
        <v>1726.05</v>
      </c>
      <c r="D1728" s="116">
        <v>1716.05</v>
      </c>
      <c r="E1728" s="116">
        <v>1780.1</v>
      </c>
      <c r="F1728" s="116">
        <v>1726.05</v>
      </c>
      <c r="G1728">
        <v>3374</v>
      </c>
      <c r="H1728" s="116"/>
      <c r="I1728" s="116"/>
      <c r="L1728" s="170">
        <v>44550</v>
      </c>
      <c r="M1728" s="116">
        <v>1727.45</v>
      </c>
      <c r="N1728" s="116">
        <v>1788</v>
      </c>
      <c r="O1728" s="116">
        <v>1715.05</v>
      </c>
      <c r="P1728" s="116">
        <v>1770</v>
      </c>
      <c r="Q1728" s="116">
        <v>1727.45</v>
      </c>
      <c r="R1728">
        <v>47620</v>
      </c>
    </row>
    <row r="1729" spans="1:18" x14ac:dyDescent="0.25">
      <c r="A1729" s="170">
        <v>44551</v>
      </c>
      <c r="B1729" s="116">
        <v>1796.55</v>
      </c>
      <c r="C1729" s="116">
        <v>1763.65</v>
      </c>
      <c r="D1729" s="116">
        <v>1739.7</v>
      </c>
      <c r="E1729" s="116">
        <v>1747.5</v>
      </c>
      <c r="F1729" s="116">
        <v>1763.65</v>
      </c>
      <c r="G1729">
        <v>2332</v>
      </c>
      <c r="H1729" s="116"/>
      <c r="I1729" s="116"/>
      <c r="L1729" s="170">
        <v>44551</v>
      </c>
      <c r="M1729" s="116">
        <v>1768.45</v>
      </c>
      <c r="N1729" s="116">
        <v>1796.9</v>
      </c>
      <c r="O1729" s="116">
        <v>1740</v>
      </c>
      <c r="P1729" s="116">
        <v>1740</v>
      </c>
      <c r="Q1729" s="116">
        <v>1768.45</v>
      </c>
      <c r="R1729">
        <v>39056</v>
      </c>
    </row>
    <row r="1730" spans="1:18" x14ac:dyDescent="0.25">
      <c r="A1730" s="170">
        <v>44552</v>
      </c>
      <c r="B1730" s="116">
        <v>1790</v>
      </c>
      <c r="C1730" s="116">
        <v>1747.15</v>
      </c>
      <c r="D1730" s="116">
        <v>1728</v>
      </c>
      <c r="E1730" s="116">
        <v>1779</v>
      </c>
      <c r="F1730" s="116">
        <v>1747.15</v>
      </c>
      <c r="G1730">
        <v>4703</v>
      </c>
      <c r="H1730" s="116"/>
      <c r="I1730" s="116"/>
      <c r="L1730" s="170">
        <v>44552</v>
      </c>
      <c r="M1730" s="116">
        <v>1746.55</v>
      </c>
      <c r="N1730" s="116">
        <v>1790.8</v>
      </c>
      <c r="O1730" s="116">
        <v>1727.05</v>
      </c>
      <c r="P1730" s="116">
        <v>1777.8</v>
      </c>
      <c r="Q1730" s="116">
        <v>1746.55</v>
      </c>
      <c r="R1730">
        <v>54178</v>
      </c>
    </row>
    <row r="1731" spans="1:18" x14ac:dyDescent="0.25">
      <c r="A1731" s="170">
        <v>44553</v>
      </c>
      <c r="B1731" s="116">
        <v>1778.95</v>
      </c>
      <c r="C1731" s="116">
        <v>1742.9</v>
      </c>
      <c r="D1731" s="116">
        <v>1735</v>
      </c>
      <c r="E1731" s="116">
        <v>1754.75</v>
      </c>
      <c r="F1731" s="116">
        <v>1742.9</v>
      </c>
      <c r="G1731">
        <v>2040</v>
      </c>
      <c r="H1731" s="116"/>
      <c r="I1731" s="116"/>
      <c r="L1731" s="170">
        <v>44553</v>
      </c>
      <c r="M1731" s="116">
        <v>1744.9</v>
      </c>
      <c r="N1731" s="116">
        <v>1775.25</v>
      </c>
      <c r="O1731" s="116">
        <v>1736.15</v>
      </c>
      <c r="P1731" s="116">
        <v>1765</v>
      </c>
      <c r="Q1731" s="116">
        <v>1744.9</v>
      </c>
      <c r="R1731">
        <v>31722</v>
      </c>
    </row>
    <row r="1732" spans="1:18" x14ac:dyDescent="0.25">
      <c r="A1732" s="170">
        <v>44554</v>
      </c>
      <c r="B1732" s="116">
        <v>1757.65</v>
      </c>
      <c r="C1732" s="116">
        <v>1729.55</v>
      </c>
      <c r="D1732" s="116">
        <v>1724.7</v>
      </c>
      <c r="E1732" s="116">
        <v>1742</v>
      </c>
      <c r="F1732" s="116">
        <v>1729.55</v>
      </c>
      <c r="G1732">
        <v>981</v>
      </c>
      <c r="H1732" s="116"/>
      <c r="I1732" s="116"/>
      <c r="L1732" s="170">
        <v>44554</v>
      </c>
      <c r="M1732" s="116">
        <v>1727.8</v>
      </c>
      <c r="N1732" s="116">
        <v>1757</v>
      </c>
      <c r="O1732" s="116">
        <v>1722.55</v>
      </c>
      <c r="P1732" s="116">
        <v>1753</v>
      </c>
      <c r="Q1732" s="116">
        <v>1727.8</v>
      </c>
      <c r="R1732">
        <v>17888</v>
      </c>
    </row>
    <row r="1733" spans="1:18" x14ac:dyDescent="0.25">
      <c r="A1733" s="170">
        <v>44557</v>
      </c>
      <c r="B1733" s="116">
        <v>1747.4</v>
      </c>
      <c r="C1733" s="116">
        <v>1730.15</v>
      </c>
      <c r="D1733" s="116">
        <v>1725.2</v>
      </c>
      <c r="E1733" s="116">
        <v>1730</v>
      </c>
      <c r="F1733" s="116">
        <v>1730.15</v>
      </c>
      <c r="G1733">
        <v>2426</v>
      </c>
      <c r="H1733" s="116"/>
      <c r="I1733" s="116"/>
      <c r="L1733" s="170">
        <v>44557</v>
      </c>
      <c r="M1733" s="116">
        <v>1730.2</v>
      </c>
      <c r="N1733" s="116">
        <v>1747.95</v>
      </c>
      <c r="O1733" s="116">
        <v>1726</v>
      </c>
      <c r="P1733" s="116">
        <v>1735</v>
      </c>
      <c r="Q1733" s="116">
        <v>1730.2</v>
      </c>
      <c r="R1733">
        <v>21145</v>
      </c>
    </row>
    <row r="1734" spans="1:18" x14ac:dyDescent="0.25">
      <c r="A1734" s="170">
        <v>44558</v>
      </c>
      <c r="B1734" s="116">
        <v>1779</v>
      </c>
      <c r="C1734" s="116">
        <v>1747.55</v>
      </c>
      <c r="D1734" s="116">
        <v>1730.2</v>
      </c>
      <c r="E1734" s="116">
        <v>1730.2</v>
      </c>
      <c r="F1734" s="116">
        <v>1747.55</v>
      </c>
      <c r="G1734">
        <v>2878</v>
      </c>
      <c r="H1734" s="116"/>
      <c r="I1734" s="116"/>
      <c r="L1734" s="170">
        <v>44558</v>
      </c>
      <c r="M1734" s="116">
        <v>1746.6</v>
      </c>
      <c r="N1734" s="116">
        <v>1774</v>
      </c>
      <c r="O1734" s="116">
        <v>1730.2</v>
      </c>
      <c r="P1734" s="116">
        <v>1730.2</v>
      </c>
      <c r="Q1734" s="116">
        <v>1746.6</v>
      </c>
      <c r="R1734">
        <v>17200</v>
      </c>
    </row>
    <row r="1735" spans="1:18" x14ac:dyDescent="0.25">
      <c r="A1735" s="170">
        <v>44559</v>
      </c>
      <c r="B1735" s="116">
        <v>1767.85</v>
      </c>
      <c r="C1735" s="116">
        <v>1727.05</v>
      </c>
      <c r="D1735" s="116">
        <v>1718.45</v>
      </c>
      <c r="E1735" s="116">
        <v>1746</v>
      </c>
      <c r="F1735" s="116">
        <v>1727.05</v>
      </c>
      <c r="G1735">
        <v>4807</v>
      </c>
      <c r="H1735" s="116"/>
      <c r="I1735" s="116"/>
      <c r="L1735" s="170">
        <v>44559</v>
      </c>
      <c r="M1735" s="116">
        <v>1728.75</v>
      </c>
      <c r="N1735" s="116">
        <v>1767.85</v>
      </c>
      <c r="O1735" s="116">
        <v>1725</v>
      </c>
      <c r="P1735" s="116">
        <v>1737.15</v>
      </c>
      <c r="Q1735" s="116">
        <v>1728.75</v>
      </c>
      <c r="R1735">
        <v>19981</v>
      </c>
    </row>
    <row r="1736" spans="1:18" x14ac:dyDescent="0.25">
      <c r="A1736" s="170">
        <v>44560</v>
      </c>
      <c r="B1736" s="116">
        <v>1797</v>
      </c>
      <c r="C1736" s="116">
        <v>1757.2</v>
      </c>
      <c r="D1736" s="116">
        <v>1727.75</v>
      </c>
      <c r="E1736" s="116">
        <v>1744.9</v>
      </c>
      <c r="F1736" s="116">
        <v>1757.2</v>
      </c>
      <c r="G1736">
        <v>3917</v>
      </c>
      <c r="H1736" s="116"/>
      <c r="I1736" s="116"/>
      <c r="L1736" s="170">
        <v>44560</v>
      </c>
      <c r="M1736" s="116">
        <v>1759.9</v>
      </c>
      <c r="N1736" s="116">
        <v>1781.5</v>
      </c>
      <c r="O1736" s="116">
        <v>1730</v>
      </c>
      <c r="P1736" s="116">
        <v>1764</v>
      </c>
      <c r="Q1736" s="116">
        <v>1759.9</v>
      </c>
      <c r="R1736">
        <v>34911</v>
      </c>
    </row>
    <row r="1737" spans="1:18" x14ac:dyDescent="0.25">
      <c r="A1737" s="170">
        <v>44561</v>
      </c>
      <c r="B1737" s="116">
        <v>1775</v>
      </c>
      <c r="C1737" s="116">
        <v>1760.5</v>
      </c>
      <c r="D1737" s="116">
        <v>1746.7</v>
      </c>
      <c r="E1737" s="116">
        <v>1770.1</v>
      </c>
      <c r="F1737" s="116">
        <v>1760.5</v>
      </c>
      <c r="G1737">
        <v>842</v>
      </c>
      <c r="H1737" s="116"/>
      <c r="I1737" s="116"/>
      <c r="L1737" s="170">
        <v>44561</v>
      </c>
      <c r="M1737" s="116">
        <v>1756.65</v>
      </c>
      <c r="N1737" s="116">
        <v>1775.45</v>
      </c>
      <c r="O1737" s="116">
        <v>1742.5</v>
      </c>
      <c r="P1737" s="116">
        <v>1770</v>
      </c>
      <c r="Q1737" s="116">
        <v>1756.65</v>
      </c>
      <c r="R1737">
        <v>20322</v>
      </c>
    </row>
    <row r="1738" spans="1:18" x14ac:dyDescent="0.25">
      <c r="A1738" s="170">
        <v>44564</v>
      </c>
      <c r="B1738" s="116">
        <v>1770</v>
      </c>
      <c r="C1738" s="116">
        <v>1738.9</v>
      </c>
      <c r="D1738" s="116">
        <v>1734</v>
      </c>
      <c r="E1738" s="116">
        <v>1760.1</v>
      </c>
      <c r="F1738" s="116">
        <v>1738.9</v>
      </c>
      <c r="G1738">
        <v>3794</v>
      </c>
      <c r="H1738" s="116"/>
      <c r="I1738" s="116"/>
      <c r="L1738" s="170">
        <v>44564</v>
      </c>
      <c r="M1738" s="116">
        <v>1737.15</v>
      </c>
      <c r="N1738" s="116">
        <v>1770.45</v>
      </c>
      <c r="O1738" s="116">
        <v>1732</v>
      </c>
      <c r="P1738" s="116">
        <v>1763</v>
      </c>
      <c r="Q1738" s="116">
        <v>1737.15</v>
      </c>
      <c r="R1738">
        <v>29512</v>
      </c>
    </row>
    <row r="1739" spans="1:18" x14ac:dyDescent="0.25">
      <c r="A1739" s="170">
        <v>44565</v>
      </c>
      <c r="B1739" s="116">
        <v>1756.75</v>
      </c>
      <c r="C1739" s="116">
        <v>1733.85</v>
      </c>
      <c r="D1739" s="116">
        <v>1722.5</v>
      </c>
      <c r="E1739" s="116">
        <v>1734</v>
      </c>
      <c r="F1739" s="116">
        <v>1733.85</v>
      </c>
      <c r="G1739">
        <v>3003</v>
      </c>
      <c r="H1739" s="116"/>
      <c r="I1739" s="116"/>
      <c r="L1739" s="170">
        <v>44565</v>
      </c>
      <c r="M1739" s="116">
        <v>1734.05</v>
      </c>
      <c r="N1739" s="116">
        <v>1756.7</v>
      </c>
      <c r="O1739" s="116">
        <v>1721.35</v>
      </c>
      <c r="P1739" s="116">
        <v>1740</v>
      </c>
      <c r="Q1739" s="116">
        <v>1734.05</v>
      </c>
      <c r="R1739">
        <v>25204</v>
      </c>
    </row>
    <row r="1740" spans="1:18" x14ac:dyDescent="0.25">
      <c r="A1740" s="170">
        <v>44566</v>
      </c>
      <c r="B1740" s="116">
        <v>1759</v>
      </c>
      <c r="C1740" s="116">
        <v>1701.75</v>
      </c>
      <c r="D1740" s="116">
        <v>1693.65</v>
      </c>
      <c r="E1740" s="116">
        <v>1751</v>
      </c>
      <c r="F1740" s="116">
        <v>1701.75</v>
      </c>
      <c r="G1740">
        <v>3079</v>
      </c>
      <c r="H1740" s="116"/>
      <c r="I1740" s="116"/>
      <c r="L1740" s="170">
        <v>44566</v>
      </c>
      <c r="M1740" s="116">
        <v>1703.4</v>
      </c>
      <c r="N1740" s="116">
        <v>1759.75</v>
      </c>
      <c r="O1740" s="116">
        <v>1697.6</v>
      </c>
      <c r="P1740" s="116">
        <v>1747.5</v>
      </c>
      <c r="Q1740" s="116">
        <v>1703.4</v>
      </c>
      <c r="R1740">
        <v>47183</v>
      </c>
    </row>
    <row r="1741" spans="1:18" x14ac:dyDescent="0.25">
      <c r="A1741" s="170">
        <v>44567</v>
      </c>
      <c r="B1741" s="116">
        <v>1729.55</v>
      </c>
      <c r="C1741" s="116">
        <v>1724.3</v>
      </c>
      <c r="D1741" s="116">
        <v>1690</v>
      </c>
      <c r="E1741" s="116">
        <v>1719</v>
      </c>
      <c r="F1741" s="116">
        <v>1724.3</v>
      </c>
      <c r="G1741">
        <v>4061</v>
      </c>
      <c r="H1741" s="116"/>
      <c r="I1741" s="116"/>
      <c r="L1741" s="170">
        <v>44567</v>
      </c>
      <c r="M1741" s="116">
        <v>1724.85</v>
      </c>
      <c r="N1741" s="116">
        <v>1730</v>
      </c>
      <c r="O1741" s="116">
        <v>1690</v>
      </c>
      <c r="P1741" s="116">
        <v>1705</v>
      </c>
      <c r="Q1741" s="116">
        <v>1724.85</v>
      </c>
      <c r="R1741">
        <v>47608</v>
      </c>
    </row>
    <row r="1742" spans="1:18" x14ac:dyDescent="0.25">
      <c r="A1742" s="170">
        <v>44568</v>
      </c>
      <c r="B1742" s="116">
        <v>1752.45</v>
      </c>
      <c r="C1742" s="116">
        <v>1743.15</v>
      </c>
      <c r="D1742" s="116">
        <v>1710</v>
      </c>
      <c r="E1742" s="116">
        <v>1739</v>
      </c>
      <c r="F1742" s="116">
        <v>1743.15</v>
      </c>
      <c r="G1742">
        <v>1921</v>
      </c>
      <c r="H1742" s="116"/>
      <c r="I1742" s="116"/>
      <c r="L1742" s="170">
        <v>44568</v>
      </c>
      <c r="M1742" s="116">
        <v>1745.75</v>
      </c>
      <c r="N1742" s="116">
        <v>1753.2</v>
      </c>
      <c r="O1742" s="116">
        <v>1710</v>
      </c>
      <c r="P1742" s="116">
        <v>1730</v>
      </c>
      <c r="Q1742" s="116">
        <v>1745.75</v>
      </c>
      <c r="R1742">
        <v>67832</v>
      </c>
    </row>
    <row r="1743" spans="1:18" x14ac:dyDescent="0.25">
      <c r="A1743" s="170">
        <v>44571</v>
      </c>
      <c r="B1743" s="116">
        <v>1789.45</v>
      </c>
      <c r="C1743" s="116">
        <v>1760.2</v>
      </c>
      <c r="D1743" s="116">
        <v>1727.85</v>
      </c>
      <c r="E1743" s="116">
        <v>1759</v>
      </c>
      <c r="F1743" s="116">
        <v>1760.2</v>
      </c>
      <c r="G1743">
        <v>5717</v>
      </c>
      <c r="H1743" s="116"/>
      <c r="I1743" s="116"/>
      <c r="L1743" s="170">
        <v>44571</v>
      </c>
      <c r="M1743" s="116">
        <v>1761.95</v>
      </c>
      <c r="N1743" s="116">
        <v>1789.9</v>
      </c>
      <c r="O1743" s="116">
        <v>1728.8</v>
      </c>
      <c r="P1743" s="116">
        <v>1754.5</v>
      </c>
      <c r="Q1743" s="116">
        <v>1761.95</v>
      </c>
      <c r="R1743">
        <v>136340</v>
      </c>
    </row>
    <row r="1744" spans="1:18" x14ac:dyDescent="0.25">
      <c r="A1744" s="170">
        <v>44572</v>
      </c>
      <c r="B1744" s="116">
        <v>1782.35</v>
      </c>
      <c r="C1744" s="116">
        <v>1772.85</v>
      </c>
      <c r="D1744" s="116">
        <v>1747.3</v>
      </c>
      <c r="E1744" s="116">
        <v>1773.45</v>
      </c>
      <c r="F1744" s="116">
        <v>1772.85</v>
      </c>
      <c r="G1744">
        <v>3194</v>
      </c>
      <c r="H1744" s="116"/>
      <c r="I1744" s="116"/>
      <c r="L1744" s="170">
        <v>44572</v>
      </c>
      <c r="M1744" s="116">
        <v>1773.45</v>
      </c>
      <c r="N1744" s="116">
        <v>1785</v>
      </c>
      <c r="O1744" s="116">
        <v>1746.5</v>
      </c>
      <c r="P1744" s="116">
        <v>1774</v>
      </c>
      <c r="Q1744" s="116">
        <v>1773.45</v>
      </c>
      <c r="R1744">
        <v>50393</v>
      </c>
    </row>
    <row r="1745" spans="1:18" x14ac:dyDescent="0.25">
      <c r="A1745" s="170">
        <v>44573</v>
      </c>
      <c r="B1745" s="116">
        <v>1774.9</v>
      </c>
      <c r="C1745" s="116">
        <v>1765.05</v>
      </c>
      <c r="D1745" s="116">
        <v>1742.8</v>
      </c>
      <c r="E1745" s="116">
        <v>1774.9</v>
      </c>
      <c r="F1745" s="116">
        <v>1765.05</v>
      </c>
      <c r="G1745">
        <v>1924</v>
      </c>
      <c r="H1745" s="116"/>
      <c r="I1745" s="116"/>
      <c r="L1745" s="170">
        <v>44573</v>
      </c>
      <c r="M1745" s="116">
        <v>1771.2</v>
      </c>
      <c r="N1745" s="116">
        <v>1783.05</v>
      </c>
      <c r="O1745" s="116">
        <v>1740.35</v>
      </c>
      <c r="P1745" s="116">
        <v>1775</v>
      </c>
      <c r="Q1745" s="116">
        <v>1771.2</v>
      </c>
      <c r="R1745">
        <v>43628</v>
      </c>
    </row>
    <row r="1746" spans="1:18" x14ac:dyDescent="0.25">
      <c r="A1746" s="170">
        <v>44574</v>
      </c>
      <c r="B1746" s="116">
        <v>1789.4</v>
      </c>
      <c r="C1746" s="116">
        <v>1769.45</v>
      </c>
      <c r="D1746" s="116">
        <v>1737.1</v>
      </c>
      <c r="E1746" s="116">
        <v>1760.85</v>
      </c>
      <c r="F1746" s="116">
        <v>1769.45</v>
      </c>
      <c r="G1746">
        <v>3582</v>
      </c>
      <c r="H1746" s="116"/>
      <c r="I1746" s="116"/>
      <c r="L1746" s="170">
        <v>44574</v>
      </c>
      <c r="M1746" s="116">
        <v>1773.75</v>
      </c>
      <c r="N1746" s="116">
        <v>1789</v>
      </c>
      <c r="O1746" s="116">
        <v>1735</v>
      </c>
      <c r="P1746" s="116">
        <v>1773</v>
      </c>
      <c r="Q1746" s="116">
        <v>1773.75</v>
      </c>
      <c r="R1746">
        <v>60820</v>
      </c>
    </row>
    <row r="1747" spans="1:18" x14ac:dyDescent="0.25">
      <c r="A1747" s="170">
        <v>44575</v>
      </c>
      <c r="B1747" s="116">
        <v>1787.7</v>
      </c>
      <c r="C1747" s="116">
        <v>1762.95</v>
      </c>
      <c r="D1747" s="116">
        <v>1733.3</v>
      </c>
      <c r="E1747" s="116">
        <v>1765.1</v>
      </c>
      <c r="F1747" s="116">
        <v>1762.95</v>
      </c>
      <c r="G1747">
        <v>2400</v>
      </c>
      <c r="H1747" s="116"/>
      <c r="I1747" s="116"/>
      <c r="L1747" s="170">
        <v>44575</v>
      </c>
      <c r="M1747" s="116">
        <v>1761.25</v>
      </c>
      <c r="N1747" s="116">
        <v>1788</v>
      </c>
      <c r="O1747" s="116">
        <v>1731.6</v>
      </c>
      <c r="P1747" s="116">
        <v>1773.75</v>
      </c>
      <c r="Q1747" s="116">
        <v>1761.25</v>
      </c>
      <c r="R1747">
        <v>35157</v>
      </c>
    </row>
    <row r="1748" spans="1:18" x14ac:dyDescent="0.25">
      <c r="A1748" s="170">
        <v>44578</v>
      </c>
      <c r="B1748" s="116">
        <v>1775.45</v>
      </c>
      <c r="C1748" s="116">
        <v>1738.15</v>
      </c>
      <c r="D1748" s="116">
        <v>1730.15</v>
      </c>
      <c r="E1748" s="116">
        <v>1760.1</v>
      </c>
      <c r="F1748" s="116">
        <v>1738.15</v>
      </c>
      <c r="G1748">
        <v>4467</v>
      </c>
      <c r="H1748" s="116"/>
      <c r="I1748" s="116"/>
      <c r="L1748" s="170">
        <v>44578</v>
      </c>
      <c r="M1748" s="116">
        <v>1738.4</v>
      </c>
      <c r="N1748" s="116">
        <v>1778</v>
      </c>
      <c r="O1748" s="116">
        <v>1730</v>
      </c>
      <c r="P1748" s="116">
        <v>1761.25</v>
      </c>
      <c r="Q1748" s="116">
        <v>1738.4</v>
      </c>
      <c r="R1748">
        <v>28751</v>
      </c>
    </row>
    <row r="1749" spans="1:18" x14ac:dyDescent="0.25">
      <c r="A1749" s="170">
        <v>44579</v>
      </c>
      <c r="B1749" s="116">
        <v>1750</v>
      </c>
      <c r="C1749" s="116">
        <v>1711.4</v>
      </c>
      <c r="D1749" s="116">
        <v>1695.35</v>
      </c>
      <c r="E1749" s="116">
        <v>1734.55</v>
      </c>
      <c r="F1749" s="116">
        <v>1711.4</v>
      </c>
      <c r="G1749">
        <v>3043</v>
      </c>
      <c r="H1749" s="116"/>
      <c r="I1749" s="116"/>
      <c r="L1749" s="170">
        <v>44579</v>
      </c>
      <c r="M1749" s="116">
        <v>1712.05</v>
      </c>
      <c r="N1749" s="116">
        <v>1753.35</v>
      </c>
      <c r="O1749" s="116">
        <v>1695.05</v>
      </c>
      <c r="P1749" s="116">
        <v>1738</v>
      </c>
      <c r="Q1749" s="116">
        <v>1712.05</v>
      </c>
      <c r="R1749">
        <v>25591</v>
      </c>
    </row>
    <row r="1750" spans="1:18" x14ac:dyDescent="0.25">
      <c r="A1750" s="170">
        <v>44580</v>
      </c>
      <c r="B1750" s="116">
        <v>1722.45</v>
      </c>
      <c r="C1750" s="116">
        <v>1711.4</v>
      </c>
      <c r="D1750" s="116">
        <v>1681.65</v>
      </c>
      <c r="E1750" s="116">
        <v>1692</v>
      </c>
      <c r="F1750" s="116">
        <v>1711.4</v>
      </c>
      <c r="G1750">
        <v>2317</v>
      </c>
      <c r="H1750" s="116"/>
      <c r="I1750" s="116"/>
      <c r="L1750" s="170">
        <v>44580</v>
      </c>
      <c r="M1750" s="116">
        <v>1713.3</v>
      </c>
      <c r="N1750" s="116">
        <v>1724</v>
      </c>
      <c r="O1750" s="116">
        <v>1683.9</v>
      </c>
      <c r="P1750" s="116">
        <v>1712.05</v>
      </c>
      <c r="Q1750" s="116">
        <v>1713.3</v>
      </c>
      <c r="R1750">
        <v>32380</v>
      </c>
    </row>
    <row r="1751" spans="1:18" x14ac:dyDescent="0.25">
      <c r="A1751" s="170">
        <v>44581</v>
      </c>
      <c r="B1751" s="116">
        <v>1744.35</v>
      </c>
      <c r="C1751" s="116">
        <v>1730.9</v>
      </c>
      <c r="D1751" s="116">
        <v>1701.5</v>
      </c>
      <c r="E1751" s="116">
        <v>1717</v>
      </c>
      <c r="F1751" s="116">
        <v>1730.9</v>
      </c>
      <c r="G1751">
        <v>1738</v>
      </c>
      <c r="H1751" s="116"/>
      <c r="I1751" s="116"/>
      <c r="L1751" s="170">
        <v>44581</v>
      </c>
      <c r="M1751" s="116">
        <v>1730.55</v>
      </c>
      <c r="N1751" s="116">
        <v>1743</v>
      </c>
      <c r="O1751" s="116">
        <v>1700.6</v>
      </c>
      <c r="P1751" s="116">
        <v>1711</v>
      </c>
      <c r="Q1751" s="116">
        <v>1730.55</v>
      </c>
      <c r="R1751">
        <v>44446</v>
      </c>
    </row>
    <row r="1752" spans="1:18" x14ac:dyDescent="0.25">
      <c r="A1752" s="170">
        <v>44582</v>
      </c>
      <c r="B1752" s="116">
        <v>1747.15</v>
      </c>
      <c r="C1752" s="116">
        <v>1725.5</v>
      </c>
      <c r="D1752" s="116">
        <v>1714.25</v>
      </c>
      <c r="E1752" s="116">
        <v>1726.5</v>
      </c>
      <c r="F1752" s="116">
        <v>1725.5</v>
      </c>
      <c r="G1752">
        <v>2543</v>
      </c>
      <c r="H1752" s="116"/>
      <c r="I1752" s="116"/>
      <c r="L1752" s="170">
        <v>44582</v>
      </c>
      <c r="M1752" s="116">
        <v>1728.55</v>
      </c>
      <c r="N1752" s="116">
        <v>1748.8</v>
      </c>
      <c r="O1752" s="116">
        <v>1712.35</v>
      </c>
      <c r="P1752" s="116">
        <v>1730.55</v>
      </c>
      <c r="Q1752" s="116">
        <v>1728.55</v>
      </c>
      <c r="R1752">
        <v>34381</v>
      </c>
    </row>
    <row r="1753" spans="1:18" x14ac:dyDescent="0.25">
      <c r="A1753" s="170">
        <v>44585</v>
      </c>
      <c r="B1753" s="116">
        <v>1747</v>
      </c>
      <c r="C1753" s="116">
        <v>1678.9</v>
      </c>
      <c r="D1753" s="116">
        <v>1668.8</v>
      </c>
      <c r="E1753" s="116">
        <v>1747</v>
      </c>
      <c r="F1753" s="116">
        <v>1678.9</v>
      </c>
      <c r="G1753">
        <v>6151</v>
      </c>
      <c r="H1753" s="116"/>
      <c r="I1753" s="116"/>
      <c r="L1753" s="170">
        <v>44585</v>
      </c>
      <c r="M1753" s="116">
        <v>1678.4</v>
      </c>
      <c r="N1753" s="116">
        <v>1749</v>
      </c>
      <c r="O1753" s="116">
        <v>1665.25</v>
      </c>
      <c r="P1753" s="116">
        <v>1745</v>
      </c>
      <c r="Q1753" s="116">
        <v>1678.4</v>
      </c>
      <c r="R1753">
        <v>40096</v>
      </c>
    </row>
    <row r="1754" spans="1:18" x14ac:dyDescent="0.25">
      <c r="A1754" s="170">
        <v>44586</v>
      </c>
      <c r="B1754" s="116">
        <v>1705</v>
      </c>
      <c r="C1754" s="116">
        <v>1652.5</v>
      </c>
      <c r="D1754" s="116">
        <v>1628.85</v>
      </c>
      <c r="E1754" s="116">
        <v>1660.2</v>
      </c>
      <c r="F1754" s="116">
        <v>1652.5</v>
      </c>
      <c r="G1754">
        <v>5473</v>
      </c>
      <c r="H1754" s="116"/>
      <c r="I1754" s="116"/>
      <c r="L1754" s="170">
        <v>44586</v>
      </c>
      <c r="M1754" s="116">
        <v>1653.1</v>
      </c>
      <c r="N1754" s="116">
        <v>1710</v>
      </c>
      <c r="O1754" s="116">
        <v>1631</v>
      </c>
      <c r="P1754" s="116">
        <v>1675</v>
      </c>
      <c r="Q1754" s="116">
        <v>1653.1</v>
      </c>
      <c r="R1754">
        <v>60656</v>
      </c>
    </row>
    <row r="1755" spans="1:18" x14ac:dyDescent="0.25">
      <c r="A1755" s="170">
        <v>44588</v>
      </c>
      <c r="B1755" s="116">
        <v>1656.5</v>
      </c>
      <c r="C1755" s="116">
        <v>1634.05</v>
      </c>
      <c r="D1755" s="116">
        <v>1590.2</v>
      </c>
      <c r="E1755" s="116">
        <v>1590.2</v>
      </c>
      <c r="F1755" s="116">
        <v>1634.05</v>
      </c>
      <c r="G1755">
        <v>2040</v>
      </c>
      <c r="H1755" s="116"/>
      <c r="I1755" s="116"/>
      <c r="L1755" s="170">
        <v>44588</v>
      </c>
      <c r="M1755" s="116">
        <v>1638.1</v>
      </c>
      <c r="N1755" s="116">
        <v>1664.95</v>
      </c>
      <c r="O1755" s="116">
        <v>1610</v>
      </c>
      <c r="P1755" s="116">
        <v>1664.95</v>
      </c>
      <c r="Q1755" s="116">
        <v>1638.1</v>
      </c>
      <c r="R1755">
        <v>163913</v>
      </c>
    </row>
    <row r="1756" spans="1:18" x14ac:dyDescent="0.25">
      <c r="A1756" s="170">
        <v>44589</v>
      </c>
      <c r="B1756" s="116">
        <v>1643.7</v>
      </c>
      <c r="C1756" s="116">
        <v>1600.15</v>
      </c>
      <c r="D1756" s="116">
        <v>1590.1</v>
      </c>
      <c r="E1756" s="116">
        <v>1638.55</v>
      </c>
      <c r="F1756" s="116">
        <v>1600.15</v>
      </c>
      <c r="G1756">
        <v>1864</v>
      </c>
      <c r="H1756" s="116"/>
      <c r="I1756" s="116"/>
      <c r="L1756" s="170">
        <v>44589</v>
      </c>
      <c r="M1756" s="116">
        <v>1591.75</v>
      </c>
      <c r="N1756" s="116">
        <v>1652.85</v>
      </c>
      <c r="O1756" s="116">
        <v>1590</v>
      </c>
      <c r="P1756" s="116">
        <v>1646.7</v>
      </c>
      <c r="Q1756" s="116">
        <v>1591.75</v>
      </c>
      <c r="R1756">
        <v>102771</v>
      </c>
    </row>
    <row r="1757" spans="1:18" x14ac:dyDescent="0.25">
      <c r="A1757" s="170">
        <v>44592</v>
      </c>
      <c r="B1757" s="116">
        <v>1586</v>
      </c>
      <c r="C1757" s="116">
        <v>1562.3</v>
      </c>
      <c r="D1757" s="116">
        <v>1536.1</v>
      </c>
      <c r="E1757" s="116">
        <v>1586</v>
      </c>
      <c r="F1757" s="116">
        <v>1562.3</v>
      </c>
      <c r="G1757">
        <v>9867</v>
      </c>
      <c r="H1757" s="116"/>
      <c r="I1757" s="116"/>
      <c r="L1757" s="170">
        <v>44592</v>
      </c>
      <c r="M1757" s="116">
        <v>1563.35</v>
      </c>
      <c r="N1757" s="116">
        <v>1579.75</v>
      </c>
      <c r="O1757" s="116">
        <v>1535.45</v>
      </c>
      <c r="P1757" s="116">
        <v>1565.05</v>
      </c>
      <c r="Q1757" s="116">
        <v>1563.35</v>
      </c>
      <c r="R1757">
        <v>188267</v>
      </c>
    </row>
    <row r="1758" spans="1:18" x14ac:dyDescent="0.25">
      <c r="A1758" s="170">
        <v>44593</v>
      </c>
      <c r="B1758" s="116">
        <v>1599</v>
      </c>
      <c r="C1758" s="116">
        <v>1537.75</v>
      </c>
      <c r="D1758" s="116">
        <v>1533.65</v>
      </c>
      <c r="E1758" s="116">
        <v>1599</v>
      </c>
      <c r="F1758" s="116">
        <v>1537.75</v>
      </c>
      <c r="G1758">
        <v>3376</v>
      </c>
      <c r="H1758" s="116"/>
      <c r="I1758" s="116"/>
      <c r="L1758" s="170">
        <v>44593</v>
      </c>
      <c r="M1758" s="116">
        <v>1536.25</v>
      </c>
      <c r="N1758" s="116">
        <v>1593.9</v>
      </c>
      <c r="O1758" s="116">
        <v>1533</v>
      </c>
      <c r="P1758" s="116">
        <v>1580</v>
      </c>
      <c r="Q1758" s="116">
        <v>1536.25</v>
      </c>
      <c r="R1758">
        <v>55831</v>
      </c>
    </row>
    <row r="1759" spans="1:18" x14ac:dyDescent="0.25">
      <c r="A1759" s="170">
        <v>44594</v>
      </c>
      <c r="B1759" s="116">
        <v>1582</v>
      </c>
      <c r="C1759" s="116">
        <v>1573.3</v>
      </c>
      <c r="D1759" s="116">
        <v>1536.05</v>
      </c>
      <c r="E1759" s="116">
        <v>1559</v>
      </c>
      <c r="F1759" s="116">
        <v>1573.3</v>
      </c>
      <c r="G1759">
        <v>3679</v>
      </c>
      <c r="H1759" s="116"/>
      <c r="I1759" s="116"/>
      <c r="L1759" s="170">
        <v>44594</v>
      </c>
      <c r="M1759" s="116">
        <v>1571.45</v>
      </c>
      <c r="N1759" s="116">
        <v>1583</v>
      </c>
      <c r="O1759" s="116">
        <v>1525</v>
      </c>
      <c r="P1759" s="116">
        <v>1554.5</v>
      </c>
      <c r="Q1759" s="116">
        <v>1571.45</v>
      </c>
      <c r="R1759">
        <v>66548</v>
      </c>
    </row>
    <row r="1760" spans="1:18" x14ac:dyDescent="0.25">
      <c r="A1760" s="170">
        <v>44595</v>
      </c>
      <c r="B1760" s="116">
        <v>1596.95</v>
      </c>
      <c r="C1760" s="116">
        <v>1551.9</v>
      </c>
      <c r="D1760" s="116">
        <v>1544.95</v>
      </c>
      <c r="E1760" s="116">
        <v>1596.95</v>
      </c>
      <c r="F1760" s="116">
        <v>1551.9</v>
      </c>
      <c r="G1760">
        <v>2465</v>
      </c>
      <c r="H1760" s="116"/>
      <c r="I1760" s="116"/>
      <c r="L1760" s="170">
        <v>44595</v>
      </c>
      <c r="M1760" s="116">
        <v>1549.75</v>
      </c>
      <c r="N1760" s="116">
        <v>1590</v>
      </c>
      <c r="O1760" s="116">
        <v>1542</v>
      </c>
      <c r="P1760" s="116">
        <v>1587.95</v>
      </c>
      <c r="Q1760" s="116">
        <v>1549.75</v>
      </c>
      <c r="R1760">
        <v>45364</v>
      </c>
    </row>
    <row r="1761" spans="1:18" x14ac:dyDescent="0.25">
      <c r="A1761" s="170">
        <v>44596</v>
      </c>
      <c r="B1761" s="116">
        <v>1580</v>
      </c>
      <c r="C1761" s="116">
        <v>1572.3</v>
      </c>
      <c r="D1761" s="116">
        <v>1545.05</v>
      </c>
      <c r="E1761" s="116">
        <v>1563.25</v>
      </c>
      <c r="F1761" s="116">
        <v>1572.3</v>
      </c>
      <c r="G1761">
        <v>3568</v>
      </c>
      <c r="H1761" s="116"/>
      <c r="I1761" s="116"/>
      <c r="L1761" s="170">
        <v>44596</v>
      </c>
      <c r="M1761" s="116">
        <v>1573.2</v>
      </c>
      <c r="N1761" s="116">
        <v>1580</v>
      </c>
      <c r="O1761" s="116">
        <v>1545</v>
      </c>
      <c r="P1761" s="116">
        <v>1564</v>
      </c>
      <c r="Q1761" s="116">
        <v>1573.2</v>
      </c>
      <c r="R1761">
        <v>37352</v>
      </c>
    </row>
    <row r="1762" spans="1:18" x14ac:dyDescent="0.25">
      <c r="A1762" s="170">
        <v>44599</v>
      </c>
      <c r="B1762" s="116">
        <v>1590.3</v>
      </c>
      <c r="C1762" s="116">
        <v>1580.45</v>
      </c>
      <c r="D1762" s="116">
        <v>1570.25</v>
      </c>
      <c r="E1762" s="116">
        <v>1581.15</v>
      </c>
      <c r="F1762" s="116">
        <v>1580.45</v>
      </c>
      <c r="G1762">
        <v>1714</v>
      </c>
      <c r="H1762" s="116"/>
      <c r="I1762" s="116"/>
      <c r="L1762" s="170">
        <v>44599</v>
      </c>
      <c r="M1762" s="116">
        <v>1580.5</v>
      </c>
      <c r="N1762" s="116">
        <v>1594</v>
      </c>
      <c r="O1762" s="116">
        <v>1568.8</v>
      </c>
      <c r="P1762" s="116">
        <v>1588</v>
      </c>
      <c r="Q1762" s="116">
        <v>1580.5</v>
      </c>
      <c r="R1762">
        <v>99846</v>
      </c>
    </row>
    <row r="1763" spans="1:18" x14ac:dyDescent="0.25">
      <c r="A1763" s="170">
        <v>44600</v>
      </c>
      <c r="B1763" s="116">
        <v>1570.4</v>
      </c>
      <c r="C1763" s="116">
        <v>1553.3</v>
      </c>
      <c r="D1763" s="116">
        <v>1536.1</v>
      </c>
      <c r="E1763" s="116">
        <v>1559.6</v>
      </c>
      <c r="F1763" s="116">
        <v>1553.3</v>
      </c>
      <c r="G1763">
        <v>3129</v>
      </c>
      <c r="H1763" s="116"/>
      <c r="I1763" s="116"/>
      <c r="L1763" s="170">
        <v>44600</v>
      </c>
      <c r="M1763" s="116">
        <v>1550.3</v>
      </c>
      <c r="N1763" s="116">
        <v>1571.1</v>
      </c>
      <c r="O1763" s="116">
        <v>1535.5</v>
      </c>
      <c r="P1763" s="116">
        <v>1553</v>
      </c>
      <c r="Q1763" s="116">
        <v>1550.3</v>
      </c>
      <c r="R1763">
        <v>92176</v>
      </c>
    </row>
    <row r="1764" spans="1:18" x14ac:dyDescent="0.25">
      <c r="A1764" s="170">
        <v>44601</v>
      </c>
      <c r="B1764" s="116">
        <v>1572.95</v>
      </c>
      <c r="C1764" s="116">
        <v>1540.2</v>
      </c>
      <c r="D1764" s="116">
        <v>1533</v>
      </c>
      <c r="E1764" s="116">
        <v>1560.6</v>
      </c>
      <c r="F1764" s="116">
        <v>1540.2</v>
      </c>
      <c r="G1764">
        <v>3221</v>
      </c>
      <c r="H1764" s="116"/>
      <c r="I1764" s="116"/>
      <c r="L1764" s="170">
        <v>44601</v>
      </c>
      <c r="M1764" s="116">
        <v>1537.75</v>
      </c>
      <c r="N1764" s="116">
        <v>1574.5</v>
      </c>
      <c r="O1764" s="116">
        <v>1532.5</v>
      </c>
      <c r="P1764" s="116">
        <v>1567</v>
      </c>
      <c r="Q1764" s="116">
        <v>1537.75</v>
      </c>
      <c r="R1764">
        <v>111577</v>
      </c>
    </row>
    <row r="1765" spans="1:18" x14ac:dyDescent="0.25">
      <c r="A1765" s="170">
        <v>44602</v>
      </c>
      <c r="B1765" s="116">
        <v>1564.55</v>
      </c>
      <c r="C1765" s="116">
        <v>1559.8</v>
      </c>
      <c r="D1765" s="116">
        <v>1530</v>
      </c>
      <c r="E1765" s="116">
        <v>1530</v>
      </c>
      <c r="F1765" s="116">
        <v>1559.8</v>
      </c>
      <c r="G1765">
        <v>12132</v>
      </c>
      <c r="H1765" s="116"/>
      <c r="I1765" s="116"/>
      <c r="L1765" s="170">
        <v>44602</v>
      </c>
      <c r="M1765" s="116">
        <v>1562.95</v>
      </c>
      <c r="N1765" s="116">
        <v>1567.3</v>
      </c>
      <c r="O1765" s="116">
        <v>1533.7</v>
      </c>
      <c r="P1765" s="116">
        <v>1558</v>
      </c>
      <c r="Q1765" s="116">
        <v>1562.95</v>
      </c>
      <c r="R1765">
        <v>38776</v>
      </c>
    </row>
    <row r="1766" spans="1:18" x14ac:dyDescent="0.25">
      <c r="A1766" s="170">
        <v>44603</v>
      </c>
      <c r="B1766" s="116">
        <v>1579.15</v>
      </c>
      <c r="C1766" s="116">
        <v>1568.9</v>
      </c>
      <c r="D1766" s="116">
        <v>1538</v>
      </c>
      <c r="E1766" s="116">
        <v>1538</v>
      </c>
      <c r="F1766" s="116">
        <v>1568.9</v>
      </c>
      <c r="G1766">
        <v>2347</v>
      </c>
      <c r="H1766" s="116"/>
      <c r="I1766" s="116"/>
      <c r="L1766" s="170">
        <v>44603</v>
      </c>
      <c r="M1766" s="116">
        <v>1569.55</v>
      </c>
      <c r="N1766" s="116">
        <v>1578.95</v>
      </c>
      <c r="O1766" s="116">
        <v>1554.25</v>
      </c>
      <c r="P1766" s="116">
        <v>1555</v>
      </c>
      <c r="Q1766" s="116">
        <v>1569.55</v>
      </c>
      <c r="R1766">
        <v>63179</v>
      </c>
    </row>
    <row r="1767" spans="1:18" x14ac:dyDescent="0.25">
      <c r="A1767" s="170">
        <v>44606</v>
      </c>
      <c r="B1767" s="116">
        <v>1567.2</v>
      </c>
      <c r="C1767" s="116">
        <v>1542.35</v>
      </c>
      <c r="D1767" s="116">
        <v>1536.15</v>
      </c>
      <c r="E1767" s="116">
        <v>1550</v>
      </c>
      <c r="F1767" s="116">
        <v>1542.35</v>
      </c>
      <c r="G1767">
        <v>1938</v>
      </c>
      <c r="H1767" s="116"/>
      <c r="I1767" s="116"/>
      <c r="L1767" s="170">
        <v>44606</v>
      </c>
      <c r="M1767" s="116">
        <v>1542.2</v>
      </c>
      <c r="N1767" s="116">
        <v>1568.4</v>
      </c>
      <c r="O1767" s="116">
        <v>1536.35</v>
      </c>
      <c r="P1767" s="116">
        <v>1560</v>
      </c>
      <c r="Q1767" s="116">
        <v>1542.2</v>
      </c>
      <c r="R1767">
        <v>59167</v>
      </c>
    </row>
    <row r="1768" spans="1:18" x14ac:dyDescent="0.25">
      <c r="A1768" s="170">
        <v>44607</v>
      </c>
      <c r="B1768" s="116">
        <v>1584.45</v>
      </c>
      <c r="C1768" s="116">
        <v>1571.05</v>
      </c>
      <c r="D1768" s="116">
        <v>1530.05</v>
      </c>
      <c r="E1768" s="116">
        <v>1530.05</v>
      </c>
      <c r="F1768" s="116">
        <v>1571.05</v>
      </c>
      <c r="G1768">
        <v>3762</v>
      </c>
      <c r="H1768" s="116"/>
      <c r="I1768" s="116"/>
      <c r="L1768" s="170">
        <v>44607</v>
      </c>
      <c r="M1768" s="116">
        <v>1572.25</v>
      </c>
      <c r="N1768" s="116">
        <v>1584.45</v>
      </c>
      <c r="O1768" s="116">
        <v>1542</v>
      </c>
      <c r="P1768" s="116">
        <v>1545.5</v>
      </c>
      <c r="Q1768" s="116">
        <v>1572.25</v>
      </c>
      <c r="R1768">
        <v>55071</v>
      </c>
    </row>
    <row r="1769" spans="1:18" x14ac:dyDescent="0.25">
      <c r="A1769" s="170">
        <v>44608</v>
      </c>
      <c r="B1769" s="116">
        <v>1580</v>
      </c>
      <c r="C1769" s="116">
        <v>1573.1</v>
      </c>
      <c r="D1769" s="116">
        <v>1547.85</v>
      </c>
      <c r="E1769" s="116">
        <v>1579.25</v>
      </c>
      <c r="F1769" s="116">
        <v>1573.1</v>
      </c>
      <c r="G1769">
        <v>1590</v>
      </c>
      <c r="H1769" s="116"/>
      <c r="I1769" s="116"/>
      <c r="L1769" s="170">
        <v>44608</v>
      </c>
      <c r="M1769" s="116">
        <v>1572.2</v>
      </c>
      <c r="N1769" s="116">
        <v>1580.1</v>
      </c>
      <c r="O1769" s="116">
        <v>1546.65</v>
      </c>
      <c r="P1769" s="116">
        <v>1576.5</v>
      </c>
      <c r="Q1769" s="116">
        <v>1572.2</v>
      </c>
      <c r="R1769">
        <v>40676</v>
      </c>
    </row>
    <row r="1770" spans="1:18" x14ac:dyDescent="0.25">
      <c r="A1770" s="170">
        <v>44609</v>
      </c>
      <c r="B1770" s="116">
        <v>1580</v>
      </c>
      <c r="C1770" s="116">
        <v>1562.8</v>
      </c>
      <c r="D1770" s="116">
        <v>1545.05</v>
      </c>
      <c r="E1770" s="116">
        <v>1569.7</v>
      </c>
      <c r="F1770" s="116">
        <v>1562.8</v>
      </c>
      <c r="G1770">
        <v>2626</v>
      </c>
      <c r="H1770" s="116"/>
      <c r="I1770" s="116"/>
      <c r="L1770" s="170">
        <v>44609</v>
      </c>
      <c r="M1770" s="116">
        <v>1565.35</v>
      </c>
      <c r="N1770" s="116">
        <v>1584</v>
      </c>
      <c r="O1770" s="116">
        <v>1545.25</v>
      </c>
      <c r="P1770" s="116">
        <v>1575.05</v>
      </c>
      <c r="Q1770" s="116">
        <v>1565.35</v>
      </c>
      <c r="R1770">
        <v>41976</v>
      </c>
    </row>
    <row r="1771" spans="1:18" x14ac:dyDescent="0.25">
      <c r="A1771" s="170">
        <v>44610</v>
      </c>
      <c r="B1771" s="116">
        <v>1575.05</v>
      </c>
      <c r="C1771" s="116">
        <v>1565.45</v>
      </c>
      <c r="D1771" s="116">
        <v>1547.45</v>
      </c>
      <c r="E1771" s="116">
        <v>1562</v>
      </c>
      <c r="F1771" s="116">
        <v>1565.45</v>
      </c>
      <c r="G1771">
        <v>3586</v>
      </c>
      <c r="H1771" s="116"/>
      <c r="I1771" s="116"/>
      <c r="L1771" s="170">
        <v>44610</v>
      </c>
      <c r="M1771" s="116">
        <v>1567.6</v>
      </c>
      <c r="N1771" s="116">
        <v>1576.95</v>
      </c>
      <c r="O1771" s="116">
        <v>1547.95</v>
      </c>
      <c r="P1771" s="116">
        <v>1565.35</v>
      </c>
      <c r="Q1771" s="116">
        <v>1567.6</v>
      </c>
      <c r="R1771">
        <v>20410</v>
      </c>
    </row>
    <row r="1772" spans="1:18" x14ac:dyDescent="0.25">
      <c r="A1772" s="170">
        <v>44613</v>
      </c>
      <c r="B1772" s="116">
        <v>1572.2</v>
      </c>
      <c r="C1772" s="116">
        <v>1566.25</v>
      </c>
      <c r="D1772" s="116">
        <v>1545.5</v>
      </c>
      <c r="E1772" s="116">
        <v>1559</v>
      </c>
      <c r="F1772" s="116">
        <v>1566.25</v>
      </c>
      <c r="G1772">
        <v>2633</v>
      </c>
      <c r="H1772" s="116"/>
      <c r="I1772" s="116"/>
      <c r="L1772" s="170">
        <v>44613</v>
      </c>
      <c r="M1772" s="116">
        <v>1567.4</v>
      </c>
      <c r="N1772" s="116">
        <v>1574.95</v>
      </c>
      <c r="O1772" s="116">
        <v>1545.5</v>
      </c>
      <c r="P1772" s="116">
        <v>1556</v>
      </c>
      <c r="Q1772" s="116">
        <v>1567.4</v>
      </c>
      <c r="R1772">
        <v>28333</v>
      </c>
    </row>
    <row r="1773" spans="1:18" x14ac:dyDescent="0.25">
      <c r="A1773" s="170">
        <v>44614</v>
      </c>
      <c r="B1773" s="116">
        <v>1552.95</v>
      </c>
      <c r="C1773" s="116">
        <v>1522.5</v>
      </c>
      <c r="D1773" s="116">
        <v>1513.45</v>
      </c>
      <c r="E1773" s="116">
        <v>1530</v>
      </c>
      <c r="F1773" s="116">
        <v>1522.5</v>
      </c>
      <c r="G1773">
        <v>2928</v>
      </c>
      <c r="H1773" s="116"/>
      <c r="I1773" s="116"/>
      <c r="L1773" s="170">
        <v>44614</v>
      </c>
      <c r="M1773" s="116">
        <v>1525.5</v>
      </c>
      <c r="N1773" s="116">
        <v>1560</v>
      </c>
      <c r="O1773" s="116">
        <v>1516</v>
      </c>
      <c r="P1773" s="116">
        <v>1560</v>
      </c>
      <c r="Q1773" s="116">
        <v>1525.5</v>
      </c>
      <c r="R1773">
        <v>43227</v>
      </c>
    </row>
    <row r="1774" spans="1:18" x14ac:dyDescent="0.25">
      <c r="A1774" s="170">
        <v>44615</v>
      </c>
      <c r="B1774" s="116">
        <v>1569.8</v>
      </c>
      <c r="C1774" s="116">
        <v>1564</v>
      </c>
      <c r="D1774" s="116">
        <v>1529</v>
      </c>
      <c r="E1774" s="116">
        <v>1552.95</v>
      </c>
      <c r="F1774" s="116">
        <v>1564</v>
      </c>
      <c r="G1774">
        <v>1327</v>
      </c>
      <c r="H1774" s="116"/>
      <c r="I1774" s="116"/>
      <c r="L1774" s="170">
        <v>44615</v>
      </c>
      <c r="M1774" s="116">
        <v>1567.35</v>
      </c>
      <c r="N1774" s="116">
        <v>1570.15</v>
      </c>
      <c r="O1774" s="116">
        <v>1528</v>
      </c>
      <c r="P1774" s="116">
        <v>1528</v>
      </c>
      <c r="Q1774" s="116">
        <v>1567.35</v>
      </c>
      <c r="R1774">
        <v>30355</v>
      </c>
    </row>
    <row r="1775" spans="1:18" x14ac:dyDescent="0.25">
      <c r="A1775" s="170">
        <v>44616</v>
      </c>
      <c r="B1775" s="116">
        <v>1585</v>
      </c>
      <c r="C1775" s="116">
        <v>1502.25</v>
      </c>
      <c r="D1775" s="116">
        <v>1489.25</v>
      </c>
      <c r="E1775" s="116">
        <v>1585</v>
      </c>
      <c r="F1775" s="116">
        <v>1502.25</v>
      </c>
      <c r="G1775">
        <v>4577</v>
      </c>
      <c r="H1775" s="116"/>
      <c r="I1775" s="116"/>
      <c r="L1775" s="170">
        <v>44616</v>
      </c>
      <c r="M1775" s="116">
        <v>1500.25</v>
      </c>
      <c r="N1775" s="116">
        <v>1568.4</v>
      </c>
      <c r="O1775" s="116">
        <v>1486.8</v>
      </c>
      <c r="P1775" s="116">
        <v>1535</v>
      </c>
      <c r="Q1775" s="116">
        <v>1500.25</v>
      </c>
      <c r="R1775">
        <v>45066</v>
      </c>
    </row>
    <row r="1776" spans="1:18" x14ac:dyDescent="0.25">
      <c r="A1776" s="170">
        <v>44617</v>
      </c>
      <c r="B1776" s="116">
        <v>1548.5</v>
      </c>
      <c r="C1776" s="116">
        <v>1517.75</v>
      </c>
      <c r="D1776" s="116">
        <v>1502.25</v>
      </c>
      <c r="E1776" s="116">
        <v>1502.25</v>
      </c>
      <c r="F1776" s="116">
        <v>1517.75</v>
      </c>
      <c r="G1776">
        <v>3214</v>
      </c>
      <c r="H1776" s="116"/>
      <c r="I1776" s="116"/>
      <c r="L1776" s="170">
        <v>44617</v>
      </c>
      <c r="M1776" s="116">
        <v>1517.2</v>
      </c>
      <c r="N1776" s="116">
        <v>1549.45</v>
      </c>
      <c r="O1776" s="116">
        <v>1491.3</v>
      </c>
      <c r="P1776" s="116">
        <v>1491.3</v>
      </c>
      <c r="Q1776" s="116">
        <v>1517.2</v>
      </c>
      <c r="R1776">
        <v>17296</v>
      </c>
    </row>
    <row r="1777" spans="1:18" x14ac:dyDescent="0.25">
      <c r="A1777" s="170">
        <v>44620</v>
      </c>
      <c r="B1777" s="116">
        <v>1559.2</v>
      </c>
      <c r="C1777" s="116">
        <v>1519.45</v>
      </c>
      <c r="D1777" s="116">
        <v>1510.85</v>
      </c>
      <c r="E1777" s="116">
        <v>1521.5</v>
      </c>
      <c r="F1777" s="116">
        <v>1519.45</v>
      </c>
      <c r="G1777">
        <v>2333</v>
      </c>
      <c r="H1777" s="116"/>
      <c r="I1777" s="116"/>
      <c r="L1777" s="170">
        <v>44620</v>
      </c>
      <c r="M1777" s="116">
        <v>1519.25</v>
      </c>
      <c r="N1777" s="116">
        <v>1558.7</v>
      </c>
      <c r="O1777" s="116">
        <v>1510.1</v>
      </c>
      <c r="P1777" s="116">
        <v>1517.2</v>
      </c>
      <c r="Q1777" s="116">
        <v>1519.25</v>
      </c>
      <c r="R1777">
        <v>38297</v>
      </c>
    </row>
    <row r="1778" spans="1:18" x14ac:dyDescent="0.25">
      <c r="A1778" s="170">
        <v>44622</v>
      </c>
      <c r="B1778" s="116">
        <v>1541.85</v>
      </c>
      <c r="C1778" s="116">
        <v>1538.95</v>
      </c>
      <c r="D1778" s="116">
        <v>1494.05</v>
      </c>
      <c r="E1778" s="116">
        <v>1521</v>
      </c>
      <c r="F1778" s="116">
        <v>1538.95</v>
      </c>
      <c r="G1778">
        <v>2323</v>
      </c>
      <c r="H1778" s="116"/>
      <c r="I1778" s="116"/>
      <c r="L1778" s="170">
        <v>44622</v>
      </c>
      <c r="M1778" s="116">
        <v>1540.1</v>
      </c>
      <c r="N1778" s="116">
        <v>1545</v>
      </c>
      <c r="O1778" s="116">
        <v>1491.6</v>
      </c>
      <c r="P1778" s="116">
        <v>1526.25</v>
      </c>
      <c r="Q1778" s="116">
        <v>1540.1</v>
      </c>
      <c r="R1778">
        <v>54973</v>
      </c>
    </row>
    <row r="1779" spans="1:18" x14ac:dyDescent="0.25">
      <c r="A1779" s="170">
        <v>44623</v>
      </c>
      <c r="B1779" s="116">
        <v>1560</v>
      </c>
      <c r="C1779" s="116">
        <v>1523</v>
      </c>
      <c r="D1779" s="116">
        <v>1515.1</v>
      </c>
      <c r="E1779" s="116">
        <v>1560</v>
      </c>
      <c r="F1779" s="116">
        <v>1523</v>
      </c>
      <c r="G1779">
        <v>996</v>
      </c>
      <c r="H1779" s="116"/>
      <c r="I1779" s="116"/>
      <c r="L1779" s="170">
        <v>44623</v>
      </c>
      <c r="M1779" s="116">
        <v>1523.9</v>
      </c>
      <c r="N1779" s="116">
        <v>1549.35</v>
      </c>
      <c r="O1779" s="116">
        <v>1515</v>
      </c>
      <c r="P1779" s="116">
        <v>1547.95</v>
      </c>
      <c r="Q1779" s="116">
        <v>1523.9</v>
      </c>
      <c r="R1779">
        <v>32661</v>
      </c>
    </row>
    <row r="1780" spans="1:18" x14ac:dyDescent="0.25">
      <c r="A1780" s="170">
        <v>44624</v>
      </c>
      <c r="B1780" s="116">
        <v>1522.8</v>
      </c>
      <c r="C1780" s="116">
        <v>1487.3</v>
      </c>
      <c r="D1780" s="116">
        <v>1481.25</v>
      </c>
      <c r="E1780" s="116">
        <v>1516.05</v>
      </c>
      <c r="F1780" s="116">
        <v>1487.3</v>
      </c>
      <c r="G1780">
        <v>1456</v>
      </c>
      <c r="H1780" s="116"/>
      <c r="I1780" s="116"/>
      <c r="L1780" s="170">
        <v>44624</v>
      </c>
      <c r="M1780" s="116">
        <v>1487.45</v>
      </c>
      <c r="N1780" s="116">
        <v>1525.65</v>
      </c>
      <c r="O1780" s="116">
        <v>1481</v>
      </c>
      <c r="P1780" s="116">
        <v>1515</v>
      </c>
      <c r="Q1780" s="116">
        <v>1487.45</v>
      </c>
      <c r="R1780">
        <v>16220</v>
      </c>
    </row>
    <row r="1781" spans="1:18" x14ac:dyDescent="0.25">
      <c r="A1781" s="170">
        <v>44627</v>
      </c>
      <c r="B1781" s="116">
        <v>1527.3</v>
      </c>
      <c r="C1781" s="116">
        <v>1505.25</v>
      </c>
      <c r="D1781" s="116">
        <v>1458</v>
      </c>
      <c r="E1781" s="116">
        <v>1458</v>
      </c>
      <c r="F1781" s="116">
        <v>1505.25</v>
      </c>
      <c r="G1781">
        <v>2914</v>
      </c>
      <c r="H1781" s="116"/>
      <c r="I1781" s="116"/>
      <c r="L1781" s="170">
        <v>44627</v>
      </c>
      <c r="M1781" s="116">
        <v>1505.95</v>
      </c>
      <c r="N1781" s="116">
        <v>1528.65</v>
      </c>
      <c r="O1781" s="116">
        <v>1460</v>
      </c>
      <c r="P1781" s="116">
        <v>1475</v>
      </c>
      <c r="Q1781" s="116">
        <v>1505.95</v>
      </c>
      <c r="R1781">
        <v>159348</v>
      </c>
    </row>
    <row r="1782" spans="1:18" x14ac:dyDescent="0.25">
      <c r="A1782" s="170">
        <v>44628</v>
      </c>
      <c r="B1782" s="116">
        <v>1520</v>
      </c>
      <c r="C1782" s="116">
        <v>1490.5</v>
      </c>
      <c r="D1782" s="116">
        <v>1473.75</v>
      </c>
      <c r="E1782" s="116">
        <v>1499.9</v>
      </c>
      <c r="F1782" s="116">
        <v>1490.5</v>
      </c>
      <c r="G1782">
        <v>3262</v>
      </c>
      <c r="H1782" s="116"/>
      <c r="I1782" s="116"/>
      <c r="L1782" s="170">
        <v>44628</v>
      </c>
      <c r="M1782" s="116">
        <v>1492</v>
      </c>
      <c r="N1782" s="116">
        <v>1520.95</v>
      </c>
      <c r="O1782" s="116">
        <v>1472.25</v>
      </c>
      <c r="P1782" s="116">
        <v>1485</v>
      </c>
      <c r="Q1782" s="116">
        <v>1492</v>
      </c>
      <c r="R1782">
        <v>111775</v>
      </c>
    </row>
    <row r="1783" spans="1:18" x14ac:dyDescent="0.25">
      <c r="A1783" s="170">
        <v>44629</v>
      </c>
      <c r="B1783" s="116">
        <v>1568.65</v>
      </c>
      <c r="C1783" s="116">
        <v>1552.1</v>
      </c>
      <c r="D1783" s="116">
        <v>1497.15</v>
      </c>
      <c r="E1783" s="116">
        <v>1501.5</v>
      </c>
      <c r="F1783" s="116">
        <v>1552.1</v>
      </c>
      <c r="G1783">
        <v>2537</v>
      </c>
      <c r="H1783" s="116"/>
      <c r="I1783" s="116"/>
      <c r="L1783" s="170">
        <v>44629</v>
      </c>
      <c r="M1783" s="116">
        <v>1556.65</v>
      </c>
      <c r="N1783" s="116">
        <v>1569.8</v>
      </c>
      <c r="O1783" s="116">
        <v>1492</v>
      </c>
      <c r="P1783" s="116">
        <v>1504.9</v>
      </c>
      <c r="Q1783" s="116">
        <v>1556.65</v>
      </c>
      <c r="R1783">
        <v>25508</v>
      </c>
    </row>
    <row r="1784" spans="1:18" x14ac:dyDescent="0.25">
      <c r="A1784" s="170">
        <v>44630</v>
      </c>
      <c r="B1784" s="116">
        <v>1571.95</v>
      </c>
      <c r="C1784" s="116">
        <v>1529.4</v>
      </c>
      <c r="D1784" s="116">
        <v>1521.05</v>
      </c>
      <c r="E1784" s="116">
        <v>1566.95</v>
      </c>
      <c r="F1784" s="116">
        <v>1529.4</v>
      </c>
      <c r="G1784">
        <v>2779</v>
      </c>
      <c r="H1784" s="116"/>
      <c r="I1784" s="116"/>
      <c r="L1784" s="170">
        <v>44630</v>
      </c>
      <c r="M1784" s="116">
        <v>1528.35</v>
      </c>
      <c r="N1784" s="116">
        <v>1574</v>
      </c>
      <c r="O1784" s="116">
        <v>1521.2</v>
      </c>
      <c r="P1784" s="116">
        <v>1560</v>
      </c>
      <c r="Q1784" s="116">
        <v>1528.35</v>
      </c>
      <c r="R1784">
        <v>20313</v>
      </c>
    </row>
    <row r="1785" spans="1:18" x14ac:dyDescent="0.25">
      <c r="A1785" s="170">
        <v>44631</v>
      </c>
      <c r="B1785" s="116">
        <v>1565.95</v>
      </c>
      <c r="C1785" s="116">
        <v>1546.45</v>
      </c>
      <c r="D1785" s="116">
        <v>1533</v>
      </c>
      <c r="E1785" s="116">
        <v>1543.25</v>
      </c>
      <c r="F1785" s="116">
        <v>1546.45</v>
      </c>
      <c r="G1785">
        <v>2675</v>
      </c>
      <c r="H1785" s="116"/>
      <c r="I1785" s="116"/>
      <c r="L1785" s="170">
        <v>44631</v>
      </c>
      <c r="M1785" s="116">
        <v>1544.3</v>
      </c>
      <c r="N1785" s="116">
        <v>1567.15</v>
      </c>
      <c r="O1785" s="116">
        <v>1533.3</v>
      </c>
      <c r="P1785" s="116">
        <v>1538</v>
      </c>
      <c r="Q1785" s="116">
        <v>1544.3</v>
      </c>
      <c r="R1785">
        <v>23053</v>
      </c>
    </row>
    <row r="1786" spans="1:18" x14ac:dyDescent="0.25">
      <c r="A1786" s="170">
        <v>44634</v>
      </c>
      <c r="B1786" s="116">
        <v>1565.45</v>
      </c>
      <c r="C1786" s="116">
        <v>1548.75</v>
      </c>
      <c r="D1786" s="116">
        <v>1532.2</v>
      </c>
      <c r="E1786" s="116">
        <v>1559</v>
      </c>
      <c r="F1786" s="116">
        <v>1548.75</v>
      </c>
      <c r="G1786">
        <v>1772</v>
      </c>
      <c r="H1786" s="116"/>
      <c r="I1786" s="116"/>
      <c r="L1786" s="170">
        <v>44634</v>
      </c>
      <c r="M1786" s="116">
        <v>1553.5</v>
      </c>
      <c r="N1786" s="116">
        <v>1568</v>
      </c>
      <c r="O1786" s="116">
        <v>1530.5</v>
      </c>
      <c r="P1786" s="116">
        <v>1568</v>
      </c>
      <c r="Q1786" s="116">
        <v>1553.5</v>
      </c>
      <c r="R1786">
        <v>103258</v>
      </c>
    </row>
    <row r="1787" spans="1:18" x14ac:dyDescent="0.25">
      <c r="A1787" s="170">
        <v>44635</v>
      </c>
      <c r="B1787" s="116">
        <v>1587.65</v>
      </c>
      <c r="C1787" s="116">
        <v>1568.7</v>
      </c>
      <c r="D1787" s="116">
        <v>1548.75</v>
      </c>
      <c r="E1787" s="116">
        <v>1548.75</v>
      </c>
      <c r="F1787" s="116">
        <v>1568.7</v>
      </c>
      <c r="G1787">
        <v>910</v>
      </c>
      <c r="H1787" s="116"/>
      <c r="I1787" s="116"/>
      <c r="L1787" s="170">
        <v>44635</v>
      </c>
      <c r="M1787" s="116">
        <v>1570.35</v>
      </c>
      <c r="N1787" s="116">
        <v>1590</v>
      </c>
      <c r="O1787" s="116">
        <v>1552.95</v>
      </c>
      <c r="P1787" s="116">
        <v>1553</v>
      </c>
      <c r="Q1787" s="116">
        <v>1570.35</v>
      </c>
      <c r="R1787">
        <v>31518</v>
      </c>
    </row>
    <row r="1788" spans="1:18" x14ac:dyDescent="0.25">
      <c r="A1788" s="170">
        <v>44636</v>
      </c>
      <c r="B1788" s="116">
        <v>1596</v>
      </c>
      <c r="C1788" s="116">
        <v>1571.45</v>
      </c>
      <c r="D1788" s="116">
        <v>1526.5</v>
      </c>
      <c r="E1788" s="116">
        <v>1575.45</v>
      </c>
      <c r="F1788" s="116">
        <v>1571.45</v>
      </c>
      <c r="G1788">
        <v>2994</v>
      </c>
      <c r="H1788" s="116"/>
      <c r="I1788" s="116"/>
      <c r="L1788" s="170">
        <v>44636</v>
      </c>
      <c r="M1788" s="116">
        <v>1572.2</v>
      </c>
      <c r="N1788" s="116">
        <v>1597.85</v>
      </c>
      <c r="O1788" s="116">
        <v>1526.35</v>
      </c>
      <c r="P1788" s="116">
        <v>1569.8</v>
      </c>
      <c r="Q1788" s="116">
        <v>1572.2</v>
      </c>
      <c r="R1788">
        <v>72603</v>
      </c>
    </row>
    <row r="1789" spans="1:18" x14ac:dyDescent="0.25">
      <c r="A1789" s="170">
        <v>44637</v>
      </c>
      <c r="B1789" s="116">
        <v>1607.15</v>
      </c>
      <c r="C1789" s="116">
        <v>1569.3</v>
      </c>
      <c r="D1789" s="116">
        <v>1557.5</v>
      </c>
      <c r="E1789" s="116">
        <v>1594</v>
      </c>
      <c r="F1789" s="116">
        <v>1569.3</v>
      </c>
      <c r="G1789">
        <v>2717</v>
      </c>
      <c r="H1789" s="116"/>
      <c r="I1789" s="116"/>
      <c r="L1789" s="170">
        <v>44637</v>
      </c>
      <c r="M1789" s="116">
        <v>1571.5</v>
      </c>
      <c r="N1789" s="116">
        <v>1611.6</v>
      </c>
      <c r="O1789" s="116">
        <v>1556.15</v>
      </c>
      <c r="P1789" s="116">
        <v>1600</v>
      </c>
      <c r="Q1789" s="116">
        <v>1571.5</v>
      </c>
      <c r="R1789">
        <v>110232</v>
      </c>
    </row>
    <row r="1790" spans="1:18" x14ac:dyDescent="0.25">
      <c r="A1790" s="170">
        <v>44641</v>
      </c>
      <c r="B1790" s="116">
        <v>1602.55</v>
      </c>
      <c r="C1790" s="116">
        <v>1581.2</v>
      </c>
      <c r="D1790" s="116">
        <v>1563.05</v>
      </c>
      <c r="E1790" s="116">
        <v>1569.3</v>
      </c>
      <c r="F1790" s="116">
        <v>1581.2</v>
      </c>
      <c r="G1790">
        <v>1860</v>
      </c>
      <c r="H1790" s="116"/>
      <c r="I1790" s="116"/>
      <c r="L1790" s="170">
        <v>44641</v>
      </c>
      <c r="M1790" s="116">
        <v>1577.15</v>
      </c>
      <c r="N1790" s="116">
        <v>1603</v>
      </c>
      <c r="O1790" s="116">
        <v>1560</v>
      </c>
      <c r="P1790" s="116">
        <v>1572.15</v>
      </c>
      <c r="Q1790" s="116">
        <v>1577.15</v>
      </c>
      <c r="R1790">
        <v>28422</v>
      </c>
    </row>
    <row r="1791" spans="1:18" x14ac:dyDescent="0.25">
      <c r="A1791" s="170">
        <v>44642</v>
      </c>
      <c r="B1791" s="116">
        <v>1605</v>
      </c>
      <c r="C1791" s="116">
        <v>1563.95</v>
      </c>
      <c r="D1791" s="116">
        <v>1552.95</v>
      </c>
      <c r="E1791" s="116">
        <v>1577.1</v>
      </c>
      <c r="F1791" s="116">
        <v>1563.95</v>
      </c>
      <c r="G1791">
        <v>1422</v>
      </c>
      <c r="H1791" s="116"/>
      <c r="I1791" s="116"/>
      <c r="L1791" s="170">
        <v>44642</v>
      </c>
      <c r="M1791" s="116">
        <v>1564.95</v>
      </c>
      <c r="N1791" s="116">
        <v>1610</v>
      </c>
      <c r="O1791" s="116">
        <v>1551</v>
      </c>
      <c r="P1791" s="116">
        <v>1579.9</v>
      </c>
      <c r="Q1791" s="116">
        <v>1564.95</v>
      </c>
      <c r="R1791">
        <v>28662</v>
      </c>
    </row>
    <row r="1792" spans="1:18" x14ac:dyDescent="0.25">
      <c r="A1792" s="170">
        <v>44643</v>
      </c>
      <c r="B1792" s="116">
        <v>1607</v>
      </c>
      <c r="C1792" s="116">
        <v>1556.75</v>
      </c>
      <c r="D1792" s="116">
        <v>1535.55</v>
      </c>
      <c r="E1792" s="116">
        <v>1607</v>
      </c>
      <c r="F1792" s="116">
        <v>1556.75</v>
      </c>
      <c r="G1792">
        <v>1732</v>
      </c>
      <c r="H1792" s="116"/>
      <c r="I1792" s="116"/>
      <c r="L1792" s="170">
        <v>44643</v>
      </c>
      <c r="M1792" s="116">
        <v>1555.55</v>
      </c>
      <c r="N1792" s="116">
        <v>1588.5</v>
      </c>
      <c r="O1792" s="116">
        <v>1535.6</v>
      </c>
      <c r="P1792" s="116">
        <v>1568</v>
      </c>
      <c r="Q1792" s="116">
        <v>1555.55</v>
      </c>
      <c r="R1792">
        <v>39366</v>
      </c>
    </row>
    <row r="1793" spans="1:18" x14ac:dyDescent="0.25">
      <c r="A1793" s="170">
        <v>44644</v>
      </c>
      <c r="B1793" s="116">
        <v>1575</v>
      </c>
      <c r="C1793" s="116">
        <v>1545.1</v>
      </c>
      <c r="D1793" s="116">
        <v>1540</v>
      </c>
      <c r="E1793" s="116">
        <v>1562.4</v>
      </c>
      <c r="F1793" s="116">
        <v>1545.1</v>
      </c>
      <c r="G1793">
        <v>2025</v>
      </c>
      <c r="H1793" s="116"/>
      <c r="I1793" s="116"/>
      <c r="L1793" s="170">
        <v>44644</v>
      </c>
      <c r="M1793" s="116">
        <v>1544.9</v>
      </c>
      <c r="N1793" s="116">
        <v>1585</v>
      </c>
      <c r="O1793" s="116">
        <v>1537</v>
      </c>
      <c r="P1793" s="116">
        <v>1550</v>
      </c>
      <c r="Q1793" s="116">
        <v>1544.9</v>
      </c>
      <c r="R1793">
        <v>28608</v>
      </c>
    </row>
    <row r="1794" spans="1:18" x14ac:dyDescent="0.25">
      <c r="A1794" s="170">
        <v>44645</v>
      </c>
      <c r="B1794" s="116">
        <v>1563.75</v>
      </c>
      <c r="C1794" s="116">
        <v>1535.55</v>
      </c>
      <c r="D1794" s="116">
        <v>1530</v>
      </c>
      <c r="E1794" s="116">
        <v>1540</v>
      </c>
      <c r="F1794" s="116">
        <v>1535.55</v>
      </c>
      <c r="G1794">
        <v>3005</v>
      </c>
      <c r="H1794" s="116"/>
      <c r="I1794" s="116"/>
      <c r="L1794" s="170">
        <v>44645</v>
      </c>
      <c r="M1794" s="116">
        <v>1541.9</v>
      </c>
      <c r="N1794" s="116">
        <v>1565</v>
      </c>
      <c r="O1794" s="116">
        <v>1530.75</v>
      </c>
      <c r="P1794" s="116">
        <v>1544.9</v>
      </c>
      <c r="Q1794" s="116">
        <v>1541.9</v>
      </c>
      <c r="R1794">
        <v>31243</v>
      </c>
    </row>
    <row r="1795" spans="1:18" x14ac:dyDescent="0.25">
      <c r="A1795" s="170">
        <v>44648</v>
      </c>
      <c r="B1795" s="116">
        <v>1560</v>
      </c>
      <c r="C1795" s="116">
        <v>1546</v>
      </c>
      <c r="D1795" s="116">
        <v>1522.9</v>
      </c>
      <c r="E1795" s="116">
        <v>1551.35</v>
      </c>
      <c r="F1795" s="116">
        <v>1546</v>
      </c>
      <c r="G1795">
        <v>1887</v>
      </c>
      <c r="H1795" s="116"/>
      <c r="I1795" s="116"/>
      <c r="L1795" s="170">
        <v>44648</v>
      </c>
      <c r="M1795" s="116">
        <v>1551.05</v>
      </c>
      <c r="N1795" s="116">
        <v>1560</v>
      </c>
      <c r="O1795" s="116">
        <v>1521.75</v>
      </c>
      <c r="P1795" s="116">
        <v>1553.75</v>
      </c>
      <c r="Q1795" s="116">
        <v>1551.05</v>
      </c>
      <c r="R1795">
        <v>21172</v>
      </c>
    </row>
    <row r="1796" spans="1:18" x14ac:dyDescent="0.25">
      <c r="A1796" s="170">
        <v>44649</v>
      </c>
      <c r="B1796" s="116">
        <v>1734.9</v>
      </c>
      <c r="C1796" s="116">
        <v>1693.25</v>
      </c>
      <c r="D1796" s="116">
        <v>1553.85</v>
      </c>
      <c r="E1796" s="116">
        <v>1560</v>
      </c>
      <c r="F1796" s="116">
        <v>1693.25</v>
      </c>
      <c r="G1796">
        <v>6968</v>
      </c>
      <c r="H1796" s="116"/>
      <c r="I1796" s="116"/>
      <c r="L1796" s="170">
        <v>44649</v>
      </c>
      <c r="M1796" s="116">
        <v>1696.1</v>
      </c>
      <c r="N1796" s="116">
        <v>1734</v>
      </c>
      <c r="O1796" s="116">
        <v>1550</v>
      </c>
      <c r="P1796" s="116">
        <v>1550</v>
      </c>
      <c r="Q1796" s="116">
        <v>1696.1</v>
      </c>
      <c r="R1796">
        <v>180031</v>
      </c>
    </row>
    <row r="1797" spans="1:18" x14ac:dyDescent="0.25">
      <c r="A1797" s="170">
        <v>44650</v>
      </c>
      <c r="B1797" s="116">
        <v>1710</v>
      </c>
      <c r="C1797" s="116">
        <v>1647.95</v>
      </c>
      <c r="D1797" s="116">
        <v>1632.6</v>
      </c>
      <c r="E1797" s="116">
        <v>1690</v>
      </c>
      <c r="F1797" s="116">
        <v>1647.95</v>
      </c>
      <c r="G1797">
        <v>7979</v>
      </c>
      <c r="H1797" s="116"/>
      <c r="I1797" s="116"/>
      <c r="L1797" s="170">
        <v>44650</v>
      </c>
      <c r="M1797" s="116">
        <v>1644.8</v>
      </c>
      <c r="N1797" s="116">
        <v>1711.6</v>
      </c>
      <c r="O1797" s="116">
        <v>1630</v>
      </c>
      <c r="P1797" s="116">
        <v>1688</v>
      </c>
      <c r="Q1797" s="116">
        <v>1644.8</v>
      </c>
      <c r="R1797">
        <v>72597</v>
      </c>
    </row>
    <row r="1798" spans="1:18" x14ac:dyDescent="0.25">
      <c r="A1798" s="170">
        <v>44651</v>
      </c>
      <c r="B1798" s="116">
        <v>1687</v>
      </c>
      <c r="C1798" s="116">
        <v>1662.95</v>
      </c>
      <c r="D1798" s="116">
        <v>1644</v>
      </c>
      <c r="E1798" s="116">
        <v>1679</v>
      </c>
      <c r="F1798" s="116">
        <v>1662.95</v>
      </c>
      <c r="G1798">
        <v>4917</v>
      </c>
      <c r="H1798" s="116"/>
      <c r="I1798" s="116"/>
      <c r="L1798" s="170">
        <v>44651</v>
      </c>
      <c r="M1798" s="116">
        <v>1666.9</v>
      </c>
      <c r="N1798" s="116">
        <v>1695</v>
      </c>
      <c r="O1798" s="116">
        <v>1645</v>
      </c>
      <c r="P1798" s="116">
        <v>1648</v>
      </c>
      <c r="Q1798" s="116">
        <v>1666.9</v>
      </c>
      <c r="R1798">
        <v>34037</v>
      </c>
    </row>
    <row r="1799" spans="1:18" x14ac:dyDescent="0.25">
      <c r="A1799" s="170">
        <v>44652</v>
      </c>
      <c r="B1799" s="116">
        <v>1682.8</v>
      </c>
      <c r="C1799" s="116">
        <v>1664.35</v>
      </c>
      <c r="D1799" s="116">
        <v>1647.2</v>
      </c>
      <c r="E1799" s="116">
        <v>1679</v>
      </c>
      <c r="F1799" s="116">
        <v>1664.35</v>
      </c>
      <c r="G1799">
        <v>1616</v>
      </c>
      <c r="H1799" s="116"/>
      <c r="I1799" s="116"/>
      <c r="L1799" s="170">
        <v>44652</v>
      </c>
      <c r="M1799" s="116">
        <v>1658.25</v>
      </c>
      <c r="N1799" s="116">
        <v>1684.8</v>
      </c>
      <c r="O1799" s="116">
        <v>1644</v>
      </c>
      <c r="P1799" s="116">
        <v>1644</v>
      </c>
      <c r="Q1799" s="116">
        <v>1658.25</v>
      </c>
      <c r="R1799">
        <v>15142</v>
      </c>
    </row>
    <row r="1800" spans="1:18" x14ac:dyDescent="0.25">
      <c r="A1800" s="170">
        <v>44655</v>
      </c>
      <c r="B1800" s="116">
        <v>1683.7</v>
      </c>
      <c r="C1800" s="116">
        <v>1625.45</v>
      </c>
      <c r="D1800" s="116">
        <v>1616</v>
      </c>
      <c r="E1800" s="116">
        <v>1660</v>
      </c>
      <c r="F1800" s="116">
        <v>1625.45</v>
      </c>
      <c r="G1800">
        <v>5992</v>
      </c>
      <c r="H1800" s="116"/>
      <c r="I1800" s="116"/>
      <c r="L1800" s="170">
        <v>44655</v>
      </c>
      <c r="M1800" s="116">
        <v>1625.75</v>
      </c>
      <c r="N1800" s="116">
        <v>1683</v>
      </c>
      <c r="O1800" s="116">
        <v>1612.1</v>
      </c>
      <c r="P1800" s="116">
        <v>1660</v>
      </c>
      <c r="Q1800" s="116">
        <v>1625.75</v>
      </c>
      <c r="R1800">
        <v>51588</v>
      </c>
    </row>
    <row r="1801" spans="1:18" x14ac:dyDescent="0.25">
      <c r="A1801" s="170">
        <v>44656</v>
      </c>
      <c r="B1801" s="116">
        <v>1657.15</v>
      </c>
      <c r="C1801" s="116">
        <v>1626.8</v>
      </c>
      <c r="D1801" s="116">
        <v>1619.6</v>
      </c>
      <c r="E1801" s="116">
        <v>1650</v>
      </c>
      <c r="F1801" s="116">
        <v>1626.8</v>
      </c>
      <c r="G1801">
        <v>1699</v>
      </c>
      <c r="H1801" s="116"/>
      <c r="I1801" s="116"/>
      <c r="L1801" s="170">
        <v>44656</v>
      </c>
      <c r="M1801" s="116">
        <v>1627.55</v>
      </c>
      <c r="N1801" s="116">
        <v>1659.9</v>
      </c>
      <c r="O1801" s="116">
        <v>1619.65</v>
      </c>
      <c r="P1801" s="116">
        <v>1659.9</v>
      </c>
      <c r="Q1801" s="116">
        <v>1627.55</v>
      </c>
      <c r="R1801">
        <v>23796</v>
      </c>
    </row>
    <row r="1802" spans="1:18" x14ac:dyDescent="0.25">
      <c r="A1802" s="170">
        <v>44657</v>
      </c>
      <c r="B1802" s="116">
        <v>1641.35</v>
      </c>
      <c r="C1802" s="116">
        <v>1625.2</v>
      </c>
      <c r="D1802" s="116">
        <v>1581.5</v>
      </c>
      <c r="E1802" s="116">
        <v>1640</v>
      </c>
      <c r="F1802" s="116">
        <v>1625.2</v>
      </c>
      <c r="G1802">
        <v>3164</v>
      </c>
      <c r="H1802" s="116"/>
      <c r="I1802" s="116"/>
      <c r="L1802" s="170">
        <v>44657</v>
      </c>
      <c r="M1802" s="116">
        <v>1631.15</v>
      </c>
      <c r="N1802" s="116">
        <v>1643.75</v>
      </c>
      <c r="O1802" s="116">
        <v>1580</v>
      </c>
      <c r="P1802" s="116">
        <v>1627.55</v>
      </c>
      <c r="Q1802" s="116">
        <v>1631.15</v>
      </c>
      <c r="R1802">
        <v>112289</v>
      </c>
    </row>
    <row r="1803" spans="1:18" x14ac:dyDescent="0.25">
      <c r="A1803" s="170">
        <v>44658</v>
      </c>
      <c r="B1803" s="116">
        <v>1642.5</v>
      </c>
      <c r="C1803" s="116">
        <v>1617.95</v>
      </c>
      <c r="D1803" s="116">
        <v>1612.05</v>
      </c>
      <c r="E1803" s="116">
        <v>1631</v>
      </c>
      <c r="F1803" s="116">
        <v>1617.95</v>
      </c>
      <c r="G1803">
        <v>2704</v>
      </c>
      <c r="H1803" s="116"/>
      <c r="I1803" s="116"/>
      <c r="L1803" s="170">
        <v>44658</v>
      </c>
      <c r="M1803" s="116">
        <v>1614.8</v>
      </c>
      <c r="N1803" s="116">
        <v>1645</v>
      </c>
      <c r="O1803" s="116">
        <v>1606</v>
      </c>
      <c r="P1803" s="116">
        <v>1645</v>
      </c>
      <c r="Q1803" s="116">
        <v>1614.8</v>
      </c>
      <c r="R1803">
        <v>28432</v>
      </c>
    </row>
    <row r="1804" spans="1:18" x14ac:dyDescent="0.25">
      <c r="A1804" s="170">
        <v>44659</v>
      </c>
      <c r="B1804" s="116">
        <v>1635</v>
      </c>
      <c r="C1804" s="116">
        <v>1615.2</v>
      </c>
      <c r="D1804" s="116">
        <v>1606.65</v>
      </c>
      <c r="E1804" s="116">
        <v>1635</v>
      </c>
      <c r="F1804" s="116">
        <v>1615.2</v>
      </c>
      <c r="G1804">
        <v>2039</v>
      </c>
      <c r="H1804" s="116"/>
      <c r="I1804" s="116"/>
      <c r="L1804" s="170">
        <v>44659</v>
      </c>
      <c r="M1804" s="116">
        <v>1616.05</v>
      </c>
      <c r="N1804" s="116">
        <v>1627.9</v>
      </c>
      <c r="O1804" s="116">
        <v>1608</v>
      </c>
      <c r="P1804" s="116">
        <v>1627.9</v>
      </c>
      <c r="Q1804" s="116">
        <v>1616.05</v>
      </c>
      <c r="R1804">
        <v>15708</v>
      </c>
    </row>
    <row r="1805" spans="1:18" x14ac:dyDescent="0.25">
      <c r="A1805" s="170">
        <v>44662</v>
      </c>
      <c r="B1805" s="116">
        <v>1669.15</v>
      </c>
      <c r="C1805" s="116">
        <v>1650.55</v>
      </c>
      <c r="D1805" s="116">
        <v>1608.2</v>
      </c>
      <c r="E1805" s="116">
        <v>1635</v>
      </c>
      <c r="F1805" s="116">
        <v>1650.55</v>
      </c>
      <c r="G1805">
        <v>3453</v>
      </c>
      <c r="H1805" s="116"/>
      <c r="I1805" s="116"/>
      <c r="L1805" s="170">
        <v>44662</v>
      </c>
      <c r="M1805" s="116">
        <v>1655.25</v>
      </c>
      <c r="N1805" s="116">
        <v>1669</v>
      </c>
      <c r="O1805" s="116">
        <v>1606.75</v>
      </c>
      <c r="P1805" s="116">
        <v>1609</v>
      </c>
      <c r="Q1805" s="116">
        <v>1655.25</v>
      </c>
      <c r="R1805">
        <v>59711</v>
      </c>
    </row>
    <row r="1806" spans="1:18" x14ac:dyDescent="0.25">
      <c r="A1806" s="170">
        <v>44663</v>
      </c>
      <c r="B1806" s="116">
        <v>1673.8</v>
      </c>
      <c r="C1806" s="116">
        <v>1639.25</v>
      </c>
      <c r="D1806" s="116">
        <v>1635</v>
      </c>
      <c r="E1806" s="116">
        <v>1673.8</v>
      </c>
      <c r="F1806" s="116">
        <v>1639.25</v>
      </c>
      <c r="G1806">
        <v>1321</v>
      </c>
      <c r="H1806" s="116"/>
      <c r="I1806" s="116"/>
      <c r="L1806" s="170">
        <v>44663</v>
      </c>
      <c r="M1806" s="116">
        <v>1641.75</v>
      </c>
      <c r="N1806" s="116">
        <v>1665</v>
      </c>
      <c r="O1806" s="116">
        <v>1635</v>
      </c>
      <c r="P1806" s="116">
        <v>1652.55</v>
      </c>
      <c r="Q1806" s="116">
        <v>1641.75</v>
      </c>
      <c r="R1806">
        <v>20201</v>
      </c>
    </row>
    <row r="1807" spans="1:18" x14ac:dyDescent="0.25">
      <c r="A1807" s="170">
        <v>44664</v>
      </c>
      <c r="B1807" s="116">
        <v>1659</v>
      </c>
      <c r="C1807" s="116">
        <v>1646.7</v>
      </c>
      <c r="D1807" s="116">
        <v>1637.3</v>
      </c>
      <c r="E1807" s="116">
        <v>1659</v>
      </c>
      <c r="F1807" s="116">
        <v>1646.7</v>
      </c>
      <c r="G1807">
        <v>1135</v>
      </c>
      <c r="H1807" s="116"/>
      <c r="I1807" s="116"/>
      <c r="L1807" s="170">
        <v>44664</v>
      </c>
      <c r="M1807" s="116">
        <v>1648.45</v>
      </c>
      <c r="N1807" s="116">
        <v>1653.6</v>
      </c>
      <c r="O1807" s="116">
        <v>1633.05</v>
      </c>
      <c r="P1807" s="116">
        <v>1640</v>
      </c>
      <c r="Q1807" s="116">
        <v>1648.45</v>
      </c>
      <c r="R1807">
        <v>10693</v>
      </c>
    </row>
    <row r="1808" spans="1:18" x14ac:dyDescent="0.25">
      <c r="A1808" s="170">
        <v>44669</v>
      </c>
      <c r="B1808" s="116">
        <v>1670</v>
      </c>
      <c r="C1808" s="116">
        <v>1625.3</v>
      </c>
      <c r="D1808" s="116">
        <v>1612.35</v>
      </c>
      <c r="E1808" s="116">
        <v>1670</v>
      </c>
      <c r="F1808" s="116">
        <v>1625.3</v>
      </c>
      <c r="G1808">
        <v>1471</v>
      </c>
      <c r="H1808" s="116"/>
      <c r="I1808" s="116"/>
      <c r="L1808" s="170">
        <v>44669</v>
      </c>
      <c r="M1808" s="116">
        <v>1629.25</v>
      </c>
      <c r="N1808" s="116">
        <v>1662.55</v>
      </c>
      <c r="O1808" s="116">
        <v>1612.05</v>
      </c>
      <c r="P1808" s="116">
        <v>1625</v>
      </c>
      <c r="Q1808" s="116">
        <v>1629.25</v>
      </c>
      <c r="R1808">
        <v>20032</v>
      </c>
    </row>
    <row r="1809" spans="1:18" x14ac:dyDescent="0.25">
      <c r="A1809" s="170">
        <v>44670</v>
      </c>
      <c r="B1809" s="116">
        <v>1658</v>
      </c>
      <c r="C1809" s="116">
        <v>1631.05</v>
      </c>
      <c r="D1809" s="116">
        <v>1603.25</v>
      </c>
      <c r="E1809" s="116">
        <v>1658</v>
      </c>
      <c r="F1809" s="116">
        <v>1631.05</v>
      </c>
      <c r="G1809">
        <v>1124</v>
      </c>
      <c r="H1809" s="116"/>
      <c r="I1809" s="116"/>
      <c r="L1809" s="170">
        <v>44670</v>
      </c>
      <c r="M1809" s="116">
        <v>1624.8</v>
      </c>
      <c r="N1809" s="116">
        <v>1654</v>
      </c>
      <c r="O1809" s="116">
        <v>1605.5</v>
      </c>
      <c r="P1809" s="116">
        <v>1649.8</v>
      </c>
      <c r="Q1809" s="116">
        <v>1624.8</v>
      </c>
      <c r="R1809">
        <v>18448</v>
      </c>
    </row>
    <row r="1810" spans="1:18" x14ac:dyDescent="0.25">
      <c r="A1810" s="170">
        <v>44671</v>
      </c>
      <c r="B1810" s="116">
        <v>1671.05</v>
      </c>
      <c r="C1810" s="116">
        <v>1641.9</v>
      </c>
      <c r="D1810" s="116">
        <v>1629.1</v>
      </c>
      <c r="E1810" s="116">
        <v>1630</v>
      </c>
      <c r="F1810" s="116">
        <v>1641.9</v>
      </c>
      <c r="G1810">
        <v>5983</v>
      </c>
      <c r="H1810" s="116"/>
      <c r="I1810" s="116"/>
      <c r="L1810" s="170">
        <v>44671</v>
      </c>
      <c r="M1810" s="116">
        <v>1638.2</v>
      </c>
      <c r="N1810" s="116">
        <v>1670</v>
      </c>
      <c r="O1810" s="116">
        <v>1627.6</v>
      </c>
      <c r="P1810" s="116">
        <v>1634.9</v>
      </c>
      <c r="Q1810" s="116">
        <v>1638.2</v>
      </c>
      <c r="R1810">
        <v>30016</v>
      </c>
    </row>
    <row r="1811" spans="1:18" x14ac:dyDescent="0.25">
      <c r="A1811" s="170">
        <v>44672</v>
      </c>
      <c r="B1811" s="116">
        <v>1663.2</v>
      </c>
      <c r="C1811" s="116">
        <v>1622.3</v>
      </c>
      <c r="D1811" s="116">
        <v>1616.7</v>
      </c>
      <c r="E1811" s="116">
        <v>1663.2</v>
      </c>
      <c r="F1811" s="116">
        <v>1622.3</v>
      </c>
      <c r="G1811">
        <v>2738</v>
      </c>
      <c r="H1811" s="116"/>
      <c r="I1811" s="116"/>
      <c r="L1811" s="170">
        <v>44672</v>
      </c>
      <c r="M1811" s="116">
        <v>1621.3</v>
      </c>
      <c r="N1811" s="116">
        <v>1654.15</v>
      </c>
      <c r="O1811" s="116">
        <v>1610</v>
      </c>
      <c r="P1811" s="116">
        <v>1640</v>
      </c>
      <c r="Q1811" s="116">
        <v>1621.3</v>
      </c>
      <c r="R1811">
        <v>17534</v>
      </c>
    </row>
    <row r="1812" spans="1:18" x14ac:dyDescent="0.25">
      <c r="A1812" s="170">
        <v>44673</v>
      </c>
      <c r="B1812" s="116">
        <v>1635.4</v>
      </c>
      <c r="C1812" s="116">
        <v>1596.6</v>
      </c>
      <c r="D1812" s="116">
        <v>1586.4</v>
      </c>
      <c r="E1812" s="116">
        <v>1630</v>
      </c>
      <c r="F1812" s="116">
        <v>1596.6</v>
      </c>
      <c r="G1812">
        <v>2683</v>
      </c>
      <c r="H1812" s="116"/>
      <c r="I1812" s="116"/>
      <c r="L1812" s="170">
        <v>44673</v>
      </c>
      <c r="M1812" s="116">
        <v>1599.5</v>
      </c>
      <c r="N1812" s="116">
        <v>1636.25</v>
      </c>
      <c r="O1812" s="116">
        <v>1590</v>
      </c>
      <c r="P1812" s="116">
        <v>1628</v>
      </c>
      <c r="Q1812" s="116">
        <v>1599.5</v>
      </c>
      <c r="R1812">
        <v>27172</v>
      </c>
    </row>
    <row r="1813" spans="1:18" x14ac:dyDescent="0.25">
      <c r="A1813" s="170">
        <v>44676</v>
      </c>
      <c r="B1813" s="116">
        <v>1599</v>
      </c>
      <c r="C1813" s="116">
        <v>1587.4</v>
      </c>
      <c r="D1813" s="116">
        <v>1581.8</v>
      </c>
      <c r="E1813" s="116">
        <v>1596</v>
      </c>
      <c r="F1813" s="116">
        <v>1587.4</v>
      </c>
      <c r="G1813">
        <v>982</v>
      </c>
      <c r="H1813" s="116"/>
      <c r="I1813" s="116"/>
      <c r="L1813" s="170">
        <v>44676</v>
      </c>
      <c r="M1813" s="116">
        <v>1585.5</v>
      </c>
      <c r="N1813" s="116">
        <v>1599.9</v>
      </c>
      <c r="O1813" s="116">
        <v>1582</v>
      </c>
      <c r="P1813" s="116">
        <v>1582</v>
      </c>
      <c r="Q1813" s="116">
        <v>1585.5</v>
      </c>
      <c r="R1813">
        <v>11211</v>
      </c>
    </row>
    <row r="1814" spans="1:18" x14ac:dyDescent="0.25">
      <c r="A1814" s="170">
        <v>44677</v>
      </c>
      <c r="B1814" s="116">
        <v>1610</v>
      </c>
      <c r="C1814" s="116">
        <v>1590.85</v>
      </c>
      <c r="D1814" s="116">
        <v>1574.95</v>
      </c>
      <c r="E1814" s="116">
        <v>1581.9</v>
      </c>
      <c r="F1814" s="116">
        <v>1590.85</v>
      </c>
      <c r="G1814">
        <v>2745</v>
      </c>
      <c r="H1814" s="116"/>
      <c r="I1814" s="116"/>
      <c r="L1814" s="170">
        <v>44677</v>
      </c>
      <c r="M1814" s="116">
        <v>1592.65</v>
      </c>
      <c r="N1814" s="116">
        <v>1611.1</v>
      </c>
      <c r="O1814" s="116">
        <v>1573</v>
      </c>
      <c r="P1814" s="116">
        <v>1597.95</v>
      </c>
      <c r="Q1814" s="116">
        <v>1592.65</v>
      </c>
      <c r="R1814">
        <v>23503</v>
      </c>
    </row>
    <row r="1815" spans="1:18" x14ac:dyDescent="0.25">
      <c r="A1815" s="170">
        <v>44678</v>
      </c>
      <c r="B1815" s="116">
        <v>1602.05</v>
      </c>
      <c r="C1815" s="116">
        <v>1590.85</v>
      </c>
      <c r="D1815" s="116">
        <v>1580.8</v>
      </c>
      <c r="E1815" s="116">
        <v>1588.65</v>
      </c>
      <c r="F1815" s="116">
        <v>1590.85</v>
      </c>
      <c r="G1815">
        <v>1247</v>
      </c>
      <c r="H1815" s="116"/>
      <c r="I1815" s="116"/>
      <c r="L1815" s="170">
        <v>44678</v>
      </c>
      <c r="M1815" s="116">
        <v>1591.05</v>
      </c>
      <c r="N1815" s="116">
        <v>1604</v>
      </c>
      <c r="O1815" s="116">
        <v>1576.1</v>
      </c>
      <c r="P1815" s="116">
        <v>1576.1</v>
      </c>
      <c r="Q1815" s="116">
        <v>1591.05</v>
      </c>
      <c r="R1815">
        <v>10911</v>
      </c>
    </row>
    <row r="1816" spans="1:18" x14ac:dyDescent="0.25">
      <c r="A1816" s="170">
        <v>44679</v>
      </c>
      <c r="B1816" s="116">
        <v>1608.55</v>
      </c>
      <c r="C1816" s="116">
        <v>1588.9</v>
      </c>
      <c r="D1816" s="116">
        <v>1581.15</v>
      </c>
      <c r="E1816" s="116">
        <v>1601.8</v>
      </c>
      <c r="F1816" s="116">
        <v>1588.9</v>
      </c>
      <c r="G1816">
        <v>1252</v>
      </c>
      <c r="H1816" s="116"/>
      <c r="I1816" s="116"/>
      <c r="L1816" s="170">
        <v>44679</v>
      </c>
      <c r="M1816" s="116">
        <v>1586.85</v>
      </c>
      <c r="N1816" s="116">
        <v>1614.85</v>
      </c>
      <c r="O1816" s="116">
        <v>1582.1</v>
      </c>
      <c r="P1816" s="116">
        <v>1598.45</v>
      </c>
      <c r="Q1816" s="116">
        <v>1586.85</v>
      </c>
      <c r="R1816">
        <v>11363</v>
      </c>
    </row>
    <row r="1817" spans="1:18" x14ac:dyDescent="0.25">
      <c r="A1817" s="170">
        <v>44680</v>
      </c>
      <c r="B1817" s="116">
        <v>1597.75</v>
      </c>
      <c r="C1817" s="116">
        <v>1570.8</v>
      </c>
      <c r="D1817" s="116">
        <v>1564.9</v>
      </c>
      <c r="E1817" s="116">
        <v>1575.15</v>
      </c>
      <c r="F1817" s="116">
        <v>1570.8</v>
      </c>
      <c r="G1817">
        <v>1614</v>
      </c>
      <c r="H1817" s="116"/>
      <c r="I1817" s="116"/>
      <c r="L1817" s="170">
        <v>44680</v>
      </c>
      <c r="M1817" s="116">
        <v>1571.05</v>
      </c>
      <c r="N1817" s="116">
        <v>1599.8</v>
      </c>
      <c r="O1817" s="116">
        <v>1562</v>
      </c>
      <c r="P1817" s="116">
        <v>1585</v>
      </c>
      <c r="Q1817" s="116">
        <v>1571.05</v>
      </c>
      <c r="R1817">
        <v>13624</v>
      </c>
    </row>
    <row r="1818" spans="1:18" x14ac:dyDescent="0.25">
      <c r="A1818" s="170">
        <v>44683</v>
      </c>
      <c r="B1818" s="116">
        <v>1598.5</v>
      </c>
      <c r="C1818" s="116">
        <v>1550</v>
      </c>
      <c r="D1818" s="116">
        <v>1546.85</v>
      </c>
      <c r="E1818" s="116">
        <v>1598.5</v>
      </c>
      <c r="F1818" s="116">
        <v>1550</v>
      </c>
      <c r="G1818">
        <v>1757</v>
      </c>
      <c r="H1818" s="116"/>
      <c r="I1818" s="116"/>
      <c r="L1818" s="170">
        <v>44683</v>
      </c>
      <c r="M1818" s="116">
        <v>1552.05</v>
      </c>
      <c r="N1818" s="116">
        <v>1578.2</v>
      </c>
      <c r="O1818" s="116">
        <v>1546</v>
      </c>
      <c r="P1818" s="116">
        <v>1566</v>
      </c>
      <c r="Q1818" s="116">
        <v>1552.05</v>
      </c>
      <c r="R1818">
        <v>11398</v>
      </c>
    </row>
    <row r="1819" spans="1:18" x14ac:dyDescent="0.25">
      <c r="A1819" s="170">
        <v>44685</v>
      </c>
      <c r="B1819" s="116">
        <v>1568.2</v>
      </c>
      <c r="C1819" s="116">
        <v>1528.75</v>
      </c>
      <c r="D1819" s="116">
        <v>1520.05</v>
      </c>
      <c r="E1819" s="116">
        <v>1568.2</v>
      </c>
      <c r="F1819" s="116">
        <v>1528.75</v>
      </c>
      <c r="G1819">
        <v>1342</v>
      </c>
      <c r="H1819" s="116"/>
      <c r="I1819" s="116"/>
      <c r="L1819" s="170">
        <v>44685</v>
      </c>
      <c r="M1819" s="116">
        <v>1526.55</v>
      </c>
      <c r="N1819" s="116">
        <v>1570</v>
      </c>
      <c r="O1819" s="116">
        <v>1519.15</v>
      </c>
      <c r="P1819" s="116">
        <v>1570</v>
      </c>
      <c r="Q1819" s="116">
        <v>1526.55</v>
      </c>
      <c r="R1819">
        <v>15603</v>
      </c>
    </row>
    <row r="1820" spans="1:18" x14ac:dyDescent="0.25">
      <c r="A1820" s="170">
        <v>44686</v>
      </c>
      <c r="B1820" s="116">
        <v>1552.25</v>
      </c>
      <c r="C1820" s="116">
        <v>1546.65</v>
      </c>
      <c r="D1820" s="116">
        <v>1515</v>
      </c>
      <c r="E1820" s="116">
        <v>1545</v>
      </c>
      <c r="F1820" s="116">
        <v>1546.65</v>
      </c>
      <c r="G1820">
        <v>2153</v>
      </c>
      <c r="H1820" s="116"/>
      <c r="I1820" s="116"/>
      <c r="L1820" s="170">
        <v>44686</v>
      </c>
      <c r="M1820" s="116">
        <v>1549.7</v>
      </c>
      <c r="N1820" s="116">
        <v>1554.85</v>
      </c>
      <c r="O1820" s="116">
        <v>1514.9</v>
      </c>
      <c r="P1820" s="116">
        <v>1530.1</v>
      </c>
      <c r="Q1820" s="116">
        <v>1549.7</v>
      </c>
      <c r="R1820">
        <v>27132</v>
      </c>
    </row>
    <row r="1821" spans="1:18" x14ac:dyDescent="0.25">
      <c r="A1821" s="170">
        <v>44687</v>
      </c>
      <c r="B1821" s="116">
        <v>1564</v>
      </c>
      <c r="C1821" s="116">
        <v>1525.65</v>
      </c>
      <c r="D1821" s="116">
        <v>1518</v>
      </c>
      <c r="E1821" s="116">
        <v>1548.2</v>
      </c>
      <c r="F1821" s="116">
        <v>1525.65</v>
      </c>
      <c r="G1821">
        <v>1112</v>
      </c>
      <c r="H1821" s="116"/>
      <c r="I1821" s="116"/>
      <c r="L1821" s="170">
        <v>44687</v>
      </c>
      <c r="M1821" s="116">
        <v>1526.25</v>
      </c>
      <c r="N1821" s="116">
        <v>1564.25</v>
      </c>
      <c r="O1821" s="116">
        <v>1519</v>
      </c>
      <c r="P1821" s="116">
        <v>1545</v>
      </c>
      <c r="Q1821" s="116">
        <v>1526.25</v>
      </c>
      <c r="R1821">
        <v>15854</v>
      </c>
    </row>
    <row r="1822" spans="1:18" x14ac:dyDescent="0.25">
      <c r="A1822" s="170">
        <v>44690</v>
      </c>
      <c r="B1822" s="116">
        <v>1551.7</v>
      </c>
      <c r="C1822" s="116">
        <v>1529.15</v>
      </c>
      <c r="D1822" s="116">
        <v>1486.95</v>
      </c>
      <c r="E1822" s="116">
        <v>1517</v>
      </c>
      <c r="F1822" s="116">
        <v>1529.15</v>
      </c>
      <c r="G1822">
        <v>4709</v>
      </c>
      <c r="H1822" s="116"/>
      <c r="I1822" s="116"/>
      <c r="L1822" s="170">
        <v>44690</v>
      </c>
      <c r="M1822" s="116">
        <v>1528.05</v>
      </c>
      <c r="N1822" s="116">
        <v>1554</v>
      </c>
      <c r="O1822" s="116">
        <v>1474.85</v>
      </c>
      <c r="P1822" s="116">
        <v>1515</v>
      </c>
      <c r="Q1822" s="116">
        <v>1528.05</v>
      </c>
      <c r="R1822">
        <v>63036</v>
      </c>
    </row>
    <row r="1823" spans="1:18" x14ac:dyDescent="0.25">
      <c r="A1823" s="170">
        <v>44691</v>
      </c>
      <c r="B1823" s="116">
        <v>1529</v>
      </c>
      <c r="C1823" s="116">
        <v>1495.35</v>
      </c>
      <c r="D1823" s="116">
        <v>1489.55</v>
      </c>
      <c r="E1823" s="116">
        <v>1505</v>
      </c>
      <c r="F1823" s="116">
        <v>1495.35</v>
      </c>
      <c r="G1823">
        <v>1439</v>
      </c>
      <c r="H1823" s="116"/>
      <c r="I1823" s="116"/>
      <c r="L1823" s="170">
        <v>44691</v>
      </c>
      <c r="M1823" s="116">
        <v>1497.3</v>
      </c>
      <c r="N1823" s="116">
        <v>1530</v>
      </c>
      <c r="O1823" s="116">
        <v>1491</v>
      </c>
      <c r="P1823" s="116">
        <v>1516.1</v>
      </c>
      <c r="Q1823" s="116">
        <v>1497.3</v>
      </c>
      <c r="R1823">
        <v>20915</v>
      </c>
    </row>
    <row r="1824" spans="1:18" x14ac:dyDescent="0.25">
      <c r="A1824" s="170">
        <v>44692</v>
      </c>
      <c r="B1824" s="116">
        <v>1517.35</v>
      </c>
      <c r="C1824" s="116">
        <v>1481.8</v>
      </c>
      <c r="D1824" s="116">
        <v>1470.1</v>
      </c>
      <c r="E1824" s="116">
        <v>1509.3</v>
      </c>
      <c r="F1824" s="116">
        <v>1481.8</v>
      </c>
      <c r="G1824">
        <v>1824</v>
      </c>
      <c r="H1824" s="116"/>
      <c r="I1824" s="116"/>
      <c r="L1824" s="170">
        <v>44692</v>
      </c>
      <c r="M1824" s="116">
        <v>1477.65</v>
      </c>
      <c r="N1824" s="116">
        <v>1516.95</v>
      </c>
      <c r="O1824" s="116">
        <v>1470</v>
      </c>
      <c r="P1824" s="116">
        <v>1504.3</v>
      </c>
      <c r="Q1824" s="116">
        <v>1477.65</v>
      </c>
      <c r="R1824">
        <v>19169</v>
      </c>
    </row>
    <row r="1825" spans="1:18" x14ac:dyDescent="0.25">
      <c r="A1825" s="170">
        <v>44693</v>
      </c>
      <c r="B1825" s="116">
        <v>1498</v>
      </c>
      <c r="C1825" s="116">
        <v>1487.35</v>
      </c>
      <c r="D1825" s="116">
        <v>1433.05</v>
      </c>
      <c r="E1825" s="116">
        <v>1481.8</v>
      </c>
      <c r="F1825" s="116">
        <v>1487.35</v>
      </c>
      <c r="G1825">
        <v>2844</v>
      </c>
      <c r="H1825" s="116"/>
      <c r="I1825" s="116"/>
      <c r="L1825" s="170">
        <v>44693</v>
      </c>
      <c r="M1825" s="116">
        <v>1482.7</v>
      </c>
      <c r="N1825" s="116">
        <v>1508.7</v>
      </c>
      <c r="O1825" s="116">
        <v>1459.85</v>
      </c>
      <c r="P1825" s="116">
        <v>1478</v>
      </c>
      <c r="Q1825" s="116">
        <v>1482.7</v>
      </c>
      <c r="R1825">
        <v>22111</v>
      </c>
    </row>
    <row r="1826" spans="1:18" x14ac:dyDescent="0.25">
      <c r="A1826" s="170">
        <v>44694</v>
      </c>
      <c r="B1826" s="116">
        <v>1510.55</v>
      </c>
      <c r="C1826" s="116">
        <v>1491.65</v>
      </c>
      <c r="D1826" s="116">
        <v>1465</v>
      </c>
      <c r="E1826" s="116">
        <v>1480</v>
      </c>
      <c r="F1826" s="116">
        <v>1491.65</v>
      </c>
      <c r="G1826">
        <v>2422</v>
      </c>
      <c r="H1826" s="116"/>
      <c r="I1826" s="116"/>
      <c r="L1826" s="170">
        <v>44694</v>
      </c>
      <c r="M1826" s="116">
        <v>1493.3</v>
      </c>
      <c r="N1826" s="116">
        <v>1510.95</v>
      </c>
      <c r="O1826" s="116">
        <v>1465.3</v>
      </c>
      <c r="P1826" s="116">
        <v>1485</v>
      </c>
      <c r="Q1826" s="116">
        <v>1493.3</v>
      </c>
      <c r="R1826">
        <v>24560</v>
      </c>
    </row>
    <row r="1827" spans="1:18" x14ac:dyDescent="0.25">
      <c r="A1827" s="170">
        <v>44697</v>
      </c>
      <c r="B1827" s="116">
        <v>1519</v>
      </c>
      <c r="C1827" s="116">
        <v>1514.1</v>
      </c>
      <c r="D1827" s="116">
        <v>1482</v>
      </c>
      <c r="E1827" s="116">
        <v>1499</v>
      </c>
      <c r="F1827" s="116">
        <v>1514.1</v>
      </c>
      <c r="G1827">
        <v>732</v>
      </c>
      <c r="H1827" s="116"/>
      <c r="I1827" s="116"/>
      <c r="L1827" s="170">
        <v>44697</v>
      </c>
      <c r="M1827" s="116">
        <v>1514.9</v>
      </c>
      <c r="N1827" s="116">
        <v>1520</v>
      </c>
      <c r="O1827" s="116">
        <v>1490.7</v>
      </c>
      <c r="P1827" s="116">
        <v>1495</v>
      </c>
      <c r="Q1827" s="116">
        <v>1514.9</v>
      </c>
      <c r="R1827">
        <v>10408</v>
      </c>
    </row>
    <row r="1828" spans="1:18" x14ac:dyDescent="0.25">
      <c r="A1828" s="170">
        <v>44698</v>
      </c>
      <c r="B1828" s="116">
        <v>1560</v>
      </c>
      <c r="C1828" s="116">
        <v>1517.2</v>
      </c>
      <c r="D1828" s="116">
        <v>1504.8</v>
      </c>
      <c r="E1828" s="116">
        <v>1542</v>
      </c>
      <c r="F1828" s="116">
        <v>1517.2</v>
      </c>
      <c r="G1828">
        <v>6082</v>
      </c>
      <c r="H1828" s="116"/>
      <c r="I1828" s="116"/>
      <c r="L1828" s="170">
        <v>44698</v>
      </c>
      <c r="M1828" s="116">
        <v>1520.75</v>
      </c>
      <c r="N1828" s="116">
        <v>1550</v>
      </c>
      <c r="O1828" s="116">
        <v>1508.45</v>
      </c>
      <c r="P1828" s="116">
        <v>1549</v>
      </c>
      <c r="Q1828" s="116">
        <v>1520.75</v>
      </c>
      <c r="R1828">
        <v>107901</v>
      </c>
    </row>
    <row r="1829" spans="1:18" x14ac:dyDescent="0.25">
      <c r="A1829" s="170">
        <v>44699</v>
      </c>
      <c r="B1829" s="116">
        <v>1541</v>
      </c>
      <c r="C1829" s="116">
        <v>1526.1</v>
      </c>
      <c r="D1829" s="116">
        <v>1518.05</v>
      </c>
      <c r="E1829" s="116">
        <v>1534.65</v>
      </c>
      <c r="F1829" s="116">
        <v>1526.1</v>
      </c>
      <c r="G1829">
        <v>2673</v>
      </c>
      <c r="H1829" s="116"/>
      <c r="I1829" s="116"/>
      <c r="L1829" s="170">
        <v>44699</v>
      </c>
      <c r="M1829" s="116">
        <v>1525</v>
      </c>
      <c r="N1829" s="116">
        <v>1543.95</v>
      </c>
      <c r="O1829" s="116">
        <v>1516</v>
      </c>
      <c r="P1829" s="116">
        <v>1542</v>
      </c>
      <c r="Q1829" s="116">
        <v>1525</v>
      </c>
      <c r="R1829">
        <v>18392</v>
      </c>
    </row>
    <row r="1830" spans="1:18" x14ac:dyDescent="0.25">
      <c r="A1830" s="170">
        <v>44700</v>
      </c>
      <c r="B1830" s="116">
        <v>1532</v>
      </c>
      <c r="C1830" s="116">
        <v>1523.8</v>
      </c>
      <c r="D1830" s="116">
        <v>1503.65</v>
      </c>
      <c r="E1830" s="116">
        <v>1532</v>
      </c>
      <c r="F1830" s="116">
        <v>1523.8</v>
      </c>
      <c r="G1830">
        <v>2670</v>
      </c>
      <c r="H1830" s="116"/>
      <c r="I1830" s="116"/>
      <c r="L1830" s="170">
        <v>44700</v>
      </c>
      <c r="M1830" s="116">
        <v>1524.85</v>
      </c>
      <c r="N1830" s="116">
        <v>1530</v>
      </c>
      <c r="O1830" s="116">
        <v>1503.3</v>
      </c>
      <c r="P1830" s="116">
        <v>1524.5</v>
      </c>
      <c r="Q1830" s="116">
        <v>1524.85</v>
      </c>
      <c r="R1830">
        <v>12222</v>
      </c>
    </row>
    <row r="1831" spans="1:18" x14ac:dyDescent="0.25">
      <c r="A1831" s="170">
        <v>44701</v>
      </c>
      <c r="B1831" s="116">
        <v>1546</v>
      </c>
      <c r="C1831" s="116">
        <v>1543.6</v>
      </c>
      <c r="D1831" s="116">
        <v>1530.55</v>
      </c>
      <c r="E1831" s="116">
        <v>1539</v>
      </c>
      <c r="F1831" s="116">
        <v>1543.6</v>
      </c>
      <c r="G1831">
        <v>1599</v>
      </c>
      <c r="H1831" s="116"/>
      <c r="I1831" s="116"/>
      <c r="L1831" s="170">
        <v>44701</v>
      </c>
      <c r="M1831" s="116">
        <v>1542.3</v>
      </c>
      <c r="N1831" s="116">
        <v>1548</v>
      </c>
      <c r="O1831" s="116">
        <v>1530</v>
      </c>
      <c r="P1831" s="116">
        <v>1539.9</v>
      </c>
      <c r="Q1831" s="116">
        <v>1542.3</v>
      </c>
      <c r="R1831">
        <v>12060</v>
      </c>
    </row>
    <row r="1832" spans="1:18" x14ac:dyDescent="0.25">
      <c r="A1832" s="170">
        <v>44704</v>
      </c>
      <c r="B1832" s="116">
        <v>1564</v>
      </c>
      <c r="C1832" s="116">
        <v>1555.05</v>
      </c>
      <c r="D1832" s="116">
        <v>1538</v>
      </c>
      <c r="E1832" s="116">
        <v>1543.6</v>
      </c>
      <c r="F1832" s="116">
        <v>1555.05</v>
      </c>
      <c r="G1832">
        <v>1541</v>
      </c>
      <c r="H1832" s="116"/>
      <c r="I1832" s="116"/>
      <c r="L1832" s="170">
        <v>44704</v>
      </c>
      <c r="M1832" s="116">
        <v>1554.55</v>
      </c>
      <c r="N1832" s="116">
        <v>1564.95</v>
      </c>
      <c r="O1832" s="116">
        <v>1538</v>
      </c>
      <c r="P1832" s="116">
        <v>1550</v>
      </c>
      <c r="Q1832" s="116">
        <v>1554.55</v>
      </c>
      <c r="R1832">
        <v>13305</v>
      </c>
    </row>
    <row r="1833" spans="1:18" x14ac:dyDescent="0.25">
      <c r="A1833" s="170">
        <v>44705</v>
      </c>
      <c r="B1833" s="116">
        <v>1565.55</v>
      </c>
      <c r="C1833" s="116">
        <v>1553.75</v>
      </c>
      <c r="D1833" s="116">
        <v>1534.25</v>
      </c>
      <c r="E1833" s="116">
        <v>1555</v>
      </c>
      <c r="F1833" s="116">
        <v>1553.75</v>
      </c>
      <c r="G1833">
        <v>603</v>
      </c>
      <c r="H1833" s="116"/>
      <c r="I1833" s="116"/>
      <c r="L1833" s="170">
        <v>44705</v>
      </c>
      <c r="M1833" s="116">
        <v>1554.15</v>
      </c>
      <c r="N1833" s="116">
        <v>1570</v>
      </c>
      <c r="O1833" s="116">
        <v>1533.15</v>
      </c>
      <c r="P1833" s="116">
        <v>1570</v>
      </c>
      <c r="Q1833" s="116">
        <v>1554.15</v>
      </c>
      <c r="R1833">
        <v>12358</v>
      </c>
    </row>
    <row r="1834" spans="1:18" x14ac:dyDescent="0.25">
      <c r="A1834" s="170">
        <v>44706</v>
      </c>
      <c r="B1834" s="116">
        <v>1560</v>
      </c>
      <c r="C1834" s="116">
        <v>1525.2</v>
      </c>
      <c r="D1834" s="116">
        <v>1515.05</v>
      </c>
      <c r="E1834" s="116">
        <v>1536</v>
      </c>
      <c r="F1834" s="116">
        <v>1525.2</v>
      </c>
      <c r="G1834">
        <v>792</v>
      </c>
      <c r="H1834" s="116"/>
      <c r="I1834" s="116"/>
      <c r="L1834" s="170">
        <v>44706</v>
      </c>
      <c r="M1834" s="116">
        <v>1520.7</v>
      </c>
      <c r="N1834" s="116">
        <v>1561.5</v>
      </c>
      <c r="O1834" s="116">
        <v>1514</v>
      </c>
      <c r="P1834" s="116">
        <v>1560</v>
      </c>
      <c r="Q1834" s="116">
        <v>1520.7</v>
      </c>
      <c r="R1834">
        <v>18465</v>
      </c>
    </row>
    <row r="1835" spans="1:18" x14ac:dyDescent="0.25">
      <c r="A1835" s="170">
        <v>44707</v>
      </c>
      <c r="B1835" s="116">
        <v>1530.1</v>
      </c>
      <c r="C1835" s="116">
        <v>1513.25</v>
      </c>
      <c r="D1835" s="116">
        <v>1500.85</v>
      </c>
      <c r="E1835" s="116">
        <v>1528.5</v>
      </c>
      <c r="F1835" s="116">
        <v>1513.25</v>
      </c>
      <c r="G1835">
        <v>1332</v>
      </c>
      <c r="H1835" s="116"/>
      <c r="I1835" s="116"/>
      <c r="L1835" s="170">
        <v>44707</v>
      </c>
      <c r="M1835" s="116">
        <v>1511</v>
      </c>
      <c r="N1835" s="116">
        <v>1538.7</v>
      </c>
      <c r="O1835" s="116">
        <v>1501.25</v>
      </c>
      <c r="P1835" s="116">
        <v>1538.7</v>
      </c>
      <c r="Q1835" s="116">
        <v>1511</v>
      </c>
      <c r="R1835">
        <v>19672</v>
      </c>
    </row>
    <row r="1836" spans="1:18" x14ac:dyDescent="0.25">
      <c r="A1836" s="170">
        <v>44708</v>
      </c>
      <c r="B1836" s="116">
        <v>1528.4</v>
      </c>
      <c r="C1836" s="116">
        <v>1519.3</v>
      </c>
      <c r="D1836" s="116">
        <v>1510.75</v>
      </c>
      <c r="E1836" s="116">
        <v>1528.4</v>
      </c>
      <c r="F1836" s="116">
        <v>1519.3</v>
      </c>
      <c r="G1836">
        <v>2001</v>
      </c>
      <c r="H1836" s="116"/>
      <c r="I1836" s="116"/>
      <c r="L1836" s="170">
        <v>44708</v>
      </c>
      <c r="M1836" s="116">
        <v>1517.2</v>
      </c>
      <c r="N1836" s="116">
        <v>1535</v>
      </c>
      <c r="O1836" s="116">
        <v>1508.85</v>
      </c>
      <c r="P1836" s="116">
        <v>1535</v>
      </c>
      <c r="Q1836" s="116">
        <v>1517.2</v>
      </c>
      <c r="R1836">
        <v>83545</v>
      </c>
    </row>
    <row r="1837" spans="1:18" x14ac:dyDescent="0.25">
      <c r="A1837" s="170">
        <v>44711</v>
      </c>
      <c r="B1837" s="116">
        <v>1536.75</v>
      </c>
      <c r="C1837" s="116">
        <v>1518.95</v>
      </c>
      <c r="D1837" s="116">
        <v>1516.05</v>
      </c>
      <c r="E1837" s="116">
        <v>1534</v>
      </c>
      <c r="F1837" s="116">
        <v>1518.95</v>
      </c>
      <c r="G1837">
        <v>3582</v>
      </c>
      <c r="H1837" s="116"/>
      <c r="I1837" s="116"/>
      <c r="L1837" s="170">
        <v>44711</v>
      </c>
      <c r="M1837" s="116">
        <v>1518.5</v>
      </c>
      <c r="N1837" s="116">
        <v>1537.15</v>
      </c>
      <c r="O1837" s="116">
        <v>1515</v>
      </c>
      <c r="P1837" s="116">
        <v>1520</v>
      </c>
      <c r="Q1837" s="116">
        <v>1518.5</v>
      </c>
      <c r="R1837">
        <v>17305</v>
      </c>
    </row>
    <row r="1838" spans="1:18" x14ac:dyDescent="0.25">
      <c r="A1838" s="170">
        <v>44712</v>
      </c>
      <c r="B1838" s="116">
        <v>1531.5</v>
      </c>
      <c r="C1838" s="116">
        <v>1514.15</v>
      </c>
      <c r="D1838" s="116">
        <v>1501</v>
      </c>
      <c r="E1838" s="116">
        <v>1517.05</v>
      </c>
      <c r="F1838" s="116">
        <v>1514.15</v>
      </c>
      <c r="G1838">
        <v>3121</v>
      </c>
      <c r="H1838" s="116"/>
      <c r="I1838" s="116"/>
      <c r="L1838" s="170">
        <v>44712</v>
      </c>
      <c r="M1838" s="116">
        <v>1511.75</v>
      </c>
      <c r="N1838" s="116">
        <v>1535</v>
      </c>
      <c r="O1838" s="116">
        <v>1500</v>
      </c>
      <c r="P1838" s="116">
        <v>1535</v>
      </c>
      <c r="Q1838" s="116">
        <v>1511.75</v>
      </c>
      <c r="R1838">
        <v>23349</v>
      </c>
    </row>
    <row r="1839" spans="1:18" x14ac:dyDescent="0.25">
      <c r="A1839" s="170">
        <v>44713</v>
      </c>
      <c r="B1839" s="116">
        <v>1528</v>
      </c>
      <c r="C1839" s="116">
        <v>1524.75</v>
      </c>
      <c r="D1839" s="116">
        <v>1502.05</v>
      </c>
      <c r="E1839" s="116">
        <v>1519.15</v>
      </c>
      <c r="F1839" s="116">
        <v>1524.75</v>
      </c>
      <c r="G1839">
        <v>2145</v>
      </c>
      <c r="H1839" s="116"/>
      <c r="I1839" s="116"/>
      <c r="L1839" s="170">
        <v>44713</v>
      </c>
      <c r="M1839" s="116">
        <v>1525.2</v>
      </c>
      <c r="N1839" s="116">
        <v>1530</v>
      </c>
      <c r="O1839" s="116">
        <v>1502.05</v>
      </c>
      <c r="P1839" s="116">
        <v>1524</v>
      </c>
      <c r="Q1839" s="116">
        <v>1525.2</v>
      </c>
      <c r="R1839">
        <v>32091</v>
      </c>
    </row>
    <row r="1840" spans="1:18" x14ac:dyDescent="0.25">
      <c r="A1840" s="170">
        <v>44714</v>
      </c>
      <c r="B1840" s="116">
        <v>1521.7</v>
      </c>
      <c r="C1840" s="116">
        <v>1506.55</v>
      </c>
      <c r="D1840" s="116">
        <v>1503.8</v>
      </c>
      <c r="E1840" s="116">
        <v>1516.1</v>
      </c>
      <c r="F1840" s="116">
        <v>1506.55</v>
      </c>
      <c r="G1840">
        <v>1785</v>
      </c>
      <c r="H1840" s="116"/>
      <c r="I1840" s="116"/>
      <c r="L1840" s="170">
        <v>44714</v>
      </c>
      <c r="M1840" s="116">
        <v>1507.1</v>
      </c>
      <c r="N1840" s="116">
        <v>1523.15</v>
      </c>
      <c r="O1840" s="116">
        <v>1505</v>
      </c>
      <c r="P1840" s="116">
        <v>1517.35</v>
      </c>
      <c r="Q1840" s="116">
        <v>1507.1</v>
      </c>
      <c r="R1840">
        <v>24820</v>
      </c>
    </row>
    <row r="1841" spans="1:18" x14ac:dyDescent="0.25">
      <c r="A1841" s="170">
        <v>44715</v>
      </c>
      <c r="B1841" s="116">
        <v>1520</v>
      </c>
      <c r="C1841" s="116">
        <v>1501.4</v>
      </c>
      <c r="D1841" s="116">
        <v>1499.95</v>
      </c>
      <c r="E1841" s="116">
        <v>1508.65</v>
      </c>
      <c r="F1841" s="116">
        <v>1501.4</v>
      </c>
      <c r="G1841">
        <v>1249</v>
      </c>
      <c r="H1841" s="116"/>
      <c r="I1841" s="116"/>
      <c r="L1841" s="170">
        <v>44715</v>
      </c>
      <c r="M1841" s="116">
        <v>1500.3</v>
      </c>
      <c r="N1841" s="116">
        <v>1521.8</v>
      </c>
      <c r="O1841" s="116">
        <v>1497.2</v>
      </c>
      <c r="P1841" s="116">
        <v>1513.55</v>
      </c>
      <c r="Q1841" s="116">
        <v>1500.3</v>
      </c>
      <c r="R1841">
        <v>19108</v>
      </c>
    </row>
    <row r="1842" spans="1:18" x14ac:dyDescent="0.25">
      <c r="A1842" s="170">
        <v>44718</v>
      </c>
      <c r="B1842" s="116">
        <v>1520</v>
      </c>
      <c r="C1842" s="116">
        <v>1508.4</v>
      </c>
      <c r="D1842" s="116">
        <v>1490.65</v>
      </c>
      <c r="E1842" s="116">
        <v>1514.8</v>
      </c>
      <c r="F1842" s="116">
        <v>1508.4</v>
      </c>
      <c r="G1842">
        <v>1627</v>
      </c>
      <c r="H1842" s="116"/>
      <c r="I1842" s="116"/>
      <c r="L1842" s="170">
        <v>44718</v>
      </c>
      <c r="M1842" s="116">
        <v>1507.9</v>
      </c>
      <c r="N1842" s="116">
        <v>1520</v>
      </c>
      <c r="O1842" s="116">
        <v>1490.05</v>
      </c>
      <c r="P1842" s="116">
        <v>1510</v>
      </c>
      <c r="Q1842" s="116">
        <v>1507.9</v>
      </c>
      <c r="R1842">
        <v>26089</v>
      </c>
    </row>
    <row r="1843" spans="1:18" x14ac:dyDescent="0.25">
      <c r="A1843" s="170">
        <v>44719</v>
      </c>
      <c r="B1843" s="116">
        <v>1513.15</v>
      </c>
      <c r="C1843" s="116">
        <v>1510.45</v>
      </c>
      <c r="D1843" s="116">
        <v>1501</v>
      </c>
      <c r="E1843" s="116">
        <v>1502.1</v>
      </c>
      <c r="F1843" s="116">
        <v>1510.45</v>
      </c>
      <c r="G1843">
        <v>70935</v>
      </c>
      <c r="H1843" s="116"/>
      <c r="I1843" s="116"/>
      <c r="L1843" s="170">
        <v>44719</v>
      </c>
      <c r="M1843" s="116">
        <v>1511.7</v>
      </c>
      <c r="N1843" s="116">
        <v>1515</v>
      </c>
      <c r="O1843" s="116">
        <v>1501</v>
      </c>
      <c r="P1843" s="116">
        <v>1507.9</v>
      </c>
      <c r="Q1843" s="116">
        <v>1511.7</v>
      </c>
      <c r="R1843">
        <v>12072</v>
      </c>
    </row>
    <row r="1844" spans="1:18" x14ac:dyDescent="0.25">
      <c r="A1844" s="170">
        <v>44720</v>
      </c>
      <c r="B1844" s="116">
        <v>1539.05</v>
      </c>
      <c r="C1844" s="116">
        <v>1521.7</v>
      </c>
      <c r="D1844" s="116">
        <v>1512</v>
      </c>
      <c r="E1844" s="116">
        <v>1520</v>
      </c>
      <c r="F1844" s="116">
        <v>1521.7</v>
      </c>
      <c r="G1844">
        <v>2329</v>
      </c>
      <c r="H1844" s="116"/>
      <c r="I1844" s="116"/>
      <c r="L1844" s="170">
        <v>44720</v>
      </c>
      <c r="M1844" s="116">
        <v>1521.45</v>
      </c>
      <c r="N1844" s="116">
        <v>1539.9</v>
      </c>
      <c r="O1844" s="116">
        <v>1511</v>
      </c>
      <c r="P1844" s="116">
        <v>1530</v>
      </c>
      <c r="Q1844" s="116">
        <v>1521.45</v>
      </c>
      <c r="R1844">
        <v>92846</v>
      </c>
    </row>
    <row r="1845" spans="1:18" x14ac:dyDescent="0.25">
      <c r="A1845" s="170">
        <v>44721</v>
      </c>
      <c r="B1845" s="116">
        <v>1548.6</v>
      </c>
      <c r="C1845" s="116">
        <v>1538.05</v>
      </c>
      <c r="D1845" s="116">
        <v>1520</v>
      </c>
      <c r="E1845" s="116">
        <v>1520</v>
      </c>
      <c r="F1845" s="116">
        <v>1538.05</v>
      </c>
      <c r="G1845">
        <v>2740</v>
      </c>
      <c r="H1845" s="116"/>
      <c r="I1845" s="116"/>
      <c r="L1845" s="170">
        <v>44721</v>
      </c>
      <c r="M1845" s="116">
        <v>1539.4</v>
      </c>
      <c r="N1845" s="116">
        <v>1549.9</v>
      </c>
      <c r="O1845" s="116">
        <v>1525.9</v>
      </c>
      <c r="P1845" s="116">
        <v>1529.75</v>
      </c>
      <c r="Q1845" s="116">
        <v>1539.4</v>
      </c>
      <c r="R1845">
        <v>28668</v>
      </c>
    </row>
    <row r="1846" spans="1:18" x14ac:dyDescent="0.25">
      <c r="A1846" s="170">
        <v>44722</v>
      </c>
      <c r="B1846" s="116">
        <v>1562.4</v>
      </c>
      <c r="C1846" s="116">
        <v>1547.35</v>
      </c>
      <c r="D1846" s="116">
        <v>1510.5</v>
      </c>
      <c r="E1846" s="116">
        <v>1510.5</v>
      </c>
      <c r="F1846" s="116">
        <v>1547.35</v>
      </c>
      <c r="G1846">
        <v>2116</v>
      </c>
      <c r="H1846" s="116"/>
      <c r="I1846" s="116"/>
      <c r="L1846" s="170">
        <v>44722</v>
      </c>
      <c r="M1846" s="116">
        <v>1547.25</v>
      </c>
      <c r="N1846" s="116">
        <v>1563.65</v>
      </c>
      <c r="O1846" s="116">
        <v>1519.4</v>
      </c>
      <c r="P1846" s="116">
        <v>1520</v>
      </c>
      <c r="Q1846" s="116">
        <v>1547.25</v>
      </c>
      <c r="R1846">
        <v>23094</v>
      </c>
    </row>
    <row r="1847" spans="1:18" x14ac:dyDescent="0.25">
      <c r="A1847" s="170">
        <v>44725</v>
      </c>
      <c r="B1847" s="116">
        <v>1559</v>
      </c>
      <c r="C1847" s="116">
        <v>1534.35</v>
      </c>
      <c r="D1847" s="116">
        <v>1517</v>
      </c>
      <c r="E1847" s="116">
        <v>1517</v>
      </c>
      <c r="F1847" s="116">
        <v>1534.35</v>
      </c>
      <c r="G1847">
        <v>5140</v>
      </c>
      <c r="H1847" s="116"/>
      <c r="I1847" s="116"/>
      <c r="L1847" s="170">
        <v>44725</v>
      </c>
      <c r="M1847" s="116">
        <v>1532.55</v>
      </c>
      <c r="N1847" s="116">
        <v>1559.55</v>
      </c>
      <c r="O1847" s="116">
        <v>1527.35</v>
      </c>
      <c r="P1847" s="116">
        <v>1550</v>
      </c>
      <c r="Q1847" s="116">
        <v>1532.55</v>
      </c>
      <c r="R1847">
        <v>28047</v>
      </c>
    </row>
    <row r="1848" spans="1:18" x14ac:dyDescent="0.25">
      <c r="A1848" s="170">
        <v>44726</v>
      </c>
      <c r="B1848" s="116">
        <v>1549</v>
      </c>
      <c r="C1848" s="116">
        <v>1537.6</v>
      </c>
      <c r="D1848" s="116">
        <v>1527.9</v>
      </c>
      <c r="E1848" s="116">
        <v>1548.4</v>
      </c>
      <c r="F1848" s="116">
        <v>1537.6</v>
      </c>
      <c r="G1848">
        <v>1358</v>
      </c>
      <c r="H1848" s="116"/>
      <c r="I1848" s="116"/>
      <c r="L1848" s="170">
        <v>44726</v>
      </c>
      <c r="M1848" s="116">
        <v>1535.25</v>
      </c>
      <c r="N1848" s="116">
        <v>1549.45</v>
      </c>
      <c r="O1848" s="116">
        <v>1527.4</v>
      </c>
      <c r="P1848" s="116">
        <v>1536</v>
      </c>
      <c r="Q1848" s="116">
        <v>1535.25</v>
      </c>
      <c r="R1848">
        <v>9464</v>
      </c>
    </row>
    <row r="1849" spans="1:18" x14ac:dyDescent="0.25">
      <c r="A1849" s="170">
        <v>44727</v>
      </c>
      <c r="B1849" s="116">
        <v>1547.5</v>
      </c>
      <c r="C1849" s="116">
        <v>1534.05</v>
      </c>
      <c r="D1849" s="116">
        <v>1533</v>
      </c>
      <c r="E1849" s="116">
        <v>1547.5</v>
      </c>
      <c r="F1849" s="116">
        <v>1534.05</v>
      </c>
      <c r="G1849">
        <v>1370</v>
      </c>
      <c r="H1849" s="116"/>
      <c r="I1849" s="116"/>
      <c r="L1849" s="170">
        <v>44727</v>
      </c>
      <c r="M1849" s="116">
        <v>1537.65</v>
      </c>
      <c r="N1849" s="116">
        <v>1544.8</v>
      </c>
      <c r="O1849" s="116">
        <v>1533.05</v>
      </c>
      <c r="P1849" s="116">
        <v>1537.75</v>
      </c>
      <c r="Q1849" s="116">
        <v>1537.65</v>
      </c>
      <c r="R1849">
        <v>9120</v>
      </c>
    </row>
    <row r="1850" spans="1:18" x14ac:dyDescent="0.25">
      <c r="A1850" s="170">
        <v>44728</v>
      </c>
      <c r="B1850" s="116">
        <v>1546.45</v>
      </c>
      <c r="C1850" s="116">
        <v>1500.65</v>
      </c>
      <c r="D1850" s="116">
        <v>1489.75</v>
      </c>
      <c r="E1850" s="116">
        <v>1535.05</v>
      </c>
      <c r="F1850" s="116">
        <v>1500.65</v>
      </c>
      <c r="G1850">
        <v>1982</v>
      </c>
      <c r="H1850" s="116"/>
      <c r="I1850" s="116"/>
      <c r="L1850" s="170">
        <v>44728</v>
      </c>
      <c r="M1850" s="116">
        <v>1500.15</v>
      </c>
      <c r="N1850" s="116">
        <v>1550</v>
      </c>
      <c r="O1850" s="116">
        <v>1485.6</v>
      </c>
      <c r="P1850" s="116">
        <v>1550</v>
      </c>
      <c r="Q1850" s="116">
        <v>1500.15</v>
      </c>
      <c r="R1850">
        <v>33546</v>
      </c>
    </row>
    <row r="1851" spans="1:18" x14ac:dyDescent="0.25">
      <c r="A1851" s="170">
        <v>44729</v>
      </c>
      <c r="B1851" s="116">
        <v>1532.9</v>
      </c>
      <c r="C1851" s="116">
        <v>1522.05</v>
      </c>
      <c r="D1851" s="116">
        <v>1482</v>
      </c>
      <c r="E1851" s="116">
        <v>1500.05</v>
      </c>
      <c r="F1851" s="116">
        <v>1522.05</v>
      </c>
      <c r="G1851">
        <v>2574</v>
      </c>
      <c r="H1851" s="116"/>
      <c r="I1851" s="116"/>
      <c r="L1851" s="170">
        <v>44729</v>
      </c>
      <c r="M1851" s="116">
        <v>1520.85</v>
      </c>
      <c r="N1851" s="116">
        <v>1530</v>
      </c>
      <c r="O1851" s="116">
        <v>1480</v>
      </c>
      <c r="P1851" s="116">
        <v>1514</v>
      </c>
      <c r="Q1851" s="116">
        <v>1520.85</v>
      </c>
      <c r="R1851">
        <v>31447</v>
      </c>
    </row>
    <row r="1852" spans="1:18" x14ac:dyDescent="0.25">
      <c r="A1852" s="170">
        <v>44732</v>
      </c>
      <c r="B1852" s="116">
        <v>1525.45</v>
      </c>
      <c r="C1852" s="116">
        <v>1507.55</v>
      </c>
      <c r="D1852" s="116">
        <v>1495</v>
      </c>
      <c r="E1852" s="116">
        <v>1506.05</v>
      </c>
      <c r="F1852" s="116">
        <v>1507.55</v>
      </c>
      <c r="G1852">
        <v>3307</v>
      </c>
      <c r="H1852" s="116"/>
      <c r="I1852" s="116"/>
      <c r="L1852" s="170">
        <v>44732</v>
      </c>
      <c r="M1852" s="116">
        <v>1508.25</v>
      </c>
      <c r="N1852" s="116">
        <v>1525.9</v>
      </c>
      <c r="O1852" s="116">
        <v>1495</v>
      </c>
      <c r="P1852" s="116">
        <v>1520.85</v>
      </c>
      <c r="Q1852" s="116">
        <v>1508.25</v>
      </c>
      <c r="R1852">
        <v>22244</v>
      </c>
    </row>
    <row r="1853" spans="1:18" x14ac:dyDescent="0.25">
      <c r="A1853" s="170">
        <v>44733</v>
      </c>
      <c r="B1853" s="116">
        <v>1522</v>
      </c>
      <c r="C1853" s="116">
        <v>1515.1</v>
      </c>
      <c r="D1853" s="116">
        <v>1507.55</v>
      </c>
      <c r="E1853" s="116">
        <v>1517.85</v>
      </c>
      <c r="F1853" s="116">
        <v>1515.1</v>
      </c>
      <c r="G1853">
        <v>1813</v>
      </c>
      <c r="H1853" s="116"/>
      <c r="I1853" s="116"/>
      <c r="L1853" s="170">
        <v>44733</v>
      </c>
      <c r="M1853" s="116">
        <v>1514.15</v>
      </c>
      <c r="N1853" s="116">
        <v>1520.9</v>
      </c>
      <c r="O1853" s="116">
        <v>1506.6</v>
      </c>
      <c r="P1853" s="116">
        <v>1506.6</v>
      </c>
      <c r="Q1853" s="116">
        <v>1514.15</v>
      </c>
      <c r="R1853">
        <v>32622</v>
      </c>
    </row>
    <row r="1854" spans="1:18" x14ac:dyDescent="0.25">
      <c r="A1854" s="170">
        <v>44734</v>
      </c>
      <c r="B1854" s="116">
        <v>1522</v>
      </c>
      <c r="C1854" s="116">
        <v>1506.3</v>
      </c>
      <c r="D1854" s="116">
        <v>1503</v>
      </c>
      <c r="E1854" s="116">
        <v>1515.4</v>
      </c>
      <c r="F1854" s="116">
        <v>1506.3</v>
      </c>
      <c r="G1854">
        <v>2553</v>
      </c>
      <c r="H1854" s="116"/>
      <c r="I1854" s="116"/>
      <c r="L1854" s="170">
        <v>44734</v>
      </c>
      <c r="M1854" s="116">
        <v>1507.3</v>
      </c>
      <c r="N1854" s="116">
        <v>1522.8</v>
      </c>
      <c r="O1854" s="116">
        <v>1502.5</v>
      </c>
      <c r="P1854" s="116">
        <v>1520.05</v>
      </c>
      <c r="Q1854" s="116">
        <v>1507.3</v>
      </c>
      <c r="R1854">
        <v>12956</v>
      </c>
    </row>
    <row r="1855" spans="1:18" x14ac:dyDescent="0.25">
      <c r="A1855" s="170">
        <v>44735</v>
      </c>
      <c r="B1855" s="116">
        <v>1515</v>
      </c>
      <c r="C1855" s="116">
        <v>1500.65</v>
      </c>
      <c r="D1855" s="116">
        <v>1497.1</v>
      </c>
      <c r="E1855" s="116">
        <v>1510.6</v>
      </c>
      <c r="F1855" s="116">
        <v>1500.65</v>
      </c>
      <c r="G1855">
        <v>1123</v>
      </c>
      <c r="H1855" s="116"/>
      <c r="I1855" s="116"/>
      <c r="L1855" s="170">
        <v>44735</v>
      </c>
      <c r="M1855" s="116">
        <v>1499.75</v>
      </c>
      <c r="N1855" s="116">
        <v>1519</v>
      </c>
      <c r="O1855" s="116">
        <v>1496.95</v>
      </c>
      <c r="P1855" s="116">
        <v>1511</v>
      </c>
      <c r="Q1855" s="116">
        <v>1499.75</v>
      </c>
      <c r="R1855">
        <v>18600</v>
      </c>
    </row>
    <row r="1856" spans="1:18" x14ac:dyDescent="0.25">
      <c r="A1856" s="170">
        <v>44736</v>
      </c>
      <c r="B1856" s="116">
        <v>1527</v>
      </c>
      <c r="C1856" s="116">
        <v>1499.75</v>
      </c>
      <c r="D1856" s="116">
        <v>1497.05</v>
      </c>
      <c r="E1856" s="116">
        <v>1527</v>
      </c>
      <c r="F1856" s="116">
        <v>1499.75</v>
      </c>
      <c r="G1856">
        <v>1985</v>
      </c>
      <c r="H1856" s="116"/>
      <c r="I1856" s="116"/>
      <c r="L1856" s="170">
        <v>44736</v>
      </c>
      <c r="M1856" s="116">
        <v>1499.8</v>
      </c>
      <c r="N1856" s="116">
        <v>1517.95</v>
      </c>
      <c r="O1856" s="116">
        <v>1497.85</v>
      </c>
      <c r="P1856" s="116">
        <v>1500</v>
      </c>
      <c r="Q1856" s="116">
        <v>1499.8</v>
      </c>
      <c r="R1856">
        <v>23915</v>
      </c>
    </row>
    <row r="1857" spans="1:18" x14ac:dyDescent="0.25">
      <c r="A1857" s="170">
        <v>44739</v>
      </c>
      <c r="B1857" s="116">
        <v>1519.45</v>
      </c>
      <c r="C1857" s="116">
        <v>1499.15</v>
      </c>
      <c r="D1857" s="116">
        <v>1498</v>
      </c>
      <c r="E1857" s="116">
        <v>1503</v>
      </c>
      <c r="F1857" s="116">
        <v>1499.15</v>
      </c>
      <c r="G1857">
        <v>2072</v>
      </c>
      <c r="H1857" s="116"/>
      <c r="I1857" s="116"/>
      <c r="L1857" s="170">
        <v>44739</v>
      </c>
      <c r="M1857" s="116">
        <v>1499</v>
      </c>
      <c r="N1857" s="116">
        <v>1517</v>
      </c>
      <c r="O1857" s="116">
        <v>1496</v>
      </c>
      <c r="P1857" s="116">
        <v>1505</v>
      </c>
      <c r="Q1857" s="116">
        <v>1499</v>
      </c>
      <c r="R1857">
        <v>32009</v>
      </c>
    </row>
    <row r="1858" spans="1:18" x14ac:dyDescent="0.25">
      <c r="A1858" s="170">
        <v>44740</v>
      </c>
      <c r="B1858" s="116">
        <v>1510</v>
      </c>
      <c r="C1858" s="116">
        <v>1498.55</v>
      </c>
      <c r="D1858" s="116">
        <v>1494</v>
      </c>
      <c r="E1858" s="116">
        <v>1510</v>
      </c>
      <c r="F1858" s="116">
        <v>1498.55</v>
      </c>
      <c r="G1858">
        <v>1718</v>
      </c>
      <c r="H1858" s="116"/>
      <c r="I1858" s="116"/>
      <c r="L1858" s="170">
        <v>44740</v>
      </c>
      <c r="M1858" s="116">
        <v>1498</v>
      </c>
      <c r="N1858" s="116">
        <v>1507.8</v>
      </c>
      <c r="O1858" s="116">
        <v>1494</v>
      </c>
      <c r="P1858" s="116">
        <v>1507.75</v>
      </c>
      <c r="Q1858" s="116">
        <v>1498</v>
      </c>
      <c r="R1858">
        <v>29584</v>
      </c>
    </row>
    <row r="1859" spans="1:18" x14ac:dyDescent="0.25">
      <c r="A1859" s="170">
        <v>44741</v>
      </c>
      <c r="B1859" s="116">
        <v>1507.8</v>
      </c>
      <c r="C1859" s="116">
        <v>1497.9</v>
      </c>
      <c r="D1859" s="116">
        <v>1492</v>
      </c>
      <c r="E1859" s="116">
        <v>1496.1</v>
      </c>
      <c r="F1859" s="116">
        <v>1497.9</v>
      </c>
      <c r="G1859">
        <v>4163</v>
      </c>
      <c r="H1859" s="116"/>
      <c r="I1859" s="116"/>
      <c r="L1859" s="170">
        <v>44741</v>
      </c>
      <c r="M1859" s="116">
        <v>1497.95</v>
      </c>
      <c r="N1859" s="116">
        <v>1509.7</v>
      </c>
      <c r="O1859" s="116">
        <v>1491.1</v>
      </c>
      <c r="P1859" s="116">
        <v>1495</v>
      </c>
      <c r="Q1859" s="116">
        <v>1497.95</v>
      </c>
      <c r="R1859">
        <v>33546</v>
      </c>
    </row>
    <row r="1860" spans="1:18" x14ac:dyDescent="0.25">
      <c r="A1860" s="170">
        <v>44742</v>
      </c>
      <c r="B1860" s="116">
        <v>1507.85</v>
      </c>
      <c r="C1860" s="116">
        <v>1499.7</v>
      </c>
      <c r="D1860" s="116">
        <v>1496.3</v>
      </c>
      <c r="E1860" s="116">
        <v>1505.1</v>
      </c>
      <c r="F1860" s="116">
        <v>1499.7</v>
      </c>
      <c r="G1860">
        <v>914</v>
      </c>
      <c r="H1860" s="116"/>
      <c r="I1860" s="116"/>
      <c r="L1860" s="170">
        <v>44742</v>
      </c>
      <c r="M1860" s="116">
        <v>1499.6</v>
      </c>
      <c r="N1860" s="116">
        <v>1509.25</v>
      </c>
      <c r="O1860" s="116">
        <v>1495.35</v>
      </c>
      <c r="P1860" s="116">
        <v>1500</v>
      </c>
      <c r="Q1860" s="116">
        <v>1499.6</v>
      </c>
      <c r="R1860">
        <v>34792</v>
      </c>
    </row>
    <row r="1861" spans="1:18" x14ac:dyDescent="0.25">
      <c r="A1861" s="170">
        <v>44743</v>
      </c>
      <c r="B1861" s="116">
        <v>1526.2</v>
      </c>
      <c r="C1861" s="116">
        <v>1503.35</v>
      </c>
      <c r="D1861" s="116">
        <v>1499</v>
      </c>
      <c r="E1861" s="116">
        <v>1503</v>
      </c>
      <c r="F1861" s="116">
        <v>1503.35</v>
      </c>
      <c r="G1861">
        <v>4697</v>
      </c>
      <c r="H1861" s="116"/>
      <c r="I1861" s="116"/>
      <c r="L1861" s="170">
        <v>44743</v>
      </c>
      <c r="M1861" s="116">
        <v>1501.5</v>
      </c>
      <c r="N1861" s="116">
        <v>1527</v>
      </c>
      <c r="O1861" s="116">
        <v>1499</v>
      </c>
      <c r="P1861" s="116">
        <v>1505</v>
      </c>
      <c r="Q1861" s="116">
        <v>1501.5</v>
      </c>
      <c r="R1861">
        <v>54631</v>
      </c>
    </row>
    <row r="1862" spans="1:18" x14ac:dyDescent="0.25">
      <c r="A1862" s="170">
        <v>44746</v>
      </c>
      <c r="B1862" s="116">
        <v>1539</v>
      </c>
      <c r="C1862" s="116">
        <v>1531.65</v>
      </c>
      <c r="D1862" s="116">
        <v>1514.9</v>
      </c>
      <c r="E1862" s="116">
        <v>1515</v>
      </c>
      <c r="F1862" s="116">
        <v>1531.65</v>
      </c>
      <c r="G1862">
        <v>5907</v>
      </c>
      <c r="H1862" s="116"/>
      <c r="I1862" s="116"/>
      <c r="L1862" s="170">
        <v>44746</v>
      </c>
      <c r="M1862" s="116">
        <v>1531.75</v>
      </c>
      <c r="N1862" s="116">
        <v>1539</v>
      </c>
      <c r="O1862" s="116">
        <v>1512.55</v>
      </c>
      <c r="P1862" s="116">
        <v>1524.05</v>
      </c>
      <c r="Q1862" s="116">
        <v>1531.75</v>
      </c>
      <c r="R1862">
        <v>61822</v>
      </c>
    </row>
    <row r="1863" spans="1:18" x14ac:dyDescent="0.25">
      <c r="A1863" s="170">
        <v>44747</v>
      </c>
      <c r="B1863" s="116">
        <v>1549.45</v>
      </c>
      <c r="C1863" s="116">
        <v>1541.4</v>
      </c>
      <c r="D1863" s="116">
        <v>1530.4</v>
      </c>
      <c r="E1863" s="116">
        <v>1548.75</v>
      </c>
      <c r="F1863" s="116">
        <v>1541.4</v>
      </c>
      <c r="G1863">
        <v>5941</v>
      </c>
      <c r="H1863" s="116"/>
      <c r="I1863" s="116"/>
      <c r="L1863" s="170">
        <v>44747</v>
      </c>
      <c r="M1863" s="116">
        <v>1543.7</v>
      </c>
      <c r="N1863" s="116">
        <v>1548.7</v>
      </c>
      <c r="O1863" s="116">
        <v>1535</v>
      </c>
      <c r="P1863" s="116">
        <v>1544.35</v>
      </c>
      <c r="Q1863" s="116">
        <v>1543.7</v>
      </c>
      <c r="R1863">
        <v>109803</v>
      </c>
    </row>
    <row r="1864" spans="1:18" x14ac:dyDescent="0.25">
      <c r="A1864" s="170">
        <v>44748</v>
      </c>
      <c r="B1864" s="116">
        <v>1551.7</v>
      </c>
      <c r="C1864" s="116">
        <v>1545.1</v>
      </c>
      <c r="D1864" s="116">
        <v>1503.15</v>
      </c>
      <c r="E1864" s="116">
        <v>1548</v>
      </c>
      <c r="F1864" s="116">
        <v>1545.1</v>
      </c>
      <c r="G1864">
        <v>13184</v>
      </c>
      <c r="H1864" s="116"/>
      <c r="I1864" s="116"/>
      <c r="L1864" s="170">
        <v>44748</v>
      </c>
      <c r="M1864" s="116">
        <v>1547.4</v>
      </c>
      <c r="N1864" s="116">
        <v>1554.95</v>
      </c>
      <c r="O1864" s="116">
        <v>1538</v>
      </c>
      <c r="P1864" s="116">
        <v>1544.95</v>
      </c>
      <c r="Q1864" s="116">
        <v>1547.4</v>
      </c>
      <c r="R1864">
        <v>77732</v>
      </c>
    </row>
    <row r="1865" spans="1:18" x14ac:dyDescent="0.25">
      <c r="A1865" s="170">
        <v>44749</v>
      </c>
      <c r="B1865" s="116">
        <v>1510</v>
      </c>
      <c r="C1865" s="116">
        <v>1505.9</v>
      </c>
      <c r="D1865" s="116">
        <v>1461.8</v>
      </c>
      <c r="E1865" s="116">
        <v>1488</v>
      </c>
      <c r="F1865" s="116">
        <v>1505.9</v>
      </c>
      <c r="G1865">
        <v>5793</v>
      </c>
      <c r="H1865" s="116"/>
      <c r="I1865" s="116"/>
      <c r="L1865" s="170">
        <v>44749</v>
      </c>
      <c r="M1865" s="116">
        <v>1504.45</v>
      </c>
      <c r="N1865" s="116">
        <v>1509</v>
      </c>
      <c r="O1865" s="116">
        <v>1461.25</v>
      </c>
      <c r="P1865" s="116">
        <v>1479.9</v>
      </c>
      <c r="Q1865" s="116">
        <v>1504.45</v>
      </c>
      <c r="R1865">
        <v>98704</v>
      </c>
    </row>
    <row r="1866" spans="1:18" x14ac:dyDescent="0.25">
      <c r="A1866" s="170">
        <v>44750</v>
      </c>
      <c r="B1866" s="116">
        <v>1507.65</v>
      </c>
      <c r="C1866" s="116">
        <v>1487.3</v>
      </c>
      <c r="D1866" s="116">
        <v>1477.1</v>
      </c>
      <c r="E1866" s="116">
        <v>1505.9</v>
      </c>
      <c r="F1866" s="116">
        <v>1487.3</v>
      </c>
      <c r="G1866">
        <v>5462</v>
      </c>
      <c r="H1866" s="116"/>
      <c r="I1866" s="116"/>
      <c r="L1866" s="170">
        <v>44750</v>
      </c>
      <c r="M1866" s="116">
        <v>1494.55</v>
      </c>
      <c r="N1866" s="116">
        <v>1504.75</v>
      </c>
      <c r="O1866" s="116">
        <v>1490</v>
      </c>
      <c r="P1866" s="116">
        <v>1504.7</v>
      </c>
      <c r="Q1866" s="116">
        <v>1494.55</v>
      </c>
      <c r="R1866">
        <v>29111</v>
      </c>
    </row>
    <row r="1867" spans="1:18" x14ac:dyDescent="0.25">
      <c r="A1867" s="170">
        <v>44753</v>
      </c>
      <c r="B1867" s="116">
        <v>1500.25</v>
      </c>
      <c r="C1867" s="116">
        <v>1498.6</v>
      </c>
      <c r="D1867" s="116">
        <v>1478.2</v>
      </c>
      <c r="E1867" s="116">
        <v>1492.7</v>
      </c>
      <c r="F1867" s="116">
        <v>1498.6</v>
      </c>
      <c r="G1867">
        <v>2063</v>
      </c>
      <c r="H1867" s="116"/>
      <c r="I1867" s="116"/>
      <c r="L1867" s="170">
        <v>44753</v>
      </c>
      <c r="M1867" s="116">
        <v>1499.5</v>
      </c>
      <c r="N1867" s="116">
        <v>1503</v>
      </c>
      <c r="O1867" s="116">
        <v>1477.85</v>
      </c>
      <c r="P1867" s="116">
        <v>1490.5</v>
      </c>
      <c r="Q1867" s="116">
        <v>1499.5</v>
      </c>
      <c r="R1867">
        <v>33235</v>
      </c>
    </row>
    <row r="1868" spans="1:18" x14ac:dyDescent="0.25">
      <c r="A1868" s="170">
        <v>44754</v>
      </c>
      <c r="B1868" s="116">
        <v>1503.6</v>
      </c>
      <c r="C1868" s="116">
        <v>1500.3</v>
      </c>
      <c r="D1868" s="116">
        <v>1490</v>
      </c>
      <c r="E1868" s="116">
        <v>1496.55</v>
      </c>
      <c r="F1868" s="116">
        <v>1500.3</v>
      </c>
      <c r="G1868">
        <v>2021</v>
      </c>
      <c r="H1868" s="116"/>
      <c r="I1868" s="116"/>
      <c r="L1868" s="170">
        <v>44754</v>
      </c>
      <c r="M1868" s="116">
        <v>1500.1</v>
      </c>
      <c r="N1868" s="116">
        <v>1504.45</v>
      </c>
      <c r="O1868" s="116">
        <v>1490.6</v>
      </c>
      <c r="P1868" s="116">
        <v>1499.5</v>
      </c>
      <c r="Q1868" s="116">
        <v>1500.1</v>
      </c>
      <c r="R1868">
        <v>21877</v>
      </c>
    </row>
    <row r="1869" spans="1:18" x14ac:dyDescent="0.25">
      <c r="A1869" s="170">
        <v>44755</v>
      </c>
      <c r="B1869" s="116">
        <v>1504.5</v>
      </c>
      <c r="C1869" s="116">
        <v>1494.1</v>
      </c>
      <c r="D1869" s="116">
        <v>1490</v>
      </c>
      <c r="E1869" s="116">
        <v>1500.15</v>
      </c>
      <c r="F1869" s="116">
        <v>1494.1</v>
      </c>
      <c r="G1869">
        <v>1531</v>
      </c>
      <c r="H1869" s="116"/>
      <c r="I1869" s="116"/>
      <c r="L1869" s="170">
        <v>44755</v>
      </c>
      <c r="M1869" s="116">
        <v>1496.5</v>
      </c>
      <c r="N1869" s="116">
        <v>1504.9</v>
      </c>
      <c r="O1869" s="116">
        <v>1490.2</v>
      </c>
      <c r="P1869" s="116">
        <v>1504.9</v>
      </c>
      <c r="Q1869" s="116">
        <v>1496.5</v>
      </c>
      <c r="R1869">
        <v>10054</v>
      </c>
    </row>
    <row r="1870" spans="1:18" x14ac:dyDescent="0.25">
      <c r="A1870" s="170">
        <v>44756</v>
      </c>
      <c r="B1870" s="116">
        <v>1505.65</v>
      </c>
      <c r="C1870" s="116">
        <v>1498.95</v>
      </c>
      <c r="D1870" s="116">
        <v>1491.8</v>
      </c>
      <c r="E1870" s="116">
        <v>1495.45</v>
      </c>
      <c r="F1870" s="116">
        <v>1498.95</v>
      </c>
      <c r="G1870">
        <v>700</v>
      </c>
      <c r="H1870" s="116"/>
      <c r="I1870" s="116"/>
      <c r="L1870" s="170">
        <v>44756</v>
      </c>
      <c r="M1870" s="116">
        <v>1502.9</v>
      </c>
      <c r="N1870" s="116">
        <v>1507</v>
      </c>
      <c r="O1870" s="116">
        <v>1491.15</v>
      </c>
      <c r="P1870" s="116">
        <v>1496</v>
      </c>
      <c r="Q1870" s="116">
        <v>1502.9</v>
      </c>
      <c r="R1870">
        <v>21344</v>
      </c>
    </row>
    <row r="1871" spans="1:18" x14ac:dyDescent="0.25">
      <c r="A1871" s="170">
        <v>44757</v>
      </c>
      <c r="B1871" s="116">
        <v>1517.95</v>
      </c>
      <c r="C1871" s="116">
        <v>1509.05</v>
      </c>
      <c r="D1871" s="116">
        <v>1496.25</v>
      </c>
      <c r="E1871" s="116">
        <v>1505.35</v>
      </c>
      <c r="F1871" s="116">
        <v>1509.05</v>
      </c>
      <c r="G1871">
        <v>1046</v>
      </c>
      <c r="H1871" s="116"/>
      <c r="I1871" s="116"/>
      <c r="L1871" s="170">
        <v>44757</v>
      </c>
      <c r="M1871" s="116">
        <v>1509.85</v>
      </c>
      <c r="N1871" s="116">
        <v>1518.7</v>
      </c>
      <c r="O1871" s="116">
        <v>1495.4</v>
      </c>
      <c r="P1871" s="116">
        <v>1505</v>
      </c>
      <c r="Q1871" s="116">
        <v>1509.85</v>
      </c>
      <c r="R1871">
        <v>27504</v>
      </c>
    </row>
    <row r="1872" spans="1:18" x14ac:dyDescent="0.25">
      <c r="A1872" s="170">
        <v>44760</v>
      </c>
      <c r="B1872" s="116">
        <v>1519</v>
      </c>
      <c r="C1872" s="116">
        <v>1506.95</v>
      </c>
      <c r="D1872" s="116">
        <v>1497.55</v>
      </c>
      <c r="E1872" s="116">
        <v>1514.05</v>
      </c>
      <c r="F1872" s="116">
        <v>1506.95</v>
      </c>
      <c r="G1872">
        <v>2516</v>
      </c>
      <c r="H1872" s="116"/>
      <c r="I1872" s="116"/>
      <c r="L1872" s="170">
        <v>44760</v>
      </c>
      <c r="M1872" s="116">
        <v>1512.4</v>
      </c>
      <c r="N1872" s="116">
        <v>1519.8</v>
      </c>
      <c r="O1872" s="116">
        <v>1500.1</v>
      </c>
      <c r="P1872" s="116">
        <v>1509.85</v>
      </c>
      <c r="Q1872" s="116">
        <v>1512.4</v>
      </c>
      <c r="R1872">
        <v>20000</v>
      </c>
    </row>
    <row r="1873" spans="1:18" x14ac:dyDescent="0.25">
      <c r="A1873" s="170">
        <v>44761</v>
      </c>
      <c r="B1873" s="116">
        <v>1528</v>
      </c>
      <c r="C1873" s="116">
        <v>1511.15</v>
      </c>
      <c r="D1873" s="116">
        <v>1504.15</v>
      </c>
      <c r="E1873" s="116">
        <v>1515</v>
      </c>
      <c r="F1873" s="116">
        <v>1511.15</v>
      </c>
      <c r="G1873">
        <v>1595</v>
      </c>
      <c r="H1873" s="116"/>
      <c r="I1873" s="116"/>
      <c r="L1873" s="170">
        <v>44761</v>
      </c>
      <c r="M1873" s="116">
        <v>1512.55</v>
      </c>
      <c r="N1873" s="116">
        <v>1528.8</v>
      </c>
      <c r="O1873" s="116">
        <v>1502</v>
      </c>
      <c r="P1873" s="116">
        <v>1519</v>
      </c>
      <c r="Q1873" s="116">
        <v>1512.55</v>
      </c>
      <c r="R1873">
        <v>30992</v>
      </c>
    </row>
    <row r="1874" spans="1:18" x14ac:dyDescent="0.25">
      <c r="A1874" s="170">
        <v>44762</v>
      </c>
      <c r="B1874" s="116">
        <v>1517.85</v>
      </c>
      <c r="C1874" s="116">
        <v>1495.45</v>
      </c>
      <c r="D1874" s="116">
        <v>1492</v>
      </c>
      <c r="E1874" s="116">
        <v>1517.85</v>
      </c>
      <c r="F1874" s="116">
        <v>1495.45</v>
      </c>
      <c r="G1874">
        <v>1766</v>
      </c>
      <c r="H1874" s="116"/>
      <c r="I1874" s="116"/>
      <c r="L1874" s="170">
        <v>44762</v>
      </c>
      <c r="M1874" s="116">
        <v>1494.85</v>
      </c>
      <c r="N1874" s="116">
        <v>1518</v>
      </c>
      <c r="O1874" s="116">
        <v>1491</v>
      </c>
      <c r="P1874" s="116">
        <v>1512</v>
      </c>
      <c r="Q1874" s="116">
        <v>1494.85</v>
      </c>
      <c r="R1874">
        <v>23675</v>
      </c>
    </row>
    <row r="1875" spans="1:18" x14ac:dyDescent="0.25">
      <c r="A1875" s="170">
        <v>44763</v>
      </c>
      <c r="B1875" s="116">
        <v>1506</v>
      </c>
      <c r="C1875" s="116">
        <v>1498.15</v>
      </c>
      <c r="D1875" s="116">
        <v>1492.65</v>
      </c>
      <c r="E1875" s="116">
        <v>1506</v>
      </c>
      <c r="F1875" s="116">
        <v>1498.15</v>
      </c>
      <c r="G1875">
        <v>1998</v>
      </c>
      <c r="H1875" s="116"/>
      <c r="I1875" s="116"/>
      <c r="L1875" s="170">
        <v>44763</v>
      </c>
      <c r="M1875" s="116">
        <v>1499.05</v>
      </c>
      <c r="N1875" s="116">
        <v>1505.3</v>
      </c>
      <c r="O1875" s="116">
        <v>1492.85</v>
      </c>
      <c r="P1875" s="116">
        <v>1502</v>
      </c>
      <c r="Q1875" s="116">
        <v>1499.05</v>
      </c>
      <c r="R1875">
        <v>9254</v>
      </c>
    </row>
    <row r="1876" spans="1:18" x14ac:dyDescent="0.25">
      <c r="A1876" s="170">
        <v>44764</v>
      </c>
      <c r="B1876" s="116">
        <v>1510</v>
      </c>
      <c r="C1876" s="116">
        <v>1505.3</v>
      </c>
      <c r="D1876" s="116">
        <v>1492.55</v>
      </c>
      <c r="E1876" s="116">
        <v>1500.1</v>
      </c>
      <c r="F1876" s="116">
        <v>1505.3</v>
      </c>
      <c r="G1876">
        <v>961</v>
      </c>
      <c r="H1876" s="116"/>
      <c r="I1876" s="116"/>
      <c r="L1876" s="170">
        <v>44764</v>
      </c>
      <c r="M1876" s="116">
        <v>1505.2</v>
      </c>
      <c r="N1876" s="116">
        <v>1510.15</v>
      </c>
      <c r="O1876" s="116">
        <v>1492</v>
      </c>
      <c r="P1876" s="116">
        <v>1504.95</v>
      </c>
      <c r="Q1876" s="116">
        <v>1505.2</v>
      </c>
      <c r="R1876">
        <v>14753</v>
      </c>
    </row>
    <row r="1877" spans="1:18" x14ac:dyDescent="0.25">
      <c r="A1877" s="170">
        <v>44767</v>
      </c>
      <c r="B1877" s="116">
        <v>1515</v>
      </c>
      <c r="C1877" s="116">
        <v>1493.85</v>
      </c>
      <c r="D1877" s="116">
        <v>1487.85</v>
      </c>
      <c r="E1877" s="116">
        <v>1515</v>
      </c>
      <c r="F1877" s="116">
        <v>1493.85</v>
      </c>
      <c r="G1877">
        <v>2277</v>
      </c>
      <c r="H1877" s="116"/>
      <c r="I1877" s="116"/>
      <c r="L1877" s="170">
        <v>44767</v>
      </c>
      <c r="M1877" s="116">
        <v>1495.7</v>
      </c>
      <c r="N1877" s="116">
        <v>1512</v>
      </c>
      <c r="O1877" s="116">
        <v>1488</v>
      </c>
      <c r="P1877" s="116">
        <v>1509.25</v>
      </c>
      <c r="Q1877" s="116">
        <v>1495.7</v>
      </c>
      <c r="R1877">
        <v>26294</v>
      </c>
    </row>
    <row r="1878" spans="1:18" x14ac:dyDescent="0.25">
      <c r="A1878" s="170">
        <v>44768</v>
      </c>
      <c r="B1878" s="116">
        <v>1502</v>
      </c>
      <c r="C1878" s="116">
        <v>1459.2</v>
      </c>
      <c r="D1878" s="116">
        <v>1454</v>
      </c>
      <c r="E1878" s="116">
        <v>1494.5</v>
      </c>
      <c r="F1878" s="116">
        <v>1459.2</v>
      </c>
      <c r="G1878">
        <v>2943</v>
      </c>
      <c r="H1878" s="116"/>
      <c r="I1878" s="116"/>
      <c r="L1878" s="170">
        <v>44768</v>
      </c>
      <c r="M1878" s="116">
        <v>1461.45</v>
      </c>
      <c r="N1878" s="116">
        <v>1507.95</v>
      </c>
      <c r="O1878" s="116">
        <v>1453.65</v>
      </c>
      <c r="P1878" s="116">
        <v>1507.95</v>
      </c>
      <c r="Q1878" s="116">
        <v>1461.45</v>
      </c>
      <c r="R1878">
        <v>71978</v>
      </c>
    </row>
    <row r="1879" spans="1:18" x14ac:dyDescent="0.25">
      <c r="A1879" s="170">
        <v>44769</v>
      </c>
      <c r="B1879" s="116">
        <v>1468</v>
      </c>
      <c r="C1879" s="116">
        <v>1447.5</v>
      </c>
      <c r="D1879" s="116">
        <v>1444.3</v>
      </c>
      <c r="E1879" s="116">
        <v>1468</v>
      </c>
      <c r="F1879" s="116">
        <v>1447.5</v>
      </c>
      <c r="G1879">
        <v>2258</v>
      </c>
      <c r="H1879" s="116"/>
      <c r="I1879" s="116"/>
      <c r="L1879" s="170">
        <v>44769</v>
      </c>
      <c r="M1879" s="116">
        <v>1451.4</v>
      </c>
      <c r="N1879" s="116">
        <v>1477.9</v>
      </c>
      <c r="O1879" s="116">
        <v>1447.2</v>
      </c>
      <c r="P1879" s="116">
        <v>1469.1</v>
      </c>
      <c r="Q1879" s="116">
        <v>1451.4</v>
      </c>
      <c r="R1879">
        <v>21983</v>
      </c>
    </row>
    <row r="1880" spans="1:18" x14ac:dyDescent="0.25">
      <c r="A1880" s="170">
        <v>44770</v>
      </c>
      <c r="B1880" s="116">
        <v>1470</v>
      </c>
      <c r="C1880" s="116">
        <v>1400.85</v>
      </c>
      <c r="D1880" s="116">
        <v>1396.5</v>
      </c>
      <c r="E1880" s="116">
        <v>1470</v>
      </c>
      <c r="F1880" s="116">
        <v>1400.85</v>
      </c>
      <c r="G1880">
        <v>8237</v>
      </c>
      <c r="H1880" s="116"/>
      <c r="I1880" s="116"/>
      <c r="L1880" s="170">
        <v>44770</v>
      </c>
      <c r="M1880" s="116">
        <v>1399.2</v>
      </c>
      <c r="N1880" s="116">
        <v>1470</v>
      </c>
      <c r="O1880" s="116">
        <v>1395.25</v>
      </c>
      <c r="P1880" s="116">
        <v>1459.9</v>
      </c>
      <c r="Q1880" s="116">
        <v>1399.2</v>
      </c>
      <c r="R1880">
        <v>172810</v>
      </c>
    </row>
    <row r="1881" spans="1:18" x14ac:dyDescent="0.25">
      <c r="A1881" s="170">
        <v>44771</v>
      </c>
      <c r="B1881" s="116">
        <v>1424.45</v>
      </c>
      <c r="C1881" s="116">
        <v>1407.2</v>
      </c>
      <c r="D1881" s="116">
        <v>1399.9</v>
      </c>
      <c r="E1881" s="116">
        <v>1402</v>
      </c>
      <c r="F1881" s="116">
        <v>1407.2</v>
      </c>
      <c r="G1881">
        <v>13913</v>
      </c>
      <c r="H1881" s="116"/>
      <c r="I1881" s="116"/>
      <c r="L1881" s="170">
        <v>44771</v>
      </c>
      <c r="M1881" s="116">
        <v>1406.3</v>
      </c>
      <c r="N1881" s="116">
        <v>1423.4</v>
      </c>
      <c r="O1881" s="116">
        <v>1400</v>
      </c>
      <c r="P1881" s="116">
        <v>1413.15</v>
      </c>
      <c r="Q1881" s="116">
        <v>1406.3</v>
      </c>
      <c r="R1881">
        <v>73306</v>
      </c>
    </row>
    <row r="1882" spans="1:18" x14ac:dyDescent="0.25">
      <c r="A1882" s="170">
        <v>44774</v>
      </c>
      <c r="B1882" s="116">
        <v>1442.85</v>
      </c>
      <c r="C1882" s="116">
        <v>1424.9</v>
      </c>
      <c r="D1882" s="116">
        <v>1401.95</v>
      </c>
      <c r="E1882" s="116">
        <v>1416</v>
      </c>
      <c r="F1882" s="116">
        <v>1424.9</v>
      </c>
      <c r="G1882">
        <v>7226</v>
      </c>
      <c r="H1882" s="116"/>
      <c r="I1882" s="116"/>
      <c r="L1882" s="170">
        <v>44774</v>
      </c>
      <c r="M1882" s="116">
        <v>1424.2</v>
      </c>
      <c r="N1882" s="116">
        <v>1444.9</v>
      </c>
      <c r="O1882" s="116">
        <v>1406</v>
      </c>
      <c r="P1882" s="116">
        <v>1414</v>
      </c>
      <c r="Q1882" s="116">
        <v>1424.2</v>
      </c>
      <c r="R1882">
        <v>48430</v>
      </c>
    </row>
    <row r="1883" spans="1:18" x14ac:dyDescent="0.25">
      <c r="A1883" s="170">
        <v>44775</v>
      </c>
      <c r="B1883" s="116">
        <v>1430</v>
      </c>
      <c r="C1883" s="116">
        <v>1416</v>
      </c>
      <c r="D1883" s="116">
        <v>1414</v>
      </c>
      <c r="E1883" s="116">
        <v>1428.4</v>
      </c>
      <c r="F1883" s="116">
        <v>1416</v>
      </c>
      <c r="G1883">
        <v>4509</v>
      </c>
      <c r="H1883" s="116"/>
      <c r="I1883" s="116"/>
      <c r="L1883" s="170">
        <v>44775</v>
      </c>
      <c r="M1883" s="116">
        <v>1415.3</v>
      </c>
      <c r="N1883" s="116">
        <v>1430.05</v>
      </c>
      <c r="O1883" s="116">
        <v>1414</v>
      </c>
      <c r="P1883" s="116">
        <v>1425</v>
      </c>
      <c r="Q1883" s="116">
        <v>1415.3</v>
      </c>
      <c r="R1883">
        <v>31955</v>
      </c>
    </row>
    <row r="1884" spans="1:18" x14ac:dyDescent="0.25">
      <c r="A1884" s="170">
        <v>44776</v>
      </c>
      <c r="B1884" s="116">
        <v>1415.05</v>
      </c>
      <c r="C1884" s="116">
        <v>1384</v>
      </c>
      <c r="D1884" s="116">
        <v>1376.95</v>
      </c>
      <c r="E1884" s="116">
        <v>1408.05</v>
      </c>
      <c r="F1884" s="116">
        <v>1384</v>
      </c>
      <c r="G1884">
        <v>13602</v>
      </c>
      <c r="H1884" s="116"/>
      <c r="I1884" s="116"/>
      <c r="L1884" s="170">
        <v>44776</v>
      </c>
      <c r="M1884" s="116">
        <v>1382.6</v>
      </c>
      <c r="N1884" s="116">
        <v>1420</v>
      </c>
      <c r="O1884" s="116">
        <v>1377</v>
      </c>
      <c r="P1884" s="116">
        <v>1420</v>
      </c>
      <c r="Q1884" s="116">
        <v>1382.6</v>
      </c>
      <c r="R1884">
        <v>149841</v>
      </c>
    </row>
    <row r="1885" spans="1:18" x14ac:dyDescent="0.25">
      <c r="A1885" s="170">
        <v>44777</v>
      </c>
      <c r="B1885" s="116">
        <v>1402.2</v>
      </c>
      <c r="C1885" s="116">
        <v>1394.4</v>
      </c>
      <c r="D1885" s="116">
        <v>1372.8</v>
      </c>
      <c r="E1885" s="116">
        <v>1399.85</v>
      </c>
      <c r="F1885" s="116">
        <v>1394.4</v>
      </c>
      <c r="G1885">
        <v>14446</v>
      </c>
      <c r="H1885" s="116"/>
      <c r="I1885" s="116"/>
      <c r="L1885" s="170">
        <v>44777</v>
      </c>
      <c r="M1885" s="116">
        <v>1395.65</v>
      </c>
      <c r="N1885" s="116">
        <v>1404</v>
      </c>
      <c r="O1885" s="116">
        <v>1372.05</v>
      </c>
      <c r="P1885" s="116">
        <v>1399.9</v>
      </c>
      <c r="Q1885" s="116">
        <v>1395.65</v>
      </c>
      <c r="R1885">
        <v>122860</v>
      </c>
    </row>
    <row r="1886" spans="1:18" x14ac:dyDescent="0.25">
      <c r="A1886" s="170">
        <v>44778</v>
      </c>
      <c r="B1886" s="116">
        <v>1415</v>
      </c>
      <c r="C1886" s="116">
        <v>1407.85</v>
      </c>
      <c r="D1886" s="116">
        <v>1401.5</v>
      </c>
      <c r="E1886" s="116">
        <v>1410</v>
      </c>
      <c r="F1886" s="116">
        <v>1407.85</v>
      </c>
      <c r="G1886">
        <v>3368</v>
      </c>
      <c r="H1886" s="116"/>
      <c r="I1886" s="116"/>
      <c r="L1886" s="170">
        <v>44778</v>
      </c>
      <c r="M1886" s="116">
        <v>1408.5</v>
      </c>
      <c r="N1886" s="116">
        <v>1416.4</v>
      </c>
      <c r="O1886" s="116">
        <v>1400</v>
      </c>
      <c r="P1886" s="116">
        <v>1404.9</v>
      </c>
      <c r="Q1886" s="116">
        <v>1408.5</v>
      </c>
      <c r="R1886">
        <v>37744</v>
      </c>
    </row>
    <row r="1887" spans="1:18" x14ac:dyDescent="0.25">
      <c r="A1887" s="170">
        <v>44781</v>
      </c>
      <c r="B1887" s="116">
        <v>1445</v>
      </c>
      <c r="C1887" s="116">
        <v>1442.75</v>
      </c>
      <c r="D1887" s="116">
        <v>1403.75</v>
      </c>
      <c r="E1887" s="116">
        <v>1412.85</v>
      </c>
      <c r="F1887" s="116">
        <v>1442.75</v>
      </c>
      <c r="G1887">
        <v>4518</v>
      </c>
      <c r="H1887" s="116"/>
      <c r="I1887" s="116"/>
      <c r="L1887" s="170">
        <v>44781</v>
      </c>
      <c r="M1887" s="116">
        <v>1443.4</v>
      </c>
      <c r="N1887" s="116">
        <v>1449</v>
      </c>
      <c r="O1887" s="116">
        <v>1402</v>
      </c>
      <c r="P1887" s="116">
        <v>1410</v>
      </c>
      <c r="Q1887" s="116">
        <v>1443.4</v>
      </c>
      <c r="R1887">
        <v>287944</v>
      </c>
    </row>
    <row r="1888" spans="1:18" x14ac:dyDescent="0.25">
      <c r="A1888" s="170">
        <v>44783</v>
      </c>
      <c r="B1888" s="116">
        <v>1454.55</v>
      </c>
      <c r="C1888" s="116">
        <v>1445</v>
      </c>
      <c r="D1888" s="116">
        <v>1431</v>
      </c>
      <c r="E1888" s="116">
        <v>1447</v>
      </c>
      <c r="F1888" s="116">
        <v>1445</v>
      </c>
      <c r="G1888">
        <v>2184</v>
      </c>
      <c r="H1888" s="116"/>
      <c r="I1888" s="116"/>
      <c r="L1888" s="170">
        <v>44783</v>
      </c>
      <c r="M1888" s="116">
        <v>1445.85</v>
      </c>
      <c r="N1888" s="116">
        <v>1455.95</v>
      </c>
      <c r="O1888" s="116">
        <v>1430.3</v>
      </c>
      <c r="P1888" s="116">
        <v>1455.95</v>
      </c>
      <c r="Q1888" s="116">
        <v>1445.85</v>
      </c>
      <c r="R1888">
        <v>101962</v>
      </c>
    </row>
    <row r="1889" spans="1:18" x14ac:dyDescent="0.25">
      <c r="A1889" s="170">
        <v>44784</v>
      </c>
      <c r="B1889" s="116">
        <v>1451.8</v>
      </c>
      <c r="C1889" s="116">
        <v>1442.3</v>
      </c>
      <c r="D1889" s="116">
        <v>1439.1</v>
      </c>
      <c r="E1889" s="116">
        <v>1450.8</v>
      </c>
      <c r="F1889" s="116">
        <v>1442.3</v>
      </c>
      <c r="G1889">
        <v>2556</v>
      </c>
      <c r="H1889" s="116"/>
      <c r="I1889" s="116"/>
      <c r="L1889" s="170">
        <v>44784</v>
      </c>
      <c r="M1889" s="116">
        <v>1445.25</v>
      </c>
      <c r="N1889" s="116">
        <v>1454.35</v>
      </c>
      <c r="O1889" s="116">
        <v>1440.05</v>
      </c>
      <c r="P1889" s="116">
        <v>1445.85</v>
      </c>
      <c r="Q1889" s="116">
        <v>1445.25</v>
      </c>
      <c r="R1889">
        <v>86555</v>
      </c>
    </row>
    <row r="1890" spans="1:18" x14ac:dyDescent="0.25">
      <c r="A1890" s="170">
        <v>44785</v>
      </c>
      <c r="B1890" s="116">
        <v>1448.25</v>
      </c>
      <c r="C1890" s="116">
        <v>1441.95</v>
      </c>
      <c r="D1890" s="116">
        <v>1435.65</v>
      </c>
      <c r="E1890" s="116">
        <v>1435.65</v>
      </c>
      <c r="F1890" s="116">
        <v>1441.95</v>
      </c>
      <c r="G1890">
        <v>1644</v>
      </c>
      <c r="H1890" s="116"/>
      <c r="I1890" s="116"/>
      <c r="L1890" s="170">
        <v>44785</v>
      </c>
      <c r="M1890" s="116">
        <v>1442.9</v>
      </c>
      <c r="N1890" s="116">
        <v>1452.9</v>
      </c>
      <c r="O1890" s="116">
        <v>1433.6</v>
      </c>
      <c r="P1890" s="116">
        <v>1452.9</v>
      </c>
      <c r="Q1890" s="116">
        <v>1442.9</v>
      </c>
      <c r="R1890">
        <v>25559</v>
      </c>
    </row>
    <row r="1891" spans="1:18" x14ac:dyDescent="0.25">
      <c r="A1891" s="170">
        <v>44789</v>
      </c>
      <c r="B1891" s="116">
        <v>1454.35</v>
      </c>
      <c r="C1891" s="116">
        <v>1449.35</v>
      </c>
      <c r="D1891" s="116">
        <v>1440</v>
      </c>
      <c r="E1891" s="116">
        <v>1449.1</v>
      </c>
      <c r="F1891" s="116">
        <v>1449.35</v>
      </c>
      <c r="G1891">
        <v>850</v>
      </c>
      <c r="H1891" s="116"/>
      <c r="I1891" s="116"/>
      <c r="L1891" s="170">
        <v>44789</v>
      </c>
      <c r="M1891" s="116">
        <v>1450</v>
      </c>
      <c r="N1891" s="116">
        <v>1455</v>
      </c>
      <c r="O1891" s="116">
        <v>1435</v>
      </c>
      <c r="P1891" s="116">
        <v>1435</v>
      </c>
      <c r="Q1891" s="116">
        <v>1450</v>
      </c>
      <c r="R1891">
        <v>102936</v>
      </c>
    </row>
    <row r="1892" spans="1:18" x14ac:dyDescent="0.25">
      <c r="A1892" s="170">
        <v>44790</v>
      </c>
      <c r="B1892" s="116">
        <v>1466.35</v>
      </c>
      <c r="C1892" s="116">
        <v>1462.25</v>
      </c>
      <c r="D1892" s="116">
        <v>1445.4</v>
      </c>
      <c r="E1892" s="116">
        <v>1452.85</v>
      </c>
      <c r="F1892" s="116">
        <v>1462.25</v>
      </c>
      <c r="G1892">
        <v>2411</v>
      </c>
      <c r="H1892" s="116"/>
      <c r="I1892" s="116"/>
      <c r="L1892" s="170">
        <v>44790</v>
      </c>
      <c r="M1892" s="116">
        <v>1461.85</v>
      </c>
      <c r="N1892" s="116">
        <v>1469.95</v>
      </c>
      <c r="O1892" s="116">
        <v>1446.3</v>
      </c>
      <c r="P1892" s="116">
        <v>1450</v>
      </c>
      <c r="Q1892" s="116">
        <v>1461.85</v>
      </c>
      <c r="R1892">
        <v>30825</v>
      </c>
    </row>
    <row r="1893" spans="1:18" x14ac:dyDescent="0.25">
      <c r="A1893" s="170">
        <v>44791</v>
      </c>
      <c r="B1893" s="116">
        <v>1487</v>
      </c>
      <c r="C1893" s="116">
        <v>1478.6</v>
      </c>
      <c r="D1893" s="116">
        <v>1459.35</v>
      </c>
      <c r="E1893" s="116">
        <v>1462</v>
      </c>
      <c r="F1893" s="116">
        <v>1478.6</v>
      </c>
      <c r="G1893">
        <v>3266</v>
      </c>
      <c r="H1893" s="116"/>
      <c r="I1893" s="116"/>
      <c r="L1893" s="170">
        <v>44791</v>
      </c>
      <c r="M1893" s="116">
        <v>1478.55</v>
      </c>
      <c r="N1893" s="116">
        <v>1487</v>
      </c>
      <c r="O1893" s="116">
        <v>1457.65</v>
      </c>
      <c r="P1893" s="116">
        <v>1461</v>
      </c>
      <c r="Q1893" s="116">
        <v>1478.55</v>
      </c>
      <c r="R1893">
        <v>63406</v>
      </c>
    </row>
    <row r="1894" spans="1:18" x14ac:dyDescent="0.25">
      <c r="A1894" s="170">
        <v>44792</v>
      </c>
      <c r="B1894" s="116">
        <v>1483.25</v>
      </c>
      <c r="C1894" s="116">
        <v>1473.4</v>
      </c>
      <c r="D1894" s="116">
        <v>1463</v>
      </c>
      <c r="E1894" s="116">
        <v>1467</v>
      </c>
      <c r="F1894" s="116">
        <v>1473.4</v>
      </c>
      <c r="G1894">
        <v>3523</v>
      </c>
      <c r="H1894" s="116"/>
      <c r="I1894" s="116"/>
      <c r="L1894" s="170">
        <v>44792</v>
      </c>
      <c r="M1894" s="116">
        <v>1473.15</v>
      </c>
      <c r="N1894" s="116">
        <v>1484.5</v>
      </c>
      <c r="O1894" s="116">
        <v>1462.6</v>
      </c>
      <c r="P1894" s="116">
        <v>1478.55</v>
      </c>
      <c r="Q1894" s="116">
        <v>1473.15</v>
      </c>
      <c r="R1894">
        <v>52042</v>
      </c>
    </row>
    <row r="1895" spans="1:18" x14ac:dyDescent="0.25">
      <c r="A1895" s="170">
        <v>44795</v>
      </c>
      <c r="B1895" s="116">
        <v>1479.05</v>
      </c>
      <c r="C1895" s="116">
        <v>1457.05</v>
      </c>
      <c r="D1895" s="116">
        <v>1447.1</v>
      </c>
      <c r="E1895" s="116">
        <v>1473</v>
      </c>
      <c r="F1895" s="116">
        <v>1457.05</v>
      </c>
      <c r="G1895">
        <v>2428</v>
      </c>
      <c r="H1895" s="116"/>
      <c r="I1895" s="116"/>
      <c r="L1895" s="170">
        <v>44795</v>
      </c>
      <c r="M1895" s="116">
        <v>1455.8</v>
      </c>
      <c r="N1895" s="116">
        <v>1478.15</v>
      </c>
      <c r="O1895" s="116">
        <v>1448.4</v>
      </c>
      <c r="P1895" s="116">
        <v>1475</v>
      </c>
      <c r="Q1895" s="116">
        <v>1455.8</v>
      </c>
      <c r="R1895">
        <v>99572</v>
      </c>
    </row>
    <row r="1896" spans="1:18" x14ac:dyDescent="0.25">
      <c r="A1896" s="170">
        <v>44796</v>
      </c>
      <c r="B1896" s="116">
        <v>1469.85</v>
      </c>
      <c r="C1896" s="116">
        <v>1463.4</v>
      </c>
      <c r="D1896" s="116">
        <v>1440</v>
      </c>
      <c r="E1896" s="116">
        <v>1440</v>
      </c>
      <c r="F1896" s="116">
        <v>1463.4</v>
      </c>
      <c r="G1896">
        <v>2339</v>
      </c>
      <c r="H1896" s="116"/>
      <c r="I1896" s="116"/>
      <c r="L1896" s="170">
        <v>44796</v>
      </c>
      <c r="M1896" s="116">
        <v>1464.4</v>
      </c>
      <c r="N1896" s="116">
        <v>1469.9</v>
      </c>
      <c r="O1896" s="116">
        <v>1445</v>
      </c>
      <c r="P1896" s="116">
        <v>1459</v>
      </c>
      <c r="Q1896" s="116">
        <v>1464.4</v>
      </c>
      <c r="R1896">
        <v>23483</v>
      </c>
    </row>
    <row r="1897" spans="1:18" x14ac:dyDescent="0.25">
      <c r="A1897" s="170">
        <v>44797</v>
      </c>
      <c r="B1897" s="116">
        <v>1493</v>
      </c>
      <c r="C1897" s="116">
        <v>1461.9</v>
      </c>
      <c r="D1897" s="116">
        <v>1441</v>
      </c>
      <c r="E1897" s="116">
        <v>1493</v>
      </c>
      <c r="F1897" s="116">
        <v>1461.9</v>
      </c>
      <c r="G1897">
        <v>2008</v>
      </c>
      <c r="H1897" s="116"/>
      <c r="I1897" s="116"/>
      <c r="L1897" s="170">
        <v>44797</v>
      </c>
      <c r="M1897" s="116">
        <v>1464.95</v>
      </c>
      <c r="N1897" s="116">
        <v>1469.95</v>
      </c>
      <c r="O1897" s="116">
        <v>1441.05</v>
      </c>
      <c r="P1897" s="116">
        <v>1465.15</v>
      </c>
      <c r="Q1897" s="116">
        <v>1464.95</v>
      </c>
      <c r="R1897">
        <v>129390</v>
      </c>
    </row>
    <row r="1898" spans="1:18" x14ac:dyDescent="0.25">
      <c r="A1898" s="170">
        <v>44798</v>
      </c>
      <c r="B1898" s="116">
        <v>1483.95</v>
      </c>
      <c r="C1898" s="116">
        <v>1472.15</v>
      </c>
      <c r="D1898" s="116">
        <v>1455</v>
      </c>
      <c r="E1898" s="116">
        <v>1455</v>
      </c>
      <c r="F1898" s="116">
        <v>1472.15</v>
      </c>
      <c r="G1898">
        <v>804</v>
      </c>
      <c r="H1898" s="116"/>
      <c r="I1898" s="116"/>
      <c r="L1898" s="170">
        <v>44798</v>
      </c>
      <c r="M1898" s="116">
        <v>1477.2</v>
      </c>
      <c r="N1898" s="116">
        <v>1485</v>
      </c>
      <c r="O1898" s="116">
        <v>1463.7</v>
      </c>
      <c r="P1898" s="116">
        <v>1470</v>
      </c>
      <c r="Q1898" s="116">
        <v>1477.2</v>
      </c>
      <c r="R1898">
        <v>97949</v>
      </c>
    </row>
    <row r="1899" spans="1:18" x14ac:dyDescent="0.25">
      <c r="A1899" s="170">
        <v>44799</v>
      </c>
      <c r="B1899" s="116">
        <v>1483</v>
      </c>
      <c r="C1899" s="116">
        <v>1464.05</v>
      </c>
      <c r="D1899" s="116">
        <v>1455.45</v>
      </c>
      <c r="E1899" s="116">
        <v>1472</v>
      </c>
      <c r="F1899" s="116">
        <v>1464.05</v>
      </c>
      <c r="G1899">
        <v>1680</v>
      </c>
      <c r="H1899" s="116"/>
      <c r="I1899" s="116"/>
      <c r="L1899" s="170">
        <v>44799</v>
      </c>
      <c r="M1899" s="116">
        <v>1470.45</v>
      </c>
      <c r="N1899" s="116">
        <v>1484.95</v>
      </c>
      <c r="O1899" s="116">
        <v>1455</v>
      </c>
      <c r="P1899" s="116">
        <v>1484.25</v>
      </c>
      <c r="Q1899" s="116">
        <v>1470.45</v>
      </c>
      <c r="R1899">
        <v>28631</v>
      </c>
    </row>
    <row r="1900" spans="1:18" x14ac:dyDescent="0.25">
      <c r="A1900" s="170">
        <v>44802</v>
      </c>
      <c r="B1900" s="116">
        <v>1476.65</v>
      </c>
      <c r="C1900" s="116">
        <v>1459.8</v>
      </c>
      <c r="D1900" s="116">
        <v>1447.75</v>
      </c>
      <c r="E1900" s="116">
        <v>1464.25</v>
      </c>
      <c r="F1900" s="116">
        <v>1459.8</v>
      </c>
      <c r="G1900">
        <v>2424</v>
      </c>
      <c r="H1900" s="116"/>
      <c r="I1900" s="116"/>
      <c r="L1900" s="170">
        <v>44802</v>
      </c>
      <c r="M1900" s="116">
        <v>1468</v>
      </c>
      <c r="N1900" s="116">
        <v>1477.55</v>
      </c>
      <c r="O1900" s="116">
        <v>1446.05</v>
      </c>
      <c r="P1900" s="116">
        <v>1450</v>
      </c>
      <c r="Q1900" s="116">
        <v>1468</v>
      </c>
      <c r="R1900">
        <v>35409</v>
      </c>
    </row>
    <row r="1901" spans="1:18" x14ac:dyDescent="0.25">
      <c r="A1901" s="170">
        <v>44803</v>
      </c>
      <c r="B1901" s="116">
        <v>1475.55</v>
      </c>
      <c r="C1901" s="116">
        <v>1459.3</v>
      </c>
      <c r="D1901" s="116">
        <v>1452</v>
      </c>
      <c r="E1901" s="116">
        <v>1466</v>
      </c>
      <c r="F1901" s="116">
        <v>1459.3</v>
      </c>
      <c r="G1901">
        <v>2436</v>
      </c>
      <c r="H1901" s="116"/>
      <c r="I1901" s="116"/>
      <c r="L1901" s="170">
        <v>44803</v>
      </c>
      <c r="M1901" s="116">
        <v>1457.75</v>
      </c>
      <c r="N1901" s="116">
        <v>1476.65</v>
      </c>
      <c r="O1901" s="116">
        <v>1449.4</v>
      </c>
      <c r="P1901" s="116">
        <v>1458.05</v>
      </c>
      <c r="Q1901" s="116">
        <v>1457.75</v>
      </c>
      <c r="R1901">
        <v>37419</v>
      </c>
    </row>
    <row r="1902" spans="1:18" x14ac:dyDescent="0.25">
      <c r="A1902" s="170">
        <v>44805</v>
      </c>
      <c r="B1902" s="116">
        <v>1461</v>
      </c>
      <c r="C1902" s="116">
        <v>1444.9</v>
      </c>
      <c r="D1902" s="116">
        <v>1439.35</v>
      </c>
      <c r="E1902" s="116">
        <v>1450.05</v>
      </c>
      <c r="F1902" s="116">
        <v>1444.9</v>
      </c>
      <c r="G1902">
        <v>3609</v>
      </c>
      <c r="H1902" s="116"/>
      <c r="I1902" s="116"/>
      <c r="L1902" s="170">
        <v>44805</v>
      </c>
      <c r="M1902" s="116">
        <v>1445.35</v>
      </c>
      <c r="N1902" s="116">
        <v>1462.5</v>
      </c>
      <c r="O1902" s="116">
        <v>1439</v>
      </c>
      <c r="P1902" s="116">
        <v>1458</v>
      </c>
      <c r="Q1902" s="116">
        <v>1445.35</v>
      </c>
      <c r="R1902">
        <v>14040</v>
      </c>
    </row>
    <row r="1903" spans="1:18" x14ac:dyDescent="0.25">
      <c r="A1903" s="170">
        <v>44806</v>
      </c>
      <c r="B1903" s="116">
        <v>1465</v>
      </c>
      <c r="C1903" s="116">
        <v>1435.3</v>
      </c>
      <c r="D1903" s="116">
        <v>1427.05</v>
      </c>
      <c r="E1903" s="116">
        <v>1465</v>
      </c>
      <c r="F1903" s="116">
        <v>1435.3</v>
      </c>
      <c r="G1903">
        <v>2253</v>
      </c>
      <c r="H1903" s="116"/>
      <c r="I1903" s="116"/>
      <c r="L1903" s="170">
        <v>44806</v>
      </c>
      <c r="M1903" s="116">
        <v>1433.75</v>
      </c>
      <c r="N1903" s="116">
        <v>1459.75</v>
      </c>
      <c r="O1903" s="116">
        <v>1426.3</v>
      </c>
      <c r="P1903" s="116">
        <v>1455.9</v>
      </c>
      <c r="Q1903" s="116">
        <v>1433.75</v>
      </c>
      <c r="R1903">
        <v>24075</v>
      </c>
    </row>
    <row r="1904" spans="1:18" x14ac:dyDescent="0.25">
      <c r="A1904" s="170">
        <v>44809</v>
      </c>
      <c r="B1904" s="116">
        <v>1449</v>
      </c>
      <c r="C1904" s="116">
        <v>1440.9</v>
      </c>
      <c r="D1904" s="116">
        <v>1430.1</v>
      </c>
      <c r="E1904" s="116">
        <v>1430.95</v>
      </c>
      <c r="F1904" s="116">
        <v>1440.9</v>
      </c>
      <c r="G1904">
        <v>3889</v>
      </c>
      <c r="H1904" s="116"/>
      <c r="I1904" s="116"/>
      <c r="L1904" s="170">
        <v>44809</v>
      </c>
      <c r="M1904" s="116">
        <v>1440.15</v>
      </c>
      <c r="N1904" s="116">
        <v>1449</v>
      </c>
      <c r="O1904" s="116">
        <v>1430.35</v>
      </c>
      <c r="P1904" s="116">
        <v>1441.3</v>
      </c>
      <c r="Q1904" s="116">
        <v>1440.15</v>
      </c>
      <c r="R1904">
        <v>17498</v>
      </c>
    </row>
    <row r="1905" spans="1:18" x14ac:dyDescent="0.25">
      <c r="A1905" s="170">
        <v>44810</v>
      </c>
      <c r="B1905" s="116">
        <v>1455</v>
      </c>
      <c r="C1905" s="116">
        <v>1419.9</v>
      </c>
      <c r="D1905" s="116">
        <v>1414</v>
      </c>
      <c r="E1905" s="116">
        <v>1442.25</v>
      </c>
      <c r="F1905" s="116">
        <v>1419.9</v>
      </c>
      <c r="G1905">
        <v>4305</v>
      </c>
      <c r="H1905" s="116"/>
      <c r="I1905" s="116"/>
      <c r="L1905" s="170">
        <v>44810</v>
      </c>
      <c r="M1905" s="116">
        <v>1417.5</v>
      </c>
      <c r="N1905" s="116">
        <v>1461.9</v>
      </c>
      <c r="O1905" s="116">
        <v>1415.2</v>
      </c>
      <c r="P1905" s="116">
        <v>1440.15</v>
      </c>
      <c r="Q1905" s="116">
        <v>1417.5</v>
      </c>
      <c r="R1905">
        <v>188084</v>
      </c>
    </row>
    <row r="1906" spans="1:18" x14ac:dyDescent="0.25">
      <c r="A1906" s="170">
        <v>44811</v>
      </c>
      <c r="B1906" s="116">
        <v>1430.5</v>
      </c>
      <c r="C1906" s="116">
        <v>1424.45</v>
      </c>
      <c r="D1906" s="116">
        <v>1411.05</v>
      </c>
      <c r="E1906" s="116">
        <v>1411.05</v>
      </c>
      <c r="F1906" s="116">
        <v>1424.45</v>
      </c>
      <c r="G1906">
        <v>2372</v>
      </c>
      <c r="H1906" s="116"/>
      <c r="I1906" s="116"/>
      <c r="L1906" s="170">
        <v>44811</v>
      </c>
      <c r="M1906" s="116">
        <v>1424.2</v>
      </c>
      <c r="N1906" s="116">
        <v>1431.4</v>
      </c>
      <c r="O1906" s="116">
        <v>1417</v>
      </c>
      <c r="P1906" s="116">
        <v>1428.75</v>
      </c>
      <c r="Q1906" s="116">
        <v>1424.2</v>
      </c>
      <c r="R1906">
        <v>24313</v>
      </c>
    </row>
    <row r="1907" spans="1:18" x14ac:dyDescent="0.25">
      <c r="A1907" s="170">
        <v>44812</v>
      </c>
      <c r="B1907" s="116">
        <v>1442</v>
      </c>
      <c r="C1907" s="116">
        <v>1437.05</v>
      </c>
      <c r="D1907" s="116">
        <v>1420</v>
      </c>
      <c r="E1907" s="116">
        <v>1420</v>
      </c>
      <c r="F1907" s="116">
        <v>1437.05</v>
      </c>
      <c r="G1907">
        <v>3007</v>
      </c>
      <c r="H1907" s="116"/>
      <c r="I1907" s="116"/>
      <c r="L1907" s="170">
        <v>44812</v>
      </c>
      <c r="M1907" s="116">
        <v>1438.1</v>
      </c>
      <c r="N1907" s="116">
        <v>1444</v>
      </c>
      <c r="O1907" s="116">
        <v>1426.1</v>
      </c>
      <c r="P1907" s="116">
        <v>1431.1</v>
      </c>
      <c r="Q1907" s="116">
        <v>1438.1</v>
      </c>
      <c r="R1907">
        <v>20804</v>
      </c>
    </row>
    <row r="1908" spans="1:18" x14ac:dyDescent="0.25">
      <c r="A1908" s="170">
        <v>44813</v>
      </c>
      <c r="B1908" s="116">
        <v>1447.55</v>
      </c>
      <c r="C1908" s="116">
        <v>1428.1</v>
      </c>
      <c r="D1908" s="116">
        <v>1427</v>
      </c>
      <c r="E1908" s="116">
        <v>1444</v>
      </c>
      <c r="F1908" s="116">
        <v>1428.1</v>
      </c>
      <c r="G1908">
        <v>1884</v>
      </c>
      <c r="H1908" s="116"/>
      <c r="I1908" s="116"/>
      <c r="L1908" s="170">
        <v>44813</v>
      </c>
      <c r="M1908" s="116">
        <v>1428.85</v>
      </c>
      <c r="N1908" s="116">
        <v>1448.4</v>
      </c>
      <c r="O1908" s="116">
        <v>1426</v>
      </c>
      <c r="P1908" s="116">
        <v>1444</v>
      </c>
      <c r="Q1908" s="116">
        <v>1428.85</v>
      </c>
      <c r="R1908">
        <v>136929</v>
      </c>
    </row>
    <row r="1909" spans="1:18" x14ac:dyDescent="0.25">
      <c r="A1909" s="170">
        <v>44816</v>
      </c>
      <c r="B1909" s="116">
        <v>1440.65</v>
      </c>
      <c r="C1909" s="116">
        <v>1421.5</v>
      </c>
      <c r="D1909" s="116">
        <v>1418.95</v>
      </c>
      <c r="E1909" s="116">
        <v>1440.45</v>
      </c>
      <c r="F1909" s="116">
        <v>1421.5</v>
      </c>
      <c r="G1909">
        <v>3933</v>
      </c>
      <c r="H1909" s="116"/>
      <c r="I1909" s="116"/>
      <c r="L1909" s="170">
        <v>44816</v>
      </c>
      <c r="M1909" s="116">
        <v>1420</v>
      </c>
      <c r="N1909" s="116">
        <v>1441.55</v>
      </c>
      <c r="O1909" s="116">
        <v>1418.05</v>
      </c>
      <c r="P1909" s="116">
        <v>1436.4</v>
      </c>
      <c r="Q1909" s="116">
        <v>1420</v>
      </c>
      <c r="R1909">
        <v>82838</v>
      </c>
    </row>
    <row r="1910" spans="1:18" x14ac:dyDescent="0.25">
      <c r="A1910" s="170">
        <v>44817</v>
      </c>
      <c r="B1910" s="116">
        <v>1440</v>
      </c>
      <c r="C1910" s="116">
        <v>1417.25</v>
      </c>
      <c r="D1910" s="116">
        <v>1414</v>
      </c>
      <c r="E1910" s="116">
        <v>1440</v>
      </c>
      <c r="F1910" s="116">
        <v>1417.25</v>
      </c>
      <c r="G1910">
        <v>3932</v>
      </c>
      <c r="H1910" s="116"/>
      <c r="I1910" s="116"/>
      <c r="L1910" s="170">
        <v>44817</v>
      </c>
      <c r="M1910" s="116">
        <v>1417.7</v>
      </c>
      <c r="N1910" s="116">
        <v>1439.05</v>
      </c>
      <c r="O1910" s="116">
        <v>1414</v>
      </c>
      <c r="P1910" s="116">
        <v>1427.9</v>
      </c>
      <c r="Q1910" s="116">
        <v>1417.7</v>
      </c>
      <c r="R1910">
        <v>305914</v>
      </c>
    </row>
    <row r="1911" spans="1:18" x14ac:dyDescent="0.25">
      <c r="A1911" s="170">
        <v>44818</v>
      </c>
      <c r="B1911" s="116">
        <v>1428.65</v>
      </c>
      <c r="C1911" s="116">
        <v>1409.4</v>
      </c>
      <c r="D1911" s="116">
        <v>1405</v>
      </c>
      <c r="E1911" s="116">
        <v>1417.25</v>
      </c>
      <c r="F1911" s="116">
        <v>1409.4</v>
      </c>
      <c r="G1911">
        <v>2960</v>
      </c>
      <c r="H1911" s="116"/>
      <c r="I1911" s="116"/>
      <c r="L1911" s="170">
        <v>44818</v>
      </c>
      <c r="M1911" s="116">
        <v>1407.65</v>
      </c>
      <c r="N1911" s="116">
        <v>1429</v>
      </c>
      <c r="O1911" s="116">
        <v>1400</v>
      </c>
      <c r="P1911" s="116">
        <v>1400</v>
      </c>
      <c r="Q1911" s="116">
        <v>1407.65</v>
      </c>
      <c r="R1911">
        <v>28306</v>
      </c>
    </row>
    <row r="1912" spans="1:18" x14ac:dyDescent="0.25">
      <c r="A1912" s="170">
        <v>44819</v>
      </c>
      <c r="B1912" s="116">
        <v>1421.65</v>
      </c>
      <c r="C1912" s="116">
        <v>1405.3</v>
      </c>
      <c r="D1912" s="116">
        <v>1400</v>
      </c>
      <c r="E1912" s="116">
        <v>1410</v>
      </c>
      <c r="F1912" s="116">
        <v>1405.3</v>
      </c>
      <c r="G1912">
        <v>5299</v>
      </c>
      <c r="H1912" s="116"/>
      <c r="I1912" s="116"/>
      <c r="L1912" s="170">
        <v>44819</v>
      </c>
      <c r="M1912" s="116">
        <v>1405.9</v>
      </c>
      <c r="N1912" s="116">
        <v>1423.6</v>
      </c>
      <c r="O1912" s="116">
        <v>1402</v>
      </c>
      <c r="P1912" s="116">
        <v>1402</v>
      </c>
      <c r="Q1912" s="116">
        <v>1405.9</v>
      </c>
      <c r="R1912">
        <v>91316</v>
      </c>
    </row>
    <row r="1913" spans="1:18" x14ac:dyDescent="0.25">
      <c r="A1913" s="170">
        <v>44820</v>
      </c>
      <c r="B1913" s="116">
        <v>1445</v>
      </c>
      <c r="C1913" s="116">
        <v>1431.7</v>
      </c>
      <c r="D1913" s="116">
        <v>1404</v>
      </c>
      <c r="E1913" s="116">
        <v>1405</v>
      </c>
      <c r="F1913" s="116">
        <v>1431.7</v>
      </c>
      <c r="G1913">
        <v>4447</v>
      </c>
      <c r="H1913" s="116"/>
      <c r="I1913" s="116"/>
      <c r="L1913" s="170">
        <v>44820</v>
      </c>
      <c r="M1913" s="116">
        <v>1431.75</v>
      </c>
      <c r="N1913" s="116">
        <v>1446</v>
      </c>
      <c r="O1913" s="116">
        <v>1403</v>
      </c>
      <c r="P1913" s="116">
        <v>1405</v>
      </c>
      <c r="Q1913" s="116">
        <v>1431.75</v>
      </c>
      <c r="R1913">
        <v>82527</v>
      </c>
    </row>
    <row r="1914" spans="1:18" x14ac:dyDescent="0.25">
      <c r="A1914" s="170">
        <v>44823</v>
      </c>
      <c r="B1914" s="116">
        <v>1434.25</v>
      </c>
      <c r="C1914" s="116">
        <v>1411.15</v>
      </c>
      <c r="D1914" s="116">
        <v>1406.05</v>
      </c>
      <c r="E1914" s="116">
        <v>1430</v>
      </c>
      <c r="F1914" s="116">
        <v>1411.15</v>
      </c>
      <c r="G1914">
        <v>84153</v>
      </c>
      <c r="H1914" s="116"/>
      <c r="I1914" s="116"/>
      <c r="L1914" s="170">
        <v>44823</v>
      </c>
      <c r="M1914" s="116">
        <v>1408.6</v>
      </c>
      <c r="N1914" s="116">
        <v>1434.85</v>
      </c>
      <c r="O1914" s="116">
        <v>1403</v>
      </c>
      <c r="P1914" s="116">
        <v>1429.9</v>
      </c>
      <c r="Q1914" s="116">
        <v>1408.6</v>
      </c>
      <c r="R1914">
        <v>19806</v>
      </c>
    </row>
    <row r="1915" spans="1:18" x14ac:dyDescent="0.25">
      <c r="A1915" s="170">
        <v>44824</v>
      </c>
      <c r="B1915" s="116">
        <v>1421</v>
      </c>
      <c r="C1915" s="116">
        <v>1400.05</v>
      </c>
      <c r="D1915" s="116">
        <v>1398</v>
      </c>
      <c r="E1915" s="116">
        <v>1406.15</v>
      </c>
      <c r="F1915" s="116">
        <v>1400.05</v>
      </c>
      <c r="G1915">
        <v>28308</v>
      </c>
      <c r="H1915" s="116"/>
      <c r="I1915" s="116"/>
      <c r="L1915" s="170">
        <v>44824</v>
      </c>
      <c r="M1915" s="116">
        <v>1400</v>
      </c>
      <c r="N1915" s="116">
        <v>1421.5</v>
      </c>
      <c r="O1915" s="116">
        <v>1397.05</v>
      </c>
      <c r="P1915" s="116">
        <v>1420</v>
      </c>
      <c r="Q1915" s="116">
        <v>1400</v>
      </c>
      <c r="R1915">
        <v>64955</v>
      </c>
    </row>
    <row r="1916" spans="1:18" x14ac:dyDescent="0.25">
      <c r="A1916" s="170">
        <v>44825</v>
      </c>
      <c r="B1916" s="116">
        <v>1418</v>
      </c>
      <c r="C1916" s="116">
        <v>1416.1</v>
      </c>
      <c r="D1916" s="116">
        <v>1399</v>
      </c>
      <c r="E1916" s="116">
        <v>1400</v>
      </c>
      <c r="F1916" s="116">
        <v>1416.1</v>
      </c>
      <c r="G1916">
        <v>2508</v>
      </c>
      <c r="H1916" s="116"/>
      <c r="I1916" s="116"/>
      <c r="L1916" s="170">
        <v>44825</v>
      </c>
      <c r="M1916" s="116">
        <v>1415.05</v>
      </c>
      <c r="N1916" s="116">
        <v>1419.9</v>
      </c>
      <c r="O1916" s="116">
        <v>1398.1</v>
      </c>
      <c r="P1916" s="116">
        <v>1398.5</v>
      </c>
      <c r="Q1916" s="116">
        <v>1415.05</v>
      </c>
      <c r="R1916">
        <v>37805</v>
      </c>
    </row>
    <row r="1917" spans="1:18" x14ac:dyDescent="0.25">
      <c r="A1917" s="170">
        <v>44826</v>
      </c>
      <c r="B1917" s="116">
        <v>1435</v>
      </c>
      <c r="C1917" s="116">
        <v>1420.7</v>
      </c>
      <c r="D1917" s="116">
        <v>1408.75</v>
      </c>
      <c r="E1917" s="116">
        <v>1408.75</v>
      </c>
      <c r="F1917" s="116">
        <v>1420.7</v>
      </c>
      <c r="G1917">
        <v>3596</v>
      </c>
      <c r="H1917" s="116"/>
      <c r="I1917" s="116"/>
      <c r="L1917" s="170">
        <v>44826</v>
      </c>
      <c r="M1917" s="116">
        <v>1418.05</v>
      </c>
      <c r="N1917" s="116">
        <v>1434.9</v>
      </c>
      <c r="O1917" s="116">
        <v>1405.6</v>
      </c>
      <c r="P1917" s="116">
        <v>1410</v>
      </c>
      <c r="Q1917" s="116">
        <v>1418.05</v>
      </c>
      <c r="R1917">
        <v>139967</v>
      </c>
    </row>
    <row r="1918" spans="1:18" x14ac:dyDescent="0.25">
      <c r="A1918" s="170">
        <v>44827</v>
      </c>
      <c r="B1918" s="116">
        <v>1423.75</v>
      </c>
      <c r="C1918" s="116">
        <v>1404.2</v>
      </c>
      <c r="D1918" s="116">
        <v>1396.75</v>
      </c>
      <c r="E1918" s="116">
        <v>1421</v>
      </c>
      <c r="F1918" s="116">
        <v>1404.2</v>
      </c>
      <c r="G1918">
        <v>2517</v>
      </c>
      <c r="H1918" s="116"/>
      <c r="I1918" s="116"/>
      <c r="L1918" s="170">
        <v>44827</v>
      </c>
      <c r="M1918" s="116">
        <v>1404.25</v>
      </c>
      <c r="N1918" s="116">
        <v>1424.8</v>
      </c>
      <c r="O1918" s="116">
        <v>1397.15</v>
      </c>
      <c r="P1918" s="116">
        <v>1418.05</v>
      </c>
      <c r="Q1918" s="116">
        <v>1404.25</v>
      </c>
      <c r="R1918">
        <v>61933</v>
      </c>
    </row>
    <row r="1919" spans="1:18" x14ac:dyDescent="0.25">
      <c r="A1919" s="170">
        <v>44830</v>
      </c>
      <c r="B1919" s="116">
        <v>1417</v>
      </c>
      <c r="C1919" s="116">
        <v>1391.2</v>
      </c>
      <c r="D1919" s="116">
        <v>1389.5</v>
      </c>
      <c r="E1919" s="116">
        <v>1404.2</v>
      </c>
      <c r="F1919" s="116">
        <v>1391.2</v>
      </c>
      <c r="G1919">
        <v>3521</v>
      </c>
      <c r="H1919" s="116"/>
      <c r="I1919" s="116"/>
      <c r="L1919" s="170">
        <v>44830</v>
      </c>
      <c r="M1919" s="116">
        <v>1392.65</v>
      </c>
      <c r="N1919" s="116">
        <v>1418.9</v>
      </c>
      <c r="O1919" s="116">
        <v>1389.2</v>
      </c>
      <c r="P1919" s="116">
        <v>1408</v>
      </c>
      <c r="Q1919" s="116">
        <v>1392.65</v>
      </c>
      <c r="R1919">
        <v>100547</v>
      </c>
    </row>
    <row r="1920" spans="1:18" x14ac:dyDescent="0.25">
      <c r="A1920" s="170">
        <v>44831</v>
      </c>
      <c r="B1920" s="116">
        <v>1417</v>
      </c>
      <c r="C1920" s="116">
        <v>1385.4</v>
      </c>
      <c r="D1920" s="116">
        <v>1380.05</v>
      </c>
      <c r="E1920" s="116">
        <v>1414.8</v>
      </c>
      <c r="F1920" s="116">
        <v>1385.4</v>
      </c>
      <c r="G1920">
        <v>6418</v>
      </c>
      <c r="H1920" s="116"/>
      <c r="I1920" s="116"/>
      <c r="L1920" s="170">
        <v>44831</v>
      </c>
      <c r="M1920" s="116">
        <v>1384.25</v>
      </c>
      <c r="N1920" s="116">
        <v>1417.95</v>
      </c>
      <c r="O1920" s="116">
        <v>1380</v>
      </c>
      <c r="P1920" s="116">
        <v>1392.7</v>
      </c>
      <c r="Q1920" s="116">
        <v>1384.25</v>
      </c>
      <c r="R1920">
        <v>124428</v>
      </c>
    </row>
    <row r="1921" spans="1:18" x14ac:dyDescent="0.25">
      <c r="A1921" s="170">
        <v>44832</v>
      </c>
      <c r="B1921" s="116">
        <v>1412.6</v>
      </c>
      <c r="C1921" s="116">
        <v>1396.6</v>
      </c>
      <c r="D1921" s="116">
        <v>1380.45</v>
      </c>
      <c r="E1921" s="116">
        <v>1387.4</v>
      </c>
      <c r="F1921" s="116">
        <v>1396.6</v>
      </c>
      <c r="G1921">
        <v>3645</v>
      </c>
      <c r="H1921" s="116"/>
      <c r="I1921" s="116"/>
      <c r="L1921" s="170">
        <v>44832</v>
      </c>
      <c r="M1921" s="116">
        <v>1398.45</v>
      </c>
      <c r="N1921" s="116">
        <v>1411</v>
      </c>
      <c r="O1921" s="116">
        <v>1381</v>
      </c>
      <c r="P1921" s="116">
        <v>1389.85</v>
      </c>
      <c r="Q1921" s="116">
        <v>1398.45</v>
      </c>
      <c r="R1921">
        <v>34889</v>
      </c>
    </row>
    <row r="1922" spans="1:18" x14ac:dyDescent="0.25">
      <c r="A1922" s="170">
        <v>44833</v>
      </c>
      <c r="B1922" s="116">
        <v>1462</v>
      </c>
      <c r="C1922" s="116">
        <v>1445.65</v>
      </c>
      <c r="D1922" s="116">
        <v>1400</v>
      </c>
      <c r="E1922" s="116">
        <v>1403.3</v>
      </c>
      <c r="F1922" s="116">
        <v>1445.65</v>
      </c>
      <c r="G1922">
        <v>2609</v>
      </c>
      <c r="H1922" s="116"/>
      <c r="I1922" s="116"/>
      <c r="L1922" s="170">
        <v>44833</v>
      </c>
      <c r="M1922" s="116">
        <v>1446.8</v>
      </c>
      <c r="N1922" s="116">
        <v>1464</v>
      </c>
      <c r="O1922" s="116">
        <v>1399.15</v>
      </c>
      <c r="P1922" s="116">
        <v>1404</v>
      </c>
      <c r="Q1922" s="116">
        <v>1446.8</v>
      </c>
      <c r="R1922">
        <v>80832</v>
      </c>
    </row>
    <row r="1923" spans="1:18" x14ac:dyDescent="0.25">
      <c r="A1923" s="170">
        <v>44834</v>
      </c>
      <c r="B1923" s="116">
        <v>1459.6</v>
      </c>
      <c r="C1923" s="116">
        <v>1424.3</v>
      </c>
      <c r="D1923" s="116">
        <v>1412</v>
      </c>
      <c r="E1923" s="116">
        <v>1429.6</v>
      </c>
      <c r="F1923" s="116">
        <v>1424.3</v>
      </c>
      <c r="G1923">
        <v>3275</v>
      </c>
      <c r="H1923" s="116"/>
      <c r="I1923" s="116"/>
      <c r="L1923" s="170">
        <v>44834</v>
      </c>
      <c r="M1923" s="116">
        <v>1424.4</v>
      </c>
      <c r="N1923" s="116">
        <v>1461.7</v>
      </c>
      <c r="O1923" s="116">
        <v>1411.1</v>
      </c>
      <c r="P1923" s="116">
        <v>1460</v>
      </c>
      <c r="Q1923" s="116">
        <v>1424.4</v>
      </c>
      <c r="R1923">
        <v>100728</v>
      </c>
    </row>
    <row r="1924" spans="1:18" x14ac:dyDescent="0.25">
      <c r="A1924" s="170">
        <v>44837</v>
      </c>
      <c r="B1924" s="116">
        <v>1444.75</v>
      </c>
      <c r="C1924" s="116">
        <v>1415.45</v>
      </c>
      <c r="D1924" s="116">
        <v>1413</v>
      </c>
      <c r="E1924" s="116">
        <v>1428.25</v>
      </c>
      <c r="F1924" s="116">
        <v>1415.45</v>
      </c>
      <c r="G1924">
        <v>1913</v>
      </c>
      <c r="H1924" s="116"/>
      <c r="I1924" s="116"/>
      <c r="L1924" s="170">
        <v>44837</v>
      </c>
      <c r="M1924" s="116">
        <v>1415.5</v>
      </c>
      <c r="N1924" s="116">
        <v>1444.85</v>
      </c>
      <c r="O1924" s="116">
        <v>1410.25</v>
      </c>
      <c r="P1924" s="116">
        <v>1424.4</v>
      </c>
      <c r="Q1924" s="116">
        <v>1415.5</v>
      </c>
      <c r="R1924">
        <v>46800</v>
      </c>
    </row>
    <row r="1925" spans="1:18" x14ac:dyDescent="0.25">
      <c r="A1925" s="170">
        <v>44838</v>
      </c>
      <c r="B1925" s="116">
        <v>1434.8</v>
      </c>
      <c r="C1925" s="116">
        <v>1408.35</v>
      </c>
      <c r="D1925" s="116">
        <v>1403.25</v>
      </c>
      <c r="E1925" s="116">
        <v>1434.8</v>
      </c>
      <c r="F1925" s="116">
        <v>1408.35</v>
      </c>
      <c r="G1925">
        <v>1870</v>
      </c>
      <c r="H1925" s="116"/>
      <c r="I1925" s="116"/>
      <c r="L1925" s="170">
        <v>44838</v>
      </c>
      <c r="M1925" s="116">
        <v>1405.1</v>
      </c>
      <c r="N1925" s="116">
        <v>1433.35</v>
      </c>
      <c r="O1925" s="116">
        <v>1401</v>
      </c>
      <c r="P1925" s="116">
        <v>1423</v>
      </c>
      <c r="Q1925" s="116">
        <v>1405.1</v>
      </c>
      <c r="R1925">
        <v>94803</v>
      </c>
    </row>
    <row r="1926" spans="1:18" x14ac:dyDescent="0.25">
      <c r="A1926" s="170">
        <v>44840</v>
      </c>
      <c r="B1926" s="116">
        <v>1419.3</v>
      </c>
      <c r="C1926" s="116">
        <v>1406.9</v>
      </c>
      <c r="D1926" s="116">
        <v>1406</v>
      </c>
      <c r="E1926" s="116">
        <v>1407</v>
      </c>
      <c r="F1926" s="116">
        <v>1406.9</v>
      </c>
      <c r="G1926">
        <v>1803</v>
      </c>
      <c r="H1926" s="116"/>
      <c r="I1926" s="116"/>
      <c r="L1926" s="170">
        <v>44840</v>
      </c>
      <c r="M1926" s="116">
        <v>1408.65</v>
      </c>
      <c r="N1926" s="116">
        <v>1419.25</v>
      </c>
      <c r="O1926" s="116">
        <v>1406</v>
      </c>
      <c r="P1926" s="116">
        <v>1407.1</v>
      </c>
      <c r="Q1926" s="116">
        <v>1408.65</v>
      </c>
      <c r="R1926">
        <v>19139</v>
      </c>
    </row>
    <row r="1927" spans="1:18" x14ac:dyDescent="0.25">
      <c r="A1927" s="170">
        <v>44841</v>
      </c>
      <c r="B1927" s="116">
        <v>1416.95</v>
      </c>
      <c r="C1927" s="116">
        <v>1396.9</v>
      </c>
      <c r="D1927" s="116">
        <v>1390</v>
      </c>
      <c r="E1927" s="116">
        <v>1416.95</v>
      </c>
      <c r="F1927" s="116">
        <v>1396.9</v>
      </c>
      <c r="G1927">
        <v>2675</v>
      </c>
      <c r="H1927" s="116"/>
      <c r="I1927" s="116"/>
      <c r="L1927" s="170">
        <v>44841</v>
      </c>
      <c r="M1927" s="116">
        <v>1395.05</v>
      </c>
      <c r="N1927" s="116">
        <v>1414.75</v>
      </c>
      <c r="O1927" s="116">
        <v>1390.05</v>
      </c>
      <c r="P1927" s="116">
        <v>1409.1</v>
      </c>
      <c r="Q1927" s="116">
        <v>1395.05</v>
      </c>
      <c r="R1927">
        <v>51728</v>
      </c>
    </row>
    <row r="1928" spans="1:18" x14ac:dyDescent="0.25">
      <c r="A1928" s="170">
        <v>44844</v>
      </c>
      <c r="B1928" s="116">
        <v>1405</v>
      </c>
      <c r="C1928" s="116">
        <v>1392.95</v>
      </c>
      <c r="D1928" s="116">
        <v>1387</v>
      </c>
      <c r="E1928" s="116">
        <v>1394.55</v>
      </c>
      <c r="F1928" s="116">
        <v>1392.95</v>
      </c>
      <c r="G1928">
        <v>3541</v>
      </c>
      <c r="H1928" s="116"/>
      <c r="I1928" s="116"/>
      <c r="L1928" s="170">
        <v>44844</v>
      </c>
      <c r="M1928" s="116">
        <v>1393.45</v>
      </c>
      <c r="N1928" s="116">
        <v>1405.1</v>
      </c>
      <c r="O1928" s="116">
        <v>1386.25</v>
      </c>
      <c r="P1928" s="116">
        <v>1400</v>
      </c>
      <c r="Q1928" s="116">
        <v>1393.45</v>
      </c>
      <c r="R1928">
        <v>47537</v>
      </c>
    </row>
    <row r="1929" spans="1:18" x14ac:dyDescent="0.25">
      <c r="A1929" s="170">
        <v>44845</v>
      </c>
      <c r="B1929" s="116">
        <v>1405.55</v>
      </c>
      <c r="C1929" s="116">
        <v>1385.35</v>
      </c>
      <c r="D1929" s="116">
        <v>1383.05</v>
      </c>
      <c r="E1929" s="116">
        <v>1394.75</v>
      </c>
      <c r="F1929" s="116">
        <v>1385.35</v>
      </c>
      <c r="G1929">
        <v>91480</v>
      </c>
      <c r="H1929" s="116"/>
      <c r="I1929" s="116"/>
      <c r="L1929" s="170">
        <v>44845</v>
      </c>
      <c r="M1929" s="116">
        <v>1385.5</v>
      </c>
      <c r="N1929" s="116">
        <v>1405</v>
      </c>
      <c r="O1929" s="116">
        <v>1384</v>
      </c>
      <c r="P1929" s="116">
        <v>1395.25</v>
      </c>
      <c r="Q1929" s="116">
        <v>1385.5</v>
      </c>
      <c r="R1929">
        <v>36370</v>
      </c>
    </row>
    <row r="1930" spans="1:18" x14ac:dyDescent="0.25">
      <c r="A1930" s="170">
        <v>44846</v>
      </c>
      <c r="B1930" s="116">
        <v>1401.95</v>
      </c>
      <c r="C1930" s="116">
        <v>1385.15</v>
      </c>
      <c r="D1930" s="116">
        <v>1382</v>
      </c>
      <c r="E1930" s="116">
        <v>1390.45</v>
      </c>
      <c r="F1930" s="116">
        <v>1385.15</v>
      </c>
      <c r="G1930">
        <v>2939</v>
      </c>
      <c r="H1930" s="116"/>
      <c r="I1930" s="116"/>
      <c r="L1930" s="170">
        <v>44846</v>
      </c>
      <c r="M1930" s="116">
        <v>1384.8</v>
      </c>
      <c r="N1930" s="116">
        <v>1401.95</v>
      </c>
      <c r="O1930" s="116">
        <v>1382</v>
      </c>
      <c r="P1930" s="116">
        <v>1392.45</v>
      </c>
      <c r="Q1930" s="116">
        <v>1384.8</v>
      </c>
      <c r="R1930">
        <v>32104</v>
      </c>
    </row>
    <row r="1931" spans="1:18" x14ac:dyDescent="0.25">
      <c r="A1931" s="170">
        <v>44847</v>
      </c>
      <c r="B1931" s="116">
        <v>1401.35</v>
      </c>
      <c r="C1931" s="116">
        <v>1378.65</v>
      </c>
      <c r="D1931" s="116">
        <v>1375</v>
      </c>
      <c r="E1931" s="116">
        <v>1390.35</v>
      </c>
      <c r="F1931" s="116">
        <v>1378.65</v>
      </c>
      <c r="G1931">
        <v>3919</v>
      </c>
      <c r="H1931" s="116"/>
      <c r="I1931" s="116"/>
      <c r="L1931" s="170">
        <v>44847</v>
      </c>
      <c r="M1931" s="116">
        <v>1378.15</v>
      </c>
      <c r="N1931" s="116">
        <v>1401.3</v>
      </c>
      <c r="O1931" s="116">
        <v>1374.7</v>
      </c>
      <c r="P1931" s="116">
        <v>1389</v>
      </c>
      <c r="Q1931" s="116">
        <v>1378.15</v>
      </c>
      <c r="R1931">
        <v>42095</v>
      </c>
    </row>
    <row r="1932" spans="1:18" x14ac:dyDescent="0.25">
      <c r="A1932" s="170">
        <v>44848</v>
      </c>
      <c r="B1932" s="116">
        <v>1393</v>
      </c>
      <c r="C1932" s="116">
        <v>1378.55</v>
      </c>
      <c r="D1932" s="116">
        <v>1374</v>
      </c>
      <c r="E1932" s="116">
        <v>1380.6</v>
      </c>
      <c r="F1932" s="116">
        <v>1378.55</v>
      </c>
      <c r="G1932">
        <v>5923</v>
      </c>
      <c r="H1932" s="116"/>
      <c r="I1932" s="116"/>
      <c r="L1932" s="170">
        <v>44848</v>
      </c>
      <c r="M1932" s="116">
        <v>1378.65</v>
      </c>
      <c r="N1932" s="116">
        <v>1393.95</v>
      </c>
      <c r="O1932" s="116">
        <v>1373.05</v>
      </c>
      <c r="P1932" s="116">
        <v>1385.05</v>
      </c>
      <c r="Q1932" s="116">
        <v>1378.65</v>
      </c>
      <c r="R1932">
        <v>32966</v>
      </c>
    </row>
    <row r="1933" spans="1:18" x14ac:dyDescent="0.25">
      <c r="A1933" s="170">
        <v>44851</v>
      </c>
      <c r="B1933" s="116">
        <v>1388.05</v>
      </c>
      <c r="C1933" s="116">
        <v>1373.35</v>
      </c>
      <c r="D1933" s="116">
        <v>1368.65</v>
      </c>
      <c r="E1933" s="116">
        <v>1383.15</v>
      </c>
      <c r="F1933" s="116">
        <v>1373.35</v>
      </c>
      <c r="G1933">
        <v>95065</v>
      </c>
      <c r="H1933" s="116"/>
      <c r="I1933" s="116"/>
      <c r="L1933" s="170">
        <v>44851</v>
      </c>
      <c r="M1933" s="116">
        <v>1374.85</v>
      </c>
      <c r="N1933" s="116">
        <v>1387.95</v>
      </c>
      <c r="O1933" s="116">
        <v>1368.15</v>
      </c>
      <c r="P1933" s="116">
        <v>1385.55</v>
      </c>
      <c r="Q1933" s="116">
        <v>1374.85</v>
      </c>
      <c r="R1933">
        <v>42239</v>
      </c>
    </row>
    <row r="1934" spans="1:18" x14ac:dyDescent="0.25">
      <c r="A1934" s="170">
        <v>44852</v>
      </c>
      <c r="B1934" s="116">
        <v>1399</v>
      </c>
      <c r="C1934" s="116">
        <v>1379.2</v>
      </c>
      <c r="D1934" s="116">
        <v>1371</v>
      </c>
      <c r="E1934" s="116">
        <v>1386.3</v>
      </c>
      <c r="F1934" s="116">
        <v>1379.2</v>
      </c>
      <c r="G1934">
        <v>2369</v>
      </c>
      <c r="H1934" s="116"/>
      <c r="I1934" s="116"/>
      <c r="L1934" s="170">
        <v>44852</v>
      </c>
      <c r="M1934" s="116">
        <v>1377.9</v>
      </c>
      <c r="N1934" s="116">
        <v>1402.25</v>
      </c>
      <c r="O1934" s="116">
        <v>1371</v>
      </c>
      <c r="P1934" s="116">
        <v>1381</v>
      </c>
      <c r="Q1934" s="116">
        <v>1377.9</v>
      </c>
      <c r="R1934">
        <v>58034</v>
      </c>
    </row>
    <row r="1935" spans="1:18" x14ac:dyDescent="0.25">
      <c r="A1935" s="170">
        <v>44853</v>
      </c>
      <c r="B1935" s="116">
        <v>1389.8</v>
      </c>
      <c r="C1935" s="116">
        <v>1367.6</v>
      </c>
      <c r="D1935" s="116">
        <v>1366.1</v>
      </c>
      <c r="E1935" s="116">
        <v>1389.8</v>
      </c>
      <c r="F1935" s="116">
        <v>1367.6</v>
      </c>
      <c r="G1935">
        <v>3013</v>
      </c>
      <c r="H1935" s="116"/>
      <c r="I1935" s="116"/>
      <c r="L1935" s="170">
        <v>44853</v>
      </c>
      <c r="M1935" s="116">
        <v>1367.7</v>
      </c>
      <c r="N1935" s="116">
        <v>1384.8</v>
      </c>
      <c r="O1935" s="116">
        <v>1366</v>
      </c>
      <c r="P1935" s="116">
        <v>1378</v>
      </c>
      <c r="Q1935" s="116">
        <v>1367.7</v>
      </c>
      <c r="R1935">
        <v>41505</v>
      </c>
    </row>
    <row r="1936" spans="1:18" x14ac:dyDescent="0.25">
      <c r="A1936" s="170">
        <v>44854</v>
      </c>
      <c r="B1936" s="116">
        <v>1380.55</v>
      </c>
      <c r="C1936" s="116">
        <v>1361.15</v>
      </c>
      <c r="D1936" s="116">
        <v>1356</v>
      </c>
      <c r="E1936" s="116">
        <v>1374.25</v>
      </c>
      <c r="F1936" s="116">
        <v>1361.15</v>
      </c>
      <c r="G1936">
        <v>3747</v>
      </c>
      <c r="H1936" s="116"/>
      <c r="I1936" s="116"/>
      <c r="L1936" s="170">
        <v>44854</v>
      </c>
      <c r="M1936" s="116">
        <v>1363.2</v>
      </c>
      <c r="N1936" s="116">
        <v>1379.75</v>
      </c>
      <c r="O1936" s="116">
        <v>1356.4</v>
      </c>
      <c r="P1936" s="116">
        <v>1371</v>
      </c>
      <c r="Q1936" s="116">
        <v>1363.2</v>
      </c>
      <c r="R1936">
        <v>67560</v>
      </c>
    </row>
    <row r="1937" spans="1:18" x14ac:dyDescent="0.25">
      <c r="A1937" s="170">
        <v>44855</v>
      </c>
      <c r="B1937" s="116">
        <v>1372</v>
      </c>
      <c r="C1937" s="116">
        <v>1356.85</v>
      </c>
      <c r="D1937" s="116">
        <v>1353.7</v>
      </c>
      <c r="E1937" s="116">
        <v>1365.95</v>
      </c>
      <c r="F1937" s="116">
        <v>1356.85</v>
      </c>
      <c r="G1937">
        <v>2180</v>
      </c>
      <c r="H1937" s="116"/>
      <c r="I1937" s="116"/>
      <c r="L1937" s="170">
        <v>44855</v>
      </c>
      <c r="M1937" s="116">
        <v>1355.95</v>
      </c>
      <c r="N1937" s="116">
        <v>1373.2</v>
      </c>
      <c r="O1937" s="116">
        <v>1353</v>
      </c>
      <c r="P1937" s="116">
        <v>1367.45</v>
      </c>
      <c r="Q1937" s="116">
        <v>1355.95</v>
      </c>
      <c r="R1937">
        <v>33032</v>
      </c>
    </row>
    <row r="1938" spans="1:18" x14ac:dyDescent="0.25">
      <c r="A1938" s="170">
        <v>44858</v>
      </c>
      <c r="B1938" s="116">
        <v>1375</v>
      </c>
      <c r="C1938" s="116">
        <v>1373.35</v>
      </c>
      <c r="D1938" s="116">
        <v>1360</v>
      </c>
      <c r="E1938" s="116">
        <v>1365</v>
      </c>
      <c r="F1938" s="116">
        <v>1373.35</v>
      </c>
      <c r="G1938">
        <v>1223</v>
      </c>
      <c r="H1938" s="116"/>
      <c r="I1938" s="116"/>
      <c r="L1938" s="170">
        <v>44858</v>
      </c>
      <c r="M1938" s="116">
        <v>1373.35</v>
      </c>
      <c r="N1938" s="116">
        <v>1375</v>
      </c>
      <c r="O1938" s="116">
        <v>1360</v>
      </c>
      <c r="P1938" s="116">
        <v>1364.9</v>
      </c>
      <c r="Q1938" s="116">
        <v>1373.35</v>
      </c>
      <c r="R1938">
        <v>6876</v>
      </c>
    </row>
    <row r="1939" spans="1:18" x14ac:dyDescent="0.25">
      <c r="A1939" s="170">
        <v>44859</v>
      </c>
      <c r="B1939" s="116">
        <v>1376.8</v>
      </c>
      <c r="C1939" s="116">
        <v>1362.25</v>
      </c>
      <c r="D1939" s="116">
        <v>1361.1</v>
      </c>
      <c r="E1939" s="116">
        <v>1367.05</v>
      </c>
      <c r="F1939" s="116">
        <v>1362.25</v>
      </c>
      <c r="G1939">
        <v>2406</v>
      </c>
      <c r="H1939" s="116"/>
      <c r="I1939" s="116"/>
      <c r="L1939" s="170">
        <v>44859</v>
      </c>
      <c r="M1939" s="116">
        <v>1363.65</v>
      </c>
      <c r="N1939" s="116">
        <v>1377.3</v>
      </c>
      <c r="O1939" s="116">
        <v>1361.05</v>
      </c>
      <c r="P1939" s="116">
        <v>1373.35</v>
      </c>
      <c r="Q1939" s="116">
        <v>1363.65</v>
      </c>
      <c r="R1939">
        <v>24142</v>
      </c>
    </row>
    <row r="1940" spans="1:18" x14ac:dyDescent="0.25">
      <c r="A1940" s="170">
        <v>44861</v>
      </c>
      <c r="B1940" s="116">
        <v>1379.4</v>
      </c>
      <c r="C1940" s="116">
        <v>1367.55</v>
      </c>
      <c r="D1940" s="116">
        <v>1364.7</v>
      </c>
      <c r="E1940" s="116">
        <v>1370.5</v>
      </c>
      <c r="F1940" s="116">
        <v>1367.55</v>
      </c>
      <c r="G1940">
        <v>1411</v>
      </c>
      <c r="H1940" s="116"/>
      <c r="I1940" s="116"/>
      <c r="L1940" s="170">
        <v>44861</v>
      </c>
      <c r="M1940" s="116">
        <v>1365.75</v>
      </c>
      <c r="N1940" s="116">
        <v>1378.95</v>
      </c>
      <c r="O1940" s="116">
        <v>1363.7</v>
      </c>
      <c r="P1940" s="116">
        <v>1374</v>
      </c>
      <c r="Q1940" s="116">
        <v>1365.75</v>
      </c>
      <c r="R1940">
        <v>128053</v>
      </c>
    </row>
    <row r="1941" spans="1:18" x14ac:dyDescent="0.25">
      <c r="A1941" s="170">
        <v>44862</v>
      </c>
      <c r="B1941" s="116">
        <v>1383.15</v>
      </c>
      <c r="C1941" s="116">
        <v>1378.4</v>
      </c>
      <c r="D1941" s="116">
        <v>1360.1</v>
      </c>
      <c r="E1941" s="116">
        <v>1360.1</v>
      </c>
      <c r="F1941" s="116">
        <v>1378.4</v>
      </c>
      <c r="G1941">
        <v>2340</v>
      </c>
      <c r="H1941" s="116"/>
      <c r="I1941" s="116"/>
      <c r="L1941" s="170">
        <v>44862</v>
      </c>
      <c r="M1941" s="116">
        <v>1374.85</v>
      </c>
      <c r="N1941" s="116">
        <v>1383</v>
      </c>
      <c r="O1941" s="116">
        <v>1364.05</v>
      </c>
      <c r="P1941" s="116">
        <v>1364.05</v>
      </c>
      <c r="Q1941" s="116">
        <v>1374.85</v>
      </c>
      <c r="R1941">
        <v>89705</v>
      </c>
    </row>
    <row r="1942" spans="1:18" x14ac:dyDescent="0.25">
      <c r="A1942" s="170">
        <v>44865</v>
      </c>
      <c r="B1942" s="116">
        <v>1385</v>
      </c>
      <c r="C1942" s="116">
        <v>1377.4</v>
      </c>
      <c r="D1942" s="116">
        <v>1358</v>
      </c>
      <c r="E1942" s="116">
        <v>1385</v>
      </c>
      <c r="F1942" s="116">
        <v>1377.4</v>
      </c>
      <c r="G1942">
        <v>3959</v>
      </c>
      <c r="H1942" s="116"/>
      <c r="I1942" s="116"/>
      <c r="L1942" s="170">
        <v>44865</v>
      </c>
      <c r="M1942" s="116">
        <v>1377.35</v>
      </c>
      <c r="N1942" s="116">
        <v>1386.95</v>
      </c>
      <c r="O1942" s="116">
        <v>1357.6</v>
      </c>
      <c r="P1942" s="116">
        <v>1385</v>
      </c>
      <c r="Q1942" s="116">
        <v>1377.35</v>
      </c>
      <c r="R1942">
        <v>138505</v>
      </c>
    </row>
    <row r="1943" spans="1:18" x14ac:dyDescent="0.25">
      <c r="A1943" s="170">
        <v>44866</v>
      </c>
      <c r="B1943" s="116">
        <v>1402.5</v>
      </c>
      <c r="C1943" s="116">
        <v>1378.75</v>
      </c>
      <c r="D1943" s="116">
        <v>1374.5</v>
      </c>
      <c r="E1943" s="116">
        <v>1378.05</v>
      </c>
      <c r="F1943" s="116">
        <v>1378.75</v>
      </c>
      <c r="G1943">
        <v>11571</v>
      </c>
      <c r="H1943" s="116"/>
      <c r="I1943" s="116"/>
      <c r="L1943" s="170">
        <v>44866</v>
      </c>
      <c r="M1943" s="116">
        <v>1378.6</v>
      </c>
      <c r="N1943" s="116">
        <v>1403.7</v>
      </c>
      <c r="O1943" s="116">
        <v>1375.1</v>
      </c>
      <c r="P1943" s="116">
        <v>1380</v>
      </c>
      <c r="Q1943" s="116">
        <v>1378.6</v>
      </c>
      <c r="R1943">
        <v>55611</v>
      </c>
    </row>
    <row r="1944" spans="1:18" x14ac:dyDescent="0.25">
      <c r="A1944" s="170">
        <v>44867</v>
      </c>
      <c r="B1944" s="116">
        <v>1387.35</v>
      </c>
      <c r="C1944" s="116">
        <v>1369.9</v>
      </c>
      <c r="D1944" s="116">
        <v>1368</v>
      </c>
      <c r="E1944" s="116">
        <v>1380</v>
      </c>
      <c r="F1944" s="116">
        <v>1369.9</v>
      </c>
      <c r="G1944">
        <v>1784</v>
      </c>
      <c r="H1944" s="116"/>
      <c r="I1944" s="116"/>
      <c r="L1944" s="170">
        <v>44867</v>
      </c>
      <c r="M1944" s="116">
        <v>1370.15</v>
      </c>
      <c r="N1944" s="116">
        <v>1387.95</v>
      </c>
      <c r="O1944" s="116">
        <v>1368.6</v>
      </c>
      <c r="P1944" s="116">
        <v>1385</v>
      </c>
      <c r="Q1944" s="116">
        <v>1370.15</v>
      </c>
      <c r="R1944">
        <v>51819</v>
      </c>
    </row>
    <row r="1945" spans="1:18" x14ac:dyDescent="0.25">
      <c r="A1945" s="170">
        <v>44868</v>
      </c>
      <c r="B1945" s="116">
        <v>1381.05</v>
      </c>
      <c r="C1945" s="116">
        <v>1361.4</v>
      </c>
      <c r="D1945" s="116">
        <v>1360</v>
      </c>
      <c r="E1945" s="116">
        <v>1371.3</v>
      </c>
      <c r="F1945" s="116">
        <v>1361.4</v>
      </c>
      <c r="G1945">
        <v>1077</v>
      </c>
      <c r="H1945" s="116"/>
      <c r="I1945" s="116"/>
      <c r="L1945" s="170">
        <v>44868</v>
      </c>
      <c r="M1945" s="116">
        <v>1361.25</v>
      </c>
      <c r="N1945" s="116">
        <v>1381</v>
      </c>
      <c r="O1945" s="116">
        <v>1360</v>
      </c>
      <c r="P1945" s="116">
        <v>1375</v>
      </c>
      <c r="Q1945" s="116">
        <v>1361.25</v>
      </c>
      <c r="R1945">
        <v>141404</v>
      </c>
    </row>
    <row r="1946" spans="1:18" x14ac:dyDescent="0.25">
      <c r="A1946" s="170">
        <v>44869</v>
      </c>
      <c r="B1946" s="116">
        <v>1371.2</v>
      </c>
      <c r="C1946" s="116">
        <v>1346.35</v>
      </c>
      <c r="D1946" s="116">
        <v>1344.75</v>
      </c>
      <c r="E1946" s="116">
        <v>1361.35</v>
      </c>
      <c r="F1946" s="116">
        <v>1346.35</v>
      </c>
      <c r="G1946">
        <v>5953</v>
      </c>
      <c r="H1946" s="116"/>
      <c r="I1946" s="116"/>
      <c r="L1946" s="170">
        <v>44869</v>
      </c>
      <c r="M1946" s="116">
        <v>1345.8</v>
      </c>
      <c r="N1946" s="116">
        <v>1373</v>
      </c>
      <c r="O1946" s="116">
        <v>1343.05</v>
      </c>
      <c r="P1946" s="116">
        <v>1362.1</v>
      </c>
      <c r="Q1946" s="116">
        <v>1345.8</v>
      </c>
      <c r="R1946">
        <v>102612</v>
      </c>
    </row>
    <row r="1947" spans="1:18" x14ac:dyDescent="0.25">
      <c r="A1947" s="170">
        <v>44872</v>
      </c>
      <c r="B1947" s="116">
        <v>1363.6</v>
      </c>
      <c r="C1947" s="116">
        <v>1339.35</v>
      </c>
      <c r="D1947" s="116">
        <v>1330.45</v>
      </c>
      <c r="E1947" s="116">
        <v>1350</v>
      </c>
      <c r="F1947" s="116">
        <v>1339.35</v>
      </c>
      <c r="G1947">
        <v>5356</v>
      </c>
      <c r="H1947" s="116"/>
      <c r="I1947" s="116"/>
      <c r="L1947" s="170">
        <v>44872</v>
      </c>
      <c r="M1947" s="116">
        <v>1338.2</v>
      </c>
      <c r="N1947" s="116">
        <v>1359.7</v>
      </c>
      <c r="O1947" s="116">
        <v>1330.2</v>
      </c>
      <c r="P1947" s="116">
        <v>1354.5</v>
      </c>
      <c r="Q1947" s="116">
        <v>1338.2</v>
      </c>
      <c r="R1947">
        <v>67351</v>
      </c>
    </row>
    <row r="1948" spans="1:18" x14ac:dyDescent="0.25">
      <c r="A1948" s="170">
        <v>44874</v>
      </c>
      <c r="B1948" s="116">
        <v>1353</v>
      </c>
      <c r="C1948" s="116">
        <v>1337.95</v>
      </c>
      <c r="D1948" s="116">
        <v>1334.55</v>
      </c>
      <c r="E1948" s="116">
        <v>1339.35</v>
      </c>
      <c r="F1948" s="116">
        <v>1337.95</v>
      </c>
      <c r="G1948">
        <v>5076</v>
      </c>
      <c r="H1948" s="116"/>
      <c r="I1948" s="116"/>
      <c r="L1948" s="170">
        <v>44874</v>
      </c>
      <c r="M1948" s="116">
        <v>1340.95</v>
      </c>
      <c r="N1948" s="116">
        <v>1353</v>
      </c>
      <c r="O1948" s="116">
        <v>1330.3</v>
      </c>
      <c r="P1948" s="116">
        <v>1345</v>
      </c>
      <c r="Q1948" s="116">
        <v>1340.95</v>
      </c>
      <c r="R1948">
        <v>156362</v>
      </c>
    </row>
    <row r="1949" spans="1:18" x14ac:dyDescent="0.25">
      <c r="A1949" s="170">
        <v>44875</v>
      </c>
      <c r="B1949" s="116">
        <v>1357.6</v>
      </c>
      <c r="C1949" s="116">
        <v>1340.75</v>
      </c>
      <c r="D1949" s="116">
        <v>1329.4</v>
      </c>
      <c r="E1949" s="116">
        <v>1345.55</v>
      </c>
      <c r="F1949" s="116">
        <v>1340.75</v>
      </c>
      <c r="G1949">
        <v>1994</v>
      </c>
      <c r="H1949" s="116"/>
      <c r="I1949" s="116"/>
      <c r="L1949" s="170">
        <v>44875</v>
      </c>
      <c r="M1949" s="116">
        <v>1335.05</v>
      </c>
      <c r="N1949" s="116">
        <v>1358</v>
      </c>
      <c r="O1949" s="116">
        <v>1329.05</v>
      </c>
      <c r="P1949" s="116">
        <v>1341</v>
      </c>
      <c r="Q1949" s="116">
        <v>1335.05</v>
      </c>
      <c r="R1949">
        <v>71863</v>
      </c>
    </row>
    <row r="1950" spans="1:18" x14ac:dyDescent="0.25">
      <c r="A1950" s="170">
        <v>44876</v>
      </c>
      <c r="B1950" s="116">
        <v>1348.75</v>
      </c>
      <c r="C1950" s="116">
        <v>1327.7</v>
      </c>
      <c r="D1950" s="116">
        <v>1320</v>
      </c>
      <c r="E1950" s="116">
        <v>1348.75</v>
      </c>
      <c r="F1950" s="116">
        <v>1327.7</v>
      </c>
      <c r="G1950">
        <v>5428</v>
      </c>
      <c r="H1950" s="116"/>
      <c r="I1950" s="116"/>
      <c r="L1950" s="170">
        <v>44876</v>
      </c>
      <c r="M1950" s="116">
        <v>1325.3</v>
      </c>
      <c r="N1950" s="116">
        <v>1344.95</v>
      </c>
      <c r="O1950" s="116">
        <v>1320</v>
      </c>
      <c r="P1950" s="116">
        <v>1340.75</v>
      </c>
      <c r="Q1950" s="116">
        <v>1325.3</v>
      </c>
      <c r="R1950">
        <v>168219</v>
      </c>
    </row>
    <row r="1951" spans="1:18" x14ac:dyDescent="0.25">
      <c r="A1951" s="170">
        <v>44879</v>
      </c>
      <c r="B1951" s="116">
        <v>1344</v>
      </c>
      <c r="C1951" s="116">
        <v>1336.1</v>
      </c>
      <c r="D1951" s="116">
        <v>1321</v>
      </c>
      <c r="E1951" s="116">
        <v>1328.05</v>
      </c>
      <c r="F1951" s="116">
        <v>1336.1</v>
      </c>
      <c r="G1951">
        <v>6176</v>
      </c>
      <c r="H1951" s="116"/>
      <c r="I1951" s="116"/>
      <c r="L1951" s="170">
        <v>44879</v>
      </c>
      <c r="M1951" s="116">
        <v>1337.7</v>
      </c>
      <c r="N1951" s="116">
        <v>1344.85</v>
      </c>
      <c r="O1951" s="116">
        <v>1320.05</v>
      </c>
      <c r="P1951" s="116">
        <v>1331.95</v>
      </c>
      <c r="Q1951" s="116">
        <v>1337.7</v>
      </c>
      <c r="R1951">
        <v>51704</v>
      </c>
    </row>
    <row r="1952" spans="1:18" x14ac:dyDescent="0.25">
      <c r="A1952" s="170">
        <v>44880</v>
      </c>
      <c r="B1952" s="116">
        <v>1350.2</v>
      </c>
      <c r="C1952" s="116">
        <v>1329.9</v>
      </c>
      <c r="D1952" s="116">
        <v>1326</v>
      </c>
      <c r="E1952" s="116">
        <v>1347.9</v>
      </c>
      <c r="F1952" s="116">
        <v>1329.9</v>
      </c>
      <c r="G1952">
        <v>2812</v>
      </c>
      <c r="H1952" s="116"/>
      <c r="I1952" s="116"/>
      <c r="L1952" s="170">
        <v>44880</v>
      </c>
      <c r="M1952" s="116">
        <v>1328.8</v>
      </c>
      <c r="N1952" s="116">
        <v>1352</v>
      </c>
      <c r="O1952" s="116">
        <v>1325</v>
      </c>
      <c r="P1952" s="116">
        <v>1339.9</v>
      </c>
      <c r="Q1952" s="116">
        <v>1328.8</v>
      </c>
      <c r="R1952">
        <v>67840</v>
      </c>
    </row>
    <row r="1953" spans="1:18" x14ac:dyDescent="0.25">
      <c r="A1953" s="170">
        <v>44881</v>
      </c>
      <c r="B1953" s="116">
        <v>1339.65</v>
      </c>
      <c r="C1953" s="116">
        <v>1328.6</v>
      </c>
      <c r="D1953" s="116">
        <v>1325.3</v>
      </c>
      <c r="E1953" s="116">
        <v>1325.3</v>
      </c>
      <c r="F1953" s="116">
        <v>1328.6</v>
      </c>
      <c r="G1953">
        <v>2416</v>
      </c>
      <c r="H1953" s="116"/>
      <c r="I1953" s="116"/>
      <c r="L1953" s="170">
        <v>44881</v>
      </c>
      <c r="M1953" s="116">
        <v>1329.3</v>
      </c>
      <c r="N1953" s="116">
        <v>1338.5</v>
      </c>
      <c r="O1953" s="116">
        <v>1325.3</v>
      </c>
      <c r="P1953" s="116">
        <v>1338.5</v>
      </c>
      <c r="Q1953" s="116">
        <v>1329.3</v>
      </c>
      <c r="R1953">
        <v>35489</v>
      </c>
    </row>
    <row r="1954" spans="1:18" x14ac:dyDescent="0.25">
      <c r="A1954" s="170">
        <v>44882</v>
      </c>
      <c r="B1954" s="116">
        <v>1348.95</v>
      </c>
      <c r="C1954" s="116">
        <v>1328.45</v>
      </c>
      <c r="D1954" s="116">
        <v>1322.5</v>
      </c>
      <c r="E1954" s="116">
        <v>1348.95</v>
      </c>
      <c r="F1954" s="116">
        <v>1328.45</v>
      </c>
      <c r="G1954">
        <v>1636</v>
      </c>
      <c r="H1954" s="116"/>
      <c r="I1954" s="116"/>
      <c r="L1954" s="170">
        <v>44882</v>
      </c>
      <c r="M1954" s="116">
        <v>1327.9</v>
      </c>
      <c r="N1954" s="116">
        <v>1335</v>
      </c>
      <c r="O1954" s="116">
        <v>1322</v>
      </c>
      <c r="P1954" s="116">
        <v>1333</v>
      </c>
      <c r="Q1954" s="116">
        <v>1327.9</v>
      </c>
      <c r="R1954">
        <v>24171</v>
      </c>
    </row>
    <row r="1955" spans="1:18" x14ac:dyDescent="0.25">
      <c r="A1955" s="170">
        <v>44883</v>
      </c>
      <c r="B1955" s="116">
        <v>1338.05</v>
      </c>
      <c r="C1955" s="116">
        <v>1319.85</v>
      </c>
      <c r="D1955" s="116">
        <v>1313.65</v>
      </c>
      <c r="E1955" s="116">
        <v>1338</v>
      </c>
      <c r="F1955" s="116">
        <v>1319.85</v>
      </c>
      <c r="G1955">
        <v>4278</v>
      </c>
      <c r="H1955" s="116"/>
      <c r="I1955" s="116"/>
      <c r="L1955" s="170">
        <v>44883</v>
      </c>
      <c r="M1955" s="116">
        <v>1319.35</v>
      </c>
      <c r="N1955" s="116">
        <v>1334.55</v>
      </c>
      <c r="O1955" s="116">
        <v>1313.2</v>
      </c>
      <c r="P1955" s="116">
        <v>1328</v>
      </c>
      <c r="Q1955" s="116">
        <v>1319.35</v>
      </c>
      <c r="R1955">
        <v>32507</v>
      </c>
    </row>
    <row r="1956" spans="1:18" x14ac:dyDescent="0.25">
      <c r="A1956" s="170">
        <v>44886</v>
      </c>
      <c r="B1956" s="116">
        <v>1334.85</v>
      </c>
      <c r="C1956" s="116">
        <v>1308.8</v>
      </c>
      <c r="D1956" s="116">
        <v>1300.3</v>
      </c>
      <c r="E1956" s="116">
        <v>1334.85</v>
      </c>
      <c r="F1956" s="116">
        <v>1308.8</v>
      </c>
      <c r="G1956">
        <v>4346</v>
      </c>
      <c r="H1956" s="116"/>
      <c r="I1956" s="116"/>
      <c r="L1956" s="170">
        <v>44886</v>
      </c>
      <c r="M1956" s="116">
        <v>1308.55</v>
      </c>
      <c r="N1956" s="116">
        <v>1325.7</v>
      </c>
      <c r="O1956" s="116">
        <v>1300</v>
      </c>
      <c r="P1956" s="116">
        <v>1319.5</v>
      </c>
      <c r="Q1956" s="116">
        <v>1308.55</v>
      </c>
      <c r="R1956">
        <v>32853</v>
      </c>
    </row>
    <row r="1957" spans="1:18" x14ac:dyDescent="0.25">
      <c r="A1957" s="170">
        <v>44887</v>
      </c>
      <c r="B1957" s="116">
        <v>1315</v>
      </c>
      <c r="C1957" s="116">
        <v>1307.6500000000001</v>
      </c>
      <c r="D1957" s="116">
        <v>1301</v>
      </c>
      <c r="E1957" s="116">
        <v>1308</v>
      </c>
      <c r="F1957" s="116">
        <v>1307.6500000000001</v>
      </c>
      <c r="G1957">
        <v>3241</v>
      </c>
      <c r="H1957" s="116"/>
      <c r="I1957" s="116"/>
      <c r="L1957" s="170">
        <v>44887</v>
      </c>
      <c r="M1957" s="116">
        <v>1308.95</v>
      </c>
      <c r="N1957" s="116">
        <v>1315.9</v>
      </c>
      <c r="O1957" s="116">
        <v>1305</v>
      </c>
      <c r="P1957" s="116">
        <v>1311.25</v>
      </c>
      <c r="Q1957" s="116">
        <v>1308.95</v>
      </c>
      <c r="R1957">
        <v>23899</v>
      </c>
    </row>
    <row r="1958" spans="1:18" x14ac:dyDescent="0.25">
      <c r="A1958" s="170">
        <v>44888</v>
      </c>
      <c r="B1958" s="116">
        <v>1313</v>
      </c>
      <c r="C1958" s="116">
        <v>1299.55</v>
      </c>
      <c r="D1958" s="116">
        <v>1296</v>
      </c>
      <c r="E1958" s="116">
        <v>1307.6500000000001</v>
      </c>
      <c r="F1958" s="116">
        <v>1299.55</v>
      </c>
      <c r="G1958">
        <v>4042</v>
      </c>
      <c r="H1958" s="116"/>
      <c r="I1958" s="116"/>
      <c r="L1958" s="170">
        <v>44888</v>
      </c>
      <c r="M1958" s="116">
        <v>1300.45</v>
      </c>
      <c r="N1958" s="116">
        <v>1313.95</v>
      </c>
      <c r="O1958" s="116">
        <v>1295.95</v>
      </c>
      <c r="P1958" s="116">
        <v>1310</v>
      </c>
      <c r="Q1958" s="116">
        <v>1300.45</v>
      </c>
      <c r="R1958">
        <v>30353</v>
      </c>
    </row>
    <row r="1959" spans="1:18" x14ac:dyDescent="0.25">
      <c r="A1959" s="170">
        <v>44889</v>
      </c>
      <c r="B1959" s="116">
        <v>1308.2</v>
      </c>
      <c r="C1959" s="116">
        <v>1300</v>
      </c>
      <c r="D1959" s="116">
        <v>1296.2</v>
      </c>
      <c r="E1959" s="116">
        <v>1305.05</v>
      </c>
      <c r="F1959" s="116">
        <v>1300</v>
      </c>
      <c r="G1959">
        <v>2238</v>
      </c>
      <c r="H1959" s="116"/>
      <c r="I1959" s="116"/>
      <c r="L1959" s="170">
        <v>44889</v>
      </c>
      <c r="M1959" s="116">
        <v>1300.55</v>
      </c>
      <c r="N1959" s="116">
        <v>1309</v>
      </c>
      <c r="O1959" s="116">
        <v>1296</v>
      </c>
      <c r="P1959" s="116">
        <v>1309</v>
      </c>
      <c r="Q1959" s="116">
        <v>1300.55</v>
      </c>
      <c r="R1959">
        <v>117871</v>
      </c>
    </row>
    <row r="1960" spans="1:18" x14ac:dyDescent="0.25">
      <c r="A1960" s="170">
        <v>44890</v>
      </c>
      <c r="B1960" s="116">
        <v>1355.25</v>
      </c>
      <c r="C1960" s="116">
        <v>1333.7</v>
      </c>
      <c r="D1960" s="116">
        <v>1321.55</v>
      </c>
      <c r="E1960" s="116">
        <v>1332</v>
      </c>
      <c r="F1960" s="116">
        <v>1333.7</v>
      </c>
      <c r="G1960">
        <v>5512</v>
      </c>
      <c r="H1960" s="116"/>
      <c r="I1960" s="116"/>
      <c r="L1960" s="170">
        <v>44890</v>
      </c>
      <c r="M1960" s="116">
        <v>1333.7</v>
      </c>
      <c r="N1960" s="116">
        <v>1357.65</v>
      </c>
      <c r="O1960" s="116">
        <v>1322.1</v>
      </c>
      <c r="P1960" s="116">
        <v>1344</v>
      </c>
      <c r="Q1960" s="116">
        <v>1333.7</v>
      </c>
      <c r="R1960">
        <v>104011</v>
      </c>
    </row>
    <row r="1961" spans="1:18" x14ac:dyDescent="0.25">
      <c r="A1961" s="170">
        <v>44893</v>
      </c>
      <c r="B1961" s="116">
        <v>1335.5</v>
      </c>
      <c r="C1961" s="116">
        <v>1327.35</v>
      </c>
      <c r="D1961" s="116">
        <v>1323.05</v>
      </c>
      <c r="E1961" s="116">
        <v>1334.95</v>
      </c>
      <c r="F1961" s="116">
        <v>1327.35</v>
      </c>
      <c r="G1961">
        <v>4423</v>
      </c>
      <c r="H1961" s="116"/>
      <c r="I1961" s="116"/>
      <c r="L1961" s="170">
        <v>44893</v>
      </c>
      <c r="M1961" s="116">
        <v>1329.25</v>
      </c>
      <c r="N1961" s="116">
        <v>1340</v>
      </c>
      <c r="O1961" s="116">
        <v>1323.9</v>
      </c>
      <c r="P1961" s="116">
        <v>1340</v>
      </c>
      <c r="Q1961" s="116">
        <v>1329.25</v>
      </c>
      <c r="R1961">
        <v>58171</v>
      </c>
    </row>
    <row r="1962" spans="1:18" x14ac:dyDescent="0.25">
      <c r="A1962" s="170">
        <v>44894</v>
      </c>
      <c r="B1962" s="116">
        <v>1331.85</v>
      </c>
      <c r="C1962" s="116">
        <v>1329.9</v>
      </c>
      <c r="D1962" s="116">
        <v>1321.55</v>
      </c>
      <c r="E1962" s="116">
        <v>1328</v>
      </c>
      <c r="F1962" s="116">
        <v>1329.9</v>
      </c>
      <c r="G1962">
        <v>2016</v>
      </c>
      <c r="H1962" s="116"/>
      <c r="I1962" s="116"/>
      <c r="L1962" s="170">
        <v>44894</v>
      </c>
      <c r="M1962" s="116">
        <v>1329.05</v>
      </c>
      <c r="N1962" s="116">
        <v>1330.1</v>
      </c>
      <c r="O1962" s="116">
        <v>1321.05</v>
      </c>
      <c r="P1962" s="116">
        <v>1328.95</v>
      </c>
      <c r="Q1962" s="116">
        <v>1329.05</v>
      </c>
      <c r="R1962">
        <v>21901</v>
      </c>
    </row>
    <row r="1963" spans="1:18" x14ac:dyDescent="0.25">
      <c r="A1963" s="170">
        <v>44895</v>
      </c>
      <c r="B1963" s="116">
        <v>1341.55</v>
      </c>
      <c r="C1963" s="116">
        <v>1336.8</v>
      </c>
      <c r="D1963" s="116">
        <v>1327.95</v>
      </c>
      <c r="E1963" s="116">
        <v>1338.95</v>
      </c>
      <c r="F1963" s="116">
        <v>1336.8</v>
      </c>
      <c r="G1963">
        <v>2236</v>
      </c>
      <c r="H1963" s="116"/>
      <c r="I1963" s="116"/>
      <c r="L1963" s="170">
        <v>44895</v>
      </c>
      <c r="M1963" s="116">
        <v>1337.15</v>
      </c>
      <c r="N1963" s="116">
        <v>1343</v>
      </c>
      <c r="O1963" s="116">
        <v>1326.95</v>
      </c>
      <c r="P1963" s="116">
        <v>1330.1</v>
      </c>
      <c r="Q1963" s="116">
        <v>1337.15</v>
      </c>
      <c r="R1963">
        <v>42152</v>
      </c>
    </row>
    <row r="1964" spans="1:18" x14ac:dyDescent="0.25">
      <c r="A1964" s="170">
        <v>44896</v>
      </c>
      <c r="B1964" s="116">
        <v>1344</v>
      </c>
      <c r="C1964" s="116">
        <v>1322.7</v>
      </c>
      <c r="D1964" s="116">
        <v>1315</v>
      </c>
      <c r="E1964" s="116">
        <v>1336.85</v>
      </c>
      <c r="F1964" s="116">
        <v>1322.7</v>
      </c>
      <c r="G1964">
        <v>2601</v>
      </c>
      <c r="H1964" s="116"/>
      <c r="I1964" s="116"/>
      <c r="L1964" s="170">
        <v>44896</v>
      </c>
      <c r="M1964" s="116">
        <v>1319.2</v>
      </c>
      <c r="N1964" s="116">
        <v>1345.7</v>
      </c>
      <c r="O1964" s="116">
        <v>1314.45</v>
      </c>
      <c r="P1964" s="116">
        <v>1345.7</v>
      </c>
      <c r="Q1964" s="116">
        <v>1319.2</v>
      </c>
      <c r="R1964">
        <v>55980</v>
      </c>
    </row>
    <row r="1965" spans="1:18" x14ac:dyDescent="0.25">
      <c r="A1965" s="170">
        <v>44897</v>
      </c>
      <c r="B1965" s="116">
        <v>1337</v>
      </c>
      <c r="C1965" s="116">
        <v>1335.1</v>
      </c>
      <c r="D1965" s="116">
        <v>1310.05</v>
      </c>
      <c r="E1965" s="116">
        <v>1329.95</v>
      </c>
      <c r="F1965" s="116">
        <v>1335.1</v>
      </c>
      <c r="G1965">
        <v>3260</v>
      </c>
      <c r="H1965" s="116"/>
      <c r="I1965" s="116"/>
      <c r="L1965" s="170">
        <v>44897</v>
      </c>
      <c r="M1965" s="116">
        <v>1336.15</v>
      </c>
      <c r="N1965" s="116">
        <v>1338.8</v>
      </c>
      <c r="O1965" s="116">
        <v>1316.3</v>
      </c>
      <c r="P1965" s="116">
        <v>1325</v>
      </c>
      <c r="Q1965" s="116">
        <v>1336.15</v>
      </c>
      <c r="R1965">
        <v>29390</v>
      </c>
    </row>
    <row r="1966" spans="1:18" x14ac:dyDescent="0.25">
      <c r="A1966" s="170">
        <v>44900</v>
      </c>
      <c r="B1966" s="116">
        <v>1347.45</v>
      </c>
      <c r="C1966" s="116">
        <v>1340.15</v>
      </c>
      <c r="D1966" s="116">
        <v>1320</v>
      </c>
      <c r="E1966" s="116">
        <v>1347.45</v>
      </c>
      <c r="F1966" s="116">
        <v>1340.15</v>
      </c>
      <c r="G1966">
        <v>1582</v>
      </c>
      <c r="H1966" s="116"/>
      <c r="I1966" s="116"/>
      <c r="L1966" s="170">
        <v>44900</v>
      </c>
      <c r="M1966" s="116">
        <v>1341.85</v>
      </c>
      <c r="N1966" s="116">
        <v>1344.9</v>
      </c>
      <c r="O1966" s="116">
        <v>1319.9</v>
      </c>
      <c r="P1966" s="116">
        <v>1337.35</v>
      </c>
      <c r="Q1966" s="116">
        <v>1341.85</v>
      </c>
      <c r="R1966">
        <v>39178</v>
      </c>
    </row>
    <row r="1967" spans="1:18" x14ac:dyDescent="0.25">
      <c r="A1967" s="170">
        <v>44901</v>
      </c>
      <c r="B1967" s="116">
        <v>1343.5</v>
      </c>
      <c r="C1967" s="116">
        <v>1328.2</v>
      </c>
      <c r="D1967" s="116">
        <v>1325.2</v>
      </c>
      <c r="E1967" s="116">
        <v>1334.05</v>
      </c>
      <c r="F1967" s="116">
        <v>1328.2</v>
      </c>
      <c r="G1967">
        <v>1624</v>
      </c>
      <c r="H1967" s="116"/>
      <c r="I1967" s="116"/>
      <c r="L1967" s="170">
        <v>44901</v>
      </c>
      <c r="M1967" s="116">
        <v>1328.15</v>
      </c>
      <c r="N1967" s="116">
        <v>1343.8</v>
      </c>
      <c r="O1967" s="116">
        <v>1326</v>
      </c>
      <c r="P1967" s="116">
        <v>1343.05</v>
      </c>
      <c r="Q1967" s="116">
        <v>1328.15</v>
      </c>
      <c r="R1967">
        <v>24457</v>
      </c>
    </row>
    <row r="1968" spans="1:18" x14ac:dyDescent="0.25">
      <c r="A1968" s="170">
        <v>44902</v>
      </c>
      <c r="B1968" s="116">
        <v>1360</v>
      </c>
      <c r="C1968" s="116">
        <v>1339.45</v>
      </c>
      <c r="D1968" s="116">
        <v>1318.5</v>
      </c>
      <c r="E1968" s="116">
        <v>1336</v>
      </c>
      <c r="F1968" s="116">
        <v>1339.45</v>
      </c>
      <c r="G1968">
        <v>5139</v>
      </c>
      <c r="H1968" s="116"/>
      <c r="I1968" s="116"/>
      <c r="L1968" s="170">
        <v>44902</v>
      </c>
      <c r="M1968" s="116">
        <v>1339.05</v>
      </c>
      <c r="N1968" s="116">
        <v>1360.4</v>
      </c>
      <c r="O1968" s="116">
        <v>1319</v>
      </c>
      <c r="P1968" s="116">
        <v>1328</v>
      </c>
      <c r="Q1968" s="116">
        <v>1339.05</v>
      </c>
      <c r="R1968">
        <v>65163</v>
      </c>
    </row>
    <row r="1969" spans="1:18" x14ac:dyDescent="0.25">
      <c r="A1969" s="170">
        <v>44903</v>
      </c>
      <c r="B1969" s="116">
        <v>1340.05</v>
      </c>
      <c r="C1969" s="116">
        <v>1334.3</v>
      </c>
      <c r="D1969" s="116">
        <v>1327.35</v>
      </c>
      <c r="E1969" s="116">
        <v>1340.05</v>
      </c>
      <c r="F1969" s="116">
        <v>1334.3</v>
      </c>
      <c r="G1969">
        <v>2238</v>
      </c>
      <c r="H1969" s="116"/>
      <c r="I1969" s="116"/>
      <c r="L1969" s="170">
        <v>44903</v>
      </c>
      <c r="M1969" s="116">
        <v>1334.2</v>
      </c>
      <c r="N1969" s="116">
        <v>1341</v>
      </c>
      <c r="O1969" s="116">
        <v>1327.65</v>
      </c>
      <c r="P1969" s="116">
        <v>1341</v>
      </c>
      <c r="Q1969" s="116">
        <v>1334.2</v>
      </c>
      <c r="R1969">
        <v>34305</v>
      </c>
    </row>
    <row r="1970" spans="1:18" x14ac:dyDescent="0.25">
      <c r="A1970" s="170">
        <v>44904</v>
      </c>
      <c r="B1970" s="116">
        <v>1351.95</v>
      </c>
      <c r="C1970" s="116">
        <v>1331.7</v>
      </c>
      <c r="D1970" s="116">
        <v>1329.35</v>
      </c>
      <c r="E1970" s="116">
        <v>1351.95</v>
      </c>
      <c r="F1970" s="116">
        <v>1331.7</v>
      </c>
      <c r="G1970">
        <v>1997</v>
      </c>
      <c r="H1970" s="116"/>
      <c r="I1970" s="116"/>
      <c r="L1970" s="170">
        <v>44904</v>
      </c>
      <c r="M1970" s="116">
        <v>1331.7</v>
      </c>
      <c r="N1970" s="116">
        <v>1338.45</v>
      </c>
      <c r="O1970" s="116">
        <v>1330</v>
      </c>
      <c r="P1970" s="116">
        <v>1335</v>
      </c>
      <c r="Q1970" s="116">
        <v>1331.7</v>
      </c>
      <c r="R1970">
        <v>13413</v>
      </c>
    </row>
    <row r="1971" spans="1:18" x14ac:dyDescent="0.25">
      <c r="A1971" s="170">
        <v>44907</v>
      </c>
      <c r="B1971" s="116">
        <v>1333.5</v>
      </c>
      <c r="C1971" s="116">
        <v>1330.8</v>
      </c>
      <c r="D1971" s="116">
        <v>1317.45</v>
      </c>
      <c r="E1971" s="116">
        <v>1332</v>
      </c>
      <c r="F1971" s="116">
        <v>1330.8</v>
      </c>
      <c r="G1971">
        <v>3334</v>
      </c>
      <c r="H1971" s="116"/>
      <c r="I1971" s="116"/>
      <c r="L1971" s="170">
        <v>44907</v>
      </c>
      <c r="M1971" s="116">
        <v>1330.45</v>
      </c>
      <c r="N1971" s="116">
        <v>1334.3</v>
      </c>
      <c r="O1971" s="116">
        <v>1316.45</v>
      </c>
      <c r="P1971" s="116">
        <v>1334</v>
      </c>
      <c r="Q1971" s="116">
        <v>1330.45</v>
      </c>
      <c r="R1971">
        <v>182442</v>
      </c>
    </row>
    <row r="1972" spans="1:18" x14ac:dyDescent="0.25">
      <c r="A1972" s="170">
        <v>44908</v>
      </c>
      <c r="B1972" s="116">
        <v>1346.25</v>
      </c>
      <c r="C1972" s="116">
        <v>1336.35</v>
      </c>
      <c r="D1972" s="116">
        <v>1327.5</v>
      </c>
      <c r="E1972" s="116">
        <v>1330.8</v>
      </c>
      <c r="F1972" s="116">
        <v>1336.35</v>
      </c>
      <c r="G1972">
        <v>3014</v>
      </c>
      <c r="H1972" s="116"/>
      <c r="I1972" s="116"/>
      <c r="L1972" s="170">
        <v>44908</v>
      </c>
      <c r="M1972" s="116">
        <v>1336.5</v>
      </c>
      <c r="N1972" s="116">
        <v>1339.45</v>
      </c>
      <c r="O1972" s="116">
        <v>1326</v>
      </c>
      <c r="P1972" s="116">
        <v>1326</v>
      </c>
      <c r="Q1972" s="116">
        <v>1336.5</v>
      </c>
      <c r="R1972">
        <v>24965</v>
      </c>
    </row>
    <row r="1973" spans="1:18" x14ac:dyDescent="0.25">
      <c r="A1973" s="170">
        <v>44909</v>
      </c>
      <c r="B1973" s="116">
        <v>1349.75</v>
      </c>
      <c r="C1973" s="116">
        <v>1343.9</v>
      </c>
      <c r="D1973" s="116">
        <v>1335</v>
      </c>
      <c r="E1973" s="116">
        <v>1349.75</v>
      </c>
      <c r="F1973" s="116">
        <v>1343.9</v>
      </c>
      <c r="G1973">
        <v>2011</v>
      </c>
      <c r="H1973" s="116"/>
      <c r="I1973" s="116"/>
      <c r="L1973" s="170">
        <v>44909</v>
      </c>
      <c r="M1973" s="116">
        <v>1341.75</v>
      </c>
      <c r="N1973" s="116">
        <v>1348.8</v>
      </c>
      <c r="O1973" s="116">
        <v>1332.8</v>
      </c>
      <c r="P1973" s="116">
        <v>1338</v>
      </c>
      <c r="Q1973" s="116">
        <v>1341.75</v>
      </c>
      <c r="R1973">
        <v>129711</v>
      </c>
    </row>
    <row r="1974" spans="1:18" x14ac:dyDescent="0.25">
      <c r="A1974" s="170">
        <v>44910</v>
      </c>
      <c r="B1974" s="116">
        <v>1354.45</v>
      </c>
      <c r="C1974" s="116">
        <v>1340.7</v>
      </c>
      <c r="D1974" s="116">
        <v>1339.05</v>
      </c>
      <c r="E1974" s="116">
        <v>1344</v>
      </c>
      <c r="F1974" s="116">
        <v>1340.7</v>
      </c>
      <c r="G1974">
        <v>2828</v>
      </c>
      <c r="H1974" s="116"/>
      <c r="I1974" s="116"/>
      <c r="L1974" s="170">
        <v>44910</v>
      </c>
      <c r="M1974" s="116">
        <v>1343.45</v>
      </c>
      <c r="N1974" s="116">
        <v>1355</v>
      </c>
      <c r="O1974" s="116">
        <v>1338.3</v>
      </c>
      <c r="P1974" s="116">
        <v>1340</v>
      </c>
      <c r="Q1974" s="116">
        <v>1343.45</v>
      </c>
      <c r="R1974">
        <v>34457</v>
      </c>
    </row>
    <row r="1975" spans="1:18" x14ac:dyDescent="0.25">
      <c r="A1975" s="170">
        <v>44911</v>
      </c>
      <c r="B1975" s="116">
        <v>1369.25</v>
      </c>
      <c r="C1975" s="116">
        <v>1342.65</v>
      </c>
      <c r="D1975" s="116">
        <v>1330</v>
      </c>
      <c r="E1975" s="116">
        <v>1331.2</v>
      </c>
      <c r="F1975" s="116">
        <v>1342.65</v>
      </c>
      <c r="G1975">
        <v>4499</v>
      </c>
      <c r="H1975" s="116"/>
      <c r="I1975" s="116"/>
      <c r="L1975" s="170">
        <v>44911</v>
      </c>
      <c r="M1975" s="116">
        <v>1344.4</v>
      </c>
      <c r="N1975" s="116">
        <v>1370</v>
      </c>
      <c r="O1975" s="116">
        <v>1332.2</v>
      </c>
      <c r="P1975" s="116">
        <v>1347.55</v>
      </c>
      <c r="Q1975" s="116">
        <v>1344.4</v>
      </c>
      <c r="R1975">
        <v>109971</v>
      </c>
    </row>
    <row r="1976" spans="1:18" x14ac:dyDescent="0.25">
      <c r="A1976" s="170">
        <v>44914</v>
      </c>
      <c r="B1976" s="116">
        <v>1347.6</v>
      </c>
      <c r="C1976" s="116">
        <v>1331.3</v>
      </c>
      <c r="D1976" s="116">
        <v>1329.1</v>
      </c>
      <c r="E1976" s="116">
        <v>1340</v>
      </c>
      <c r="F1976" s="116">
        <v>1331.3</v>
      </c>
      <c r="G1976">
        <v>1573</v>
      </c>
      <c r="H1976" s="116"/>
      <c r="I1976" s="116"/>
      <c r="L1976" s="170">
        <v>44914</v>
      </c>
      <c r="M1976" s="116">
        <v>1333.7</v>
      </c>
      <c r="N1976" s="116">
        <v>1349.9</v>
      </c>
      <c r="O1976" s="116">
        <v>1329.6</v>
      </c>
      <c r="P1976" s="116">
        <v>1340</v>
      </c>
      <c r="Q1976" s="116">
        <v>1333.7</v>
      </c>
      <c r="R1976">
        <v>15776</v>
      </c>
    </row>
    <row r="1977" spans="1:18" x14ac:dyDescent="0.25">
      <c r="A1977" s="170">
        <v>44915</v>
      </c>
      <c r="B1977" s="116">
        <v>1335.7</v>
      </c>
      <c r="C1977" s="116">
        <v>1329.3</v>
      </c>
      <c r="D1977" s="116">
        <v>1323</v>
      </c>
      <c r="E1977" s="116">
        <v>1335.7</v>
      </c>
      <c r="F1977" s="116">
        <v>1329.3</v>
      </c>
      <c r="G1977">
        <v>1459</v>
      </c>
      <c r="H1977" s="116"/>
      <c r="I1977" s="116"/>
      <c r="L1977" s="170">
        <v>44915</v>
      </c>
      <c r="M1977" s="116">
        <v>1329.35</v>
      </c>
      <c r="N1977" s="116">
        <v>1345</v>
      </c>
      <c r="O1977" s="116">
        <v>1322.5</v>
      </c>
      <c r="P1977" s="116">
        <v>1337.7</v>
      </c>
      <c r="Q1977" s="116">
        <v>1329.35</v>
      </c>
      <c r="R1977">
        <v>16813</v>
      </c>
    </row>
    <row r="1978" spans="1:18" x14ac:dyDescent="0.25">
      <c r="A1978" s="170">
        <v>44916</v>
      </c>
      <c r="B1978" s="116">
        <v>1350.55</v>
      </c>
      <c r="C1978" s="116">
        <v>1344.35</v>
      </c>
      <c r="D1978" s="116">
        <v>1327.5</v>
      </c>
      <c r="E1978" s="116">
        <v>1335.05</v>
      </c>
      <c r="F1978" s="116">
        <v>1344.35</v>
      </c>
      <c r="G1978">
        <v>1742</v>
      </c>
      <c r="H1978" s="116"/>
      <c r="I1978" s="116"/>
      <c r="L1978" s="170">
        <v>44916</v>
      </c>
      <c r="M1978" s="116">
        <v>1345.1</v>
      </c>
      <c r="N1978" s="116">
        <v>1353</v>
      </c>
      <c r="O1978" s="116">
        <v>1327.5</v>
      </c>
      <c r="P1978" s="116">
        <v>1330</v>
      </c>
      <c r="Q1978" s="116">
        <v>1345.1</v>
      </c>
      <c r="R1978">
        <v>36766</v>
      </c>
    </row>
    <row r="1979" spans="1:18" x14ac:dyDescent="0.25">
      <c r="A1979" s="170">
        <v>44917</v>
      </c>
      <c r="B1979" s="116">
        <v>1357.85</v>
      </c>
      <c r="C1979" s="116">
        <v>1341.1</v>
      </c>
      <c r="D1979" s="116">
        <v>1326.7</v>
      </c>
      <c r="E1979" s="116">
        <v>1357.85</v>
      </c>
      <c r="F1979" s="116">
        <v>1341.1</v>
      </c>
      <c r="G1979">
        <v>2237</v>
      </c>
      <c r="H1979" s="116"/>
      <c r="I1979" s="116"/>
      <c r="L1979" s="170">
        <v>44917</v>
      </c>
      <c r="M1979" s="116">
        <v>1344.8</v>
      </c>
      <c r="N1979" s="116">
        <v>1355.95</v>
      </c>
      <c r="O1979" s="116">
        <v>1325</v>
      </c>
      <c r="P1979" s="116">
        <v>1345.1</v>
      </c>
      <c r="Q1979" s="116">
        <v>1344.8</v>
      </c>
      <c r="R1979">
        <v>34879</v>
      </c>
    </row>
    <row r="1980" spans="1:18" x14ac:dyDescent="0.25">
      <c r="A1980" s="170">
        <v>44918</v>
      </c>
      <c r="B1980" s="116">
        <v>1348</v>
      </c>
      <c r="C1980" s="116">
        <v>1336.65</v>
      </c>
      <c r="D1980" s="116">
        <v>1325.35</v>
      </c>
      <c r="E1980" s="116">
        <v>1347.95</v>
      </c>
      <c r="F1980" s="116">
        <v>1336.65</v>
      </c>
      <c r="G1980">
        <v>2433</v>
      </c>
      <c r="H1980" s="116"/>
      <c r="I1980" s="116"/>
      <c r="L1980" s="170">
        <v>44918</v>
      </c>
      <c r="M1980" s="116">
        <v>1340.2</v>
      </c>
      <c r="N1980" s="116">
        <v>1350</v>
      </c>
      <c r="O1980" s="116">
        <v>1320</v>
      </c>
      <c r="P1980" s="116">
        <v>1344.8</v>
      </c>
      <c r="Q1980" s="116">
        <v>1340.2</v>
      </c>
      <c r="R1980">
        <v>35876</v>
      </c>
    </row>
    <row r="1981" spans="1:18" x14ac:dyDescent="0.25">
      <c r="A1981" s="170">
        <v>44921</v>
      </c>
      <c r="B1981" s="116">
        <v>1349.95</v>
      </c>
      <c r="C1981" s="116">
        <v>1329.8</v>
      </c>
      <c r="D1981" s="116">
        <v>1327.6</v>
      </c>
      <c r="E1981" s="116">
        <v>1349.95</v>
      </c>
      <c r="F1981" s="116">
        <v>1329.8</v>
      </c>
      <c r="G1981">
        <v>1163</v>
      </c>
      <c r="H1981" s="116"/>
      <c r="I1981" s="116"/>
      <c r="L1981" s="170">
        <v>44921</v>
      </c>
      <c r="M1981" s="116">
        <v>1330.85</v>
      </c>
      <c r="N1981" s="116">
        <v>1345.65</v>
      </c>
      <c r="O1981" s="116">
        <v>1327.1</v>
      </c>
      <c r="P1981" s="116">
        <v>1340.2</v>
      </c>
      <c r="Q1981" s="116">
        <v>1330.85</v>
      </c>
      <c r="R1981">
        <v>20571</v>
      </c>
    </row>
    <row r="1982" spans="1:18" x14ac:dyDescent="0.25">
      <c r="A1982" s="170">
        <v>44922</v>
      </c>
      <c r="B1982" s="116">
        <v>1339.45</v>
      </c>
      <c r="C1982" s="116">
        <v>1330.45</v>
      </c>
      <c r="D1982" s="116">
        <v>1326</v>
      </c>
      <c r="E1982" s="116">
        <v>1335.95</v>
      </c>
      <c r="F1982" s="116">
        <v>1330.45</v>
      </c>
      <c r="G1982">
        <v>1611</v>
      </c>
      <c r="H1982" s="116"/>
      <c r="I1982" s="116"/>
      <c r="L1982" s="170">
        <v>44922</v>
      </c>
      <c r="M1982" s="116">
        <v>1330.3</v>
      </c>
      <c r="N1982" s="116">
        <v>1339.75</v>
      </c>
      <c r="O1982" s="116">
        <v>1325</v>
      </c>
      <c r="P1982" s="116">
        <v>1337.6</v>
      </c>
      <c r="Q1982" s="116">
        <v>1330.3</v>
      </c>
      <c r="R1982">
        <v>16596</v>
      </c>
    </row>
    <row r="1983" spans="1:18" x14ac:dyDescent="0.25">
      <c r="A1983" s="170">
        <v>44923</v>
      </c>
      <c r="B1983" s="116">
        <v>1342.95</v>
      </c>
      <c r="C1983" s="116">
        <v>1330.3</v>
      </c>
      <c r="D1983" s="116">
        <v>1325</v>
      </c>
      <c r="E1983" s="116">
        <v>1342.95</v>
      </c>
      <c r="F1983" s="116">
        <v>1330.3</v>
      </c>
      <c r="G1983">
        <v>1197</v>
      </c>
      <c r="H1983" s="116"/>
      <c r="I1983" s="116"/>
      <c r="L1983" s="170">
        <v>44923</v>
      </c>
      <c r="M1983" s="116">
        <v>1331.3</v>
      </c>
      <c r="N1983" s="116">
        <v>1338.1</v>
      </c>
      <c r="O1983" s="116">
        <v>1324.9</v>
      </c>
      <c r="P1983" s="116">
        <v>1328.35</v>
      </c>
      <c r="Q1983" s="116">
        <v>1331.3</v>
      </c>
      <c r="R1983">
        <v>12743</v>
      </c>
    </row>
    <row r="1984" spans="1:18" x14ac:dyDescent="0.25">
      <c r="A1984" s="170">
        <v>44924</v>
      </c>
      <c r="B1984" s="116">
        <v>1348</v>
      </c>
      <c r="C1984" s="116">
        <v>1341.1</v>
      </c>
      <c r="D1984" s="116">
        <v>1323.6</v>
      </c>
      <c r="E1984" s="116">
        <v>1332.95</v>
      </c>
      <c r="F1984" s="116">
        <v>1341.1</v>
      </c>
      <c r="G1984">
        <v>1031</v>
      </c>
      <c r="H1984" s="116"/>
      <c r="I1984" s="116"/>
      <c r="L1984" s="170">
        <v>44924</v>
      </c>
      <c r="M1984" s="116">
        <v>1342.05</v>
      </c>
      <c r="N1984" s="116">
        <v>1348</v>
      </c>
      <c r="O1984" s="116">
        <v>1323.25</v>
      </c>
      <c r="P1984" s="116">
        <v>1331.4</v>
      </c>
      <c r="Q1984" s="116">
        <v>1342.05</v>
      </c>
      <c r="R1984">
        <v>23246</v>
      </c>
    </row>
    <row r="1985" spans="1:18" x14ac:dyDescent="0.25">
      <c r="A1985" s="170">
        <v>44925</v>
      </c>
      <c r="B1985" s="116">
        <v>1344.65</v>
      </c>
      <c r="C1985" s="116">
        <v>1318.9</v>
      </c>
      <c r="D1985" s="116">
        <v>1306.6500000000001</v>
      </c>
      <c r="E1985" s="116">
        <v>1342</v>
      </c>
      <c r="F1985" s="116">
        <v>1318.9</v>
      </c>
      <c r="G1985">
        <v>2993</v>
      </c>
      <c r="H1985" s="116"/>
      <c r="I1985" s="116"/>
      <c r="L1985" s="170">
        <v>44925</v>
      </c>
      <c r="M1985" s="116">
        <v>1318.75</v>
      </c>
      <c r="N1985" s="116">
        <v>1344.6</v>
      </c>
      <c r="O1985" s="116">
        <v>1308</v>
      </c>
      <c r="P1985" s="116">
        <v>1344.05</v>
      </c>
      <c r="Q1985" s="116">
        <v>1318.75</v>
      </c>
      <c r="R1985">
        <v>52554</v>
      </c>
    </row>
    <row r="1986" spans="1:18" x14ac:dyDescent="0.25">
      <c r="A1986" s="170">
        <v>44928</v>
      </c>
      <c r="B1986" s="116">
        <v>1324.4</v>
      </c>
      <c r="C1986" s="116">
        <v>1317.1</v>
      </c>
      <c r="D1986" s="116">
        <v>1306.6500000000001</v>
      </c>
      <c r="E1986" s="116">
        <v>1306.6500000000001</v>
      </c>
      <c r="F1986" s="116">
        <v>1317.1</v>
      </c>
      <c r="G1986">
        <v>3035</v>
      </c>
      <c r="H1986" s="116"/>
      <c r="I1986" s="116"/>
      <c r="L1986" s="170">
        <v>44928</v>
      </c>
      <c r="M1986" s="116">
        <v>1316.3</v>
      </c>
      <c r="N1986" s="116">
        <v>1329.85</v>
      </c>
      <c r="O1986" s="116">
        <v>1300</v>
      </c>
      <c r="P1986" s="116">
        <v>1300</v>
      </c>
      <c r="Q1986" s="116">
        <v>1316.3</v>
      </c>
      <c r="R1986">
        <v>31461</v>
      </c>
    </row>
    <row r="1987" spans="1:18" x14ac:dyDescent="0.25">
      <c r="A1987" s="170">
        <v>44929</v>
      </c>
      <c r="B1987" s="116">
        <v>1328.95</v>
      </c>
      <c r="C1987" s="116">
        <v>1303.75</v>
      </c>
      <c r="D1987" s="116">
        <v>1299</v>
      </c>
      <c r="E1987" s="116">
        <v>1328.95</v>
      </c>
      <c r="F1987" s="116">
        <v>1303.75</v>
      </c>
      <c r="G1987">
        <v>4508</v>
      </c>
      <c r="H1987" s="116"/>
      <c r="I1987" s="116"/>
      <c r="L1987" s="170">
        <v>44929</v>
      </c>
      <c r="M1987" s="116">
        <v>1303.8499999999999</v>
      </c>
      <c r="N1987" s="116">
        <v>1324.65</v>
      </c>
      <c r="O1987" s="116">
        <v>1298.8</v>
      </c>
      <c r="P1987" s="116">
        <v>1318</v>
      </c>
      <c r="Q1987" s="116">
        <v>1303.8499999999999</v>
      </c>
      <c r="R1987">
        <v>50982</v>
      </c>
    </row>
    <row r="1988" spans="1:18" x14ac:dyDescent="0.25">
      <c r="A1988" s="170">
        <v>44930</v>
      </c>
      <c r="B1988" s="116">
        <v>1314.85</v>
      </c>
      <c r="C1988" s="116">
        <v>1302.3499999999999</v>
      </c>
      <c r="D1988" s="116">
        <v>1298</v>
      </c>
      <c r="E1988" s="116">
        <v>1314.85</v>
      </c>
      <c r="F1988" s="116">
        <v>1302.3499999999999</v>
      </c>
      <c r="G1988">
        <v>1728</v>
      </c>
      <c r="H1988" s="116"/>
      <c r="I1988" s="116"/>
      <c r="L1988" s="170">
        <v>44930</v>
      </c>
      <c r="M1988" s="116">
        <v>1301.95</v>
      </c>
      <c r="N1988" s="116">
        <v>1309.95</v>
      </c>
      <c r="O1988" s="116">
        <v>1297.8499999999999</v>
      </c>
      <c r="P1988" s="116">
        <v>1305.8499999999999</v>
      </c>
      <c r="Q1988" s="116">
        <v>1301.95</v>
      </c>
      <c r="R1988">
        <v>20898</v>
      </c>
    </row>
    <row r="1989" spans="1:18" x14ac:dyDescent="0.25">
      <c r="A1989" s="170">
        <v>44931</v>
      </c>
      <c r="B1989" s="116">
        <v>1306.9000000000001</v>
      </c>
      <c r="C1989" s="116">
        <v>1301.25</v>
      </c>
      <c r="D1989" s="116">
        <v>1300</v>
      </c>
      <c r="E1989" s="116">
        <v>1300.05</v>
      </c>
      <c r="F1989" s="116">
        <v>1301.25</v>
      </c>
      <c r="G1989">
        <v>3163</v>
      </c>
      <c r="H1989" s="116"/>
      <c r="I1989" s="116"/>
      <c r="L1989" s="170">
        <v>44931</v>
      </c>
      <c r="M1989" s="116">
        <v>1302.25</v>
      </c>
      <c r="N1989" s="116">
        <v>1306.75</v>
      </c>
      <c r="O1989" s="116">
        <v>1299.5</v>
      </c>
      <c r="P1989" s="116">
        <v>1299.5</v>
      </c>
      <c r="Q1989" s="116">
        <v>1302.25</v>
      </c>
      <c r="R1989">
        <v>20011</v>
      </c>
    </row>
    <row r="1990" spans="1:18" x14ac:dyDescent="0.25">
      <c r="A1990" s="170">
        <v>44932</v>
      </c>
      <c r="B1990" s="116">
        <v>1304.8499999999999</v>
      </c>
      <c r="C1990" s="116">
        <v>1302.3</v>
      </c>
      <c r="D1990" s="116">
        <v>1298</v>
      </c>
      <c r="E1990" s="116">
        <v>1301.3</v>
      </c>
      <c r="F1990" s="116">
        <v>1302.3</v>
      </c>
      <c r="G1990">
        <v>1598</v>
      </c>
      <c r="H1990" s="116"/>
      <c r="I1990" s="116"/>
      <c r="L1990" s="170">
        <v>44932</v>
      </c>
      <c r="M1990" s="116">
        <v>1300.8499999999999</v>
      </c>
      <c r="N1990" s="116">
        <v>1305.3</v>
      </c>
      <c r="O1990" s="116">
        <v>1298</v>
      </c>
      <c r="P1990" s="116">
        <v>1301.5999999999999</v>
      </c>
      <c r="Q1990" s="116">
        <v>1300.8499999999999</v>
      </c>
      <c r="R1990">
        <v>14938</v>
      </c>
    </row>
    <row r="1991" spans="1:18" x14ac:dyDescent="0.25">
      <c r="A1991" s="170">
        <v>44935</v>
      </c>
      <c r="B1991" s="116">
        <v>1312.45</v>
      </c>
      <c r="C1991" s="116">
        <v>1298.5999999999999</v>
      </c>
      <c r="D1991" s="116">
        <v>1295.25</v>
      </c>
      <c r="E1991" s="116">
        <v>1301</v>
      </c>
      <c r="F1991" s="116">
        <v>1298.5999999999999</v>
      </c>
      <c r="G1991">
        <v>2735</v>
      </c>
      <c r="H1991" s="116"/>
      <c r="I1991" s="116"/>
      <c r="L1991" s="170">
        <v>44935</v>
      </c>
      <c r="M1991" s="116">
        <v>1298</v>
      </c>
      <c r="N1991" s="116">
        <v>1311.9</v>
      </c>
      <c r="O1991" s="116">
        <v>1296</v>
      </c>
      <c r="P1991" s="116">
        <v>1306</v>
      </c>
      <c r="Q1991" s="116">
        <v>1298</v>
      </c>
      <c r="R1991">
        <v>21046</v>
      </c>
    </row>
    <row r="1992" spans="1:18" x14ac:dyDescent="0.25">
      <c r="A1992" s="170">
        <v>44936</v>
      </c>
      <c r="B1992" s="116">
        <v>1309.1500000000001</v>
      </c>
      <c r="C1992" s="116">
        <v>1307.3</v>
      </c>
      <c r="D1992" s="116">
        <v>1295.7</v>
      </c>
      <c r="E1992" s="116">
        <v>1302.9000000000001</v>
      </c>
      <c r="F1992" s="116">
        <v>1307.3</v>
      </c>
      <c r="G1992">
        <v>1829</v>
      </c>
      <c r="H1992" s="116"/>
      <c r="I1992" s="116"/>
      <c r="L1992" s="170">
        <v>44936</v>
      </c>
      <c r="M1992" s="116">
        <v>1305.3</v>
      </c>
      <c r="N1992" s="116">
        <v>1309.8499999999999</v>
      </c>
      <c r="O1992" s="116">
        <v>1296</v>
      </c>
      <c r="P1992" s="116">
        <v>1304.7</v>
      </c>
      <c r="Q1992" s="116">
        <v>1305.3</v>
      </c>
      <c r="R1992">
        <v>18298</v>
      </c>
    </row>
    <row r="1993" spans="1:18" x14ac:dyDescent="0.25">
      <c r="A1993" s="170">
        <v>44937</v>
      </c>
      <c r="B1993" s="116">
        <v>1306</v>
      </c>
      <c r="C1993" s="116">
        <v>1300</v>
      </c>
      <c r="D1993" s="116">
        <v>1294.95</v>
      </c>
      <c r="E1993" s="116">
        <v>1300.05</v>
      </c>
      <c r="F1993" s="116">
        <v>1300</v>
      </c>
      <c r="G1993">
        <v>1510</v>
      </c>
      <c r="H1993" s="116"/>
      <c r="I1993" s="116"/>
      <c r="L1993" s="170">
        <v>44937</v>
      </c>
      <c r="M1993" s="116">
        <v>1300.55</v>
      </c>
      <c r="N1993" s="116">
        <v>1304.75</v>
      </c>
      <c r="O1993" s="116">
        <v>1294.3</v>
      </c>
      <c r="P1993" s="116">
        <v>1304.75</v>
      </c>
      <c r="Q1993" s="116">
        <v>1300.55</v>
      </c>
      <c r="R1993">
        <v>21610</v>
      </c>
    </row>
    <row r="1994" spans="1:18" x14ac:dyDescent="0.25">
      <c r="A1994" s="170">
        <v>44938</v>
      </c>
      <c r="B1994" s="116">
        <v>1318.75</v>
      </c>
      <c r="C1994" s="116">
        <v>1316.75</v>
      </c>
      <c r="D1994" s="116">
        <v>1299.4000000000001</v>
      </c>
      <c r="E1994" s="116">
        <v>1304.95</v>
      </c>
      <c r="F1994" s="116">
        <v>1316.75</v>
      </c>
      <c r="G1994">
        <v>1315</v>
      </c>
      <c r="H1994" s="116"/>
      <c r="I1994" s="116"/>
      <c r="L1994" s="170">
        <v>44938</v>
      </c>
      <c r="M1994" s="116">
        <v>1317.05</v>
      </c>
      <c r="N1994" s="116">
        <v>1319.9</v>
      </c>
      <c r="O1994" s="116">
        <v>1298.8499999999999</v>
      </c>
      <c r="P1994" s="116">
        <v>1301</v>
      </c>
      <c r="Q1994" s="116">
        <v>1317.05</v>
      </c>
      <c r="R1994">
        <v>267997</v>
      </c>
    </row>
    <row r="1995" spans="1:18" x14ac:dyDescent="0.25">
      <c r="A1995" s="170">
        <v>44939</v>
      </c>
      <c r="B1995" s="116">
        <v>1318.15</v>
      </c>
      <c r="C1995" s="116">
        <v>1307.8</v>
      </c>
      <c r="D1995" s="116">
        <v>1301.4000000000001</v>
      </c>
      <c r="E1995" s="116">
        <v>1318.15</v>
      </c>
      <c r="F1995" s="116">
        <v>1307.8</v>
      </c>
      <c r="G1995">
        <v>855</v>
      </c>
      <c r="H1995" s="116"/>
      <c r="I1995" s="116"/>
      <c r="L1995" s="170">
        <v>44939</v>
      </c>
      <c r="M1995" s="116">
        <v>1304.7</v>
      </c>
      <c r="N1995" s="116">
        <v>1320</v>
      </c>
      <c r="O1995" s="116">
        <v>1301</v>
      </c>
      <c r="P1995" s="116">
        <v>1320</v>
      </c>
      <c r="Q1995" s="116">
        <v>1304.7</v>
      </c>
      <c r="R1995">
        <v>16471</v>
      </c>
    </row>
    <row r="1996" spans="1:18" x14ac:dyDescent="0.25">
      <c r="A1996" s="170">
        <v>44942</v>
      </c>
      <c r="B1996" s="116">
        <v>1319.95</v>
      </c>
      <c r="C1996" s="116">
        <v>1302.45</v>
      </c>
      <c r="D1996" s="116">
        <v>1298.5999999999999</v>
      </c>
      <c r="E1996" s="116">
        <v>1319.95</v>
      </c>
      <c r="F1996" s="116">
        <v>1302.45</v>
      </c>
      <c r="G1996">
        <v>1347</v>
      </c>
      <c r="H1996" s="116"/>
      <c r="I1996" s="116"/>
      <c r="L1996" s="170">
        <v>44942</v>
      </c>
      <c r="M1996" s="116">
        <v>1302.1500000000001</v>
      </c>
      <c r="N1996" s="116">
        <v>1308.5</v>
      </c>
      <c r="O1996" s="116">
        <v>1298.55</v>
      </c>
      <c r="P1996" s="116">
        <v>1306.7</v>
      </c>
      <c r="Q1996" s="116">
        <v>1302.1500000000001</v>
      </c>
      <c r="R1996">
        <v>10687</v>
      </c>
    </row>
    <row r="1997" spans="1:18" x14ac:dyDescent="0.25">
      <c r="A1997" s="170">
        <v>44943</v>
      </c>
      <c r="B1997" s="116">
        <v>1310</v>
      </c>
      <c r="C1997" s="116">
        <v>1304.5</v>
      </c>
      <c r="D1997" s="116">
        <v>1299.4000000000001</v>
      </c>
      <c r="E1997" s="116">
        <v>1303</v>
      </c>
      <c r="F1997" s="116">
        <v>1304.5</v>
      </c>
      <c r="G1997">
        <v>1200</v>
      </c>
      <c r="H1997" s="116"/>
      <c r="I1997" s="116"/>
      <c r="L1997" s="170">
        <v>44943</v>
      </c>
      <c r="M1997" s="116">
        <v>1305.45</v>
      </c>
      <c r="N1997" s="116">
        <v>1309.8499999999999</v>
      </c>
      <c r="O1997" s="116">
        <v>1299.0999999999999</v>
      </c>
      <c r="P1997" s="116">
        <v>1302.05</v>
      </c>
      <c r="Q1997" s="116">
        <v>1305.45</v>
      </c>
      <c r="R1997">
        <v>13909</v>
      </c>
    </row>
    <row r="1998" spans="1:18" x14ac:dyDescent="0.25">
      <c r="A1998" s="170">
        <v>44944</v>
      </c>
      <c r="B1998" s="116">
        <v>1307.95</v>
      </c>
      <c r="C1998" s="116">
        <v>1304.8499999999999</v>
      </c>
      <c r="D1998" s="116">
        <v>1300.8499999999999</v>
      </c>
      <c r="E1998" s="116">
        <v>1301.4000000000001</v>
      </c>
      <c r="F1998" s="116">
        <v>1304.8499999999999</v>
      </c>
      <c r="G1998">
        <v>1895</v>
      </c>
      <c r="H1998" s="116"/>
      <c r="I1998" s="116"/>
      <c r="L1998" s="170">
        <v>44944</v>
      </c>
      <c r="M1998" s="116">
        <v>1304.7</v>
      </c>
      <c r="N1998" s="116">
        <v>1308.05</v>
      </c>
      <c r="O1998" s="116">
        <v>1300.6500000000001</v>
      </c>
      <c r="P1998" s="116">
        <v>1305.45</v>
      </c>
      <c r="Q1998" s="116">
        <v>1304.7</v>
      </c>
      <c r="R1998">
        <v>80059</v>
      </c>
    </row>
    <row r="1999" spans="1:18" x14ac:dyDescent="0.25">
      <c r="A1999" s="170">
        <v>44945</v>
      </c>
      <c r="B1999" s="116">
        <v>1310.2</v>
      </c>
      <c r="C1999" s="116">
        <v>1297.95</v>
      </c>
      <c r="D1999" s="116">
        <v>1295</v>
      </c>
      <c r="E1999" s="116">
        <v>1308.05</v>
      </c>
      <c r="F1999" s="116">
        <v>1297.95</v>
      </c>
      <c r="G1999">
        <v>2096</v>
      </c>
      <c r="H1999" s="116"/>
      <c r="I1999" s="116"/>
      <c r="L1999" s="170">
        <v>44945</v>
      </c>
      <c r="M1999" s="116">
        <v>1298.1500000000001</v>
      </c>
      <c r="N1999" s="116">
        <v>1312.25</v>
      </c>
      <c r="O1999" s="116">
        <v>1294.3</v>
      </c>
      <c r="P1999" s="116">
        <v>1304.3</v>
      </c>
      <c r="Q1999" s="116">
        <v>1298.1500000000001</v>
      </c>
      <c r="R1999">
        <v>21228</v>
      </c>
    </row>
    <row r="2000" spans="1:18" x14ac:dyDescent="0.25">
      <c r="A2000" s="170">
        <v>44946</v>
      </c>
      <c r="B2000" s="116">
        <v>1304.05</v>
      </c>
      <c r="C2000" s="116">
        <v>1290.3</v>
      </c>
      <c r="D2000" s="116">
        <v>1287.45</v>
      </c>
      <c r="E2000" s="116">
        <v>1295.05</v>
      </c>
      <c r="F2000" s="116">
        <v>1290.3</v>
      </c>
      <c r="G2000">
        <v>1759</v>
      </c>
      <c r="H2000" s="116"/>
      <c r="I2000" s="116"/>
      <c r="L2000" s="170">
        <v>44946</v>
      </c>
      <c r="M2000" s="116">
        <v>1289.2</v>
      </c>
      <c r="N2000" s="116">
        <v>1303.3</v>
      </c>
      <c r="O2000" s="116">
        <v>1287.4000000000001</v>
      </c>
      <c r="P2000" s="116">
        <v>1298.1500000000001</v>
      </c>
      <c r="Q2000" s="116">
        <v>1289.2</v>
      </c>
      <c r="R2000">
        <v>21549</v>
      </c>
    </row>
    <row r="2001" spans="1:18" x14ac:dyDescent="0.25">
      <c r="A2001" s="170">
        <v>44949</v>
      </c>
      <c r="B2001" s="116">
        <v>1295.6500000000001</v>
      </c>
      <c r="C2001" s="116">
        <v>1277.6500000000001</v>
      </c>
      <c r="D2001" s="116">
        <v>1272</v>
      </c>
      <c r="E2001" s="116">
        <v>1292.5999999999999</v>
      </c>
      <c r="F2001" s="116">
        <v>1277.6500000000001</v>
      </c>
      <c r="G2001">
        <v>3460</v>
      </c>
      <c r="H2001" s="116"/>
      <c r="I2001" s="116"/>
      <c r="L2001" s="170">
        <v>44949</v>
      </c>
      <c r="M2001" s="116">
        <v>1277.6500000000001</v>
      </c>
      <c r="N2001" s="116">
        <v>1295.55</v>
      </c>
      <c r="O2001" s="116">
        <v>1275</v>
      </c>
      <c r="P2001" s="116">
        <v>1295.1500000000001</v>
      </c>
      <c r="Q2001" s="116">
        <v>1277.6500000000001</v>
      </c>
      <c r="R2001">
        <v>24246</v>
      </c>
    </row>
    <row r="2002" spans="1:18" x14ac:dyDescent="0.25">
      <c r="A2002" s="170">
        <v>44950</v>
      </c>
      <c r="B2002" s="116">
        <v>1284.75</v>
      </c>
      <c r="C2002" s="116">
        <v>1271.7</v>
      </c>
      <c r="D2002" s="116">
        <v>1270</v>
      </c>
      <c r="E2002" s="116">
        <v>1279.5999999999999</v>
      </c>
      <c r="F2002" s="116">
        <v>1271.7</v>
      </c>
      <c r="G2002">
        <v>2397</v>
      </c>
      <c r="H2002" s="116"/>
      <c r="I2002" s="116"/>
      <c r="L2002" s="170">
        <v>44950</v>
      </c>
      <c r="M2002" s="116">
        <v>1271.25</v>
      </c>
      <c r="N2002" s="116">
        <v>1284</v>
      </c>
      <c r="O2002" s="116">
        <v>1270.05</v>
      </c>
      <c r="P2002" s="116">
        <v>1283.6500000000001</v>
      </c>
      <c r="Q2002" s="116">
        <v>1271.25</v>
      </c>
      <c r="R2002">
        <v>14692</v>
      </c>
    </row>
    <row r="2003" spans="1:18" x14ac:dyDescent="0.25">
      <c r="A2003" s="170">
        <v>44951</v>
      </c>
      <c r="B2003" s="116">
        <v>1281.45</v>
      </c>
      <c r="C2003" s="116">
        <v>1262.95</v>
      </c>
      <c r="D2003" s="116">
        <v>1260</v>
      </c>
      <c r="E2003" s="116">
        <v>1272</v>
      </c>
      <c r="F2003" s="116">
        <v>1262.95</v>
      </c>
      <c r="G2003">
        <v>4996</v>
      </c>
      <c r="H2003" s="116"/>
      <c r="I2003" s="116"/>
      <c r="L2003" s="170">
        <v>44951</v>
      </c>
      <c r="M2003" s="116">
        <v>1262.0999999999999</v>
      </c>
      <c r="N2003" s="116">
        <v>1282</v>
      </c>
      <c r="O2003" s="116">
        <v>1260.0999999999999</v>
      </c>
      <c r="P2003" s="116">
        <v>1271.75</v>
      </c>
      <c r="Q2003" s="116">
        <v>1262.0999999999999</v>
      </c>
      <c r="R2003">
        <v>31463</v>
      </c>
    </row>
    <row r="2004" spans="1:18" x14ac:dyDescent="0.25">
      <c r="A2004" s="170">
        <v>44953</v>
      </c>
      <c r="B2004" s="116">
        <v>1273.2</v>
      </c>
      <c r="C2004" s="116">
        <v>1261.5999999999999</v>
      </c>
      <c r="D2004" s="116">
        <v>1256.1500000000001</v>
      </c>
      <c r="E2004" s="116">
        <v>1265</v>
      </c>
      <c r="F2004" s="116">
        <v>1261.5999999999999</v>
      </c>
      <c r="G2004">
        <v>2926</v>
      </c>
      <c r="H2004" s="116"/>
      <c r="I2004" s="116"/>
      <c r="L2004" s="170">
        <v>44953</v>
      </c>
      <c r="M2004" s="116">
        <v>1263</v>
      </c>
      <c r="N2004" s="116">
        <v>1273.95</v>
      </c>
      <c r="O2004" s="116">
        <v>1257</v>
      </c>
      <c r="P2004" s="116">
        <v>1268.7</v>
      </c>
      <c r="Q2004" s="116">
        <v>1263</v>
      </c>
      <c r="R2004">
        <v>170225</v>
      </c>
    </row>
    <row r="2005" spans="1:18" x14ac:dyDescent="0.25">
      <c r="A2005" s="170">
        <v>44956</v>
      </c>
      <c r="B2005" s="116">
        <v>1271.95</v>
      </c>
      <c r="C2005" s="116">
        <v>1258.6500000000001</v>
      </c>
      <c r="D2005" s="116">
        <v>1256.4000000000001</v>
      </c>
      <c r="E2005" s="116">
        <v>1260</v>
      </c>
      <c r="F2005" s="116">
        <v>1258.6500000000001</v>
      </c>
      <c r="G2005">
        <v>873</v>
      </c>
      <c r="H2005" s="116"/>
      <c r="I2005" s="116"/>
      <c r="L2005" s="170">
        <v>44956</v>
      </c>
      <c r="M2005" s="116">
        <v>1257.6500000000001</v>
      </c>
      <c r="N2005" s="116">
        <v>1271.9000000000001</v>
      </c>
      <c r="O2005" s="116">
        <v>1255</v>
      </c>
      <c r="P2005" s="116">
        <v>1261</v>
      </c>
      <c r="Q2005" s="116">
        <v>1257.6500000000001</v>
      </c>
      <c r="R2005">
        <v>20511</v>
      </c>
    </row>
    <row r="2006" spans="1:18" x14ac:dyDescent="0.25">
      <c r="A2006" s="170">
        <v>44957</v>
      </c>
      <c r="B2006" s="116">
        <v>1274.0999999999999</v>
      </c>
      <c r="C2006" s="116">
        <v>1246.7</v>
      </c>
      <c r="D2006" s="116">
        <v>1245</v>
      </c>
      <c r="E2006" s="116">
        <v>1258.1500000000001</v>
      </c>
      <c r="F2006" s="116">
        <v>1246.7</v>
      </c>
      <c r="G2006">
        <v>3088</v>
      </c>
      <c r="H2006" s="116"/>
      <c r="I2006" s="116"/>
      <c r="L2006" s="170">
        <v>44957</v>
      </c>
      <c r="M2006" s="116">
        <v>1246.2</v>
      </c>
      <c r="N2006" s="116">
        <v>1275.9000000000001</v>
      </c>
      <c r="O2006" s="116">
        <v>1245</v>
      </c>
      <c r="P2006" s="116">
        <v>1255</v>
      </c>
      <c r="Q2006" s="116">
        <v>1246.2</v>
      </c>
      <c r="R2006">
        <v>53037</v>
      </c>
    </row>
    <row r="2007" spans="1:18" x14ac:dyDescent="0.25">
      <c r="A2007" s="170">
        <v>44958</v>
      </c>
      <c r="B2007" s="116">
        <v>1273.95</v>
      </c>
      <c r="C2007" s="116">
        <v>1250.75</v>
      </c>
      <c r="D2007" s="116">
        <v>1242</v>
      </c>
      <c r="E2007" s="116">
        <v>1253.5999999999999</v>
      </c>
      <c r="F2007" s="116">
        <v>1250.75</v>
      </c>
      <c r="G2007">
        <v>6425</v>
      </c>
      <c r="H2007" s="116"/>
      <c r="I2007" s="116"/>
      <c r="L2007" s="170">
        <v>44958</v>
      </c>
      <c r="M2007" s="116">
        <v>1250</v>
      </c>
      <c r="N2007" s="116">
        <v>1267.7</v>
      </c>
      <c r="O2007" s="116">
        <v>1241.5</v>
      </c>
      <c r="P2007" s="116">
        <v>1254.95</v>
      </c>
      <c r="Q2007" s="116">
        <v>1250</v>
      </c>
      <c r="R2007">
        <v>33879</v>
      </c>
    </row>
    <row r="2008" spans="1:18" x14ac:dyDescent="0.25">
      <c r="A2008" s="170">
        <v>44959</v>
      </c>
      <c r="B2008" s="116">
        <v>1251.7</v>
      </c>
      <c r="C2008" s="116">
        <v>1235.45</v>
      </c>
      <c r="D2008" s="116">
        <v>1230.7</v>
      </c>
      <c r="E2008" s="116">
        <v>1242.8499999999999</v>
      </c>
      <c r="F2008" s="116">
        <v>1235.45</v>
      </c>
      <c r="G2008">
        <v>2973</v>
      </c>
      <c r="H2008" s="116"/>
      <c r="I2008" s="116"/>
      <c r="L2008" s="170">
        <v>44959</v>
      </c>
      <c r="M2008" s="116">
        <v>1235.25</v>
      </c>
      <c r="N2008" s="116">
        <v>1252</v>
      </c>
      <c r="O2008" s="116">
        <v>1231</v>
      </c>
      <c r="P2008" s="116">
        <v>1252</v>
      </c>
      <c r="Q2008" s="116">
        <v>1235.25</v>
      </c>
      <c r="R2008">
        <v>19940</v>
      </c>
    </row>
    <row r="2009" spans="1:18" x14ac:dyDescent="0.25">
      <c r="A2009" s="170">
        <v>44960</v>
      </c>
      <c r="B2009" s="116">
        <v>1255.9000000000001</v>
      </c>
      <c r="C2009" s="116">
        <v>1245</v>
      </c>
      <c r="D2009" s="116">
        <v>1231.1500000000001</v>
      </c>
      <c r="E2009" s="116">
        <v>1231.1500000000001</v>
      </c>
      <c r="F2009" s="116">
        <v>1245</v>
      </c>
      <c r="G2009">
        <v>3782</v>
      </c>
      <c r="H2009" s="116"/>
      <c r="I2009" s="116"/>
      <c r="L2009" s="170">
        <v>44960</v>
      </c>
      <c r="M2009" s="116">
        <v>1245.0999999999999</v>
      </c>
      <c r="N2009" s="116">
        <v>1248.9000000000001</v>
      </c>
      <c r="O2009" s="116">
        <v>1231</v>
      </c>
      <c r="P2009" s="116">
        <v>1237.0999999999999</v>
      </c>
      <c r="Q2009" s="116">
        <v>1245.0999999999999</v>
      </c>
      <c r="R2009">
        <v>18635</v>
      </c>
    </row>
    <row r="2010" spans="1:18" x14ac:dyDescent="0.25">
      <c r="A2010" s="170">
        <v>44963</v>
      </c>
      <c r="B2010" s="116">
        <v>1253.95</v>
      </c>
      <c r="C2010" s="116">
        <v>1238.5</v>
      </c>
      <c r="D2010" s="116">
        <v>1235</v>
      </c>
      <c r="E2010" s="116">
        <v>1245</v>
      </c>
      <c r="F2010" s="116">
        <v>1238.5</v>
      </c>
      <c r="G2010">
        <v>2246</v>
      </c>
      <c r="H2010" s="116"/>
      <c r="I2010" s="116"/>
      <c r="L2010" s="170">
        <v>44963</v>
      </c>
      <c r="M2010" s="116">
        <v>1237.8499999999999</v>
      </c>
      <c r="N2010" s="116">
        <v>1254.95</v>
      </c>
      <c r="O2010" s="116">
        <v>1235</v>
      </c>
      <c r="P2010" s="116">
        <v>1247.0999999999999</v>
      </c>
      <c r="Q2010" s="116">
        <v>1237.8499999999999</v>
      </c>
      <c r="R2010">
        <v>23210</v>
      </c>
    </row>
    <row r="2011" spans="1:18" x14ac:dyDescent="0.25">
      <c r="A2011" s="170">
        <v>44964</v>
      </c>
      <c r="B2011" s="116">
        <v>1253.6500000000001</v>
      </c>
      <c r="C2011" s="116">
        <v>1239.6500000000001</v>
      </c>
      <c r="D2011" s="116">
        <v>1234.5</v>
      </c>
      <c r="E2011" s="116">
        <v>1244.95</v>
      </c>
      <c r="F2011" s="116">
        <v>1239.6500000000001</v>
      </c>
      <c r="G2011">
        <v>5840</v>
      </c>
      <c r="H2011" s="116"/>
      <c r="I2011" s="116"/>
      <c r="L2011" s="170">
        <v>44964</v>
      </c>
      <c r="M2011" s="116">
        <v>1240.1500000000001</v>
      </c>
      <c r="N2011" s="116">
        <v>1253</v>
      </c>
      <c r="O2011" s="116">
        <v>1235</v>
      </c>
      <c r="P2011" s="116">
        <v>1239.9000000000001</v>
      </c>
      <c r="Q2011" s="116">
        <v>1240.1500000000001</v>
      </c>
      <c r="R2011">
        <v>37493</v>
      </c>
    </row>
    <row r="2012" spans="1:18" x14ac:dyDescent="0.25">
      <c r="A2012" s="170">
        <v>44965</v>
      </c>
      <c r="B2012" s="116">
        <v>1285.3</v>
      </c>
      <c r="C2012" s="116">
        <v>1278.95</v>
      </c>
      <c r="D2012" s="116">
        <v>1239.05</v>
      </c>
      <c r="E2012" s="116">
        <v>1244.25</v>
      </c>
      <c r="F2012" s="116">
        <v>1278.95</v>
      </c>
      <c r="G2012">
        <v>2262</v>
      </c>
      <c r="H2012" s="116"/>
      <c r="I2012" s="116"/>
      <c r="L2012" s="170">
        <v>44965</v>
      </c>
      <c r="M2012" s="116">
        <v>1279</v>
      </c>
      <c r="N2012" s="116">
        <v>1283</v>
      </c>
      <c r="O2012" s="116">
        <v>1239.05</v>
      </c>
      <c r="P2012" s="116">
        <v>1242.1500000000001</v>
      </c>
      <c r="Q2012" s="116">
        <v>1279</v>
      </c>
      <c r="R2012">
        <v>196020</v>
      </c>
    </row>
    <row r="2013" spans="1:18" x14ac:dyDescent="0.25">
      <c r="A2013" s="170">
        <v>44966</v>
      </c>
      <c r="B2013" s="116">
        <v>1290.45</v>
      </c>
      <c r="C2013" s="116">
        <v>1264.7</v>
      </c>
      <c r="D2013" s="116">
        <v>1260.3</v>
      </c>
      <c r="E2013" s="116">
        <v>1283.7</v>
      </c>
      <c r="F2013" s="116">
        <v>1264.7</v>
      </c>
      <c r="G2013">
        <v>3201</v>
      </c>
      <c r="H2013" s="116"/>
      <c r="I2013" s="116"/>
      <c r="L2013" s="170">
        <v>44966</v>
      </c>
      <c r="M2013" s="116">
        <v>1266.1500000000001</v>
      </c>
      <c r="N2013" s="116">
        <v>1292.9000000000001</v>
      </c>
      <c r="O2013" s="116">
        <v>1260.3</v>
      </c>
      <c r="P2013" s="116">
        <v>1290</v>
      </c>
      <c r="Q2013" s="116">
        <v>1266.1500000000001</v>
      </c>
      <c r="R2013">
        <v>24116</v>
      </c>
    </row>
    <row r="2014" spans="1:18" x14ac:dyDescent="0.25">
      <c r="A2014" s="170">
        <v>44967</v>
      </c>
      <c r="B2014" s="116">
        <v>1291.1500000000001</v>
      </c>
      <c r="C2014" s="116">
        <v>1251.45</v>
      </c>
      <c r="D2014" s="116">
        <v>1250</v>
      </c>
      <c r="E2014" s="116">
        <v>1267.6500000000001</v>
      </c>
      <c r="F2014" s="116">
        <v>1251.45</v>
      </c>
      <c r="G2014">
        <v>3486</v>
      </c>
      <c r="H2014" s="116"/>
      <c r="I2014" s="116"/>
      <c r="L2014" s="170">
        <v>44967</v>
      </c>
      <c r="M2014" s="116">
        <v>1252.5999999999999</v>
      </c>
      <c r="N2014" s="116">
        <v>1291.9000000000001</v>
      </c>
      <c r="O2014" s="116">
        <v>1250.0999999999999</v>
      </c>
      <c r="P2014" s="116">
        <v>1272.1500000000001</v>
      </c>
      <c r="Q2014" s="116">
        <v>1252.5999999999999</v>
      </c>
      <c r="R2014">
        <v>74406</v>
      </c>
    </row>
    <row r="2015" spans="1:18" x14ac:dyDescent="0.25">
      <c r="A2015" s="170">
        <v>44970</v>
      </c>
      <c r="B2015" s="116">
        <v>1267.95</v>
      </c>
      <c r="C2015" s="116">
        <v>1258.8</v>
      </c>
      <c r="D2015" s="116">
        <v>1245</v>
      </c>
      <c r="E2015" s="116">
        <v>1250</v>
      </c>
      <c r="F2015" s="116">
        <v>1258.8</v>
      </c>
      <c r="G2015">
        <v>1981</v>
      </c>
      <c r="H2015" s="116"/>
      <c r="I2015" s="116"/>
      <c r="L2015" s="170">
        <v>44970</v>
      </c>
      <c r="M2015" s="116">
        <v>1258.8</v>
      </c>
      <c r="N2015" s="116">
        <v>1268</v>
      </c>
      <c r="O2015" s="116">
        <v>1242.05</v>
      </c>
      <c r="P2015" s="116">
        <v>1255</v>
      </c>
      <c r="Q2015" s="116">
        <v>1258.8</v>
      </c>
      <c r="R2015">
        <v>21218</v>
      </c>
    </row>
    <row r="2016" spans="1:18" x14ac:dyDescent="0.25">
      <c r="A2016" s="170">
        <v>44971</v>
      </c>
      <c r="B2016" s="116">
        <v>1259.5999999999999</v>
      </c>
      <c r="C2016" s="116">
        <v>1245.3</v>
      </c>
      <c r="D2016" s="116">
        <v>1240.5999999999999</v>
      </c>
      <c r="E2016" s="116">
        <v>1256.55</v>
      </c>
      <c r="F2016" s="116">
        <v>1245.3</v>
      </c>
      <c r="G2016">
        <v>1924</v>
      </c>
      <c r="H2016" s="116"/>
      <c r="I2016" s="116"/>
      <c r="L2016" s="170">
        <v>44971</v>
      </c>
      <c r="M2016" s="116">
        <v>1244.45</v>
      </c>
      <c r="N2016" s="116">
        <v>1259.8499999999999</v>
      </c>
      <c r="O2016" s="116">
        <v>1240</v>
      </c>
      <c r="P2016" s="116">
        <v>1254</v>
      </c>
      <c r="Q2016" s="116">
        <v>1244.45</v>
      </c>
      <c r="R2016">
        <v>15504</v>
      </c>
    </row>
    <row r="2017" spans="1:18" x14ac:dyDescent="0.25">
      <c r="A2017" s="170">
        <v>44972</v>
      </c>
      <c r="B2017" s="116">
        <v>1262</v>
      </c>
      <c r="C2017" s="116">
        <v>1251.9000000000001</v>
      </c>
      <c r="D2017" s="116">
        <v>1238</v>
      </c>
      <c r="E2017" s="116">
        <v>1247.05</v>
      </c>
      <c r="F2017" s="116">
        <v>1251.9000000000001</v>
      </c>
      <c r="G2017">
        <v>1989</v>
      </c>
      <c r="H2017" s="116"/>
      <c r="I2017" s="116"/>
      <c r="L2017" s="170">
        <v>44972</v>
      </c>
      <c r="M2017" s="116">
        <v>1249.75</v>
      </c>
      <c r="N2017" s="116">
        <v>1264</v>
      </c>
      <c r="O2017" s="116">
        <v>1235.25</v>
      </c>
      <c r="P2017" s="116">
        <v>1244.45</v>
      </c>
      <c r="Q2017" s="116">
        <v>1249.75</v>
      </c>
      <c r="R2017">
        <v>66489</v>
      </c>
    </row>
    <row r="2018" spans="1:18" x14ac:dyDescent="0.25">
      <c r="A2018" s="170">
        <v>44973</v>
      </c>
      <c r="B2018" s="116">
        <v>1254.95</v>
      </c>
      <c r="C2018" s="116">
        <v>1240.05</v>
      </c>
      <c r="D2018" s="116">
        <v>1238.0999999999999</v>
      </c>
      <c r="E2018" s="116">
        <v>1251.9000000000001</v>
      </c>
      <c r="F2018" s="116">
        <v>1240.05</v>
      </c>
      <c r="G2018">
        <v>1238</v>
      </c>
      <c r="H2018" s="116"/>
      <c r="I2018" s="116"/>
      <c r="L2018" s="170">
        <v>44973</v>
      </c>
      <c r="M2018" s="116">
        <v>1239.0999999999999</v>
      </c>
      <c r="N2018" s="116">
        <v>1254.75</v>
      </c>
      <c r="O2018" s="116">
        <v>1238</v>
      </c>
      <c r="P2018" s="116">
        <v>1252.3499999999999</v>
      </c>
      <c r="Q2018" s="116">
        <v>1239.0999999999999</v>
      </c>
      <c r="R2018">
        <v>48444</v>
      </c>
    </row>
    <row r="2019" spans="1:18" x14ac:dyDescent="0.25">
      <c r="A2019" s="170">
        <v>44974</v>
      </c>
      <c r="B2019" s="116">
        <v>1252.45</v>
      </c>
      <c r="C2019" s="116">
        <v>1241.75</v>
      </c>
      <c r="D2019" s="116">
        <v>1235.75</v>
      </c>
      <c r="E2019" s="116">
        <v>1241.8499999999999</v>
      </c>
      <c r="F2019" s="116">
        <v>1241.75</v>
      </c>
      <c r="G2019">
        <v>3048</v>
      </c>
      <c r="H2019" s="116"/>
      <c r="I2019" s="116"/>
      <c r="L2019" s="170">
        <v>44974</v>
      </c>
      <c r="M2019" s="116">
        <v>1242.0999999999999</v>
      </c>
      <c r="N2019" s="116">
        <v>1255</v>
      </c>
      <c r="O2019" s="116">
        <v>1235.55</v>
      </c>
      <c r="P2019" s="116">
        <v>1245</v>
      </c>
      <c r="Q2019" s="116">
        <v>1242.0999999999999</v>
      </c>
      <c r="R2019">
        <v>52018</v>
      </c>
    </row>
    <row r="2020" spans="1:18" x14ac:dyDescent="0.25">
      <c r="A2020" s="170">
        <v>44977</v>
      </c>
      <c r="B2020" s="116">
        <v>1285.8499999999999</v>
      </c>
      <c r="C2020" s="116">
        <v>1280.3</v>
      </c>
      <c r="D2020" s="116">
        <v>1241.55</v>
      </c>
      <c r="E2020" s="116">
        <v>1247.2</v>
      </c>
      <c r="F2020" s="116">
        <v>1280.3</v>
      </c>
      <c r="G2020">
        <v>14184</v>
      </c>
      <c r="H2020" s="116"/>
      <c r="I2020" s="116"/>
      <c r="L2020" s="170">
        <v>44977</v>
      </c>
      <c r="M2020" s="116">
        <v>1278.45</v>
      </c>
      <c r="N2020" s="116">
        <v>1286.05</v>
      </c>
      <c r="O2020" s="116">
        <v>1240.8499999999999</v>
      </c>
      <c r="P2020" s="116">
        <v>1248.5999999999999</v>
      </c>
      <c r="Q2020" s="116">
        <v>1278.45</v>
      </c>
      <c r="R2020">
        <v>44014</v>
      </c>
    </row>
    <row r="2021" spans="1:18" x14ac:dyDescent="0.25">
      <c r="A2021" s="170">
        <v>44978</v>
      </c>
      <c r="B2021" s="116">
        <v>1297.95</v>
      </c>
      <c r="C2021" s="116">
        <v>1294.1500000000001</v>
      </c>
      <c r="D2021" s="116">
        <v>1267.8</v>
      </c>
      <c r="E2021" s="116">
        <v>1284.95</v>
      </c>
      <c r="F2021" s="116">
        <v>1294.1500000000001</v>
      </c>
      <c r="G2021">
        <v>2062</v>
      </c>
      <c r="H2021" s="116"/>
      <c r="I2021" s="116"/>
      <c r="L2021" s="170">
        <v>44978</v>
      </c>
      <c r="M2021" s="116">
        <v>1295.45</v>
      </c>
      <c r="N2021" s="116">
        <v>1298.5</v>
      </c>
      <c r="O2021" s="116">
        <v>1266.8</v>
      </c>
      <c r="P2021" s="116">
        <v>1275.9000000000001</v>
      </c>
      <c r="Q2021" s="116">
        <v>1295.45</v>
      </c>
      <c r="R2021">
        <v>156843</v>
      </c>
    </row>
    <row r="2022" spans="1:18" x14ac:dyDescent="0.25">
      <c r="A2022" s="170">
        <v>44979</v>
      </c>
      <c r="B2022" s="116">
        <v>1295.95</v>
      </c>
      <c r="C2022" s="116">
        <v>1290.8</v>
      </c>
      <c r="D2022" s="116">
        <v>1282</v>
      </c>
      <c r="E2022" s="116">
        <v>1290</v>
      </c>
      <c r="F2022" s="116">
        <v>1290.8</v>
      </c>
      <c r="G2022">
        <v>1892</v>
      </c>
      <c r="H2022" s="116"/>
      <c r="I2022" s="116"/>
      <c r="L2022" s="170">
        <v>44979</v>
      </c>
      <c r="M2022" s="116">
        <v>1291.0999999999999</v>
      </c>
      <c r="N2022" s="116">
        <v>1296</v>
      </c>
      <c r="O2022" s="116">
        <v>1272.8</v>
      </c>
      <c r="P2022" s="116">
        <v>1281.3499999999999</v>
      </c>
      <c r="Q2022" s="116">
        <v>1291.0999999999999</v>
      </c>
      <c r="R2022">
        <v>82592</v>
      </c>
    </row>
    <row r="2023" spans="1:18" x14ac:dyDescent="0.25">
      <c r="A2023" s="170">
        <v>44980</v>
      </c>
      <c r="B2023" s="116">
        <v>1303</v>
      </c>
      <c r="C2023" s="116">
        <v>1299.7</v>
      </c>
      <c r="D2023" s="116">
        <v>1287.25</v>
      </c>
      <c r="E2023" s="116">
        <v>1291.45</v>
      </c>
      <c r="F2023" s="116">
        <v>1299.7</v>
      </c>
      <c r="G2023">
        <v>2017</v>
      </c>
      <c r="H2023" s="116"/>
      <c r="I2023" s="116"/>
      <c r="L2023" s="170">
        <v>44980</v>
      </c>
      <c r="M2023" s="116">
        <v>1299.2</v>
      </c>
      <c r="N2023" s="116">
        <v>1304</v>
      </c>
      <c r="O2023" s="116">
        <v>1286</v>
      </c>
      <c r="P2023" s="116">
        <v>1293.95</v>
      </c>
      <c r="Q2023" s="116">
        <v>1299.2</v>
      </c>
      <c r="R2023">
        <v>127238</v>
      </c>
    </row>
    <row r="2024" spans="1:18" x14ac:dyDescent="0.25">
      <c r="A2024" s="170">
        <v>44981</v>
      </c>
      <c r="B2024" s="116">
        <v>1319</v>
      </c>
      <c r="C2024" s="116">
        <v>1312.4</v>
      </c>
      <c r="D2024" s="116">
        <v>1295.7</v>
      </c>
      <c r="E2024" s="116">
        <v>1295.7</v>
      </c>
      <c r="F2024" s="116">
        <v>1312.4</v>
      </c>
      <c r="G2024">
        <v>3080</v>
      </c>
      <c r="H2024" s="116"/>
      <c r="I2024" s="116"/>
      <c r="L2024" s="170">
        <v>44981</v>
      </c>
      <c r="M2024" s="116">
        <v>1312.4</v>
      </c>
      <c r="N2024" s="116">
        <v>1320</v>
      </c>
      <c r="O2024" s="116">
        <v>1293.2</v>
      </c>
      <c r="P2024" s="116">
        <v>1293.2</v>
      </c>
      <c r="Q2024" s="116">
        <v>1312.4</v>
      </c>
      <c r="R2024">
        <v>40792</v>
      </c>
    </row>
    <row r="2025" spans="1:18" x14ac:dyDescent="0.25">
      <c r="A2025" s="170">
        <v>44984</v>
      </c>
      <c r="B2025" s="116">
        <v>1322.6</v>
      </c>
      <c r="C2025" s="116">
        <v>1320.5</v>
      </c>
      <c r="D2025" s="116">
        <v>1292.8</v>
      </c>
      <c r="E2025" s="116">
        <v>1318.95</v>
      </c>
      <c r="F2025" s="116">
        <v>1320.5</v>
      </c>
      <c r="G2025">
        <v>3223</v>
      </c>
      <c r="H2025" s="116"/>
      <c r="I2025" s="116"/>
      <c r="L2025" s="170">
        <v>44984</v>
      </c>
      <c r="M2025" s="116">
        <v>1319.45</v>
      </c>
      <c r="N2025" s="116">
        <v>1322.5</v>
      </c>
      <c r="O2025" s="116">
        <v>1292.55</v>
      </c>
      <c r="P2025" s="116">
        <v>1316.5</v>
      </c>
      <c r="Q2025" s="116">
        <v>1319.45</v>
      </c>
      <c r="R2025">
        <v>25520</v>
      </c>
    </row>
    <row r="2026" spans="1:18" x14ac:dyDescent="0.25">
      <c r="A2026" s="170">
        <v>44985</v>
      </c>
      <c r="B2026" s="116">
        <v>1348</v>
      </c>
      <c r="C2026" s="116">
        <v>1334.7</v>
      </c>
      <c r="D2026" s="116">
        <v>1308.3499999999999</v>
      </c>
      <c r="E2026" s="116">
        <v>1311.2</v>
      </c>
      <c r="F2026" s="116">
        <v>1334.7</v>
      </c>
      <c r="G2026">
        <v>5460</v>
      </c>
      <c r="H2026" s="116"/>
      <c r="I2026" s="116"/>
      <c r="L2026" s="170">
        <v>44985</v>
      </c>
      <c r="M2026" s="116">
        <v>1336.25</v>
      </c>
      <c r="N2026" s="116">
        <v>1350</v>
      </c>
      <c r="O2026" s="116">
        <v>1309.05</v>
      </c>
      <c r="P2026" s="116">
        <v>1318.5</v>
      </c>
      <c r="Q2026" s="116">
        <v>1336.25</v>
      </c>
      <c r="R2026">
        <v>103192</v>
      </c>
    </row>
    <row r="2027" spans="1:18" x14ac:dyDescent="0.25">
      <c r="A2027" s="170">
        <v>44986</v>
      </c>
      <c r="B2027" s="116">
        <v>1340.95</v>
      </c>
      <c r="C2027" s="116">
        <v>1334.5</v>
      </c>
      <c r="D2027" s="116">
        <v>1321.65</v>
      </c>
      <c r="E2027" s="116">
        <v>1340</v>
      </c>
      <c r="F2027" s="116">
        <v>1334.5</v>
      </c>
      <c r="G2027">
        <v>1032</v>
      </c>
      <c r="H2027" s="116"/>
      <c r="I2027" s="116"/>
      <c r="L2027" s="170">
        <v>44986</v>
      </c>
      <c r="M2027" s="116">
        <v>1336.5</v>
      </c>
      <c r="N2027" s="116">
        <v>1341</v>
      </c>
      <c r="O2027" s="116">
        <v>1321</v>
      </c>
      <c r="P2027" s="116">
        <v>1336.7</v>
      </c>
      <c r="Q2027" s="116">
        <v>1336.5</v>
      </c>
      <c r="R2027">
        <v>19857</v>
      </c>
    </row>
    <row r="2028" spans="1:18" x14ac:dyDescent="0.25">
      <c r="A2028" s="170">
        <v>44987</v>
      </c>
      <c r="B2028" s="116">
        <v>1336.45</v>
      </c>
      <c r="C2028" s="116">
        <v>1322.65</v>
      </c>
      <c r="D2028" s="116">
        <v>1316.35</v>
      </c>
      <c r="E2028" s="116">
        <v>1332.85</v>
      </c>
      <c r="F2028" s="116">
        <v>1322.65</v>
      </c>
      <c r="G2028">
        <v>1033</v>
      </c>
      <c r="H2028" s="116"/>
      <c r="I2028" s="116"/>
      <c r="L2028" s="170">
        <v>44987</v>
      </c>
      <c r="M2028" s="116">
        <v>1325.75</v>
      </c>
      <c r="N2028" s="116">
        <v>1338.1</v>
      </c>
      <c r="O2028" s="116">
        <v>1315</v>
      </c>
      <c r="P2028" s="116">
        <v>1333.8</v>
      </c>
      <c r="Q2028" s="116">
        <v>1325.75</v>
      </c>
      <c r="R2028">
        <v>14707</v>
      </c>
    </row>
    <row r="2029" spans="1:18" x14ac:dyDescent="0.25">
      <c r="A2029" s="170">
        <v>44988</v>
      </c>
      <c r="B2029" s="116">
        <v>1332</v>
      </c>
      <c r="C2029" s="116">
        <v>1323.65</v>
      </c>
      <c r="D2029" s="116">
        <v>1322.4</v>
      </c>
      <c r="E2029" s="116">
        <v>1325</v>
      </c>
      <c r="F2029" s="116">
        <v>1323.65</v>
      </c>
      <c r="G2029">
        <v>1065</v>
      </c>
      <c r="H2029" s="116"/>
      <c r="I2029" s="116"/>
      <c r="L2029" s="170">
        <v>44988</v>
      </c>
      <c r="M2029" s="116">
        <v>1324.75</v>
      </c>
      <c r="N2029" s="116">
        <v>1332.5</v>
      </c>
      <c r="O2029" s="116">
        <v>1321.75</v>
      </c>
      <c r="P2029" s="116">
        <v>1325.95</v>
      </c>
      <c r="Q2029" s="116">
        <v>1324.75</v>
      </c>
      <c r="R2029">
        <v>11562</v>
      </c>
    </row>
    <row r="2030" spans="1:18" x14ac:dyDescent="0.25">
      <c r="A2030" s="170">
        <v>44991</v>
      </c>
      <c r="B2030" s="116">
        <v>1338.35</v>
      </c>
      <c r="C2030" s="116">
        <v>1294.95</v>
      </c>
      <c r="D2030" s="116">
        <v>1282</v>
      </c>
      <c r="E2030" s="116">
        <v>1326</v>
      </c>
      <c r="F2030" s="116">
        <v>1294.95</v>
      </c>
      <c r="G2030">
        <v>2206</v>
      </c>
      <c r="H2030" s="116"/>
      <c r="I2030" s="116"/>
      <c r="L2030" s="170">
        <v>44991</v>
      </c>
      <c r="M2030" s="116">
        <v>1295.5</v>
      </c>
      <c r="N2030" s="116">
        <v>1337.8</v>
      </c>
      <c r="O2030" s="116">
        <v>1275.05</v>
      </c>
      <c r="P2030" s="116">
        <v>1324.5</v>
      </c>
      <c r="Q2030" s="116">
        <v>1295.5</v>
      </c>
      <c r="R2030">
        <v>30810</v>
      </c>
    </row>
    <row r="2031" spans="1:18" x14ac:dyDescent="0.25">
      <c r="A2031" s="170">
        <v>44993</v>
      </c>
      <c r="B2031" s="116">
        <v>1298.1500000000001</v>
      </c>
      <c r="C2031" s="116">
        <v>1284.45</v>
      </c>
      <c r="D2031" s="116">
        <v>1277</v>
      </c>
      <c r="E2031" s="116">
        <v>1291</v>
      </c>
      <c r="F2031" s="116">
        <v>1284.45</v>
      </c>
      <c r="G2031">
        <v>1918</v>
      </c>
      <c r="H2031" s="116"/>
      <c r="I2031" s="116"/>
      <c r="L2031" s="170">
        <v>44993</v>
      </c>
      <c r="M2031" s="116">
        <v>1283.3</v>
      </c>
      <c r="N2031" s="116">
        <v>1299.8499999999999</v>
      </c>
      <c r="O2031" s="116">
        <v>1276.2</v>
      </c>
      <c r="P2031" s="116">
        <v>1299.8499999999999</v>
      </c>
      <c r="Q2031" s="116">
        <v>1283.3</v>
      </c>
      <c r="R2031">
        <v>127188</v>
      </c>
    </row>
    <row r="2032" spans="1:18" x14ac:dyDescent="0.25">
      <c r="A2032" s="170">
        <v>44994</v>
      </c>
      <c r="B2032" s="116">
        <v>1300.55</v>
      </c>
      <c r="C2032" s="116">
        <v>1295.55</v>
      </c>
      <c r="D2032" s="116">
        <v>1279.05</v>
      </c>
      <c r="E2032" s="116">
        <v>1279.05</v>
      </c>
      <c r="F2032" s="116">
        <v>1295.55</v>
      </c>
      <c r="G2032">
        <v>1449</v>
      </c>
      <c r="H2032" s="116"/>
      <c r="I2032" s="116"/>
      <c r="L2032" s="170">
        <v>44994</v>
      </c>
      <c r="M2032" s="116">
        <v>1296.55</v>
      </c>
      <c r="N2032" s="116">
        <v>1305</v>
      </c>
      <c r="O2032" s="116">
        <v>1280</v>
      </c>
      <c r="P2032" s="116">
        <v>1284.8</v>
      </c>
      <c r="Q2032" s="116">
        <v>1296.55</v>
      </c>
      <c r="R2032">
        <v>71666</v>
      </c>
    </row>
    <row r="2033" spans="1:18" x14ac:dyDescent="0.25">
      <c r="A2033" s="170">
        <v>44995</v>
      </c>
      <c r="B2033" s="116">
        <v>1304.7</v>
      </c>
      <c r="C2033" s="116">
        <v>1297.1500000000001</v>
      </c>
      <c r="D2033" s="116">
        <v>1283.9000000000001</v>
      </c>
      <c r="E2033" s="116">
        <v>1293.9000000000001</v>
      </c>
      <c r="F2033" s="116">
        <v>1297.1500000000001</v>
      </c>
      <c r="G2033">
        <v>924</v>
      </c>
      <c r="H2033" s="116"/>
      <c r="I2033" s="116"/>
      <c r="L2033" s="170">
        <v>44995</v>
      </c>
      <c r="M2033" s="116">
        <v>1297.55</v>
      </c>
      <c r="N2033" s="116">
        <v>1306.55</v>
      </c>
      <c r="O2033" s="116">
        <v>1283.95</v>
      </c>
      <c r="P2033" s="116">
        <v>1293</v>
      </c>
      <c r="Q2033" s="116">
        <v>1297.55</v>
      </c>
      <c r="R2033">
        <v>12607</v>
      </c>
    </row>
    <row r="2034" spans="1:18" x14ac:dyDescent="0.25">
      <c r="A2034" s="170">
        <v>44998</v>
      </c>
      <c r="B2034" s="116">
        <v>1304.4000000000001</v>
      </c>
      <c r="C2034" s="116">
        <v>1296.55</v>
      </c>
      <c r="D2034" s="116">
        <v>1268.05</v>
      </c>
      <c r="E2034" s="116">
        <v>1295</v>
      </c>
      <c r="F2034" s="116">
        <v>1296.55</v>
      </c>
      <c r="G2034">
        <v>1468</v>
      </c>
      <c r="H2034" s="116"/>
      <c r="I2034" s="116"/>
      <c r="L2034" s="170">
        <v>44998</v>
      </c>
      <c r="M2034" s="116">
        <v>1297.9000000000001</v>
      </c>
      <c r="N2034" s="116">
        <v>1303.95</v>
      </c>
      <c r="O2034" s="116">
        <v>1267.95</v>
      </c>
      <c r="P2034" s="116">
        <v>1292.7</v>
      </c>
      <c r="Q2034" s="116">
        <v>1297.9000000000001</v>
      </c>
      <c r="R2034">
        <v>36622</v>
      </c>
    </row>
    <row r="2035" spans="1:18" x14ac:dyDescent="0.25">
      <c r="A2035" s="170">
        <v>44999</v>
      </c>
      <c r="B2035" s="116">
        <v>1296</v>
      </c>
      <c r="C2035" s="116">
        <v>1292.6500000000001</v>
      </c>
      <c r="D2035" s="116">
        <v>1270.9000000000001</v>
      </c>
      <c r="E2035" s="116">
        <v>1292.7</v>
      </c>
      <c r="F2035" s="116">
        <v>1292.6500000000001</v>
      </c>
      <c r="G2035">
        <v>2315</v>
      </c>
      <c r="H2035" s="116"/>
      <c r="I2035" s="116"/>
      <c r="L2035" s="170">
        <v>44999</v>
      </c>
      <c r="M2035" s="116">
        <v>1292.1500000000001</v>
      </c>
      <c r="N2035" s="116">
        <v>1297.05</v>
      </c>
      <c r="O2035" s="116">
        <v>1270.2</v>
      </c>
      <c r="P2035" s="116">
        <v>1296</v>
      </c>
      <c r="Q2035" s="116">
        <v>1292.1500000000001</v>
      </c>
      <c r="R2035">
        <v>21148</v>
      </c>
    </row>
    <row r="2036" spans="1:18" x14ac:dyDescent="0.25">
      <c r="A2036" s="170">
        <v>45000</v>
      </c>
      <c r="B2036" s="116">
        <v>1291</v>
      </c>
      <c r="C2036" s="116">
        <v>1278.8</v>
      </c>
      <c r="D2036" s="116">
        <v>1271.05</v>
      </c>
      <c r="E2036" s="116">
        <v>1289.9000000000001</v>
      </c>
      <c r="F2036" s="116">
        <v>1278.8</v>
      </c>
      <c r="G2036">
        <v>2467</v>
      </c>
      <c r="H2036" s="116"/>
      <c r="I2036" s="116"/>
      <c r="L2036" s="170">
        <v>45000</v>
      </c>
      <c r="M2036" s="116">
        <v>1278.4000000000001</v>
      </c>
      <c r="N2036" s="116">
        <v>1292.05</v>
      </c>
      <c r="O2036" s="116">
        <v>1272</v>
      </c>
      <c r="P2036" s="116">
        <v>1290</v>
      </c>
      <c r="Q2036" s="116">
        <v>1278.4000000000001</v>
      </c>
      <c r="R2036">
        <v>10347</v>
      </c>
    </row>
    <row r="2037" spans="1:18" x14ac:dyDescent="0.25">
      <c r="A2037" s="170">
        <v>45001</v>
      </c>
      <c r="B2037" s="116">
        <v>1278.8</v>
      </c>
      <c r="C2037" s="116">
        <v>1260.3499999999999</v>
      </c>
      <c r="D2037" s="116">
        <v>1250.05</v>
      </c>
      <c r="E2037" s="116">
        <v>1278.8</v>
      </c>
      <c r="F2037" s="116">
        <v>1260.3499999999999</v>
      </c>
      <c r="G2037">
        <v>2146</v>
      </c>
      <c r="H2037" s="116"/>
      <c r="I2037" s="116"/>
      <c r="L2037" s="170">
        <v>45001</v>
      </c>
      <c r="M2037" s="116">
        <v>1259.95</v>
      </c>
      <c r="N2037" s="116">
        <v>1278.4000000000001</v>
      </c>
      <c r="O2037" s="116">
        <v>1249.55</v>
      </c>
      <c r="P2037" s="116">
        <v>1278.4000000000001</v>
      </c>
      <c r="Q2037" s="116">
        <v>1259.95</v>
      </c>
      <c r="R2037">
        <v>53186</v>
      </c>
    </row>
    <row r="2038" spans="1:18" x14ac:dyDescent="0.25">
      <c r="A2038" s="170">
        <v>45002</v>
      </c>
      <c r="B2038" s="116">
        <v>1297.55</v>
      </c>
      <c r="C2038" s="116">
        <v>1288.1500000000001</v>
      </c>
      <c r="D2038" s="116">
        <v>1251.3499999999999</v>
      </c>
      <c r="E2038" s="116">
        <v>1251.4000000000001</v>
      </c>
      <c r="F2038" s="116">
        <v>1288.1500000000001</v>
      </c>
      <c r="G2038">
        <v>2563</v>
      </c>
      <c r="H2038" s="116"/>
      <c r="I2038" s="116"/>
      <c r="L2038" s="170">
        <v>45002</v>
      </c>
      <c r="M2038" s="116">
        <v>1287.4000000000001</v>
      </c>
      <c r="N2038" s="116">
        <v>1298.8</v>
      </c>
      <c r="O2038" s="116">
        <v>1234</v>
      </c>
      <c r="P2038" s="116">
        <v>1263.9000000000001</v>
      </c>
      <c r="Q2038" s="116">
        <v>1287.4000000000001</v>
      </c>
      <c r="R2038">
        <v>49450</v>
      </c>
    </row>
    <row r="2039" spans="1:18" x14ac:dyDescent="0.25">
      <c r="A2039" s="170">
        <v>45005</v>
      </c>
      <c r="B2039" s="116">
        <v>1285</v>
      </c>
      <c r="C2039" s="116">
        <v>1281.75</v>
      </c>
      <c r="D2039" s="116">
        <v>1261</v>
      </c>
      <c r="E2039" s="116">
        <v>1261</v>
      </c>
      <c r="F2039" s="116">
        <v>1281.75</v>
      </c>
      <c r="G2039">
        <v>3689</v>
      </c>
      <c r="H2039" s="116"/>
      <c r="I2039" s="116"/>
      <c r="L2039" s="170">
        <v>45005</v>
      </c>
      <c r="M2039" s="116">
        <v>1282.5999999999999</v>
      </c>
      <c r="N2039" s="116">
        <v>1285</v>
      </c>
      <c r="O2039" s="116">
        <v>1262.55</v>
      </c>
      <c r="P2039" s="116">
        <v>1275</v>
      </c>
      <c r="Q2039" s="116">
        <v>1282.5999999999999</v>
      </c>
      <c r="R2039">
        <v>30416</v>
      </c>
    </row>
    <row r="2040" spans="1:18" x14ac:dyDescent="0.25">
      <c r="A2040" s="170">
        <v>45006</v>
      </c>
      <c r="B2040" s="116">
        <v>1302.9000000000001</v>
      </c>
      <c r="C2040" s="116">
        <v>1300.4000000000001</v>
      </c>
      <c r="D2040" s="116">
        <v>1278.2</v>
      </c>
      <c r="E2040" s="116">
        <v>1278.2</v>
      </c>
      <c r="F2040" s="116">
        <v>1300.4000000000001</v>
      </c>
      <c r="G2040">
        <v>1347</v>
      </c>
      <c r="H2040" s="116"/>
      <c r="I2040" s="116"/>
      <c r="L2040" s="170">
        <v>45006</v>
      </c>
      <c r="M2040" s="116">
        <v>1300.8</v>
      </c>
      <c r="N2040" s="116">
        <v>1303</v>
      </c>
      <c r="O2040" s="116">
        <v>1280.05</v>
      </c>
      <c r="P2040" s="116">
        <v>1284.6500000000001</v>
      </c>
      <c r="Q2040" s="116">
        <v>1300.8</v>
      </c>
      <c r="R2040">
        <v>22464</v>
      </c>
    </row>
    <row r="2041" spans="1:18" x14ac:dyDescent="0.25">
      <c r="A2041" s="170">
        <v>45007</v>
      </c>
      <c r="B2041" s="116">
        <v>1310</v>
      </c>
      <c r="C2041" s="116">
        <v>1281.7</v>
      </c>
      <c r="D2041" s="116">
        <v>1280</v>
      </c>
      <c r="E2041" s="116">
        <v>1298.8</v>
      </c>
      <c r="F2041" s="116">
        <v>1281.7</v>
      </c>
      <c r="G2041">
        <v>1505</v>
      </c>
      <c r="H2041" s="116"/>
      <c r="I2041" s="116"/>
      <c r="L2041" s="170">
        <v>45007</v>
      </c>
      <c r="M2041" s="116">
        <v>1283.1500000000001</v>
      </c>
      <c r="N2041" s="116">
        <v>1310</v>
      </c>
      <c r="O2041" s="116">
        <v>1280</v>
      </c>
      <c r="P2041" s="116">
        <v>1300</v>
      </c>
      <c r="Q2041" s="116">
        <v>1283.1500000000001</v>
      </c>
      <c r="R2041">
        <v>27014</v>
      </c>
    </row>
    <row r="2042" spans="1:18" x14ac:dyDescent="0.25">
      <c r="A2042" s="170">
        <v>45008</v>
      </c>
      <c r="B2042" s="116">
        <v>1299.95</v>
      </c>
      <c r="C2042" s="116">
        <v>1294.1500000000001</v>
      </c>
      <c r="D2042" s="116">
        <v>1277.5</v>
      </c>
      <c r="E2042" s="116">
        <v>1287.05</v>
      </c>
      <c r="F2042" s="116">
        <v>1294.1500000000001</v>
      </c>
      <c r="G2042">
        <v>1436</v>
      </c>
      <c r="H2042" s="116"/>
      <c r="I2042" s="116"/>
      <c r="L2042" s="170">
        <v>45008</v>
      </c>
      <c r="M2042" s="116">
        <v>1295.55</v>
      </c>
      <c r="N2042" s="116">
        <v>1299.5</v>
      </c>
      <c r="O2042" s="116">
        <v>1275.8</v>
      </c>
      <c r="P2042" s="116">
        <v>1284.95</v>
      </c>
      <c r="Q2042" s="116">
        <v>1295.55</v>
      </c>
      <c r="R2042">
        <v>21937</v>
      </c>
    </row>
    <row r="2043" spans="1:18" x14ac:dyDescent="0.25">
      <c r="A2043" s="170">
        <v>45009</v>
      </c>
      <c r="B2043" s="116">
        <v>1320</v>
      </c>
      <c r="C2043" s="116">
        <v>1290.1500000000001</v>
      </c>
      <c r="D2043" s="116">
        <v>1272</v>
      </c>
      <c r="E2043" s="116">
        <v>1320</v>
      </c>
      <c r="F2043" s="116">
        <v>1290.1500000000001</v>
      </c>
      <c r="G2043">
        <v>1341</v>
      </c>
      <c r="H2043" s="116"/>
      <c r="I2043" s="116"/>
      <c r="L2043" s="170">
        <v>45009</v>
      </c>
      <c r="M2043" s="116">
        <v>1288.45</v>
      </c>
      <c r="N2043" s="116">
        <v>1306.5999999999999</v>
      </c>
      <c r="O2043" s="116">
        <v>1271.0999999999999</v>
      </c>
      <c r="P2043" s="116">
        <v>1295.55</v>
      </c>
      <c r="Q2043" s="116">
        <v>1288.45</v>
      </c>
      <c r="R2043">
        <v>37487</v>
      </c>
    </row>
    <row r="2044" spans="1:18" x14ac:dyDescent="0.25">
      <c r="A2044" s="170">
        <v>45012</v>
      </c>
      <c r="B2044" s="116">
        <v>1285.55</v>
      </c>
      <c r="C2044" s="116">
        <v>1270.0999999999999</v>
      </c>
      <c r="D2044" s="116">
        <v>1262</v>
      </c>
      <c r="E2044" s="116">
        <v>1283.75</v>
      </c>
      <c r="F2044" s="116">
        <v>1270.0999999999999</v>
      </c>
      <c r="G2044">
        <v>2631</v>
      </c>
      <c r="H2044" s="116"/>
      <c r="I2044" s="116"/>
      <c r="L2044" s="170">
        <v>45012</v>
      </c>
      <c r="M2044" s="116">
        <v>1268.5</v>
      </c>
      <c r="N2044" s="116">
        <v>1289.75</v>
      </c>
      <c r="O2044" s="116">
        <v>1262.5</v>
      </c>
      <c r="P2044" s="116">
        <v>1281.5999999999999</v>
      </c>
      <c r="Q2044" s="116">
        <v>1268.5</v>
      </c>
      <c r="R2044">
        <v>23853</v>
      </c>
    </row>
    <row r="2045" spans="1:18" x14ac:dyDescent="0.25">
      <c r="A2045" s="170">
        <v>45013</v>
      </c>
      <c r="B2045" s="116">
        <v>1277.3499999999999</v>
      </c>
      <c r="C2045" s="116">
        <v>1273.05</v>
      </c>
      <c r="D2045" s="116">
        <v>1250</v>
      </c>
      <c r="E2045" s="116">
        <v>1272.45</v>
      </c>
      <c r="F2045" s="116">
        <v>1273.05</v>
      </c>
      <c r="G2045">
        <v>3822</v>
      </c>
      <c r="H2045" s="116"/>
      <c r="I2045" s="116"/>
      <c r="L2045" s="170">
        <v>45013</v>
      </c>
      <c r="M2045" s="116">
        <v>1274.75</v>
      </c>
      <c r="N2045" s="116">
        <v>1278</v>
      </c>
      <c r="O2045" s="116">
        <v>1250</v>
      </c>
      <c r="P2045" s="116">
        <v>1261.0999999999999</v>
      </c>
      <c r="Q2045" s="116">
        <v>1274.75</v>
      </c>
      <c r="R2045">
        <v>30112</v>
      </c>
    </row>
    <row r="2046" spans="1:18" x14ac:dyDescent="0.25">
      <c r="A2046" s="170">
        <v>45014</v>
      </c>
      <c r="B2046" s="116">
        <v>1283.5</v>
      </c>
      <c r="C2046" s="116">
        <v>1276.0999999999999</v>
      </c>
      <c r="D2046" s="116">
        <v>1263.4000000000001</v>
      </c>
      <c r="E2046" s="116">
        <v>1270.75</v>
      </c>
      <c r="F2046" s="116">
        <v>1276.0999999999999</v>
      </c>
      <c r="G2046">
        <v>910</v>
      </c>
      <c r="H2046" s="116"/>
      <c r="I2046" s="116"/>
      <c r="L2046" s="170">
        <v>45014</v>
      </c>
      <c r="M2046" s="116">
        <v>1275.7</v>
      </c>
      <c r="N2046" s="116">
        <v>1287</v>
      </c>
      <c r="O2046" s="116">
        <v>1262.9000000000001</v>
      </c>
      <c r="P2046" s="116">
        <v>1274.45</v>
      </c>
      <c r="Q2046" s="116">
        <v>1275.7</v>
      </c>
      <c r="R2046">
        <v>25234</v>
      </c>
    </row>
    <row r="2047" spans="1:18" x14ac:dyDescent="0.25">
      <c r="A2047" s="170">
        <v>45016</v>
      </c>
      <c r="B2047" s="116">
        <v>1330.55</v>
      </c>
      <c r="C2047" s="116">
        <v>1324.15</v>
      </c>
      <c r="D2047" s="116">
        <v>1266.0999999999999</v>
      </c>
      <c r="E2047" s="116">
        <v>1266.0999999999999</v>
      </c>
      <c r="F2047" s="116">
        <v>1324.15</v>
      </c>
      <c r="G2047">
        <v>5452</v>
      </c>
      <c r="H2047" s="116"/>
      <c r="I2047" s="116"/>
      <c r="L2047" s="170">
        <v>45016</v>
      </c>
      <c r="M2047" s="116">
        <v>1324.75</v>
      </c>
      <c r="N2047" s="116">
        <v>1331</v>
      </c>
      <c r="O2047" s="116">
        <v>1276.05</v>
      </c>
      <c r="P2047" s="116">
        <v>1276.05</v>
      </c>
      <c r="Q2047" s="116">
        <v>1324.75</v>
      </c>
      <c r="R2047">
        <v>48862</v>
      </c>
    </row>
    <row r="2048" spans="1:18" x14ac:dyDescent="0.25">
      <c r="A2048" s="170">
        <v>45019</v>
      </c>
      <c r="B2048" s="116">
        <v>1334.45</v>
      </c>
      <c r="C2048" s="116">
        <v>1293.95</v>
      </c>
      <c r="D2048" s="116">
        <v>1287.8499999999999</v>
      </c>
      <c r="E2048" s="116">
        <v>1324.15</v>
      </c>
      <c r="F2048" s="116">
        <v>1293.95</v>
      </c>
      <c r="G2048">
        <v>1220</v>
      </c>
      <c r="H2048" s="116"/>
      <c r="I2048" s="116"/>
      <c r="L2048" s="170">
        <v>45019</v>
      </c>
      <c r="M2048" s="116">
        <v>1294.55</v>
      </c>
      <c r="N2048" s="116">
        <v>1336.65</v>
      </c>
      <c r="O2048" s="116">
        <v>1287.5</v>
      </c>
      <c r="P2048" s="116">
        <v>1331.4</v>
      </c>
      <c r="Q2048" s="116">
        <v>1294.55</v>
      </c>
      <c r="R2048">
        <v>42489</v>
      </c>
    </row>
    <row r="2049" spans="1:18" x14ac:dyDescent="0.25">
      <c r="A2049" s="170">
        <v>45021</v>
      </c>
      <c r="B2049" s="116">
        <v>1312.45</v>
      </c>
      <c r="C2049" s="116">
        <v>1300.95</v>
      </c>
      <c r="D2049" s="116">
        <v>1280.05</v>
      </c>
      <c r="E2049" s="116">
        <v>1280.05</v>
      </c>
      <c r="F2049" s="116">
        <v>1300.95</v>
      </c>
      <c r="G2049">
        <v>635</v>
      </c>
      <c r="H2049" s="116"/>
      <c r="I2049" s="116"/>
      <c r="L2049" s="170">
        <v>45021</v>
      </c>
      <c r="M2049" s="116">
        <v>1303.05</v>
      </c>
      <c r="N2049" s="116">
        <v>1314.2</v>
      </c>
      <c r="O2049" s="116">
        <v>1284</v>
      </c>
      <c r="P2049" s="116">
        <v>1284</v>
      </c>
      <c r="Q2049" s="116">
        <v>1303.05</v>
      </c>
      <c r="R2049">
        <v>18909</v>
      </c>
    </row>
    <row r="2050" spans="1:18" x14ac:dyDescent="0.25">
      <c r="A2050" s="170">
        <v>45022</v>
      </c>
      <c r="B2050" s="116">
        <v>1312.4</v>
      </c>
      <c r="C2050" s="116">
        <v>1299.9000000000001</v>
      </c>
      <c r="D2050" s="116">
        <v>1295</v>
      </c>
      <c r="E2050" s="116">
        <v>1303.5999999999999</v>
      </c>
      <c r="F2050" s="116">
        <v>1299.9000000000001</v>
      </c>
      <c r="G2050">
        <v>973</v>
      </c>
      <c r="H2050" s="116"/>
      <c r="I2050" s="116"/>
      <c r="L2050" s="170">
        <v>45022</v>
      </c>
      <c r="M2050" s="116">
        <v>1300.05</v>
      </c>
      <c r="N2050" s="116">
        <v>1312.25</v>
      </c>
      <c r="O2050" s="116">
        <v>1294</v>
      </c>
      <c r="P2050" s="116">
        <v>1303.05</v>
      </c>
      <c r="Q2050" s="116">
        <v>1300.05</v>
      </c>
      <c r="R2050">
        <v>13470</v>
      </c>
    </row>
    <row r="2051" spans="1:18" x14ac:dyDescent="0.25">
      <c r="A2051" s="170">
        <v>45026</v>
      </c>
      <c r="B2051" s="116">
        <v>1306.9000000000001</v>
      </c>
      <c r="C2051" s="116">
        <v>1291.7</v>
      </c>
      <c r="D2051" s="116">
        <v>1288.25</v>
      </c>
      <c r="E2051" s="116">
        <v>1301.9000000000001</v>
      </c>
      <c r="F2051" s="116">
        <v>1291.7</v>
      </c>
      <c r="G2051">
        <v>493</v>
      </c>
      <c r="H2051" s="116"/>
      <c r="I2051" s="116"/>
      <c r="L2051" s="170">
        <v>45026</v>
      </c>
      <c r="M2051" s="116">
        <v>1290.3499999999999</v>
      </c>
      <c r="N2051" s="116">
        <v>1306.5999999999999</v>
      </c>
      <c r="O2051" s="116">
        <v>1288.05</v>
      </c>
      <c r="P2051" s="116">
        <v>1304.5999999999999</v>
      </c>
      <c r="Q2051" s="116">
        <v>1290.3499999999999</v>
      </c>
      <c r="R2051">
        <v>17700</v>
      </c>
    </row>
    <row r="2052" spans="1:18" x14ac:dyDescent="0.25">
      <c r="A2052" s="170">
        <v>45027</v>
      </c>
      <c r="B2052" s="116">
        <v>1297.05</v>
      </c>
      <c r="C2052" s="116">
        <v>1282.05</v>
      </c>
      <c r="D2052" s="116">
        <v>1277.5999999999999</v>
      </c>
      <c r="E2052" s="116">
        <v>1293.45</v>
      </c>
      <c r="F2052" s="116">
        <v>1282.05</v>
      </c>
      <c r="G2052">
        <v>2298</v>
      </c>
      <c r="H2052" s="116"/>
      <c r="I2052" s="116"/>
      <c r="L2052" s="170">
        <v>45027</v>
      </c>
      <c r="M2052" s="116">
        <v>1281.45</v>
      </c>
      <c r="N2052" s="116">
        <v>1297.0999999999999</v>
      </c>
      <c r="O2052" s="116">
        <v>1280</v>
      </c>
      <c r="P2052" s="116">
        <v>1291.4000000000001</v>
      </c>
      <c r="Q2052" s="116">
        <v>1281.45</v>
      </c>
      <c r="R2052">
        <v>18901</v>
      </c>
    </row>
    <row r="2053" spans="1:18" x14ac:dyDescent="0.25">
      <c r="A2053" s="170">
        <v>45028</v>
      </c>
      <c r="B2053" s="116">
        <v>1287.5</v>
      </c>
      <c r="C2053" s="116">
        <v>1268</v>
      </c>
      <c r="D2053" s="116">
        <v>1265.2</v>
      </c>
      <c r="E2053" s="116">
        <v>1280</v>
      </c>
      <c r="F2053" s="116">
        <v>1268</v>
      </c>
      <c r="G2053">
        <v>3554</v>
      </c>
      <c r="H2053" s="116"/>
      <c r="I2053" s="116"/>
      <c r="L2053" s="170">
        <v>45028</v>
      </c>
      <c r="M2053" s="116">
        <v>1266.95</v>
      </c>
      <c r="N2053" s="116">
        <v>1287.45</v>
      </c>
      <c r="O2053" s="116">
        <v>1265</v>
      </c>
      <c r="P2053" s="116">
        <v>1282.1500000000001</v>
      </c>
      <c r="Q2053" s="116">
        <v>1266.95</v>
      </c>
      <c r="R2053">
        <v>36292</v>
      </c>
    </row>
    <row r="2054" spans="1:18" x14ac:dyDescent="0.25">
      <c r="A2054" s="170">
        <v>45029</v>
      </c>
      <c r="B2054" s="116">
        <v>1274.0999999999999</v>
      </c>
      <c r="C2054" s="116">
        <v>1258.45</v>
      </c>
      <c r="D2054" s="116">
        <v>1250</v>
      </c>
      <c r="E2054" s="116">
        <v>1261.05</v>
      </c>
      <c r="F2054" s="116">
        <v>1258.45</v>
      </c>
      <c r="G2054">
        <v>6139</v>
      </c>
      <c r="H2054" s="116"/>
      <c r="I2054" s="116"/>
      <c r="L2054" s="170">
        <v>45029</v>
      </c>
      <c r="M2054" s="116">
        <v>1257.8</v>
      </c>
      <c r="N2054" s="116">
        <v>1275.55</v>
      </c>
      <c r="O2054" s="116">
        <v>1254</v>
      </c>
      <c r="P2054" s="116">
        <v>1267.95</v>
      </c>
      <c r="Q2054" s="116">
        <v>1257.8</v>
      </c>
      <c r="R2054">
        <v>47478</v>
      </c>
    </row>
    <row r="2055" spans="1:18" x14ac:dyDescent="0.25">
      <c r="A2055" s="170">
        <v>45033</v>
      </c>
      <c r="B2055" s="116">
        <v>1284</v>
      </c>
      <c r="C2055" s="116">
        <v>1250.45</v>
      </c>
      <c r="D2055" s="116">
        <v>1248</v>
      </c>
      <c r="E2055" s="116">
        <v>1258.5</v>
      </c>
      <c r="F2055" s="116">
        <v>1250.45</v>
      </c>
      <c r="G2055">
        <v>3720</v>
      </c>
      <c r="H2055" s="116"/>
      <c r="I2055" s="116"/>
      <c r="L2055" s="170">
        <v>45033</v>
      </c>
      <c r="M2055" s="116">
        <v>1249.6500000000001</v>
      </c>
      <c r="N2055" s="116">
        <v>1289.95</v>
      </c>
      <c r="O2055" s="116">
        <v>1247.9000000000001</v>
      </c>
      <c r="P2055" s="116">
        <v>1264.95</v>
      </c>
      <c r="Q2055" s="116">
        <v>1249.6500000000001</v>
      </c>
      <c r="R2055">
        <v>49978</v>
      </c>
    </row>
    <row r="2056" spans="1:18" x14ac:dyDescent="0.25">
      <c r="A2056" s="170">
        <v>45034</v>
      </c>
      <c r="B2056" s="116">
        <v>1260.5</v>
      </c>
      <c r="C2056" s="116">
        <v>1239.2</v>
      </c>
      <c r="D2056" s="116">
        <v>1235</v>
      </c>
      <c r="E2056" s="116">
        <v>1248</v>
      </c>
      <c r="F2056" s="116">
        <v>1239.2</v>
      </c>
      <c r="G2056">
        <v>3599</v>
      </c>
      <c r="H2056" s="116"/>
      <c r="I2056" s="116"/>
      <c r="L2056" s="170">
        <v>45034</v>
      </c>
      <c r="M2056" s="116">
        <v>1238.1500000000001</v>
      </c>
      <c r="N2056" s="116">
        <v>1259.9000000000001</v>
      </c>
      <c r="O2056" s="116">
        <v>1234.3499999999999</v>
      </c>
      <c r="P2056" s="116">
        <v>1250.25</v>
      </c>
      <c r="Q2056" s="116">
        <v>1238.1500000000001</v>
      </c>
      <c r="R2056">
        <v>58898</v>
      </c>
    </row>
    <row r="2057" spans="1:18" x14ac:dyDescent="0.25">
      <c r="A2057" s="170">
        <v>45035</v>
      </c>
      <c r="B2057" s="116">
        <v>1259</v>
      </c>
      <c r="C2057" s="116">
        <v>1246.25</v>
      </c>
      <c r="D2057" s="116">
        <v>1239.2</v>
      </c>
      <c r="E2057" s="116">
        <v>1239.2</v>
      </c>
      <c r="F2057" s="116">
        <v>1246.25</v>
      </c>
      <c r="G2057">
        <v>3555</v>
      </c>
      <c r="H2057" s="116"/>
      <c r="I2057" s="116"/>
      <c r="L2057" s="170">
        <v>45035</v>
      </c>
      <c r="M2057" s="116">
        <v>1245.6500000000001</v>
      </c>
      <c r="N2057" s="116">
        <v>1259.8499999999999</v>
      </c>
      <c r="O2057" s="116">
        <v>1240</v>
      </c>
      <c r="P2057" s="116">
        <v>1240</v>
      </c>
      <c r="Q2057" s="116">
        <v>1245.6500000000001</v>
      </c>
      <c r="R2057">
        <v>66151</v>
      </c>
    </row>
    <row r="2058" spans="1:18" x14ac:dyDescent="0.25">
      <c r="A2058" s="170">
        <v>45036</v>
      </c>
      <c r="B2058" s="116">
        <v>1255.95</v>
      </c>
      <c r="C2058" s="116">
        <v>1234.8</v>
      </c>
      <c r="D2058" s="116">
        <v>1233.5</v>
      </c>
      <c r="E2058" s="116">
        <v>1255.95</v>
      </c>
      <c r="F2058" s="116">
        <v>1234.8</v>
      </c>
      <c r="G2058">
        <v>2780</v>
      </c>
      <c r="H2058" s="116"/>
      <c r="I2058" s="116"/>
      <c r="L2058" s="170">
        <v>45036</v>
      </c>
      <c r="M2058" s="116">
        <v>1234.55</v>
      </c>
      <c r="N2058" s="116">
        <v>1251.75</v>
      </c>
      <c r="O2058" s="116">
        <v>1233.2</v>
      </c>
      <c r="P2058" s="116">
        <v>1250</v>
      </c>
      <c r="Q2058" s="116">
        <v>1234.55</v>
      </c>
      <c r="R2058">
        <v>39602</v>
      </c>
    </row>
    <row r="2059" spans="1:18" x14ac:dyDescent="0.25">
      <c r="A2059" s="170">
        <v>45037</v>
      </c>
      <c r="B2059" s="116">
        <v>1245</v>
      </c>
      <c r="C2059" s="116">
        <v>1239.7</v>
      </c>
      <c r="D2059" s="116">
        <v>1233.6500000000001</v>
      </c>
      <c r="E2059" s="116">
        <v>1236.95</v>
      </c>
      <c r="F2059" s="116">
        <v>1239.7</v>
      </c>
      <c r="G2059">
        <v>2385</v>
      </c>
      <c r="H2059" s="116"/>
      <c r="I2059" s="116"/>
      <c r="L2059" s="170">
        <v>45037</v>
      </c>
      <c r="M2059" s="116">
        <v>1240.2</v>
      </c>
      <c r="N2059" s="116">
        <v>1244</v>
      </c>
      <c r="O2059" s="116">
        <v>1234.5999999999999</v>
      </c>
      <c r="P2059" s="116">
        <v>1234.5999999999999</v>
      </c>
      <c r="Q2059" s="116">
        <v>1240.2</v>
      </c>
      <c r="R2059">
        <v>19692</v>
      </c>
    </row>
    <row r="2060" spans="1:18" x14ac:dyDescent="0.25">
      <c r="A2060" s="170">
        <v>45040</v>
      </c>
      <c r="B2060" s="116">
        <v>1265.95</v>
      </c>
      <c r="C2060" s="116">
        <v>1253.5999999999999</v>
      </c>
      <c r="D2060" s="116">
        <v>1237</v>
      </c>
      <c r="E2060" s="116">
        <v>1237.05</v>
      </c>
      <c r="F2060" s="116">
        <v>1253.5999999999999</v>
      </c>
      <c r="G2060">
        <v>1271</v>
      </c>
      <c r="H2060" s="116"/>
      <c r="I2060" s="116"/>
      <c r="L2060" s="170">
        <v>45040</v>
      </c>
      <c r="M2060" s="116">
        <v>1247.8499999999999</v>
      </c>
      <c r="N2060" s="116">
        <v>1266</v>
      </c>
      <c r="O2060" s="116">
        <v>1237</v>
      </c>
      <c r="P2060" s="116">
        <v>1241</v>
      </c>
      <c r="Q2060" s="116">
        <v>1247.8499999999999</v>
      </c>
      <c r="R2060">
        <v>72010</v>
      </c>
    </row>
    <row r="2061" spans="1:18" x14ac:dyDescent="0.25">
      <c r="A2061" s="170">
        <v>45041</v>
      </c>
      <c r="B2061" s="116">
        <v>1259.45</v>
      </c>
      <c r="C2061" s="116">
        <v>1248.1500000000001</v>
      </c>
      <c r="D2061" s="116">
        <v>1242</v>
      </c>
      <c r="E2061" s="116">
        <v>1255</v>
      </c>
      <c r="F2061" s="116">
        <v>1248.1500000000001</v>
      </c>
      <c r="G2061">
        <v>3401</v>
      </c>
      <c r="H2061" s="116"/>
      <c r="I2061" s="116"/>
      <c r="L2061" s="170">
        <v>45041</v>
      </c>
      <c r="M2061" s="116">
        <v>1245.25</v>
      </c>
      <c r="N2061" s="116">
        <v>1259</v>
      </c>
      <c r="O2061" s="116">
        <v>1242.75</v>
      </c>
      <c r="P2061" s="116">
        <v>1248.0999999999999</v>
      </c>
      <c r="Q2061" s="116">
        <v>1245.25</v>
      </c>
      <c r="R2061">
        <v>49547</v>
      </c>
    </row>
    <row r="2062" spans="1:18" x14ac:dyDescent="0.25">
      <c r="A2062" s="170">
        <v>45042</v>
      </c>
      <c r="B2062" s="116">
        <v>1260.55</v>
      </c>
      <c r="C2062" s="116">
        <v>1234.25</v>
      </c>
      <c r="D2062" s="116">
        <v>1232.3</v>
      </c>
      <c r="E2062" s="116">
        <v>1246.45</v>
      </c>
      <c r="F2062" s="116">
        <v>1234.25</v>
      </c>
      <c r="G2062">
        <v>6763</v>
      </c>
      <c r="H2062" s="116"/>
      <c r="I2062" s="116"/>
      <c r="L2062" s="170">
        <v>45042</v>
      </c>
      <c r="M2062" s="116">
        <v>1233.95</v>
      </c>
      <c r="N2062" s="116">
        <v>1261.95</v>
      </c>
      <c r="O2062" s="116">
        <v>1233</v>
      </c>
      <c r="P2062" s="116">
        <v>1246.05</v>
      </c>
      <c r="Q2062" s="116">
        <v>1233.95</v>
      </c>
      <c r="R2062">
        <v>73524</v>
      </c>
    </row>
    <row r="2063" spans="1:18" x14ac:dyDescent="0.25">
      <c r="A2063" s="170">
        <v>45043</v>
      </c>
      <c r="B2063" s="116">
        <v>1250</v>
      </c>
      <c r="C2063" s="116">
        <v>1244.5999999999999</v>
      </c>
      <c r="D2063" s="116">
        <v>1232.45</v>
      </c>
      <c r="E2063" s="116">
        <v>1236.8499999999999</v>
      </c>
      <c r="F2063" s="116">
        <v>1244.5999999999999</v>
      </c>
      <c r="G2063">
        <v>5792</v>
      </c>
      <c r="H2063" s="116"/>
      <c r="I2063" s="116"/>
      <c r="L2063" s="170">
        <v>45043</v>
      </c>
      <c r="M2063" s="116">
        <v>1246.95</v>
      </c>
      <c r="N2063" s="116">
        <v>1250.8</v>
      </c>
      <c r="O2063" s="116">
        <v>1232.8</v>
      </c>
      <c r="P2063" s="116">
        <v>1244.75</v>
      </c>
      <c r="Q2063" s="116">
        <v>1246.95</v>
      </c>
      <c r="R2063">
        <v>34208</v>
      </c>
    </row>
    <row r="2064" spans="1:18" x14ac:dyDescent="0.25">
      <c r="A2064" s="170">
        <v>45044</v>
      </c>
      <c r="B2064" s="116">
        <v>1256.45</v>
      </c>
      <c r="C2064" s="116">
        <v>1242</v>
      </c>
      <c r="D2064" s="116">
        <v>1240</v>
      </c>
      <c r="E2064" s="116">
        <v>1245.05</v>
      </c>
      <c r="F2064" s="116">
        <v>1242</v>
      </c>
      <c r="G2064">
        <v>1316</v>
      </c>
      <c r="H2064" s="116"/>
      <c r="I2064" s="116"/>
      <c r="L2064" s="170">
        <v>45044</v>
      </c>
      <c r="M2064" s="116">
        <v>1241.9000000000001</v>
      </c>
      <c r="N2064" s="116">
        <v>1256.1500000000001</v>
      </c>
      <c r="O2064" s="116">
        <v>1240</v>
      </c>
      <c r="P2064" s="116">
        <v>1248.3</v>
      </c>
      <c r="Q2064" s="116">
        <v>1241.9000000000001</v>
      </c>
      <c r="R2064">
        <v>93137</v>
      </c>
    </row>
    <row r="2065" spans="1:18" x14ac:dyDescent="0.25">
      <c r="A2065" s="170">
        <v>45048</v>
      </c>
      <c r="B2065" s="116">
        <v>1248.0999999999999</v>
      </c>
      <c r="C2065" s="116">
        <v>1230.9000000000001</v>
      </c>
      <c r="D2065" s="116">
        <v>1228.5</v>
      </c>
      <c r="E2065" s="116">
        <v>1241.05</v>
      </c>
      <c r="F2065" s="116">
        <v>1230.9000000000001</v>
      </c>
      <c r="G2065">
        <v>12337</v>
      </c>
      <c r="H2065" s="116"/>
      <c r="I2065" s="116"/>
      <c r="L2065" s="170">
        <v>45048</v>
      </c>
      <c r="M2065" s="116">
        <v>1230.5999999999999</v>
      </c>
      <c r="N2065" s="116">
        <v>1248.4000000000001</v>
      </c>
      <c r="O2065" s="116">
        <v>1228.5</v>
      </c>
      <c r="P2065" s="116">
        <v>1242.95</v>
      </c>
      <c r="Q2065" s="116">
        <v>1230.5999999999999</v>
      </c>
      <c r="R2065">
        <v>333169</v>
      </c>
    </row>
    <row r="2066" spans="1:18" x14ac:dyDescent="0.25">
      <c r="A2066" s="170">
        <v>45049</v>
      </c>
      <c r="B2066" s="116">
        <v>1264.25</v>
      </c>
      <c r="C2066" s="116">
        <v>1248.4000000000001</v>
      </c>
      <c r="D2066" s="116">
        <v>1228</v>
      </c>
      <c r="E2066" s="116">
        <v>1231</v>
      </c>
      <c r="F2066" s="116">
        <v>1248.4000000000001</v>
      </c>
      <c r="G2066">
        <v>11094</v>
      </c>
      <c r="H2066" s="116"/>
      <c r="I2066" s="116"/>
      <c r="L2066" s="170">
        <v>45049</v>
      </c>
      <c r="M2066" s="116">
        <v>1248.1500000000001</v>
      </c>
      <c r="N2066" s="116">
        <v>1265</v>
      </c>
      <c r="O2066" s="116">
        <v>1227</v>
      </c>
      <c r="P2066" s="116">
        <v>1230</v>
      </c>
      <c r="Q2066" s="116">
        <v>1248.1500000000001</v>
      </c>
      <c r="R2066">
        <v>96451</v>
      </c>
    </row>
    <row r="2067" spans="1:18" x14ac:dyDescent="0.25">
      <c r="A2067" s="170">
        <v>45050</v>
      </c>
      <c r="B2067" s="116">
        <v>1259</v>
      </c>
      <c r="C2067" s="116">
        <v>1244.6500000000001</v>
      </c>
      <c r="D2067" s="116">
        <v>1242</v>
      </c>
      <c r="E2067" s="116">
        <v>1257.95</v>
      </c>
      <c r="F2067" s="116">
        <v>1244.6500000000001</v>
      </c>
      <c r="G2067">
        <v>2706</v>
      </c>
      <c r="H2067" s="116"/>
      <c r="I2067" s="116"/>
      <c r="L2067" s="170">
        <v>45050</v>
      </c>
      <c r="M2067" s="116">
        <v>1243.95</v>
      </c>
      <c r="N2067" s="116">
        <v>1261.1500000000001</v>
      </c>
      <c r="O2067" s="116">
        <v>1241.5</v>
      </c>
      <c r="P2067" s="116">
        <v>1252.6500000000001</v>
      </c>
      <c r="Q2067" s="116">
        <v>1243.95</v>
      </c>
      <c r="R2067">
        <v>48468</v>
      </c>
    </row>
    <row r="2068" spans="1:18" x14ac:dyDescent="0.25">
      <c r="A2068" s="170">
        <v>45051</v>
      </c>
      <c r="B2068" s="116">
        <v>1252.8</v>
      </c>
      <c r="C2068" s="116">
        <v>1248.9000000000001</v>
      </c>
      <c r="D2068" s="116">
        <v>1242</v>
      </c>
      <c r="E2068" s="116">
        <v>1247</v>
      </c>
      <c r="F2068" s="116">
        <v>1248.9000000000001</v>
      </c>
      <c r="G2068">
        <v>3378</v>
      </c>
      <c r="H2068" s="116"/>
      <c r="I2068" s="116"/>
      <c r="L2068" s="170">
        <v>45051</v>
      </c>
      <c r="M2068" s="116">
        <v>1249.1500000000001</v>
      </c>
      <c r="N2068" s="116">
        <v>1252</v>
      </c>
      <c r="O2068" s="116">
        <v>1241.1500000000001</v>
      </c>
      <c r="P2068" s="116">
        <v>1243.95</v>
      </c>
      <c r="Q2068" s="116">
        <v>1249.1500000000001</v>
      </c>
      <c r="R2068">
        <v>18033</v>
      </c>
    </row>
    <row r="2069" spans="1:18" x14ac:dyDescent="0.25">
      <c r="A2069" s="170">
        <v>45054</v>
      </c>
      <c r="B2069" s="116">
        <v>1263.55</v>
      </c>
      <c r="C2069" s="116">
        <v>1261.25</v>
      </c>
      <c r="D2069" s="116">
        <v>1243.1500000000001</v>
      </c>
      <c r="E2069" s="116">
        <v>1248.9000000000001</v>
      </c>
      <c r="F2069" s="116">
        <v>1261.25</v>
      </c>
      <c r="G2069">
        <v>3080</v>
      </c>
      <c r="H2069" s="116"/>
      <c r="I2069" s="116"/>
      <c r="L2069" s="170">
        <v>45054</v>
      </c>
      <c r="M2069" s="116">
        <v>1260.25</v>
      </c>
      <c r="N2069" s="116">
        <v>1262</v>
      </c>
      <c r="O2069" s="116">
        <v>1243.1500000000001</v>
      </c>
      <c r="P2069" s="116">
        <v>1249</v>
      </c>
      <c r="Q2069" s="116">
        <v>1260.25</v>
      </c>
      <c r="R2069">
        <v>44365</v>
      </c>
    </row>
    <row r="2070" spans="1:18" x14ac:dyDescent="0.25">
      <c r="A2070" s="170">
        <v>45055</v>
      </c>
      <c r="B2070" s="116">
        <v>1279.1500000000001</v>
      </c>
      <c r="C2070" s="116">
        <v>1275.9000000000001</v>
      </c>
      <c r="D2070" s="116">
        <v>1260</v>
      </c>
      <c r="E2070" s="116">
        <v>1261.25</v>
      </c>
      <c r="F2070" s="116">
        <v>1275.9000000000001</v>
      </c>
      <c r="G2070">
        <v>5781</v>
      </c>
      <c r="H2070" s="116"/>
      <c r="I2070" s="116"/>
      <c r="L2070" s="170">
        <v>45055</v>
      </c>
      <c r="M2070" s="116">
        <v>1277.95</v>
      </c>
      <c r="N2070" s="116">
        <v>1279.9000000000001</v>
      </c>
      <c r="O2070" s="116">
        <v>1260</v>
      </c>
      <c r="P2070" s="116">
        <v>1264.8</v>
      </c>
      <c r="Q2070" s="116">
        <v>1277.95</v>
      </c>
      <c r="R2070">
        <v>64774</v>
      </c>
    </row>
    <row r="2071" spans="1:18" x14ac:dyDescent="0.25">
      <c r="A2071" s="170">
        <v>45056</v>
      </c>
      <c r="B2071" s="116">
        <v>1284</v>
      </c>
      <c r="C2071" s="116">
        <v>1283</v>
      </c>
      <c r="D2071" s="116">
        <v>1275.05</v>
      </c>
      <c r="E2071" s="116">
        <v>1275.05</v>
      </c>
      <c r="F2071" s="116">
        <v>1283</v>
      </c>
      <c r="G2071">
        <v>2566</v>
      </c>
      <c r="H2071" s="116"/>
      <c r="I2071" s="116"/>
      <c r="L2071" s="170">
        <v>45056</v>
      </c>
      <c r="M2071" s="116">
        <v>1281.9000000000001</v>
      </c>
      <c r="N2071" s="116">
        <v>1283.95</v>
      </c>
      <c r="O2071" s="116">
        <v>1275</v>
      </c>
      <c r="P2071" s="116">
        <v>1280</v>
      </c>
      <c r="Q2071" s="116">
        <v>1281.9000000000001</v>
      </c>
      <c r="R2071">
        <v>145686</v>
      </c>
    </row>
    <row r="2072" spans="1:18" x14ac:dyDescent="0.25">
      <c r="A2072" s="170">
        <v>45057</v>
      </c>
      <c r="B2072" s="116">
        <v>1297.75</v>
      </c>
      <c r="C2072" s="116">
        <v>1285.05</v>
      </c>
      <c r="D2072" s="116">
        <v>1280.25</v>
      </c>
      <c r="E2072" s="116">
        <v>1281.9000000000001</v>
      </c>
      <c r="F2072" s="116">
        <v>1285.05</v>
      </c>
      <c r="G2072">
        <v>5265</v>
      </c>
      <c r="H2072" s="116"/>
      <c r="I2072" s="116"/>
      <c r="L2072" s="170">
        <v>45057</v>
      </c>
      <c r="M2072" s="116">
        <v>1284.75</v>
      </c>
      <c r="N2072" s="116">
        <v>1298</v>
      </c>
      <c r="O2072" s="116">
        <v>1280.5</v>
      </c>
      <c r="P2072" s="116">
        <v>1285.95</v>
      </c>
      <c r="Q2072" s="116">
        <v>1284.75</v>
      </c>
      <c r="R2072">
        <v>26392</v>
      </c>
    </row>
    <row r="2073" spans="1:18" x14ac:dyDescent="0.25">
      <c r="A2073" s="170">
        <v>45058</v>
      </c>
      <c r="B2073" s="116">
        <v>1288.3499999999999</v>
      </c>
      <c r="C2073" s="116">
        <v>1276.1500000000001</v>
      </c>
      <c r="D2073" s="116">
        <v>1275</v>
      </c>
      <c r="E2073" s="116">
        <v>1275.0999999999999</v>
      </c>
      <c r="F2073" s="116">
        <v>1276.1500000000001</v>
      </c>
      <c r="G2073">
        <v>1801</v>
      </c>
      <c r="H2073" s="116"/>
      <c r="I2073" s="116"/>
      <c r="L2073" s="170">
        <v>45058</v>
      </c>
      <c r="M2073" s="116">
        <v>1276</v>
      </c>
      <c r="N2073" s="116">
        <v>1289.95</v>
      </c>
      <c r="O2073" s="116">
        <v>1275</v>
      </c>
      <c r="P2073" s="116">
        <v>1282</v>
      </c>
      <c r="Q2073" s="116">
        <v>1276</v>
      </c>
      <c r="R2073">
        <v>22013</v>
      </c>
    </row>
    <row r="2074" spans="1:18" x14ac:dyDescent="0.25">
      <c r="A2074" s="170">
        <v>45061</v>
      </c>
      <c r="B2074" s="116">
        <v>1282.3499999999999</v>
      </c>
      <c r="C2074" s="116">
        <v>1280.25</v>
      </c>
      <c r="D2074" s="116">
        <v>1269.8499999999999</v>
      </c>
      <c r="E2074" s="116">
        <v>1275</v>
      </c>
      <c r="F2074" s="116">
        <v>1280.25</v>
      </c>
      <c r="G2074">
        <v>3512</v>
      </c>
      <c r="H2074" s="116"/>
      <c r="I2074" s="116"/>
      <c r="L2074" s="170">
        <v>45061</v>
      </c>
      <c r="M2074" s="116">
        <v>1279.95</v>
      </c>
      <c r="N2074" s="116">
        <v>1281.5999999999999</v>
      </c>
      <c r="O2074" s="116">
        <v>1266.1500000000001</v>
      </c>
      <c r="P2074" s="116">
        <v>1266.1500000000001</v>
      </c>
      <c r="Q2074" s="116">
        <v>1279.95</v>
      </c>
      <c r="R2074">
        <v>34871</v>
      </c>
    </row>
    <row r="2075" spans="1:18" x14ac:dyDescent="0.25">
      <c r="A2075" s="170">
        <v>45062</v>
      </c>
      <c r="B2075" s="116">
        <v>1304.75</v>
      </c>
      <c r="C2075" s="116">
        <v>1290.25</v>
      </c>
      <c r="D2075" s="116">
        <v>1280</v>
      </c>
      <c r="E2075" s="116">
        <v>1285</v>
      </c>
      <c r="F2075" s="116">
        <v>1290.25</v>
      </c>
      <c r="G2075">
        <v>6530</v>
      </c>
      <c r="H2075" s="116"/>
      <c r="I2075" s="116"/>
      <c r="L2075" s="170">
        <v>45062</v>
      </c>
      <c r="M2075" s="116">
        <v>1289.55</v>
      </c>
      <c r="N2075" s="116">
        <v>1304.9000000000001</v>
      </c>
      <c r="O2075" s="116">
        <v>1280.7</v>
      </c>
      <c r="P2075" s="116">
        <v>1294</v>
      </c>
      <c r="Q2075" s="116">
        <v>1289.55</v>
      </c>
      <c r="R2075">
        <v>24171</v>
      </c>
    </row>
    <row r="2076" spans="1:18" x14ac:dyDescent="0.25">
      <c r="A2076" s="170">
        <v>45063</v>
      </c>
      <c r="B2076" s="116">
        <v>1298.8</v>
      </c>
      <c r="C2076" s="116">
        <v>1291.6500000000001</v>
      </c>
      <c r="D2076" s="116">
        <v>1283.1500000000001</v>
      </c>
      <c r="E2076" s="116">
        <v>1285.1500000000001</v>
      </c>
      <c r="F2076" s="116">
        <v>1291.6500000000001</v>
      </c>
      <c r="G2076">
        <v>3740</v>
      </c>
      <c r="H2076" s="116"/>
      <c r="I2076" s="116"/>
      <c r="L2076" s="170">
        <v>45063</v>
      </c>
      <c r="M2076" s="116">
        <v>1295.0999999999999</v>
      </c>
      <c r="N2076" s="116">
        <v>1300</v>
      </c>
      <c r="O2076" s="116">
        <v>1285</v>
      </c>
      <c r="P2076" s="116">
        <v>1289.95</v>
      </c>
      <c r="Q2076" s="116">
        <v>1295.0999999999999</v>
      </c>
      <c r="R2076">
        <v>25412</v>
      </c>
    </row>
    <row r="2077" spans="1:18" x14ac:dyDescent="0.25">
      <c r="A2077" s="170">
        <v>45064</v>
      </c>
      <c r="B2077" s="116">
        <v>1297.5</v>
      </c>
      <c r="C2077" s="116">
        <v>1279.7</v>
      </c>
      <c r="D2077" s="116">
        <v>1265</v>
      </c>
      <c r="E2077" s="116">
        <v>1293.7</v>
      </c>
      <c r="F2077" s="116">
        <v>1279.7</v>
      </c>
      <c r="G2077">
        <v>2389</v>
      </c>
      <c r="H2077" s="116"/>
      <c r="I2077" s="116"/>
      <c r="L2077" s="170">
        <v>45064</v>
      </c>
      <c r="M2077" s="116">
        <v>1281.5</v>
      </c>
      <c r="N2077" s="116">
        <v>1299.9000000000001</v>
      </c>
      <c r="O2077" s="116">
        <v>1264.9000000000001</v>
      </c>
      <c r="P2077" s="116">
        <v>1295.0999999999999</v>
      </c>
      <c r="Q2077" s="116">
        <v>1281.5</v>
      </c>
      <c r="R2077">
        <v>124231</v>
      </c>
    </row>
    <row r="2078" spans="1:18" x14ac:dyDescent="0.25">
      <c r="A2078" s="170">
        <v>45065</v>
      </c>
      <c r="B2078" s="116">
        <v>1295.3499999999999</v>
      </c>
      <c r="C2078" s="116">
        <v>1288.5999999999999</v>
      </c>
      <c r="D2078" s="116">
        <v>1279.8499999999999</v>
      </c>
      <c r="E2078" s="116">
        <v>1279.8499999999999</v>
      </c>
      <c r="F2078" s="116">
        <v>1288.5999999999999</v>
      </c>
      <c r="G2078">
        <v>801</v>
      </c>
      <c r="H2078" s="116"/>
      <c r="I2078" s="116"/>
      <c r="L2078" s="170">
        <v>45065</v>
      </c>
      <c r="M2078" s="116">
        <v>1290.45</v>
      </c>
      <c r="N2078" s="116">
        <v>1295.5999999999999</v>
      </c>
      <c r="O2078" s="116">
        <v>1277.0999999999999</v>
      </c>
      <c r="P2078" s="116">
        <v>1280.3499999999999</v>
      </c>
      <c r="Q2078" s="116">
        <v>1290.45</v>
      </c>
      <c r="R2078">
        <v>23293</v>
      </c>
    </row>
    <row r="2079" spans="1:18" x14ac:dyDescent="0.25">
      <c r="A2079" s="170">
        <v>45068</v>
      </c>
      <c r="B2079" s="116">
        <v>1301</v>
      </c>
      <c r="C2079" s="116">
        <v>1298.75</v>
      </c>
      <c r="D2079" s="116">
        <v>1275.05</v>
      </c>
      <c r="E2079" s="116">
        <v>1275.05</v>
      </c>
      <c r="F2079" s="116">
        <v>1298.75</v>
      </c>
      <c r="G2079">
        <v>1452</v>
      </c>
      <c r="H2079" s="116"/>
      <c r="I2079" s="116"/>
      <c r="L2079" s="170">
        <v>45068</v>
      </c>
      <c r="M2079" s="116">
        <v>1299.5999999999999</v>
      </c>
      <c r="N2079" s="116">
        <v>1301.95</v>
      </c>
      <c r="O2079" s="116">
        <v>1277.5999999999999</v>
      </c>
      <c r="P2079" s="116">
        <v>1290</v>
      </c>
      <c r="Q2079" s="116">
        <v>1299.5999999999999</v>
      </c>
      <c r="R2079">
        <v>101364</v>
      </c>
    </row>
    <row r="2080" spans="1:18" x14ac:dyDescent="0.25">
      <c r="A2080" s="170">
        <v>45069</v>
      </c>
      <c r="B2080" s="116">
        <v>1313.85</v>
      </c>
      <c r="C2080" s="116">
        <v>1311.75</v>
      </c>
      <c r="D2080" s="116">
        <v>1300.75</v>
      </c>
      <c r="E2080" s="116">
        <v>1311.35</v>
      </c>
      <c r="F2080" s="116">
        <v>1311.75</v>
      </c>
      <c r="G2080">
        <v>811</v>
      </c>
      <c r="H2080" s="116"/>
      <c r="I2080" s="116"/>
      <c r="L2080" s="170">
        <v>45069</v>
      </c>
      <c r="M2080" s="116">
        <v>1311.1</v>
      </c>
      <c r="N2080" s="116">
        <v>1325</v>
      </c>
      <c r="O2080" s="116">
        <v>1299.5999999999999</v>
      </c>
      <c r="P2080" s="116">
        <v>1299.5999999999999</v>
      </c>
      <c r="Q2080" s="116">
        <v>1311.1</v>
      </c>
      <c r="R2080">
        <v>27273</v>
      </c>
    </row>
    <row r="2081" spans="1:18" x14ac:dyDescent="0.25">
      <c r="A2081" s="170">
        <v>45070</v>
      </c>
      <c r="B2081" s="116">
        <v>1316.95</v>
      </c>
      <c r="C2081" s="116">
        <v>1308.5999999999999</v>
      </c>
      <c r="D2081" s="116">
        <v>1299.55</v>
      </c>
      <c r="E2081" s="116">
        <v>1310.4000000000001</v>
      </c>
      <c r="F2081" s="116">
        <v>1308.5999999999999</v>
      </c>
      <c r="G2081">
        <v>2812</v>
      </c>
      <c r="H2081" s="116"/>
      <c r="I2081" s="116"/>
      <c r="L2081" s="170">
        <v>45070</v>
      </c>
      <c r="M2081" s="116">
        <v>1309.6500000000001</v>
      </c>
      <c r="N2081" s="116">
        <v>1316.45</v>
      </c>
      <c r="O2081" s="116">
        <v>1297.05</v>
      </c>
      <c r="P2081" s="116">
        <v>1313.2</v>
      </c>
      <c r="Q2081" s="116">
        <v>1309.6500000000001</v>
      </c>
      <c r="R2081">
        <v>22926</v>
      </c>
    </row>
    <row r="2082" spans="1:18" x14ac:dyDescent="0.25">
      <c r="A2082" s="170">
        <v>45071</v>
      </c>
      <c r="B2082" s="116">
        <v>1315.4</v>
      </c>
      <c r="C2082" s="116">
        <v>1302.5999999999999</v>
      </c>
      <c r="D2082" s="116">
        <v>1300.05</v>
      </c>
      <c r="E2082" s="116">
        <v>1308.05</v>
      </c>
      <c r="F2082" s="116">
        <v>1302.5999999999999</v>
      </c>
      <c r="G2082">
        <v>1708</v>
      </c>
      <c r="H2082" s="116"/>
      <c r="I2082" s="116"/>
      <c r="L2082" s="170">
        <v>45071</v>
      </c>
      <c r="M2082" s="116">
        <v>1304.45</v>
      </c>
      <c r="N2082" s="116">
        <v>1316.5</v>
      </c>
      <c r="O2082" s="116">
        <v>1295</v>
      </c>
      <c r="P2082" s="116">
        <v>1301.0999999999999</v>
      </c>
      <c r="Q2082" s="116">
        <v>1304.45</v>
      </c>
      <c r="R2082">
        <v>70809</v>
      </c>
    </row>
    <row r="2083" spans="1:18" x14ac:dyDescent="0.25">
      <c r="A2083" s="170">
        <v>45072</v>
      </c>
      <c r="B2083" s="116">
        <v>1310</v>
      </c>
      <c r="C2083" s="116">
        <v>1306.4000000000001</v>
      </c>
      <c r="D2083" s="116">
        <v>1300</v>
      </c>
      <c r="E2083" s="116">
        <v>1306.3</v>
      </c>
      <c r="F2083" s="116">
        <v>1306.4000000000001</v>
      </c>
      <c r="G2083">
        <v>1006</v>
      </c>
      <c r="H2083" s="116"/>
      <c r="I2083" s="116"/>
      <c r="L2083" s="170">
        <v>45072</v>
      </c>
      <c r="M2083" s="116">
        <v>1309</v>
      </c>
      <c r="N2083" s="116">
        <v>1311</v>
      </c>
      <c r="O2083" s="116">
        <v>1300</v>
      </c>
      <c r="P2083" s="116">
        <v>1311</v>
      </c>
      <c r="Q2083" s="116">
        <v>1309</v>
      </c>
      <c r="R2083">
        <v>16988</v>
      </c>
    </row>
    <row r="2084" spans="1:18" x14ac:dyDescent="0.25">
      <c r="A2084" s="170">
        <v>45075</v>
      </c>
      <c r="B2084" s="116">
        <v>1318.9</v>
      </c>
      <c r="C2084" s="116">
        <v>1300.8499999999999</v>
      </c>
      <c r="D2084" s="116">
        <v>1287</v>
      </c>
      <c r="E2084" s="116">
        <v>1300.05</v>
      </c>
      <c r="F2084" s="116">
        <v>1300.8499999999999</v>
      </c>
      <c r="G2084">
        <v>9973</v>
      </c>
      <c r="H2084" s="116"/>
      <c r="I2084" s="116"/>
      <c r="L2084" s="170">
        <v>45075</v>
      </c>
      <c r="M2084" s="116">
        <v>1304.1500000000001</v>
      </c>
      <c r="N2084" s="116">
        <v>1309.5999999999999</v>
      </c>
      <c r="O2084" s="116">
        <v>1297.2</v>
      </c>
      <c r="P2084" s="116">
        <v>1309</v>
      </c>
      <c r="Q2084" s="116">
        <v>1304.1500000000001</v>
      </c>
      <c r="R2084">
        <v>121766</v>
      </c>
    </row>
    <row r="2085" spans="1:18" x14ac:dyDescent="0.25">
      <c r="A2085" s="170">
        <v>45076</v>
      </c>
      <c r="B2085" s="116">
        <v>1318</v>
      </c>
      <c r="C2085" s="116">
        <v>1308.1500000000001</v>
      </c>
      <c r="D2085" s="116">
        <v>1303.75</v>
      </c>
      <c r="E2085" s="116">
        <v>1306.3</v>
      </c>
      <c r="F2085" s="116">
        <v>1308.1500000000001</v>
      </c>
      <c r="G2085">
        <v>1829</v>
      </c>
      <c r="H2085" s="116"/>
      <c r="I2085" s="116"/>
      <c r="L2085" s="170">
        <v>45076</v>
      </c>
      <c r="M2085" s="116">
        <v>1306.55</v>
      </c>
      <c r="N2085" s="116">
        <v>1318</v>
      </c>
      <c r="O2085" s="116">
        <v>1302.25</v>
      </c>
      <c r="P2085" s="116">
        <v>1304.0999999999999</v>
      </c>
      <c r="Q2085" s="116">
        <v>1306.55</v>
      </c>
      <c r="R2085">
        <v>141683</v>
      </c>
    </row>
    <row r="2086" spans="1:18" x14ac:dyDescent="0.25">
      <c r="A2086" s="170">
        <v>45077</v>
      </c>
      <c r="B2086" s="116">
        <v>1310.4000000000001</v>
      </c>
      <c r="C2086" s="116">
        <v>1305.45</v>
      </c>
      <c r="D2086" s="116">
        <v>1303.75</v>
      </c>
      <c r="E2086" s="116">
        <v>1310.4000000000001</v>
      </c>
      <c r="F2086" s="116">
        <v>1305.45</v>
      </c>
      <c r="G2086">
        <v>1395</v>
      </c>
      <c r="H2086" s="116"/>
      <c r="I2086" s="116"/>
      <c r="L2086" s="170">
        <v>45077</v>
      </c>
      <c r="M2086" s="116">
        <v>1305.3499999999999</v>
      </c>
      <c r="N2086" s="116">
        <v>1314.85</v>
      </c>
      <c r="O2086" s="116">
        <v>1303.75</v>
      </c>
      <c r="P2086" s="116">
        <v>1306.55</v>
      </c>
      <c r="Q2086" s="116">
        <v>1305.3499999999999</v>
      </c>
      <c r="R2086">
        <v>32350</v>
      </c>
    </row>
    <row r="2087" spans="1:18" x14ac:dyDescent="0.25">
      <c r="A2087" s="170">
        <v>45078</v>
      </c>
      <c r="B2087" s="116">
        <v>1339</v>
      </c>
      <c r="C2087" s="116">
        <v>1327.35</v>
      </c>
      <c r="D2087" s="116">
        <v>1292.25</v>
      </c>
      <c r="E2087" s="116">
        <v>1295.05</v>
      </c>
      <c r="F2087" s="116">
        <v>1327.35</v>
      </c>
      <c r="G2087">
        <v>3047</v>
      </c>
      <c r="H2087" s="116"/>
      <c r="I2087" s="116"/>
      <c r="L2087" s="170">
        <v>45078</v>
      </c>
      <c r="M2087" s="116">
        <v>1327.2</v>
      </c>
      <c r="N2087" s="116">
        <v>1339.3</v>
      </c>
      <c r="O2087" s="116">
        <v>1305.3499999999999</v>
      </c>
      <c r="P2087" s="116">
        <v>1305.3499999999999</v>
      </c>
      <c r="Q2087" s="116">
        <v>1327.2</v>
      </c>
      <c r="R2087">
        <v>38153</v>
      </c>
    </row>
    <row r="2088" spans="1:18" x14ac:dyDescent="0.25">
      <c r="A2088" s="170">
        <v>45079</v>
      </c>
      <c r="B2088" s="116">
        <v>1400</v>
      </c>
      <c r="C2088" s="116">
        <v>1389.85</v>
      </c>
      <c r="D2088" s="116">
        <v>1306.8</v>
      </c>
      <c r="E2088" s="116">
        <v>1329.95</v>
      </c>
      <c r="F2088" s="116">
        <v>1389.85</v>
      </c>
      <c r="G2088">
        <v>18282</v>
      </c>
      <c r="H2088" s="116"/>
      <c r="I2088" s="116"/>
      <c r="L2088" s="170">
        <v>45079</v>
      </c>
      <c r="M2088" s="116">
        <v>1390.95</v>
      </c>
      <c r="N2088" s="116">
        <v>1400</v>
      </c>
      <c r="O2088" s="116">
        <v>1289.7</v>
      </c>
      <c r="P2088" s="116">
        <v>1332.75</v>
      </c>
      <c r="Q2088" s="116">
        <v>1390.95</v>
      </c>
      <c r="R2088">
        <v>233374</v>
      </c>
    </row>
    <row r="2089" spans="1:18" x14ac:dyDescent="0.25">
      <c r="A2089" s="170">
        <v>45082</v>
      </c>
      <c r="B2089" s="116">
        <v>1415</v>
      </c>
      <c r="C2089" s="116">
        <v>1393.95</v>
      </c>
      <c r="D2089" s="116">
        <v>1381.75</v>
      </c>
      <c r="E2089" s="116">
        <v>1390.05</v>
      </c>
      <c r="F2089" s="116">
        <v>1393.95</v>
      </c>
      <c r="G2089">
        <v>5670</v>
      </c>
      <c r="H2089" s="116"/>
      <c r="I2089" s="116"/>
      <c r="L2089" s="170">
        <v>45082</v>
      </c>
      <c r="M2089" s="116">
        <v>1393.9</v>
      </c>
      <c r="N2089" s="116">
        <v>1415</v>
      </c>
      <c r="O2089" s="116">
        <v>1380.1</v>
      </c>
      <c r="P2089" s="116">
        <v>1396</v>
      </c>
      <c r="Q2089" s="116">
        <v>1393.9</v>
      </c>
      <c r="R2089">
        <v>99415</v>
      </c>
    </row>
    <row r="2090" spans="1:18" x14ac:dyDescent="0.25">
      <c r="A2090" s="170">
        <v>45083</v>
      </c>
      <c r="B2090" s="116">
        <v>1409.95</v>
      </c>
      <c r="C2090" s="116">
        <v>1387.3</v>
      </c>
      <c r="D2090" s="116">
        <v>1373</v>
      </c>
      <c r="E2090" s="116">
        <v>1409.95</v>
      </c>
      <c r="F2090" s="116">
        <v>1387.3</v>
      </c>
      <c r="G2090">
        <v>5502</v>
      </c>
      <c r="H2090" s="116"/>
      <c r="I2090" s="116"/>
      <c r="L2090" s="170">
        <v>45083</v>
      </c>
      <c r="M2090" s="116">
        <v>1388.8</v>
      </c>
      <c r="N2090" s="116">
        <v>1404</v>
      </c>
      <c r="O2090" s="116">
        <v>1374</v>
      </c>
      <c r="P2090" s="116">
        <v>1400</v>
      </c>
      <c r="Q2090" s="116">
        <v>1388.8</v>
      </c>
      <c r="R2090">
        <v>47101</v>
      </c>
    </row>
    <row r="2091" spans="1:18" x14ac:dyDescent="0.25">
      <c r="A2091" s="170">
        <v>45084</v>
      </c>
      <c r="B2091" s="116">
        <v>1394</v>
      </c>
      <c r="C2091" s="116">
        <v>1383.75</v>
      </c>
      <c r="D2091" s="116">
        <v>1380.05</v>
      </c>
      <c r="E2091" s="116">
        <v>1380.05</v>
      </c>
      <c r="F2091" s="116">
        <v>1383.75</v>
      </c>
      <c r="G2091">
        <v>1176</v>
      </c>
      <c r="H2091" s="116"/>
      <c r="I2091" s="116"/>
      <c r="L2091" s="170">
        <v>45084</v>
      </c>
      <c r="M2091" s="116">
        <v>1383.55</v>
      </c>
      <c r="N2091" s="116">
        <v>1397.5</v>
      </c>
      <c r="O2091" s="116">
        <v>1380.15</v>
      </c>
      <c r="P2091" s="116">
        <v>1395.75</v>
      </c>
      <c r="Q2091" s="116">
        <v>1383.55</v>
      </c>
      <c r="R2091">
        <v>36430</v>
      </c>
    </row>
    <row r="2092" spans="1:18" x14ac:dyDescent="0.25">
      <c r="A2092" s="170">
        <v>45085</v>
      </c>
      <c r="B2092" s="116">
        <v>1388.45</v>
      </c>
      <c r="C2092" s="116">
        <v>1367.75</v>
      </c>
      <c r="D2092" s="116">
        <v>1365</v>
      </c>
      <c r="E2092" s="116">
        <v>1387.15</v>
      </c>
      <c r="F2092" s="116">
        <v>1367.75</v>
      </c>
      <c r="G2092">
        <v>2847</v>
      </c>
      <c r="H2092" s="116"/>
      <c r="I2092" s="116"/>
      <c r="L2092" s="170">
        <v>45085</v>
      </c>
      <c r="M2092" s="116">
        <v>1368.05</v>
      </c>
      <c r="N2092" s="116">
        <v>1390.8</v>
      </c>
      <c r="O2092" s="116">
        <v>1365</v>
      </c>
      <c r="P2092" s="116">
        <v>1390.8</v>
      </c>
      <c r="Q2092" s="116">
        <v>1368.05</v>
      </c>
      <c r="R2092">
        <v>19184</v>
      </c>
    </row>
    <row r="2093" spans="1:18" x14ac:dyDescent="0.25">
      <c r="A2093" s="170">
        <v>45086</v>
      </c>
      <c r="B2093" s="116">
        <v>1378.25</v>
      </c>
      <c r="C2093" s="116">
        <v>1369.4</v>
      </c>
      <c r="D2093" s="116">
        <v>1359.55</v>
      </c>
      <c r="E2093" s="116">
        <v>1359.55</v>
      </c>
      <c r="F2093" s="116">
        <v>1369.4</v>
      </c>
      <c r="G2093">
        <v>2339</v>
      </c>
      <c r="H2093" s="116"/>
      <c r="I2093" s="116"/>
      <c r="L2093" s="170">
        <v>45086</v>
      </c>
      <c r="M2093" s="116">
        <v>1365.9</v>
      </c>
      <c r="N2093" s="116">
        <v>1378.95</v>
      </c>
      <c r="O2093" s="116">
        <v>1361.85</v>
      </c>
      <c r="P2093" s="116">
        <v>1369.2</v>
      </c>
      <c r="Q2093" s="116">
        <v>1365.9</v>
      </c>
      <c r="R2093">
        <v>25503</v>
      </c>
    </row>
    <row r="2094" spans="1:18" x14ac:dyDescent="0.25">
      <c r="A2094" s="170">
        <v>45089</v>
      </c>
      <c r="B2094" s="116">
        <v>1389</v>
      </c>
      <c r="C2094" s="116">
        <v>1387.1</v>
      </c>
      <c r="D2094" s="116">
        <v>1366.5</v>
      </c>
      <c r="E2094" s="116">
        <v>1369.4</v>
      </c>
      <c r="F2094" s="116">
        <v>1387.1</v>
      </c>
      <c r="G2094">
        <v>2191</v>
      </c>
      <c r="H2094" s="116"/>
      <c r="I2094" s="116"/>
      <c r="L2094" s="170">
        <v>45089</v>
      </c>
      <c r="M2094" s="116">
        <v>1387.45</v>
      </c>
      <c r="N2094" s="116">
        <v>1389.9</v>
      </c>
      <c r="O2094" s="116">
        <v>1365.9</v>
      </c>
      <c r="P2094" s="116">
        <v>1367.35</v>
      </c>
      <c r="Q2094" s="116">
        <v>1387.45</v>
      </c>
      <c r="R2094">
        <v>25213</v>
      </c>
    </row>
    <row r="2095" spans="1:18" x14ac:dyDescent="0.25">
      <c r="A2095" s="170">
        <v>45090</v>
      </c>
      <c r="B2095" s="116">
        <v>1403</v>
      </c>
      <c r="C2095" s="116">
        <v>1396.8</v>
      </c>
      <c r="D2095" s="116">
        <v>1387.1</v>
      </c>
      <c r="E2095" s="116">
        <v>1387.1</v>
      </c>
      <c r="F2095" s="116">
        <v>1396.8</v>
      </c>
      <c r="G2095">
        <v>1766</v>
      </c>
      <c r="H2095" s="116"/>
      <c r="I2095" s="116"/>
      <c r="L2095" s="170">
        <v>45090</v>
      </c>
      <c r="M2095" s="116">
        <v>1396</v>
      </c>
      <c r="N2095" s="116">
        <v>1408</v>
      </c>
      <c r="O2095" s="116">
        <v>1386.5</v>
      </c>
      <c r="P2095" s="116">
        <v>1389.55</v>
      </c>
      <c r="Q2095" s="116">
        <v>1396</v>
      </c>
      <c r="R2095">
        <v>43535</v>
      </c>
    </row>
    <row r="2096" spans="1:18" x14ac:dyDescent="0.25">
      <c r="A2096" s="170">
        <v>45091</v>
      </c>
      <c r="B2096" s="116">
        <v>1418.25</v>
      </c>
      <c r="C2096" s="116">
        <v>1411.55</v>
      </c>
      <c r="D2096" s="116">
        <v>1384.15</v>
      </c>
      <c r="E2096" s="116">
        <v>1384.15</v>
      </c>
      <c r="F2096" s="116">
        <v>1411.55</v>
      </c>
      <c r="G2096">
        <v>4106</v>
      </c>
      <c r="H2096" s="116"/>
      <c r="I2096" s="116"/>
      <c r="L2096" s="170">
        <v>45091</v>
      </c>
      <c r="M2096" s="116">
        <v>1412.2</v>
      </c>
      <c r="N2096" s="116">
        <v>1418</v>
      </c>
      <c r="O2096" s="116">
        <v>1394</v>
      </c>
      <c r="P2096" s="116">
        <v>1399.95</v>
      </c>
      <c r="Q2096" s="116">
        <v>1412.2</v>
      </c>
      <c r="R2096">
        <v>71096</v>
      </c>
    </row>
    <row r="2097" spans="1:18" x14ac:dyDescent="0.25">
      <c r="A2097" s="170">
        <v>45092</v>
      </c>
      <c r="B2097" s="116">
        <v>1420</v>
      </c>
      <c r="C2097" s="116">
        <v>1401.7</v>
      </c>
      <c r="D2097" s="116">
        <v>1390.4</v>
      </c>
      <c r="E2097" s="116">
        <v>1405.05</v>
      </c>
      <c r="F2097" s="116">
        <v>1401.7</v>
      </c>
      <c r="G2097">
        <v>5319</v>
      </c>
      <c r="H2097" s="116"/>
      <c r="I2097" s="116"/>
      <c r="L2097" s="170">
        <v>45092</v>
      </c>
      <c r="M2097" s="116">
        <v>1401.5</v>
      </c>
      <c r="N2097" s="116">
        <v>1420.5</v>
      </c>
      <c r="O2097" s="116">
        <v>1395.1</v>
      </c>
      <c r="P2097" s="116">
        <v>1410</v>
      </c>
      <c r="Q2097" s="116">
        <v>1401.5</v>
      </c>
      <c r="R2097">
        <v>245781</v>
      </c>
    </row>
    <row r="2098" spans="1:18" x14ac:dyDescent="0.25">
      <c r="A2098" s="170">
        <v>45093</v>
      </c>
      <c r="B2098" s="116">
        <v>1426</v>
      </c>
      <c r="C2098" s="116">
        <v>1419.55</v>
      </c>
      <c r="D2098" s="116">
        <v>1398.05</v>
      </c>
      <c r="E2098" s="116">
        <v>1409.95</v>
      </c>
      <c r="F2098" s="116">
        <v>1419.55</v>
      </c>
      <c r="G2098">
        <v>7120</v>
      </c>
      <c r="H2098" s="116"/>
      <c r="I2098" s="116"/>
      <c r="L2098" s="170">
        <v>45093</v>
      </c>
      <c r="M2098" s="116">
        <v>1419.2</v>
      </c>
      <c r="N2098" s="116">
        <v>1428</v>
      </c>
      <c r="O2098" s="116">
        <v>1399.9</v>
      </c>
      <c r="P2098" s="116">
        <v>1400</v>
      </c>
      <c r="Q2098" s="116">
        <v>1419.2</v>
      </c>
      <c r="R2098">
        <v>100659</v>
      </c>
    </row>
    <row r="2099" spans="1:18" x14ac:dyDescent="0.25">
      <c r="A2099" s="170">
        <v>45096</v>
      </c>
      <c r="B2099" s="116">
        <v>1421.9</v>
      </c>
      <c r="C2099" s="116">
        <v>1414.6</v>
      </c>
      <c r="D2099" s="116">
        <v>1410.3</v>
      </c>
      <c r="E2099" s="116">
        <v>1419.25</v>
      </c>
      <c r="F2099" s="116">
        <v>1414.6</v>
      </c>
      <c r="G2099">
        <v>2792</v>
      </c>
      <c r="H2099" s="116"/>
      <c r="I2099" s="116"/>
      <c r="L2099" s="170">
        <v>45096</v>
      </c>
      <c r="M2099" s="116">
        <v>1415.25</v>
      </c>
      <c r="N2099" s="116">
        <v>1422.15</v>
      </c>
      <c r="O2099" s="116">
        <v>1411</v>
      </c>
      <c r="P2099" s="116">
        <v>1419.2</v>
      </c>
      <c r="Q2099" s="116">
        <v>1415.25</v>
      </c>
      <c r="R2099">
        <v>23807</v>
      </c>
    </row>
    <row r="2100" spans="1:18" x14ac:dyDescent="0.25">
      <c r="A2100" s="170">
        <v>45097</v>
      </c>
      <c r="B2100" s="116">
        <v>1432.45</v>
      </c>
      <c r="C2100" s="116">
        <v>1429.9</v>
      </c>
      <c r="D2100" s="116">
        <v>1410.35</v>
      </c>
      <c r="E2100" s="116">
        <v>1410.35</v>
      </c>
      <c r="F2100" s="116">
        <v>1429.9</v>
      </c>
      <c r="G2100">
        <v>1786</v>
      </c>
      <c r="H2100" s="116"/>
      <c r="I2100" s="116"/>
      <c r="L2100" s="170">
        <v>45097</v>
      </c>
      <c r="M2100" s="116">
        <v>1431.25</v>
      </c>
      <c r="N2100" s="116">
        <v>1434.8</v>
      </c>
      <c r="O2100" s="116">
        <v>1410.8</v>
      </c>
      <c r="P2100" s="116">
        <v>1420</v>
      </c>
      <c r="Q2100" s="116">
        <v>1431.25</v>
      </c>
      <c r="R2100">
        <v>50733</v>
      </c>
    </row>
    <row r="2101" spans="1:18" x14ac:dyDescent="0.25">
      <c r="A2101" s="170">
        <v>45098</v>
      </c>
      <c r="B2101" s="116">
        <v>1448.25</v>
      </c>
      <c r="C2101" s="116">
        <v>1434.15</v>
      </c>
      <c r="D2101" s="116">
        <v>1421</v>
      </c>
      <c r="E2101" s="116">
        <v>1438</v>
      </c>
      <c r="F2101" s="116">
        <v>1434.15</v>
      </c>
      <c r="G2101">
        <v>2148</v>
      </c>
      <c r="H2101" s="116"/>
      <c r="I2101" s="116"/>
      <c r="L2101" s="170">
        <v>45098</v>
      </c>
      <c r="M2101" s="116">
        <v>1433</v>
      </c>
      <c r="N2101" s="116">
        <v>1449.6</v>
      </c>
      <c r="O2101" s="116">
        <v>1420.5</v>
      </c>
      <c r="P2101" s="116">
        <v>1432</v>
      </c>
      <c r="Q2101" s="116">
        <v>1433</v>
      </c>
      <c r="R2101">
        <v>52290</v>
      </c>
    </row>
    <row r="2102" spans="1:18" x14ac:dyDescent="0.25">
      <c r="A2102" s="170">
        <v>45099</v>
      </c>
      <c r="B2102" s="116">
        <v>1448.25</v>
      </c>
      <c r="C2102" s="116">
        <v>1436.15</v>
      </c>
      <c r="D2102" s="116">
        <v>1434.05</v>
      </c>
      <c r="E2102" s="116">
        <v>1435.05</v>
      </c>
      <c r="F2102" s="116">
        <v>1436.15</v>
      </c>
      <c r="G2102">
        <v>3734</v>
      </c>
      <c r="H2102" s="116"/>
      <c r="I2102" s="116"/>
      <c r="L2102" s="170">
        <v>45099</v>
      </c>
      <c r="M2102" s="116">
        <v>1437.75</v>
      </c>
      <c r="N2102" s="116">
        <v>1448.75</v>
      </c>
      <c r="O2102" s="116">
        <v>1432.45</v>
      </c>
      <c r="P2102" s="116">
        <v>1438.95</v>
      </c>
      <c r="Q2102" s="116">
        <v>1437.75</v>
      </c>
      <c r="R2102">
        <v>66866</v>
      </c>
    </row>
    <row r="2103" spans="1:18" x14ac:dyDescent="0.25">
      <c r="A2103" s="170">
        <v>45100</v>
      </c>
      <c r="B2103" s="116">
        <v>1442.15</v>
      </c>
      <c r="C2103" s="116">
        <v>1413.6</v>
      </c>
      <c r="D2103" s="116">
        <v>1400</v>
      </c>
      <c r="E2103" s="116">
        <v>1430</v>
      </c>
      <c r="F2103" s="116">
        <v>1413.6</v>
      </c>
      <c r="G2103">
        <v>4955</v>
      </c>
      <c r="H2103" s="116"/>
      <c r="I2103" s="116"/>
      <c r="L2103" s="170">
        <v>45100</v>
      </c>
      <c r="M2103" s="116">
        <v>1414.75</v>
      </c>
      <c r="N2103" s="116">
        <v>1443.75</v>
      </c>
      <c r="O2103" s="116">
        <v>1399</v>
      </c>
      <c r="P2103" s="116">
        <v>1437</v>
      </c>
      <c r="Q2103" s="116">
        <v>1414.75</v>
      </c>
      <c r="R2103">
        <v>54333</v>
      </c>
    </row>
    <row r="2104" spans="1:18" x14ac:dyDescent="0.25">
      <c r="A2104" s="170">
        <v>45103</v>
      </c>
      <c r="B2104" s="116">
        <v>1440</v>
      </c>
      <c r="C2104" s="116">
        <v>1428.5</v>
      </c>
      <c r="D2104" s="116">
        <v>1403.45</v>
      </c>
      <c r="E2104" s="116">
        <v>1417.9</v>
      </c>
      <c r="F2104" s="116">
        <v>1428.5</v>
      </c>
      <c r="G2104">
        <v>4789</v>
      </c>
      <c r="H2104" s="116"/>
      <c r="I2104" s="116"/>
      <c r="L2104" s="170">
        <v>45103</v>
      </c>
      <c r="M2104" s="116">
        <v>1430.45</v>
      </c>
      <c r="N2104" s="116">
        <v>1440</v>
      </c>
      <c r="O2104" s="116">
        <v>1403</v>
      </c>
      <c r="P2104" s="116">
        <v>1420</v>
      </c>
      <c r="Q2104" s="116">
        <v>1430.45</v>
      </c>
      <c r="R2104">
        <v>55259</v>
      </c>
    </row>
    <row r="2105" spans="1:18" x14ac:dyDescent="0.25">
      <c r="A2105" s="170">
        <v>45104</v>
      </c>
      <c r="B2105" s="116">
        <v>1442</v>
      </c>
      <c r="C2105" s="116">
        <v>1432.45</v>
      </c>
      <c r="D2105" s="116">
        <v>1420.05</v>
      </c>
      <c r="E2105" s="116">
        <v>1442</v>
      </c>
      <c r="F2105" s="116">
        <v>1432.45</v>
      </c>
      <c r="G2105">
        <v>1751</v>
      </c>
      <c r="H2105" s="116"/>
      <c r="I2105" s="116"/>
      <c r="L2105" s="170">
        <v>45104</v>
      </c>
      <c r="M2105" s="116">
        <v>1431.3</v>
      </c>
      <c r="N2105" s="116">
        <v>1447</v>
      </c>
      <c r="O2105" s="116">
        <v>1420.1</v>
      </c>
      <c r="P2105" s="116">
        <v>1447</v>
      </c>
      <c r="Q2105" s="116">
        <v>1431.3</v>
      </c>
      <c r="R2105">
        <v>35994</v>
      </c>
    </row>
    <row r="2106" spans="1:18" x14ac:dyDescent="0.25">
      <c r="A2106" s="170">
        <v>45105</v>
      </c>
      <c r="B2106" s="116">
        <v>1444.8</v>
      </c>
      <c r="C2106" s="116">
        <v>1438.2</v>
      </c>
      <c r="D2106" s="116">
        <v>1422</v>
      </c>
      <c r="E2106" s="116">
        <v>1444</v>
      </c>
      <c r="F2106" s="116">
        <v>1438.2</v>
      </c>
      <c r="G2106">
        <v>4804</v>
      </c>
      <c r="H2106" s="116"/>
      <c r="I2106" s="116"/>
      <c r="L2106" s="170">
        <v>45105</v>
      </c>
      <c r="M2106" s="116">
        <v>1438.55</v>
      </c>
      <c r="N2106" s="116">
        <v>1449.85</v>
      </c>
      <c r="O2106" s="116">
        <v>1422</v>
      </c>
      <c r="P2106" s="116">
        <v>1438.1</v>
      </c>
      <c r="Q2106" s="116">
        <v>1438.55</v>
      </c>
      <c r="R2106">
        <v>65364</v>
      </c>
    </row>
    <row r="2107" spans="1:18" x14ac:dyDescent="0.25">
      <c r="A2107" s="170">
        <v>45107</v>
      </c>
      <c r="B2107" s="116">
        <v>1427.75</v>
      </c>
      <c r="C2107" s="116">
        <v>1423.85</v>
      </c>
      <c r="D2107" s="116">
        <v>1407.2</v>
      </c>
      <c r="E2107" s="116">
        <v>1427.75</v>
      </c>
      <c r="F2107" s="116">
        <v>1423.85</v>
      </c>
      <c r="G2107">
        <v>1591</v>
      </c>
      <c r="H2107" s="116"/>
      <c r="I2107" s="116"/>
      <c r="L2107" s="170">
        <v>45107</v>
      </c>
      <c r="M2107" s="116">
        <v>1425.1</v>
      </c>
      <c r="N2107" s="116">
        <v>1429</v>
      </c>
      <c r="O2107" s="116">
        <v>1405.85</v>
      </c>
      <c r="P2107" s="116">
        <v>1419</v>
      </c>
      <c r="Q2107" s="116">
        <v>1425.1</v>
      </c>
      <c r="R2107">
        <v>43596</v>
      </c>
    </row>
    <row r="2108" spans="1:18" x14ac:dyDescent="0.25">
      <c r="A2108" s="170">
        <v>45110</v>
      </c>
      <c r="B2108" s="116">
        <v>1427.85</v>
      </c>
      <c r="C2108" s="116">
        <v>1417.25</v>
      </c>
      <c r="D2108" s="116">
        <v>1400.65</v>
      </c>
      <c r="E2108" s="116">
        <v>1423.85</v>
      </c>
      <c r="F2108" s="116">
        <v>1417.25</v>
      </c>
      <c r="G2108">
        <v>3932</v>
      </c>
      <c r="H2108" s="116"/>
      <c r="I2108" s="116"/>
      <c r="L2108" s="170">
        <v>45110</v>
      </c>
      <c r="M2108" s="116">
        <v>1419.75</v>
      </c>
      <c r="N2108" s="116">
        <v>1428.7</v>
      </c>
      <c r="O2108" s="116">
        <v>1400.05</v>
      </c>
      <c r="P2108" s="116">
        <v>1420</v>
      </c>
      <c r="Q2108" s="116">
        <v>1419.75</v>
      </c>
      <c r="R2108">
        <v>79567</v>
      </c>
    </row>
    <row r="2109" spans="1:18" x14ac:dyDescent="0.25">
      <c r="A2109" s="170">
        <v>45111</v>
      </c>
      <c r="B2109" s="116">
        <v>1429.75</v>
      </c>
      <c r="C2109" s="116">
        <v>1417.8</v>
      </c>
      <c r="D2109" s="116">
        <v>1400</v>
      </c>
      <c r="E2109" s="116">
        <v>1400</v>
      </c>
      <c r="F2109" s="116">
        <v>1417.8</v>
      </c>
      <c r="G2109">
        <v>2172</v>
      </c>
      <c r="H2109" s="116"/>
      <c r="I2109" s="116"/>
      <c r="L2109" s="170">
        <v>45111</v>
      </c>
      <c r="M2109" s="116">
        <v>1420.8</v>
      </c>
      <c r="N2109" s="116">
        <v>1425</v>
      </c>
      <c r="O2109" s="116">
        <v>1403</v>
      </c>
      <c r="P2109" s="116">
        <v>1403</v>
      </c>
      <c r="Q2109" s="116">
        <v>1420.8</v>
      </c>
      <c r="R2109">
        <v>31251</v>
      </c>
    </row>
    <row r="2110" spans="1:18" x14ac:dyDescent="0.25">
      <c r="A2110" s="170">
        <v>45112</v>
      </c>
      <c r="B2110" s="116">
        <v>1426.45</v>
      </c>
      <c r="C2110" s="116">
        <v>1419.9</v>
      </c>
      <c r="D2110" s="116">
        <v>1408.3</v>
      </c>
      <c r="E2110" s="116">
        <v>1413.45</v>
      </c>
      <c r="F2110" s="116">
        <v>1419.9</v>
      </c>
      <c r="G2110">
        <v>1989</v>
      </c>
      <c r="H2110" s="116"/>
      <c r="I2110" s="116"/>
      <c r="L2110" s="170">
        <v>45112</v>
      </c>
      <c r="M2110" s="116">
        <v>1421.2</v>
      </c>
      <c r="N2110" s="116">
        <v>1425.2</v>
      </c>
      <c r="O2110" s="116">
        <v>1405</v>
      </c>
      <c r="P2110" s="116">
        <v>1418</v>
      </c>
      <c r="Q2110" s="116">
        <v>1421.2</v>
      </c>
      <c r="R2110">
        <v>72327</v>
      </c>
    </row>
    <row r="2111" spans="1:18" x14ac:dyDescent="0.25">
      <c r="A2111" s="170">
        <v>45113</v>
      </c>
      <c r="B2111" s="116">
        <v>1422</v>
      </c>
      <c r="C2111" s="116">
        <v>1416.3</v>
      </c>
      <c r="D2111" s="116">
        <v>1404.25</v>
      </c>
      <c r="E2111" s="116">
        <v>1413.9</v>
      </c>
      <c r="F2111" s="116">
        <v>1416.3</v>
      </c>
      <c r="G2111">
        <v>19165</v>
      </c>
      <c r="H2111" s="116"/>
      <c r="I2111" s="116"/>
      <c r="L2111" s="170">
        <v>45113</v>
      </c>
      <c r="M2111" s="116">
        <v>1415.5</v>
      </c>
      <c r="N2111" s="116">
        <v>1422.45</v>
      </c>
      <c r="O2111" s="116">
        <v>1400</v>
      </c>
      <c r="P2111" s="116">
        <v>1421.2</v>
      </c>
      <c r="Q2111" s="116">
        <v>1415.5</v>
      </c>
      <c r="R2111">
        <v>52843</v>
      </c>
    </row>
    <row r="2112" spans="1:18" x14ac:dyDescent="0.25">
      <c r="A2112" s="170">
        <v>45114</v>
      </c>
      <c r="B2112" s="116">
        <v>1414.4</v>
      </c>
      <c r="C2112" s="116">
        <v>1399.4</v>
      </c>
      <c r="D2112" s="116">
        <v>1394</v>
      </c>
      <c r="E2112" s="116">
        <v>1405</v>
      </c>
      <c r="F2112" s="116">
        <v>1399.4</v>
      </c>
      <c r="G2112">
        <v>3473</v>
      </c>
      <c r="H2112" s="116"/>
      <c r="I2112" s="116"/>
      <c r="L2112" s="170">
        <v>45114</v>
      </c>
      <c r="M2112" s="116">
        <v>1400.45</v>
      </c>
      <c r="N2112" s="116">
        <v>1414.25</v>
      </c>
      <c r="O2112" s="116">
        <v>1395.45</v>
      </c>
      <c r="P2112" s="116">
        <v>1406.2</v>
      </c>
      <c r="Q2112" s="116">
        <v>1400.45</v>
      </c>
      <c r="R2112">
        <v>54164</v>
      </c>
    </row>
    <row r="2113" spans="1:18" x14ac:dyDescent="0.25">
      <c r="A2113" s="170">
        <v>45117</v>
      </c>
      <c r="B2113" s="116">
        <v>1412</v>
      </c>
      <c r="C2113" s="116">
        <v>1396.55</v>
      </c>
      <c r="D2113" s="116">
        <v>1393.85</v>
      </c>
      <c r="E2113" s="116">
        <v>1398.05</v>
      </c>
      <c r="F2113" s="116">
        <v>1396.55</v>
      </c>
      <c r="G2113">
        <v>2016</v>
      </c>
      <c r="H2113" s="116"/>
      <c r="I2113" s="116"/>
      <c r="L2113" s="170">
        <v>45117</v>
      </c>
      <c r="M2113" s="116">
        <v>1397.3</v>
      </c>
      <c r="N2113" s="116">
        <v>1412.65</v>
      </c>
      <c r="O2113" s="116">
        <v>1394.3</v>
      </c>
      <c r="P2113" s="116">
        <v>1405</v>
      </c>
      <c r="Q2113" s="116">
        <v>1397.3</v>
      </c>
      <c r="R2113">
        <v>75127</v>
      </c>
    </row>
    <row r="2114" spans="1:18" x14ac:dyDescent="0.25">
      <c r="A2114" s="170">
        <v>45118</v>
      </c>
      <c r="B2114" s="116">
        <v>1406.25</v>
      </c>
      <c r="C2114" s="116">
        <v>1389.35</v>
      </c>
      <c r="D2114" s="116">
        <v>1381</v>
      </c>
      <c r="E2114" s="116">
        <v>1395</v>
      </c>
      <c r="F2114" s="116">
        <v>1389.35</v>
      </c>
      <c r="G2114">
        <v>2676</v>
      </c>
      <c r="H2114" s="116"/>
      <c r="I2114" s="116"/>
      <c r="L2114" s="170">
        <v>45118</v>
      </c>
      <c r="M2114" s="116">
        <v>1389.35</v>
      </c>
      <c r="N2114" s="116">
        <v>1408.75</v>
      </c>
      <c r="O2114" s="116">
        <v>1380.4</v>
      </c>
      <c r="P2114" s="116">
        <v>1385</v>
      </c>
      <c r="Q2114" s="116">
        <v>1389.35</v>
      </c>
      <c r="R2114">
        <v>202879</v>
      </c>
    </row>
    <row r="2115" spans="1:18" x14ac:dyDescent="0.25">
      <c r="A2115" s="170">
        <v>45119</v>
      </c>
      <c r="B2115" s="116">
        <v>1408</v>
      </c>
      <c r="C2115" s="116">
        <v>1394.2</v>
      </c>
      <c r="D2115" s="116">
        <v>1386.8</v>
      </c>
      <c r="E2115" s="116">
        <v>1395.8</v>
      </c>
      <c r="F2115" s="116">
        <v>1394.2</v>
      </c>
      <c r="G2115">
        <v>3277</v>
      </c>
      <c r="H2115" s="116"/>
      <c r="I2115" s="116"/>
      <c r="L2115" s="170">
        <v>45119</v>
      </c>
      <c r="M2115" s="116">
        <v>1394.9</v>
      </c>
      <c r="N2115" s="116">
        <v>1410</v>
      </c>
      <c r="O2115" s="116">
        <v>1385.45</v>
      </c>
      <c r="P2115" s="116">
        <v>1395</v>
      </c>
      <c r="Q2115" s="116">
        <v>1394.9</v>
      </c>
      <c r="R2115">
        <v>126011</v>
      </c>
    </row>
    <row r="2116" spans="1:18" x14ac:dyDescent="0.25">
      <c r="A2116" s="170">
        <v>45120</v>
      </c>
      <c r="B2116" s="116">
        <v>1403.95</v>
      </c>
      <c r="C2116" s="116">
        <v>1400.5</v>
      </c>
      <c r="D2116" s="116">
        <v>1396.2</v>
      </c>
      <c r="E2116" s="116">
        <v>1401.55</v>
      </c>
      <c r="F2116" s="116">
        <v>1400.5</v>
      </c>
      <c r="G2116">
        <v>1314</v>
      </c>
      <c r="H2116" s="116"/>
      <c r="I2116" s="116"/>
      <c r="L2116" s="170">
        <v>45120</v>
      </c>
      <c r="M2116" s="116">
        <v>1401</v>
      </c>
      <c r="N2116" s="116">
        <v>1406.1</v>
      </c>
      <c r="O2116" s="116">
        <v>1395</v>
      </c>
      <c r="P2116" s="116">
        <v>1399.9</v>
      </c>
      <c r="Q2116" s="116">
        <v>1401</v>
      </c>
      <c r="R2116">
        <v>205403</v>
      </c>
    </row>
    <row r="2117" spans="1:18" x14ac:dyDescent="0.25">
      <c r="A2117" s="170">
        <v>45121</v>
      </c>
      <c r="B2117" s="116">
        <v>1400.95</v>
      </c>
      <c r="C2117" s="116">
        <v>1387.75</v>
      </c>
      <c r="D2117" s="116">
        <v>1385.4</v>
      </c>
      <c r="E2117" s="116">
        <v>1398.75</v>
      </c>
      <c r="F2117" s="116">
        <v>1387.75</v>
      </c>
      <c r="G2117">
        <v>638</v>
      </c>
      <c r="H2117" s="116"/>
      <c r="I2117" s="116"/>
      <c r="L2117" s="170">
        <v>45121</v>
      </c>
      <c r="M2117" s="116">
        <v>1387.4</v>
      </c>
      <c r="N2117" s="116">
        <v>1403</v>
      </c>
      <c r="O2117" s="116">
        <v>1386</v>
      </c>
      <c r="P2117" s="116">
        <v>1403</v>
      </c>
      <c r="Q2117" s="116">
        <v>1387.4</v>
      </c>
      <c r="R2117">
        <v>100421</v>
      </c>
    </row>
    <row r="2118" spans="1:18" x14ac:dyDescent="0.25">
      <c r="A2118" s="170">
        <v>45124</v>
      </c>
      <c r="B2118" s="116">
        <v>1459.05</v>
      </c>
      <c r="C2118" s="116">
        <v>1417.05</v>
      </c>
      <c r="D2118" s="116">
        <v>1391.05</v>
      </c>
      <c r="E2118" s="116">
        <v>1391.05</v>
      </c>
      <c r="F2118" s="116">
        <v>1417.05</v>
      </c>
      <c r="G2118">
        <v>17458</v>
      </c>
      <c r="H2118" s="116"/>
      <c r="I2118" s="116"/>
      <c r="L2118" s="170">
        <v>45124</v>
      </c>
      <c r="M2118" s="116">
        <v>1416.25</v>
      </c>
      <c r="N2118" s="116">
        <v>1460</v>
      </c>
      <c r="O2118" s="116">
        <v>1394.45</v>
      </c>
      <c r="P2118" s="116">
        <v>1401</v>
      </c>
      <c r="Q2118" s="116">
        <v>1416.25</v>
      </c>
      <c r="R2118">
        <v>241291</v>
      </c>
    </row>
    <row r="2119" spans="1:18" x14ac:dyDescent="0.25">
      <c r="A2119" s="170">
        <v>45125</v>
      </c>
      <c r="B2119" s="116">
        <v>1427.15</v>
      </c>
      <c r="C2119" s="116">
        <v>1413.25</v>
      </c>
      <c r="D2119" s="116">
        <v>1398.05</v>
      </c>
      <c r="E2119" s="116">
        <v>1425.05</v>
      </c>
      <c r="F2119" s="116">
        <v>1413.25</v>
      </c>
      <c r="G2119">
        <v>4784</v>
      </c>
      <c r="H2119" s="116"/>
      <c r="I2119" s="116"/>
      <c r="L2119" s="170">
        <v>45125</v>
      </c>
      <c r="M2119" s="116">
        <v>1413.45</v>
      </c>
      <c r="N2119" s="116">
        <v>1428</v>
      </c>
      <c r="O2119" s="116">
        <v>1398.05</v>
      </c>
      <c r="P2119" s="116">
        <v>1428</v>
      </c>
      <c r="Q2119" s="116">
        <v>1413.45</v>
      </c>
      <c r="R2119">
        <v>118423</v>
      </c>
    </row>
    <row r="2120" spans="1:18" x14ac:dyDescent="0.25">
      <c r="A2120" s="170">
        <v>45126</v>
      </c>
      <c r="B2120" s="116">
        <v>1414.65</v>
      </c>
      <c r="C2120" s="116">
        <v>1402.1</v>
      </c>
      <c r="D2120" s="116">
        <v>1398.75</v>
      </c>
      <c r="E2120" s="116">
        <v>1413.2</v>
      </c>
      <c r="F2120" s="116">
        <v>1402.1</v>
      </c>
      <c r="G2120">
        <v>1692</v>
      </c>
      <c r="H2120" s="116"/>
      <c r="I2120" s="116"/>
      <c r="L2120" s="170">
        <v>45126</v>
      </c>
      <c r="M2120" s="116">
        <v>1401.85</v>
      </c>
      <c r="N2120" s="116">
        <v>1420</v>
      </c>
      <c r="O2120" s="116">
        <v>1397.45</v>
      </c>
      <c r="P2120" s="116">
        <v>1420</v>
      </c>
      <c r="Q2120" s="116">
        <v>1401.85</v>
      </c>
      <c r="R2120">
        <v>124968</v>
      </c>
    </row>
    <row r="2121" spans="1:18" x14ac:dyDescent="0.25">
      <c r="A2121" s="170">
        <v>45127</v>
      </c>
      <c r="B2121" s="116">
        <v>1402.75</v>
      </c>
      <c r="C2121" s="116">
        <v>1394.05</v>
      </c>
      <c r="D2121" s="116">
        <v>1391</v>
      </c>
      <c r="E2121" s="116">
        <v>1396.05</v>
      </c>
      <c r="F2121" s="116">
        <v>1394.05</v>
      </c>
      <c r="G2121">
        <v>2277</v>
      </c>
      <c r="H2121" s="116"/>
      <c r="I2121" s="116"/>
      <c r="L2121" s="170">
        <v>45127</v>
      </c>
      <c r="M2121" s="116">
        <v>1393.7</v>
      </c>
      <c r="N2121" s="116">
        <v>1408.9</v>
      </c>
      <c r="O2121" s="116">
        <v>1390.05</v>
      </c>
      <c r="P2121" s="116">
        <v>1408.9</v>
      </c>
      <c r="Q2121" s="116">
        <v>1393.7</v>
      </c>
      <c r="R2121">
        <v>26689</v>
      </c>
    </row>
    <row r="2122" spans="1:18" x14ac:dyDescent="0.25">
      <c r="A2122" s="170">
        <v>45128</v>
      </c>
      <c r="B2122" s="116">
        <v>1404</v>
      </c>
      <c r="C2122" s="116">
        <v>1398.15</v>
      </c>
      <c r="D2122" s="116">
        <v>1376.5</v>
      </c>
      <c r="E2122" s="116">
        <v>1392.05</v>
      </c>
      <c r="F2122" s="116">
        <v>1398.15</v>
      </c>
      <c r="G2122">
        <v>6678</v>
      </c>
      <c r="H2122" s="116"/>
      <c r="I2122" s="116"/>
      <c r="L2122" s="170">
        <v>45128</v>
      </c>
      <c r="M2122" s="116">
        <v>1398.35</v>
      </c>
      <c r="N2122" s="116">
        <v>1404.2</v>
      </c>
      <c r="O2122" s="116">
        <v>1377.25</v>
      </c>
      <c r="P2122" s="116">
        <v>1394.2</v>
      </c>
      <c r="Q2122" s="116">
        <v>1398.35</v>
      </c>
      <c r="R2122">
        <v>50612</v>
      </c>
    </row>
    <row r="2123" spans="1:18" x14ac:dyDescent="0.25">
      <c r="A2123" s="170">
        <v>45131</v>
      </c>
      <c r="B2123" s="116">
        <v>1408</v>
      </c>
      <c r="C2123" s="116">
        <v>1392.25</v>
      </c>
      <c r="D2123" s="116">
        <v>1386</v>
      </c>
      <c r="E2123" s="116">
        <v>1404.05</v>
      </c>
      <c r="F2123" s="116">
        <v>1392.25</v>
      </c>
      <c r="G2123">
        <v>1191</v>
      </c>
      <c r="H2123" s="116"/>
      <c r="I2123" s="116"/>
      <c r="L2123" s="170">
        <v>45131</v>
      </c>
      <c r="M2123" s="116">
        <v>1391.9</v>
      </c>
      <c r="N2123" s="116">
        <v>1409.2</v>
      </c>
      <c r="O2123" s="116">
        <v>1385.25</v>
      </c>
      <c r="P2123" s="116">
        <v>1405</v>
      </c>
      <c r="Q2123" s="116">
        <v>1391.9</v>
      </c>
      <c r="R2123">
        <v>43477</v>
      </c>
    </row>
    <row r="2124" spans="1:18" x14ac:dyDescent="0.25">
      <c r="A2124" s="170">
        <v>45132</v>
      </c>
      <c r="B2124" s="116">
        <v>1406</v>
      </c>
      <c r="C2124" s="116">
        <v>1403.4</v>
      </c>
      <c r="D2124" s="116">
        <v>1381.6</v>
      </c>
      <c r="E2124" s="116">
        <v>1393</v>
      </c>
      <c r="F2124" s="116">
        <v>1403.4</v>
      </c>
      <c r="G2124">
        <v>2316</v>
      </c>
      <c r="H2124" s="116"/>
      <c r="I2124" s="116"/>
      <c r="L2124" s="170">
        <v>45132</v>
      </c>
      <c r="M2124" s="116">
        <v>1402.8</v>
      </c>
      <c r="N2124" s="116">
        <v>1407</v>
      </c>
      <c r="O2124" s="116">
        <v>1380.1</v>
      </c>
      <c r="P2124" s="116">
        <v>1392</v>
      </c>
      <c r="Q2124" s="116">
        <v>1402.8</v>
      </c>
      <c r="R2124">
        <v>98368</v>
      </c>
    </row>
    <row r="2125" spans="1:18" x14ac:dyDescent="0.25">
      <c r="A2125" s="170">
        <v>45133</v>
      </c>
      <c r="B2125" s="116">
        <v>1413.15</v>
      </c>
      <c r="C2125" s="116">
        <v>1399.2</v>
      </c>
      <c r="D2125" s="116">
        <v>1386.15</v>
      </c>
      <c r="E2125" s="116">
        <v>1400.35</v>
      </c>
      <c r="F2125" s="116">
        <v>1399.2</v>
      </c>
      <c r="G2125">
        <v>3365</v>
      </c>
      <c r="H2125" s="116"/>
      <c r="I2125" s="116"/>
      <c r="L2125" s="170">
        <v>45133</v>
      </c>
      <c r="M2125" s="116">
        <v>1401.4</v>
      </c>
      <c r="N2125" s="116">
        <v>1414.85</v>
      </c>
      <c r="O2125" s="116">
        <v>1386.55</v>
      </c>
      <c r="P2125" s="116">
        <v>1407</v>
      </c>
      <c r="Q2125" s="116">
        <v>1401.4</v>
      </c>
      <c r="R2125">
        <v>122943</v>
      </c>
    </row>
    <row r="2126" spans="1:18" x14ac:dyDescent="0.25">
      <c r="A2126" s="170">
        <v>45134</v>
      </c>
      <c r="B2126" s="116">
        <v>1419.95</v>
      </c>
      <c r="C2126" s="116">
        <v>1399.55</v>
      </c>
      <c r="D2126" s="116">
        <v>1392.85</v>
      </c>
      <c r="E2126" s="116">
        <v>1419.95</v>
      </c>
      <c r="F2126" s="116">
        <v>1399.55</v>
      </c>
      <c r="G2126">
        <v>4934</v>
      </c>
      <c r="H2126" s="116"/>
      <c r="I2126" s="116"/>
      <c r="L2126" s="170">
        <v>45134</v>
      </c>
      <c r="M2126" s="116">
        <v>1400.3</v>
      </c>
      <c r="N2126" s="116">
        <v>1409.9</v>
      </c>
      <c r="O2126" s="116">
        <v>1391.7</v>
      </c>
      <c r="P2126" s="116">
        <v>1408.8</v>
      </c>
      <c r="Q2126" s="116">
        <v>1400.3</v>
      </c>
      <c r="R2126">
        <v>79298</v>
      </c>
    </row>
    <row r="2127" spans="1:18" x14ac:dyDescent="0.25">
      <c r="A2127" s="170">
        <v>45135</v>
      </c>
      <c r="B2127" s="116">
        <v>1418</v>
      </c>
      <c r="C2127" s="116">
        <v>1395.25</v>
      </c>
      <c r="D2127" s="116">
        <v>1386.55</v>
      </c>
      <c r="E2127" s="116">
        <v>1400</v>
      </c>
      <c r="F2127" s="116">
        <v>1395.25</v>
      </c>
      <c r="G2127">
        <v>5640</v>
      </c>
      <c r="H2127" s="116"/>
      <c r="I2127" s="116"/>
      <c r="L2127" s="170">
        <v>45135</v>
      </c>
      <c r="M2127" s="116">
        <v>1395.2</v>
      </c>
      <c r="N2127" s="116">
        <v>1418.45</v>
      </c>
      <c r="O2127" s="116">
        <v>1387.15</v>
      </c>
      <c r="P2127" s="116">
        <v>1400.3</v>
      </c>
      <c r="Q2127" s="116">
        <v>1395.2</v>
      </c>
      <c r="R2127">
        <v>56528</v>
      </c>
    </row>
    <row r="2128" spans="1:18" x14ac:dyDescent="0.25">
      <c r="A2128" s="170">
        <v>45138</v>
      </c>
      <c r="B2128" s="116">
        <v>1412.55</v>
      </c>
      <c r="C2128" s="116">
        <v>1398</v>
      </c>
      <c r="D2128" s="116">
        <v>1389.7</v>
      </c>
      <c r="E2128" s="116">
        <v>1395</v>
      </c>
      <c r="F2128" s="116">
        <v>1398</v>
      </c>
      <c r="G2128">
        <v>5673</v>
      </c>
      <c r="H2128" s="116"/>
      <c r="I2128" s="116"/>
      <c r="L2128" s="170">
        <v>45138</v>
      </c>
      <c r="M2128" s="116">
        <v>1396.1</v>
      </c>
      <c r="N2128" s="116">
        <v>1414.4</v>
      </c>
      <c r="O2128" s="116">
        <v>1386</v>
      </c>
      <c r="P2128" s="116">
        <v>1399.95</v>
      </c>
      <c r="Q2128" s="116">
        <v>1396.1</v>
      </c>
      <c r="R2128">
        <v>54386</v>
      </c>
    </row>
    <row r="2129" spans="1:18" x14ac:dyDescent="0.25">
      <c r="A2129" s="170">
        <v>45139</v>
      </c>
      <c r="B2129" s="116">
        <v>1409.2</v>
      </c>
      <c r="C2129" s="116">
        <v>1404.1</v>
      </c>
      <c r="D2129" s="116">
        <v>1392</v>
      </c>
      <c r="E2129" s="116">
        <v>1401.3</v>
      </c>
      <c r="F2129" s="116">
        <v>1404.1</v>
      </c>
      <c r="G2129">
        <v>3892</v>
      </c>
      <c r="H2129" s="116"/>
      <c r="I2129" s="116"/>
      <c r="L2129" s="170">
        <v>45139</v>
      </c>
      <c r="M2129" s="116">
        <v>1405</v>
      </c>
      <c r="N2129" s="116">
        <v>1410</v>
      </c>
      <c r="O2129" s="116">
        <v>1391.35</v>
      </c>
      <c r="P2129" s="116">
        <v>1403.4</v>
      </c>
      <c r="Q2129" s="116">
        <v>1405</v>
      </c>
      <c r="R2129">
        <v>50880</v>
      </c>
    </row>
    <row r="2130" spans="1:18" x14ac:dyDescent="0.25">
      <c r="A2130" s="170">
        <v>45140</v>
      </c>
      <c r="B2130" s="116">
        <v>1410</v>
      </c>
      <c r="C2130" s="116">
        <v>1405.4</v>
      </c>
      <c r="D2130" s="116">
        <v>1388.8</v>
      </c>
      <c r="E2130" s="116">
        <v>1410</v>
      </c>
      <c r="F2130" s="116">
        <v>1405.4</v>
      </c>
      <c r="G2130">
        <v>1574</v>
      </c>
      <c r="H2130" s="116"/>
      <c r="I2130" s="116"/>
      <c r="L2130" s="170">
        <v>45140</v>
      </c>
      <c r="M2130" s="116">
        <v>1405</v>
      </c>
      <c r="N2130" s="116">
        <v>1408.9</v>
      </c>
      <c r="O2130" s="116">
        <v>1388</v>
      </c>
      <c r="P2130" s="116">
        <v>1408.9</v>
      </c>
      <c r="Q2130" s="116">
        <v>1405</v>
      </c>
      <c r="R2130">
        <v>61211</v>
      </c>
    </row>
    <row r="2131" spans="1:18" x14ac:dyDescent="0.25">
      <c r="A2131" s="170">
        <v>45141</v>
      </c>
      <c r="B2131" s="116">
        <v>1425</v>
      </c>
      <c r="C2131" s="116">
        <v>1402.35</v>
      </c>
      <c r="D2131" s="116">
        <v>1393.75</v>
      </c>
      <c r="E2131" s="116">
        <v>1396.05</v>
      </c>
      <c r="F2131" s="116">
        <v>1402.35</v>
      </c>
      <c r="G2131">
        <v>7581</v>
      </c>
      <c r="H2131" s="116"/>
      <c r="I2131" s="116"/>
      <c r="L2131" s="170">
        <v>45141</v>
      </c>
      <c r="M2131" s="116">
        <v>1402.2</v>
      </c>
      <c r="N2131" s="116">
        <v>1426.2</v>
      </c>
      <c r="O2131" s="116">
        <v>1393.8</v>
      </c>
      <c r="P2131" s="116">
        <v>1405</v>
      </c>
      <c r="Q2131" s="116">
        <v>1402.2</v>
      </c>
      <c r="R2131">
        <v>79757</v>
      </c>
    </row>
    <row r="2132" spans="1:18" x14ac:dyDescent="0.25">
      <c r="A2132" s="170">
        <v>45142</v>
      </c>
      <c r="B2132" s="116">
        <v>1419.8</v>
      </c>
      <c r="C2132" s="116">
        <v>1402.25</v>
      </c>
      <c r="D2132" s="116">
        <v>1395.9</v>
      </c>
      <c r="E2132" s="116">
        <v>1419.8</v>
      </c>
      <c r="F2132" s="116">
        <v>1402.25</v>
      </c>
      <c r="G2132">
        <v>3509</v>
      </c>
      <c r="H2132" s="116"/>
      <c r="I2132" s="116"/>
      <c r="L2132" s="170">
        <v>45142</v>
      </c>
      <c r="M2132" s="116">
        <v>1401.6</v>
      </c>
      <c r="N2132" s="116">
        <v>1410</v>
      </c>
      <c r="O2132" s="116">
        <v>1396.25</v>
      </c>
      <c r="P2132" s="116">
        <v>1409.25</v>
      </c>
      <c r="Q2132" s="116">
        <v>1401.6</v>
      </c>
      <c r="R2132">
        <v>13284</v>
      </c>
    </row>
    <row r="2133" spans="1:18" x14ac:dyDescent="0.25">
      <c r="A2133" s="170">
        <v>45145</v>
      </c>
      <c r="B2133" s="116">
        <v>1410</v>
      </c>
      <c r="C2133" s="116">
        <v>1398.5</v>
      </c>
      <c r="D2133" s="116">
        <v>1395</v>
      </c>
      <c r="E2133" s="116">
        <v>1407.5</v>
      </c>
      <c r="F2133" s="116">
        <v>1398.5</v>
      </c>
      <c r="G2133">
        <v>2245</v>
      </c>
      <c r="H2133" s="116"/>
      <c r="I2133" s="116"/>
      <c r="L2133" s="170">
        <v>45145</v>
      </c>
      <c r="M2133" s="116">
        <v>1399.1</v>
      </c>
      <c r="N2133" s="116">
        <v>1410</v>
      </c>
      <c r="O2133" s="116">
        <v>1393.85</v>
      </c>
      <c r="P2133" s="116">
        <v>1407.6</v>
      </c>
      <c r="Q2133" s="116">
        <v>1399.1</v>
      </c>
      <c r="R2133">
        <v>45085</v>
      </c>
    </row>
    <row r="2134" spans="1:18" x14ac:dyDescent="0.25">
      <c r="A2134" s="170">
        <v>45146</v>
      </c>
      <c r="B2134" s="116">
        <v>1405</v>
      </c>
      <c r="C2134" s="116">
        <v>1399.9</v>
      </c>
      <c r="D2134" s="116">
        <v>1389.55</v>
      </c>
      <c r="E2134" s="116">
        <v>1405</v>
      </c>
      <c r="F2134" s="116">
        <v>1399.9</v>
      </c>
      <c r="G2134">
        <v>1741</v>
      </c>
      <c r="H2134" s="116"/>
      <c r="I2134" s="116"/>
      <c r="L2134" s="170">
        <v>45146</v>
      </c>
      <c r="M2134" s="116">
        <v>1400.65</v>
      </c>
      <c r="N2134" s="116">
        <v>1403.55</v>
      </c>
      <c r="O2134" s="116">
        <v>1390</v>
      </c>
      <c r="P2134" s="116">
        <v>1399.1</v>
      </c>
      <c r="Q2134" s="116">
        <v>1400.65</v>
      </c>
      <c r="R2134">
        <v>45613</v>
      </c>
    </row>
    <row r="2135" spans="1:18" x14ac:dyDescent="0.25">
      <c r="A2135" s="170">
        <v>45147</v>
      </c>
      <c r="B2135" s="116">
        <v>1442</v>
      </c>
      <c r="C2135" s="116">
        <v>1432</v>
      </c>
      <c r="D2135" s="116">
        <v>1392.05</v>
      </c>
      <c r="E2135" s="116">
        <v>1392.05</v>
      </c>
      <c r="F2135" s="116">
        <v>1432</v>
      </c>
      <c r="G2135">
        <v>3888</v>
      </c>
      <c r="H2135" s="116"/>
      <c r="I2135" s="116"/>
      <c r="L2135" s="170">
        <v>45147</v>
      </c>
      <c r="M2135" s="116">
        <v>1433.3</v>
      </c>
      <c r="N2135" s="116">
        <v>1442</v>
      </c>
      <c r="O2135" s="116">
        <v>1395</v>
      </c>
      <c r="P2135" s="116">
        <v>1400.65</v>
      </c>
      <c r="Q2135" s="116">
        <v>1433.3</v>
      </c>
      <c r="R2135">
        <v>97914</v>
      </c>
    </row>
    <row r="2136" spans="1:18" x14ac:dyDescent="0.25">
      <c r="A2136" s="170">
        <v>45148</v>
      </c>
      <c r="B2136" s="116">
        <v>1444</v>
      </c>
      <c r="C2136" s="116">
        <v>1432.1</v>
      </c>
      <c r="D2136" s="116">
        <v>1423.4</v>
      </c>
      <c r="E2136" s="116">
        <v>1433.3</v>
      </c>
      <c r="F2136" s="116">
        <v>1432.1</v>
      </c>
      <c r="G2136">
        <v>2245</v>
      </c>
      <c r="H2136" s="116"/>
      <c r="I2136" s="116"/>
      <c r="L2136" s="170">
        <v>45148</v>
      </c>
      <c r="M2136" s="116">
        <v>1431.6</v>
      </c>
      <c r="N2136" s="116">
        <v>1445</v>
      </c>
      <c r="O2136" s="116">
        <v>1422</v>
      </c>
      <c r="P2136" s="116">
        <v>1440.5</v>
      </c>
      <c r="Q2136" s="116">
        <v>1431.6</v>
      </c>
      <c r="R2136">
        <v>46169</v>
      </c>
    </row>
    <row r="2137" spans="1:18" x14ac:dyDescent="0.25">
      <c r="A2137" s="170">
        <v>45149</v>
      </c>
      <c r="B2137" s="116">
        <v>1455</v>
      </c>
      <c r="C2137" s="116">
        <v>1441.7</v>
      </c>
      <c r="D2137" s="116">
        <v>1426.3</v>
      </c>
      <c r="E2137" s="116">
        <v>1426.3</v>
      </c>
      <c r="F2137" s="116">
        <v>1441.7</v>
      </c>
      <c r="G2137">
        <v>7173</v>
      </c>
      <c r="H2137" s="116"/>
      <c r="I2137" s="116"/>
      <c r="L2137" s="170">
        <v>45149</v>
      </c>
      <c r="M2137" s="116">
        <v>1441.6</v>
      </c>
      <c r="N2137" s="116">
        <v>1455.1</v>
      </c>
      <c r="O2137" s="116">
        <v>1428.85</v>
      </c>
      <c r="P2137" s="116">
        <v>1431.6</v>
      </c>
      <c r="Q2137" s="116">
        <v>1441.6</v>
      </c>
      <c r="R2137">
        <v>92402</v>
      </c>
    </row>
    <row r="2138" spans="1:18" x14ac:dyDescent="0.25">
      <c r="A2138" s="170">
        <v>45152</v>
      </c>
      <c r="B2138" s="116">
        <v>1431.2</v>
      </c>
      <c r="C2138" s="116">
        <v>1415.85</v>
      </c>
      <c r="D2138" s="116">
        <v>1411.25</v>
      </c>
      <c r="E2138" s="116">
        <v>1413.25</v>
      </c>
      <c r="F2138" s="116">
        <v>1415.85</v>
      </c>
      <c r="G2138">
        <v>2114</v>
      </c>
      <c r="H2138" s="116"/>
      <c r="I2138" s="116"/>
      <c r="L2138" s="170">
        <v>45152</v>
      </c>
      <c r="M2138" s="116">
        <v>1415.1</v>
      </c>
      <c r="N2138" s="116">
        <v>1436</v>
      </c>
      <c r="O2138" s="116">
        <v>1409.1</v>
      </c>
      <c r="P2138" s="116">
        <v>1436</v>
      </c>
      <c r="Q2138" s="116">
        <v>1415.1</v>
      </c>
      <c r="R2138">
        <v>70554</v>
      </c>
    </row>
    <row r="2139" spans="1:18" x14ac:dyDescent="0.25">
      <c r="A2139" s="170">
        <v>45154</v>
      </c>
      <c r="B2139" s="116">
        <v>1421.45</v>
      </c>
      <c r="C2139" s="116">
        <v>1414.85</v>
      </c>
      <c r="D2139" s="116">
        <v>1392.05</v>
      </c>
      <c r="E2139" s="116">
        <v>1392.05</v>
      </c>
      <c r="F2139" s="116">
        <v>1414.85</v>
      </c>
      <c r="G2139">
        <v>1859</v>
      </c>
      <c r="H2139" s="116"/>
      <c r="I2139" s="116"/>
      <c r="L2139" s="170">
        <v>45154</v>
      </c>
      <c r="M2139" s="116">
        <v>1416.35</v>
      </c>
      <c r="N2139" s="116">
        <v>1421.7</v>
      </c>
      <c r="O2139" s="116">
        <v>1408</v>
      </c>
      <c r="P2139" s="116">
        <v>1419.8</v>
      </c>
      <c r="Q2139" s="116">
        <v>1416.35</v>
      </c>
      <c r="R2139">
        <v>21967</v>
      </c>
    </row>
    <row r="2140" spans="1:18" x14ac:dyDescent="0.25">
      <c r="A2140" s="170">
        <v>45155</v>
      </c>
      <c r="B2140" s="116">
        <v>1422.8</v>
      </c>
      <c r="C2140" s="116">
        <v>1406.85</v>
      </c>
      <c r="D2140" s="116">
        <v>1405.15</v>
      </c>
      <c r="E2140" s="116">
        <v>1414.85</v>
      </c>
      <c r="F2140" s="116">
        <v>1406.85</v>
      </c>
      <c r="G2140">
        <v>1087</v>
      </c>
      <c r="H2140" s="116"/>
      <c r="I2140" s="116"/>
      <c r="L2140" s="170">
        <v>45155</v>
      </c>
      <c r="M2140" s="116">
        <v>1408.85</v>
      </c>
      <c r="N2140" s="116">
        <v>1422.25</v>
      </c>
      <c r="O2140" s="116">
        <v>1405</v>
      </c>
      <c r="P2140" s="116">
        <v>1414.9</v>
      </c>
      <c r="Q2140" s="116">
        <v>1408.85</v>
      </c>
      <c r="R2140">
        <v>17477</v>
      </c>
    </row>
    <row r="2141" spans="1:18" x14ac:dyDescent="0.25">
      <c r="A2141" s="170">
        <v>45156</v>
      </c>
      <c r="B2141" s="116">
        <v>1419.35</v>
      </c>
      <c r="C2141" s="116">
        <v>1409.3</v>
      </c>
      <c r="D2141" s="116">
        <v>1395.8</v>
      </c>
      <c r="E2141" s="116">
        <v>1409.55</v>
      </c>
      <c r="F2141" s="116">
        <v>1409.3</v>
      </c>
      <c r="G2141">
        <v>983</v>
      </c>
      <c r="H2141" s="116"/>
      <c r="I2141" s="116"/>
      <c r="L2141" s="170">
        <v>45156</v>
      </c>
      <c r="M2141" s="116">
        <v>1410.2</v>
      </c>
      <c r="N2141" s="116">
        <v>1418.05</v>
      </c>
      <c r="O2141" s="116">
        <v>1396.2</v>
      </c>
      <c r="P2141" s="116">
        <v>1406.1</v>
      </c>
      <c r="Q2141" s="116">
        <v>1410.2</v>
      </c>
      <c r="R2141">
        <v>47620</v>
      </c>
    </row>
    <row r="2142" spans="1:18" x14ac:dyDescent="0.25">
      <c r="A2142" s="170">
        <v>45159</v>
      </c>
      <c r="B2142" s="116">
        <v>1415.55</v>
      </c>
      <c r="C2142" s="116">
        <v>1402.45</v>
      </c>
      <c r="D2142" s="116">
        <v>1399</v>
      </c>
      <c r="E2142" s="116">
        <v>1410.2</v>
      </c>
      <c r="F2142" s="116">
        <v>1402.45</v>
      </c>
      <c r="G2142">
        <v>2639</v>
      </c>
      <c r="H2142" s="116"/>
      <c r="I2142" s="116"/>
      <c r="L2142" s="170">
        <v>45159</v>
      </c>
      <c r="M2142" s="116">
        <v>1404.6</v>
      </c>
      <c r="N2142" s="116">
        <v>1417.6</v>
      </c>
      <c r="O2142" s="116">
        <v>1397</v>
      </c>
      <c r="P2142" s="116">
        <v>1417.6</v>
      </c>
      <c r="Q2142" s="116">
        <v>1404.6</v>
      </c>
      <c r="R2142">
        <v>39644</v>
      </c>
    </row>
    <row r="2143" spans="1:18" x14ac:dyDescent="0.25">
      <c r="A2143" s="170">
        <v>45160</v>
      </c>
      <c r="B2143" s="116">
        <v>1411.8</v>
      </c>
      <c r="C2143" s="116">
        <v>1400.55</v>
      </c>
      <c r="D2143" s="116">
        <v>1398</v>
      </c>
      <c r="E2143" s="116">
        <v>1409.45</v>
      </c>
      <c r="F2143" s="116">
        <v>1400.55</v>
      </c>
      <c r="G2143">
        <v>2646</v>
      </c>
      <c r="H2143" s="116"/>
      <c r="I2143" s="116"/>
      <c r="L2143" s="170">
        <v>45160</v>
      </c>
      <c r="M2143" s="116">
        <v>1401.65</v>
      </c>
      <c r="N2143" s="116">
        <v>1410</v>
      </c>
      <c r="O2143" s="116">
        <v>1397.75</v>
      </c>
      <c r="P2143" s="116">
        <v>1410</v>
      </c>
      <c r="Q2143" s="116">
        <v>1401.65</v>
      </c>
      <c r="R2143">
        <v>13996</v>
      </c>
    </row>
    <row r="2144" spans="1:18" x14ac:dyDescent="0.25">
      <c r="A2144" s="170">
        <v>45161</v>
      </c>
      <c r="B2144" s="116">
        <v>1425.45</v>
      </c>
      <c r="C2144" s="116">
        <v>1420.25</v>
      </c>
      <c r="D2144" s="116">
        <v>1388.8</v>
      </c>
      <c r="E2144" s="116">
        <v>1404.65</v>
      </c>
      <c r="F2144" s="116">
        <v>1420.25</v>
      </c>
      <c r="G2144">
        <v>2135</v>
      </c>
      <c r="H2144" s="116"/>
      <c r="I2144" s="116"/>
      <c r="L2144" s="170">
        <v>45161</v>
      </c>
      <c r="M2144" s="116">
        <v>1421.55</v>
      </c>
      <c r="N2144" s="116">
        <v>1426.65</v>
      </c>
      <c r="O2144" s="116">
        <v>1387.8</v>
      </c>
      <c r="P2144" s="116">
        <v>1401.65</v>
      </c>
      <c r="Q2144" s="116">
        <v>1421.55</v>
      </c>
      <c r="R2144">
        <v>162685</v>
      </c>
    </row>
    <row r="2145" spans="1:18" x14ac:dyDescent="0.25">
      <c r="A2145" s="170">
        <v>45162</v>
      </c>
      <c r="B2145" s="116">
        <v>1433.15</v>
      </c>
      <c r="C2145" s="116">
        <v>1412.15</v>
      </c>
      <c r="D2145" s="116">
        <v>1405.75</v>
      </c>
      <c r="E2145" s="116">
        <v>1424.4</v>
      </c>
      <c r="F2145" s="116">
        <v>1412.15</v>
      </c>
      <c r="G2145">
        <v>1786</v>
      </c>
      <c r="H2145" s="116"/>
      <c r="I2145" s="116"/>
      <c r="L2145" s="170">
        <v>45162</v>
      </c>
      <c r="M2145" s="116">
        <v>1411.45</v>
      </c>
      <c r="N2145" s="116">
        <v>1424</v>
      </c>
      <c r="O2145" s="116">
        <v>1407</v>
      </c>
      <c r="P2145" s="116">
        <v>1422.95</v>
      </c>
      <c r="Q2145" s="116">
        <v>1411.45</v>
      </c>
      <c r="R2145">
        <v>59709</v>
      </c>
    </row>
    <row r="2146" spans="1:18" x14ac:dyDescent="0.25">
      <c r="A2146" s="170">
        <v>45163</v>
      </c>
      <c r="B2146" s="116">
        <v>1423</v>
      </c>
      <c r="C2146" s="116">
        <v>1419</v>
      </c>
      <c r="D2146" s="116">
        <v>1395.85</v>
      </c>
      <c r="E2146" s="116">
        <v>1400.05</v>
      </c>
      <c r="F2146" s="116">
        <v>1419</v>
      </c>
      <c r="G2146">
        <v>5431</v>
      </c>
      <c r="H2146" s="116"/>
      <c r="I2146" s="116"/>
      <c r="L2146" s="170">
        <v>45163</v>
      </c>
      <c r="M2146" s="116">
        <v>1420.4</v>
      </c>
      <c r="N2146" s="116">
        <v>1425</v>
      </c>
      <c r="O2146" s="116">
        <v>1397.1</v>
      </c>
      <c r="P2146" s="116">
        <v>1410</v>
      </c>
      <c r="Q2146" s="116">
        <v>1420.4</v>
      </c>
      <c r="R2146">
        <v>46656</v>
      </c>
    </row>
    <row r="2147" spans="1:18" x14ac:dyDescent="0.25">
      <c r="A2147" s="170">
        <v>45166</v>
      </c>
      <c r="B2147" s="116">
        <v>1446.35</v>
      </c>
      <c r="C2147" s="116">
        <v>1406.7</v>
      </c>
      <c r="D2147" s="116">
        <v>1399.95</v>
      </c>
      <c r="E2147" s="116">
        <v>1402.05</v>
      </c>
      <c r="F2147" s="116">
        <v>1406.7</v>
      </c>
      <c r="G2147">
        <v>2886</v>
      </c>
      <c r="H2147" s="116"/>
      <c r="I2147" s="116"/>
      <c r="L2147" s="170">
        <v>45166</v>
      </c>
      <c r="M2147" s="116">
        <v>1412.75</v>
      </c>
      <c r="N2147" s="116">
        <v>1448</v>
      </c>
      <c r="O2147" s="116">
        <v>1410</v>
      </c>
      <c r="P2147" s="116">
        <v>1420.75</v>
      </c>
      <c r="Q2147" s="116">
        <v>1412.75</v>
      </c>
      <c r="R2147">
        <v>90350</v>
      </c>
    </row>
    <row r="2148" spans="1:18" x14ac:dyDescent="0.25">
      <c r="A2148" s="170">
        <v>45167</v>
      </c>
      <c r="B2148" s="116">
        <v>1430</v>
      </c>
      <c r="C2148" s="116">
        <v>1413.25</v>
      </c>
      <c r="D2148" s="116">
        <v>1410.8</v>
      </c>
      <c r="E2148" s="116">
        <v>1419.5</v>
      </c>
      <c r="F2148" s="116">
        <v>1413.25</v>
      </c>
      <c r="G2148">
        <v>781</v>
      </c>
      <c r="H2148" s="116"/>
      <c r="I2148" s="116"/>
      <c r="L2148" s="170">
        <v>45167</v>
      </c>
      <c r="M2148" s="116">
        <v>1413.5</v>
      </c>
      <c r="N2148" s="116">
        <v>1431.7</v>
      </c>
      <c r="O2148" s="116">
        <v>1411</v>
      </c>
      <c r="P2148" s="116">
        <v>1419.85</v>
      </c>
      <c r="Q2148" s="116">
        <v>1413.5</v>
      </c>
      <c r="R2148">
        <v>27644</v>
      </c>
    </row>
    <row r="2149" spans="1:18" x14ac:dyDescent="0.25">
      <c r="A2149" s="170">
        <v>45168</v>
      </c>
      <c r="B2149" s="116">
        <v>1420</v>
      </c>
      <c r="C2149" s="116">
        <v>1412.95</v>
      </c>
      <c r="D2149" s="116">
        <v>1405.2</v>
      </c>
      <c r="E2149" s="116">
        <v>1405.2</v>
      </c>
      <c r="F2149" s="116">
        <v>1412.95</v>
      </c>
      <c r="G2149">
        <v>2079</v>
      </c>
      <c r="H2149" s="116"/>
      <c r="I2149" s="116"/>
      <c r="L2149" s="170">
        <v>45168</v>
      </c>
      <c r="M2149" s="116">
        <v>1414.15</v>
      </c>
      <c r="N2149" s="116">
        <v>1420.9</v>
      </c>
      <c r="O2149" s="116">
        <v>1405</v>
      </c>
      <c r="P2149" s="116">
        <v>1415.05</v>
      </c>
      <c r="Q2149" s="116">
        <v>1414.15</v>
      </c>
      <c r="R2149">
        <v>24202</v>
      </c>
    </row>
    <row r="2150" spans="1:18" x14ac:dyDescent="0.25">
      <c r="A2150" s="170">
        <v>45169</v>
      </c>
      <c r="B2150" s="116">
        <v>1445.2</v>
      </c>
      <c r="C2150" s="116">
        <v>1428.1</v>
      </c>
      <c r="D2150" s="116">
        <v>1405.1</v>
      </c>
      <c r="E2150" s="116">
        <v>1405.1</v>
      </c>
      <c r="F2150" s="116">
        <v>1428.1</v>
      </c>
      <c r="G2150">
        <v>2485</v>
      </c>
      <c r="H2150" s="116"/>
      <c r="I2150" s="116"/>
      <c r="L2150" s="170">
        <v>45169</v>
      </c>
      <c r="M2150" s="116">
        <v>1429.5</v>
      </c>
      <c r="N2150" s="116">
        <v>1446.25</v>
      </c>
      <c r="O2150" s="116">
        <v>1414.95</v>
      </c>
      <c r="P2150" s="116">
        <v>1414.95</v>
      </c>
      <c r="Q2150" s="116">
        <v>1429.5</v>
      </c>
      <c r="R2150">
        <v>166401</v>
      </c>
    </row>
    <row r="2151" spans="1:18" x14ac:dyDescent="0.25">
      <c r="A2151" s="170">
        <v>45170</v>
      </c>
      <c r="B2151" s="116">
        <v>1468</v>
      </c>
      <c r="C2151" s="116">
        <v>1438.4</v>
      </c>
      <c r="D2151" s="116">
        <v>1420</v>
      </c>
      <c r="E2151" s="116">
        <v>1425.9</v>
      </c>
      <c r="F2151" s="116">
        <v>1438.4</v>
      </c>
      <c r="G2151">
        <v>4713</v>
      </c>
      <c r="H2151" s="116"/>
      <c r="I2151" s="116"/>
      <c r="L2151" s="170">
        <v>45170</v>
      </c>
      <c r="M2151" s="116">
        <v>1438.3</v>
      </c>
      <c r="N2151" s="116">
        <v>1468</v>
      </c>
      <c r="O2151" s="116">
        <v>1416.5</v>
      </c>
      <c r="P2151" s="116">
        <v>1420</v>
      </c>
      <c r="Q2151" s="116">
        <v>1438.3</v>
      </c>
      <c r="R2151">
        <v>114833</v>
      </c>
    </row>
    <row r="2152" spans="1:18" x14ac:dyDescent="0.25">
      <c r="A2152" s="170">
        <v>45173</v>
      </c>
      <c r="B2152" s="116">
        <v>1474.1</v>
      </c>
      <c r="C2152" s="116">
        <v>1424.85</v>
      </c>
      <c r="D2152" s="116">
        <v>1420.4</v>
      </c>
      <c r="E2152" s="116">
        <v>1445</v>
      </c>
      <c r="F2152" s="116">
        <v>1424.85</v>
      </c>
      <c r="G2152">
        <v>4915</v>
      </c>
      <c r="H2152" s="116"/>
      <c r="I2152" s="116"/>
      <c r="L2152" s="170">
        <v>45173</v>
      </c>
      <c r="M2152" s="116">
        <v>1426.1</v>
      </c>
      <c r="N2152" s="116">
        <v>1474</v>
      </c>
      <c r="O2152" s="116">
        <v>1421.1</v>
      </c>
      <c r="P2152" s="116">
        <v>1447.95</v>
      </c>
      <c r="Q2152" s="116">
        <v>1426.1</v>
      </c>
      <c r="R2152">
        <v>88766</v>
      </c>
    </row>
    <row r="2153" spans="1:18" x14ac:dyDescent="0.25">
      <c r="A2153" s="170">
        <v>45174</v>
      </c>
      <c r="B2153" s="116">
        <v>1462</v>
      </c>
      <c r="C2153" s="116">
        <v>1456</v>
      </c>
      <c r="D2153" s="116">
        <v>1422.5</v>
      </c>
      <c r="E2153" s="116">
        <v>1433.95</v>
      </c>
      <c r="F2153" s="116">
        <v>1456</v>
      </c>
      <c r="G2153">
        <v>4348</v>
      </c>
      <c r="H2153" s="116"/>
      <c r="I2153" s="116"/>
      <c r="L2153" s="170">
        <v>45174</v>
      </c>
      <c r="M2153" s="116">
        <v>1457.5</v>
      </c>
      <c r="N2153" s="116">
        <v>1461.25</v>
      </c>
      <c r="O2153" s="116">
        <v>1422.85</v>
      </c>
      <c r="P2153" s="116">
        <v>1430</v>
      </c>
      <c r="Q2153" s="116">
        <v>1457.5</v>
      </c>
      <c r="R2153">
        <v>78092</v>
      </c>
    </row>
    <row r="2154" spans="1:18" x14ac:dyDescent="0.25">
      <c r="A2154" s="170">
        <v>45175</v>
      </c>
      <c r="B2154" s="116">
        <v>1458</v>
      </c>
      <c r="C2154" s="116">
        <v>1446.45</v>
      </c>
      <c r="D2154" s="116">
        <v>1443.45</v>
      </c>
      <c r="E2154" s="116">
        <v>1458</v>
      </c>
      <c r="F2154" s="116">
        <v>1446.45</v>
      </c>
      <c r="G2154">
        <v>2005</v>
      </c>
      <c r="H2154" s="116"/>
      <c r="I2154" s="116"/>
      <c r="L2154" s="170">
        <v>45175</v>
      </c>
      <c r="M2154" s="116">
        <v>1446.9</v>
      </c>
      <c r="N2154" s="116">
        <v>1464.75</v>
      </c>
      <c r="O2154" s="116">
        <v>1443</v>
      </c>
      <c r="P2154" s="116">
        <v>1463.9</v>
      </c>
      <c r="Q2154" s="116">
        <v>1446.9</v>
      </c>
      <c r="R2154">
        <v>32865</v>
      </c>
    </row>
    <row r="2155" spans="1:18" x14ac:dyDescent="0.25">
      <c r="A2155" s="170">
        <v>45176</v>
      </c>
      <c r="B2155" s="116">
        <v>1468</v>
      </c>
      <c r="C2155" s="116">
        <v>1444.9</v>
      </c>
      <c r="D2155" s="116">
        <v>1436.75</v>
      </c>
      <c r="E2155" s="116">
        <v>1446.1</v>
      </c>
      <c r="F2155" s="116">
        <v>1444.9</v>
      </c>
      <c r="G2155">
        <v>1877</v>
      </c>
      <c r="H2155" s="116"/>
      <c r="I2155" s="116"/>
      <c r="L2155" s="170">
        <v>45176</v>
      </c>
      <c r="M2155" s="116">
        <v>1444.25</v>
      </c>
      <c r="N2155" s="116">
        <v>1468</v>
      </c>
      <c r="O2155" s="116">
        <v>1435</v>
      </c>
      <c r="P2155" s="116">
        <v>1435</v>
      </c>
      <c r="Q2155" s="116">
        <v>1444.25</v>
      </c>
      <c r="R2155">
        <v>104757</v>
      </c>
    </row>
    <row r="2156" spans="1:18" x14ac:dyDescent="0.25">
      <c r="A2156" s="170">
        <v>45177</v>
      </c>
      <c r="B2156" s="116">
        <v>1465</v>
      </c>
      <c r="C2156" s="116">
        <v>1461.5</v>
      </c>
      <c r="D2156" s="116">
        <v>1431.75</v>
      </c>
      <c r="E2156" s="116">
        <v>1431.75</v>
      </c>
      <c r="F2156" s="116">
        <v>1461.5</v>
      </c>
      <c r="G2156">
        <v>3804</v>
      </c>
      <c r="H2156" s="116"/>
      <c r="I2156" s="116"/>
      <c r="L2156" s="170">
        <v>45177</v>
      </c>
      <c r="M2156" s="116">
        <v>1461.5</v>
      </c>
      <c r="N2156" s="116">
        <v>1465.65</v>
      </c>
      <c r="O2156" s="116">
        <v>1425.2</v>
      </c>
      <c r="P2156" s="116">
        <v>1425.2</v>
      </c>
      <c r="Q2156" s="116">
        <v>1461.5</v>
      </c>
      <c r="R2156">
        <v>79063</v>
      </c>
    </row>
    <row r="2157" spans="1:18" x14ac:dyDescent="0.25">
      <c r="A2157" s="170">
        <v>45180</v>
      </c>
      <c r="B2157" s="116">
        <v>1480.95</v>
      </c>
      <c r="C2157" s="116">
        <v>1460.25</v>
      </c>
      <c r="D2157" s="116">
        <v>1450.05</v>
      </c>
      <c r="E2157" s="116">
        <v>1450.05</v>
      </c>
      <c r="F2157" s="116">
        <v>1460.25</v>
      </c>
      <c r="G2157">
        <v>3561</v>
      </c>
      <c r="H2157" s="116"/>
      <c r="I2157" s="116"/>
      <c r="L2157" s="170">
        <v>45180</v>
      </c>
      <c r="M2157" s="116">
        <v>1460.45</v>
      </c>
      <c r="N2157" s="116">
        <v>1480.85</v>
      </c>
      <c r="O2157" s="116">
        <v>1454.1</v>
      </c>
      <c r="P2157" s="116">
        <v>1465</v>
      </c>
      <c r="Q2157" s="116">
        <v>1460.45</v>
      </c>
      <c r="R2157">
        <v>79087</v>
      </c>
    </row>
    <row r="2158" spans="1:18" x14ac:dyDescent="0.25">
      <c r="A2158" s="170">
        <v>45181</v>
      </c>
      <c r="B2158" s="116">
        <v>1480</v>
      </c>
      <c r="C2158" s="116">
        <v>1464.4</v>
      </c>
      <c r="D2158" s="116">
        <v>1440</v>
      </c>
      <c r="E2158" s="116">
        <v>1460.05</v>
      </c>
      <c r="F2158" s="116">
        <v>1464.4</v>
      </c>
      <c r="G2158">
        <v>4469</v>
      </c>
      <c r="H2158" s="116"/>
      <c r="I2158" s="116"/>
      <c r="L2158" s="170">
        <v>45181</v>
      </c>
      <c r="M2158" s="116">
        <v>1461.75</v>
      </c>
      <c r="N2158" s="116">
        <v>1480.55</v>
      </c>
      <c r="O2158" s="116">
        <v>1439</v>
      </c>
      <c r="P2158" s="116">
        <v>1466.1</v>
      </c>
      <c r="Q2158" s="116">
        <v>1461.75</v>
      </c>
      <c r="R2158">
        <v>59029</v>
      </c>
    </row>
    <row r="2159" spans="1:18" x14ac:dyDescent="0.25">
      <c r="A2159" s="170">
        <v>45182</v>
      </c>
      <c r="B2159" s="116">
        <v>1551.85</v>
      </c>
      <c r="C2159" s="116">
        <v>1546.75</v>
      </c>
      <c r="D2159" s="116">
        <v>1453.1</v>
      </c>
      <c r="E2159" s="116">
        <v>1459.05</v>
      </c>
      <c r="F2159" s="116">
        <v>1546.75</v>
      </c>
      <c r="G2159">
        <v>32594</v>
      </c>
      <c r="H2159" s="116"/>
      <c r="I2159" s="116"/>
      <c r="L2159" s="170">
        <v>45182</v>
      </c>
      <c r="M2159" s="116">
        <v>1544.05</v>
      </c>
      <c r="N2159" s="116">
        <v>1552</v>
      </c>
      <c r="O2159" s="116">
        <v>1455.4</v>
      </c>
      <c r="P2159" s="116">
        <v>1465.95</v>
      </c>
      <c r="Q2159" s="116">
        <v>1544.05</v>
      </c>
      <c r="R2159">
        <v>335670</v>
      </c>
    </row>
    <row r="2160" spans="1:18" x14ac:dyDescent="0.25">
      <c r="A2160" s="170">
        <v>45183</v>
      </c>
      <c r="B2160" s="116">
        <v>1550</v>
      </c>
      <c r="C2160" s="116">
        <v>1538.5</v>
      </c>
      <c r="D2160" s="116">
        <v>1524.15</v>
      </c>
      <c r="E2160" s="116">
        <v>1549.95</v>
      </c>
      <c r="F2160" s="116">
        <v>1538.5</v>
      </c>
      <c r="G2160">
        <v>7621</v>
      </c>
      <c r="H2160" s="116"/>
      <c r="I2160" s="116"/>
      <c r="L2160" s="170">
        <v>45183</v>
      </c>
      <c r="M2160" s="116">
        <v>1538.55</v>
      </c>
      <c r="N2160" s="116">
        <v>1554</v>
      </c>
      <c r="O2160" s="116">
        <v>1531</v>
      </c>
      <c r="P2160" s="116">
        <v>1552</v>
      </c>
      <c r="Q2160" s="116">
        <v>1538.55</v>
      </c>
      <c r="R2160">
        <v>96048</v>
      </c>
    </row>
    <row r="2161" spans="1:18" x14ac:dyDescent="0.25">
      <c r="A2161" s="170">
        <v>45184</v>
      </c>
      <c r="B2161" s="116">
        <v>1613.5</v>
      </c>
      <c r="C2161" s="116">
        <v>1599.35</v>
      </c>
      <c r="D2161" s="116">
        <v>1500</v>
      </c>
      <c r="E2161" s="116">
        <v>1537</v>
      </c>
      <c r="F2161" s="116">
        <v>1599.35</v>
      </c>
      <c r="G2161">
        <v>14966</v>
      </c>
      <c r="H2161" s="116"/>
      <c r="I2161" s="116"/>
      <c r="L2161" s="170">
        <v>45184</v>
      </c>
      <c r="M2161" s="116">
        <v>1600.25</v>
      </c>
      <c r="N2161" s="116">
        <v>1615.05</v>
      </c>
      <c r="O2161" s="116">
        <v>1499.25</v>
      </c>
      <c r="P2161" s="116">
        <v>1538.55</v>
      </c>
      <c r="Q2161" s="116">
        <v>1600.25</v>
      </c>
      <c r="R2161">
        <v>306690</v>
      </c>
    </row>
    <row r="2162" spans="1:18" x14ac:dyDescent="0.25">
      <c r="A2162" s="170">
        <v>45187</v>
      </c>
      <c r="B2162" s="116">
        <v>1622.95</v>
      </c>
      <c r="C2162" s="116">
        <v>1590.85</v>
      </c>
      <c r="D2162" s="116">
        <v>1579.55</v>
      </c>
      <c r="E2162" s="116">
        <v>1600</v>
      </c>
      <c r="F2162" s="116">
        <v>1590.85</v>
      </c>
      <c r="G2162">
        <v>7827</v>
      </c>
      <c r="H2162" s="116"/>
      <c r="I2162" s="116"/>
      <c r="L2162" s="170">
        <v>45187</v>
      </c>
      <c r="M2162" s="116">
        <v>1592.95</v>
      </c>
      <c r="N2162" s="116">
        <v>1624</v>
      </c>
      <c r="O2162" s="116">
        <v>1578.65</v>
      </c>
      <c r="P2162" s="116">
        <v>1593.45</v>
      </c>
      <c r="Q2162" s="116">
        <v>1592.95</v>
      </c>
      <c r="R2162">
        <v>138150</v>
      </c>
    </row>
    <row r="2163" spans="1:18" x14ac:dyDescent="0.25">
      <c r="A2163" s="170">
        <v>45189</v>
      </c>
      <c r="B2163" s="116">
        <v>1603.45</v>
      </c>
      <c r="C2163" s="116">
        <v>1568.7</v>
      </c>
      <c r="D2163" s="116">
        <v>1562.7</v>
      </c>
      <c r="E2163" s="116">
        <v>1590.9</v>
      </c>
      <c r="F2163" s="116">
        <v>1568.7</v>
      </c>
      <c r="G2163">
        <v>3719</v>
      </c>
      <c r="H2163" s="116"/>
      <c r="I2163" s="116"/>
      <c r="L2163" s="170">
        <v>45189</v>
      </c>
      <c r="M2163" s="116">
        <v>1568.85</v>
      </c>
      <c r="N2163" s="116">
        <v>1605.05</v>
      </c>
      <c r="O2163" s="116">
        <v>1560</v>
      </c>
      <c r="P2163" s="116">
        <v>1595</v>
      </c>
      <c r="Q2163" s="116">
        <v>1568.85</v>
      </c>
      <c r="R2163">
        <v>46263</v>
      </c>
    </row>
    <row r="2164" spans="1:18" x14ac:dyDescent="0.25">
      <c r="A2164" s="170">
        <v>45190</v>
      </c>
      <c r="B2164" s="116">
        <v>1594</v>
      </c>
      <c r="C2164" s="116">
        <v>1553.9</v>
      </c>
      <c r="D2164" s="116">
        <v>1545</v>
      </c>
      <c r="E2164" s="116">
        <v>1568.7</v>
      </c>
      <c r="F2164" s="116">
        <v>1553.9</v>
      </c>
      <c r="G2164">
        <v>2634</v>
      </c>
      <c r="H2164" s="116"/>
      <c r="I2164" s="116"/>
      <c r="L2164" s="170">
        <v>45190</v>
      </c>
      <c r="M2164" s="116">
        <v>1555.8</v>
      </c>
      <c r="N2164" s="116">
        <v>1595.8</v>
      </c>
      <c r="O2164" s="116">
        <v>1545.4</v>
      </c>
      <c r="P2164" s="116">
        <v>1560.75</v>
      </c>
      <c r="Q2164" s="116">
        <v>1555.8</v>
      </c>
      <c r="R2164">
        <v>92022</v>
      </c>
    </row>
    <row r="2165" spans="1:18" x14ac:dyDescent="0.25">
      <c r="A2165" s="170">
        <v>45191</v>
      </c>
      <c r="B2165" s="116">
        <v>1574.2</v>
      </c>
      <c r="C2165" s="116">
        <v>1557.1</v>
      </c>
      <c r="D2165" s="116">
        <v>1543.85</v>
      </c>
      <c r="E2165" s="116">
        <v>1560</v>
      </c>
      <c r="F2165" s="116">
        <v>1557.1</v>
      </c>
      <c r="G2165">
        <v>2228</v>
      </c>
      <c r="H2165" s="116"/>
      <c r="I2165" s="116"/>
      <c r="L2165" s="170">
        <v>45191</v>
      </c>
      <c r="M2165" s="116">
        <v>1560.55</v>
      </c>
      <c r="N2165" s="116">
        <v>1575.45</v>
      </c>
      <c r="O2165" s="116">
        <v>1544.75</v>
      </c>
      <c r="P2165" s="116">
        <v>1565</v>
      </c>
      <c r="Q2165" s="116">
        <v>1560.55</v>
      </c>
      <c r="R2165">
        <v>143149</v>
      </c>
    </row>
    <row r="2166" spans="1:18" x14ac:dyDescent="0.25">
      <c r="A2166" s="170">
        <v>45194</v>
      </c>
      <c r="B2166" s="116">
        <v>1587.95</v>
      </c>
      <c r="C2166" s="116">
        <v>1538.25</v>
      </c>
      <c r="D2166" s="116">
        <v>1529.85</v>
      </c>
      <c r="E2166" s="116">
        <v>1587.95</v>
      </c>
      <c r="F2166" s="116">
        <v>1538.25</v>
      </c>
      <c r="G2166">
        <v>2649</v>
      </c>
      <c r="H2166" s="116"/>
      <c r="I2166" s="116"/>
      <c r="L2166" s="170">
        <v>45194</v>
      </c>
      <c r="M2166" s="116">
        <v>1539.65</v>
      </c>
      <c r="N2166" s="116">
        <v>1578.9</v>
      </c>
      <c r="O2166" s="116">
        <v>1532.85</v>
      </c>
      <c r="P2166" s="116">
        <v>1560.55</v>
      </c>
      <c r="Q2166" s="116">
        <v>1539.65</v>
      </c>
      <c r="R2166">
        <v>49380</v>
      </c>
    </row>
    <row r="2167" spans="1:18" x14ac:dyDescent="0.25">
      <c r="A2167" s="170">
        <v>45195</v>
      </c>
      <c r="B2167" s="116">
        <v>1556</v>
      </c>
      <c r="C2167" s="116">
        <v>1527.75</v>
      </c>
      <c r="D2167" s="116">
        <v>1515</v>
      </c>
      <c r="E2167" s="116">
        <v>1525.3</v>
      </c>
      <c r="F2167" s="116">
        <v>1527.75</v>
      </c>
      <c r="G2167">
        <v>2990</v>
      </c>
      <c r="H2167" s="116"/>
      <c r="I2167" s="116"/>
      <c r="L2167" s="170">
        <v>45195</v>
      </c>
      <c r="M2167" s="116">
        <v>1524.8</v>
      </c>
      <c r="N2167" s="116">
        <v>1559</v>
      </c>
      <c r="O2167" s="116">
        <v>1514.9</v>
      </c>
      <c r="P2167" s="116">
        <v>1541.65</v>
      </c>
      <c r="Q2167" s="116">
        <v>1524.8</v>
      </c>
      <c r="R2167">
        <v>71372</v>
      </c>
    </row>
    <row r="2168" spans="1:18" x14ac:dyDescent="0.25">
      <c r="A2168" s="170">
        <v>45196</v>
      </c>
      <c r="B2168" s="116">
        <v>1543.45</v>
      </c>
      <c r="C2168" s="116">
        <v>1525.6</v>
      </c>
      <c r="D2168" s="116">
        <v>1518.5</v>
      </c>
      <c r="E2168" s="116">
        <v>1520.1</v>
      </c>
      <c r="F2168" s="116">
        <v>1525.6</v>
      </c>
      <c r="G2168">
        <v>2208</v>
      </c>
      <c r="H2168" s="116"/>
      <c r="I2168" s="116"/>
      <c r="L2168" s="170">
        <v>45196</v>
      </c>
      <c r="M2168" s="116">
        <v>1525.3</v>
      </c>
      <c r="N2168" s="116">
        <v>1545</v>
      </c>
      <c r="O2168" s="116">
        <v>1515.2</v>
      </c>
      <c r="P2168" s="116">
        <v>1527.6</v>
      </c>
      <c r="Q2168" s="116">
        <v>1525.3</v>
      </c>
      <c r="R2168">
        <v>42896</v>
      </c>
    </row>
    <row r="2169" spans="1:18" x14ac:dyDescent="0.25">
      <c r="A2169" s="170">
        <v>45197</v>
      </c>
      <c r="B2169" s="116">
        <v>1548.1</v>
      </c>
      <c r="C2169" s="116">
        <v>1508.4</v>
      </c>
      <c r="D2169" s="116">
        <v>1501.65</v>
      </c>
      <c r="E2169" s="116">
        <v>1533.25</v>
      </c>
      <c r="F2169" s="116">
        <v>1508.4</v>
      </c>
      <c r="G2169">
        <v>3609</v>
      </c>
      <c r="H2169" s="116"/>
      <c r="I2169" s="116"/>
      <c r="L2169" s="170">
        <v>45197</v>
      </c>
      <c r="M2169" s="116">
        <v>1512.15</v>
      </c>
      <c r="N2169" s="116">
        <v>1540</v>
      </c>
      <c r="O2169" s="116">
        <v>1501.25</v>
      </c>
      <c r="P2169" s="116">
        <v>1528.4</v>
      </c>
      <c r="Q2169" s="116">
        <v>1512.15</v>
      </c>
      <c r="R2169">
        <v>27217</v>
      </c>
    </row>
    <row r="2170" spans="1:18" x14ac:dyDescent="0.25">
      <c r="A2170" s="170">
        <v>45198</v>
      </c>
      <c r="B2170" s="116">
        <v>1567</v>
      </c>
      <c r="C2170" s="116">
        <v>1544.5</v>
      </c>
      <c r="D2170" s="116">
        <v>1514.3</v>
      </c>
      <c r="E2170" s="116">
        <v>1518.1</v>
      </c>
      <c r="F2170" s="116">
        <v>1544.5</v>
      </c>
      <c r="G2170">
        <v>3209</v>
      </c>
      <c r="H2170" s="116"/>
      <c r="I2170" s="116"/>
      <c r="L2170" s="170">
        <v>45198</v>
      </c>
      <c r="M2170" s="116">
        <v>1548.25</v>
      </c>
      <c r="N2170" s="116">
        <v>1568.1</v>
      </c>
      <c r="O2170" s="116">
        <v>1512.2</v>
      </c>
      <c r="P2170" s="116">
        <v>1513.35</v>
      </c>
      <c r="Q2170" s="116">
        <v>1548.25</v>
      </c>
      <c r="R2170">
        <v>71984</v>
      </c>
    </row>
    <row r="2171" spans="1:18" x14ac:dyDescent="0.25">
      <c r="A2171" s="170">
        <v>45202</v>
      </c>
      <c r="B2171" s="116">
        <v>1577.2</v>
      </c>
      <c r="C2171" s="116">
        <v>1570.6</v>
      </c>
      <c r="D2171" s="116">
        <v>1537</v>
      </c>
      <c r="E2171" s="116">
        <v>1550</v>
      </c>
      <c r="F2171" s="116">
        <v>1570.6</v>
      </c>
      <c r="G2171">
        <v>2755</v>
      </c>
      <c r="H2171" s="116"/>
      <c r="I2171" s="116"/>
      <c r="L2171" s="170">
        <v>45202</v>
      </c>
      <c r="M2171" s="116">
        <v>1570.4</v>
      </c>
      <c r="N2171" s="116">
        <v>1578</v>
      </c>
      <c r="O2171" s="116">
        <v>1535</v>
      </c>
      <c r="P2171" s="116">
        <v>1549</v>
      </c>
      <c r="Q2171" s="116">
        <v>1570.4</v>
      </c>
      <c r="R2171">
        <v>160141</v>
      </c>
    </row>
    <row r="2172" spans="1:18" x14ac:dyDescent="0.25">
      <c r="A2172" s="170">
        <v>45203</v>
      </c>
      <c r="B2172" s="116">
        <v>1571</v>
      </c>
      <c r="C2172" s="116">
        <v>1566.6</v>
      </c>
      <c r="D2172" s="116">
        <v>1540.25</v>
      </c>
      <c r="E2172" s="116">
        <v>1540.25</v>
      </c>
      <c r="F2172" s="116">
        <v>1566.6</v>
      </c>
      <c r="G2172">
        <v>3085</v>
      </c>
      <c r="H2172" s="116"/>
      <c r="I2172" s="116"/>
      <c r="L2172" s="170">
        <v>45203</v>
      </c>
      <c r="M2172" s="116">
        <v>1560.9</v>
      </c>
      <c r="N2172" s="116">
        <v>1572.15</v>
      </c>
      <c r="O2172" s="116">
        <v>1536.2</v>
      </c>
      <c r="P2172" s="116">
        <v>1550</v>
      </c>
      <c r="Q2172" s="116">
        <v>1560.9</v>
      </c>
      <c r="R2172">
        <v>233489</v>
      </c>
    </row>
    <row r="2173" spans="1:18" x14ac:dyDescent="0.25">
      <c r="A2173" s="170">
        <v>45204</v>
      </c>
      <c r="B2173" s="116">
        <v>1569.7</v>
      </c>
      <c r="C2173" s="116">
        <v>1539.75</v>
      </c>
      <c r="D2173" s="116">
        <v>1536</v>
      </c>
      <c r="E2173" s="116">
        <v>1564.95</v>
      </c>
      <c r="F2173" s="116">
        <v>1539.75</v>
      </c>
      <c r="G2173">
        <v>1317</v>
      </c>
      <c r="H2173" s="116"/>
      <c r="I2173" s="116"/>
      <c r="L2173" s="170">
        <v>45204</v>
      </c>
      <c r="M2173" s="116">
        <v>1540.55</v>
      </c>
      <c r="N2173" s="116">
        <v>1568.75</v>
      </c>
      <c r="O2173" s="116">
        <v>1537</v>
      </c>
      <c r="P2173" s="116">
        <v>1565</v>
      </c>
      <c r="Q2173" s="116">
        <v>1540.55</v>
      </c>
      <c r="R2173">
        <v>26736</v>
      </c>
    </row>
    <row r="2174" spans="1:18" x14ac:dyDescent="0.25">
      <c r="A2174" s="170">
        <v>45205</v>
      </c>
      <c r="B2174" s="116">
        <v>1570</v>
      </c>
      <c r="C2174" s="116">
        <v>1550.25</v>
      </c>
      <c r="D2174" s="116">
        <v>1535.5</v>
      </c>
      <c r="E2174" s="116">
        <v>1541</v>
      </c>
      <c r="F2174" s="116">
        <v>1550.25</v>
      </c>
      <c r="G2174">
        <v>1498</v>
      </c>
      <c r="H2174" s="116"/>
      <c r="I2174" s="116"/>
      <c r="L2174" s="170">
        <v>45205</v>
      </c>
      <c r="M2174" s="116">
        <v>1555</v>
      </c>
      <c r="N2174" s="116">
        <v>1570.8</v>
      </c>
      <c r="O2174" s="116">
        <v>1536.25</v>
      </c>
      <c r="P2174" s="116">
        <v>1548.1</v>
      </c>
      <c r="Q2174" s="116">
        <v>1555</v>
      </c>
      <c r="R2174">
        <v>50525</v>
      </c>
    </row>
    <row r="2175" spans="1:18" x14ac:dyDescent="0.25">
      <c r="A2175" s="170">
        <v>45208</v>
      </c>
      <c r="B2175" s="116">
        <v>1565.15</v>
      </c>
      <c r="C2175" s="116">
        <v>1543.05</v>
      </c>
      <c r="D2175" s="116">
        <v>1529.6</v>
      </c>
      <c r="E2175" s="116">
        <v>1540.25</v>
      </c>
      <c r="F2175" s="116">
        <v>1543.05</v>
      </c>
      <c r="G2175">
        <v>2641</v>
      </c>
      <c r="H2175" s="116"/>
      <c r="I2175" s="116"/>
      <c r="L2175" s="170">
        <v>45208</v>
      </c>
      <c r="M2175" s="116">
        <v>1539.95</v>
      </c>
      <c r="N2175" s="116">
        <v>1570</v>
      </c>
      <c r="O2175" s="116">
        <v>1530</v>
      </c>
      <c r="P2175" s="116">
        <v>1548</v>
      </c>
      <c r="Q2175" s="116">
        <v>1539.95</v>
      </c>
      <c r="R2175">
        <v>48806</v>
      </c>
    </row>
    <row r="2176" spans="1:18" x14ac:dyDescent="0.25">
      <c r="A2176" s="170">
        <v>45209</v>
      </c>
      <c r="B2176" s="116">
        <v>1553.4</v>
      </c>
      <c r="C2176" s="116">
        <v>1537.75</v>
      </c>
      <c r="D2176" s="116">
        <v>1513.95</v>
      </c>
      <c r="E2176" s="116">
        <v>1539.95</v>
      </c>
      <c r="F2176" s="116">
        <v>1537.75</v>
      </c>
      <c r="G2176">
        <v>6035</v>
      </c>
      <c r="H2176" s="116"/>
      <c r="I2176" s="116"/>
      <c r="L2176" s="170">
        <v>45209</v>
      </c>
      <c r="M2176" s="116">
        <v>1547.5</v>
      </c>
      <c r="N2176" s="116">
        <v>1552</v>
      </c>
      <c r="O2176" s="116">
        <v>1535</v>
      </c>
      <c r="P2176" s="116">
        <v>1539.3</v>
      </c>
      <c r="Q2176" s="116">
        <v>1547.5</v>
      </c>
      <c r="R2176">
        <v>51752</v>
      </c>
    </row>
    <row r="2177" spans="1:18" x14ac:dyDescent="0.25">
      <c r="A2177" s="170">
        <v>45210</v>
      </c>
      <c r="B2177" s="116">
        <v>1563.05</v>
      </c>
      <c r="C2177" s="116">
        <v>1534.25</v>
      </c>
      <c r="D2177" s="116">
        <v>1441</v>
      </c>
      <c r="E2177" s="116">
        <v>1529</v>
      </c>
      <c r="F2177" s="116">
        <v>1534.25</v>
      </c>
      <c r="G2177">
        <v>1516</v>
      </c>
      <c r="H2177" s="116"/>
      <c r="I2177" s="116"/>
      <c r="L2177" s="170">
        <v>45210</v>
      </c>
      <c r="M2177" s="116">
        <v>1533.2</v>
      </c>
      <c r="N2177" s="116">
        <v>1568.4</v>
      </c>
      <c r="O2177" s="116">
        <v>1529.95</v>
      </c>
      <c r="P2177" s="116">
        <v>1543.85</v>
      </c>
      <c r="Q2177" s="116">
        <v>1533.2</v>
      </c>
      <c r="R2177">
        <v>30150</v>
      </c>
    </row>
    <row r="2178" spans="1:18" x14ac:dyDescent="0.25">
      <c r="A2178" s="170">
        <v>45211</v>
      </c>
      <c r="B2178" s="116">
        <v>1545.25</v>
      </c>
      <c r="C2178" s="116">
        <v>1522.1</v>
      </c>
      <c r="D2178" s="116">
        <v>1517.85</v>
      </c>
      <c r="E2178" s="116">
        <v>1534</v>
      </c>
      <c r="F2178" s="116">
        <v>1522.1</v>
      </c>
      <c r="G2178">
        <v>3780</v>
      </c>
      <c r="H2178" s="116"/>
      <c r="I2178" s="116"/>
      <c r="L2178" s="170">
        <v>45211</v>
      </c>
      <c r="M2178" s="116">
        <v>1521.75</v>
      </c>
      <c r="N2178" s="116">
        <v>1546.9</v>
      </c>
      <c r="O2178" s="116">
        <v>1515</v>
      </c>
      <c r="P2178" s="116">
        <v>1525.5</v>
      </c>
      <c r="Q2178" s="116">
        <v>1521.75</v>
      </c>
      <c r="R2178">
        <v>27165</v>
      </c>
    </row>
    <row r="2179" spans="1:18" x14ac:dyDescent="0.25">
      <c r="A2179" s="170">
        <v>45212</v>
      </c>
      <c r="B2179" s="116">
        <v>1541</v>
      </c>
      <c r="C2179" s="116">
        <v>1526.65</v>
      </c>
      <c r="D2179" s="116">
        <v>1520.4</v>
      </c>
      <c r="E2179" s="116">
        <v>1520.4</v>
      </c>
      <c r="F2179" s="116">
        <v>1526.65</v>
      </c>
      <c r="G2179">
        <v>6462</v>
      </c>
      <c r="H2179" s="116"/>
      <c r="I2179" s="116"/>
      <c r="L2179" s="170">
        <v>45212</v>
      </c>
      <c r="M2179" s="116">
        <v>1527.75</v>
      </c>
      <c r="N2179" s="116">
        <v>1544.15</v>
      </c>
      <c r="O2179" s="116">
        <v>1515</v>
      </c>
      <c r="P2179" s="116">
        <v>1515</v>
      </c>
      <c r="Q2179" s="116">
        <v>1527.75</v>
      </c>
      <c r="R2179">
        <v>38054</v>
      </c>
    </row>
    <row r="2180" spans="1:18" x14ac:dyDescent="0.25">
      <c r="A2180" s="170">
        <v>45215</v>
      </c>
      <c r="B2180" s="116">
        <v>1598.45</v>
      </c>
      <c r="C2180" s="116">
        <v>1539.55</v>
      </c>
      <c r="D2180" s="116">
        <v>1532.8</v>
      </c>
      <c r="E2180" s="116">
        <v>1544.5</v>
      </c>
      <c r="F2180" s="116">
        <v>1539.55</v>
      </c>
      <c r="G2180">
        <v>5391</v>
      </c>
      <c r="H2180" s="116"/>
      <c r="I2180" s="116"/>
      <c r="L2180" s="170">
        <v>45215</v>
      </c>
      <c r="M2180" s="116">
        <v>1537.5</v>
      </c>
      <c r="N2180" s="116">
        <v>1598.2</v>
      </c>
      <c r="O2180" s="116">
        <v>1524.65</v>
      </c>
      <c r="P2180" s="116">
        <v>1533</v>
      </c>
      <c r="Q2180" s="116">
        <v>1537.5</v>
      </c>
      <c r="R2180">
        <v>116405</v>
      </c>
    </row>
    <row r="2181" spans="1:18" x14ac:dyDescent="0.25">
      <c r="A2181" s="170">
        <v>45216</v>
      </c>
      <c r="B2181" s="116">
        <v>1554</v>
      </c>
      <c r="C2181" s="116">
        <v>1533.5</v>
      </c>
      <c r="D2181" s="116">
        <v>1529.95</v>
      </c>
      <c r="E2181" s="116">
        <v>1540.05</v>
      </c>
      <c r="F2181" s="116">
        <v>1533.5</v>
      </c>
      <c r="G2181">
        <v>2121</v>
      </c>
      <c r="H2181" s="116"/>
      <c r="I2181" s="116"/>
      <c r="L2181" s="170">
        <v>45216</v>
      </c>
      <c r="M2181" s="116">
        <v>1533.9</v>
      </c>
      <c r="N2181" s="116">
        <v>1551.95</v>
      </c>
      <c r="O2181" s="116">
        <v>1529.7</v>
      </c>
      <c r="P2181" s="116">
        <v>1544.95</v>
      </c>
      <c r="Q2181" s="116">
        <v>1533.9</v>
      </c>
      <c r="R2181">
        <v>79587</v>
      </c>
    </row>
    <row r="2182" spans="1:18" x14ac:dyDescent="0.25">
      <c r="A2182" s="170">
        <v>45217</v>
      </c>
      <c r="B2182" s="116">
        <v>1542.95</v>
      </c>
      <c r="C2182" s="116">
        <v>1515.5</v>
      </c>
      <c r="D2182" s="116">
        <v>1512.05</v>
      </c>
      <c r="E2182" s="116">
        <v>1541.85</v>
      </c>
      <c r="F2182" s="116">
        <v>1515.5</v>
      </c>
      <c r="G2182">
        <v>2882</v>
      </c>
      <c r="H2182" s="116"/>
      <c r="I2182" s="116"/>
      <c r="L2182" s="170">
        <v>45217</v>
      </c>
      <c r="M2182" s="116">
        <v>1517.85</v>
      </c>
      <c r="N2182" s="116">
        <v>1542</v>
      </c>
      <c r="O2182" s="116">
        <v>1513.1</v>
      </c>
      <c r="P2182" s="116">
        <v>1535</v>
      </c>
      <c r="Q2182" s="116">
        <v>1517.85</v>
      </c>
      <c r="R2182">
        <v>37947</v>
      </c>
    </row>
    <row r="2183" spans="1:18" x14ac:dyDescent="0.25">
      <c r="A2183" s="170">
        <v>45218</v>
      </c>
      <c r="B2183" s="116">
        <v>1543.5</v>
      </c>
      <c r="C2183" s="116">
        <v>1534.85</v>
      </c>
      <c r="D2183" s="116">
        <v>1515.1</v>
      </c>
      <c r="E2183" s="116">
        <v>1519.95</v>
      </c>
      <c r="F2183" s="116">
        <v>1534.85</v>
      </c>
      <c r="G2183">
        <v>1334</v>
      </c>
      <c r="H2183" s="116"/>
      <c r="I2183" s="116"/>
      <c r="L2183" s="170">
        <v>45218</v>
      </c>
      <c r="M2183" s="116">
        <v>1537.05</v>
      </c>
      <c r="N2183" s="116">
        <v>1544</v>
      </c>
      <c r="O2183" s="116">
        <v>1516</v>
      </c>
      <c r="P2183" s="116">
        <v>1519.95</v>
      </c>
      <c r="Q2183" s="116">
        <v>1537.05</v>
      </c>
      <c r="R2183">
        <v>119518</v>
      </c>
    </row>
    <row r="2184" spans="1:18" x14ac:dyDescent="0.25">
      <c r="A2184" s="170">
        <v>45219</v>
      </c>
      <c r="B2184" s="116">
        <v>1545</v>
      </c>
      <c r="C2184" s="116">
        <v>1526.05</v>
      </c>
      <c r="D2184" s="116">
        <v>1523</v>
      </c>
      <c r="E2184" s="116">
        <v>1538.55</v>
      </c>
      <c r="F2184" s="116">
        <v>1526.05</v>
      </c>
      <c r="G2184">
        <v>2000</v>
      </c>
      <c r="H2184" s="116"/>
      <c r="I2184" s="116"/>
      <c r="L2184" s="170">
        <v>45219</v>
      </c>
      <c r="M2184" s="116">
        <v>1525.25</v>
      </c>
      <c r="N2184" s="116">
        <v>1548.05</v>
      </c>
      <c r="O2184" s="116">
        <v>1520</v>
      </c>
      <c r="P2184" s="116">
        <v>1536.6</v>
      </c>
      <c r="Q2184" s="116">
        <v>1525.25</v>
      </c>
      <c r="R2184">
        <v>98398</v>
      </c>
    </row>
    <row r="2185" spans="1:18" x14ac:dyDescent="0.25">
      <c r="A2185" s="170">
        <v>45222</v>
      </c>
      <c r="B2185" s="116">
        <v>1530.25</v>
      </c>
      <c r="C2185" s="116">
        <v>1464.05</v>
      </c>
      <c r="D2185" s="116">
        <v>1456.3</v>
      </c>
      <c r="E2185" s="116">
        <v>1526.1</v>
      </c>
      <c r="F2185" s="116">
        <v>1464.05</v>
      </c>
      <c r="G2185">
        <v>6010</v>
      </c>
      <c r="H2185" s="116"/>
      <c r="I2185" s="116"/>
      <c r="L2185" s="170">
        <v>45222</v>
      </c>
      <c r="M2185" s="116">
        <v>1463.8</v>
      </c>
      <c r="N2185" s="116">
        <v>1529.55</v>
      </c>
      <c r="O2185" s="116">
        <v>1458.85</v>
      </c>
      <c r="P2185" s="116">
        <v>1525.25</v>
      </c>
      <c r="Q2185" s="116">
        <v>1463.8</v>
      </c>
      <c r="R2185">
        <v>54803</v>
      </c>
    </row>
    <row r="2186" spans="1:18" x14ac:dyDescent="0.25">
      <c r="A2186" s="170">
        <v>45224</v>
      </c>
      <c r="B2186" s="116">
        <v>1482.05</v>
      </c>
      <c r="C2186" s="116">
        <v>1461.05</v>
      </c>
      <c r="D2186" s="116">
        <v>1454.35</v>
      </c>
      <c r="E2186" s="116">
        <v>1479.9</v>
      </c>
      <c r="F2186" s="116">
        <v>1461.05</v>
      </c>
      <c r="G2186">
        <v>3138</v>
      </c>
      <c r="H2186" s="116"/>
      <c r="I2186" s="116"/>
      <c r="L2186" s="170">
        <v>45224</v>
      </c>
      <c r="M2186" s="116">
        <v>1462.35</v>
      </c>
      <c r="N2186" s="116">
        <v>1488.95</v>
      </c>
      <c r="O2186" s="116">
        <v>1454</v>
      </c>
      <c r="P2186" s="116">
        <v>1483.75</v>
      </c>
      <c r="Q2186" s="116">
        <v>1462.35</v>
      </c>
      <c r="R2186">
        <v>103120</v>
      </c>
    </row>
    <row r="2187" spans="1:18" x14ac:dyDescent="0.25">
      <c r="A2187" s="170">
        <v>45225</v>
      </c>
      <c r="B2187" s="116">
        <v>1482.6</v>
      </c>
      <c r="C2187" s="116">
        <v>1441.15</v>
      </c>
      <c r="D2187" s="116">
        <v>1433.95</v>
      </c>
      <c r="E2187" s="116">
        <v>1482.6</v>
      </c>
      <c r="F2187" s="116">
        <v>1441.15</v>
      </c>
      <c r="G2187">
        <v>1982</v>
      </c>
      <c r="H2187" s="116"/>
      <c r="I2187" s="116"/>
      <c r="L2187" s="170">
        <v>45225</v>
      </c>
      <c r="M2187" s="116">
        <v>1440.3</v>
      </c>
      <c r="N2187" s="116">
        <v>1455</v>
      </c>
      <c r="O2187" s="116">
        <v>1432.2</v>
      </c>
      <c r="P2187" s="116">
        <v>1432.2</v>
      </c>
      <c r="Q2187" s="116">
        <v>1440.3</v>
      </c>
      <c r="R2187">
        <v>63644</v>
      </c>
    </row>
    <row r="2188" spans="1:18" x14ac:dyDescent="0.25">
      <c r="A2188" s="170">
        <v>45226</v>
      </c>
      <c r="B2188" s="116">
        <v>1451.85</v>
      </c>
      <c r="C2188" s="116">
        <v>1435.05</v>
      </c>
      <c r="D2188" s="116">
        <v>1431.6</v>
      </c>
      <c r="E2188" s="116">
        <v>1450</v>
      </c>
      <c r="F2188" s="116">
        <v>1435.05</v>
      </c>
      <c r="G2188">
        <v>52268</v>
      </c>
      <c r="H2188" s="116"/>
      <c r="I2188" s="116"/>
      <c r="L2188" s="170">
        <v>45226</v>
      </c>
      <c r="M2188" s="116">
        <v>1434.4</v>
      </c>
      <c r="N2188" s="116">
        <v>1453.9</v>
      </c>
      <c r="O2188" s="116">
        <v>1430.05</v>
      </c>
      <c r="P2188" s="116">
        <v>1449.55</v>
      </c>
      <c r="Q2188" s="116">
        <v>1434.4</v>
      </c>
      <c r="R2188">
        <v>81687</v>
      </c>
    </row>
    <row r="2189" spans="1:18" x14ac:dyDescent="0.25">
      <c r="A2189" s="170">
        <v>45229</v>
      </c>
      <c r="B2189" s="116">
        <v>1436</v>
      </c>
      <c r="C2189" s="116">
        <v>1430.1</v>
      </c>
      <c r="D2189" s="116">
        <v>1423</v>
      </c>
      <c r="E2189" s="116">
        <v>1433.45</v>
      </c>
      <c r="F2189" s="116">
        <v>1430.1</v>
      </c>
      <c r="G2189">
        <v>2052</v>
      </c>
      <c r="H2189" s="116"/>
      <c r="I2189" s="116"/>
      <c r="L2189" s="170">
        <v>45229</v>
      </c>
      <c r="M2189" s="116">
        <v>1429.65</v>
      </c>
      <c r="N2189" s="116">
        <v>1437.65</v>
      </c>
      <c r="O2189" s="116">
        <v>1425</v>
      </c>
      <c r="P2189" s="116">
        <v>1433.3</v>
      </c>
      <c r="Q2189" s="116">
        <v>1429.65</v>
      </c>
      <c r="R2189">
        <v>26951</v>
      </c>
    </row>
    <row r="2190" spans="1:18" x14ac:dyDescent="0.25">
      <c r="A2190" s="170">
        <v>45230</v>
      </c>
      <c r="B2190" s="116">
        <v>1431.65</v>
      </c>
      <c r="C2190" s="116">
        <v>1423.15</v>
      </c>
      <c r="D2190" s="116">
        <v>1418.3</v>
      </c>
      <c r="E2190" s="116">
        <v>1431.65</v>
      </c>
      <c r="F2190" s="116">
        <v>1423.15</v>
      </c>
      <c r="G2190">
        <v>1335</v>
      </c>
      <c r="H2190" s="116"/>
      <c r="I2190" s="116"/>
      <c r="L2190" s="170">
        <v>45230</v>
      </c>
      <c r="M2190" s="116">
        <v>1423.35</v>
      </c>
      <c r="N2190" s="116">
        <v>1434.8</v>
      </c>
      <c r="O2190" s="116">
        <v>1415.65</v>
      </c>
      <c r="P2190" s="116">
        <v>1429.7</v>
      </c>
      <c r="Q2190" s="116">
        <v>1423.35</v>
      </c>
      <c r="R2190">
        <v>30612</v>
      </c>
    </row>
    <row r="2191" spans="1:18" x14ac:dyDescent="0.25">
      <c r="A2191" s="170">
        <v>45231</v>
      </c>
      <c r="B2191" s="116">
        <v>1422.7</v>
      </c>
      <c r="C2191" s="116">
        <v>1410.05</v>
      </c>
      <c r="D2191" s="116">
        <v>1403.8</v>
      </c>
      <c r="E2191" s="116">
        <v>1421.9</v>
      </c>
      <c r="F2191" s="116">
        <v>1410.05</v>
      </c>
      <c r="G2191">
        <v>1039</v>
      </c>
      <c r="H2191" s="116"/>
      <c r="I2191" s="116"/>
      <c r="L2191" s="170">
        <v>45231</v>
      </c>
      <c r="M2191" s="116">
        <v>1406.85</v>
      </c>
      <c r="N2191" s="116">
        <v>1428.25</v>
      </c>
      <c r="O2191" s="116">
        <v>1400.05</v>
      </c>
      <c r="P2191" s="116">
        <v>1424</v>
      </c>
      <c r="Q2191" s="116">
        <v>1406.85</v>
      </c>
      <c r="R2191">
        <v>42210</v>
      </c>
    </row>
    <row r="2192" spans="1:18" x14ac:dyDescent="0.25">
      <c r="A2192" s="170">
        <v>45232</v>
      </c>
      <c r="B2192" s="116">
        <v>1422.05</v>
      </c>
      <c r="C2192" s="116">
        <v>1392.1</v>
      </c>
      <c r="D2192" s="116">
        <v>1387.9</v>
      </c>
      <c r="E2192" s="116">
        <v>1415.4</v>
      </c>
      <c r="F2192" s="116">
        <v>1392.1</v>
      </c>
      <c r="G2192">
        <v>3243</v>
      </c>
      <c r="H2192" s="116"/>
      <c r="I2192" s="116"/>
      <c r="L2192" s="170">
        <v>45232</v>
      </c>
      <c r="M2192" s="116">
        <v>1390.25</v>
      </c>
      <c r="N2192" s="116">
        <v>1418.55</v>
      </c>
      <c r="O2192" s="116">
        <v>1385.05</v>
      </c>
      <c r="P2192" s="116">
        <v>1413.9</v>
      </c>
      <c r="Q2192" s="116">
        <v>1390.25</v>
      </c>
      <c r="R2192">
        <v>45459</v>
      </c>
    </row>
    <row r="2193" spans="1:18" x14ac:dyDescent="0.25">
      <c r="A2193" s="170">
        <v>45233</v>
      </c>
      <c r="B2193" s="116">
        <v>1410</v>
      </c>
      <c r="C2193" s="116">
        <v>1407.2</v>
      </c>
      <c r="D2193" s="116">
        <v>1389</v>
      </c>
      <c r="E2193" s="116">
        <v>1395.95</v>
      </c>
      <c r="F2193" s="116">
        <v>1407.2</v>
      </c>
      <c r="G2193">
        <v>4009</v>
      </c>
      <c r="H2193" s="116"/>
      <c r="I2193" s="116"/>
      <c r="L2193" s="170">
        <v>45233</v>
      </c>
      <c r="M2193" s="116">
        <v>1405.15</v>
      </c>
      <c r="N2193" s="116">
        <v>1412.7</v>
      </c>
      <c r="O2193" s="116">
        <v>1388.95</v>
      </c>
      <c r="P2193" s="116">
        <v>1397.45</v>
      </c>
      <c r="Q2193" s="116">
        <v>1405.15</v>
      </c>
      <c r="R2193">
        <v>220999</v>
      </c>
    </row>
    <row r="2194" spans="1:18" x14ac:dyDescent="0.25">
      <c r="A2194" s="170">
        <v>45236</v>
      </c>
      <c r="B2194" s="116">
        <v>1455.95</v>
      </c>
      <c r="C2194" s="116">
        <v>1430.65</v>
      </c>
      <c r="D2194" s="116">
        <v>1413.35</v>
      </c>
      <c r="E2194" s="116">
        <v>1414.25</v>
      </c>
      <c r="F2194" s="116">
        <v>1430.65</v>
      </c>
      <c r="G2194">
        <v>2823</v>
      </c>
      <c r="H2194" s="116"/>
      <c r="I2194" s="116"/>
      <c r="L2194" s="170">
        <v>45236</v>
      </c>
      <c r="M2194" s="116">
        <v>1431.25</v>
      </c>
      <c r="N2194" s="116">
        <v>1455.55</v>
      </c>
      <c r="O2194" s="116">
        <v>1408.15</v>
      </c>
      <c r="P2194" s="116">
        <v>1408.15</v>
      </c>
      <c r="Q2194" s="116">
        <v>1431.25</v>
      </c>
      <c r="R2194">
        <v>200487</v>
      </c>
    </row>
    <row r="2195" spans="1:18" x14ac:dyDescent="0.25">
      <c r="A2195" s="170">
        <v>45237</v>
      </c>
      <c r="B2195" s="116">
        <v>1438.95</v>
      </c>
      <c r="C2195" s="116">
        <v>1420.4</v>
      </c>
      <c r="D2195" s="116">
        <v>1418</v>
      </c>
      <c r="E2195" s="116">
        <v>1433.9</v>
      </c>
      <c r="F2195" s="116">
        <v>1420.4</v>
      </c>
      <c r="G2195">
        <v>742</v>
      </c>
      <c r="H2195" s="116"/>
      <c r="I2195" s="116"/>
      <c r="L2195" s="170">
        <v>45237</v>
      </c>
      <c r="M2195" s="116">
        <v>1421.4</v>
      </c>
      <c r="N2195" s="116">
        <v>1439.6</v>
      </c>
      <c r="O2195" s="116">
        <v>1416</v>
      </c>
      <c r="P2195" s="116">
        <v>1435</v>
      </c>
      <c r="Q2195" s="116">
        <v>1421.4</v>
      </c>
      <c r="R2195">
        <v>27305</v>
      </c>
    </row>
    <row r="2196" spans="1:18" x14ac:dyDescent="0.25">
      <c r="A2196" s="170">
        <v>45238</v>
      </c>
      <c r="B2196" s="116">
        <v>1480</v>
      </c>
      <c r="C2196" s="116">
        <v>1445.15</v>
      </c>
      <c r="D2196" s="116">
        <v>1423</v>
      </c>
      <c r="E2196" s="116">
        <v>1424.4</v>
      </c>
      <c r="F2196" s="116">
        <v>1445.15</v>
      </c>
      <c r="G2196">
        <v>3199</v>
      </c>
      <c r="H2196" s="116"/>
      <c r="I2196" s="116"/>
      <c r="L2196" s="170">
        <v>45238</v>
      </c>
      <c r="M2196" s="116">
        <v>1445.2</v>
      </c>
      <c r="N2196" s="116">
        <v>1480.6</v>
      </c>
      <c r="O2196" s="116">
        <v>1421.45</v>
      </c>
      <c r="P2196" s="116">
        <v>1421.45</v>
      </c>
      <c r="Q2196" s="116">
        <v>1445.2</v>
      </c>
      <c r="R2196">
        <v>345839</v>
      </c>
    </row>
    <row r="2197" spans="1:18" x14ac:dyDescent="0.25">
      <c r="A2197" s="170">
        <v>45239</v>
      </c>
      <c r="B2197" s="116">
        <v>1476.1</v>
      </c>
      <c r="C2197" s="116">
        <v>1449.65</v>
      </c>
      <c r="D2197" s="116">
        <v>1445.25</v>
      </c>
      <c r="E2197" s="116">
        <v>1452.05</v>
      </c>
      <c r="F2197" s="116">
        <v>1449.65</v>
      </c>
      <c r="G2197">
        <v>3598</v>
      </c>
      <c r="H2197" s="116"/>
      <c r="I2197" s="116"/>
      <c r="L2197" s="170">
        <v>45239</v>
      </c>
      <c r="M2197" s="116">
        <v>1449.4</v>
      </c>
      <c r="N2197" s="116">
        <v>1479.95</v>
      </c>
      <c r="O2197" s="116">
        <v>1441.15</v>
      </c>
      <c r="P2197" s="116">
        <v>1446.3</v>
      </c>
      <c r="Q2197" s="116">
        <v>1449.4</v>
      </c>
      <c r="R2197">
        <v>47955</v>
      </c>
    </row>
    <row r="2198" spans="1:18" x14ac:dyDescent="0.25">
      <c r="A2198" s="170">
        <v>45240</v>
      </c>
      <c r="B2198" s="116">
        <v>1496</v>
      </c>
      <c r="C2198" s="116">
        <v>1474.8</v>
      </c>
      <c r="D2198" s="116">
        <v>1448</v>
      </c>
      <c r="E2198" s="116">
        <v>1464.05</v>
      </c>
      <c r="F2198" s="116">
        <v>1474.8</v>
      </c>
      <c r="G2198">
        <v>10193</v>
      </c>
      <c r="H2198" s="116"/>
      <c r="I2198" s="116"/>
      <c r="L2198" s="170">
        <v>45240</v>
      </c>
      <c r="M2198" s="116">
        <v>1471.8</v>
      </c>
      <c r="N2198" s="116">
        <v>1496.95</v>
      </c>
      <c r="O2198" s="116">
        <v>1449.05</v>
      </c>
      <c r="P2198" s="116">
        <v>1472</v>
      </c>
      <c r="Q2198" s="116">
        <v>1471.8</v>
      </c>
      <c r="R2198">
        <v>282109</v>
      </c>
    </row>
    <row r="2199" spans="1:18" x14ac:dyDescent="0.25">
      <c r="A2199" s="170">
        <v>45242</v>
      </c>
      <c r="B2199" s="116">
        <v>1490.8</v>
      </c>
      <c r="C2199" s="116">
        <v>1482.35</v>
      </c>
      <c r="D2199" s="116">
        <v>1474.8</v>
      </c>
      <c r="E2199" s="116">
        <v>1478.15</v>
      </c>
      <c r="F2199" s="116">
        <v>1482.35</v>
      </c>
      <c r="G2199">
        <v>1873</v>
      </c>
      <c r="H2199" s="116"/>
      <c r="I2199" s="116"/>
      <c r="L2199" s="170">
        <v>45242</v>
      </c>
      <c r="M2199" s="116">
        <v>1481.8</v>
      </c>
      <c r="N2199" s="116">
        <v>1492.6</v>
      </c>
      <c r="O2199" s="116">
        <v>1478.1</v>
      </c>
      <c r="P2199" s="116">
        <v>1485</v>
      </c>
      <c r="Q2199" s="116">
        <v>1481.8</v>
      </c>
      <c r="R2199">
        <v>18421</v>
      </c>
    </row>
    <row r="2200" spans="1:18" x14ac:dyDescent="0.25">
      <c r="A2200" s="170">
        <v>45243</v>
      </c>
      <c r="B2200" s="116">
        <v>1509</v>
      </c>
      <c r="C2200" s="116">
        <v>1470.2</v>
      </c>
      <c r="D2200" s="116">
        <v>1463.2</v>
      </c>
      <c r="E2200" s="116">
        <v>1487.95</v>
      </c>
      <c r="F2200" s="116">
        <v>1470.2</v>
      </c>
      <c r="G2200">
        <v>3842</v>
      </c>
      <c r="H2200" s="116"/>
      <c r="I2200" s="116"/>
      <c r="L2200" s="170">
        <v>45243</v>
      </c>
      <c r="M2200" s="116">
        <v>1471.2</v>
      </c>
      <c r="N2200" s="116">
        <v>1509.95</v>
      </c>
      <c r="O2200" s="116">
        <v>1463</v>
      </c>
      <c r="P2200" s="116">
        <v>1481.8</v>
      </c>
      <c r="Q2200" s="116">
        <v>1471.2</v>
      </c>
      <c r="R2200">
        <v>64633</v>
      </c>
    </row>
    <row r="2201" spans="1:18" x14ac:dyDescent="0.25">
      <c r="A2201" s="170">
        <v>45245</v>
      </c>
      <c r="B2201" s="116">
        <v>1569</v>
      </c>
      <c r="C2201" s="116">
        <v>1557.9</v>
      </c>
      <c r="D2201" s="116">
        <v>1472.65</v>
      </c>
      <c r="E2201" s="116">
        <v>1472.65</v>
      </c>
      <c r="F2201" s="116">
        <v>1557.9</v>
      </c>
      <c r="G2201">
        <v>6553</v>
      </c>
      <c r="H2201" s="116"/>
      <c r="I2201" s="116"/>
      <c r="L2201" s="170">
        <v>45245</v>
      </c>
      <c r="M2201" s="116">
        <v>1552.7</v>
      </c>
      <c r="N2201" s="116">
        <v>1570</v>
      </c>
      <c r="O2201" s="116">
        <v>1481.85</v>
      </c>
      <c r="P2201" s="116">
        <v>1483.2</v>
      </c>
      <c r="Q2201" s="116">
        <v>1552.7</v>
      </c>
      <c r="R2201">
        <v>308507</v>
      </c>
    </row>
    <row r="2202" spans="1:18" x14ac:dyDescent="0.25">
      <c r="A2202" s="170">
        <v>45246</v>
      </c>
      <c r="B2202" s="116">
        <v>1646</v>
      </c>
      <c r="C2202" s="116">
        <v>1588.75</v>
      </c>
      <c r="D2202" s="116">
        <v>1557.9</v>
      </c>
      <c r="E2202" s="116">
        <v>1557.9</v>
      </c>
      <c r="F2202" s="116">
        <v>1588.75</v>
      </c>
      <c r="G2202">
        <v>20148</v>
      </c>
      <c r="H2202" s="116"/>
      <c r="I2202" s="116"/>
      <c r="L2202" s="170">
        <v>45246</v>
      </c>
      <c r="M2202" s="116">
        <v>1587.95</v>
      </c>
      <c r="N2202" s="116">
        <v>1644.9</v>
      </c>
      <c r="O2202" s="116">
        <v>1557.7</v>
      </c>
      <c r="P2202" s="116">
        <v>1557.7</v>
      </c>
      <c r="Q2202" s="116">
        <v>1587.95</v>
      </c>
      <c r="R2202">
        <v>520343</v>
      </c>
    </row>
    <row r="2203" spans="1:18" x14ac:dyDescent="0.25">
      <c r="A2203" s="170">
        <v>45247</v>
      </c>
      <c r="B2203" s="116">
        <v>1614.5</v>
      </c>
      <c r="C2203" s="116">
        <v>1576.85</v>
      </c>
      <c r="D2203" s="116">
        <v>1566.3</v>
      </c>
      <c r="E2203" s="116">
        <v>1590</v>
      </c>
      <c r="F2203" s="116">
        <v>1576.85</v>
      </c>
      <c r="G2203">
        <v>7072</v>
      </c>
      <c r="H2203" s="116"/>
      <c r="I2203" s="116"/>
      <c r="L2203" s="170">
        <v>45247</v>
      </c>
      <c r="M2203" s="116">
        <v>1576.65</v>
      </c>
      <c r="N2203" s="116">
        <v>1614.75</v>
      </c>
      <c r="O2203" s="116">
        <v>1566.3</v>
      </c>
      <c r="P2203" s="116">
        <v>1591</v>
      </c>
      <c r="Q2203" s="116">
        <v>1576.65</v>
      </c>
      <c r="R2203">
        <v>167085</v>
      </c>
    </row>
    <row r="2204" spans="1:18" x14ac:dyDescent="0.25">
      <c r="A2204" s="170">
        <v>45250</v>
      </c>
      <c r="B2204" s="116">
        <v>1674</v>
      </c>
      <c r="C2204" s="116">
        <v>1646.7</v>
      </c>
      <c r="D2204" s="116">
        <v>1565.05</v>
      </c>
      <c r="E2204" s="116">
        <v>1565.05</v>
      </c>
      <c r="F2204" s="116">
        <v>1646.7</v>
      </c>
      <c r="G2204">
        <v>25890</v>
      </c>
      <c r="H2204" s="116"/>
      <c r="I2204" s="116"/>
      <c r="L2204" s="170">
        <v>45250</v>
      </c>
      <c r="M2204" s="116">
        <v>1647.95</v>
      </c>
      <c r="N2204" s="116">
        <v>1675</v>
      </c>
      <c r="O2204" s="116">
        <v>1577</v>
      </c>
      <c r="P2204" s="116">
        <v>1577</v>
      </c>
      <c r="Q2204" s="116">
        <v>1647.95</v>
      </c>
      <c r="R2204">
        <v>586297</v>
      </c>
    </row>
    <row r="2205" spans="1:18" x14ac:dyDescent="0.25">
      <c r="A2205" s="170">
        <v>45251</v>
      </c>
      <c r="B2205" s="116">
        <v>1686.35</v>
      </c>
      <c r="C2205" s="116">
        <v>1659</v>
      </c>
      <c r="D2205" s="116">
        <v>1649.3</v>
      </c>
      <c r="E2205" s="116">
        <v>1660.95</v>
      </c>
      <c r="F2205" s="116">
        <v>1659</v>
      </c>
      <c r="G2205">
        <v>14681</v>
      </c>
      <c r="H2205" s="116"/>
      <c r="I2205" s="116"/>
      <c r="L2205" s="170">
        <v>45251</v>
      </c>
      <c r="M2205" s="116">
        <v>1660.1</v>
      </c>
      <c r="N2205" s="116">
        <v>1688</v>
      </c>
      <c r="O2205" s="116">
        <v>1646.05</v>
      </c>
      <c r="P2205" s="116">
        <v>1647.95</v>
      </c>
      <c r="Q2205" s="116">
        <v>1660.1</v>
      </c>
      <c r="R2205">
        <v>217055</v>
      </c>
    </row>
    <row r="2206" spans="1:18" x14ac:dyDescent="0.25">
      <c r="A2206" s="170">
        <v>45252</v>
      </c>
      <c r="B2206" s="116">
        <v>1725</v>
      </c>
      <c r="C2206" s="116">
        <v>1693.2</v>
      </c>
      <c r="D2206" s="116">
        <v>1670</v>
      </c>
      <c r="E2206" s="116">
        <v>1670</v>
      </c>
      <c r="F2206" s="116">
        <v>1693.2</v>
      </c>
      <c r="G2206">
        <v>9727</v>
      </c>
      <c r="H2206" s="116"/>
      <c r="I2206" s="116"/>
      <c r="L2206" s="170">
        <v>45252</v>
      </c>
      <c r="M2206" s="116">
        <v>1694.95</v>
      </c>
      <c r="N2206" s="116">
        <v>1727</v>
      </c>
      <c r="O2206" s="116">
        <v>1666.35</v>
      </c>
      <c r="P2206" s="116">
        <v>1680</v>
      </c>
      <c r="Q2206" s="116">
        <v>1694.95</v>
      </c>
      <c r="R2206">
        <v>366111</v>
      </c>
    </row>
    <row r="2207" spans="1:18" x14ac:dyDescent="0.25">
      <c r="A2207" s="170">
        <v>45253</v>
      </c>
      <c r="B2207" s="116">
        <v>1705</v>
      </c>
      <c r="C2207" s="116">
        <v>1685.85</v>
      </c>
      <c r="D2207" s="116">
        <v>1679</v>
      </c>
      <c r="E2207" s="116">
        <v>1693</v>
      </c>
      <c r="F2207" s="116">
        <v>1685.85</v>
      </c>
      <c r="G2207">
        <v>4059</v>
      </c>
      <c r="H2207" s="116"/>
      <c r="I2207" s="116"/>
      <c r="L2207" s="170">
        <v>45253</v>
      </c>
      <c r="M2207" s="116">
        <v>1684.2</v>
      </c>
      <c r="N2207" s="116">
        <v>1706.25</v>
      </c>
      <c r="O2207" s="116">
        <v>1677.85</v>
      </c>
      <c r="P2207" s="116">
        <v>1700</v>
      </c>
      <c r="Q2207" s="116">
        <v>1684.2</v>
      </c>
      <c r="R2207">
        <v>146593</v>
      </c>
    </row>
    <row r="2208" spans="1:18" x14ac:dyDescent="0.25">
      <c r="A2208" s="170">
        <v>45254</v>
      </c>
      <c r="B2208" s="116">
        <v>1706</v>
      </c>
      <c r="C2208" s="116">
        <v>1645</v>
      </c>
      <c r="D2208" s="116">
        <v>1620.7</v>
      </c>
      <c r="E2208" s="116">
        <v>1681.05</v>
      </c>
      <c r="F2208" s="116">
        <v>1645</v>
      </c>
      <c r="G2208">
        <v>9597</v>
      </c>
      <c r="H2208" s="116"/>
      <c r="I2208" s="116"/>
      <c r="L2208" s="170">
        <v>45254</v>
      </c>
      <c r="M2208" s="116">
        <v>1644.75</v>
      </c>
      <c r="N2208" s="116">
        <v>1706</v>
      </c>
      <c r="O2208" s="116">
        <v>1622.5</v>
      </c>
      <c r="P2208" s="116">
        <v>1688</v>
      </c>
      <c r="Q2208" s="116">
        <v>1644.75</v>
      </c>
      <c r="R2208">
        <v>158716</v>
      </c>
    </row>
    <row r="2209" spans="1:18" x14ac:dyDescent="0.25">
      <c r="A2209" s="170">
        <v>45258</v>
      </c>
      <c r="B2209" s="116">
        <v>1709.55</v>
      </c>
      <c r="C2209" s="116">
        <v>1650.15</v>
      </c>
      <c r="D2209" s="116">
        <v>1637.65</v>
      </c>
      <c r="E2209" s="116">
        <v>1643.7</v>
      </c>
      <c r="F2209" s="116">
        <v>1650.15</v>
      </c>
      <c r="G2209">
        <v>6774</v>
      </c>
      <c r="H2209" s="116"/>
      <c r="I2209" s="116"/>
      <c r="L2209" s="170">
        <v>45258</v>
      </c>
      <c r="M2209" s="116">
        <v>1644</v>
      </c>
      <c r="N2209" s="116">
        <v>1709.9</v>
      </c>
      <c r="O2209" s="116">
        <v>1638</v>
      </c>
      <c r="P2209" s="116">
        <v>1646.05</v>
      </c>
      <c r="Q2209" s="116">
        <v>1644</v>
      </c>
      <c r="R2209">
        <v>194289</v>
      </c>
    </row>
    <row r="2210" spans="1:18" x14ac:dyDescent="0.25">
      <c r="A2210" s="170">
        <v>45259</v>
      </c>
      <c r="B2210" s="116">
        <v>1685.55</v>
      </c>
      <c r="C2210" s="116">
        <v>1633.35</v>
      </c>
      <c r="D2210" s="116">
        <v>1615.65</v>
      </c>
      <c r="E2210" s="116">
        <v>1650.15</v>
      </c>
      <c r="F2210" s="116">
        <v>1633.35</v>
      </c>
      <c r="G2210">
        <v>6947</v>
      </c>
      <c r="H2210" s="116"/>
      <c r="I2210" s="116"/>
      <c r="L2210" s="170">
        <v>45259</v>
      </c>
      <c r="M2210" s="116">
        <v>1633.4</v>
      </c>
      <c r="N2210" s="116">
        <v>1679.75</v>
      </c>
      <c r="O2210" s="116">
        <v>1616.9</v>
      </c>
      <c r="P2210" s="116">
        <v>1657.1</v>
      </c>
      <c r="Q2210" s="116">
        <v>1633.4</v>
      </c>
      <c r="R2210">
        <v>175879</v>
      </c>
    </row>
    <row r="2211" spans="1:18" x14ac:dyDescent="0.25">
      <c r="A2211" s="170">
        <v>45260</v>
      </c>
      <c r="B2211" s="116">
        <v>1694.6</v>
      </c>
      <c r="C2211" s="116">
        <v>1655.9</v>
      </c>
      <c r="D2211" s="116">
        <v>1639.05</v>
      </c>
      <c r="E2211" s="116">
        <v>1649.85</v>
      </c>
      <c r="F2211" s="116">
        <v>1655.9</v>
      </c>
      <c r="G2211">
        <v>3949</v>
      </c>
      <c r="H2211" s="116"/>
      <c r="I2211" s="116"/>
      <c r="L2211" s="170">
        <v>45260</v>
      </c>
      <c r="M2211" s="116">
        <v>1657.1</v>
      </c>
      <c r="N2211" s="116">
        <v>1695.5</v>
      </c>
      <c r="O2211" s="116">
        <v>1640.5</v>
      </c>
      <c r="P2211" s="116">
        <v>1640.5</v>
      </c>
      <c r="Q2211" s="116">
        <v>1657.1</v>
      </c>
      <c r="R2211">
        <v>215735</v>
      </c>
    </row>
    <row r="2212" spans="1:18" x14ac:dyDescent="0.25">
      <c r="A2212" s="170">
        <v>45261</v>
      </c>
      <c r="B2212" s="116">
        <v>1706.9</v>
      </c>
      <c r="C2212" s="116">
        <v>1677.05</v>
      </c>
      <c r="D2212" s="116">
        <v>1671</v>
      </c>
      <c r="E2212" s="116">
        <v>1686.75</v>
      </c>
      <c r="F2212" s="116">
        <v>1677.05</v>
      </c>
      <c r="G2212">
        <v>6485</v>
      </c>
      <c r="H2212" s="116"/>
      <c r="I2212" s="116"/>
      <c r="L2212" s="170">
        <v>45261</v>
      </c>
      <c r="M2212" s="116">
        <v>1678.15</v>
      </c>
      <c r="N2212" s="116">
        <v>1708</v>
      </c>
      <c r="O2212" s="116">
        <v>1669.95</v>
      </c>
      <c r="P2212" s="116">
        <v>1670</v>
      </c>
      <c r="Q2212" s="116">
        <v>1678.15</v>
      </c>
      <c r="R2212">
        <v>215618</v>
      </c>
    </row>
    <row r="2213" spans="1:18" x14ac:dyDescent="0.25">
      <c r="A2213" s="170">
        <v>45264</v>
      </c>
      <c r="B2213" s="116">
        <v>1739.6</v>
      </c>
      <c r="C2213" s="116">
        <v>1695.95</v>
      </c>
      <c r="D2213" s="116">
        <v>1691.75</v>
      </c>
      <c r="E2213" s="116">
        <v>1700.05</v>
      </c>
      <c r="F2213" s="116">
        <v>1695.95</v>
      </c>
      <c r="G2213">
        <v>8020</v>
      </c>
      <c r="H2213" s="116"/>
      <c r="I2213" s="116"/>
      <c r="L2213" s="170">
        <v>45264</v>
      </c>
      <c r="M2213" s="116">
        <v>1695.65</v>
      </c>
      <c r="N2213" s="116">
        <v>1739.75</v>
      </c>
      <c r="O2213" s="116">
        <v>1691.1</v>
      </c>
      <c r="P2213" s="116">
        <v>1710</v>
      </c>
      <c r="Q2213" s="116">
        <v>1695.65</v>
      </c>
      <c r="R2213">
        <v>197430</v>
      </c>
    </row>
    <row r="2214" spans="1:18" x14ac:dyDescent="0.25">
      <c r="A2214" s="170">
        <v>45265</v>
      </c>
      <c r="B2214" s="116">
        <v>1724.95</v>
      </c>
      <c r="C2214" s="116">
        <v>1691.5</v>
      </c>
      <c r="D2214" s="116">
        <v>1686</v>
      </c>
      <c r="E2214" s="116">
        <v>1696.05</v>
      </c>
      <c r="F2214" s="116">
        <v>1691.5</v>
      </c>
      <c r="G2214">
        <v>7571</v>
      </c>
      <c r="H2214" s="116"/>
      <c r="I2214" s="116"/>
      <c r="L2214" s="170">
        <v>45265</v>
      </c>
      <c r="M2214" s="116">
        <v>1691.7</v>
      </c>
      <c r="N2214" s="116">
        <v>1725.55</v>
      </c>
      <c r="O2214" s="116">
        <v>1686.75</v>
      </c>
      <c r="P2214" s="116">
        <v>1700</v>
      </c>
      <c r="Q2214" s="116">
        <v>1691.7</v>
      </c>
      <c r="R2214">
        <v>169007</v>
      </c>
    </row>
    <row r="2215" spans="1:18" x14ac:dyDescent="0.25">
      <c r="A2215" s="170">
        <v>45266</v>
      </c>
      <c r="B2215" s="116">
        <v>1710</v>
      </c>
      <c r="C2215" s="116">
        <v>1685.9</v>
      </c>
      <c r="D2215" s="116">
        <v>1680.8</v>
      </c>
      <c r="E2215" s="116">
        <v>1709.95</v>
      </c>
      <c r="F2215" s="116">
        <v>1685.9</v>
      </c>
      <c r="G2215">
        <v>2881</v>
      </c>
      <c r="H2215" s="116"/>
      <c r="I2215" s="116"/>
      <c r="L2215" s="170">
        <v>45266</v>
      </c>
      <c r="M2215" s="116">
        <v>1686.35</v>
      </c>
      <c r="N2215" s="116">
        <v>1715</v>
      </c>
      <c r="O2215" s="116">
        <v>1681</v>
      </c>
      <c r="P2215" s="116">
        <v>1708.8</v>
      </c>
      <c r="Q2215" s="116">
        <v>1686.35</v>
      </c>
      <c r="R2215">
        <v>140250</v>
      </c>
    </row>
    <row r="2216" spans="1:18" x14ac:dyDescent="0.25">
      <c r="A2216" s="170">
        <v>45267</v>
      </c>
      <c r="B2216" s="116">
        <v>1714.9</v>
      </c>
      <c r="C2216" s="116">
        <v>1689.45</v>
      </c>
      <c r="D2216" s="116">
        <v>1682.2</v>
      </c>
      <c r="E2216" s="116">
        <v>1714.9</v>
      </c>
      <c r="F2216" s="116">
        <v>1689.45</v>
      </c>
      <c r="G2216">
        <v>2526</v>
      </c>
      <c r="H2216" s="116"/>
      <c r="I2216" s="116"/>
      <c r="L2216" s="170">
        <v>45267</v>
      </c>
      <c r="M2216" s="116">
        <v>1688.85</v>
      </c>
      <c r="N2216" s="116">
        <v>1710</v>
      </c>
      <c r="O2216" s="116">
        <v>1684</v>
      </c>
      <c r="P2216" s="116">
        <v>1694.8</v>
      </c>
      <c r="Q2216" s="116">
        <v>1688.85</v>
      </c>
      <c r="R2216">
        <v>161953</v>
      </c>
    </row>
    <row r="2217" spans="1:18" x14ac:dyDescent="0.25">
      <c r="A2217" s="170">
        <v>45268</v>
      </c>
      <c r="B2217" s="116">
        <v>1710</v>
      </c>
      <c r="C2217" s="116">
        <v>1690.15</v>
      </c>
      <c r="D2217" s="116">
        <v>1681.5</v>
      </c>
      <c r="E2217" s="116">
        <v>1690.15</v>
      </c>
      <c r="F2217" s="116">
        <v>1690.15</v>
      </c>
      <c r="G2217">
        <v>7446</v>
      </c>
      <c r="H2217" s="116"/>
      <c r="I2217" s="116"/>
      <c r="L2217" s="170">
        <v>45268</v>
      </c>
      <c r="M2217" s="116">
        <v>1690.1</v>
      </c>
      <c r="N2217" s="116">
        <v>1713.95</v>
      </c>
      <c r="O2217" s="116">
        <v>1682.05</v>
      </c>
      <c r="P2217" s="116">
        <v>1705</v>
      </c>
      <c r="Q2217" s="116">
        <v>1690.1</v>
      </c>
      <c r="R2217">
        <v>110263</v>
      </c>
    </row>
    <row r="2218" spans="1:18" x14ac:dyDescent="0.25">
      <c r="A2218" s="170">
        <v>45271</v>
      </c>
      <c r="B2218" s="116">
        <v>1699.85</v>
      </c>
      <c r="C2218" s="116">
        <v>1679.7</v>
      </c>
      <c r="D2218" s="116">
        <v>1673.35</v>
      </c>
      <c r="E2218" s="116">
        <v>1699.85</v>
      </c>
      <c r="F2218" s="116">
        <v>1679.7</v>
      </c>
      <c r="G2218">
        <v>2553</v>
      </c>
      <c r="H2218" s="116"/>
      <c r="I2218" s="116"/>
      <c r="L2218" s="170">
        <v>45271</v>
      </c>
      <c r="M2218" s="116">
        <v>1679.85</v>
      </c>
      <c r="N2218" s="116">
        <v>1697.95</v>
      </c>
      <c r="O2218" s="116">
        <v>1673.95</v>
      </c>
      <c r="P2218" s="116">
        <v>1693</v>
      </c>
      <c r="Q2218" s="116">
        <v>1679.85</v>
      </c>
      <c r="R2218">
        <v>58764</v>
      </c>
    </row>
    <row r="2219" spans="1:18" x14ac:dyDescent="0.25">
      <c r="A2219" s="170">
        <v>45272</v>
      </c>
      <c r="B2219" s="116">
        <v>1691.4</v>
      </c>
      <c r="C2219" s="116">
        <v>1675.45</v>
      </c>
      <c r="D2219" s="116">
        <v>1664.75</v>
      </c>
      <c r="E2219" s="116">
        <v>1680.15</v>
      </c>
      <c r="F2219" s="116">
        <v>1675.45</v>
      </c>
      <c r="G2219">
        <v>951</v>
      </c>
      <c r="H2219" s="116"/>
      <c r="I2219" s="116"/>
      <c r="L2219" s="170">
        <v>45272</v>
      </c>
      <c r="M2219" s="116">
        <v>1676.8</v>
      </c>
      <c r="N2219" s="116">
        <v>1697</v>
      </c>
      <c r="O2219" s="116">
        <v>1661.35</v>
      </c>
      <c r="P2219" s="116">
        <v>1682</v>
      </c>
      <c r="Q2219" s="116">
        <v>1676.8</v>
      </c>
      <c r="R2219">
        <v>72890</v>
      </c>
    </row>
    <row r="2220" spans="1:18" x14ac:dyDescent="0.25">
      <c r="A2220" s="170">
        <v>45273</v>
      </c>
      <c r="B2220" s="116">
        <v>1745</v>
      </c>
      <c r="C2220" s="116">
        <v>1734.35</v>
      </c>
      <c r="D2220" s="116">
        <v>1668.8</v>
      </c>
      <c r="E2220" s="116">
        <v>1679.8</v>
      </c>
      <c r="F2220" s="116">
        <v>1734.35</v>
      </c>
      <c r="G2220">
        <v>3901</v>
      </c>
      <c r="H2220" s="116"/>
      <c r="I2220" s="116"/>
      <c r="L2220" s="170">
        <v>45273</v>
      </c>
      <c r="M2220" s="116">
        <v>1732.95</v>
      </c>
      <c r="N2220" s="116">
        <v>1747</v>
      </c>
      <c r="O2220" s="116">
        <v>1667.05</v>
      </c>
      <c r="P2220" s="116">
        <v>1693.55</v>
      </c>
      <c r="Q2220" s="116">
        <v>1732.95</v>
      </c>
      <c r="R2220">
        <v>244835</v>
      </c>
    </row>
    <row r="2221" spans="1:18" x14ac:dyDescent="0.25">
      <c r="A2221" s="170">
        <v>45274</v>
      </c>
      <c r="B2221" s="116">
        <v>1769</v>
      </c>
      <c r="C2221" s="116">
        <v>1751.65</v>
      </c>
      <c r="D2221" s="116">
        <v>1738.15</v>
      </c>
      <c r="E2221" s="116">
        <v>1738.15</v>
      </c>
      <c r="F2221" s="116">
        <v>1751.65</v>
      </c>
      <c r="G2221">
        <v>8731</v>
      </c>
      <c r="H2221" s="116"/>
      <c r="I2221" s="116"/>
      <c r="L2221" s="170">
        <v>45274</v>
      </c>
      <c r="M2221" s="116">
        <v>1746.1</v>
      </c>
      <c r="N2221" s="116">
        <v>1770</v>
      </c>
      <c r="O2221" s="116">
        <v>1740.1</v>
      </c>
      <c r="P2221" s="116">
        <v>1740.95</v>
      </c>
      <c r="Q2221" s="116">
        <v>1746.1</v>
      </c>
      <c r="R2221">
        <v>256509</v>
      </c>
    </row>
    <row r="2222" spans="1:18" x14ac:dyDescent="0.25">
      <c r="A2222" s="170">
        <v>45275</v>
      </c>
      <c r="B2222" s="116">
        <v>1779.55</v>
      </c>
      <c r="C2222" s="116">
        <v>1772.55</v>
      </c>
      <c r="D2222" s="116">
        <v>1747.45</v>
      </c>
      <c r="E2222" s="116">
        <v>1747.45</v>
      </c>
      <c r="F2222" s="116">
        <v>1772.55</v>
      </c>
      <c r="G2222">
        <v>11482</v>
      </c>
      <c r="H2222" s="116"/>
      <c r="I2222" s="116"/>
      <c r="L2222" s="170">
        <v>45275</v>
      </c>
      <c r="M2222" s="116">
        <v>1773.9</v>
      </c>
      <c r="N2222" s="116">
        <v>1778.95</v>
      </c>
      <c r="O2222" s="116">
        <v>1746.05</v>
      </c>
      <c r="P2222" s="116">
        <v>1746.1</v>
      </c>
      <c r="Q2222" s="116">
        <v>1773.9</v>
      </c>
      <c r="R2222">
        <v>211596</v>
      </c>
    </row>
    <row r="2223" spans="1:18" x14ac:dyDescent="0.25">
      <c r="A2223" s="170">
        <v>45278</v>
      </c>
      <c r="B2223" s="116">
        <v>1776.95</v>
      </c>
      <c r="C2223" s="116">
        <v>1740.25</v>
      </c>
      <c r="D2223" s="116">
        <v>1705.7</v>
      </c>
      <c r="E2223" s="116">
        <v>1705.7</v>
      </c>
      <c r="F2223" s="116">
        <v>1740.25</v>
      </c>
      <c r="G2223">
        <v>2801</v>
      </c>
      <c r="H2223" s="116"/>
      <c r="I2223" s="116"/>
      <c r="L2223" s="170">
        <v>45278</v>
      </c>
      <c r="M2223" s="116">
        <v>1742.1</v>
      </c>
      <c r="N2223" s="116">
        <v>1782</v>
      </c>
      <c r="O2223" s="116">
        <v>1732.1</v>
      </c>
      <c r="P2223" s="116">
        <v>1782</v>
      </c>
      <c r="Q2223" s="116">
        <v>1742.1</v>
      </c>
      <c r="R2223">
        <v>96290</v>
      </c>
    </row>
    <row r="2224" spans="1:18" x14ac:dyDescent="0.25">
      <c r="A2224" s="170">
        <v>45279</v>
      </c>
      <c r="B2224" s="116">
        <v>1764.95</v>
      </c>
      <c r="C2224" s="116">
        <v>1743.35</v>
      </c>
      <c r="D2224" s="116">
        <v>1729.3</v>
      </c>
      <c r="E2224" s="116">
        <v>1742.65</v>
      </c>
      <c r="F2224" s="116">
        <v>1743.35</v>
      </c>
      <c r="G2224">
        <v>2808</v>
      </c>
      <c r="H2224" s="116"/>
      <c r="I2224" s="116"/>
      <c r="L2224" s="170">
        <v>45279</v>
      </c>
      <c r="M2224" s="116">
        <v>1744.65</v>
      </c>
      <c r="N2224" s="116">
        <v>1765</v>
      </c>
      <c r="O2224" s="116">
        <v>1725.7</v>
      </c>
      <c r="P2224" s="116">
        <v>1742.1</v>
      </c>
      <c r="Q2224" s="116">
        <v>1744.65</v>
      </c>
      <c r="R2224">
        <v>120464</v>
      </c>
    </row>
    <row r="2225" spans="1:18" x14ac:dyDescent="0.25">
      <c r="A2225" s="170">
        <v>45280</v>
      </c>
      <c r="B2225" s="116">
        <v>1760.4</v>
      </c>
      <c r="C2225" s="116">
        <v>1687.35</v>
      </c>
      <c r="D2225" s="116">
        <v>1679.2</v>
      </c>
      <c r="E2225" s="116">
        <v>1747.85</v>
      </c>
      <c r="F2225" s="116">
        <v>1687.35</v>
      </c>
      <c r="G2225">
        <v>4058</v>
      </c>
      <c r="H2225" s="116"/>
      <c r="I2225" s="116"/>
      <c r="L2225" s="170">
        <v>45280</v>
      </c>
      <c r="M2225" s="116">
        <v>1687.4</v>
      </c>
      <c r="N2225" s="116">
        <v>1762.8</v>
      </c>
      <c r="O2225" s="116">
        <v>1677.05</v>
      </c>
      <c r="P2225" s="116">
        <v>1746.05</v>
      </c>
      <c r="Q2225" s="116">
        <v>1687.4</v>
      </c>
      <c r="R2225">
        <v>101221</v>
      </c>
    </row>
    <row r="2226" spans="1:18" x14ac:dyDescent="0.25">
      <c r="A2226" s="170">
        <v>45281</v>
      </c>
      <c r="B2226" s="116">
        <v>1739.85</v>
      </c>
      <c r="C2226" s="116">
        <v>1735.45</v>
      </c>
      <c r="D2226" s="116">
        <v>1668.2</v>
      </c>
      <c r="E2226" s="116">
        <v>1668.2</v>
      </c>
      <c r="F2226" s="116">
        <v>1735.45</v>
      </c>
      <c r="G2226">
        <v>5671</v>
      </c>
      <c r="H2226" s="116"/>
      <c r="I2226" s="116"/>
      <c r="L2226" s="170">
        <v>45281</v>
      </c>
      <c r="M2226" s="116">
        <v>1733.6</v>
      </c>
      <c r="N2226" s="116">
        <v>1740.9</v>
      </c>
      <c r="O2226" s="116">
        <v>1667.85</v>
      </c>
      <c r="P2226" s="116">
        <v>1670</v>
      </c>
      <c r="Q2226" s="116">
        <v>1733.6</v>
      </c>
      <c r="R2226">
        <v>190230</v>
      </c>
    </row>
    <row r="2227" spans="1:18" x14ac:dyDescent="0.25">
      <c r="A2227" s="170">
        <v>45282</v>
      </c>
      <c r="B2227" s="116">
        <v>1759</v>
      </c>
      <c r="C2227" s="116">
        <v>1755.45</v>
      </c>
      <c r="D2227" s="116">
        <v>1714.6</v>
      </c>
      <c r="E2227" s="116">
        <v>1731.75</v>
      </c>
      <c r="F2227" s="116">
        <v>1755.45</v>
      </c>
      <c r="G2227">
        <v>5122</v>
      </c>
      <c r="H2227" s="116"/>
      <c r="I2227" s="116"/>
      <c r="L2227" s="170">
        <v>45282</v>
      </c>
      <c r="M2227" s="116">
        <v>1754.05</v>
      </c>
      <c r="N2227" s="116">
        <v>1760</v>
      </c>
      <c r="O2227" s="116">
        <v>1715</v>
      </c>
      <c r="P2227" s="116">
        <v>1733.6</v>
      </c>
      <c r="Q2227" s="116">
        <v>1754.05</v>
      </c>
      <c r="R2227">
        <v>96728</v>
      </c>
    </row>
    <row r="2228" spans="1:18" x14ac:dyDescent="0.25">
      <c r="A2228" s="170">
        <v>45286</v>
      </c>
      <c r="B2228" s="116">
        <v>1775</v>
      </c>
      <c r="C2228" s="116">
        <v>1766.5</v>
      </c>
      <c r="D2228" s="116">
        <v>1745.95</v>
      </c>
      <c r="E2228" s="116">
        <v>1748.85</v>
      </c>
      <c r="F2228" s="116">
        <v>1766.5</v>
      </c>
      <c r="G2228">
        <v>4300</v>
      </c>
      <c r="H2228" s="116"/>
      <c r="I2228" s="116"/>
      <c r="L2228" s="170">
        <v>45286</v>
      </c>
      <c r="M2228" s="116">
        <v>1766.85</v>
      </c>
      <c r="N2228" s="116">
        <v>1775.1</v>
      </c>
      <c r="O2228" s="116">
        <v>1748.25</v>
      </c>
      <c r="P2228" s="116">
        <v>1755</v>
      </c>
      <c r="Q2228" s="116">
        <v>1766.85</v>
      </c>
      <c r="R2228">
        <v>154004</v>
      </c>
    </row>
    <row r="2229" spans="1:18" x14ac:dyDescent="0.25">
      <c r="A2229" s="170">
        <v>45287</v>
      </c>
      <c r="B2229" s="116">
        <v>1846.35</v>
      </c>
      <c r="C2229" s="116">
        <v>1811.3</v>
      </c>
      <c r="D2229" s="116">
        <v>1764.85</v>
      </c>
      <c r="E2229" s="116">
        <v>1795.95</v>
      </c>
      <c r="F2229" s="116">
        <v>1811.3</v>
      </c>
      <c r="G2229">
        <v>13743</v>
      </c>
      <c r="H2229" s="116"/>
      <c r="I2229" s="116"/>
      <c r="L2229" s="170">
        <v>45287</v>
      </c>
      <c r="M2229" s="116">
        <v>1809.75</v>
      </c>
      <c r="N2229" s="116">
        <v>1848</v>
      </c>
      <c r="O2229" s="116">
        <v>1762.95</v>
      </c>
      <c r="P2229" s="116">
        <v>1775</v>
      </c>
      <c r="Q2229" s="116">
        <v>1809.75</v>
      </c>
      <c r="R2229">
        <v>464701</v>
      </c>
    </row>
    <row r="2230" spans="1:18" x14ac:dyDescent="0.25">
      <c r="A2230" s="170">
        <v>45288</v>
      </c>
      <c r="B2230" s="116">
        <v>1928.7</v>
      </c>
      <c r="C2230" s="116">
        <v>1848.65</v>
      </c>
      <c r="D2230" s="116">
        <v>1799.05</v>
      </c>
      <c r="E2230" s="116">
        <v>1818.15</v>
      </c>
      <c r="F2230" s="116">
        <v>1848.65</v>
      </c>
      <c r="G2230">
        <v>32896</v>
      </c>
      <c r="H2230" s="116"/>
      <c r="I2230" s="116"/>
      <c r="L2230" s="170">
        <v>45288</v>
      </c>
      <c r="M2230" s="116">
        <v>1849.55</v>
      </c>
      <c r="N2230" s="116">
        <v>1928.8</v>
      </c>
      <c r="O2230" s="116">
        <v>1797</v>
      </c>
      <c r="P2230" s="116">
        <v>1820</v>
      </c>
      <c r="Q2230" s="116">
        <v>1849.55</v>
      </c>
      <c r="R2230">
        <v>765983</v>
      </c>
    </row>
    <row r="2231" spans="1:18" x14ac:dyDescent="0.25">
      <c r="A2231" s="170">
        <v>45289</v>
      </c>
      <c r="B2231" s="116">
        <v>1958.55</v>
      </c>
      <c r="C2231" s="116">
        <v>1897.4</v>
      </c>
      <c r="D2231" s="116">
        <v>1848.6</v>
      </c>
      <c r="E2231" s="116">
        <v>1851</v>
      </c>
      <c r="F2231" s="116">
        <v>1897.4</v>
      </c>
      <c r="G2231">
        <v>22370</v>
      </c>
      <c r="H2231" s="116"/>
      <c r="I2231" s="116"/>
      <c r="L2231" s="170">
        <v>45289</v>
      </c>
      <c r="M2231" s="116">
        <v>1898.15</v>
      </c>
      <c r="N2231" s="116">
        <v>1959</v>
      </c>
      <c r="O2231" s="116">
        <v>1846.75</v>
      </c>
      <c r="P2231" s="116">
        <v>1853</v>
      </c>
      <c r="Q2231" s="116">
        <v>1898.15</v>
      </c>
      <c r="R2231">
        <v>619830</v>
      </c>
    </row>
    <row r="2232" spans="1:18" x14ac:dyDescent="0.25">
      <c r="A2232" s="170">
        <v>45292</v>
      </c>
      <c r="B2232" s="116">
        <v>1987.5</v>
      </c>
      <c r="C2232" s="116">
        <v>1952.65</v>
      </c>
      <c r="D2232" s="116">
        <v>1907.35</v>
      </c>
      <c r="E2232" s="116">
        <v>1925.45</v>
      </c>
      <c r="F2232" s="116">
        <v>1952.65</v>
      </c>
      <c r="G2232">
        <v>48270</v>
      </c>
      <c r="H2232" s="116"/>
      <c r="I2232" s="116"/>
      <c r="L2232" s="170">
        <v>45292</v>
      </c>
      <c r="M2232" s="116">
        <v>1951.55</v>
      </c>
      <c r="N2232" s="116">
        <v>1988.85</v>
      </c>
      <c r="O2232" s="116">
        <v>1904.45</v>
      </c>
      <c r="P2232" s="116">
        <v>1905.9</v>
      </c>
      <c r="Q2232" s="116">
        <v>1951.55</v>
      </c>
      <c r="R2232">
        <v>599164</v>
      </c>
    </row>
    <row r="2233" spans="1:18" x14ac:dyDescent="0.25">
      <c r="A2233" s="170">
        <v>45293</v>
      </c>
      <c r="B2233" s="116">
        <v>2079.35</v>
      </c>
      <c r="C2233" s="116">
        <v>2049.65</v>
      </c>
      <c r="D2233" s="116">
        <v>1952.65</v>
      </c>
      <c r="E2233" s="116">
        <v>1952.65</v>
      </c>
      <c r="F2233" s="116">
        <v>2049.65</v>
      </c>
      <c r="G2233">
        <v>64068</v>
      </c>
      <c r="H2233" s="116"/>
      <c r="I2233" s="116"/>
      <c r="L2233" s="170">
        <v>45293</v>
      </c>
      <c r="M2233" s="116">
        <v>2049</v>
      </c>
      <c r="N2233" s="116">
        <v>2080.0500000000002</v>
      </c>
      <c r="O2233" s="116">
        <v>1952</v>
      </c>
      <c r="P2233" s="116">
        <v>1952</v>
      </c>
      <c r="Q2233" s="116">
        <v>2049</v>
      </c>
      <c r="R2233">
        <v>1002951</v>
      </c>
    </row>
    <row r="2234" spans="1:18" x14ac:dyDescent="0.25">
      <c r="A2234" s="170">
        <v>45294</v>
      </c>
      <c r="B2234" s="116">
        <v>2121.0500000000002</v>
      </c>
      <c r="C2234" s="116">
        <v>2065.85</v>
      </c>
      <c r="D2234" s="116">
        <v>2050.1999999999998</v>
      </c>
      <c r="E2234" s="116">
        <v>2057.6999999999998</v>
      </c>
      <c r="F2234" s="116">
        <v>2065.85</v>
      </c>
      <c r="G2234">
        <v>26118</v>
      </c>
      <c r="H2234" s="116"/>
      <c r="I2234" s="116"/>
      <c r="L2234" s="170">
        <v>45294</v>
      </c>
      <c r="M2234" s="116">
        <v>2065.85</v>
      </c>
      <c r="N2234" s="116">
        <v>2122</v>
      </c>
      <c r="O2234" s="116">
        <v>2042.2</v>
      </c>
      <c r="P2234" s="116">
        <v>2059.85</v>
      </c>
      <c r="Q2234" s="116">
        <v>2065.85</v>
      </c>
      <c r="R2234">
        <v>446546</v>
      </c>
    </row>
    <row r="2235" spans="1:18" x14ac:dyDescent="0.25">
      <c r="A2235" s="170">
        <v>45295</v>
      </c>
      <c r="B2235" s="116">
        <v>2137.9499999999998</v>
      </c>
      <c r="C2235" s="116">
        <v>2092.9</v>
      </c>
      <c r="D2235" s="116">
        <v>2081.9499999999998</v>
      </c>
      <c r="E2235" s="116">
        <v>2090.4499999999998</v>
      </c>
      <c r="F2235" s="116">
        <v>2092.9</v>
      </c>
      <c r="G2235">
        <v>17791</v>
      </c>
      <c r="H2235" s="116"/>
      <c r="I2235" s="116"/>
      <c r="L2235" s="170">
        <v>45295</v>
      </c>
      <c r="M2235" s="116">
        <v>2090.1</v>
      </c>
      <c r="N2235" s="116">
        <v>2136.75</v>
      </c>
      <c r="O2235" s="116">
        <v>2079.6999999999998</v>
      </c>
      <c r="P2235" s="116">
        <v>2090</v>
      </c>
      <c r="Q2235" s="116">
        <v>2090.1</v>
      </c>
      <c r="R2235">
        <v>473293</v>
      </c>
    </row>
    <row r="2236" spans="1:18" x14ac:dyDescent="0.25">
      <c r="A2236" s="170">
        <v>45296</v>
      </c>
      <c r="B2236" s="116">
        <v>2157.1</v>
      </c>
      <c r="C2236" s="116">
        <v>2149.3000000000002</v>
      </c>
      <c r="D2236" s="116">
        <v>2095.25</v>
      </c>
      <c r="E2236" s="116">
        <v>2100</v>
      </c>
      <c r="F2236" s="116">
        <v>2149.3000000000002</v>
      </c>
      <c r="G2236">
        <v>27005</v>
      </c>
      <c r="H2236" s="116"/>
      <c r="I2236" s="116"/>
      <c r="L2236" s="170">
        <v>45296</v>
      </c>
      <c r="M2236" s="116">
        <v>2149.5500000000002</v>
      </c>
      <c r="N2236" s="116">
        <v>2157.8000000000002</v>
      </c>
      <c r="O2236" s="116">
        <v>2095.75</v>
      </c>
      <c r="P2236" s="116">
        <v>2100</v>
      </c>
      <c r="Q2236" s="116">
        <v>2149.5500000000002</v>
      </c>
      <c r="R2236">
        <v>523909</v>
      </c>
    </row>
    <row r="2237" spans="1:18" x14ac:dyDescent="0.25">
      <c r="A2237" s="170">
        <v>45299</v>
      </c>
      <c r="B2237" s="116">
        <v>2193.1999999999998</v>
      </c>
      <c r="C2237" s="116">
        <v>2108.0500000000002</v>
      </c>
      <c r="D2237" s="116">
        <v>2088.4499999999998</v>
      </c>
      <c r="E2237" s="116">
        <v>2169</v>
      </c>
      <c r="F2237" s="116">
        <v>2108.0500000000002</v>
      </c>
      <c r="G2237">
        <v>21053</v>
      </c>
      <c r="H2237" s="116"/>
      <c r="I2237" s="116"/>
      <c r="L2237" s="170">
        <v>45299</v>
      </c>
      <c r="M2237" s="116">
        <v>2110.1999999999998</v>
      </c>
      <c r="N2237" s="116">
        <v>2187</v>
      </c>
      <c r="O2237" s="116">
        <v>2087.5500000000002</v>
      </c>
      <c r="P2237" s="116">
        <v>2171</v>
      </c>
      <c r="Q2237" s="116">
        <v>2110.1999999999998</v>
      </c>
      <c r="R2237">
        <v>414675</v>
      </c>
    </row>
    <row r="2238" spans="1:18" x14ac:dyDescent="0.25">
      <c r="A2238" s="170">
        <v>45300</v>
      </c>
      <c r="B2238" s="116">
        <v>2169.9499999999998</v>
      </c>
      <c r="C2238" s="116">
        <v>2087.4</v>
      </c>
      <c r="D2238" s="116">
        <v>2074.6</v>
      </c>
      <c r="E2238" s="116">
        <v>2142.5500000000002</v>
      </c>
      <c r="F2238" s="116">
        <v>2087.4</v>
      </c>
      <c r="G2238">
        <v>10187</v>
      </c>
      <c r="H2238" s="116"/>
      <c r="I2238" s="116"/>
      <c r="L2238" s="170">
        <v>45300</v>
      </c>
      <c r="M2238" s="116">
        <v>2086.8000000000002</v>
      </c>
      <c r="N2238" s="116">
        <v>2174.25</v>
      </c>
      <c r="O2238" s="116">
        <v>2071</v>
      </c>
      <c r="P2238" s="116">
        <v>2134</v>
      </c>
      <c r="Q2238" s="116">
        <v>2086.8000000000002</v>
      </c>
      <c r="R2238">
        <v>190255</v>
      </c>
    </row>
    <row r="2239" spans="1:18" x14ac:dyDescent="0.25">
      <c r="A2239" s="170">
        <v>45301</v>
      </c>
      <c r="B2239" s="116">
        <v>2255.85</v>
      </c>
      <c r="C2239" s="116">
        <v>2201.75</v>
      </c>
      <c r="D2239" s="116">
        <v>2099.1</v>
      </c>
      <c r="E2239" s="116">
        <v>2100.1999999999998</v>
      </c>
      <c r="F2239" s="116">
        <v>2201.75</v>
      </c>
      <c r="G2239">
        <v>41638</v>
      </c>
      <c r="H2239" s="116"/>
      <c r="I2239" s="116"/>
      <c r="L2239" s="170">
        <v>45301</v>
      </c>
      <c r="M2239" s="116">
        <v>2201.75</v>
      </c>
      <c r="N2239" s="116">
        <v>2259</v>
      </c>
      <c r="O2239" s="116">
        <v>2088</v>
      </c>
      <c r="P2239" s="116">
        <v>2098</v>
      </c>
      <c r="Q2239" s="116">
        <v>2201.75</v>
      </c>
      <c r="R2239">
        <v>966565</v>
      </c>
    </row>
    <row r="2240" spans="1:18" x14ac:dyDescent="0.25">
      <c r="A2240" s="170">
        <v>45302</v>
      </c>
      <c r="B2240" s="116">
        <v>2240.4</v>
      </c>
      <c r="C2240" s="116">
        <v>2201.6999999999998</v>
      </c>
      <c r="D2240" s="116">
        <v>2185</v>
      </c>
      <c r="E2240" s="116">
        <v>2208.6999999999998</v>
      </c>
      <c r="F2240" s="116">
        <v>2201.6999999999998</v>
      </c>
      <c r="G2240">
        <v>18062</v>
      </c>
      <c r="H2240" s="116"/>
      <c r="I2240" s="116"/>
      <c r="L2240" s="170">
        <v>45302</v>
      </c>
      <c r="M2240" s="116">
        <v>2199.6999999999998</v>
      </c>
      <c r="N2240" s="116">
        <v>2244</v>
      </c>
      <c r="O2240" s="116">
        <v>2179.6</v>
      </c>
      <c r="P2240" s="116">
        <v>2206.4</v>
      </c>
      <c r="Q2240" s="116">
        <v>2199.6999999999998</v>
      </c>
      <c r="R2240">
        <v>283804</v>
      </c>
    </row>
    <row r="2241" spans="1:18" x14ac:dyDescent="0.25">
      <c r="A2241" s="170">
        <v>45303</v>
      </c>
      <c r="B2241" s="116">
        <v>2275</v>
      </c>
      <c r="C2241" s="116">
        <v>2256.8000000000002</v>
      </c>
      <c r="D2241" s="116">
        <v>2204.35</v>
      </c>
      <c r="E2241" s="116">
        <v>2210</v>
      </c>
      <c r="F2241" s="116">
        <v>2256.8000000000002</v>
      </c>
      <c r="G2241">
        <v>25754</v>
      </c>
      <c r="H2241" s="116"/>
      <c r="I2241" s="116"/>
      <c r="L2241" s="170">
        <v>45303</v>
      </c>
      <c r="M2241" s="116">
        <v>2257</v>
      </c>
      <c r="N2241" s="116">
        <v>2274</v>
      </c>
      <c r="O2241" s="116">
        <v>2204.35</v>
      </c>
      <c r="P2241" s="116">
        <v>2212</v>
      </c>
      <c r="Q2241" s="116">
        <v>2257</v>
      </c>
      <c r="R2241">
        <v>527788</v>
      </c>
    </row>
    <row r="2242" spans="1:18" x14ac:dyDescent="0.25">
      <c r="A2242" s="170">
        <v>45306</v>
      </c>
      <c r="B2242" s="116">
        <v>2281.15</v>
      </c>
      <c r="C2242" s="116">
        <v>2257.9499999999998</v>
      </c>
      <c r="D2242" s="116">
        <v>2220.4499999999998</v>
      </c>
      <c r="E2242" s="116">
        <v>2257</v>
      </c>
      <c r="F2242" s="116">
        <v>2257.9499999999998</v>
      </c>
      <c r="G2242">
        <v>8506</v>
      </c>
      <c r="H2242" s="116"/>
      <c r="I2242" s="116"/>
      <c r="L2242" s="170">
        <v>45306</v>
      </c>
      <c r="M2242" s="116">
        <v>2259.1999999999998</v>
      </c>
      <c r="N2242" s="116">
        <v>2284.4</v>
      </c>
      <c r="O2242" s="116">
        <v>2220</v>
      </c>
      <c r="P2242" s="116">
        <v>2257</v>
      </c>
      <c r="Q2242" s="116">
        <v>2259.1999999999998</v>
      </c>
      <c r="R2242">
        <v>368635</v>
      </c>
    </row>
    <row r="2243" spans="1:18" x14ac:dyDescent="0.25">
      <c r="A2243" s="170">
        <v>45307</v>
      </c>
      <c r="B2243" s="116">
        <v>2273.1</v>
      </c>
      <c r="C2243" s="116">
        <v>2252.1</v>
      </c>
      <c r="D2243" s="116">
        <v>2240</v>
      </c>
      <c r="E2243" s="116">
        <v>2257.9499999999998</v>
      </c>
      <c r="F2243" s="116">
        <v>2252.1</v>
      </c>
      <c r="G2243">
        <v>6559</v>
      </c>
      <c r="H2243" s="116"/>
      <c r="I2243" s="116"/>
      <c r="L2243" s="170">
        <v>45307</v>
      </c>
      <c r="M2243" s="116">
        <v>2253.0500000000002</v>
      </c>
      <c r="N2243" s="116">
        <v>2275.15</v>
      </c>
      <c r="O2243" s="116">
        <v>2240</v>
      </c>
      <c r="P2243" s="116">
        <v>2259.9</v>
      </c>
      <c r="Q2243" s="116">
        <v>2253.0500000000002</v>
      </c>
      <c r="R2243">
        <v>295210</v>
      </c>
    </row>
    <row r="2244" spans="1:18" x14ac:dyDescent="0.25">
      <c r="A2244" s="170">
        <v>45308</v>
      </c>
      <c r="B2244" s="116">
        <v>2331.9499999999998</v>
      </c>
      <c r="C2244" s="116">
        <v>2272.9</v>
      </c>
      <c r="D2244" s="116">
        <v>2240</v>
      </c>
      <c r="E2244" s="116">
        <v>2240</v>
      </c>
      <c r="F2244" s="116">
        <v>2272.9</v>
      </c>
      <c r="G2244">
        <v>12059</v>
      </c>
      <c r="H2244" s="116"/>
      <c r="I2244" s="116"/>
      <c r="L2244" s="170">
        <v>45308</v>
      </c>
      <c r="M2244" s="116">
        <v>2270.3000000000002</v>
      </c>
      <c r="N2244" s="116">
        <v>2334</v>
      </c>
      <c r="O2244" s="116">
        <v>2240.65</v>
      </c>
      <c r="P2244" s="116">
        <v>2247</v>
      </c>
      <c r="Q2244" s="116">
        <v>2270.3000000000002</v>
      </c>
      <c r="R2244">
        <v>352667</v>
      </c>
    </row>
    <row r="2245" spans="1:18" x14ac:dyDescent="0.25">
      <c r="A2245" s="170">
        <v>45309</v>
      </c>
      <c r="B2245" s="116">
        <v>2375</v>
      </c>
      <c r="C2245" s="116">
        <v>2329.9</v>
      </c>
      <c r="D2245" s="116">
        <v>2244.1999999999998</v>
      </c>
      <c r="E2245" s="116">
        <v>2254.5500000000002</v>
      </c>
      <c r="F2245" s="116">
        <v>2329.9</v>
      </c>
      <c r="G2245">
        <v>19424</v>
      </c>
      <c r="H2245" s="116"/>
      <c r="I2245" s="116"/>
      <c r="L2245" s="170">
        <v>45309</v>
      </c>
      <c r="M2245" s="116">
        <v>2329.9</v>
      </c>
      <c r="N2245" s="116">
        <v>2374.8000000000002</v>
      </c>
      <c r="O2245" s="116">
        <v>2243.35</v>
      </c>
      <c r="P2245" s="116">
        <v>2251.0500000000002</v>
      </c>
      <c r="Q2245" s="116">
        <v>2329.9</v>
      </c>
      <c r="R2245">
        <v>318008</v>
      </c>
    </row>
    <row r="2246" spans="1:18" x14ac:dyDescent="0.25">
      <c r="A2246" s="170">
        <v>45310</v>
      </c>
      <c r="B2246" s="116">
        <v>2344.0500000000002</v>
      </c>
      <c r="C2246" s="116">
        <v>2295.3000000000002</v>
      </c>
      <c r="D2246" s="116">
        <v>2280</v>
      </c>
      <c r="E2246" s="116">
        <v>2332.75</v>
      </c>
      <c r="F2246" s="116">
        <v>2295.3000000000002</v>
      </c>
      <c r="G2246">
        <v>12631</v>
      </c>
      <c r="H2246" s="116"/>
      <c r="I2246" s="116"/>
      <c r="L2246" s="170">
        <v>45310</v>
      </c>
      <c r="M2246" s="116">
        <v>2296.1</v>
      </c>
      <c r="N2246" s="116">
        <v>2357</v>
      </c>
      <c r="O2246" s="116">
        <v>2278.9499999999998</v>
      </c>
      <c r="P2246" s="116">
        <v>2329.9499999999998</v>
      </c>
      <c r="Q2246" s="116">
        <v>2296.1</v>
      </c>
      <c r="R2246">
        <v>296109</v>
      </c>
    </row>
    <row r="2247" spans="1:18" x14ac:dyDescent="0.25">
      <c r="A2247" s="170">
        <v>45311</v>
      </c>
      <c r="B2247" s="116">
        <v>2321.85</v>
      </c>
      <c r="C2247" s="116">
        <v>2270.15</v>
      </c>
      <c r="D2247" s="116">
        <v>2262.1999999999998</v>
      </c>
      <c r="E2247" s="116">
        <v>2292.1</v>
      </c>
      <c r="F2247" s="116">
        <v>2270.15</v>
      </c>
      <c r="G2247">
        <v>2242</v>
      </c>
      <c r="H2247" s="116"/>
      <c r="I2247" s="116"/>
      <c r="L2247" s="170">
        <v>45311</v>
      </c>
      <c r="M2247" s="116">
        <v>2269.8000000000002</v>
      </c>
      <c r="N2247" s="116">
        <v>2317.9499999999998</v>
      </c>
      <c r="O2247" s="116">
        <v>2261</v>
      </c>
      <c r="P2247" s="116">
        <v>2317.9499999999998</v>
      </c>
      <c r="Q2247" s="116">
        <v>2269.8000000000002</v>
      </c>
      <c r="R2247">
        <v>55159</v>
      </c>
    </row>
    <row r="2248" spans="1:18" x14ac:dyDescent="0.25">
      <c r="A2248" s="170">
        <v>45314</v>
      </c>
      <c r="B2248" s="116">
        <v>2304.1</v>
      </c>
      <c r="C2248" s="116">
        <v>2224.8000000000002</v>
      </c>
      <c r="D2248" s="116">
        <v>2206.35</v>
      </c>
      <c r="E2248" s="116">
        <v>2272.3000000000002</v>
      </c>
      <c r="F2248" s="116">
        <v>2224.8000000000002</v>
      </c>
      <c r="G2248">
        <v>11578</v>
      </c>
      <c r="H2248" s="116"/>
      <c r="I2248" s="116"/>
      <c r="L2248" s="170">
        <v>45314</v>
      </c>
      <c r="M2248" s="116">
        <v>2225.9499999999998</v>
      </c>
      <c r="N2248" s="116">
        <v>2304</v>
      </c>
      <c r="O2248" s="116">
        <v>2209</v>
      </c>
      <c r="P2248" s="116">
        <v>2275</v>
      </c>
      <c r="Q2248" s="116">
        <v>2225.9499999999998</v>
      </c>
      <c r="R2248">
        <v>183333</v>
      </c>
    </row>
    <row r="2249" spans="1:18" x14ac:dyDescent="0.25">
      <c r="A2249" s="170">
        <v>45315</v>
      </c>
      <c r="B2249" s="116">
        <v>2248.35</v>
      </c>
      <c r="C2249" s="116">
        <v>2191.85</v>
      </c>
      <c r="D2249" s="116">
        <v>2172.3000000000002</v>
      </c>
      <c r="E2249" s="116">
        <v>2239</v>
      </c>
      <c r="F2249" s="116">
        <v>2191.85</v>
      </c>
      <c r="G2249">
        <v>4487</v>
      </c>
      <c r="H2249" s="116"/>
      <c r="I2249" s="116"/>
      <c r="L2249" s="170">
        <v>45315</v>
      </c>
      <c r="M2249" s="116">
        <v>2195.25</v>
      </c>
      <c r="N2249" s="116">
        <v>2249.9</v>
      </c>
      <c r="O2249" s="116">
        <v>2156.25</v>
      </c>
      <c r="P2249" s="116">
        <v>2225.5</v>
      </c>
      <c r="Q2249" s="116">
        <v>2195.25</v>
      </c>
      <c r="R2249">
        <v>195344</v>
      </c>
    </row>
    <row r="2250" spans="1:18" x14ac:dyDescent="0.25">
      <c r="A2250" s="170">
        <v>45316</v>
      </c>
      <c r="B2250" s="116">
        <v>2292</v>
      </c>
      <c r="C2250" s="116">
        <v>2181.4499999999998</v>
      </c>
      <c r="D2250" s="116">
        <v>2140</v>
      </c>
      <c r="E2250" s="116">
        <v>2239.1999999999998</v>
      </c>
      <c r="F2250" s="116">
        <v>2181.4499999999998</v>
      </c>
      <c r="G2250">
        <v>5798</v>
      </c>
      <c r="H2250" s="116"/>
      <c r="I2250" s="116"/>
      <c r="L2250" s="170">
        <v>45316</v>
      </c>
      <c r="M2250" s="116">
        <v>2193.25</v>
      </c>
      <c r="N2250" s="116">
        <v>2293</v>
      </c>
      <c r="O2250" s="116">
        <v>2145</v>
      </c>
      <c r="P2250" s="116">
        <v>2204</v>
      </c>
      <c r="Q2250" s="116">
        <v>2193.25</v>
      </c>
      <c r="R2250">
        <v>188319</v>
      </c>
    </row>
    <row r="2251" spans="1:18" x14ac:dyDescent="0.25">
      <c r="A2251" s="170">
        <v>45320</v>
      </c>
      <c r="B2251" s="116">
        <v>2222.9499999999998</v>
      </c>
      <c r="C2251" s="116">
        <v>2186.8000000000002</v>
      </c>
      <c r="D2251" s="116">
        <v>2177.4499999999998</v>
      </c>
      <c r="E2251" s="116">
        <v>2205.5</v>
      </c>
      <c r="F2251" s="116">
        <v>2186.8000000000002</v>
      </c>
      <c r="G2251">
        <v>3595</v>
      </c>
      <c r="H2251" s="116"/>
      <c r="I2251" s="116"/>
      <c r="L2251" s="170">
        <v>45320</v>
      </c>
      <c r="M2251" s="116">
        <v>2183.75</v>
      </c>
      <c r="N2251" s="116">
        <v>2222</v>
      </c>
      <c r="O2251" s="116">
        <v>2161.25</v>
      </c>
      <c r="P2251" s="116">
        <v>2210.15</v>
      </c>
      <c r="Q2251" s="116">
        <v>2183.75</v>
      </c>
      <c r="R2251">
        <v>77732</v>
      </c>
    </row>
    <row r="2252" spans="1:18" x14ac:dyDescent="0.25">
      <c r="A2252" s="170">
        <v>45321</v>
      </c>
      <c r="B2252" s="116">
        <v>2229.9499999999998</v>
      </c>
      <c r="C2252" s="116">
        <v>2196.75</v>
      </c>
      <c r="D2252" s="116">
        <v>2159.65</v>
      </c>
      <c r="E2252" s="116">
        <v>2229.9499999999998</v>
      </c>
      <c r="F2252" s="116">
        <v>2196.75</v>
      </c>
      <c r="G2252">
        <v>7694</v>
      </c>
      <c r="H2252" s="116"/>
      <c r="I2252" s="116"/>
      <c r="L2252" s="170">
        <v>45321</v>
      </c>
      <c r="M2252" s="116">
        <v>2197.65</v>
      </c>
      <c r="N2252" s="116">
        <v>2210</v>
      </c>
      <c r="O2252" s="116">
        <v>2159</v>
      </c>
      <c r="P2252" s="116">
        <v>2185</v>
      </c>
      <c r="Q2252" s="116">
        <v>2197.65</v>
      </c>
      <c r="R2252">
        <v>137554</v>
      </c>
    </row>
    <row r="2253" spans="1:18" x14ac:dyDescent="0.25">
      <c r="A2253" s="170">
        <v>45322</v>
      </c>
      <c r="B2253" s="116">
        <v>2271.5500000000002</v>
      </c>
      <c r="C2253" s="116">
        <v>2247.9</v>
      </c>
      <c r="D2253" s="116">
        <v>2209</v>
      </c>
      <c r="E2253" s="116">
        <v>2209</v>
      </c>
      <c r="F2253" s="116">
        <v>2247.9</v>
      </c>
      <c r="G2253">
        <v>5910</v>
      </c>
      <c r="H2253" s="116"/>
      <c r="I2253" s="116"/>
      <c r="L2253" s="170">
        <v>45322</v>
      </c>
      <c r="M2253" s="116">
        <v>2249.9</v>
      </c>
      <c r="N2253" s="116">
        <v>2274.25</v>
      </c>
      <c r="O2253" s="116">
        <v>2210</v>
      </c>
      <c r="P2253" s="116">
        <v>2218.75</v>
      </c>
      <c r="Q2253" s="116">
        <v>2249.9</v>
      </c>
      <c r="R2253">
        <v>199271</v>
      </c>
    </row>
    <row r="2254" spans="1:18" x14ac:dyDescent="0.25">
      <c r="A2254" s="170">
        <v>45323</v>
      </c>
      <c r="B2254" s="116">
        <v>2275.4</v>
      </c>
      <c r="C2254" s="116">
        <v>2226.75</v>
      </c>
      <c r="D2254" s="116">
        <v>2202.6</v>
      </c>
      <c r="E2254" s="116">
        <v>2259.85</v>
      </c>
      <c r="F2254" s="116">
        <v>2226.75</v>
      </c>
      <c r="G2254">
        <v>3994</v>
      </c>
      <c r="H2254" s="116"/>
      <c r="I2254" s="116"/>
      <c r="L2254" s="170">
        <v>45323</v>
      </c>
      <c r="M2254" s="116">
        <v>2228.0500000000002</v>
      </c>
      <c r="N2254" s="116">
        <v>2274.8000000000002</v>
      </c>
      <c r="O2254" s="116">
        <v>2202.1</v>
      </c>
      <c r="P2254" s="116">
        <v>2250</v>
      </c>
      <c r="Q2254" s="116">
        <v>2228.0500000000002</v>
      </c>
      <c r="R2254">
        <v>144365</v>
      </c>
    </row>
    <row r="2255" spans="1:18" x14ac:dyDescent="0.25">
      <c r="A2255" s="170">
        <v>45324</v>
      </c>
      <c r="B2255" s="116">
        <v>2323.4499999999998</v>
      </c>
      <c r="C2255" s="116">
        <v>2297.3000000000002</v>
      </c>
      <c r="D2255" s="116">
        <v>2239.6999999999998</v>
      </c>
      <c r="E2255" s="116">
        <v>2256.1999999999998</v>
      </c>
      <c r="F2255" s="116">
        <v>2297.3000000000002</v>
      </c>
      <c r="G2255">
        <v>5570</v>
      </c>
      <c r="H2255" s="116"/>
      <c r="I2255" s="116"/>
      <c r="L2255" s="170">
        <v>45324</v>
      </c>
      <c r="M2255" s="116">
        <v>2307.5</v>
      </c>
      <c r="N2255" s="116">
        <v>2325</v>
      </c>
      <c r="O2255" s="116">
        <v>2235.6999999999998</v>
      </c>
      <c r="P2255" s="116">
        <v>2258.9</v>
      </c>
      <c r="Q2255" s="116">
        <v>2307.5</v>
      </c>
      <c r="R2255">
        <v>166589</v>
      </c>
    </row>
    <row r="2256" spans="1:18" x14ac:dyDescent="0.25">
      <c r="A2256" s="170">
        <v>45327</v>
      </c>
      <c r="B2256" s="116">
        <v>2494.65</v>
      </c>
      <c r="C2256" s="116">
        <v>2449.1</v>
      </c>
      <c r="D2256" s="116">
        <v>2210</v>
      </c>
      <c r="E2256" s="116">
        <v>2317.4499999999998</v>
      </c>
      <c r="F2256" s="116">
        <v>2449.1</v>
      </c>
      <c r="G2256">
        <v>13363</v>
      </c>
      <c r="H2256" s="116"/>
      <c r="I2256" s="116"/>
      <c r="L2256" s="170">
        <v>45327</v>
      </c>
      <c r="M2256" s="116">
        <v>2448.1999999999998</v>
      </c>
      <c r="N2256" s="116">
        <v>2493.4</v>
      </c>
      <c r="O2256" s="116">
        <v>2282</v>
      </c>
      <c r="P2256" s="116">
        <v>2309.8000000000002</v>
      </c>
      <c r="Q2256" s="116">
        <v>2448.1999999999998</v>
      </c>
      <c r="R2256">
        <v>323824</v>
      </c>
    </row>
    <row r="2257" spans="1:18" x14ac:dyDescent="0.25">
      <c r="A2257" s="170">
        <v>45328</v>
      </c>
      <c r="B2257" s="116">
        <v>2520.0500000000002</v>
      </c>
      <c r="C2257" s="116">
        <v>2466.75</v>
      </c>
      <c r="D2257" s="116">
        <v>2430</v>
      </c>
      <c r="E2257" s="116">
        <v>2465.9499999999998</v>
      </c>
      <c r="F2257" s="116">
        <v>2466.75</v>
      </c>
      <c r="G2257">
        <v>16628</v>
      </c>
      <c r="H2257" s="116"/>
      <c r="I2257" s="116"/>
      <c r="L2257" s="170">
        <v>45328</v>
      </c>
      <c r="M2257" s="116">
        <v>2466.8000000000002</v>
      </c>
      <c r="N2257" s="116">
        <v>2524</v>
      </c>
      <c r="O2257" s="116">
        <v>2431.25</v>
      </c>
      <c r="P2257" s="116">
        <v>2463</v>
      </c>
      <c r="Q2257" s="116">
        <v>2466.8000000000002</v>
      </c>
      <c r="R2257">
        <v>289022</v>
      </c>
    </row>
    <row r="2258" spans="1:18" x14ac:dyDescent="0.25">
      <c r="A2258" s="170">
        <v>45329</v>
      </c>
      <c r="B2258" s="116">
        <v>2517.6999999999998</v>
      </c>
      <c r="C2258" s="116">
        <v>2428.1999999999998</v>
      </c>
      <c r="D2258" s="116">
        <v>2405.85</v>
      </c>
      <c r="E2258" s="116">
        <v>2470.0500000000002</v>
      </c>
      <c r="F2258" s="116">
        <v>2428.1999999999998</v>
      </c>
      <c r="G2258">
        <v>3438</v>
      </c>
      <c r="H2258" s="116"/>
      <c r="I2258" s="116"/>
      <c r="L2258" s="170">
        <v>45329</v>
      </c>
      <c r="M2258" s="116">
        <v>2429.3000000000002</v>
      </c>
      <c r="N2258" s="116">
        <v>2517.4499999999998</v>
      </c>
      <c r="O2258" s="116">
        <v>2407.1</v>
      </c>
      <c r="P2258" s="116">
        <v>2472.75</v>
      </c>
      <c r="Q2258" s="116">
        <v>2429.3000000000002</v>
      </c>
      <c r="R2258">
        <v>137560</v>
      </c>
    </row>
    <row r="2259" spans="1:18" x14ac:dyDescent="0.25">
      <c r="A2259" s="170">
        <v>45330</v>
      </c>
      <c r="B2259" s="116">
        <v>2480</v>
      </c>
      <c r="C2259" s="116">
        <v>2417.6</v>
      </c>
      <c r="D2259" s="116">
        <v>2409.9499999999998</v>
      </c>
      <c r="E2259" s="116">
        <v>2428.1999999999998</v>
      </c>
      <c r="F2259" s="116">
        <v>2417.6</v>
      </c>
      <c r="G2259">
        <v>5606</v>
      </c>
      <c r="H2259" s="116"/>
      <c r="I2259" s="116"/>
      <c r="L2259" s="170">
        <v>45330</v>
      </c>
      <c r="M2259" s="116">
        <v>2420.8000000000002</v>
      </c>
      <c r="N2259" s="116">
        <v>2480</v>
      </c>
      <c r="O2259" s="116">
        <v>2410</v>
      </c>
      <c r="P2259" s="116">
        <v>2430</v>
      </c>
      <c r="Q2259" s="116">
        <v>2420.8000000000002</v>
      </c>
      <c r="R2259">
        <v>114996</v>
      </c>
    </row>
    <row r="2260" spans="1:18" x14ac:dyDescent="0.25">
      <c r="A2260" s="170">
        <v>45331</v>
      </c>
      <c r="B2260" s="116">
        <v>2649.95</v>
      </c>
      <c r="C2260" s="116">
        <v>2379.5500000000002</v>
      </c>
      <c r="D2260" s="116">
        <v>2349.9</v>
      </c>
      <c r="E2260" s="116">
        <v>2649.95</v>
      </c>
      <c r="F2260" s="116">
        <v>2379.5500000000002</v>
      </c>
      <c r="G2260">
        <v>3965</v>
      </c>
      <c r="H2260" s="116"/>
      <c r="I2260" s="116"/>
      <c r="L2260" s="170">
        <v>45331</v>
      </c>
      <c r="M2260" s="116">
        <v>2382.65</v>
      </c>
      <c r="N2260" s="116">
        <v>2500</v>
      </c>
      <c r="O2260" s="116">
        <v>2345</v>
      </c>
      <c r="P2260" s="116">
        <v>2500</v>
      </c>
      <c r="Q2260" s="116">
        <v>2382.65</v>
      </c>
      <c r="R2260">
        <v>162242</v>
      </c>
    </row>
    <row r="2261" spans="1:18" x14ac:dyDescent="0.25">
      <c r="A2261" s="170">
        <v>45334</v>
      </c>
      <c r="B2261" s="116">
        <v>2436</v>
      </c>
      <c r="C2261" s="116">
        <v>2334.1999999999998</v>
      </c>
      <c r="D2261" s="116">
        <v>2300</v>
      </c>
      <c r="E2261" s="116">
        <v>2427.15</v>
      </c>
      <c r="F2261" s="116">
        <v>2334.1999999999998</v>
      </c>
      <c r="G2261">
        <v>6431</v>
      </c>
      <c r="H2261" s="116"/>
      <c r="I2261" s="116"/>
      <c r="L2261" s="170">
        <v>45334</v>
      </c>
      <c r="M2261" s="116">
        <v>2340.15</v>
      </c>
      <c r="N2261" s="116">
        <v>2440.0500000000002</v>
      </c>
      <c r="O2261" s="116">
        <v>2301</v>
      </c>
      <c r="P2261" s="116">
        <v>2410</v>
      </c>
      <c r="Q2261" s="116">
        <v>2340.15</v>
      </c>
      <c r="R2261">
        <v>164619</v>
      </c>
    </row>
    <row r="2262" spans="1:18" x14ac:dyDescent="0.25">
      <c r="A2262" s="170">
        <v>45335</v>
      </c>
      <c r="B2262" s="116">
        <v>2244.9</v>
      </c>
      <c r="C2262" s="116">
        <v>2174.3000000000002</v>
      </c>
      <c r="D2262" s="116">
        <v>2094.15</v>
      </c>
      <c r="E2262" s="116">
        <v>2192.65</v>
      </c>
      <c r="F2262" s="116">
        <v>2174.3000000000002</v>
      </c>
      <c r="G2262">
        <v>22100</v>
      </c>
      <c r="H2262" s="116"/>
      <c r="I2262" s="116"/>
      <c r="L2262" s="170">
        <v>45335</v>
      </c>
      <c r="M2262" s="116">
        <v>2179.65</v>
      </c>
      <c r="N2262" s="116">
        <v>2243.9499999999998</v>
      </c>
      <c r="O2262" s="116">
        <v>2091.0500000000002</v>
      </c>
      <c r="P2262" s="116">
        <v>2190.0500000000002</v>
      </c>
      <c r="Q2262" s="116">
        <v>2179.65</v>
      </c>
      <c r="R2262">
        <v>597317</v>
      </c>
    </row>
    <row r="2263" spans="1:18" x14ac:dyDescent="0.25">
      <c r="A2263" s="170">
        <v>45336</v>
      </c>
      <c r="B2263" s="116">
        <v>2211.25</v>
      </c>
      <c r="C2263" s="116">
        <v>2152.15</v>
      </c>
      <c r="D2263" s="116">
        <v>2141.3000000000002</v>
      </c>
      <c r="E2263" s="116">
        <v>2157.65</v>
      </c>
      <c r="F2263" s="116">
        <v>2152.15</v>
      </c>
      <c r="G2263">
        <v>7480</v>
      </c>
      <c r="H2263" s="116"/>
      <c r="I2263" s="116"/>
      <c r="L2263" s="170">
        <v>45336</v>
      </c>
      <c r="M2263" s="116">
        <v>2153.5</v>
      </c>
      <c r="N2263" s="116">
        <v>2212</v>
      </c>
      <c r="O2263" s="116">
        <v>2138.1999999999998</v>
      </c>
      <c r="P2263" s="116">
        <v>2156.5500000000002</v>
      </c>
      <c r="Q2263" s="116">
        <v>2153.5</v>
      </c>
      <c r="R2263">
        <v>162876</v>
      </c>
    </row>
    <row r="2264" spans="1:18" x14ac:dyDescent="0.25">
      <c r="A2264" s="170">
        <v>45337</v>
      </c>
      <c r="B2264" s="116">
        <v>2221.5</v>
      </c>
      <c r="C2264" s="116">
        <v>2198.5</v>
      </c>
      <c r="D2264" s="116">
        <v>2133</v>
      </c>
      <c r="E2264" s="116">
        <v>2191</v>
      </c>
      <c r="F2264" s="116">
        <v>2198.5</v>
      </c>
      <c r="G2264">
        <v>7457</v>
      </c>
      <c r="H2264" s="116"/>
      <c r="I2264" s="116"/>
      <c r="L2264" s="170">
        <v>45337</v>
      </c>
      <c r="M2264" s="116">
        <v>2199.8000000000002</v>
      </c>
      <c r="N2264" s="116">
        <v>2225</v>
      </c>
      <c r="O2264" s="116">
        <v>2130.0500000000002</v>
      </c>
      <c r="P2264" s="116">
        <v>2188</v>
      </c>
      <c r="Q2264" s="116">
        <v>2199.8000000000002</v>
      </c>
      <c r="R2264">
        <v>125602</v>
      </c>
    </row>
    <row r="2265" spans="1:18" x14ac:dyDescent="0.25">
      <c r="A2265" s="170">
        <v>45338</v>
      </c>
      <c r="B2265" s="116">
        <v>2340</v>
      </c>
      <c r="C2265" s="116">
        <v>2256.25</v>
      </c>
      <c r="D2265" s="116">
        <v>2205.5</v>
      </c>
      <c r="E2265" s="116">
        <v>2240.9</v>
      </c>
      <c r="F2265" s="116">
        <v>2256.25</v>
      </c>
      <c r="G2265">
        <v>10727</v>
      </c>
      <c r="H2265" s="116"/>
      <c r="I2265" s="116"/>
      <c r="L2265" s="170">
        <v>45338</v>
      </c>
      <c r="M2265" s="116">
        <v>2259.15</v>
      </c>
      <c r="N2265" s="116">
        <v>2278.75</v>
      </c>
      <c r="O2265" s="116">
        <v>2205.0500000000002</v>
      </c>
      <c r="P2265" s="116">
        <v>2225</v>
      </c>
      <c r="Q2265" s="116">
        <v>2259.15</v>
      </c>
      <c r="R2265">
        <v>119049</v>
      </c>
    </row>
    <row r="2266" spans="1:18" x14ac:dyDescent="0.25">
      <c r="A2266" s="170">
        <v>45341</v>
      </c>
      <c r="B2266" s="116">
        <v>2324</v>
      </c>
      <c r="C2266" s="116">
        <v>2255.6</v>
      </c>
      <c r="D2266" s="116">
        <v>2246.8000000000002</v>
      </c>
      <c r="E2266" s="116">
        <v>2324</v>
      </c>
      <c r="F2266" s="116">
        <v>2255.6</v>
      </c>
      <c r="G2266">
        <v>6289</v>
      </c>
      <c r="H2266" s="116"/>
      <c r="I2266" s="116"/>
      <c r="L2266" s="170">
        <v>45341</v>
      </c>
      <c r="M2266" s="116">
        <v>2255.75</v>
      </c>
      <c r="N2266" s="116">
        <v>2318.25</v>
      </c>
      <c r="O2266" s="116">
        <v>2245</v>
      </c>
      <c r="P2266" s="116">
        <v>2318.25</v>
      </c>
      <c r="Q2266" s="116">
        <v>2255.75</v>
      </c>
      <c r="R2266">
        <v>99854</v>
      </c>
    </row>
    <row r="2267" spans="1:18" x14ac:dyDescent="0.25">
      <c r="A2267" s="170">
        <v>45342</v>
      </c>
      <c r="B2267" s="116">
        <v>2311.4</v>
      </c>
      <c r="C2267" s="116">
        <v>2295.1</v>
      </c>
      <c r="D2267" s="116">
        <v>2244.9</v>
      </c>
      <c r="E2267" s="116">
        <v>2280.5</v>
      </c>
      <c r="F2267" s="116">
        <v>2295.1</v>
      </c>
      <c r="G2267">
        <v>5997</v>
      </c>
      <c r="H2267" s="116"/>
      <c r="I2267" s="116"/>
      <c r="L2267" s="170">
        <v>45342</v>
      </c>
      <c r="M2267" s="116">
        <v>2289.0500000000002</v>
      </c>
      <c r="N2267" s="116">
        <v>2312.15</v>
      </c>
      <c r="O2267" s="116">
        <v>2245</v>
      </c>
      <c r="P2267" s="116">
        <v>2260</v>
      </c>
      <c r="Q2267" s="116">
        <v>2289.0500000000002</v>
      </c>
      <c r="R2267">
        <v>119226</v>
      </c>
    </row>
    <row r="2268" spans="1:18" x14ac:dyDescent="0.25">
      <c r="A2268" s="170">
        <v>45343</v>
      </c>
      <c r="B2268" s="116">
        <v>2317.9499999999998</v>
      </c>
      <c r="C2268" s="116">
        <v>2244.1</v>
      </c>
      <c r="D2268" s="116">
        <v>2206.85</v>
      </c>
      <c r="E2268" s="116">
        <v>2317.9499999999998</v>
      </c>
      <c r="F2268" s="116">
        <v>2244.1</v>
      </c>
      <c r="G2268">
        <v>8006</v>
      </c>
      <c r="H2268" s="116"/>
      <c r="I2268" s="116"/>
      <c r="L2268" s="170">
        <v>45343</v>
      </c>
      <c r="M2268" s="116">
        <v>2238.35</v>
      </c>
      <c r="N2268" s="116">
        <v>2312.15</v>
      </c>
      <c r="O2268" s="116">
        <v>2209.1</v>
      </c>
      <c r="P2268" s="116">
        <v>2295</v>
      </c>
      <c r="Q2268" s="116">
        <v>2238.35</v>
      </c>
      <c r="R2268">
        <v>78430</v>
      </c>
    </row>
    <row r="2269" spans="1:18" x14ac:dyDescent="0.25">
      <c r="A2269" s="170">
        <v>45344</v>
      </c>
      <c r="B2269" s="116">
        <v>2278.9499999999998</v>
      </c>
      <c r="C2269" s="116">
        <v>2159.3000000000002</v>
      </c>
      <c r="D2269" s="116">
        <v>2152.75</v>
      </c>
      <c r="E2269" s="116">
        <v>2278.9499999999998</v>
      </c>
      <c r="F2269" s="116">
        <v>2159.3000000000002</v>
      </c>
      <c r="G2269">
        <v>8871</v>
      </c>
      <c r="H2269" s="116"/>
      <c r="I2269" s="116"/>
      <c r="L2269" s="170">
        <v>45344</v>
      </c>
      <c r="M2269" s="116">
        <v>2159.3000000000002</v>
      </c>
      <c r="N2269" s="116">
        <v>2258</v>
      </c>
      <c r="O2269" s="116">
        <v>2151.15</v>
      </c>
      <c r="P2269" s="116">
        <v>2258</v>
      </c>
      <c r="Q2269" s="116">
        <v>2159.3000000000002</v>
      </c>
      <c r="R2269">
        <v>212938</v>
      </c>
    </row>
    <row r="2270" spans="1:18" x14ac:dyDescent="0.25">
      <c r="A2270" s="170">
        <v>45345</v>
      </c>
      <c r="B2270" s="116">
        <v>2179.85</v>
      </c>
      <c r="C2270" s="116">
        <v>2169</v>
      </c>
      <c r="D2270" s="116">
        <v>2150</v>
      </c>
      <c r="E2270" s="116">
        <v>2163.9499999999998</v>
      </c>
      <c r="F2270" s="116">
        <v>2169</v>
      </c>
      <c r="G2270">
        <v>6105</v>
      </c>
      <c r="H2270" s="116"/>
      <c r="I2270" s="116"/>
      <c r="L2270" s="170">
        <v>45345</v>
      </c>
      <c r="M2270" s="116">
        <v>2170.8000000000002</v>
      </c>
      <c r="N2270" s="116">
        <v>2182.15</v>
      </c>
      <c r="O2270" s="116">
        <v>2149.5</v>
      </c>
      <c r="P2270" s="116">
        <v>2160</v>
      </c>
      <c r="Q2270" s="116">
        <v>2170.8000000000002</v>
      </c>
      <c r="R2270">
        <v>80441</v>
      </c>
    </row>
    <row r="2271" spans="1:18" x14ac:dyDescent="0.25">
      <c r="A2271" s="170">
        <v>45348</v>
      </c>
      <c r="B2271" s="116">
        <v>2186.9</v>
      </c>
      <c r="C2271" s="116">
        <v>2169.5500000000002</v>
      </c>
      <c r="D2271" s="116">
        <v>2152.1</v>
      </c>
      <c r="E2271" s="116">
        <v>2173.5</v>
      </c>
      <c r="F2271" s="116">
        <v>2169.5500000000002</v>
      </c>
      <c r="G2271">
        <v>2742</v>
      </c>
      <c r="H2271" s="116"/>
      <c r="I2271" s="116"/>
      <c r="L2271" s="170">
        <v>45348</v>
      </c>
      <c r="M2271" s="116">
        <v>2171.9</v>
      </c>
      <c r="N2271" s="116">
        <v>2190</v>
      </c>
      <c r="O2271" s="116">
        <v>2154</v>
      </c>
      <c r="P2271" s="116">
        <v>2170.85</v>
      </c>
      <c r="Q2271" s="116">
        <v>2171.9</v>
      </c>
      <c r="R2271">
        <v>94131</v>
      </c>
    </row>
    <row r="2272" spans="1:18" x14ac:dyDescent="0.25">
      <c r="A2272" s="170">
        <v>45349</v>
      </c>
      <c r="B2272" s="116">
        <v>2199</v>
      </c>
      <c r="C2272" s="116">
        <v>2169.85</v>
      </c>
      <c r="D2272" s="116">
        <v>2155.6</v>
      </c>
      <c r="E2272" s="116">
        <v>2169.5500000000002</v>
      </c>
      <c r="F2272" s="116">
        <v>2169.85</v>
      </c>
      <c r="G2272">
        <v>2557</v>
      </c>
      <c r="H2272" s="116"/>
      <c r="I2272" s="116"/>
      <c r="L2272" s="170">
        <v>45349</v>
      </c>
      <c r="M2272" s="116">
        <v>2167.6</v>
      </c>
      <c r="N2272" s="116">
        <v>2199.15</v>
      </c>
      <c r="O2272" s="116">
        <v>2152.3000000000002</v>
      </c>
      <c r="P2272" s="116">
        <v>2152.3000000000002</v>
      </c>
      <c r="Q2272" s="116">
        <v>2167.6</v>
      </c>
      <c r="R2272">
        <v>122017</v>
      </c>
    </row>
    <row r="2273" spans="1:18" x14ac:dyDescent="0.25">
      <c r="A2273" s="170">
        <v>45350</v>
      </c>
      <c r="B2273" s="116">
        <v>2203.15</v>
      </c>
      <c r="C2273" s="116">
        <v>2153.5500000000002</v>
      </c>
      <c r="D2273" s="116">
        <v>2139.3000000000002</v>
      </c>
      <c r="E2273" s="116">
        <v>2155.0500000000002</v>
      </c>
      <c r="F2273" s="116">
        <v>2153.5500000000002</v>
      </c>
      <c r="G2273">
        <v>4552</v>
      </c>
      <c r="H2273" s="116"/>
      <c r="I2273" s="116"/>
      <c r="L2273" s="170">
        <v>45350</v>
      </c>
      <c r="M2273" s="116">
        <v>2154.15</v>
      </c>
      <c r="N2273" s="116">
        <v>2205.35</v>
      </c>
      <c r="O2273" s="116">
        <v>2138.9499999999998</v>
      </c>
      <c r="P2273" s="116">
        <v>2168.35</v>
      </c>
      <c r="Q2273" s="116">
        <v>2154.15</v>
      </c>
      <c r="R2273">
        <v>87477</v>
      </c>
    </row>
    <row r="2274" spans="1:18" x14ac:dyDescent="0.25">
      <c r="A2274" s="170">
        <v>45351</v>
      </c>
      <c r="B2274" s="116">
        <v>2262</v>
      </c>
      <c r="C2274" s="116">
        <v>2172.1</v>
      </c>
      <c r="D2274" s="116">
        <v>2118.75</v>
      </c>
      <c r="E2274" s="116">
        <v>2150</v>
      </c>
      <c r="F2274" s="116">
        <v>2172.1</v>
      </c>
      <c r="G2274">
        <v>146857</v>
      </c>
      <c r="H2274" s="116"/>
      <c r="I2274" s="116"/>
      <c r="L2274" s="170">
        <v>45351</v>
      </c>
      <c r="M2274" s="116">
        <v>2173.65</v>
      </c>
      <c r="N2274" s="116">
        <v>2268</v>
      </c>
      <c r="O2274" s="116">
        <v>2117.0500000000002</v>
      </c>
      <c r="P2274" s="116">
        <v>2143.0500000000002</v>
      </c>
      <c r="Q2274" s="116">
        <v>2173.65</v>
      </c>
      <c r="R2274">
        <v>492230</v>
      </c>
    </row>
    <row r="2275" spans="1:18" x14ac:dyDescent="0.25">
      <c r="A2275" s="170">
        <v>45352</v>
      </c>
      <c r="B2275" s="116">
        <v>2199.65</v>
      </c>
      <c r="C2275" s="116">
        <v>2147.15</v>
      </c>
      <c r="D2275" s="116">
        <v>2138.3000000000002</v>
      </c>
      <c r="E2275" s="116">
        <v>2199.65</v>
      </c>
      <c r="F2275" s="116">
        <v>2147.15</v>
      </c>
      <c r="G2275">
        <v>2802</v>
      </c>
      <c r="H2275" s="116"/>
      <c r="I2275" s="116"/>
      <c r="L2275" s="170">
        <v>45352</v>
      </c>
      <c r="M2275" s="116">
        <v>2147.1</v>
      </c>
      <c r="N2275" s="116">
        <v>2187</v>
      </c>
      <c r="O2275" s="116">
        <v>2132.85</v>
      </c>
      <c r="P2275" s="116">
        <v>2170</v>
      </c>
      <c r="Q2275" s="116">
        <v>2147.1</v>
      </c>
      <c r="R2275">
        <v>126019</v>
      </c>
    </row>
    <row r="2276" spans="1:18" x14ac:dyDescent="0.25">
      <c r="A2276" s="170">
        <v>45353</v>
      </c>
      <c r="B2276" s="116">
        <v>2179.1</v>
      </c>
      <c r="C2276" s="116">
        <v>2170.5500000000002</v>
      </c>
      <c r="D2276" s="116">
        <v>2142.1</v>
      </c>
      <c r="E2276" s="116">
        <v>2145</v>
      </c>
      <c r="F2276" s="116">
        <v>2170.5500000000002</v>
      </c>
      <c r="G2276">
        <v>992</v>
      </c>
      <c r="H2276" s="116"/>
      <c r="I2276" s="116"/>
      <c r="L2276" s="170">
        <v>45353</v>
      </c>
      <c r="M2276" s="116">
        <v>2173.15</v>
      </c>
      <c r="N2276" s="116">
        <v>2184</v>
      </c>
      <c r="O2276" s="116">
        <v>2144.3000000000002</v>
      </c>
      <c r="P2276" s="116">
        <v>2147.1</v>
      </c>
      <c r="Q2276" s="116">
        <v>2173.15</v>
      </c>
      <c r="R2276">
        <v>5670</v>
      </c>
    </row>
    <row r="2277" spans="1:18" x14ac:dyDescent="0.25">
      <c r="A2277" s="170">
        <v>45355</v>
      </c>
      <c r="B2277" s="116">
        <v>2198.4</v>
      </c>
      <c r="C2277" s="116">
        <v>2152.5500000000002</v>
      </c>
      <c r="D2277" s="116">
        <v>2133.4499999999998</v>
      </c>
      <c r="E2277" s="116">
        <v>2198.4</v>
      </c>
      <c r="F2277" s="116">
        <v>2152.5500000000002</v>
      </c>
      <c r="G2277">
        <v>4184</v>
      </c>
      <c r="H2277" s="116"/>
      <c r="I2277" s="116"/>
      <c r="L2277" s="170">
        <v>45355</v>
      </c>
      <c r="M2277" s="116">
        <v>2150.35</v>
      </c>
      <c r="N2277" s="116">
        <v>2191</v>
      </c>
      <c r="O2277" s="116">
        <v>2130.5</v>
      </c>
      <c r="P2277" s="116">
        <v>2191</v>
      </c>
      <c r="Q2277" s="116">
        <v>2150.35</v>
      </c>
      <c r="R2277">
        <v>123321</v>
      </c>
    </row>
    <row r="2278" spans="1:18" x14ac:dyDescent="0.25">
      <c r="A2278" s="170">
        <v>45356</v>
      </c>
      <c r="B2278" s="116">
        <v>2195.5</v>
      </c>
      <c r="C2278" s="116">
        <v>2131.6999999999998</v>
      </c>
      <c r="D2278" s="116">
        <v>2105</v>
      </c>
      <c r="E2278" s="116">
        <v>2195.5</v>
      </c>
      <c r="F2278" s="116">
        <v>2131.6999999999998</v>
      </c>
      <c r="G2278">
        <v>4721</v>
      </c>
      <c r="H2278" s="116"/>
      <c r="I2278" s="116"/>
      <c r="L2278" s="170">
        <v>45356</v>
      </c>
      <c r="M2278" s="116">
        <v>2130.5</v>
      </c>
      <c r="N2278" s="116">
        <v>2158.6</v>
      </c>
      <c r="O2278" s="116">
        <v>2103.1999999999998</v>
      </c>
      <c r="P2278" s="116">
        <v>2150.35</v>
      </c>
      <c r="Q2278" s="116">
        <v>2130.5</v>
      </c>
      <c r="R2278">
        <v>82718</v>
      </c>
    </row>
    <row r="2279" spans="1:18" x14ac:dyDescent="0.25">
      <c r="A2279" s="170">
        <v>45357</v>
      </c>
      <c r="B2279" s="116">
        <v>2134.9</v>
      </c>
      <c r="C2279" s="116">
        <v>2072.4</v>
      </c>
      <c r="D2279" s="116">
        <v>2053</v>
      </c>
      <c r="E2279" s="116">
        <v>2134.9</v>
      </c>
      <c r="F2279" s="116">
        <v>2072.4</v>
      </c>
      <c r="G2279">
        <v>10775</v>
      </c>
      <c r="H2279" s="116"/>
      <c r="I2279" s="116"/>
      <c r="L2279" s="170">
        <v>45357</v>
      </c>
      <c r="M2279" s="116">
        <v>2072.4</v>
      </c>
      <c r="N2279" s="116">
        <v>2134.75</v>
      </c>
      <c r="O2279" s="116">
        <v>2051.3000000000002</v>
      </c>
      <c r="P2279" s="116">
        <v>2120.0500000000002</v>
      </c>
      <c r="Q2279" s="116">
        <v>2072.4</v>
      </c>
      <c r="R2279">
        <v>240935</v>
      </c>
    </row>
    <row r="2280" spans="1:18" x14ac:dyDescent="0.25">
      <c r="A2280" s="170">
        <v>45358</v>
      </c>
      <c r="B2280" s="116">
        <v>2086.1999999999998</v>
      </c>
      <c r="C2280" s="116">
        <v>2050.5500000000002</v>
      </c>
      <c r="D2280" s="116">
        <v>2026.55</v>
      </c>
      <c r="E2280" s="116">
        <v>2055.1</v>
      </c>
      <c r="F2280" s="116">
        <v>2050.5500000000002</v>
      </c>
      <c r="G2280">
        <v>13472</v>
      </c>
      <c r="H2280" s="116"/>
      <c r="I2280" s="116"/>
      <c r="L2280" s="170">
        <v>45358</v>
      </c>
      <c r="M2280" s="116">
        <v>2049.9499999999998</v>
      </c>
      <c r="N2280" s="116">
        <v>2080.5500000000002</v>
      </c>
      <c r="O2280" s="116">
        <v>2026.85</v>
      </c>
      <c r="P2280" s="116">
        <v>2075</v>
      </c>
      <c r="Q2280" s="116">
        <v>2049.9499999999998</v>
      </c>
      <c r="R2280">
        <v>148157</v>
      </c>
    </row>
    <row r="2281" spans="1:18" x14ac:dyDescent="0.25">
      <c r="A2281" s="170">
        <v>45362</v>
      </c>
      <c r="B2281" s="116">
        <v>2100</v>
      </c>
      <c r="C2281" s="116">
        <v>2005.5</v>
      </c>
      <c r="D2281" s="116">
        <v>1995.2</v>
      </c>
      <c r="E2281" s="116">
        <v>2047.45</v>
      </c>
      <c r="F2281" s="116">
        <v>2005.5</v>
      </c>
      <c r="G2281">
        <v>15295</v>
      </c>
      <c r="H2281" s="116"/>
      <c r="I2281" s="116"/>
      <c r="L2281" s="170">
        <v>45362</v>
      </c>
      <c r="M2281" s="116">
        <v>2009.4</v>
      </c>
      <c r="N2281" s="116">
        <v>2102</v>
      </c>
      <c r="O2281" s="116">
        <v>1991.5</v>
      </c>
      <c r="P2281" s="116">
        <v>2049.9499999999998</v>
      </c>
      <c r="Q2281" s="116">
        <v>2009.4</v>
      </c>
      <c r="R2281">
        <v>263851</v>
      </c>
    </row>
    <row r="2282" spans="1:18" x14ac:dyDescent="0.25">
      <c r="A2282" s="170">
        <v>45363</v>
      </c>
      <c r="B2282" s="116">
        <v>2035.25</v>
      </c>
      <c r="C2282" s="116">
        <v>2001.05</v>
      </c>
      <c r="D2282" s="116">
        <v>1980.3</v>
      </c>
      <c r="E2282" s="116">
        <v>2009.45</v>
      </c>
      <c r="F2282" s="116">
        <v>2001.05</v>
      </c>
      <c r="G2282">
        <v>5488</v>
      </c>
      <c r="H2282" s="116"/>
      <c r="I2282" s="116"/>
      <c r="L2282" s="170">
        <v>45363</v>
      </c>
      <c r="M2282" s="116">
        <v>2001.25</v>
      </c>
      <c r="N2282" s="116">
        <v>2037.85</v>
      </c>
      <c r="O2282" s="116">
        <v>1976.5</v>
      </c>
      <c r="P2282" s="116">
        <v>2011.95</v>
      </c>
      <c r="Q2282" s="116">
        <v>2001.25</v>
      </c>
      <c r="R2282">
        <v>165708</v>
      </c>
    </row>
    <row r="2283" spans="1:18" x14ac:dyDescent="0.25">
      <c r="A2283" s="170">
        <v>45364</v>
      </c>
      <c r="B2283" s="116">
        <v>2012.75</v>
      </c>
      <c r="C2283" s="116">
        <v>1922.25</v>
      </c>
      <c r="D2283" s="116">
        <v>1905</v>
      </c>
      <c r="E2283" s="116">
        <v>2006.3</v>
      </c>
      <c r="F2283" s="116">
        <v>1922.25</v>
      </c>
      <c r="G2283">
        <v>5528</v>
      </c>
      <c r="H2283" s="116"/>
      <c r="I2283" s="116"/>
      <c r="L2283" s="170">
        <v>45364</v>
      </c>
      <c r="M2283" s="116">
        <v>1926.3</v>
      </c>
      <c r="N2283" s="116">
        <v>2015.2</v>
      </c>
      <c r="O2283" s="116">
        <v>1898</v>
      </c>
      <c r="P2283" s="116">
        <v>2001</v>
      </c>
      <c r="Q2283" s="116">
        <v>1926.3</v>
      </c>
      <c r="R2283">
        <v>222306</v>
      </c>
    </row>
    <row r="2284" spans="1:18" x14ac:dyDescent="0.25">
      <c r="A2284" s="170">
        <v>45365</v>
      </c>
      <c r="B2284" s="116">
        <v>1985.25</v>
      </c>
      <c r="C2284" s="116">
        <v>1964.15</v>
      </c>
      <c r="D2284" s="116">
        <v>1905.05</v>
      </c>
      <c r="E2284" s="116">
        <v>1905.05</v>
      </c>
      <c r="F2284" s="116">
        <v>1964.15</v>
      </c>
      <c r="G2284">
        <v>4156</v>
      </c>
      <c r="H2284" s="116"/>
      <c r="I2284" s="116"/>
      <c r="L2284" s="170">
        <v>45365</v>
      </c>
      <c r="M2284" s="116">
        <v>1969.05</v>
      </c>
      <c r="N2284" s="116">
        <v>1988</v>
      </c>
      <c r="O2284" s="116">
        <v>1913</v>
      </c>
      <c r="P2284" s="116">
        <v>1926.95</v>
      </c>
      <c r="Q2284" s="116">
        <v>1969.05</v>
      </c>
      <c r="R2284">
        <v>125933</v>
      </c>
    </row>
    <row r="2285" spans="1:18" x14ac:dyDescent="0.25">
      <c r="A2285" s="170">
        <v>45366</v>
      </c>
      <c r="B2285" s="116">
        <v>1982.6</v>
      </c>
      <c r="C2285" s="116">
        <v>1924.25</v>
      </c>
      <c r="D2285" s="116">
        <v>1896.9</v>
      </c>
      <c r="E2285" s="116">
        <v>1955.05</v>
      </c>
      <c r="F2285" s="116">
        <v>1924.25</v>
      </c>
      <c r="G2285">
        <v>23444</v>
      </c>
      <c r="H2285" s="116"/>
      <c r="I2285" s="116"/>
      <c r="L2285" s="170">
        <v>45366</v>
      </c>
      <c r="M2285" s="116">
        <v>1926.55</v>
      </c>
      <c r="N2285" s="116">
        <v>1983</v>
      </c>
      <c r="O2285" s="116">
        <v>1900</v>
      </c>
      <c r="P2285" s="116">
        <v>1970.9</v>
      </c>
      <c r="Q2285" s="116">
        <v>1926.55</v>
      </c>
      <c r="R2285">
        <v>207214</v>
      </c>
    </row>
    <row r="2286" spans="1:18" x14ac:dyDescent="0.25">
      <c r="A2286" s="170">
        <v>45369</v>
      </c>
      <c r="B2286" s="116">
        <v>1996.1</v>
      </c>
      <c r="C2286" s="116">
        <v>1977.8</v>
      </c>
      <c r="D2286" s="116">
        <v>1908.6</v>
      </c>
      <c r="E2286" s="116">
        <v>1908.6</v>
      </c>
      <c r="F2286" s="116">
        <v>1977.8</v>
      </c>
      <c r="G2286">
        <v>5976</v>
      </c>
      <c r="H2286" s="116"/>
      <c r="I2286" s="116"/>
      <c r="L2286" s="170">
        <v>45369</v>
      </c>
      <c r="M2286" s="116">
        <v>1972.25</v>
      </c>
      <c r="N2286" s="116">
        <v>1995.95</v>
      </c>
      <c r="O2286" s="116">
        <v>1905.6</v>
      </c>
      <c r="P2286" s="116">
        <v>1905.6</v>
      </c>
      <c r="Q2286" s="116">
        <v>1972.25</v>
      </c>
      <c r="R2286">
        <v>231516</v>
      </c>
    </row>
    <row r="2287" spans="1:18" x14ac:dyDescent="0.25">
      <c r="A2287" s="170">
        <v>45370</v>
      </c>
      <c r="B2287" s="116">
        <v>2004.8</v>
      </c>
      <c r="C2287" s="116">
        <v>1953.95</v>
      </c>
      <c r="D2287" s="116">
        <v>1932.45</v>
      </c>
      <c r="E2287" s="116">
        <v>1977.8</v>
      </c>
      <c r="F2287" s="116">
        <v>1953.95</v>
      </c>
      <c r="G2287">
        <v>6165</v>
      </c>
      <c r="H2287" s="116"/>
      <c r="I2287" s="116"/>
      <c r="L2287" s="170">
        <v>45370</v>
      </c>
      <c r="M2287" s="116">
        <v>1952.55</v>
      </c>
      <c r="N2287" s="116">
        <v>2004.85</v>
      </c>
      <c r="O2287" s="116">
        <v>1932.05</v>
      </c>
      <c r="P2287" s="116">
        <v>1976</v>
      </c>
      <c r="Q2287" s="116">
        <v>1952.55</v>
      </c>
      <c r="R2287">
        <v>204880</v>
      </c>
    </row>
    <row r="2288" spans="1:18" x14ac:dyDescent="0.25">
      <c r="A2288" s="170">
        <v>45371</v>
      </c>
      <c r="B2288" s="116">
        <v>2017.9</v>
      </c>
      <c r="C2288" s="116">
        <v>2001.05</v>
      </c>
      <c r="D2288" s="116">
        <v>1955</v>
      </c>
      <c r="E2288" s="116">
        <v>1955</v>
      </c>
      <c r="F2288" s="116">
        <v>2001.05</v>
      </c>
      <c r="G2288">
        <v>9794</v>
      </c>
      <c r="H2288" s="116"/>
      <c r="I2288" s="116"/>
      <c r="L2288" s="170">
        <v>45371</v>
      </c>
      <c r="M2288" s="116">
        <v>1999</v>
      </c>
      <c r="N2288" s="116">
        <v>2019.75</v>
      </c>
      <c r="O2288" s="116">
        <v>1955.65</v>
      </c>
      <c r="P2288" s="116">
        <v>1955.65</v>
      </c>
      <c r="Q2288" s="116">
        <v>1999</v>
      </c>
      <c r="R2288">
        <v>134366</v>
      </c>
    </row>
    <row r="2289" spans="1:18" x14ac:dyDescent="0.25">
      <c r="A2289" s="170">
        <v>45372</v>
      </c>
      <c r="B2289" s="116">
        <v>2037.85</v>
      </c>
      <c r="C2289" s="116">
        <v>1990.55</v>
      </c>
      <c r="D2289" s="116">
        <v>1979.55</v>
      </c>
      <c r="E2289" s="116">
        <v>1991</v>
      </c>
      <c r="F2289" s="116">
        <v>1990.55</v>
      </c>
      <c r="G2289">
        <v>6833</v>
      </c>
      <c r="H2289" s="116"/>
      <c r="I2289" s="116"/>
      <c r="L2289" s="170">
        <v>45372</v>
      </c>
      <c r="M2289" s="116">
        <v>1986.3</v>
      </c>
      <c r="N2289" s="116">
        <v>2039.95</v>
      </c>
      <c r="O2289" s="116">
        <v>1975.05</v>
      </c>
      <c r="P2289" s="116">
        <v>1991.2</v>
      </c>
      <c r="Q2289" s="116">
        <v>1986.3</v>
      </c>
      <c r="R2289">
        <v>142721</v>
      </c>
    </row>
    <row r="2290" spans="1:18" x14ac:dyDescent="0.25">
      <c r="A2290" s="170">
        <v>45373</v>
      </c>
      <c r="B2290" s="116">
        <v>1994.9</v>
      </c>
      <c r="C2290" s="116">
        <v>1963.45</v>
      </c>
      <c r="D2290" s="116">
        <v>1939.25</v>
      </c>
      <c r="E2290" s="116">
        <v>1994.05</v>
      </c>
      <c r="F2290" s="116">
        <v>1963.45</v>
      </c>
      <c r="G2290">
        <v>7903</v>
      </c>
      <c r="H2290" s="116"/>
      <c r="I2290" s="116"/>
      <c r="L2290" s="170">
        <v>45373</v>
      </c>
      <c r="M2290" s="116">
        <v>1963.05</v>
      </c>
      <c r="N2290" s="116">
        <v>1995</v>
      </c>
      <c r="O2290" s="116">
        <v>1939</v>
      </c>
      <c r="P2290" s="116">
        <v>1987</v>
      </c>
      <c r="Q2290" s="116">
        <v>1963.05</v>
      </c>
      <c r="R2290">
        <v>267395</v>
      </c>
    </row>
    <row r="2291" spans="1:18" x14ac:dyDescent="0.25">
      <c r="A2291" s="170">
        <v>45377</v>
      </c>
      <c r="B2291" s="116">
        <v>1985.55</v>
      </c>
      <c r="C2291" s="116">
        <v>1924.5</v>
      </c>
      <c r="D2291" s="116">
        <v>1912.7</v>
      </c>
      <c r="E2291" s="116">
        <v>1950.15</v>
      </c>
      <c r="F2291" s="116">
        <v>1924.5</v>
      </c>
      <c r="G2291">
        <v>8662</v>
      </c>
      <c r="H2291" s="116"/>
      <c r="I2291" s="116"/>
      <c r="L2291" s="170">
        <v>45377</v>
      </c>
      <c r="M2291" s="116">
        <v>1921.5</v>
      </c>
      <c r="N2291" s="116">
        <v>1987</v>
      </c>
      <c r="O2291" s="116">
        <v>1912.4</v>
      </c>
      <c r="P2291" s="116">
        <v>1977</v>
      </c>
      <c r="Q2291" s="116">
        <v>1921.5</v>
      </c>
      <c r="R2291">
        <v>133017</v>
      </c>
    </row>
    <row r="2292" spans="1:18" x14ac:dyDescent="0.25">
      <c r="A2292" s="170">
        <v>45378</v>
      </c>
      <c r="B2292" s="116">
        <v>1952.35</v>
      </c>
      <c r="C2292" s="116">
        <v>1881.7</v>
      </c>
      <c r="D2292" s="116">
        <v>1872.15</v>
      </c>
      <c r="E2292" s="116">
        <v>1937.95</v>
      </c>
      <c r="F2292" s="116">
        <v>1881.7</v>
      </c>
      <c r="G2292">
        <v>11954</v>
      </c>
      <c r="H2292" s="116"/>
      <c r="I2292" s="116"/>
      <c r="L2292" s="170">
        <v>45378</v>
      </c>
      <c r="M2292" s="116">
        <v>1879.8</v>
      </c>
      <c r="N2292" s="116">
        <v>1957.15</v>
      </c>
      <c r="O2292" s="116">
        <v>1871.25</v>
      </c>
      <c r="P2292" s="116">
        <v>1925</v>
      </c>
      <c r="Q2292" s="116">
        <v>1879.8</v>
      </c>
      <c r="R2292">
        <v>250305</v>
      </c>
    </row>
    <row r="2293" spans="1:18" x14ac:dyDescent="0.25">
      <c r="A2293" s="170">
        <v>45379</v>
      </c>
      <c r="B2293" s="116">
        <v>1963.15</v>
      </c>
      <c r="C2293" s="116">
        <v>1943.1</v>
      </c>
      <c r="D2293" s="116">
        <v>1888.45</v>
      </c>
      <c r="E2293" s="116">
        <v>1888.45</v>
      </c>
      <c r="F2293" s="116">
        <v>1943.1</v>
      </c>
      <c r="G2293">
        <v>18731</v>
      </c>
      <c r="H2293" s="116"/>
      <c r="I2293" s="116"/>
      <c r="L2293" s="170">
        <v>45379</v>
      </c>
      <c r="M2293" s="116">
        <v>1946.6</v>
      </c>
      <c r="N2293" s="116">
        <v>1962.35</v>
      </c>
      <c r="O2293" s="116">
        <v>1890.45</v>
      </c>
      <c r="P2293" s="116">
        <v>1890.45</v>
      </c>
      <c r="Q2293" s="116">
        <v>1946.6</v>
      </c>
      <c r="R2293">
        <v>120032</v>
      </c>
    </row>
    <row r="2294" spans="1:18" x14ac:dyDescent="0.25">
      <c r="A2294" s="170">
        <v>45383</v>
      </c>
      <c r="B2294" s="116">
        <v>1995.2</v>
      </c>
      <c r="C2294" s="116">
        <v>1987.45</v>
      </c>
      <c r="D2294" s="116">
        <v>1927.85</v>
      </c>
      <c r="E2294" s="116">
        <v>1941.15</v>
      </c>
      <c r="F2294" s="116">
        <v>1987.45</v>
      </c>
      <c r="G2294">
        <v>7004</v>
      </c>
      <c r="H2294" s="116"/>
      <c r="I2294" s="116"/>
      <c r="L2294" s="170">
        <v>45383</v>
      </c>
      <c r="M2294" s="116">
        <v>1986.3</v>
      </c>
      <c r="N2294" s="116">
        <v>1995.25</v>
      </c>
      <c r="O2294" s="116">
        <v>1927.25</v>
      </c>
      <c r="P2294" s="116">
        <v>1946.6</v>
      </c>
      <c r="Q2294" s="116">
        <v>1986.3</v>
      </c>
      <c r="R2294">
        <v>140795</v>
      </c>
    </row>
    <row r="2295" spans="1:18" x14ac:dyDescent="0.25">
      <c r="A2295" s="170">
        <v>45384</v>
      </c>
      <c r="B2295" s="116">
        <v>2020</v>
      </c>
      <c r="C2295" s="116">
        <v>1970.45</v>
      </c>
      <c r="D2295" s="116">
        <v>1966.1</v>
      </c>
      <c r="E2295" s="116">
        <v>1995.7</v>
      </c>
      <c r="F2295" s="116">
        <v>1970.45</v>
      </c>
      <c r="G2295">
        <v>3440</v>
      </c>
      <c r="H2295" s="116"/>
      <c r="I2295" s="116"/>
      <c r="L2295" s="170">
        <v>45384</v>
      </c>
      <c r="M2295" s="116">
        <v>1970.65</v>
      </c>
      <c r="N2295" s="116">
        <v>2023</v>
      </c>
      <c r="O2295" s="116">
        <v>1965.1</v>
      </c>
      <c r="P2295" s="116">
        <v>1994.6</v>
      </c>
      <c r="Q2295" s="116">
        <v>1970.65</v>
      </c>
      <c r="R2295">
        <v>102421</v>
      </c>
    </row>
    <row r="2296" spans="1:18" x14ac:dyDescent="0.25">
      <c r="A2296" s="170">
        <v>45385</v>
      </c>
      <c r="B2296" s="116">
        <v>1984.7</v>
      </c>
      <c r="C2296" s="116">
        <v>1965.65</v>
      </c>
      <c r="D2296" s="116">
        <v>1946.3</v>
      </c>
      <c r="E2296" s="116">
        <v>1970.5</v>
      </c>
      <c r="F2296" s="116">
        <v>1965.65</v>
      </c>
      <c r="G2296">
        <v>2176</v>
      </c>
      <c r="H2296" s="116"/>
      <c r="I2296" s="116"/>
      <c r="L2296" s="170">
        <v>45385</v>
      </c>
      <c r="M2296" s="116">
        <v>1965.15</v>
      </c>
      <c r="N2296" s="116">
        <v>1984</v>
      </c>
      <c r="O2296" s="116">
        <v>1952.55</v>
      </c>
      <c r="P2296" s="116">
        <v>1969</v>
      </c>
      <c r="Q2296" s="116">
        <v>1965.15</v>
      </c>
      <c r="R2296">
        <v>89177</v>
      </c>
    </row>
    <row r="2297" spans="1:18" x14ac:dyDescent="0.25">
      <c r="A2297" s="170">
        <v>45386</v>
      </c>
      <c r="B2297" s="116">
        <v>1987.95</v>
      </c>
      <c r="C2297" s="116">
        <v>1933.95</v>
      </c>
      <c r="D2297" s="116">
        <v>1930.05</v>
      </c>
      <c r="E2297" s="116">
        <v>1987.95</v>
      </c>
      <c r="F2297" s="116">
        <v>1933.95</v>
      </c>
      <c r="G2297">
        <v>5280</v>
      </c>
      <c r="H2297" s="116"/>
      <c r="I2297" s="116"/>
      <c r="L2297" s="170">
        <v>45386</v>
      </c>
      <c r="M2297" s="116">
        <v>1934.65</v>
      </c>
      <c r="N2297" s="116">
        <v>1989</v>
      </c>
      <c r="O2297" s="116">
        <v>1931</v>
      </c>
      <c r="P2297" s="116">
        <v>1974.1</v>
      </c>
      <c r="Q2297" s="116">
        <v>1934.65</v>
      </c>
      <c r="R2297">
        <v>120785</v>
      </c>
    </row>
    <row r="2298" spans="1:18" x14ac:dyDescent="0.25">
      <c r="A2298" s="170">
        <v>45387</v>
      </c>
      <c r="B2298" s="116">
        <v>1950.55</v>
      </c>
      <c r="C2298" s="116">
        <v>1940.65</v>
      </c>
      <c r="D2298" s="116">
        <v>1919</v>
      </c>
      <c r="E2298" s="116">
        <v>1942.75</v>
      </c>
      <c r="F2298" s="116">
        <v>1940.65</v>
      </c>
      <c r="G2298">
        <v>5459</v>
      </c>
      <c r="H2298" s="116"/>
      <c r="I2298" s="116"/>
      <c r="L2298" s="170">
        <v>45387</v>
      </c>
      <c r="M2298" s="116">
        <v>1938.05</v>
      </c>
      <c r="N2298" s="116">
        <v>1951.95</v>
      </c>
      <c r="O2298" s="116">
        <v>1917.3</v>
      </c>
      <c r="P2298" s="116">
        <v>1946.6</v>
      </c>
      <c r="Q2298" s="116">
        <v>1938.05</v>
      </c>
      <c r="R2298">
        <v>79093</v>
      </c>
    </row>
    <row r="2299" spans="1:18" x14ac:dyDescent="0.25">
      <c r="A2299" s="170">
        <v>45390</v>
      </c>
      <c r="B2299" s="116">
        <v>1973.65</v>
      </c>
      <c r="C2299" s="116">
        <v>1927.9</v>
      </c>
      <c r="D2299" s="116">
        <v>1922.55</v>
      </c>
      <c r="E2299" s="116">
        <v>1946.95</v>
      </c>
      <c r="F2299" s="116">
        <v>1927.9</v>
      </c>
      <c r="G2299">
        <v>6072</v>
      </c>
      <c r="H2299" s="116"/>
      <c r="I2299" s="116"/>
      <c r="L2299" s="170">
        <v>45390</v>
      </c>
      <c r="M2299" s="116">
        <v>1929.8</v>
      </c>
      <c r="N2299" s="116">
        <v>1973.85</v>
      </c>
      <c r="O2299" s="116">
        <v>1923.2</v>
      </c>
      <c r="P2299" s="116">
        <v>1942</v>
      </c>
      <c r="Q2299" s="116">
        <v>1929.8</v>
      </c>
      <c r="R2299">
        <v>124932</v>
      </c>
    </row>
    <row r="2300" spans="1:18" x14ac:dyDescent="0.25">
      <c r="A2300" s="170">
        <v>45391</v>
      </c>
      <c r="B2300" s="116">
        <v>1958.6</v>
      </c>
      <c r="C2300" s="116">
        <v>1910.9</v>
      </c>
      <c r="D2300" s="116">
        <v>1904</v>
      </c>
      <c r="E2300" s="116">
        <v>1958.6</v>
      </c>
      <c r="F2300" s="116">
        <v>1910.9</v>
      </c>
      <c r="G2300">
        <v>2090</v>
      </c>
      <c r="H2300" s="116"/>
      <c r="I2300" s="116"/>
      <c r="L2300" s="170">
        <v>45391</v>
      </c>
      <c r="M2300" s="116">
        <v>1909.5</v>
      </c>
      <c r="N2300" s="116">
        <v>1945</v>
      </c>
      <c r="O2300" s="116">
        <v>1903.1</v>
      </c>
      <c r="P2300" s="116">
        <v>1945</v>
      </c>
      <c r="Q2300" s="116">
        <v>1909.5</v>
      </c>
      <c r="R2300">
        <v>119852</v>
      </c>
    </row>
    <row r="2301" spans="1:18" x14ac:dyDescent="0.25">
      <c r="A2301" s="170">
        <v>45392</v>
      </c>
      <c r="B2301" s="116">
        <v>1920.95</v>
      </c>
      <c r="C2301" s="116">
        <v>1895.05</v>
      </c>
      <c r="D2301" s="116">
        <v>1892</v>
      </c>
      <c r="E2301" s="116">
        <v>1913</v>
      </c>
      <c r="F2301" s="116">
        <v>1895.05</v>
      </c>
      <c r="G2301">
        <v>4277</v>
      </c>
      <c r="H2301" s="116"/>
      <c r="I2301" s="116"/>
      <c r="L2301" s="170">
        <v>45392</v>
      </c>
      <c r="M2301" s="116">
        <v>1896.45</v>
      </c>
      <c r="N2301" s="116">
        <v>1924</v>
      </c>
      <c r="O2301" s="116">
        <v>1891.25</v>
      </c>
      <c r="P2301" s="116">
        <v>1913.25</v>
      </c>
      <c r="Q2301" s="116">
        <v>1896.45</v>
      </c>
      <c r="R2301">
        <v>107232</v>
      </c>
    </row>
    <row r="2302" spans="1:18" x14ac:dyDescent="0.25">
      <c r="A2302" s="170">
        <v>45394</v>
      </c>
      <c r="B2302" s="116">
        <v>1931</v>
      </c>
      <c r="C2302" s="116">
        <v>1884.05</v>
      </c>
      <c r="D2302" s="116">
        <v>1875</v>
      </c>
      <c r="E2302" s="116">
        <v>1891.95</v>
      </c>
      <c r="F2302" s="116">
        <v>1884.05</v>
      </c>
      <c r="G2302">
        <v>4701</v>
      </c>
      <c r="H2302" s="116"/>
      <c r="I2302" s="116"/>
      <c r="L2302" s="170">
        <v>45394</v>
      </c>
      <c r="M2302" s="116">
        <v>1881.4</v>
      </c>
      <c r="N2302" s="116">
        <v>1934.4</v>
      </c>
      <c r="O2302" s="116">
        <v>1872</v>
      </c>
      <c r="P2302" s="116">
        <v>1890.05</v>
      </c>
      <c r="Q2302" s="116">
        <v>1881.4</v>
      </c>
      <c r="R2302">
        <v>173075</v>
      </c>
    </row>
    <row r="2303" spans="1:18" x14ac:dyDescent="0.25">
      <c r="A2303" s="170">
        <v>45397</v>
      </c>
      <c r="B2303" s="116">
        <v>1919.75</v>
      </c>
      <c r="C2303" s="116">
        <v>1902.8</v>
      </c>
      <c r="D2303" s="116">
        <v>1825.05</v>
      </c>
      <c r="E2303" s="116">
        <v>1825.05</v>
      </c>
      <c r="F2303" s="116">
        <v>1902.8</v>
      </c>
      <c r="G2303">
        <v>7619</v>
      </c>
      <c r="H2303" s="116"/>
      <c r="I2303" s="116"/>
      <c r="L2303" s="170">
        <v>45397</v>
      </c>
      <c r="M2303" s="116">
        <v>1902.2</v>
      </c>
      <c r="N2303" s="116">
        <v>1923.3</v>
      </c>
      <c r="O2303" s="116">
        <v>1842.05</v>
      </c>
      <c r="P2303" s="116">
        <v>1876.1</v>
      </c>
      <c r="Q2303" s="116">
        <v>1902.2</v>
      </c>
      <c r="R2303">
        <v>164654</v>
      </c>
    </row>
    <row r="2304" spans="1:18" x14ac:dyDescent="0.25">
      <c r="A2304" s="170">
        <v>45398</v>
      </c>
      <c r="B2304" s="116">
        <v>1913.35</v>
      </c>
      <c r="C2304" s="116">
        <v>1899.85</v>
      </c>
      <c r="D2304" s="116">
        <v>1880</v>
      </c>
      <c r="E2304" s="116">
        <v>1900.15</v>
      </c>
      <c r="F2304" s="116">
        <v>1899.85</v>
      </c>
      <c r="G2304">
        <v>2585</v>
      </c>
      <c r="H2304" s="116"/>
      <c r="I2304" s="116"/>
      <c r="L2304" s="170">
        <v>45398</v>
      </c>
      <c r="M2304" s="116">
        <v>1898.8</v>
      </c>
      <c r="N2304" s="116">
        <v>1914</v>
      </c>
      <c r="O2304" s="116">
        <v>1877.75</v>
      </c>
      <c r="P2304" s="116">
        <v>1902.75</v>
      </c>
      <c r="Q2304" s="116">
        <v>1898.8</v>
      </c>
      <c r="R2304">
        <v>69364</v>
      </c>
    </row>
    <row r="2305" spans="1:18" x14ac:dyDescent="0.25">
      <c r="A2305" s="170">
        <v>45400</v>
      </c>
      <c r="B2305" s="116">
        <v>1920.1</v>
      </c>
      <c r="C2305" s="116">
        <v>1889.2</v>
      </c>
      <c r="D2305" s="116">
        <v>1872.05</v>
      </c>
      <c r="E2305" s="116">
        <v>1920.1</v>
      </c>
      <c r="F2305" s="116">
        <v>1889.2</v>
      </c>
      <c r="G2305">
        <v>3843</v>
      </c>
      <c r="H2305" s="116"/>
      <c r="I2305" s="116"/>
      <c r="L2305" s="170">
        <v>45400</v>
      </c>
      <c r="M2305" s="116">
        <v>1888.15</v>
      </c>
      <c r="N2305" s="116">
        <v>1922.95</v>
      </c>
      <c r="O2305" s="116">
        <v>1872.25</v>
      </c>
      <c r="P2305" s="116">
        <v>1922.95</v>
      </c>
      <c r="Q2305" s="116">
        <v>1888.15</v>
      </c>
      <c r="R2305">
        <v>89407</v>
      </c>
    </row>
    <row r="2306" spans="1:18" x14ac:dyDescent="0.25">
      <c r="A2306" s="170">
        <v>45401</v>
      </c>
      <c r="B2306" s="116">
        <v>1879.15</v>
      </c>
      <c r="C2306" s="116">
        <v>1868.85</v>
      </c>
      <c r="D2306" s="116">
        <v>1846.25</v>
      </c>
      <c r="E2306" s="116">
        <v>1856.9</v>
      </c>
      <c r="F2306" s="116">
        <v>1868.85</v>
      </c>
      <c r="G2306">
        <v>3765</v>
      </c>
      <c r="H2306" s="116"/>
      <c r="I2306" s="116"/>
      <c r="L2306" s="170">
        <v>45401</v>
      </c>
      <c r="M2306" s="116">
        <v>1871.2</v>
      </c>
      <c r="N2306" s="116">
        <v>1878.2</v>
      </c>
      <c r="O2306" s="116">
        <v>1854</v>
      </c>
      <c r="P2306" s="116">
        <v>1878.15</v>
      </c>
      <c r="Q2306" s="116">
        <v>1871.2</v>
      </c>
      <c r="R2306">
        <v>49219</v>
      </c>
    </row>
    <row r="2307" spans="1:18" x14ac:dyDescent="0.25">
      <c r="A2307" s="170">
        <v>45404</v>
      </c>
      <c r="B2307" s="116">
        <v>1970</v>
      </c>
      <c r="C2307" s="116">
        <v>1948.1</v>
      </c>
      <c r="D2307" s="116">
        <v>1877.7</v>
      </c>
      <c r="E2307" s="116">
        <v>1880.75</v>
      </c>
      <c r="F2307" s="116">
        <v>1948.1</v>
      </c>
      <c r="G2307">
        <v>5393</v>
      </c>
      <c r="H2307" s="116"/>
      <c r="I2307" s="116"/>
      <c r="L2307" s="170">
        <v>45404</v>
      </c>
      <c r="M2307" s="116">
        <v>1950.05</v>
      </c>
      <c r="N2307" s="116">
        <v>1972.25</v>
      </c>
      <c r="O2307" s="116">
        <v>1872</v>
      </c>
      <c r="P2307" s="116">
        <v>1872</v>
      </c>
      <c r="Q2307" s="116">
        <v>1950.05</v>
      </c>
      <c r="R2307">
        <v>209647</v>
      </c>
    </row>
    <row r="2308" spans="1:18" x14ac:dyDescent="0.25">
      <c r="A2308" s="170">
        <v>45405</v>
      </c>
      <c r="B2308" s="116">
        <v>1962.9</v>
      </c>
      <c r="C2308" s="116">
        <v>1942.65</v>
      </c>
      <c r="D2308" s="116">
        <v>1930</v>
      </c>
      <c r="E2308" s="116">
        <v>1948.1</v>
      </c>
      <c r="F2308" s="116">
        <v>1942.65</v>
      </c>
      <c r="G2308">
        <v>3115</v>
      </c>
      <c r="H2308" s="116"/>
      <c r="I2308" s="116"/>
      <c r="L2308" s="170">
        <v>45405</v>
      </c>
      <c r="M2308" s="116">
        <v>1946.75</v>
      </c>
      <c r="N2308" s="116">
        <v>1964</v>
      </c>
      <c r="O2308" s="116">
        <v>1930.35</v>
      </c>
      <c r="P2308" s="116">
        <v>1950</v>
      </c>
      <c r="Q2308" s="116">
        <v>1946.75</v>
      </c>
      <c r="R2308">
        <v>135413</v>
      </c>
    </row>
    <row r="2309" spans="1:18" x14ac:dyDescent="0.25">
      <c r="A2309" s="170">
        <v>45406</v>
      </c>
      <c r="B2309" s="116">
        <v>2085.9</v>
      </c>
      <c r="C2309" s="116">
        <v>2079.8000000000002</v>
      </c>
      <c r="D2309" s="116">
        <v>1956.75</v>
      </c>
      <c r="E2309" s="116">
        <v>1957.55</v>
      </c>
      <c r="F2309" s="116">
        <v>2079.8000000000002</v>
      </c>
      <c r="G2309">
        <v>20430</v>
      </c>
      <c r="H2309" s="116"/>
      <c r="I2309" s="116"/>
      <c r="L2309" s="170">
        <v>45406</v>
      </c>
      <c r="M2309" s="116">
        <v>2077.25</v>
      </c>
      <c r="N2309" s="116">
        <v>2087</v>
      </c>
      <c r="O2309" s="116">
        <v>1954.25</v>
      </c>
      <c r="P2309" s="116">
        <v>1956.5</v>
      </c>
      <c r="Q2309" s="116">
        <v>2077.25</v>
      </c>
      <c r="R2309">
        <v>278853</v>
      </c>
    </row>
    <row r="2310" spans="1:18" x14ac:dyDescent="0.25">
      <c r="A2310" s="170">
        <v>45407</v>
      </c>
      <c r="B2310" s="116">
        <v>2118</v>
      </c>
      <c r="C2310" s="116">
        <v>2065.4</v>
      </c>
      <c r="D2310" s="116">
        <v>2039.75</v>
      </c>
      <c r="E2310" s="116">
        <v>2080.4</v>
      </c>
      <c r="F2310" s="116">
        <v>2065.4</v>
      </c>
      <c r="G2310">
        <v>14837</v>
      </c>
      <c r="H2310" s="116"/>
      <c r="I2310" s="116"/>
      <c r="L2310" s="170">
        <v>45407</v>
      </c>
      <c r="M2310" s="116">
        <v>2065.6</v>
      </c>
      <c r="N2310" s="116">
        <v>2118</v>
      </c>
      <c r="O2310" s="116">
        <v>2041</v>
      </c>
      <c r="P2310" s="116">
        <v>2078</v>
      </c>
      <c r="Q2310" s="116">
        <v>2065.6</v>
      </c>
      <c r="R2310">
        <v>190449</v>
      </c>
    </row>
    <row r="2311" spans="1:18" x14ac:dyDescent="0.25">
      <c r="A2311" s="170">
        <v>45408</v>
      </c>
      <c r="B2311" s="116">
        <v>2145.75</v>
      </c>
      <c r="C2311" s="116">
        <v>2132.75</v>
      </c>
      <c r="D2311" s="116">
        <v>2056.6</v>
      </c>
      <c r="E2311" s="116">
        <v>2070.1</v>
      </c>
      <c r="F2311" s="116">
        <v>2132.75</v>
      </c>
      <c r="G2311">
        <v>6612</v>
      </c>
      <c r="H2311" s="116"/>
      <c r="I2311" s="116"/>
      <c r="L2311" s="170">
        <v>45408</v>
      </c>
      <c r="M2311" s="116">
        <v>2128.65</v>
      </c>
      <c r="N2311" s="116">
        <v>2148</v>
      </c>
      <c r="O2311" s="116">
        <v>2053</v>
      </c>
      <c r="P2311" s="116">
        <v>2073.9</v>
      </c>
      <c r="Q2311" s="116">
        <v>2128.65</v>
      </c>
      <c r="R2311">
        <v>228118</v>
      </c>
    </row>
    <row r="2312" spans="1:18" x14ac:dyDescent="0.25">
      <c r="A2312" s="170">
        <v>45411</v>
      </c>
      <c r="B2312" s="116">
        <v>2163.6</v>
      </c>
      <c r="C2312" s="116">
        <v>2111.9</v>
      </c>
      <c r="D2312" s="116">
        <v>2095.65</v>
      </c>
      <c r="E2312" s="116">
        <v>2147.9499999999998</v>
      </c>
      <c r="F2312" s="116">
        <v>2111.9</v>
      </c>
      <c r="G2312">
        <v>7208</v>
      </c>
      <c r="H2312" s="116"/>
      <c r="I2312" s="116"/>
      <c r="L2312" s="170">
        <v>45411</v>
      </c>
      <c r="M2312" s="116">
        <v>2112.85</v>
      </c>
      <c r="N2312" s="116">
        <v>2165.4</v>
      </c>
      <c r="O2312" s="116">
        <v>2099</v>
      </c>
      <c r="P2312" s="116">
        <v>2137</v>
      </c>
      <c r="Q2312" s="116">
        <v>2112.85</v>
      </c>
      <c r="R2312">
        <v>159138</v>
      </c>
    </row>
    <row r="2313" spans="1:18" x14ac:dyDescent="0.25">
      <c r="A2313" s="170">
        <v>45412</v>
      </c>
      <c r="B2313" s="116">
        <v>2136</v>
      </c>
      <c r="C2313" s="116">
        <v>2087.1</v>
      </c>
      <c r="D2313" s="116">
        <v>2080.4</v>
      </c>
      <c r="E2313" s="116">
        <v>2115.1</v>
      </c>
      <c r="F2313" s="116">
        <v>2087.1</v>
      </c>
      <c r="G2313">
        <v>1475</v>
      </c>
      <c r="H2313" s="116"/>
      <c r="I2313" s="116"/>
      <c r="L2313" s="170">
        <v>45412</v>
      </c>
      <c r="M2313" s="116">
        <v>2086.75</v>
      </c>
      <c r="N2313" s="116">
        <v>2142</v>
      </c>
      <c r="O2313" s="116">
        <v>2080.1</v>
      </c>
      <c r="P2313" s="116">
        <v>2119.1</v>
      </c>
      <c r="Q2313" s="116">
        <v>2086.75</v>
      </c>
      <c r="R2313">
        <v>65138</v>
      </c>
    </row>
    <row r="2314" spans="1:18" x14ac:dyDescent="0.25">
      <c r="A2314" s="170">
        <v>45414</v>
      </c>
      <c r="B2314" s="116">
        <v>2118.85</v>
      </c>
      <c r="C2314" s="116">
        <v>2103.5500000000002</v>
      </c>
      <c r="D2314" s="116">
        <v>2080</v>
      </c>
      <c r="E2314" s="116">
        <v>2095.15</v>
      </c>
      <c r="F2314" s="116">
        <v>2103.5500000000002</v>
      </c>
      <c r="G2314">
        <v>5760</v>
      </c>
      <c r="H2314" s="116"/>
      <c r="I2314" s="116"/>
      <c r="L2314" s="170">
        <v>45414</v>
      </c>
      <c r="M2314" s="116">
        <v>2101.75</v>
      </c>
      <c r="N2314" s="116">
        <v>2124</v>
      </c>
      <c r="O2314" s="116">
        <v>2078.8000000000002</v>
      </c>
      <c r="P2314" s="116">
        <v>2110.25</v>
      </c>
      <c r="Q2314" s="116">
        <v>2101.75</v>
      </c>
      <c r="R2314">
        <v>60837</v>
      </c>
    </row>
    <row r="2315" spans="1:18" x14ac:dyDescent="0.25">
      <c r="A2315" s="170">
        <v>45415</v>
      </c>
      <c r="B2315" s="116">
        <v>2144.5500000000002</v>
      </c>
      <c r="C2315" s="116">
        <v>2093.85</v>
      </c>
      <c r="D2315" s="116">
        <v>2078.4</v>
      </c>
      <c r="E2315" s="116">
        <v>2105</v>
      </c>
      <c r="F2315" s="116">
        <v>2093.85</v>
      </c>
      <c r="G2315">
        <v>8701</v>
      </c>
      <c r="H2315" s="116"/>
      <c r="I2315" s="116"/>
      <c r="L2315" s="170">
        <v>45415</v>
      </c>
      <c r="M2315" s="116">
        <v>2095.35</v>
      </c>
      <c r="N2315" s="116">
        <v>2145</v>
      </c>
      <c r="O2315" s="116">
        <v>2078.1</v>
      </c>
      <c r="P2315" s="116">
        <v>2122</v>
      </c>
      <c r="Q2315" s="116">
        <v>2095.35</v>
      </c>
      <c r="R2315">
        <v>101606</v>
      </c>
    </row>
    <row r="2316" spans="1:18" x14ac:dyDescent="0.25">
      <c r="A2316" s="170">
        <v>45418</v>
      </c>
      <c r="B2316" s="116">
        <v>2118.4</v>
      </c>
      <c r="C2316" s="116">
        <v>2077.9499999999998</v>
      </c>
      <c r="D2316" s="116">
        <v>2052.0500000000002</v>
      </c>
      <c r="E2316" s="116">
        <v>2052.0500000000002</v>
      </c>
      <c r="F2316" s="116">
        <v>2077.9499999999998</v>
      </c>
      <c r="G2316">
        <v>4685</v>
      </c>
      <c r="H2316" s="116"/>
      <c r="I2316" s="116"/>
      <c r="L2316" s="170">
        <v>45418</v>
      </c>
      <c r="M2316" s="116">
        <v>2082.5500000000002</v>
      </c>
      <c r="N2316" s="116">
        <v>2121</v>
      </c>
      <c r="O2316" s="116">
        <v>2061.5500000000002</v>
      </c>
      <c r="P2316" s="116">
        <v>2103.75</v>
      </c>
      <c r="Q2316" s="116">
        <v>2082.5500000000002</v>
      </c>
      <c r="R2316">
        <v>71915</v>
      </c>
    </row>
    <row r="2317" spans="1:18" x14ac:dyDescent="0.25">
      <c r="A2317" s="170">
        <v>45419</v>
      </c>
      <c r="B2317" s="116">
        <v>2107</v>
      </c>
      <c r="C2317" s="116">
        <v>2036.85</v>
      </c>
      <c r="D2317" s="116">
        <v>2020</v>
      </c>
      <c r="E2317" s="116">
        <v>2091.65</v>
      </c>
      <c r="F2317" s="116">
        <v>2036.85</v>
      </c>
      <c r="G2317">
        <v>3539</v>
      </c>
      <c r="H2317" s="116"/>
      <c r="I2317" s="116"/>
      <c r="L2317" s="170">
        <v>45419</v>
      </c>
      <c r="M2317" s="116">
        <v>2043.1</v>
      </c>
      <c r="N2317" s="116">
        <v>2110.85</v>
      </c>
      <c r="O2317" s="116">
        <v>1993.95</v>
      </c>
      <c r="P2317" s="116">
        <v>2097.75</v>
      </c>
      <c r="Q2317" s="116">
        <v>2043.1</v>
      </c>
      <c r="R2317">
        <v>136386</v>
      </c>
    </row>
    <row r="2318" spans="1:18" x14ac:dyDescent="0.25">
      <c r="A2318" s="170">
        <v>45420</v>
      </c>
      <c r="B2318" s="116">
        <v>2075.25</v>
      </c>
      <c r="C2318" s="116">
        <v>2012.9</v>
      </c>
      <c r="D2318" s="116">
        <v>2010.5</v>
      </c>
      <c r="E2318" s="116">
        <v>2031.4</v>
      </c>
      <c r="F2318" s="116">
        <v>2012.9</v>
      </c>
      <c r="G2318">
        <v>2789</v>
      </c>
      <c r="H2318" s="116"/>
      <c r="I2318" s="116"/>
      <c r="L2318" s="170">
        <v>45420</v>
      </c>
      <c r="M2318" s="116">
        <v>2013.95</v>
      </c>
      <c r="N2318" s="116">
        <v>2078</v>
      </c>
      <c r="O2318" s="116">
        <v>2010</v>
      </c>
      <c r="P2318" s="116">
        <v>2052</v>
      </c>
      <c r="Q2318" s="116">
        <v>2013.95</v>
      </c>
      <c r="R2318">
        <v>67772</v>
      </c>
    </row>
    <row r="2319" spans="1:18" x14ac:dyDescent="0.25">
      <c r="A2319" s="170">
        <v>45421</v>
      </c>
      <c r="B2319" s="116">
        <v>2029.35</v>
      </c>
      <c r="C2319" s="116">
        <v>1972.75</v>
      </c>
      <c r="D2319" s="116">
        <v>1968.95</v>
      </c>
      <c r="E2319" s="116">
        <v>2015</v>
      </c>
      <c r="F2319" s="116">
        <v>1972.75</v>
      </c>
      <c r="G2319">
        <v>3589</v>
      </c>
      <c r="H2319" s="116"/>
      <c r="I2319" s="116"/>
      <c r="L2319" s="170">
        <v>45421</v>
      </c>
      <c r="M2319" s="116">
        <v>1975.9</v>
      </c>
      <c r="N2319" s="116">
        <v>2032.05</v>
      </c>
      <c r="O2319" s="116">
        <v>1966.9</v>
      </c>
      <c r="P2319" s="116">
        <v>2021</v>
      </c>
      <c r="Q2319" s="116">
        <v>1975.9</v>
      </c>
      <c r="R2319">
        <v>87382</v>
      </c>
    </row>
    <row r="2320" spans="1:18" x14ac:dyDescent="0.25">
      <c r="A2320" s="170">
        <v>45422</v>
      </c>
      <c r="B2320" s="116">
        <v>2001.95</v>
      </c>
      <c r="C2320" s="116">
        <v>1973</v>
      </c>
      <c r="D2320" s="116">
        <v>1965</v>
      </c>
      <c r="E2320" s="116">
        <v>1983.65</v>
      </c>
      <c r="F2320" s="116">
        <v>1973</v>
      </c>
      <c r="G2320">
        <v>3781</v>
      </c>
      <c r="H2320" s="116"/>
      <c r="I2320" s="116"/>
      <c r="L2320" s="170">
        <v>45422</v>
      </c>
      <c r="M2320" s="116">
        <v>1972.3</v>
      </c>
      <c r="N2320" s="116">
        <v>2002.95</v>
      </c>
      <c r="O2320" s="116">
        <v>1965</v>
      </c>
      <c r="P2320" s="116">
        <v>1975.95</v>
      </c>
      <c r="Q2320" s="116">
        <v>1972.3</v>
      </c>
      <c r="R2320">
        <v>60407</v>
      </c>
    </row>
    <row r="2321" spans="1:18" x14ac:dyDescent="0.25">
      <c r="A2321" s="170">
        <v>45425</v>
      </c>
      <c r="B2321" s="116">
        <v>2016.3</v>
      </c>
      <c r="C2321" s="116">
        <v>1997.6</v>
      </c>
      <c r="D2321" s="116">
        <v>1970</v>
      </c>
      <c r="E2321" s="116">
        <v>1980.95</v>
      </c>
      <c r="F2321" s="116">
        <v>1997.6</v>
      </c>
      <c r="G2321">
        <v>4982</v>
      </c>
      <c r="H2321" s="116"/>
      <c r="I2321" s="116"/>
      <c r="L2321" s="170">
        <v>45425</v>
      </c>
      <c r="M2321" s="116">
        <v>1999.35</v>
      </c>
      <c r="N2321" s="116">
        <v>2015.85</v>
      </c>
      <c r="O2321" s="116">
        <v>1967.8</v>
      </c>
      <c r="P2321" s="116">
        <v>1980.15</v>
      </c>
      <c r="Q2321" s="116">
        <v>1999.35</v>
      </c>
      <c r="R2321">
        <v>60938</v>
      </c>
    </row>
    <row r="2322" spans="1:18" x14ac:dyDescent="0.25">
      <c r="A2322" s="170">
        <v>45426</v>
      </c>
      <c r="B2322" s="116">
        <v>2019.95</v>
      </c>
      <c r="C2322" s="116">
        <v>1999.15</v>
      </c>
      <c r="D2322" s="116">
        <v>1983.4</v>
      </c>
      <c r="E2322" s="116">
        <v>2019.95</v>
      </c>
      <c r="F2322" s="116">
        <v>1999.15</v>
      </c>
      <c r="G2322">
        <v>1910</v>
      </c>
      <c r="H2322" s="116"/>
      <c r="I2322" s="116"/>
      <c r="L2322" s="170">
        <v>45426</v>
      </c>
      <c r="M2322" s="116">
        <v>1994.45</v>
      </c>
      <c r="N2322" s="116">
        <v>2020</v>
      </c>
      <c r="O2322" s="116">
        <v>1984</v>
      </c>
      <c r="P2322" s="116">
        <v>2006.25</v>
      </c>
      <c r="Q2322" s="116">
        <v>1994.45</v>
      </c>
      <c r="R2322">
        <v>36943</v>
      </c>
    </row>
    <row r="2323" spans="1:18" x14ac:dyDescent="0.25">
      <c r="A2323" s="170">
        <v>45427</v>
      </c>
      <c r="B2323" s="116">
        <v>2026.1</v>
      </c>
      <c r="C2323" s="116">
        <v>1986.75</v>
      </c>
      <c r="D2323" s="116">
        <v>1974.25</v>
      </c>
      <c r="E2323" s="116">
        <v>1992.25</v>
      </c>
      <c r="F2323" s="116">
        <v>1986.75</v>
      </c>
      <c r="G2323">
        <v>4647</v>
      </c>
      <c r="H2323" s="116"/>
      <c r="I2323" s="116"/>
      <c r="L2323" s="170">
        <v>45427</v>
      </c>
      <c r="M2323" s="116">
        <v>1989.15</v>
      </c>
      <c r="N2323" s="116">
        <v>2029.25</v>
      </c>
      <c r="O2323" s="116">
        <v>1975</v>
      </c>
      <c r="P2323" s="116">
        <v>1999.35</v>
      </c>
      <c r="Q2323" s="116">
        <v>1989.15</v>
      </c>
      <c r="R2323">
        <v>84411</v>
      </c>
    </row>
    <row r="2324" spans="1:18" x14ac:dyDescent="0.25">
      <c r="A2324" s="170">
        <v>45428</v>
      </c>
      <c r="B2324" s="116">
        <v>2040.2</v>
      </c>
      <c r="C2324" s="116">
        <v>2023.85</v>
      </c>
      <c r="D2324" s="116">
        <v>1981.45</v>
      </c>
      <c r="E2324" s="116">
        <v>2009.95</v>
      </c>
      <c r="F2324" s="116">
        <v>2023.85</v>
      </c>
      <c r="G2324">
        <v>2279</v>
      </c>
      <c r="H2324" s="116"/>
      <c r="I2324" s="116"/>
      <c r="L2324" s="170">
        <v>45428</v>
      </c>
      <c r="M2324" s="116">
        <v>2022.5</v>
      </c>
      <c r="N2324" s="116">
        <v>2045</v>
      </c>
      <c r="O2324" s="116">
        <v>1980.1</v>
      </c>
      <c r="P2324" s="116">
        <v>1999</v>
      </c>
      <c r="Q2324" s="116">
        <v>2022.5</v>
      </c>
      <c r="R2324">
        <v>110541</v>
      </c>
    </row>
    <row r="2325" spans="1:18" x14ac:dyDescent="0.25">
      <c r="A2325" s="170">
        <v>45429</v>
      </c>
      <c r="B2325" s="116">
        <v>2342.9</v>
      </c>
      <c r="C2325" s="116">
        <v>2291.5500000000002</v>
      </c>
      <c r="D2325" s="116">
        <v>2014</v>
      </c>
      <c r="E2325" s="116">
        <v>2050</v>
      </c>
      <c r="F2325" s="116">
        <v>2291.5500000000002</v>
      </c>
      <c r="G2325">
        <v>58699</v>
      </c>
      <c r="H2325" s="116"/>
      <c r="I2325" s="116"/>
      <c r="L2325" s="170">
        <v>45429</v>
      </c>
      <c r="M2325" s="116">
        <v>2287</v>
      </c>
      <c r="N2325" s="116">
        <v>2343.25</v>
      </c>
      <c r="O2325" s="116">
        <v>2024.2</v>
      </c>
      <c r="P2325" s="116">
        <v>2036</v>
      </c>
      <c r="Q2325" s="116">
        <v>2287</v>
      </c>
      <c r="R2325">
        <v>1198663</v>
      </c>
    </row>
    <row r="2326" spans="1:18" x14ac:dyDescent="0.25">
      <c r="A2326" s="170">
        <v>45430</v>
      </c>
      <c r="B2326" s="116">
        <v>2405</v>
      </c>
      <c r="C2326" s="116">
        <v>2355.75</v>
      </c>
      <c r="D2326" s="116">
        <v>2340</v>
      </c>
      <c r="E2326" s="116">
        <v>2359</v>
      </c>
      <c r="F2326" s="116">
        <v>2355.75</v>
      </c>
      <c r="G2326">
        <v>8620</v>
      </c>
      <c r="H2326" s="116"/>
      <c r="I2326" s="116"/>
      <c r="L2326" s="170">
        <v>45430</v>
      </c>
      <c r="M2326" s="116">
        <v>2359.5500000000002</v>
      </c>
      <c r="N2326" s="116">
        <v>2401.35</v>
      </c>
      <c r="O2326" s="116">
        <v>2342</v>
      </c>
      <c r="P2326" s="116">
        <v>2385</v>
      </c>
      <c r="Q2326" s="116">
        <v>2359.5500000000002</v>
      </c>
      <c r="R2326">
        <v>126099</v>
      </c>
    </row>
    <row r="2327" spans="1:18" x14ac:dyDescent="0.25">
      <c r="A2327" s="170">
        <v>45433</v>
      </c>
      <c r="B2327" s="116">
        <v>2400.65</v>
      </c>
      <c r="C2327" s="116">
        <v>2344.4499999999998</v>
      </c>
      <c r="D2327" s="116">
        <v>2310.65</v>
      </c>
      <c r="E2327" s="116">
        <v>2350.9</v>
      </c>
      <c r="F2327" s="116">
        <v>2344.4499999999998</v>
      </c>
      <c r="G2327">
        <v>11628</v>
      </c>
      <c r="H2327" s="116"/>
      <c r="I2327" s="116"/>
      <c r="L2327" s="170">
        <v>45433</v>
      </c>
      <c r="M2327" s="116">
        <v>2344.3000000000002</v>
      </c>
      <c r="N2327" s="116">
        <v>2405</v>
      </c>
      <c r="O2327" s="116">
        <v>2305</v>
      </c>
      <c r="P2327" s="116">
        <v>2358.9</v>
      </c>
      <c r="Q2327" s="116">
        <v>2344.3000000000002</v>
      </c>
      <c r="R2327">
        <v>229306</v>
      </c>
    </row>
    <row r="2328" spans="1:18" x14ac:dyDescent="0.25">
      <c r="A2328" s="170">
        <v>45434</v>
      </c>
      <c r="B2328" s="116">
        <v>2389.9499999999998</v>
      </c>
      <c r="C2328" s="116">
        <v>2377.35</v>
      </c>
      <c r="D2328" s="116">
        <v>2296.4499999999998</v>
      </c>
      <c r="E2328" s="116">
        <v>2344.25</v>
      </c>
      <c r="F2328" s="116">
        <v>2377.35</v>
      </c>
      <c r="G2328">
        <v>9156</v>
      </c>
      <c r="H2328" s="116"/>
      <c r="I2328" s="116"/>
      <c r="L2328" s="170">
        <v>45434</v>
      </c>
      <c r="M2328" s="116">
        <v>2370.85</v>
      </c>
      <c r="N2328" s="116">
        <v>2390</v>
      </c>
      <c r="O2328" s="116">
        <v>2296.1</v>
      </c>
      <c r="P2328" s="116">
        <v>2357.9499999999998</v>
      </c>
      <c r="Q2328" s="116">
        <v>2370.85</v>
      </c>
      <c r="R2328">
        <v>323420</v>
      </c>
    </row>
    <row r="2329" spans="1:18" x14ac:dyDescent="0.25">
      <c r="A2329" s="170">
        <v>45435</v>
      </c>
      <c r="B2329" s="116">
        <v>2510</v>
      </c>
      <c r="C2329" s="116">
        <v>2474.5</v>
      </c>
      <c r="D2329" s="116">
        <v>2366.8000000000002</v>
      </c>
      <c r="E2329" s="116">
        <v>2394.4499999999998</v>
      </c>
      <c r="F2329" s="116">
        <v>2474.5</v>
      </c>
      <c r="G2329">
        <v>24536</v>
      </c>
      <c r="H2329" s="116"/>
      <c r="I2329" s="116"/>
      <c r="L2329" s="170">
        <v>45435</v>
      </c>
      <c r="M2329" s="116">
        <v>2473.5500000000002</v>
      </c>
      <c r="N2329" s="116">
        <v>2510</v>
      </c>
      <c r="O2329" s="116">
        <v>2361.5</v>
      </c>
      <c r="P2329" s="116">
        <v>2381.1999999999998</v>
      </c>
      <c r="Q2329" s="116">
        <v>2473.5500000000002</v>
      </c>
      <c r="R2329">
        <v>436772</v>
      </c>
    </row>
    <row r="2330" spans="1:18" x14ac:dyDescent="0.25">
      <c r="A2330" s="170">
        <v>45436</v>
      </c>
      <c r="B2330" s="116">
        <v>2536.85</v>
      </c>
      <c r="C2330" s="116">
        <v>2430.4</v>
      </c>
      <c r="D2330" s="116">
        <v>2417.0500000000002</v>
      </c>
      <c r="E2330" s="116">
        <v>2499.9</v>
      </c>
      <c r="F2330" s="116">
        <v>2430.4</v>
      </c>
      <c r="G2330">
        <v>20303</v>
      </c>
      <c r="H2330" s="116"/>
      <c r="I2330" s="116"/>
      <c r="L2330" s="170">
        <v>45436</v>
      </c>
      <c r="M2330" s="116">
        <v>2430.85</v>
      </c>
      <c r="N2330" s="116">
        <v>2534</v>
      </c>
      <c r="O2330" s="116">
        <v>2416.1</v>
      </c>
      <c r="P2330" s="116">
        <v>2460</v>
      </c>
      <c r="Q2330" s="116">
        <v>2430.85</v>
      </c>
      <c r="R2330">
        <v>299355</v>
      </c>
    </row>
    <row r="2331" spans="1:18" x14ac:dyDescent="0.25">
      <c r="A2331" s="170">
        <v>45439</v>
      </c>
      <c r="B2331" s="116">
        <v>2450.65</v>
      </c>
      <c r="C2331" s="116">
        <v>2357.5</v>
      </c>
      <c r="D2331" s="116">
        <v>2355.15</v>
      </c>
      <c r="E2331" s="116">
        <v>2436</v>
      </c>
      <c r="F2331" s="116">
        <v>2357.5</v>
      </c>
      <c r="G2331">
        <v>26394</v>
      </c>
      <c r="H2331" s="116"/>
      <c r="I2331" s="116"/>
      <c r="L2331" s="170">
        <v>45439</v>
      </c>
      <c r="M2331" s="116">
        <v>2361</v>
      </c>
      <c r="N2331" s="116">
        <v>2449.9</v>
      </c>
      <c r="O2331" s="116">
        <v>2355</v>
      </c>
      <c r="P2331" s="116">
        <v>2439.6999999999998</v>
      </c>
      <c r="Q2331" s="116">
        <v>2361</v>
      </c>
      <c r="R2331">
        <v>140945</v>
      </c>
    </row>
    <row r="2332" spans="1:18" x14ac:dyDescent="0.25">
      <c r="A2332" s="170">
        <v>45440</v>
      </c>
      <c r="B2332" s="116">
        <v>2498.25</v>
      </c>
      <c r="C2332" s="116">
        <v>2484.6999999999998</v>
      </c>
      <c r="D2332" s="116">
        <v>2373.85</v>
      </c>
      <c r="E2332" s="116">
        <v>2393.9499999999998</v>
      </c>
      <c r="F2332" s="116">
        <v>2484.6999999999998</v>
      </c>
      <c r="G2332">
        <v>15196</v>
      </c>
      <c r="H2332" s="116"/>
      <c r="I2332" s="116"/>
      <c r="L2332" s="170">
        <v>45440</v>
      </c>
      <c r="M2332" s="116">
        <v>2480.5</v>
      </c>
      <c r="N2332" s="116">
        <v>2499.4</v>
      </c>
      <c r="O2332" s="116">
        <v>2371.9499999999998</v>
      </c>
      <c r="P2332" s="116">
        <v>2373.9</v>
      </c>
      <c r="Q2332" s="116">
        <v>2480.5</v>
      </c>
      <c r="R2332">
        <v>490373</v>
      </c>
    </row>
    <row r="2333" spans="1:18" x14ac:dyDescent="0.25">
      <c r="A2333" s="170">
        <v>45441</v>
      </c>
      <c r="B2333" s="116">
        <v>2569</v>
      </c>
      <c r="C2333" s="116">
        <v>2536.65</v>
      </c>
      <c r="D2333" s="116">
        <v>2450.8000000000002</v>
      </c>
      <c r="E2333" s="116">
        <v>2475</v>
      </c>
      <c r="F2333" s="116">
        <v>2536.65</v>
      </c>
      <c r="G2333">
        <v>27108</v>
      </c>
      <c r="H2333" s="116"/>
      <c r="I2333" s="116"/>
      <c r="L2333" s="170">
        <v>45441</v>
      </c>
      <c r="M2333" s="116">
        <v>2533.9499999999998</v>
      </c>
      <c r="N2333" s="116">
        <v>2567</v>
      </c>
      <c r="O2333" s="116">
        <v>2450.1</v>
      </c>
      <c r="P2333" s="116">
        <v>2472</v>
      </c>
      <c r="Q2333" s="116">
        <v>2533.9499999999998</v>
      </c>
      <c r="R2333">
        <v>435700</v>
      </c>
    </row>
    <row r="2334" spans="1:18" x14ac:dyDescent="0.25">
      <c r="A2334" s="170">
        <v>45442</v>
      </c>
      <c r="B2334" s="116">
        <v>2604.4</v>
      </c>
      <c r="C2334" s="116">
        <v>2593</v>
      </c>
      <c r="D2334" s="116">
        <v>2505</v>
      </c>
      <c r="E2334" s="116">
        <v>2523.9499999999998</v>
      </c>
      <c r="F2334" s="116">
        <v>2593</v>
      </c>
      <c r="G2334">
        <v>18883</v>
      </c>
      <c r="H2334" s="116"/>
      <c r="I2334" s="116"/>
      <c r="L2334" s="170">
        <v>45442</v>
      </c>
      <c r="M2334" s="116">
        <v>2594.3000000000002</v>
      </c>
      <c r="N2334" s="116">
        <v>2605</v>
      </c>
      <c r="O2334" s="116">
        <v>2501.0500000000002</v>
      </c>
      <c r="P2334" s="116">
        <v>2515.1</v>
      </c>
      <c r="Q2334" s="116">
        <v>2594.3000000000002</v>
      </c>
      <c r="R2334">
        <v>324309</v>
      </c>
    </row>
    <row r="2335" spans="1:18" x14ac:dyDescent="0.25">
      <c r="A2335" s="170">
        <v>45443</v>
      </c>
      <c r="B2335" s="116">
        <v>2652.15</v>
      </c>
      <c r="C2335" s="116">
        <v>2630.6</v>
      </c>
      <c r="D2335" s="116">
        <v>2520</v>
      </c>
      <c r="E2335" s="116">
        <v>2566</v>
      </c>
      <c r="F2335" s="116">
        <v>2630.6</v>
      </c>
      <c r="G2335">
        <v>12745</v>
      </c>
      <c r="H2335" s="116"/>
      <c r="I2335" s="116"/>
      <c r="L2335" s="170">
        <v>45443</v>
      </c>
      <c r="M2335" s="116">
        <v>2619.3000000000002</v>
      </c>
      <c r="N2335" s="116">
        <v>2650</v>
      </c>
      <c r="O2335" s="116">
        <v>2510.0500000000002</v>
      </c>
      <c r="P2335" s="116">
        <v>2562</v>
      </c>
      <c r="Q2335" s="116">
        <v>2619.3000000000002</v>
      </c>
      <c r="R2335">
        <v>395141</v>
      </c>
    </row>
    <row r="2336" spans="1:18" x14ac:dyDescent="0.25">
      <c r="A2336" s="170">
        <v>45446</v>
      </c>
      <c r="B2336" s="116">
        <v>2649.9</v>
      </c>
      <c r="C2336" s="116">
        <v>2492.85</v>
      </c>
      <c r="D2336" s="116">
        <v>2476</v>
      </c>
      <c r="E2336" s="116">
        <v>2649.9</v>
      </c>
      <c r="F2336" s="116">
        <v>2492.85</v>
      </c>
      <c r="G2336">
        <v>23012</v>
      </c>
      <c r="H2336" s="116"/>
      <c r="I2336" s="116"/>
      <c r="L2336" s="170">
        <v>45446</v>
      </c>
      <c r="M2336" s="116">
        <v>2494.6999999999998</v>
      </c>
      <c r="N2336" s="116">
        <v>2625</v>
      </c>
      <c r="O2336" s="116">
        <v>2476</v>
      </c>
      <c r="P2336" s="116">
        <v>2625</v>
      </c>
      <c r="Q2336" s="116">
        <v>2494.6999999999998</v>
      </c>
      <c r="R2336">
        <v>246756</v>
      </c>
    </row>
    <row r="2337" spans="1:18" x14ac:dyDescent="0.25">
      <c r="A2337" s="170">
        <v>45447</v>
      </c>
      <c r="B2337" s="116">
        <v>2515.9499999999998</v>
      </c>
      <c r="C2337" s="116">
        <v>2363.35</v>
      </c>
      <c r="D2337" s="116">
        <v>2239.35</v>
      </c>
      <c r="E2337" s="116">
        <v>2500</v>
      </c>
      <c r="F2337" s="116">
        <v>2363.35</v>
      </c>
      <c r="G2337">
        <v>13387</v>
      </c>
      <c r="H2337" s="116"/>
      <c r="I2337" s="116"/>
      <c r="L2337" s="170">
        <v>45447</v>
      </c>
      <c r="M2337" s="116">
        <v>2349.5500000000002</v>
      </c>
      <c r="N2337" s="116">
        <v>2516.4499999999998</v>
      </c>
      <c r="O2337" s="116">
        <v>2235</v>
      </c>
      <c r="P2337" s="116">
        <v>2498</v>
      </c>
      <c r="Q2337" s="116">
        <v>2349.5500000000002</v>
      </c>
      <c r="R2337">
        <v>251775</v>
      </c>
    </row>
    <row r="2338" spans="1:18" x14ac:dyDescent="0.25">
      <c r="A2338" s="170">
        <v>45448</v>
      </c>
      <c r="B2338" s="116">
        <v>2520</v>
      </c>
      <c r="C2338" s="116">
        <v>2480.1</v>
      </c>
      <c r="D2338" s="116">
        <v>2382.4499999999998</v>
      </c>
      <c r="E2338" s="116">
        <v>2420</v>
      </c>
      <c r="F2338" s="116">
        <v>2480.1</v>
      </c>
      <c r="G2338">
        <v>10329</v>
      </c>
      <c r="H2338" s="116"/>
      <c r="I2338" s="116"/>
      <c r="L2338" s="170">
        <v>45448</v>
      </c>
      <c r="M2338" s="116">
        <v>2472.85</v>
      </c>
      <c r="N2338" s="116">
        <v>2525</v>
      </c>
      <c r="O2338" s="116">
        <v>2368.15</v>
      </c>
      <c r="P2338" s="116">
        <v>2395</v>
      </c>
      <c r="Q2338" s="116">
        <v>2472.85</v>
      </c>
      <c r="R2338">
        <v>190210</v>
      </c>
    </row>
    <row r="2339" spans="1:18" x14ac:dyDescent="0.25">
      <c r="A2339" s="170">
        <v>45449</v>
      </c>
      <c r="B2339" s="116">
        <v>2530.6999999999998</v>
      </c>
      <c r="C2339" s="116">
        <v>2473.25</v>
      </c>
      <c r="D2339" s="116">
        <v>2453.1</v>
      </c>
      <c r="E2339" s="116">
        <v>2479.9499999999998</v>
      </c>
      <c r="F2339" s="116">
        <v>2473.25</v>
      </c>
      <c r="G2339">
        <v>8493</v>
      </c>
      <c r="H2339" s="116"/>
      <c r="I2339" s="116"/>
      <c r="L2339" s="170">
        <v>45449</v>
      </c>
      <c r="M2339" s="116">
        <v>2464.9</v>
      </c>
      <c r="N2339" s="116">
        <v>2535.75</v>
      </c>
      <c r="O2339" s="116">
        <v>2453</v>
      </c>
      <c r="P2339" s="116">
        <v>2470</v>
      </c>
      <c r="Q2339" s="116">
        <v>2464.9</v>
      </c>
      <c r="R2339">
        <v>167203</v>
      </c>
    </row>
    <row r="2340" spans="1:18" x14ac:dyDescent="0.25">
      <c r="A2340" s="170">
        <v>45450</v>
      </c>
      <c r="B2340" s="116">
        <v>2549.9499999999998</v>
      </c>
      <c r="C2340" s="116">
        <v>2505.1</v>
      </c>
      <c r="D2340" s="116">
        <v>2473.1999999999998</v>
      </c>
      <c r="E2340" s="116">
        <v>2473.1999999999998</v>
      </c>
      <c r="F2340" s="116">
        <v>2505.1</v>
      </c>
      <c r="G2340">
        <v>23746</v>
      </c>
      <c r="H2340" s="116"/>
      <c r="I2340" s="116"/>
      <c r="L2340" s="170">
        <v>45450</v>
      </c>
      <c r="M2340" s="116">
        <v>2507.5</v>
      </c>
      <c r="N2340" s="116">
        <v>2549</v>
      </c>
      <c r="O2340" s="116">
        <v>2465.1</v>
      </c>
      <c r="P2340" s="116">
        <v>2470</v>
      </c>
      <c r="Q2340" s="116">
        <v>2507.5</v>
      </c>
      <c r="R2340">
        <v>189874</v>
      </c>
    </row>
    <row r="2341" spans="1:18" x14ac:dyDescent="0.25">
      <c r="A2341" s="170">
        <v>45453</v>
      </c>
      <c r="B2341" s="116">
        <v>2611</v>
      </c>
      <c r="C2341" s="116">
        <v>2601.6</v>
      </c>
      <c r="D2341" s="116">
        <v>2478</v>
      </c>
      <c r="E2341" s="116">
        <v>2554.8000000000002</v>
      </c>
      <c r="F2341" s="116">
        <v>2601.6</v>
      </c>
      <c r="G2341">
        <v>6485</v>
      </c>
      <c r="H2341" s="116"/>
      <c r="I2341" s="116"/>
      <c r="L2341" s="170">
        <v>45453</v>
      </c>
      <c r="M2341" s="116">
        <v>2601.15</v>
      </c>
      <c r="N2341" s="116">
        <v>2613.65</v>
      </c>
      <c r="O2341" s="116">
        <v>2475</v>
      </c>
      <c r="P2341" s="116">
        <v>2534.9</v>
      </c>
      <c r="Q2341" s="116">
        <v>2601.15</v>
      </c>
      <c r="R2341">
        <v>202309</v>
      </c>
    </row>
    <row r="2342" spans="1:18" x14ac:dyDescent="0.25">
      <c r="A2342" s="170">
        <v>45454</v>
      </c>
      <c r="B2342" s="116">
        <v>2660</v>
      </c>
      <c r="C2342" s="116">
        <v>2653.85</v>
      </c>
      <c r="D2342" s="116">
        <v>2588.3000000000002</v>
      </c>
      <c r="E2342" s="116">
        <v>2601.6</v>
      </c>
      <c r="F2342" s="116">
        <v>2653.85</v>
      </c>
      <c r="G2342">
        <v>10932</v>
      </c>
      <c r="H2342" s="116"/>
      <c r="I2342" s="116"/>
      <c r="L2342" s="170">
        <v>45454</v>
      </c>
      <c r="M2342" s="116">
        <v>2655.75</v>
      </c>
      <c r="N2342" s="116">
        <v>2660.5</v>
      </c>
      <c r="O2342" s="116">
        <v>2585.6999999999998</v>
      </c>
      <c r="P2342" s="116">
        <v>2601.15</v>
      </c>
      <c r="Q2342" s="116">
        <v>2655.75</v>
      </c>
      <c r="R2342">
        <v>277457</v>
      </c>
    </row>
    <row r="2343" spans="1:18" x14ac:dyDescent="0.25">
      <c r="A2343" s="170">
        <v>45455</v>
      </c>
      <c r="B2343" s="116">
        <v>2666.85</v>
      </c>
      <c r="C2343" s="116">
        <v>2627.65</v>
      </c>
      <c r="D2343" s="116">
        <v>2592</v>
      </c>
      <c r="E2343" s="116">
        <v>2653</v>
      </c>
      <c r="F2343" s="116">
        <v>2627.65</v>
      </c>
      <c r="G2343">
        <v>3258</v>
      </c>
      <c r="H2343" s="116"/>
      <c r="I2343" s="116"/>
      <c r="L2343" s="170">
        <v>45455</v>
      </c>
      <c r="M2343" s="116">
        <v>2625.65</v>
      </c>
      <c r="N2343" s="116">
        <v>2675</v>
      </c>
      <c r="O2343" s="116">
        <v>2592.4</v>
      </c>
      <c r="P2343" s="116">
        <v>2659.6</v>
      </c>
      <c r="Q2343" s="116">
        <v>2625.65</v>
      </c>
      <c r="R2343">
        <v>134721</v>
      </c>
    </row>
    <row r="2344" spans="1:18" x14ac:dyDescent="0.25">
      <c r="A2344" s="170">
        <v>45456</v>
      </c>
      <c r="B2344" s="116">
        <v>2708.95</v>
      </c>
      <c r="C2344" s="116">
        <v>2699.1</v>
      </c>
      <c r="D2344" s="116">
        <v>2628.2</v>
      </c>
      <c r="E2344" s="116">
        <v>2659.95</v>
      </c>
      <c r="F2344" s="116">
        <v>2699.1</v>
      </c>
      <c r="G2344">
        <v>31540</v>
      </c>
      <c r="H2344" s="116"/>
      <c r="I2344" s="116"/>
      <c r="L2344" s="170">
        <v>45456</v>
      </c>
      <c r="M2344" s="116">
        <v>2700.7</v>
      </c>
      <c r="N2344" s="116">
        <v>2709.25</v>
      </c>
      <c r="O2344" s="116">
        <v>2630</v>
      </c>
      <c r="P2344" s="116">
        <v>2633.55</v>
      </c>
      <c r="Q2344" s="116">
        <v>2700.7</v>
      </c>
      <c r="R2344">
        <v>181775</v>
      </c>
    </row>
    <row r="2345" spans="1:18" x14ac:dyDescent="0.25">
      <c r="A2345" s="170">
        <v>45457</v>
      </c>
      <c r="B2345" s="116">
        <v>2759</v>
      </c>
      <c r="C2345" s="116">
        <v>2664.15</v>
      </c>
      <c r="D2345" s="116">
        <v>2641</v>
      </c>
      <c r="E2345" s="116">
        <v>2706.6</v>
      </c>
      <c r="F2345" s="116">
        <v>2664.15</v>
      </c>
      <c r="G2345">
        <v>5033</v>
      </c>
      <c r="H2345" s="116"/>
      <c r="I2345" s="116"/>
      <c r="L2345" s="170">
        <v>45457</v>
      </c>
      <c r="M2345" s="116">
        <v>2654.85</v>
      </c>
      <c r="N2345" s="116">
        <v>2760</v>
      </c>
      <c r="O2345" s="116">
        <v>2639.95</v>
      </c>
      <c r="P2345" s="116">
        <v>2718</v>
      </c>
      <c r="Q2345" s="116">
        <v>2654.85</v>
      </c>
      <c r="R2345">
        <v>123918</v>
      </c>
    </row>
    <row r="2346" spans="1:18" x14ac:dyDescent="0.25">
      <c r="A2346" s="170">
        <v>45461</v>
      </c>
      <c r="B2346" s="116">
        <v>2722.35</v>
      </c>
      <c r="C2346" s="116">
        <v>2640.25</v>
      </c>
      <c r="D2346" s="116">
        <v>2624.6</v>
      </c>
      <c r="E2346" s="116">
        <v>2722.35</v>
      </c>
      <c r="F2346" s="116">
        <v>2640.25</v>
      </c>
      <c r="G2346">
        <v>24723</v>
      </c>
      <c r="H2346" s="116"/>
      <c r="I2346" s="116"/>
      <c r="L2346" s="170">
        <v>45461</v>
      </c>
      <c r="M2346" s="116">
        <v>2643</v>
      </c>
      <c r="N2346" s="116">
        <v>2723.85</v>
      </c>
      <c r="O2346" s="116">
        <v>2625</v>
      </c>
      <c r="P2346" s="116">
        <v>2696.05</v>
      </c>
      <c r="Q2346" s="116">
        <v>2643</v>
      </c>
      <c r="R2346">
        <v>88404</v>
      </c>
    </row>
    <row r="2347" spans="1:18" x14ac:dyDescent="0.25">
      <c r="A2347" s="170">
        <v>45462</v>
      </c>
      <c r="B2347" s="116">
        <v>2643.45</v>
      </c>
      <c r="C2347" s="116">
        <v>2562.75</v>
      </c>
      <c r="D2347" s="116">
        <v>2556.75</v>
      </c>
      <c r="E2347" s="116">
        <v>2640.3</v>
      </c>
      <c r="F2347" s="116">
        <v>2562.75</v>
      </c>
      <c r="G2347">
        <v>4384</v>
      </c>
      <c r="H2347" s="116"/>
      <c r="I2347" s="116"/>
      <c r="L2347" s="170">
        <v>45462</v>
      </c>
      <c r="M2347" s="116">
        <v>2563.5500000000002</v>
      </c>
      <c r="N2347" s="116">
        <v>2660</v>
      </c>
      <c r="O2347" s="116">
        <v>2556</v>
      </c>
      <c r="P2347" s="116">
        <v>2643</v>
      </c>
      <c r="Q2347" s="116">
        <v>2563.5500000000002</v>
      </c>
      <c r="R2347">
        <v>73982</v>
      </c>
    </row>
    <row r="2348" spans="1:18" x14ac:dyDescent="0.25">
      <c r="A2348" s="170">
        <v>45463</v>
      </c>
      <c r="B2348" s="116">
        <v>2612.5500000000002</v>
      </c>
      <c r="C2348" s="116">
        <v>2525.1999999999998</v>
      </c>
      <c r="D2348" s="116">
        <v>2519.85</v>
      </c>
      <c r="E2348" s="116">
        <v>2612.5500000000002</v>
      </c>
      <c r="F2348" s="116">
        <v>2525.1999999999998</v>
      </c>
      <c r="G2348">
        <v>5224</v>
      </c>
      <c r="H2348" s="116"/>
      <c r="I2348" s="116"/>
      <c r="L2348" s="170">
        <v>45463</v>
      </c>
      <c r="M2348" s="116">
        <v>2529.85</v>
      </c>
      <c r="N2348" s="116">
        <v>2587.9499999999998</v>
      </c>
      <c r="O2348" s="116">
        <v>2521.9499999999998</v>
      </c>
      <c r="P2348" s="116">
        <v>2576.4</v>
      </c>
      <c r="Q2348" s="116">
        <v>2529.85</v>
      </c>
      <c r="R2348">
        <v>66181</v>
      </c>
    </row>
    <row r="2349" spans="1:18" x14ac:dyDescent="0.25">
      <c r="A2349" s="170">
        <v>45464</v>
      </c>
      <c r="B2349" s="116">
        <v>2596.5500000000002</v>
      </c>
      <c r="C2349" s="116">
        <v>2538.65</v>
      </c>
      <c r="D2349" s="116">
        <v>2525.35</v>
      </c>
      <c r="E2349" s="116">
        <v>2551</v>
      </c>
      <c r="F2349" s="116">
        <v>2538.65</v>
      </c>
      <c r="G2349">
        <v>5722</v>
      </c>
      <c r="H2349" s="116"/>
      <c r="I2349" s="116"/>
      <c r="L2349" s="170">
        <v>45464</v>
      </c>
      <c r="M2349" s="116">
        <v>2537.6</v>
      </c>
      <c r="N2349" s="116">
        <v>2599.35</v>
      </c>
      <c r="O2349" s="116">
        <v>2524.1</v>
      </c>
      <c r="P2349" s="116">
        <v>2540.0500000000002</v>
      </c>
      <c r="Q2349" s="116">
        <v>2537.6</v>
      </c>
      <c r="R2349">
        <v>137582</v>
      </c>
    </row>
    <row r="2350" spans="1:18" x14ac:dyDescent="0.25">
      <c r="A2350" s="170">
        <v>45467</v>
      </c>
      <c r="B2350" s="116">
        <v>2706.85</v>
      </c>
      <c r="C2350" s="116">
        <v>2637.4</v>
      </c>
      <c r="D2350" s="116">
        <v>2510</v>
      </c>
      <c r="E2350" s="116">
        <v>2536.8000000000002</v>
      </c>
      <c r="F2350" s="116">
        <v>2637.4</v>
      </c>
      <c r="G2350">
        <v>20092</v>
      </c>
      <c r="H2350" s="116"/>
      <c r="I2350" s="116"/>
      <c r="L2350" s="170">
        <v>45467</v>
      </c>
      <c r="M2350" s="116">
        <v>2638.3</v>
      </c>
      <c r="N2350" s="116">
        <v>2710</v>
      </c>
      <c r="O2350" s="116">
        <v>2499.5500000000002</v>
      </c>
      <c r="P2350" s="116">
        <v>2499.5500000000002</v>
      </c>
      <c r="Q2350" s="116">
        <v>2638.3</v>
      </c>
      <c r="R2350">
        <v>446178</v>
      </c>
    </row>
    <row r="2351" spans="1:18" x14ac:dyDescent="0.25">
      <c r="A2351" s="170">
        <v>45468</v>
      </c>
      <c r="B2351" s="116">
        <v>2678.35</v>
      </c>
      <c r="C2351" s="116">
        <v>2641.55</v>
      </c>
      <c r="D2351" s="116">
        <v>2624.7</v>
      </c>
      <c r="E2351" s="116">
        <v>2664.15</v>
      </c>
      <c r="F2351" s="116">
        <v>2641.55</v>
      </c>
      <c r="G2351">
        <v>2985</v>
      </c>
      <c r="H2351" s="116"/>
      <c r="I2351" s="116"/>
      <c r="L2351" s="170">
        <v>45468</v>
      </c>
      <c r="M2351" s="116">
        <v>2641.6</v>
      </c>
      <c r="N2351" s="116">
        <v>2683.15</v>
      </c>
      <c r="O2351" s="116">
        <v>2622.2</v>
      </c>
      <c r="P2351" s="116">
        <v>2638.3</v>
      </c>
      <c r="Q2351" s="116">
        <v>2641.6</v>
      </c>
      <c r="R2351">
        <v>87530</v>
      </c>
    </row>
    <row r="2352" spans="1:18" x14ac:dyDescent="0.25">
      <c r="A2352" s="170">
        <v>45469</v>
      </c>
      <c r="B2352" s="116">
        <v>2670.35</v>
      </c>
      <c r="C2352" s="116">
        <v>2611.65</v>
      </c>
      <c r="D2352" s="116">
        <v>2594.35</v>
      </c>
      <c r="E2352" s="116">
        <v>2640.5</v>
      </c>
      <c r="F2352" s="116">
        <v>2611.65</v>
      </c>
      <c r="G2352">
        <v>3096</v>
      </c>
      <c r="H2352" s="116"/>
      <c r="I2352" s="116"/>
      <c r="L2352" s="170">
        <v>45469</v>
      </c>
      <c r="M2352" s="116">
        <v>2601.1999999999998</v>
      </c>
      <c r="N2352" s="116">
        <v>2675</v>
      </c>
      <c r="O2352" s="116">
        <v>2592</v>
      </c>
      <c r="P2352" s="116">
        <v>2641.5</v>
      </c>
      <c r="Q2352" s="116">
        <v>2601.1999999999998</v>
      </c>
      <c r="R2352">
        <v>54739</v>
      </c>
    </row>
    <row r="2353" spans="1:18" x14ac:dyDescent="0.25">
      <c r="A2353" s="170">
        <v>45470</v>
      </c>
      <c r="B2353" s="116">
        <v>2690</v>
      </c>
      <c r="C2353" s="116">
        <v>2673.5</v>
      </c>
      <c r="D2353" s="116">
        <v>2575</v>
      </c>
      <c r="E2353" s="116">
        <v>2575</v>
      </c>
      <c r="F2353" s="116">
        <v>2673.5</v>
      </c>
      <c r="G2353">
        <v>6212</v>
      </c>
      <c r="H2353" s="116"/>
      <c r="I2353" s="116"/>
      <c r="L2353" s="170">
        <v>45470</v>
      </c>
      <c r="M2353" s="116">
        <v>2677.55</v>
      </c>
      <c r="N2353" s="116">
        <v>2691</v>
      </c>
      <c r="O2353" s="116">
        <v>2593.9</v>
      </c>
      <c r="P2353" s="116">
        <v>2605.1</v>
      </c>
      <c r="Q2353" s="116">
        <v>2677.55</v>
      </c>
      <c r="R2353">
        <v>133590</v>
      </c>
    </row>
    <row r="2354" spans="1:18" x14ac:dyDescent="0.25">
      <c r="A2354" s="170">
        <v>45471</v>
      </c>
      <c r="B2354" s="116">
        <v>2698.6</v>
      </c>
      <c r="C2354" s="116">
        <v>2652.3</v>
      </c>
      <c r="D2354" s="116">
        <v>2644.65</v>
      </c>
      <c r="E2354" s="116">
        <v>2698.6</v>
      </c>
      <c r="F2354" s="116">
        <v>2652.3</v>
      </c>
      <c r="G2354">
        <v>2473</v>
      </c>
      <c r="H2354" s="116"/>
      <c r="I2354" s="116"/>
      <c r="L2354" s="170">
        <v>45471</v>
      </c>
      <c r="M2354" s="116">
        <v>2651</v>
      </c>
      <c r="N2354" s="116">
        <v>2700</v>
      </c>
      <c r="O2354" s="116">
        <v>2641.2</v>
      </c>
      <c r="P2354" s="116">
        <v>2680</v>
      </c>
      <c r="Q2354" s="116">
        <v>2651</v>
      </c>
      <c r="R2354">
        <v>81346</v>
      </c>
    </row>
    <row r="2355" spans="1:18" x14ac:dyDescent="0.25">
      <c r="A2355" s="170">
        <v>45474</v>
      </c>
      <c r="B2355" s="116">
        <v>2674.4</v>
      </c>
      <c r="C2355" s="116">
        <v>2605.6999999999998</v>
      </c>
      <c r="D2355" s="116">
        <v>2592.75</v>
      </c>
      <c r="E2355" s="116">
        <v>2661</v>
      </c>
      <c r="F2355" s="116">
        <v>2605.6999999999998</v>
      </c>
      <c r="G2355">
        <v>4502</v>
      </c>
      <c r="H2355" s="116"/>
      <c r="I2355" s="116"/>
      <c r="L2355" s="170">
        <v>45474</v>
      </c>
      <c r="M2355" s="116">
        <v>2605.1999999999998</v>
      </c>
      <c r="N2355" s="116">
        <v>2674.35</v>
      </c>
      <c r="O2355" s="116">
        <v>2594</v>
      </c>
      <c r="P2355" s="116">
        <v>2651</v>
      </c>
      <c r="Q2355" s="116">
        <v>2605.1999999999998</v>
      </c>
      <c r="R2355">
        <v>78033</v>
      </c>
    </row>
    <row r="2356" spans="1:18" x14ac:dyDescent="0.25">
      <c r="A2356" s="170">
        <v>45475</v>
      </c>
      <c r="B2356" s="116">
        <v>2700</v>
      </c>
      <c r="C2356" s="116">
        <v>2621.0500000000002</v>
      </c>
      <c r="D2356" s="116">
        <v>2592.0500000000002</v>
      </c>
      <c r="E2356" s="116">
        <v>2592.0500000000002</v>
      </c>
      <c r="F2356" s="116">
        <v>2621.0500000000002</v>
      </c>
      <c r="G2356">
        <v>8955</v>
      </c>
      <c r="H2356" s="116"/>
      <c r="I2356" s="116"/>
      <c r="L2356" s="170">
        <v>45475</v>
      </c>
      <c r="M2356" s="116">
        <v>2618.75</v>
      </c>
      <c r="N2356" s="116">
        <v>2698.95</v>
      </c>
      <c r="O2356" s="116">
        <v>2602.1</v>
      </c>
      <c r="P2356" s="116">
        <v>2625</v>
      </c>
      <c r="Q2356" s="116">
        <v>2618.75</v>
      </c>
      <c r="R2356">
        <v>105607</v>
      </c>
    </row>
    <row r="2357" spans="1:18" x14ac:dyDescent="0.25">
      <c r="A2357" s="170">
        <v>45476</v>
      </c>
      <c r="B2357" s="116">
        <v>2674</v>
      </c>
      <c r="C2357" s="116">
        <v>2601.85</v>
      </c>
      <c r="D2357" s="116">
        <v>2597.75</v>
      </c>
      <c r="E2357" s="116">
        <v>2630.65</v>
      </c>
      <c r="F2357" s="116">
        <v>2601.85</v>
      </c>
      <c r="G2357">
        <v>8305</v>
      </c>
      <c r="H2357" s="116"/>
      <c r="I2357" s="116"/>
      <c r="L2357" s="170">
        <v>45476</v>
      </c>
      <c r="M2357" s="116">
        <v>2603.6999999999998</v>
      </c>
      <c r="N2357" s="116">
        <v>2674</v>
      </c>
      <c r="O2357" s="116">
        <v>2598.0500000000002</v>
      </c>
      <c r="P2357" s="116">
        <v>2620.1</v>
      </c>
      <c r="Q2357" s="116">
        <v>2603.6999999999998</v>
      </c>
      <c r="R2357">
        <v>85649</v>
      </c>
    </row>
    <row r="2358" spans="1:18" x14ac:dyDescent="0.25">
      <c r="A2358" s="170">
        <v>45477</v>
      </c>
      <c r="B2358" s="116">
        <v>2659.5</v>
      </c>
      <c r="C2358" s="116">
        <v>2589.0500000000002</v>
      </c>
      <c r="D2358" s="116">
        <v>2567.0500000000002</v>
      </c>
      <c r="E2358" s="116">
        <v>2611.0500000000002</v>
      </c>
      <c r="F2358" s="116">
        <v>2589.0500000000002</v>
      </c>
      <c r="G2358">
        <v>4191</v>
      </c>
      <c r="H2358" s="116"/>
      <c r="I2358" s="116"/>
      <c r="L2358" s="170">
        <v>45477</v>
      </c>
      <c r="M2358" s="116">
        <v>2588.25</v>
      </c>
      <c r="N2358" s="116">
        <v>2660</v>
      </c>
      <c r="O2358" s="116">
        <v>2567.65</v>
      </c>
      <c r="P2358" s="116">
        <v>2617</v>
      </c>
      <c r="Q2358" s="116">
        <v>2588.25</v>
      </c>
      <c r="R2358">
        <v>122152</v>
      </c>
    </row>
    <row r="2359" spans="1:18" x14ac:dyDescent="0.25">
      <c r="A2359" s="170">
        <v>45478</v>
      </c>
      <c r="B2359" s="116">
        <v>2607</v>
      </c>
      <c r="C2359" s="116">
        <v>2535.1</v>
      </c>
      <c r="D2359" s="116">
        <v>2520</v>
      </c>
      <c r="E2359" s="116">
        <v>2601</v>
      </c>
      <c r="F2359" s="116">
        <v>2535.1</v>
      </c>
      <c r="G2359">
        <v>7554</v>
      </c>
      <c r="H2359" s="116"/>
      <c r="I2359" s="116"/>
      <c r="L2359" s="170">
        <v>45478</v>
      </c>
      <c r="M2359" s="116">
        <v>2538.8000000000002</v>
      </c>
      <c r="N2359" s="116">
        <v>2609</v>
      </c>
      <c r="O2359" s="116">
        <v>2534.0500000000002</v>
      </c>
      <c r="P2359" s="116">
        <v>2596</v>
      </c>
      <c r="Q2359" s="116">
        <v>2538.8000000000002</v>
      </c>
      <c r="R2359">
        <v>113959</v>
      </c>
    </row>
    <row r="2360" spans="1:18" x14ac:dyDescent="0.25">
      <c r="A2360" s="170">
        <v>45481</v>
      </c>
      <c r="B2360" s="116">
        <v>2585.8000000000002</v>
      </c>
      <c r="C2360" s="116">
        <v>2525.1</v>
      </c>
      <c r="D2360" s="116">
        <v>2502.6</v>
      </c>
      <c r="E2360" s="116">
        <v>2585.8000000000002</v>
      </c>
      <c r="F2360" s="116">
        <v>2525.1</v>
      </c>
      <c r="G2360">
        <v>1976</v>
      </c>
      <c r="H2360" s="116"/>
      <c r="I2360" s="116"/>
      <c r="L2360" s="170">
        <v>45481</v>
      </c>
      <c r="M2360" s="116">
        <v>2523.6999999999998</v>
      </c>
      <c r="N2360" s="116">
        <v>2559.9</v>
      </c>
      <c r="O2360" s="116">
        <v>2502.8000000000002</v>
      </c>
      <c r="P2360" s="116">
        <v>2538.8000000000002</v>
      </c>
      <c r="Q2360" s="116">
        <v>2523.6999999999998</v>
      </c>
      <c r="R2360">
        <v>58773</v>
      </c>
    </row>
    <row r="2361" spans="1:18" x14ac:dyDescent="0.25">
      <c r="A2361" s="170">
        <v>45482</v>
      </c>
      <c r="B2361" s="116">
        <v>2598.15</v>
      </c>
      <c r="C2361" s="116">
        <v>2556.1</v>
      </c>
      <c r="D2361" s="116">
        <v>2525.1</v>
      </c>
      <c r="E2361" s="116">
        <v>2525.1</v>
      </c>
      <c r="F2361" s="116">
        <v>2556.1</v>
      </c>
      <c r="G2361">
        <v>6630</v>
      </c>
      <c r="H2361" s="116"/>
      <c r="I2361" s="116"/>
      <c r="L2361" s="170">
        <v>45482</v>
      </c>
      <c r="M2361" s="116">
        <v>2556.6</v>
      </c>
      <c r="N2361" s="116">
        <v>2598</v>
      </c>
      <c r="O2361" s="116">
        <v>2526.4</v>
      </c>
      <c r="P2361" s="116">
        <v>2526.4</v>
      </c>
      <c r="Q2361" s="116">
        <v>2556.6</v>
      </c>
      <c r="R2361">
        <v>108219</v>
      </c>
    </row>
    <row r="2362" spans="1:18" x14ac:dyDescent="0.25">
      <c r="A2362" s="170">
        <v>45483</v>
      </c>
      <c r="B2362" s="116">
        <v>2612.9499999999998</v>
      </c>
      <c r="C2362" s="116">
        <v>2516.4</v>
      </c>
      <c r="D2362" s="116">
        <v>2509.15</v>
      </c>
      <c r="E2362" s="116">
        <v>2556.75</v>
      </c>
      <c r="F2362" s="116">
        <v>2516.4</v>
      </c>
      <c r="G2362">
        <v>4272</v>
      </c>
      <c r="H2362" s="116"/>
      <c r="I2362" s="116"/>
      <c r="L2362" s="170">
        <v>45483</v>
      </c>
      <c r="M2362" s="116">
        <v>2517.3000000000002</v>
      </c>
      <c r="N2362" s="116">
        <v>2614.4499999999998</v>
      </c>
      <c r="O2362" s="116">
        <v>2501</v>
      </c>
      <c r="P2362" s="116">
        <v>2560</v>
      </c>
      <c r="Q2362" s="116">
        <v>2517.3000000000002</v>
      </c>
      <c r="R2362">
        <v>102794</v>
      </c>
    </row>
    <row r="2363" spans="1:18" x14ac:dyDescent="0.25">
      <c r="A2363" s="170">
        <v>45484</v>
      </c>
      <c r="B2363" s="116">
        <v>2609.9499999999998</v>
      </c>
      <c r="C2363" s="116">
        <v>2559.65</v>
      </c>
      <c r="D2363" s="116">
        <v>2508</v>
      </c>
      <c r="E2363" s="116">
        <v>2540.5</v>
      </c>
      <c r="F2363" s="116">
        <v>2559.65</v>
      </c>
      <c r="G2363">
        <v>5903</v>
      </c>
      <c r="H2363" s="116"/>
      <c r="I2363" s="116"/>
      <c r="L2363" s="170">
        <v>45484</v>
      </c>
      <c r="M2363" s="116">
        <v>2549.6</v>
      </c>
      <c r="N2363" s="116">
        <v>2610</v>
      </c>
      <c r="O2363" s="116">
        <v>2505</v>
      </c>
      <c r="P2363" s="116">
        <v>2543</v>
      </c>
      <c r="Q2363" s="116">
        <v>2549.6</v>
      </c>
      <c r="R2363">
        <v>137972</v>
      </c>
    </row>
    <row r="2364" spans="1:18" x14ac:dyDescent="0.25">
      <c r="A2364" s="170">
        <v>45485</v>
      </c>
      <c r="B2364" s="116">
        <v>2619.25</v>
      </c>
      <c r="C2364" s="116">
        <v>2570.85</v>
      </c>
      <c r="D2364" s="116">
        <v>2550.3000000000002</v>
      </c>
      <c r="E2364" s="116">
        <v>2550.3000000000002</v>
      </c>
      <c r="F2364" s="116">
        <v>2570.85</v>
      </c>
      <c r="G2364">
        <v>8364</v>
      </c>
      <c r="H2364" s="116"/>
      <c r="I2364" s="116"/>
      <c r="L2364" s="170">
        <v>45485</v>
      </c>
      <c r="M2364" s="116">
        <v>2570.6999999999998</v>
      </c>
      <c r="N2364" s="116">
        <v>2619.9</v>
      </c>
      <c r="O2364" s="116">
        <v>2540.6</v>
      </c>
      <c r="P2364" s="116">
        <v>2545</v>
      </c>
      <c r="Q2364" s="116">
        <v>2570.6999999999998</v>
      </c>
      <c r="R2364">
        <v>119202</v>
      </c>
    </row>
    <row r="2365" spans="1:18" x14ac:dyDescent="0.25">
      <c r="A2365" s="170">
        <v>45488</v>
      </c>
      <c r="B2365" s="116">
        <v>2590.6</v>
      </c>
      <c r="C2365" s="116">
        <v>2552.8000000000002</v>
      </c>
      <c r="D2365" s="116">
        <v>2543.1</v>
      </c>
      <c r="E2365" s="116">
        <v>2590.6</v>
      </c>
      <c r="F2365" s="116">
        <v>2552.8000000000002</v>
      </c>
      <c r="G2365">
        <v>2863</v>
      </c>
      <c r="H2365" s="116"/>
      <c r="I2365" s="116"/>
      <c r="L2365" s="170">
        <v>45488</v>
      </c>
      <c r="M2365" s="116">
        <v>2552.5500000000002</v>
      </c>
      <c r="N2365" s="116">
        <v>2588</v>
      </c>
      <c r="O2365" s="116">
        <v>2541.6999999999998</v>
      </c>
      <c r="P2365" s="116">
        <v>2580</v>
      </c>
      <c r="Q2365" s="116">
        <v>2552.5500000000002</v>
      </c>
      <c r="R2365">
        <v>39918</v>
      </c>
    </row>
    <row r="2366" spans="1:18" x14ac:dyDescent="0.25">
      <c r="A2366" s="170">
        <v>45489</v>
      </c>
      <c r="B2366" s="116">
        <v>2688.7</v>
      </c>
      <c r="C2366" s="116">
        <v>2611.5500000000002</v>
      </c>
      <c r="D2366" s="116">
        <v>2535.15</v>
      </c>
      <c r="E2366" s="116">
        <v>2535.15</v>
      </c>
      <c r="F2366" s="116">
        <v>2611.5500000000002</v>
      </c>
      <c r="G2366">
        <v>15175</v>
      </c>
      <c r="H2366" s="116"/>
      <c r="I2366" s="116"/>
      <c r="L2366" s="170">
        <v>45489</v>
      </c>
      <c r="M2366" s="116">
        <v>2619.75</v>
      </c>
      <c r="N2366" s="116">
        <v>2690</v>
      </c>
      <c r="O2366" s="116">
        <v>2543</v>
      </c>
      <c r="P2366" s="116">
        <v>2543</v>
      </c>
      <c r="Q2366" s="116">
        <v>2619.75</v>
      </c>
      <c r="R2366">
        <v>177738</v>
      </c>
    </row>
    <row r="2367" spans="1:18" x14ac:dyDescent="0.25">
      <c r="A2367" s="170">
        <v>45491</v>
      </c>
      <c r="B2367" s="116">
        <v>2645.85</v>
      </c>
      <c r="C2367" s="116">
        <v>2564.5</v>
      </c>
      <c r="D2367" s="116">
        <v>2525</v>
      </c>
      <c r="E2367" s="116">
        <v>2602.35</v>
      </c>
      <c r="F2367" s="116">
        <v>2564.5</v>
      </c>
      <c r="G2367">
        <v>4699</v>
      </c>
      <c r="H2367" s="116"/>
      <c r="I2367" s="116"/>
      <c r="L2367" s="170">
        <v>45491</v>
      </c>
      <c r="M2367" s="116">
        <v>2563.65</v>
      </c>
      <c r="N2367" s="116">
        <v>2650.95</v>
      </c>
      <c r="O2367" s="116">
        <v>2525</v>
      </c>
      <c r="P2367" s="116">
        <v>2620.9499999999998</v>
      </c>
      <c r="Q2367" s="116">
        <v>2563.65</v>
      </c>
      <c r="R2367">
        <v>128328</v>
      </c>
    </row>
    <row r="2368" spans="1:18" x14ac:dyDescent="0.25">
      <c r="A2368" s="170">
        <v>45492</v>
      </c>
      <c r="B2368" s="116">
        <v>2582.6999999999998</v>
      </c>
      <c r="C2368" s="116">
        <v>2570.6999999999998</v>
      </c>
      <c r="D2368" s="116">
        <v>2525</v>
      </c>
      <c r="E2368" s="116">
        <v>2525</v>
      </c>
      <c r="F2368" s="116">
        <v>2570.6999999999998</v>
      </c>
      <c r="G2368">
        <v>3790</v>
      </c>
      <c r="H2368" s="116"/>
      <c r="I2368" s="116"/>
      <c r="L2368" s="170">
        <v>45492</v>
      </c>
      <c r="M2368" s="116">
        <v>2573.15</v>
      </c>
      <c r="N2368" s="116">
        <v>2587</v>
      </c>
      <c r="O2368" s="116">
        <v>2541</v>
      </c>
      <c r="P2368" s="116">
        <v>2553.1</v>
      </c>
      <c r="Q2368" s="116">
        <v>2573.15</v>
      </c>
      <c r="R2368">
        <v>79070</v>
      </c>
    </row>
    <row r="2369" spans="1:18" x14ac:dyDescent="0.25">
      <c r="A2369" s="170">
        <v>45495</v>
      </c>
      <c r="B2369" s="116">
        <v>2652.1</v>
      </c>
      <c r="C2369" s="116">
        <v>2618.6999999999998</v>
      </c>
      <c r="D2369" s="116">
        <v>2545.15</v>
      </c>
      <c r="E2369" s="116">
        <v>2545.15</v>
      </c>
      <c r="F2369" s="116">
        <v>2618.6999999999998</v>
      </c>
      <c r="G2369">
        <v>4109</v>
      </c>
      <c r="H2369" s="116"/>
      <c r="I2369" s="116"/>
      <c r="L2369" s="170">
        <v>45495</v>
      </c>
      <c r="M2369" s="116">
        <v>2621.1</v>
      </c>
      <c r="N2369" s="116">
        <v>2655</v>
      </c>
      <c r="O2369" s="116">
        <v>2551</v>
      </c>
      <c r="P2369" s="116">
        <v>2551</v>
      </c>
      <c r="Q2369" s="116">
        <v>2621.1</v>
      </c>
      <c r="R2369">
        <v>192853</v>
      </c>
    </row>
    <row r="2370" spans="1:18" x14ac:dyDescent="0.25">
      <c r="A2370" s="170">
        <v>45496</v>
      </c>
      <c r="B2370" s="116">
        <v>2825.15</v>
      </c>
      <c r="C2370" s="116">
        <v>2687.6</v>
      </c>
      <c r="D2370" s="116">
        <v>2615.3000000000002</v>
      </c>
      <c r="E2370" s="116">
        <v>2640</v>
      </c>
      <c r="F2370" s="116">
        <v>2687.6</v>
      </c>
      <c r="G2370">
        <v>32120</v>
      </c>
      <c r="H2370" s="116"/>
      <c r="I2370" s="116"/>
      <c r="L2370" s="170">
        <v>45496</v>
      </c>
      <c r="M2370" s="116">
        <v>2689.65</v>
      </c>
      <c r="N2370" s="116">
        <v>2825</v>
      </c>
      <c r="O2370" s="116">
        <v>2610.1</v>
      </c>
      <c r="P2370" s="116">
        <v>2621.1</v>
      </c>
      <c r="Q2370" s="116">
        <v>2689.65</v>
      </c>
      <c r="R2370">
        <v>1257778</v>
      </c>
    </row>
    <row r="2371" spans="1:18" x14ac:dyDescent="0.25">
      <c r="A2371" s="170">
        <v>45497</v>
      </c>
      <c r="B2371" s="116">
        <v>2755</v>
      </c>
      <c r="C2371" s="116">
        <v>2694.8</v>
      </c>
      <c r="D2371" s="116">
        <v>2688.6</v>
      </c>
      <c r="E2371" s="116">
        <v>2689.7</v>
      </c>
      <c r="F2371" s="116">
        <v>2694.8</v>
      </c>
      <c r="G2371">
        <v>4133</v>
      </c>
      <c r="H2371" s="116"/>
      <c r="I2371" s="116"/>
      <c r="L2371" s="170">
        <v>45497</v>
      </c>
      <c r="M2371" s="116">
        <v>2695.05</v>
      </c>
      <c r="N2371" s="116">
        <v>2755</v>
      </c>
      <c r="O2371" s="116">
        <v>2684.05</v>
      </c>
      <c r="P2371" s="116">
        <v>2716</v>
      </c>
      <c r="Q2371" s="116">
        <v>2695.05</v>
      </c>
      <c r="R2371">
        <v>123725</v>
      </c>
    </row>
    <row r="2372" spans="1:18" x14ac:dyDescent="0.25">
      <c r="A2372" s="170">
        <v>45498</v>
      </c>
      <c r="B2372" s="116">
        <v>2746</v>
      </c>
      <c r="C2372" s="116">
        <v>2676.75</v>
      </c>
      <c r="D2372" s="116">
        <v>2665</v>
      </c>
      <c r="E2372" s="116">
        <v>2718.5</v>
      </c>
      <c r="F2372" s="116">
        <v>2676.75</v>
      </c>
      <c r="G2372">
        <v>4637</v>
      </c>
      <c r="H2372" s="116"/>
      <c r="I2372" s="116"/>
      <c r="L2372" s="170">
        <v>45498</v>
      </c>
      <c r="M2372" s="116">
        <v>2677.85</v>
      </c>
      <c r="N2372" s="116">
        <v>2747.8</v>
      </c>
      <c r="O2372" s="116">
        <v>2660.05</v>
      </c>
      <c r="P2372" s="116">
        <v>2717.8</v>
      </c>
      <c r="Q2372" s="116">
        <v>2677.85</v>
      </c>
      <c r="R2372">
        <v>114251</v>
      </c>
    </row>
    <row r="2373" spans="1:18" x14ac:dyDescent="0.25">
      <c r="A2373" s="170">
        <v>45499</v>
      </c>
      <c r="B2373" s="116">
        <v>2739.25</v>
      </c>
      <c r="C2373" s="116">
        <v>2709.35</v>
      </c>
      <c r="D2373" s="116">
        <v>2690</v>
      </c>
      <c r="E2373" s="116">
        <v>2690</v>
      </c>
      <c r="F2373" s="116">
        <v>2709.35</v>
      </c>
      <c r="G2373">
        <v>2089</v>
      </c>
      <c r="H2373" s="116"/>
      <c r="I2373" s="116"/>
      <c r="L2373" s="170">
        <v>45499</v>
      </c>
      <c r="M2373" s="116">
        <v>2707.3</v>
      </c>
      <c r="N2373" s="116">
        <v>2740</v>
      </c>
      <c r="O2373" s="116">
        <v>2692</v>
      </c>
      <c r="P2373" s="116">
        <v>2705</v>
      </c>
      <c r="Q2373" s="116">
        <v>2707.3</v>
      </c>
      <c r="R2373">
        <v>76491</v>
      </c>
    </row>
    <row r="2374" spans="1:18" x14ac:dyDescent="0.25">
      <c r="A2374" s="170">
        <v>45502</v>
      </c>
      <c r="B2374" s="116">
        <v>2793.65</v>
      </c>
      <c r="C2374" s="116">
        <v>2733.15</v>
      </c>
      <c r="D2374" s="116">
        <v>2700</v>
      </c>
      <c r="E2374" s="116">
        <v>2700</v>
      </c>
      <c r="F2374" s="116">
        <v>2733.15</v>
      </c>
      <c r="G2374">
        <v>8881</v>
      </c>
      <c r="H2374" s="116"/>
      <c r="I2374" s="116"/>
      <c r="L2374" s="170">
        <v>45502</v>
      </c>
      <c r="M2374" s="116">
        <v>2738.1</v>
      </c>
      <c r="N2374" s="116">
        <v>2796.75</v>
      </c>
      <c r="O2374" s="116">
        <v>2712</v>
      </c>
      <c r="P2374" s="116">
        <v>2734.9</v>
      </c>
      <c r="Q2374" s="116">
        <v>2738.1</v>
      </c>
      <c r="R2374">
        <v>121426</v>
      </c>
    </row>
    <row r="2375" spans="1:18" x14ac:dyDescent="0.25">
      <c r="A2375" s="170">
        <v>45503</v>
      </c>
      <c r="B2375" s="116">
        <v>2772.25</v>
      </c>
      <c r="C2375" s="116">
        <v>2702.55</v>
      </c>
      <c r="D2375" s="116">
        <v>2690</v>
      </c>
      <c r="E2375" s="116">
        <v>2770</v>
      </c>
      <c r="F2375" s="116">
        <v>2702.55</v>
      </c>
      <c r="G2375">
        <v>2087</v>
      </c>
      <c r="H2375" s="116"/>
      <c r="I2375" s="116"/>
      <c r="L2375" s="170">
        <v>45503</v>
      </c>
      <c r="M2375" s="116">
        <v>2695.8</v>
      </c>
      <c r="N2375" s="116">
        <v>2773.6</v>
      </c>
      <c r="O2375" s="116">
        <v>2688</v>
      </c>
      <c r="P2375" s="116">
        <v>2744.95</v>
      </c>
      <c r="Q2375" s="116">
        <v>2695.8</v>
      </c>
      <c r="R2375">
        <v>90451</v>
      </c>
    </row>
    <row r="2376" spans="1:18" x14ac:dyDescent="0.25">
      <c r="A2376" s="170">
        <v>45504</v>
      </c>
      <c r="B2376" s="116">
        <v>2787.95</v>
      </c>
      <c r="C2376" s="116">
        <v>2732.75</v>
      </c>
      <c r="D2376" s="116">
        <v>2700</v>
      </c>
      <c r="E2376" s="116">
        <v>2713.4</v>
      </c>
      <c r="F2376" s="116">
        <v>2732.75</v>
      </c>
      <c r="G2376">
        <v>7081</v>
      </c>
      <c r="H2376" s="116"/>
      <c r="I2376" s="116"/>
      <c r="L2376" s="170">
        <v>45504</v>
      </c>
      <c r="M2376" s="116">
        <v>2730.6</v>
      </c>
      <c r="N2376" s="116">
        <v>2787</v>
      </c>
      <c r="O2376" s="116">
        <v>2697.05</v>
      </c>
      <c r="P2376" s="116">
        <v>2710.5</v>
      </c>
      <c r="Q2376" s="116">
        <v>2730.6</v>
      </c>
      <c r="R2376">
        <v>122541</v>
      </c>
    </row>
    <row r="2377" spans="1:18" x14ac:dyDescent="0.25">
      <c r="A2377" s="170">
        <v>45505</v>
      </c>
      <c r="B2377" s="116">
        <v>2764.7</v>
      </c>
      <c r="C2377" s="116">
        <v>2755.9</v>
      </c>
      <c r="D2377" s="116">
        <v>2695.1</v>
      </c>
      <c r="E2377" s="116">
        <v>2695.1</v>
      </c>
      <c r="F2377" s="116">
        <v>2755.9</v>
      </c>
      <c r="G2377">
        <v>7920</v>
      </c>
      <c r="H2377" s="116"/>
      <c r="I2377" s="116"/>
      <c r="L2377" s="170">
        <v>45505</v>
      </c>
      <c r="M2377" s="116">
        <v>2758.25</v>
      </c>
      <c r="N2377" s="116">
        <v>2765</v>
      </c>
      <c r="O2377" s="116">
        <v>2702.1</v>
      </c>
      <c r="P2377" s="116">
        <v>2740</v>
      </c>
      <c r="Q2377" s="116">
        <v>2758.25</v>
      </c>
      <c r="R2377">
        <v>138659</v>
      </c>
    </row>
    <row r="2378" spans="1:18" x14ac:dyDescent="0.25">
      <c r="A2378" s="170">
        <v>45506</v>
      </c>
      <c r="B2378" s="116">
        <v>2859.95</v>
      </c>
      <c r="C2378" s="116">
        <v>2824.45</v>
      </c>
      <c r="D2378" s="116">
        <v>2715.35</v>
      </c>
      <c r="E2378" s="116">
        <v>2760.85</v>
      </c>
      <c r="F2378" s="116">
        <v>2824.45</v>
      </c>
      <c r="G2378">
        <v>6458</v>
      </c>
      <c r="H2378" s="116"/>
      <c r="I2378" s="116"/>
      <c r="L2378" s="170">
        <v>45506</v>
      </c>
      <c r="M2378" s="116">
        <v>2820.25</v>
      </c>
      <c r="N2378" s="116">
        <v>2860</v>
      </c>
      <c r="O2378" s="116">
        <v>2720.1</v>
      </c>
      <c r="P2378" s="116">
        <v>2739.95</v>
      </c>
      <c r="Q2378" s="116">
        <v>2820.25</v>
      </c>
      <c r="R2378">
        <v>255497</v>
      </c>
    </row>
    <row r="2379" spans="1:18" x14ac:dyDescent="0.25">
      <c r="A2379" s="170">
        <v>45509</v>
      </c>
      <c r="B2379" s="116">
        <v>2836.7</v>
      </c>
      <c r="C2379" s="116">
        <v>2761.55</v>
      </c>
      <c r="D2379" s="116">
        <v>2732.35</v>
      </c>
      <c r="E2379" s="116">
        <v>2750.05</v>
      </c>
      <c r="F2379" s="116">
        <v>2761.55</v>
      </c>
      <c r="G2379">
        <v>12941</v>
      </c>
      <c r="H2379" s="116"/>
      <c r="I2379" s="116"/>
      <c r="L2379" s="170">
        <v>45509</v>
      </c>
      <c r="M2379" s="116">
        <v>2763.95</v>
      </c>
      <c r="N2379" s="116">
        <v>2836.4</v>
      </c>
      <c r="O2379" s="116">
        <v>2728</v>
      </c>
      <c r="P2379" s="116">
        <v>2760</v>
      </c>
      <c r="Q2379" s="116">
        <v>2763.95</v>
      </c>
      <c r="R2379">
        <v>176964</v>
      </c>
    </row>
    <row r="2380" spans="1:18" x14ac:dyDescent="0.25">
      <c r="A2380" s="170">
        <v>45510</v>
      </c>
      <c r="B2380" s="116">
        <v>2879.4</v>
      </c>
      <c r="C2380" s="116">
        <v>2788.6</v>
      </c>
      <c r="D2380" s="116">
        <v>2761.65</v>
      </c>
      <c r="E2380" s="116">
        <v>2761.65</v>
      </c>
      <c r="F2380" s="116">
        <v>2788.6</v>
      </c>
      <c r="G2380">
        <v>10709</v>
      </c>
      <c r="H2380" s="116"/>
      <c r="I2380" s="116"/>
      <c r="L2380" s="170">
        <v>45510</v>
      </c>
      <c r="M2380" s="116">
        <v>2789.65</v>
      </c>
      <c r="N2380" s="116">
        <v>2879.9</v>
      </c>
      <c r="O2380" s="116">
        <v>2769.75</v>
      </c>
      <c r="P2380" s="116">
        <v>2769.75</v>
      </c>
      <c r="Q2380" s="116">
        <v>2789.65</v>
      </c>
      <c r="R2380">
        <v>176490</v>
      </c>
    </row>
    <row r="2381" spans="1:18" x14ac:dyDescent="0.25">
      <c r="A2381" s="170">
        <v>45511</v>
      </c>
      <c r="B2381" s="116">
        <v>2892.75</v>
      </c>
      <c r="C2381" s="116">
        <v>2821.75</v>
      </c>
      <c r="D2381" s="116">
        <v>2814.7</v>
      </c>
      <c r="E2381" s="116">
        <v>2833.75</v>
      </c>
      <c r="F2381" s="116">
        <v>2821.75</v>
      </c>
      <c r="G2381">
        <v>5534</v>
      </c>
      <c r="H2381" s="116"/>
      <c r="I2381" s="116"/>
      <c r="L2381" s="170">
        <v>45511</v>
      </c>
      <c r="M2381" s="116">
        <v>2820.4</v>
      </c>
      <c r="N2381" s="116">
        <v>2895</v>
      </c>
      <c r="O2381" s="116">
        <v>2808.8</v>
      </c>
      <c r="P2381" s="116">
        <v>2811.3</v>
      </c>
      <c r="Q2381" s="116">
        <v>2820.4</v>
      </c>
      <c r="R2381">
        <v>156591</v>
      </c>
    </row>
    <row r="2382" spans="1:18" x14ac:dyDescent="0.25">
      <c r="A2382" s="170">
        <v>45512</v>
      </c>
      <c r="B2382" s="116">
        <v>2940</v>
      </c>
      <c r="C2382" s="116">
        <v>2871.85</v>
      </c>
      <c r="D2382" s="116">
        <v>2823.05</v>
      </c>
      <c r="E2382" s="116">
        <v>2823.05</v>
      </c>
      <c r="F2382" s="116">
        <v>2871.85</v>
      </c>
      <c r="G2382">
        <v>14549</v>
      </c>
      <c r="H2382" s="116"/>
      <c r="I2382" s="116"/>
      <c r="L2382" s="170">
        <v>45512</v>
      </c>
      <c r="M2382" s="116">
        <v>2873.65</v>
      </c>
      <c r="N2382" s="116">
        <v>2940</v>
      </c>
      <c r="O2382" s="116">
        <v>2834.65</v>
      </c>
      <c r="P2382" s="116">
        <v>2834.65</v>
      </c>
      <c r="Q2382" s="116">
        <v>2873.65</v>
      </c>
      <c r="R2382">
        <v>178410</v>
      </c>
    </row>
    <row r="2383" spans="1:18" x14ac:dyDescent="0.25">
      <c r="A2383" s="170">
        <v>45513</v>
      </c>
      <c r="B2383" s="116">
        <v>2932.25</v>
      </c>
      <c r="C2383" s="116">
        <v>2878.4</v>
      </c>
      <c r="D2383" s="116">
        <v>2871</v>
      </c>
      <c r="E2383" s="116">
        <v>2899.95</v>
      </c>
      <c r="F2383" s="116">
        <v>2878.4</v>
      </c>
      <c r="G2383">
        <v>3789</v>
      </c>
      <c r="H2383" s="116"/>
      <c r="I2383" s="116"/>
      <c r="L2383" s="170">
        <v>45513</v>
      </c>
      <c r="M2383" s="116">
        <v>2875.05</v>
      </c>
      <c r="N2383" s="116">
        <v>2929</v>
      </c>
      <c r="O2383" s="116">
        <v>2867.75</v>
      </c>
      <c r="P2383" s="116">
        <v>2886.45</v>
      </c>
      <c r="Q2383" s="116">
        <v>2875.05</v>
      </c>
      <c r="R2383">
        <v>73464</v>
      </c>
    </row>
    <row r="2384" spans="1:18" x14ac:dyDescent="0.25">
      <c r="A2384" s="170">
        <v>45516</v>
      </c>
      <c r="B2384" s="116">
        <v>2944.95</v>
      </c>
      <c r="C2384" s="116">
        <v>2888.7</v>
      </c>
      <c r="D2384" s="116">
        <v>2878.4</v>
      </c>
      <c r="E2384" s="116">
        <v>2929</v>
      </c>
      <c r="F2384" s="116">
        <v>2888.7</v>
      </c>
      <c r="G2384">
        <v>6240</v>
      </c>
      <c r="H2384" s="116"/>
      <c r="I2384" s="116"/>
      <c r="L2384" s="170">
        <v>45516</v>
      </c>
      <c r="M2384" s="116">
        <v>2890.25</v>
      </c>
      <c r="N2384" s="116">
        <v>2944.9</v>
      </c>
      <c r="O2384" s="116">
        <v>2875.05</v>
      </c>
      <c r="P2384" s="116">
        <v>2889</v>
      </c>
      <c r="Q2384" s="116">
        <v>2890.25</v>
      </c>
      <c r="R2384">
        <v>105340</v>
      </c>
    </row>
    <row r="2385" spans="1:18" x14ac:dyDescent="0.25">
      <c r="A2385" s="170">
        <v>45517</v>
      </c>
      <c r="B2385" s="116">
        <v>2925.9</v>
      </c>
      <c r="C2385" s="116">
        <v>2824</v>
      </c>
      <c r="D2385" s="116">
        <v>2816.35</v>
      </c>
      <c r="E2385" s="116">
        <v>2896.55</v>
      </c>
      <c r="F2385" s="116">
        <v>2824</v>
      </c>
      <c r="G2385">
        <v>5437</v>
      </c>
      <c r="H2385" s="116"/>
      <c r="I2385" s="116"/>
      <c r="L2385" s="170">
        <v>45517</v>
      </c>
      <c r="M2385" s="116">
        <v>2826.05</v>
      </c>
      <c r="N2385" s="116">
        <v>2932.5</v>
      </c>
      <c r="O2385" s="116">
        <v>2816.15</v>
      </c>
      <c r="P2385" s="116">
        <v>2900</v>
      </c>
      <c r="Q2385" s="116">
        <v>2826.05</v>
      </c>
      <c r="R2385">
        <v>90516</v>
      </c>
    </row>
    <row r="2386" spans="1:18" x14ac:dyDescent="0.25">
      <c r="A2386" s="170">
        <v>45518</v>
      </c>
      <c r="B2386" s="116">
        <v>2865.2</v>
      </c>
      <c r="C2386" s="116">
        <v>2820.5</v>
      </c>
      <c r="D2386" s="116">
        <v>2815.6</v>
      </c>
      <c r="E2386" s="116">
        <v>2838</v>
      </c>
      <c r="F2386" s="116">
        <v>2820.5</v>
      </c>
      <c r="G2386">
        <v>2491</v>
      </c>
      <c r="H2386" s="116"/>
      <c r="I2386" s="116"/>
      <c r="L2386" s="170">
        <v>45518</v>
      </c>
      <c r="M2386" s="116">
        <v>2821.95</v>
      </c>
      <c r="N2386" s="116">
        <v>2869.4</v>
      </c>
      <c r="O2386" s="116">
        <v>2812.95</v>
      </c>
      <c r="P2386" s="116">
        <v>2848</v>
      </c>
      <c r="Q2386" s="116">
        <v>2821.95</v>
      </c>
      <c r="R2386">
        <v>129718</v>
      </c>
    </row>
    <row r="2387" spans="1:18" x14ac:dyDescent="0.25">
      <c r="A2387" s="170">
        <v>45520</v>
      </c>
      <c r="B2387" s="116">
        <v>2965</v>
      </c>
      <c r="C2387" s="116">
        <v>2906.15</v>
      </c>
      <c r="D2387" s="116">
        <v>2830</v>
      </c>
      <c r="E2387" s="116">
        <v>2848</v>
      </c>
      <c r="F2387" s="116">
        <v>2906.15</v>
      </c>
      <c r="G2387">
        <v>4762</v>
      </c>
      <c r="H2387" s="116"/>
      <c r="I2387" s="116"/>
      <c r="L2387" s="170">
        <v>45520</v>
      </c>
      <c r="M2387" s="116">
        <v>2905.85</v>
      </c>
      <c r="N2387" s="116">
        <v>2966.95</v>
      </c>
      <c r="O2387" s="116">
        <v>2829.05</v>
      </c>
      <c r="P2387" s="116">
        <v>2830</v>
      </c>
      <c r="Q2387" s="116">
        <v>2905.85</v>
      </c>
      <c r="R2387">
        <v>139605</v>
      </c>
    </row>
    <row r="2388" spans="1:18" x14ac:dyDescent="0.25">
      <c r="A2388" s="170">
        <v>45523</v>
      </c>
      <c r="B2388" s="116">
        <v>2965.05</v>
      </c>
      <c r="C2388" s="116">
        <v>2930.2</v>
      </c>
      <c r="D2388" s="116">
        <v>2906.65</v>
      </c>
      <c r="E2388" s="116">
        <v>2965.05</v>
      </c>
      <c r="F2388" s="116">
        <v>2930.2</v>
      </c>
      <c r="G2388">
        <v>5583</v>
      </c>
      <c r="H2388" s="116"/>
      <c r="I2388" s="116"/>
      <c r="L2388" s="170">
        <v>45523</v>
      </c>
      <c r="M2388" s="116">
        <v>2931.35</v>
      </c>
      <c r="N2388" s="116">
        <v>2969.95</v>
      </c>
      <c r="O2388" s="116">
        <v>2906</v>
      </c>
      <c r="P2388" s="116">
        <v>2969.95</v>
      </c>
      <c r="Q2388" s="116">
        <v>2931.35</v>
      </c>
      <c r="R2388">
        <v>79417</v>
      </c>
    </row>
    <row r="2389" spans="1:18" x14ac:dyDescent="0.25">
      <c r="A2389" s="170">
        <v>45524</v>
      </c>
      <c r="B2389" s="116">
        <v>2934.3</v>
      </c>
      <c r="C2389" s="116">
        <v>2894.3</v>
      </c>
      <c r="D2389" s="116">
        <v>2859.85</v>
      </c>
      <c r="E2389" s="116">
        <v>2890.15</v>
      </c>
      <c r="F2389" s="116">
        <v>2894.3</v>
      </c>
      <c r="G2389">
        <v>4686</v>
      </c>
      <c r="H2389" s="116"/>
      <c r="I2389" s="116"/>
      <c r="L2389" s="170">
        <v>45524</v>
      </c>
      <c r="M2389" s="116">
        <v>2892.25</v>
      </c>
      <c r="N2389" s="116">
        <v>2937.7</v>
      </c>
      <c r="O2389" s="116">
        <v>2857.8</v>
      </c>
      <c r="P2389" s="116">
        <v>2934</v>
      </c>
      <c r="Q2389" s="116">
        <v>2892.25</v>
      </c>
      <c r="R2389">
        <v>173393</v>
      </c>
    </row>
    <row r="2390" spans="1:18" x14ac:dyDescent="0.25">
      <c r="A2390" s="170">
        <v>45525</v>
      </c>
      <c r="B2390" s="116">
        <v>3085.9</v>
      </c>
      <c r="C2390" s="116">
        <v>3059.3</v>
      </c>
      <c r="D2390" s="116">
        <v>2913.2</v>
      </c>
      <c r="E2390" s="116">
        <v>2920</v>
      </c>
      <c r="F2390" s="116">
        <v>3059.3</v>
      </c>
      <c r="G2390">
        <v>18620</v>
      </c>
      <c r="H2390" s="116"/>
      <c r="I2390" s="116"/>
      <c r="L2390" s="170">
        <v>45525</v>
      </c>
      <c r="M2390" s="116">
        <v>3061.45</v>
      </c>
      <c r="N2390" s="116">
        <v>3088</v>
      </c>
      <c r="O2390" s="116">
        <v>2888.95</v>
      </c>
      <c r="P2390" s="116">
        <v>2899.25</v>
      </c>
      <c r="Q2390" s="116">
        <v>3061.45</v>
      </c>
      <c r="R2390">
        <v>376793</v>
      </c>
    </row>
    <row r="2391" spans="1:18" x14ac:dyDescent="0.25">
      <c r="A2391" s="170">
        <v>45526</v>
      </c>
      <c r="B2391" s="116">
        <v>3087.95</v>
      </c>
      <c r="C2391" s="116">
        <v>2914.1</v>
      </c>
      <c r="D2391" s="116">
        <v>2905.9</v>
      </c>
      <c r="E2391" s="116">
        <v>3087.95</v>
      </c>
      <c r="F2391" s="116">
        <v>2914.1</v>
      </c>
      <c r="G2391">
        <v>11676</v>
      </c>
      <c r="H2391" s="116"/>
      <c r="I2391" s="116"/>
      <c r="L2391" s="170">
        <v>45526</v>
      </c>
      <c r="M2391" s="116">
        <v>2914.85</v>
      </c>
      <c r="N2391" s="116">
        <v>3069.45</v>
      </c>
      <c r="O2391" s="116">
        <v>2910.45</v>
      </c>
      <c r="P2391" s="116">
        <v>3048.4</v>
      </c>
      <c r="Q2391" s="116">
        <v>2914.85</v>
      </c>
      <c r="R2391">
        <v>221114</v>
      </c>
    </row>
    <row r="2392" spans="1:18" x14ac:dyDescent="0.25">
      <c r="A2392" s="170">
        <v>45527</v>
      </c>
      <c r="B2392" s="116">
        <v>2958.2</v>
      </c>
      <c r="C2392" s="116">
        <v>2944.2</v>
      </c>
      <c r="D2392" s="116">
        <v>2897</v>
      </c>
      <c r="E2392" s="116">
        <v>2929.05</v>
      </c>
      <c r="F2392" s="116">
        <v>2944.2</v>
      </c>
      <c r="G2392">
        <v>5262</v>
      </c>
      <c r="H2392" s="116"/>
      <c r="I2392" s="116"/>
      <c r="L2392" s="170">
        <v>45527</v>
      </c>
      <c r="M2392" s="116">
        <v>2944</v>
      </c>
      <c r="N2392" s="116">
        <v>2959</v>
      </c>
      <c r="O2392" s="116">
        <v>2896</v>
      </c>
      <c r="P2392" s="116">
        <v>2918</v>
      </c>
      <c r="Q2392" s="116">
        <v>2944</v>
      </c>
      <c r="R2392">
        <v>144154</v>
      </c>
    </row>
    <row r="2393" spans="1:18" x14ac:dyDescent="0.25">
      <c r="A2393" s="170">
        <v>45530</v>
      </c>
      <c r="B2393" s="116">
        <v>3027</v>
      </c>
      <c r="C2393" s="116">
        <v>2905.35</v>
      </c>
      <c r="D2393" s="116">
        <v>2897.5</v>
      </c>
      <c r="E2393" s="116">
        <v>2959.95</v>
      </c>
      <c r="F2393" s="116">
        <v>2905.35</v>
      </c>
      <c r="G2393">
        <v>8217</v>
      </c>
      <c r="H2393" s="116"/>
      <c r="I2393" s="116"/>
      <c r="L2393" s="170">
        <v>45530</v>
      </c>
      <c r="M2393" s="116">
        <v>2907.05</v>
      </c>
      <c r="N2393" s="116">
        <v>3028.9</v>
      </c>
      <c r="O2393" s="116">
        <v>2897.05</v>
      </c>
      <c r="P2393" s="116">
        <v>2959</v>
      </c>
      <c r="Q2393" s="116">
        <v>2907.05</v>
      </c>
      <c r="R2393">
        <v>128448</v>
      </c>
    </row>
    <row r="2394" spans="1:18" x14ac:dyDescent="0.25">
      <c r="A2394" s="170">
        <v>45531</v>
      </c>
      <c r="B2394" s="116">
        <v>2959.75</v>
      </c>
      <c r="C2394" s="116">
        <v>2874.5</v>
      </c>
      <c r="D2394" s="116">
        <v>2866.1</v>
      </c>
      <c r="E2394" s="116">
        <v>2959.75</v>
      </c>
      <c r="F2394" s="116">
        <v>2874.5</v>
      </c>
      <c r="G2394">
        <v>3983</v>
      </c>
      <c r="H2394" s="116"/>
      <c r="I2394" s="116"/>
      <c r="L2394" s="170">
        <v>45531</v>
      </c>
      <c r="M2394" s="116">
        <v>2874.05</v>
      </c>
      <c r="N2394" s="116">
        <v>2926.15</v>
      </c>
      <c r="O2394" s="116">
        <v>2868</v>
      </c>
      <c r="P2394" s="116">
        <v>2922.85</v>
      </c>
      <c r="Q2394" s="116">
        <v>2874.05</v>
      </c>
      <c r="R2394">
        <v>95840</v>
      </c>
    </row>
    <row r="2395" spans="1:18" x14ac:dyDescent="0.25">
      <c r="A2395" s="170">
        <v>45532</v>
      </c>
      <c r="B2395" s="116">
        <v>2896</v>
      </c>
      <c r="C2395" s="116">
        <v>2803.95</v>
      </c>
      <c r="D2395" s="116">
        <v>2787.3</v>
      </c>
      <c r="E2395" s="116">
        <v>2874</v>
      </c>
      <c r="F2395" s="116">
        <v>2803.95</v>
      </c>
      <c r="G2395">
        <v>5669</v>
      </c>
      <c r="H2395" s="116"/>
      <c r="I2395" s="116"/>
      <c r="L2395" s="170">
        <v>45532</v>
      </c>
      <c r="M2395" s="116">
        <v>2805.5</v>
      </c>
      <c r="N2395" s="116">
        <v>2895.05</v>
      </c>
      <c r="O2395" s="116">
        <v>2790</v>
      </c>
      <c r="P2395" s="116">
        <v>2893.7</v>
      </c>
      <c r="Q2395" s="116">
        <v>2805.5</v>
      </c>
      <c r="R2395">
        <v>131329</v>
      </c>
    </row>
    <row r="2396" spans="1:18" x14ac:dyDescent="0.25">
      <c r="A2396" s="170">
        <v>45533</v>
      </c>
      <c r="B2396" s="116">
        <v>2818.8</v>
      </c>
      <c r="C2396" s="116">
        <v>2769.4</v>
      </c>
      <c r="D2396" s="116">
        <v>2760.05</v>
      </c>
      <c r="E2396" s="116">
        <v>2818.8</v>
      </c>
      <c r="F2396" s="116">
        <v>2769.4</v>
      </c>
      <c r="G2396">
        <v>3614</v>
      </c>
      <c r="H2396" s="116"/>
      <c r="I2396" s="116"/>
      <c r="L2396" s="170">
        <v>45533</v>
      </c>
      <c r="M2396" s="116">
        <v>2766.7</v>
      </c>
      <c r="N2396" s="116">
        <v>2825</v>
      </c>
      <c r="O2396" s="116">
        <v>2759</v>
      </c>
      <c r="P2396" s="116">
        <v>2815</v>
      </c>
      <c r="Q2396" s="116">
        <v>2766.7</v>
      </c>
      <c r="R2396">
        <v>98803</v>
      </c>
    </row>
    <row r="2397" spans="1:18" x14ac:dyDescent="0.25">
      <c r="A2397" s="170">
        <v>45534</v>
      </c>
      <c r="B2397" s="116">
        <v>2806.8</v>
      </c>
      <c r="C2397" s="116">
        <v>2745.4</v>
      </c>
      <c r="D2397" s="116">
        <v>2735.2</v>
      </c>
      <c r="E2397" s="116">
        <v>2770.05</v>
      </c>
      <c r="F2397" s="116">
        <v>2745.4</v>
      </c>
      <c r="G2397">
        <v>5051</v>
      </c>
      <c r="H2397" s="116"/>
      <c r="I2397" s="116"/>
      <c r="L2397" s="170">
        <v>45534</v>
      </c>
      <c r="M2397" s="116">
        <v>2745.1</v>
      </c>
      <c r="N2397" s="116">
        <v>2805</v>
      </c>
      <c r="O2397" s="116">
        <v>2737.6</v>
      </c>
      <c r="P2397" s="116">
        <v>2786</v>
      </c>
      <c r="Q2397" s="116">
        <v>2745.1</v>
      </c>
      <c r="R2397">
        <v>78631</v>
      </c>
    </row>
    <row r="2398" spans="1:18" x14ac:dyDescent="0.25">
      <c r="A2398" s="170">
        <v>45537</v>
      </c>
      <c r="B2398" s="116">
        <v>2791</v>
      </c>
      <c r="C2398" s="116">
        <v>2782.3</v>
      </c>
      <c r="D2398" s="116">
        <v>2669.6</v>
      </c>
      <c r="E2398" s="116">
        <v>2669.6</v>
      </c>
      <c r="F2398" s="116">
        <v>2782.3</v>
      </c>
      <c r="G2398">
        <v>6020</v>
      </c>
      <c r="H2398" s="116"/>
      <c r="I2398" s="116"/>
      <c r="L2398" s="170">
        <v>45537</v>
      </c>
      <c r="M2398" s="116">
        <v>2781.65</v>
      </c>
      <c r="N2398" s="116">
        <v>2792</v>
      </c>
      <c r="O2398" s="116">
        <v>2716.2</v>
      </c>
      <c r="P2398" s="116">
        <v>2751.85</v>
      </c>
      <c r="Q2398" s="116">
        <v>2781.65</v>
      </c>
      <c r="R2398">
        <v>86127</v>
      </c>
    </row>
    <row r="2399" spans="1:18" x14ac:dyDescent="0.25">
      <c r="A2399" s="170">
        <v>45538</v>
      </c>
      <c r="B2399" s="116">
        <v>2845.5</v>
      </c>
      <c r="C2399" s="116">
        <v>2830.85</v>
      </c>
      <c r="D2399" s="116">
        <v>2782.3</v>
      </c>
      <c r="E2399" s="116">
        <v>2782.3</v>
      </c>
      <c r="F2399" s="116">
        <v>2830.85</v>
      </c>
      <c r="G2399">
        <v>6110</v>
      </c>
      <c r="H2399" s="116"/>
      <c r="I2399" s="116"/>
      <c r="L2399" s="170">
        <v>45538</v>
      </c>
      <c r="M2399" s="116">
        <v>2832.15</v>
      </c>
      <c r="N2399" s="116">
        <v>2849.3</v>
      </c>
      <c r="O2399" s="116">
        <v>2781.65</v>
      </c>
      <c r="P2399" s="116">
        <v>2792.9</v>
      </c>
      <c r="Q2399" s="116">
        <v>2832.15</v>
      </c>
      <c r="R2399">
        <v>121442</v>
      </c>
    </row>
    <row r="2400" spans="1:18" x14ac:dyDescent="0.25">
      <c r="A2400" s="170">
        <v>45539</v>
      </c>
      <c r="B2400" s="116">
        <v>2878</v>
      </c>
      <c r="C2400" s="116">
        <v>2849.15</v>
      </c>
      <c r="D2400" s="116">
        <v>2832.75</v>
      </c>
      <c r="E2400" s="116">
        <v>2836.15</v>
      </c>
      <c r="F2400" s="116">
        <v>2849.15</v>
      </c>
      <c r="G2400">
        <v>4182</v>
      </c>
      <c r="H2400" s="116"/>
      <c r="I2400" s="116"/>
      <c r="L2400" s="170">
        <v>45539</v>
      </c>
      <c r="M2400" s="116">
        <v>2848.95</v>
      </c>
      <c r="N2400" s="116">
        <v>2879.85</v>
      </c>
      <c r="O2400" s="116">
        <v>2833.05</v>
      </c>
      <c r="P2400" s="116">
        <v>2833.05</v>
      </c>
      <c r="Q2400" s="116">
        <v>2848.95</v>
      </c>
      <c r="R2400">
        <v>92537</v>
      </c>
    </row>
    <row r="2401" spans="1:18" x14ac:dyDescent="0.25">
      <c r="A2401" s="170">
        <v>45540</v>
      </c>
      <c r="B2401" s="116">
        <v>2875.55</v>
      </c>
      <c r="C2401" s="116">
        <v>2812.65</v>
      </c>
      <c r="D2401" s="116">
        <v>2800</v>
      </c>
      <c r="E2401" s="116">
        <v>2869</v>
      </c>
      <c r="F2401" s="116">
        <v>2812.65</v>
      </c>
      <c r="G2401">
        <v>3786</v>
      </c>
      <c r="H2401" s="116"/>
      <c r="I2401" s="116"/>
      <c r="L2401" s="170">
        <v>45540</v>
      </c>
      <c r="M2401" s="116">
        <v>2813.95</v>
      </c>
      <c r="N2401" s="116">
        <v>2876.5</v>
      </c>
      <c r="O2401" s="116">
        <v>2799.75</v>
      </c>
      <c r="P2401" s="116">
        <v>2848.95</v>
      </c>
      <c r="Q2401" s="116">
        <v>2813.95</v>
      </c>
      <c r="R2401">
        <v>76368</v>
      </c>
    </row>
    <row r="2402" spans="1:18" x14ac:dyDescent="0.25">
      <c r="A2402" s="170">
        <v>45541</v>
      </c>
      <c r="B2402" s="116">
        <v>2856.4</v>
      </c>
      <c r="C2402" s="116">
        <v>2831.25</v>
      </c>
      <c r="D2402" s="116">
        <v>2774.15</v>
      </c>
      <c r="E2402" s="116">
        <v>2856.4</v>
      </c>
      <c r="F2402" s="116">
        <v>2831.25</v>
      </c>
      <c r="G2402">
        <v>2694</v>
      </c>
      <c r="H2402" s="116"/>
      <c r="I2402" s="116"/>
      <c r="L2402" s="170">
        <v>45541</v>
      </c>
      <c r="M2402" s="116">
        <v>2831.6</v>
      </c>
      <c r="N2402" s="116">
        <v>2850.1</v>
      </c>
      <c r="O2402" s="116">
        <v>2772</v>
      </c>
      <c r="P2402" s="116">
        <v>2815</v>
      </c>
      <c r="Q2402" s="116">
        <v>2831.6</v>
      </c>
      <c r="R2402">
        <v>70303</v>
      </c>
    </row>
    <row r="2403" spans="1:18" x14ac:dyDescent="0.25">
      <c r="A2403" s="170">
        <v>45544</v>
      </c>
      <c r="B2403" s="116">
        <v>2868.35</v>
      </c>
      <c r="C2403" s="116">
        <v>2848.95</v>
      </c>
      <c r="D2403" s="116">
        <v>2771.3</v>
      </c>
      <c r="E2403" s="116">
        <v>2848</v>
      </c>
      <c r="F2403" s="116">
        <v>2848.95</v>
      </c>
      <c r="G2403">
        <v>1873</v>
      </c>
      <c r="H2403" s="116"/>
      <c r="I2403" s="116"/>
      <c r="L2403" s="170">
        <v>45544</v>
      </c>
      <c r="M2403" s="116">
        <v>2853.25</v>
      </c>
      <c r="N2403" s="116">
        <v>2870</v>
      </c>
      <c r="O2403" s="116">
        <v>2771.05</v>
      </c>
      <c r="P2403" s="116">
        <v>2832.65</v>
      </c>
      <c r="Q2403" s="116">
        <v>2853.25</v>
      </c>
      <c r="R2403">
        <v>54372</v>
      </c>
    </row>
    <row r="2404" spans="1:18" x14ac:dyDescent="0.25">
      <c r="A2404" s="170">
        <v>45545</v>
      </c>
      <c r="B2404" s="116">
        <v>2890</v>
      </c>
      <c r="C2404" s="116">
        <v>2817.9</v>
      </c>
      <c r="D2404" s="116">
        <v>2806.35</v>
      </c>
      <c r="E2404" s="116">
        <v>2878</v>
      </c>
      <c r="F2404" s="116">
        <v>2817.9</v>
      </c>
      <c r="G2404">
        <v>2641</v>
      </c>
      <c r="H2404" s="116"/>
      <c r="I2404" s="116"/>
      <c r="L2404" s="170">
        <v>45545</v>
      </c>
      <c r="M2404" s="116">
        <v>2818.95</v>
      </c>
      <c r="N2404" s="116">
        <v>2891.7</v>
      </c>
      <c r="O2404" s="116">
        <v>2801.6</v>
      </c>
      <c r="P2404" s="116">
        <v>2878</v>
      </c>
      <c r="Q2404" s="116">
        <v>2818.95</v>
      </c>
      <c r="R2404">
        <v>58245</v>
      </c>
    </row>
    <row r="2405" spans="1:18" x14ac:dyDescent="0.25">
      <c r="A2405" s="170">
        <v>45546</v>
      </c>
      <c r="B2405" s="116">
        <v>2905</v>
      </c>
      <c r="C2405" s="116">
        <v>2855.35</v>
      </c>
      <c r="D2405" s="116">
        <v>2819.55</v>
      </c>
      <c r="E2405" s="116">
        <v>2819.55</v>
      </c>
      <c r="F2405" s="116">
        <v>2855.35</v>
      </c>
      <c r="G2405">
        <v>2865</v>
      </c>
      <c r="H2405" s="116"/>
      <c r="I2405" s="116"/>
      <c r="L2405" s="170">
        <v>45546</v>
      </c>
      <c r="M2405" s="116">
        <v>2859.35</v>
      </c>
      <c r="N2405" s="116">
        <v>2912</v>
      </c>
      <c r="O2405" s="116">
        <v>2815.55</v>
      </c>
      <c r="P2405" s="116">
        <v>2816.1</v>
      </c>
      <c r="Q2405" s="116">
        <v>2859.35</v>
      </c>
      <c r="R2405">
        <v>110871</v>
      </c>
    </row>
    <row r="2406" spans="1:18" x14ac:dyDescent="0.25">
      <c r="A2406" s="170">
        <v>45547</v>
      </c>
      <c r="B2406" s="116">
        <v>2881.55</v>
      </c>
      <c r="C2406" s="116">
        <v>2861.95</v>
      </c>
      <c r="D2406" s="116">
        <v>2831.3</v>
      </c>
      <c r="E2406" s="116">
        <v>2872</v>
      </c>
      <c r="F2406" s="116">
        <v>2861.95</v>
      </c>
      <c r="G2406">
        <v>1791</v>
      </c>
      <c r="H2406" s="116"/>
      <c r="I2406" s="116"/>
      <c r="L2406" s="170">
        <v>45547</v>
      </c>
      <c r="M2406" s="116">
        <v>2861.75</v>
      </c>
      <c r="N2406" s="116">
        <v>2889.9</v>
      </c>
      <c r="O2406" s="116">
        <v>2830.8</v>
      </c>
      <c r="P2406" s="116">
        <v>2861.9</v>
      </c>
      <c r="Q2406" s="116">
        <v>2861.75</v>
      </c>
      <c r="R2406">
        <v>62672</v>
      </c>
    </row>
    <row r="2407" spans="1:18" x14ac:dyDescent="0.25">
      <c r="A2407" s="170">
        <v>45548</v>
      </c>
      <c r="B2407" s="116">
        <v>2906</v>
      </c>
      <c r="C2407" s="116">
        <v>2903.1</v>
      </c>
      <c r="D2407" s="116">
        <v>2847.65</v>
      </c>
      <c r="E2407" s="116">
        <v>2861.95</v>
      </c>
      <c r="F2407" s="116">
        <v>2903.1</v>
      </c>
      <c r="G2407">
        <v>4551</v>
      </c>
      <c r="H2407" s="116"/>
      <c r="I2407" s="116"/>
      <c r="L2407" s="170">
        <v>45548</v>
      </c>
      <c r="M2407" s="116">
        <v>2905.1</v>
      </c>
      <c r="N2407" s="116">
        <v>2908</v>
      </c>
      <c r="O2407" s="116">
        <v>2849.45</v>
      </c>
      <c r="P2407" s="116">
        <v>2860</v>
      </c>
      <c r="Q2407" s="116">
        <v>2905.1</v>
      </c>
      <c r="R2407">
        <v>51576</v>
      </c>
    </row>
    <row r="2408" spans="1:18" x14ac:dyDescent="0.25">
      <c r="A2408" s="170">
        <v>45551</v>
      </c>
      <c r="B2408" s="116">
        <v>2958.45</v>
      </c>
      <c r="C2408" s="116">
        <v>2830</v>
      </c>
      <c r="D2408" s="116">
        <v>2808.95</v>
      </c>
      <c r="E2408" s="116">
        <v>2958.45</v>
      </c>
      <c r="F2408" s="116">
        <v>2830</v>
      </c>
      <c r="G2408">
        <v>2837</v>
      </c>
      <c r="H2408" s="116"/>
      <c r="I2408" s="116"/>
      <c r="L2408" s="170">
        <v>45551</v>
      </c>
      <c r="M2408" s="116">
        <v>2828.9</v>
      </c>
      <c r="N2408" s="116">
        <v>2922.8</v>
      </c>
      <c r="O2408" s="116">
        <v>2815</v>
      </c>
      <c r="P2408" s="116">
        <v>2921</v>
      </c>
      <c r="Q2408" s="116">
        <v>2828.9</v>
      </c>
      <c r="R2408">
        <v>50411</v>
      </c>
    </row>
    <row r="2409" spans="1:18" x14ac:dyDescent="0.25">
      <c r="A2409" s="170">
        <v>45552</v>
      </c>
      <c r="B2409" s="116">
        <v>2835</v>
      </c>
      <c r="C2409" s="116">
        <v>2800</v>
      </c>
      <c r="D2409" s="116">
        <v>2742.15</v>
      </c>
      <c r="E2409" s="116">
        <v>2830.1</v>
      </c>
      <c r="F2409" s="116">
        <v>2800</v>
      </c>
      <c r="G2409">
        <v>4174</v>
      </c>
      <c r="H2409" s="116"/>
      <c r="I2409" s="116"/>
      <c r="L2409" s="170">
        <v>45552</v>
      </c>
      <c r="M2409" s="116">
        <v>2798.9</v>
      </c>
      <c r="N2409" s="116">
        <v>2845</v>
      </c>
      <c r="O2409" s="116">
        <v>2741.1</v>
      </c>
      <c r="P2409" s="116">
        <v>2845</v>
      </c>
      <c r="Q2409" s="116">
        <v>2798.9</v>
      </c>
      <c r="R2409">
        <v>67698</v>
      </c>
    </row>
    <row r="2410" spans="1:18" x14ac:dyDescent="0.25">
      <c r="A2410" s="170">
        <v>45553</v>
      </c>
      <c r="B2410" s="116">
        <v>2848.25</v>
      </c>
      <c r="C2410" s="116">
        <v>2795.2</v>
      </c>
      <c r="D2410" s="116">
        <v>2781.5</v>
      </c>
      <c r="E2410" s="116">
        <v>2790.95</v>
      </c>
      <c r="F2410" s="116">
        <v>2795.2</v>
      </c>
      <c r="G2410">
        <v>4101</v>
      </c>
      <c r="H2410" s="116"/>
      <c r="I2410" s="116"/>
      <c r="L2410" s="170">
        <v>45553</v>
      </c>
      <c r="M2410" s="116">
        <v>2791.3</v>
      </c>
      <c r="N2410" s="116">
        <v>2847.2</v>
      </c>
      <c r="O2410" s="116">
        <v>2778.15</v>
      </c>
      <c r="P2410" s="116">
        <v>2788.05</v>
      </c>
      <c r="Q2410" s="116">
        <v>2791.3</v>
      </c>
      <c r="R2410">
        <v>69877</v>
      </c>
    </row>
    <row r="2411" spans="1:18" x14ac:dyDescent="0.25">
      <c r="A2411" s="170">
        <v>45554</v>
      </c>
      <c r="B2411" s="116">
        <v>2795</v>
      </c>
      <c r="C2411" s="116">
        <v>2698.95</v>
      </c>
      <c r="D2411" s="116">
        <v>2677</v>
      </c>
      <c r="E2411" s="116">
        <v>2795</v>
      </c>
      <c r="F2411" s="116">
        <v>2698.95</v>
      </c>
      <c r="G2411">
        <v>5063</v>
      </c>
      <c r="H2411" s="116"/>
      <c r="I2411" s="116"/>
      <c r="L2411" s="170">
        <v>45554</v>
      </c>
      <c r="M2411" s="116">
        <v>2698.35</v>
      </c>
      <c r="N2411" s="116">
        <v>2799.95</v>
      </c>
      <c r="O2411" s="116">
        <v>2676.25</v>
      </c>
      <c r="P2411" s="116">
        <v>2791.3</v>
      </c>
      <c r="Q2411" s="116">
        <v>2698.35</v>
      </c>
      <c r="R2411">
        <v>76782</v>
      </c>
    </row>
    <row r="2412" spans="1:18" x14ac:dyDescent="0.25">
      <c r="A2412" s="170">
        <v>45555</v>
      </c>
      <c r="B2412" s="116">
        <v>2750</v>
      </c>
      <c r="C2412" s="116">
        <v>2711</v>
      </c>
      <c r="D2412" s="116">
        <v>2700</v>
      </c>
      <c r="E2412" s="116">
        <v>2708.45</v>
      </c>
      <c r="F2412" s="116">
        <v>2711</v>
      </c>
      <c r="G2412">
        <v>3608</v>
      </c>
      <c r="H2412" s="116"/>
      <c r="I2412" s="116"/>
      <c r="L2412" s="170">
        <v>45555</v>
      </c>
      <c r="M2412" s="116">
        <v>2716.6</v>
      </c>
      <c r="N2412" s="116">
        <v>2754</v>
      </c>
      <c r="O2412" s="116">
        <v>2700</v>
      </c>
      <c r="P2412" s="116">
        <v>2700.9</v>
      </c>
      <c r="Q2412" s="116">
        <v>2716.6</v>
      </c>
      <c r="R2412">
        <v>61928</v>
      </c>
    </row>
    <row r="2413" spans="1:18" x14ac:dyDescent="0.25">
      <c r="A2413" s="170">
        <v>45558</v>
      </c>
      <c r="B2413" s="116">
        <v>2732.95</v>
      </c>
      <c r="C2413" s="116">
        <v>2723.95</v>
      </c>
      <c r="D2413" s="116">
        <v>2686.25</v>
      </c>
      <c r="E2413" s="116">
        <v>2732.95</v>
      </c>
      <c r="F2413" s="116">
        <v>2723.95</v>
      </c>
      <c r="G2413">
        <v>1832</v>
      </c>
      <c r="H2413" s="116"/>
      <c r="I2413" s="116"/>
      <c r="L2413" s="170">
        <v>45558</v>
      </c>
      <c r="M2413" s="116">
        <v>2726</v>
      </c>
      <c r="N2413" s="116">
        <v>2735.95</v>
      </c>
      <c r="O2413" s="116">
        <v>2682.15</v>
      </c>
      <c r="P2413" s="116">
        <v>2721</v>
      </c>
      <c r="Q2413" s="116">
        <v>2726</v>
      </c>
      <c r="R2413">
        <v>48436</v>
      </c>
    </row>
    <row r="2414" spans="1:18" x14ac:dyDescent="0.25">
      <c r="A2414" s="170">
        <v>45559</v>
      </c>
      <c r="B2414" s="116">
        <v>2726.75</v>
      </c>
      <c r="C2414" s="116">
        <v>2715.45</v>
      </c>
      <c r="D2414" s="116">
        <v>2693.65</v>
      </c>
      <c r="E2414" s="116">
        <v>2720.8</v>
      </c>
      <c r="F2414" s="116">
        <v>2715.45</v>
      </c>
      <c r="G2414">
        <v>1637</v>
      </c>
      <c r="H2414" s="116"/>
      <c r="I2414" s="116"/>
      <c r="L2414" s="170">
        <v>45559</v>
      </c>
      <c r="M2414" s="116">
        <v>2716.65</v>
      </c>
      <c r="N2414" s="116">
        <v>2730</v>
      </c>
      <c r="O2414" s="116">
        <v>2686.9</v>
      </c>
      <c r="P2414" s="116">
        <v>2726</v>
      </c>
      <c r="Q2414" s="116">
        <v>2716.65</v>
      </c>
      <c r="R2414">
        <v>38640</v>
      </c>
    </row>
    <row r="2415" spans="1:18" x14ac:dyDescent="0.25">
      <c r="A2415" s="170">
        <v>45560</v>
      </c>
      <c r="B2415" s="116">
        <v>2731.8</v>
      </c>
      <c r="C2415" s="116">
        <v>2726.05</v>
      </c>
      <c r="D2415" s="116">
        <v>2697.15</v>
      </c>
      <c r="E2415" s="116">
        <v>2721</v>
      </c>
      <c r="F2415" s="116">
        <v>2726.05</v>
      </c>
      <c r="G2415">
        <v>1318</v>
      </c>
      <c r="H2415" s="116"/>
      <c r="I2415" s="116"/>
      <c r="L2415" s="170">
        <v>45560</v>
      </c>
      <c r="M2415" s="116">
        <v>2725.9</v>
      </c>
      <c r="N2415" s="116">
        <v>2735</v>
      </c>
      <c r="O2415" s="116">
        <v>2695.2</v>
      </c>
      <c r="P2415" s="116">
        <v>2727.9</v>
      </c>
      <c r="Q2415" s="116">
        <v>2725.9</v>
      </c>
      <c r="R2415">
        <v>35874</v>
      </c>
    </row>
    <row r="2416" spans="1:18" x14ac:dyDescent="0.25">
      <c r="A2416" s="170">
        <v>45561</v>
      </c>
      <c r="B2416" s="116">
        <v>2764.05</v>
      </c>
      <c r="C2416" s="116">
        <v>2726.5</v>
      </c>
      <c r="D2416" s="116">
        <v>2700</v>
      </c>
      <c r="E2416" s="116">
        <v>2700</v>
      </c>
      <c r="F2416" s="116">
        <v>2726.5</v>
      </c>
      <c r="G2416">
        <v>2058</v>
      </c>
      <c r="H2416" s="116"/>
      <c r="I2416" s="116"/>
      <c r="L2416" s="170">
        <v>45561</v>
      </c>
      <c r="M2416" s="116">
        <v>2727.25</v>
      </c>
      <c r="N2416" s="116">
        <v>2765.65</v>
      </c>
      <c r="O2416" s="116">
        <v>2711.25</v>
      </c>
      <c r="P2416" s="116">
        <v>2725.9</v>
      </c>
      <c r="Q2416" s="116">
        <v>2727.25</v>
      </c>
      <c r="R2416">
        <v>102778</v>
      </c>
    </row>
    <row r="2417" spans="1:18" x14ac:dyDescent="0.25">
      <c r="A2417" s="170">
        <v>45562</v>
      </c>
      <c r="B2417" s="116">
        <v>2743.95</v>
      </c>
      <c r="C2417" s="116">
        <v>2695.5</v>
      </c>
      <c r="D2417" s="116">
        <v>2687.15</v>
      </c>
      <c r="E2417" s="116">
        <v>2715</v>
      </c>
      <c r="F2417" s="116">
        <v>2695.5</v>
      </c>
      <c r="G2417">
        <v>3318</v>
      </c>
      <c r="H2417" s="116"/>
      <c r="I2417" s="116"/>
      <c r="L2417" s="170">
        <v>45562</v>
      </c>
      <c r="M2417" s="116">
        <v>2697.5</v>
      </c>
      <c r="N2417" s="116">
        <v>2756.15</v>
      </c>
      <c r="O2417" s="116">
        <v>2689.55</v>
      </c>
      <c r="P2417" s="116">
        <v>2727</v>
      </c>
      <c r="Q2417" s="116">
        <v>2697.5</v>
      </c>
      <c r="R2417">
        <v>48018</v>
      </c>
    </row>
    <row r="2418" spans="1:18" x14ac:dyDescent="0.25">
      <c r="A2418" s="170">
        <v>45565</v>
      </c>
      <c r="B2418" s="116">
        <v>2781.35</v>
      </c>
      <c r="C2418" s="116">
        <v>2754.8</v>
      </c>
      <c r="D2418" s="116">
        <v>2706.15</v>
      </c>
      <c r="E2418" s="116">
        <v>2706.15</v>
      </c>
      <c r="F2418" s="116">
        <v>2754.8</v>
      </c>
      <c r="G2418">
        <v>3041</v>
      </c>
      <c r="H2418" s="116"/>
      <c r="I2418" s="116"/>
      <c r="L2418" s="170">
        <v>45565</v>
      </c>
      <c r="M2418" s="116">
        <v>2750.55</v>
      </c>
      <c r="N2418" s="116">
        <v>2782.25</v>
      </c>
      <c r="O2418" s="116">
        <v>2700.05</v>
      </c>
      <c r="P2418" s="116">
        <v>2700.05</v>
      </c>
      <c r="Q2418" s="116">
        <v>2750.55</v>
      </c>
      <c r="R2418">
        <v>113823</v>
      </c>
    </row>
    <row r="2419" spans="1:18" x14ac:dyDescent="0.25">
      <c r="A2419" s="170">
        <v>45566</v>
      </c>
      <c r="B2419" s="116">
        <v>2754.8</v>
      </c>
      <c r="C2419" s="116">
        <v>2738.45</v>
      </c>
      <c r="D2419" s="116">
        <v>2709</v>
      </c>
      <c r="E2419" s="116">
        <v>2754.8</v>
      </c>
      <c r="F2419" s="116">
        <v>2738.45</v>
      </c>
      <c r="G2419">
        <v>4604</v>
      </c>
      <c r="H2419" s="116"/>
      <c r="I2419" s="116"/>
      <c r="L2419" s="170">
        <v>45566</v>
      </c>
      <c r="M2419" s="116">
        <v>2735.35</v>
      </c>
      <c r="N2419" s="116">
        <v>2763</v>
      </c>
      <c r="O2419" s="116">
        <v>2712.05</v>
      </c>
      <c r="P2419" s="116">
        <v>2751</v>
      </c>
      <c r="Q2419" s="116">
        <v>2735.35</v>
      </c>
      <c r="R2419">
        <v>42937</v>
      </c>
    </row>
    <row r="2420" spans="1:18" x14ac:dyDescent="0.25">
      <c r="A2420" s="170">
        <v>45568</v>
      </c>
      <c r="B2420" s="116">
        <v>2748.75</v>
      </c>
      <c r="C2420" s="116">
        <v>2735.65</v>
      </c>
      <c r="D2420" s="116">
        <v>2692.5</v>
      </c>
      <c r="E2420" s="116">
        <v>2713</v>
      </c>
      <c r="F2420" s="116">
        <v>2735.65</v>
      </c>
      <c r="G2420">
        <v>4569</v>
      </c>
      <c r="H2420" s="116"/>
      <c r="I2420" s="116"/>
      <c r="L2420" s="170">
        <v>45568</v>
      </c>
      <c r="M2420" s="116">
        <v>2736.2</v>
      </c>
      <c r="N2420" s="116">
        <v>2751</v>
      </c>
      <c r="O2420" s="116">
        <v>2695</v>
      </c>
      <c r="P2420" s="116">
        <v>2713</v>
      </c>
      <c r="Q2420" s="116">
        <v>2736.2</v>
      </c>
      <c r="R2420">
        <v>44283</v>
      </c>
    </row>
    <row r="2421" spans="1:18" x14ac:dyDescent="0.25">
      <c r="A2421" s="170">
        <v>45569</v>
      </c>
      <c r="B2421" s="116">
        <v>2767.75</v>
      </c>
      <c r="C2421" s="116">
        <v>2747.9</v>
      </c>
      <c r="D2421" s="116">
        <v>2704.85</v>
      </c>
      <c r="E2421" s="116">
        <v>2713</v>
      </c>
      <c r="F2421" s="116">
        <v>2747.9</v>
      </c>
      <c r="G2421">
        <v>2055</v>
      </c>
      <c r="H2421" s="116"/>
      <c r="I2421" s="116"/>
      <c r="L2421" s="170">
        <v>45569</v>
      </c>
      <c r="M2421" s="116">
        <v>2751.35</v>
      </c>
      <c r="N2421" s="116">
        <v>2769</v>
      </c>
      <c r="O2421" s="116">
        <v>2704.45</v>
      </c>
      <c r="P2421" s="116">
        <v>2736.2</v>
      </c>
      <c r="Q2421" s="116">
        <v>2751.35</v>
      </c>
      <c r="R2421">
        <v>39039</v>
      </c>
    </row>
    <row r="2422" spans="1:18" x14ac:dyDescent="0.25">
      <c r="A2422" s="170">
        <v>45572</v>
      </c>
      <c r="B2422" s="116">
        <v>2808.65</v>
      </c>
      <c r="C2422" s="116">
        <v>2612.15</v>
      </c>
      <c r="D2422" s="116">
        <v>2586</v>
      </c>
      <c r="E2422" s="116">
        <v>2750</v>
      </c>
      <c r="F2422" s="116">
        <v>2612.15</v>
      </c>
      <c r="G2422">
        <v>4686</v>
      </c>
      <c r="H2422" s="116"/>
      <c r="I2422" s="116"/>
      <c r="L2422" s="170">
        <v>45572</v>
      </c>
      <c r="M2422" s="116">
        <v>2613.25</v>
      </c>
      <c r="N2422" s="116">
        <v>2814.5</v>
      </c>
      <c r="O2422" s="116">
        <v>2586.0500000000002</v>
      </c>
      <c r="P2422" s="116">
        <v>2751.5</v>
      </c>
      <c r="Q2422" s="116">
        <v>2613.25</v>
      </c>
      <c r="R2422">
        <v>119958</v>
      </c>
    </row>
    <row r="2423" spans="1:18" x14ac:dyDescent="0.25">
      <c r="A2423" s="170">
        <v>45573</v>
      </c>
      <c r="B2423" s="116">
        <v>2728.15</v>
      </c>
      <c r="C2423" s="116">
        <v>2709.2</v>
      </c>
      <c r="D2423" s="116">
        <v>2621.85</v>
      </c>
      <c r="E2423" s="116">
        <v>2647.3</v>
      </c>
      <c r="F2423" s="116">
        <v>2709.2</v>
      </c>
      <c r="G2423">
        <v>1553</v>
      </c>
      <c r="H2423" s="116"/>
      <c r="I2423" s="116"/>
      <c r="L2423" s="170">
        <v>45573</v>
      </c>
      <c r="M2423" s="116">
        <v>2704.7</v>
      </c>
      <c r="N2423" s="116">
        <v>2735</v>
      </c>
      <c r="O2423" s="116">
        <v>2615</v>
      </c>
      <c r="P2423" s="116">
        <v>2639</v>
      </c>
      <c r="Q2423" s="116">
        <v>2704.7</v>
      </c>
      <c r="R2423">
        <v>64385</v>
      </c>
    </row>
    <row r="2424" spans="1:18" x14ac:dyDescent="0.25">
      <c r="A2424" s="170">
        <v>45574</v>
      </c>
      <c r="B2424" s="116">
        <v>2885.5</v>
      </c>
      <c r="C2424" s="116">
        <v>2811.75</v>
      </c>
      <c r="D2424" s="116">
        <v>2721.6</v>
      </c>
      <c r="E2424" s="116">
        <v>2763.4</v>
      </c>
      <c r="F2424" s="116">
        <v>2811.75</v>
      </c>
      <c r="G2424">
        <v>10208</v>
      </c>
      <c r="H2424" s="116"/>
      <c r="I2424" s="116"/>
      <c r="L2424" s="170">
        <v>45574</v>
      </c>
      <c r="M2424" s="116">
        <v>2813.65</v>
      </c>
      <c r="N2424" s="116">
        <v>2884</v>
      </c>
      <c r="O2424" s="116">
        <v>2705.15</v>
      </c>
      <c r="P2424" s="116">
        <v>2705.15</v>
      </c>
      <c r="Q2424" s="116">
        <v>2813.65</v>
      </c>
      <c r="R2424">
        <v>125198</v>
      </c>
    </row>
    <row r="2425" spans="1:18" x14ac:dyDescent="0.25">
      <c r="A2425" s="170">
        <v>45575</v>
      </c>
      <c r="B2425" s="116">
        <v>2887.65</v>
      </c>
      <c r="C2425" s="116">
        <v>2759.6</v>
      </c>
      <c r="D2425" s="116">
        <v>2753</v>
      </c>
      <c r="E2425" s="116">
        <v>2844.05</v>
      </c>
      <c r="F2425" s="116">
        <v>2759.6</v>
      </c>
      <c r="G2425">
        <v>1484</v>
      </c>
      <c r="H2425" s="116"/>
      <c r="I2425" s="116"/>
      <c r="L2425" s="170">
        <v>45575</v>
      </c>
      <c r="M2425" s="116">
        <v>2761.15</v>
      </c>
      <c r="N2425" s="116">
        <v>2889.9</v>
      </c>
      <c r="O2425" s="116">
        <v>2755.7</v>
      </c>
      <c r="P2425" s="116">
        <v>2845.1</v>
      </c>
      <c r="Q2425" s="116">
        <v>2761.15</v>
      </c>
      <c r="R2425">
        <v>60793</v>
      </c>
    </row>
    <row r="2426" spans="1:18" x14ac:dyDescent="0.25">
      <c r="A2426" s="170">
        <v>45576</v>
      </c>
      <c r="B2426" s="116">
        <v>2825.2</v>
      </c>
      <c r="C2426" s="116">
        <v>2782.55</v>
      </c>
      <c r="D2426" s="116">
        <v>2747.9</v>
      </c>
      <c r="E2426" s="116">
        <v>2759.6</v>
      </c>
      <c r="F2426" s="116">
        <v>2782.55</v>
      </c>
      <c r="G2426">
        <v>1502</v>
      </c>
      <c r="H2426" s="116"/>
      <c r="I2426" s="116"/>
      <c r="L2426" s="170">
        <v>45576</v>
      </c>
      <c r="M2426" s="116">
        <v>2783.45</v>
      </c>
      <c r="N2426" s="116">
        <v>2835.3</v>
      </c>
      <c r="O2426" s="116">
        <v>2742.1</v>
      </c>
      <c r="P2426" s="116">
        <v>2764.55</v>
      </c>
      <c r="Q2426" s="116">
        <v>2783.45</v>
      </c>
      <c r="R2426">
        <v>60661</v>
      </c>
    </row>
    <row r="2427" spans="1:18" x14ac:dyDescent="0.25">
      <c r="A2427" s="170">
        <v>45579</v>
      </c>
      <c r="B2427" s="116">
        <v>2807.15</v>
      </c>
      <c r="C2427" s="116">
        <v>2720.7</v>
      </c>
      <c r="D2427" s="116">
        <v>2715.15</v>
      </c>
      <c r="E2427" s="116">
        <v>2762</v>
      </c>
      <c r="F2427" s="116">
        <v>2720.7</v>
      </c>
      <c r="G2427">
        <v>1216</v>
      </c>
      <c r="H2427" s="116"/>
      <c r="I2427" s="116"/>
      <c r="L2427" s="170">
        <v>45579</v>
      </c>
      <c r="M2427" s="116">
        <v>2719.3</v>
      </c>
      <c r="N2427" s="116">
        <v>2812.1</v>
      </c>
      <c r="O2427" s="116">
        <v>2711</v>
      </c>
      <c r="P2427" s="116">
        <v>2788.85</v>
      </c>
      <c r="Q2427" s="116">
        <v>2719.3</v>
      </c>
      <c r="R2427">
        <v>97320</v>
      </c>
    </row>
    <row r="2428" spans="1:18" x14ac:dyDescent="0.25">
      <c r="A2428" s="170">
        <v>45580</v>
      </c>
      <c r="B2428" s="116">
        <v>2757.95</v>
      </c>
      <c r="C2428" s="116">
        <v>2709.15</v>
      </c>
      <c r="D2428" s="116">
        <v>2682.7</v>
      </c>
      <c r="E2428" s="116">
        <v>2734</v>
      </c>
      <c r="F2428" s="116">
        <v>2709.15</v>
      </c>
      <c r="G2428">
        <v>3716</v>
      </c>
      <c r="H2428" s="116"/>
      <c r="I2428" s="116"/>
      <c r="L2428" s="170">
        <v>45580</v>
      </c>
      <c r="M2428" s="116">
        <v>2703</v>
      </c>
      <c r="N2428" s="116">
        <v>2757.5</v>
      </c>
      <c r="O2428" s="116">
        <v>2681.1</v>
      </c>
      <c r="P2428" s="116">
        <v>2719.8</v>
      </c>
      <c r="Q2428" s="116">
        <v>2703</v>
      </c>
      <c r="R2428">
        <v>130241</v>
      </c>
    </row>
    <row r="2429" spans="1:18" x14ac:dyDescent="0.25">
      <c r="A2429" s="170">
        <v>45581</v>
      </c>
      <c r="B2429" s="116">
        <v>2757.15</v>
      </c>
      <c r="C2429" s="116">
        <v>2679.35</v>
      </c>
      <c r="D2429" s="116">
        <v>2644.05</v>
      </c>
      <c r="E2429" s="116">
        <v>2734.7</v>
      </c>
      <c r="F2429" s="116">
        <v>2679.35</v>
      </c>
      <c r="G2429">
        <v>3328</v>
      </c>
      <c r="H2429" s="116"/>
      <c r="I2429" s="116"/>
      <c r="L2429" s="170">
        <v>45581</v>
      </c>
      <c r="M2429" s="116">
        <v>2672.35</v>
      </c>
      <c r="N2429" s="116">
        <v>2757.15</v>
      </c>
      <c r="O2429" s="116">
        <v>2643.05</v>
      </c>
      <c r="P2429" s="116">
        <v>2715</v>
      </c>
      <c r="Q2429" s="116">
        <v>2672.35</v>
      </c>
      <c r="R2429">
        <v>107002</v>
      </c>
    </row>
    <row r="2430" spans="1:18" x14ac:dyDescent="0.25">
      <c r="A2430" s="170">
        <v>45582</v>
      </c>
      <c r="B2430" s="116">
        <v>2754</v>
      </c>
      <c r="C2430" s="116">
        <v>2651.45</v>
      </c>
      <c r="D2430" s="116">
        <v>2645</v>
      </c>
      <c r="E2430" s="116">
        <v>2708.1</v>
      </c>
      <c r="F2430" s="116">
        <v>2651.45</v>
      </c>
      <c r="G2430">
        <v>3324</v>
      </c>
      <c r="H2430" s="116"/>
      <c r="I2430" s="116"/>
      <c r="L2430" s="170">
        <v>45582</v>
      </c>
      <c r="M2430" s="116">
        <v>2651.15</v>
      </c>
      <c r="N2430" s="116">
        <v>2757</v>
      </c>
      <c r="O2430" s="116">
        <v>2642.3</v>
      </c>
      <c r="P2430" s="116">
        <v>2700</v>
      </c>
      <c r="Q2430" s="116">
        <v>2651.15</v>
      </c>
      <c r="R2430">
        <v>104785</v>
      </c>
    </row>
    <row r="2431" spans="1:18" x14ac:dyDescent="0.25">
      <c r="A2431" s="170">
        <v>45583</v>
      </c>
      <c r="B2431" s="116">
        <v>2683.7</v>
      </c>
      <c r="C2431" s="116">
        <v>2665.95</v>
      </c>
      <c r="D2431" s="116">
        <v>2615.25</v>
      </c>
      <c r="E2431" s="116">
        <v>2651.05</v>
      </c>
      <c r="F2431" s="116">
        <v>2665.95</v>
      </c>
      <c r="G2431">
        <v>4772</v>
      </c>
      <c r="H2431" s="116"/>
      <c r="I2431" s="116"/>
      <c r="L2431" s="170">
        <v>45583</v>
      </c>
      <c r="M2431" s="116">
        <v>2659.3</v>
      </c>
      <c r="N2431" s="116">
        <v>2690.45</v>
      </c>
      <c r="O2431" s="116">
        <v>2615.25</v>
      </c>
      <c r="P2431" s="116">
        <v>2659</v>
      </c>
      <c r="Q2431" s="116">
        <v>2659.3</v>
      </c>
      <c r="R2431">
        <v>128125</v>
      </c>
    </row>
    <row r="2432" spans="1:18" x14ac:dyDescent="0.25">
      <c r="A2432" s="170">
        <v>45586</v>
      </c>
      <c r="B2432" s="116">
        <v>2724.85</v>
      </c>
      <c r="C2432" s="116">
        <v>2648.05</v>
      </c>
      <c r="D2432" s="116">
        <v>2630</v>
      </c>
      <c r="E2432" s="116">
        <v>2640.05</v>
      </c>
      <c r="F2432" s="116">
        <v>2648.05</v>
      </c>
      <c r="G2432">
        <v>4179</v>
      </c>
      <c r="H2432" s="116"/>
      <c r="I2432" s="116"/>
      <c r="L2432" s="170">
        <v>45586</v>
      </c>
      <c r="M2432" s="116">
        <v>2643.7</v>
      </c>
      <c r="N2432" s="116">
        <v>2725.25</v>
      </c>
      <c r="O2432" s="116">
        <v>2630.1</v>
      </c>
      <c r="P2432" s="116">
        <v>2679</v>
      </c>
      <c r="Q2432" s="116">
        <v>2643.7</v>
      </c>
      <c r="R2432">
        <v>100002</v>
      </c>
    </row>
    <row r="2433" spans="1:18" x14ac:dyDescent="0.25">
      <c r="A2433" s="170">
        <v>45587</v>
      </c>
      <c r="B2433" s="116">
        <v>2674</v>
      </c>
      <c r="C2433" s="116">
        <v>2581.9</v>
      </c>
      <c r="D2433" s="116">
        <v>2570.15</v>
      </c>
      <c r="E2433" s="116">
        <v>2660</v>
      </c>
      <c r="F2433" s="116">
        <v>2581.9</v>
      </c>
      <c r="G2433">
        <v>5687</v>
      </c>
      <c r="H2433" s="116"/>
      <c r="I2433" s="116"/>
      <c r="L2433" s="170">
        <v>45587</v>
      </c>
      <c r="M2433" s="116">
        <v>2578.75</v>
      </c>
      <c r="N2433" s="116">
        <v>2679.2</v>
      </c>
      <c r="O2433" s="116">
        <v>2570</v>
      </c>
      <c r="P2433" s="116">
        <v>2648.9</v>
      </c>
      <c r="Q2433" s="116">
        <v>2578.75</v>
      </c>
      <c r="R2433">
        <v>118348</v>
      </c>
    </row>
    <row r="2434" spans="1:18" x14ac:dyDescent="0.25">
      <c r="A2434" s="170">
        <v>45588</v>
      </c>
      <c r="B2434" s="116">
        <v>2661.45</v>
      </c>
      <c r="C2434" s="116">
        <v>2630.85</v>
      </c>
      <c r="D2434" s="116">
        <v>2567.75</v>
      </c>
      <c r="E2434" s="116">
        <v>2629.95</v>
      </c>
      <c r="F2434" s="116">
        <v>2630.85</v>
      </c>
      <c r="G2434">
        <v>3618</v>
      </c>
      <c r="H2434" s="116"/>
      <c r="I2434" s="116"/>
      <c r="L2434" s="170">
        <v>45588</v>
      </c>
      <c r="M2434" s="116">
        <v>2630.5</v>
      </c>
      <c r="N2434" s="116">
        <v>2662.5</v>
      </c>
      <c r="O2434" s="116">
        <v>2562.15</v>
      </c>
      <c r="P2434" s="116">
        <v>2578.0500000000002</v>
      </c>
      <c r="Q2434" s="116">
        <v>2630.5</v>
      </c>
      <c r="R2434">
        <v>66957</v>
      </c>
    </row>
    <row r="2435" spans="1:18" x14ac:dyDescent="0.25">
      <c r="A2435" s="170">
        <v>45589</v>
      </c>
      <c r="B2435" s="116">
        <v>2684.5</v>
      </c>
      <c r="C2435" s="116">
        <v>2618.5</v>
      </c>
      <c r="D2435" s="116">
        <v>2605</v>
      </c>
      <c r="E2435" s="116">
        <v>2649.7</v>
      </c>
      <c r="F2435" s="116">
        <v>2618.5</v>
      </c>
      <c r="G2435">
        <v>4384</v>
      </c>
      <c r="H2435" s="116"/>
      <c r="I2435" s="116"/>
      <c r="L2435" s="170">
        <v>45589</v>
      </c>
      <c r="M2435" s="116">
        <v>2618.0500000000002</v>
      </c>
      <c r="N2435" s="116">
        <v>2690</v>
      </c>
      <c r="O2435" s="116">
        <v>2602.65</v>
      </c>
      <c r="P2435" s="116">
        <v>2635.35</v>
      </c>
      <c r="Q2435" s="116">
        <v>2618.0500000000002</v>
      </c>
      <c r="R2435">
        <v>69620</v>
      </c>
    </row>
    <row r="2436" spans="1:18" x14ac:dyDescent="0.25">
      <c r="A2436" s="170">
        <v>45590</v>
      </c>
      <c r="B2436" s="116">
        <v>2700</v>
      </c>
      <c r="C2436" s="116">
        <v>2586.6999999999998</v>
      </c>
      <c r="D2436" s="116">
        <v>2505</v>
      </c>
      <c r="E2436" s="116">
        <v>2668.25</v>
      </c>
      <c r="F2436" s="116">
        <v>2586.6999999999998</v>
      </c>
      <c r="G2436">
        <v>5374</v>
      </c>
      <c r="H2436" s="116"/>
      <c r="I2436" s="116"/>
      <c r="L2436" s="170">
        <v>45590</v>
      </c>
      <c r="M2436" s="116">
        <v>2588.6</v>
      </c>
      <c r="N2436" s="116">
        <v>2709.6</v>
      </c>
      <c r="O2436" s="116">
        <v>2500</v>
      </c>
      <c r="P2436" s="116">
        <v>2638.1</v>
      </c>
      <c r="Q2436" s="116">
        <v>2588.6</v>
      </c>
      <c r="R2436">
        <v>132162</v>
      </c>
    </row>
    <row r="2437" spans="1:18" x14ac:dyDescent="0.25">
      <c r="A2437" s="170">
        <v>45593</v>
      </c>
      <c r="B2437" s="116">
        <v>2668.7</v>
      </c>
      <c r="C2437" s="116">
        <v>2642.35</v>
      </c>
      <c r="D2437" s="116">
        <v>2542.5500000000002</v>
      </c>
      <c r="E2437" s="116">
        <v>2595.9499999999998</v>
      </c>
      <c r="F2437" s="116">
        <v>2642.35</v>
      </c>
      <c r="G2437">
        <v>4350</v>
      </c>
      <c r="H2437" s="116"/>
      <c r="I2437" s="116"/>
      <c r="L2437" s="170">
        <v>45593</v>
      </c>
      <c r="M2437" s="116">
        <v>2644.65</v>
      </c>
      <c r="N2437" s="116">
        <v>2669</v>
      </c>
      <c r="O2437" s="116">
        <v>2536.6999999999998</v>
      </c>
      <c r="P2437" s="116">
        <v>2588.6</v>
      </c>
      <c r="Q2437" s="116">
        <v>2644.65</v>
      </c>
      <c r="R2437">
        <v>101172</v>
      </c>
    </row>
    <row r="2438" spans="1:18" x14ac:dyDescent="0.25">
      <c r="A2438" s="170">
        <v>45594</v>
      </c>
      <c r="B2438" s="116">
        <v>2674.05</v>
      </c>
      <c r="C2438" s="116">
        <v>2629.75</v>
      </c>
      <c r="D2438" s="116">
        <v>2620.9</v>
      </c>
      <c r="E2438" s="116">
        <v>2648.95</v>
      </c>
      <c r="F2438" s="116">
        <v>2629.75</v>
      </c>
      <c r="G2438">
        <v>4546</v>
      </c>
      <c r="H2438" s="116"/>
      <c r="I2438" s="116"/>
      <c r="L2438" s="170">
        <v>45594</v>
      </c>
      <c r="M2438" s="116">
        <v>2629.65</v>
      </c>
      <c r="N2438" s="116">
        <v>2676.55</v>
      </c>
      <c r="O2438" s="116">
        <v>2620</v>
      </c>
      <c r="P2438" s="116">
        <v>2642</v>
      </c>
      <c r="Q2438" s="116">
        <v>2629.65</v>
      </c>
      <c r="R2438">
        <v>77807</v>
      </c>
    </row>
    <row r="2439" spans="1:18" x14ac:dyDescent="0.25">
      <c r="A2439" s="170">
        <v>45595</v>
      </c>
      <c r="B2439" s="116">
        <v>2739.8</v>
      </c>
      <c r="C2439" s="116">
        <v>2677.25</v>
      </c>
      <c r="D2439" s="116">
        <v>2601</v>
      </c>
      <c r="E2439" s="116">
        <v>2719.9</v>
      </c>
      <c r="F2439" s="116">
        <v>2677.25</v>
      </c>
      <c r="G2439">
        <v>5348</v>
      </c>
      <c r="H2439" s="116"/>
      <c r="I2439" s="116"/>
      <c r="L2439" s="170">
        <v>45595</v>
      </c>
      <c r="M2439" s="116">
        <v>2674.25</v>
      </c>
      <c r="N2439" s="116">
        <v>2739</v>
      </c>
      <c r="O2439" s="116">
        <v>2599.6</v>
      </c>
      <c r="P2439" s="116">
        <v>2676</v>
      </c>
      <c r="Q2439" s="116">
        <v>2674.25</v>
      </c>
      <c r="R2439">
        <v>161911</v>
      </c>
    </row>
    <row r="2440" spans="1:18" x14ac:dyDescent="0.25">
      <c r="A2440" s="170">
        <v>45596</v>
      </c>
      <c r="B2440" s="116">
        <v>2760</v>
      </c>
      <c r="C2440" s="116">
        <v>2719.8</v>
      </c>
      <c r="D2440" s="116">
        <v>2678.05</v>
      </c>
      <c r="E2440" s="116">
        <v>2701.3</v>
      </c>
      <c r="F2440" s="116">
        <v>2719.8</v>
      </c>
      <c r="G2440">
        <v>5259</v>
      </c>
      <c r="H2440" s="116"/>
      <c r="I2440" s="116"/>
      <c r="L2440" s="170">
        <v>45596</v>
      </c>
      <c r="M2440" s="116">
        <v>2712.25</v>
      </c>
      <c r="N2440" s="116">
        <v>2763</v>
      </c>
      <c r="O2440" s="116">
        <v>2670</v>
      </c>
      <c r="P2440" s="116">
        <v>2670</v>
      </c>
      <c r="Q2440" s="116">
        <v>2712.25</v>
      </c>
      <c r="R2440">
        <v>124449</v>
      </c>
    </row>
    <row r="2441" spans="1:18" x14ac:dyDescent="0.25">
      <c r="A2441" s="170">
        <v>45597</v>
      </c>
      <c r="B2441" s="116">
        <v>2746.15</v>
      </c>
      <c r="C2441" s="116">
        <v>2729.7</v>
      </c>
      <c r="D2441" s="116">
        <v>2719.85</v>
      </c>
      <c r="E2441" s="116">
        <v>2719.85</v>
      </c>
      <c r="F2441" s="116">
        <v>2729.7</v>
      </c>
      <c r="G2441">
        <v>1062</v>
      </c>
      <c r="H2441" s="116"/>
      <c r="I2441" s="116"/>
      <c r="L2441" s="170">
        <v>45597</v>
      </c>
      <c r="M2441" s="116">
        <v>2733.1</v>
      </c>
      <c r="N2441" s="116">
        <v>2742.95</v>
      </c>
      <c r="O2441" s="116">
        <v>2721.1</v>
      </c>
      <c r="P2441" s="116">
        <v>2729</v>
      </c>
      <c r="Q2441" s="116">
        <v>2733.1</v>
      </c>
      <c r="R2441">
        <v>6923</v>
      </c>
    </row>
    <row r="2442" spans="1:18" x14ac:dyDescent="0.25">
      <c r="A2442" s="170">
        <v>45600</v>
      </c>
      <c r="B2442" s="116">
        <v>2729.7</v>
      </c>
      <c r="C2442" s="116">
        <v>2612.6999999999998</v>
      </c>
      <c r="D2442" s="116">
        <v>2602</v>
      </c>
      <c r="E2442" s="116">
        <v>2729.7</v>
      </c>
      <c r="F2442" s="116">
        <v>2612.6999999999998</v>
      </c>
      <c r="G2442">
        <v>3497</v>
      </c>
      <c r="H2442" s="116"/>
      <c r="I2442" s="116"/>
      <c r="L2442" s="170">
        <v>45600</v>
      </c>
      <c r="M2442" s="116">
        <v>2624.9</v>
      </c>
      <c r="N2442" s="116">
        <v>2733.1</v>
      </c>
      <c r="O2442" s="116">
        <v>2601.1</v>
      </c>
      <c r="P2442" s="116">
        <v>2733.1</v>
      </c>
      <c r="Q2442" s="116">
        <v>2624.9</v>
      </c>
      <c r="R2442">
        <v>143629</v>
      </c>
    </row>
    <row r="2443" spans="1:18" x14ac:dyDescent="0.25">
      <c r="A2443" s="170">
        <v>45601</v>
      </c>
      <c r="B2443" s="116">
        <v>2670</v>
      </c>
      <c r="C2443" s="116">
        <v>2595.9</v>
      </c>
      <c r="D2443" s="116">
        <v>2592.75</v>
      </c>
      <c r="E2443" s="116">
        <v>2670</v>
      </c>
      <c r="F2443" s="116">
        <v>2595.9</v>
      </c>
      <c r="G2443">
        <v>2839</v>
      </c>
      <c r="H2443" s="116"/>
      <c r="I2443" s="116"/>
      <c r="L2443" s="170">
        <v>45601</v>
      </c>
      <c r="M2443" s="116">
        <v>2594.35</v>
      </c>
      <c r="N2443" s="116">
        <v>2658.95</v>
      </c>
      <c r="O2443" s="116">
        <v>2590</v>
      </c>
      <c r="P2443" s="116">
        <v>2637</v>
      </c>
      <c r="Q2443" s="116">
        <v>2594.35</v>
      </c>
      <c r="R2443">
        <v>148156</v>
      </c>
    </row>
    <row r="2444" spans="1:18" x14ac:dyDescent="0.25">
      <c r="A2444" s="170">
        <v>45602</v>
      </c>
      <c r="B2444" s="116">
        <v>2649.95</v>
      </c>
      <c r="C2444" s="116">
        <v>2632.2</v>
      </c>
      <c r="D2444" s="116">
        <v>2593.85</v>
      </c>
      <c r="E2444" s="116">
        <v>2595.9</v>
      </c>
      <c r="F2444" s="116">
        <v>2632.2</v>
      </c>
      <c r="G2444">
        <v>3897</v>
      </c>
      <c r="H2444" s="116"/>
      <c r="I2444" s="116"/>
      <c r="L2444" s="170">
        <v>45602</v>
      </c>
      <c r="M2444" s="116">
        <v>2629.6</v>
      </c>
      <c r="N2444" s="116">
        <v>2648.25</v>
      </c>
      <c r="O2444" s="116">
        <v>2594</v>
      </c>
      <c r="P2444" s="116">
        <v>2601.5500000000002</v>
      </c>
      <c r="Q2444" s="116">
        <v>2629.6</v>
      </c>
      <c r="R2444">
        <v>87403</v>
      </c>
    </row>
    <row r="2445" spans="1:18" x14ac:dyDescent="0.25">
      <c r="A2445" s="170">
        <v>45603</v>
      </c>
      <c r="B2445" s="116">
        <v>2643.75</v>
      </c>
      <c r="C2445" s="116">
        <v>2610.25</v>
      </c>
      <c r="D2445" s="116">
        <v>2586.3000000000002</v>
      </c>
      <c r="E2445" s="116">
        <v>2639.95</v>
      </c>
      <c r="F2445" s="116">
        <v>2610.25</v>
      </c>
      <c r="G2445">
        <v>2135</v>
      </c>
      <c r="H2445" s="116"/>
      <c r="I2445" s="116"/>
      <c r="L2445" s="170">
        <v>45603</v>
      </c>
      <c r="M2445" s="116">
        <v>2611.5</v>
      </c>
      <c r="N2445" s="116">
        <v>2644</v>
      </c>
      <c r="O2445" s="116">
        <v>2585.1</v>
      </c>
      <c r="P2445" s="116">
        <v>2625.85</v>
      </c>
      <c r="Q2445" s="116">
        <v>2611.5</v>
      </c>
      <c r="R2445">
        <v>55699</v>
      </c>
    </row>
    <row r="2446" spans="1:18" x14ac:dyDescent="0.25">
      <c r="A2446" s="170">
        <v>45604</v>
      </c>
      <c r="B2446" s="116">
        <v>2619</v>
      </c>
      <c r="C2446" s="116">
        <v>2555.15</v>
      </c>
      <c r="D2446" s="116">
        <v>2547.1</v>
      </c>
      <c r="E2446" s="116">
        <v>2619</v>
      </c>
      <c r="F2446" s="116">
        <v>2555.15</v>
      </c>
      <c r="G2446">
        <v>2224</v>
      </c>
      <c r="H2446" s="116"/>
      <c r="I2446" s="116"/>
      <c r="L2446" s="170">
        <v>45604</v>
      </c>
      <c r="M2446" s="116">
        <v>2561.15</v>
      </c>
      <c r="N2446" s="116">
        <v>2620</v>
      </c>
      <c r="O2446" s="116">
        <v>2550.5</v>
      </c>
      <c r="P2446" s="116">
        <v>2620</v>
      </c>
      <c r="Q2446" s="116">
        <v>2561.15</v>
      </c>
      <c r="R2446">
        <v>54485</v>
      </c>
    </row>
    <row r="2447" spans="1:18" x14ac:dyDescent="0.25">
      <c r="A2447" s="170">
        <v>45607</v>
      </c>
      <c r="B2447" s="116">
        <v>2612.4</v>
      </c>
      <c r="C2447" s="116">
        <v>2537.5500000000002</v>
      </c>
      <c r="D2447" s="116">
        <v>2511.3000000000002</v>
      </c>
      <c r="E2447" s="116">
        <v>2612.4</v>
      </c>
      <c r="F2447" s="116">
        <v>2537.5500000000002</v>
      </c>
      <c r="G2447">
        <v>10242</v>
      </c>
      <c r="H2447" s="116"/>
      <c r="I2447" s="116"/>
      <c r="L2447" s="170">
        <v>45607</v>
      </c>
      <c r="M2447" s="116">
        <v>2539.3000000000002</v>
      </c>
      <c r="N2447" s="116">
        <v>2575.25</v>
      </c>
      <c r="O2447" s="116">
        <v>2508.65</v>
      </c>
      <c r="P2447" s="116">
        <v>2575.25</v>
      </c>
      <c r="Q2447" s="116">
        <v>2539.3000000000002</v>
      </c>
      <c r="R2447">
        <v>54330</v>
      </c>
    </row>
    <row r="2448" spans="1:18" x14ac:dyDescent="0.25">
      <c r="A2448" s="170">
        <v>45608</v>
      </c>
      <c r="B2448" s="116">
        <v>2588.8000000000002</v>
      </c>
      <c r="C2448" s="116">
        <v>2547</v>
      </c>
      <c r="D2448" s="116">
        <v>2534</v>
      </c>
      <c r="E2448" s="116">
        <v>2540</v>
      </c>
      <c r="F2448" s="116">
        <v>2547</v>
      </c>
      <c r="G2448">
        <v>1912</v>
      </c>
      <c r="H2448" s="116"/>
      <c r="I2448" s="116"/>
      <c r="L2448" s="170">
        <v>45608</v>
      </c>
      <c r="M2448" s="116">
        <v>2547.35</v>
      </c>
      <c r="N2448" s="116">
        <v>2589.9</v>
      </c>
      <c r="O2448" s="116">
        <v>2520.4</v>
      </c>
      <c r="P2448" s="116">
        <v>2545</v>
      </c>
      <c r="Q2448" s="116">
        <v>2547.35</v>
      </c>
      <c r="R2448">
        <v>59505</v>
      </c>
    </row>
    <row r="2449" spans="1:18" x14ac:dyDescent="0.25">
      <c r="A2449" s="170">
        <v>45609</v>
      </c>
      <c r="B2449" s="116">
        <v>2547.35</v>
      </c>
      <c r="C2449" s="116">
        <v>2453.35</v>
      </c>
      <c r="D2449" s="116">
        <v>2443.9499999999998</v>
      </c>
      <c r="E2449" s="116">
        <v>2547.35</v>
      </c>
      <c r="F2449" s="116">
        <v>2453.35</v>
      </c>
      <c r="G2449">
        <v>2197</v>
      </c>
      <c r="H2449" s="116"/>
      <c r="I2449" s="116"/>
      <c r="L2449" s="170">
        <v>45609</v>
      </c>
      <c r="M2449" s="116">
        <v>2452.6999999999998</v>
      </c>
      <c r="N2449" s="116">
        <v>2540.1</v>
      </c>
      <c r="O2449" s="116">
        <v>2439.1</v>
      </c>
      <c r="P2449" s="116">
        <v>2540</v>
      </c>
      <c r="Q2449" s="116">
        <v>2452.6999999999998</v>
      </c>
      <c r="R2449">
        <v>65586</v>
      </c>
    </row>
    <row r="2450" spans="1:18" x14ac:dyDescent="0.25">
      <c r="A2450" s="170">
        <v>45610</v>
      </c>
      <c r="B2450" s="116">
        <v>2486.1999999999998</v>
      </c>
      <c r="C2450" s="116">
        <v>2456.6999999999998</v>
      </c>
      <c r="D2450" s="116">
        <v>2427.9499999999998</v>
      </c>
      <c r="E2450" s="116">
        <v>2470</v>
      </c>
      <c r="F2450" s="116">
        <v>2456.6999999999998</v>
      </c>
      <c r="G2450">
        <v>2612</v>
      </c>
      <c r="H2450" s="116"/>
      <c r="I2450" s="116"/>
      <c r="L2450" s="170">
        <v>45610</v>
      </c>
      <c r="M2450" s="116">
        <v>2457.15</v>
      </c>
      <c r="N2450" s="116">
        <v>2491</v>
      </c>
      <c r="O2450" s="116">
        <v>2425.15</v>
      </c>
      <c r="P2450" s="116">
        <v>2455</v>
      </c>
      <c r="Q2450" s="116">
        <v>2457.15</v>
      </c>
      <c r="R2450">
        <v>78327</v>
      </c>
    </row>
    <row r="2451" spans="1:18" x14ac:dyDescent="0.25">
      <c r="A2451" s="170">
        <v>45614</v>
      </c>
      <c r="B2451" s="116">
        <v>2481.5</v>
      </c>
      <c r="C2451" s="116">
        <v>2412.25</v>
      </c>
      <c r="D2451" s="116">
        <v>2402.0500000000002</v>
      </c>
      <c r="E2451" s="116">
        <v>2460</v>
      </c>
      <c r="F2451" s="116">
        <v>2412.25</v>
      </c>
      <c r="G2451">
        <v>2337</v>
      </c>
      <c r="H2451" s="116"/>
      <c r="I2451" s="116"/>
      <c r="L2451" s="170">
        <v>45614</v>
      </c>
      <c r="M2451" s="116">
        <v>2411.65</v>
      </c>
      <c r="N2451" s="116">
        <v>2485.5</v>
      </c>
      <c r="O2451" s="116">
        <v>2406.4499999999998</v>
      </c>
      <c r="P2451" s="116">
        <v>2465.4499999999998</v>
      </c>
      <c r="Q2451" s="116">
        <v>2411.65</v>
      </c>
      <c r="R2451">
        <v>42354</v>
      </c>
    </row>
    <row r="2452" spans="1:18" x14ac:dyDescent="0.25">
      <c r="A2452" s="170">
        <v>45615</v>
      </c>
      <c r="B2452" s="116">
        <v>2477.9499999999998</v>
      </c>
      <c r="C2452" s="116">
        <v>2436.25</v>
      </c>
      <c r="D2452" s="116">
        <v>2413.25</v>
      </c>
      <c r="E2452" s="116">
        <v>2460.5</v>
      </c>
      <c r="F2452" s="116">
        <v>2436.25</v>
      </c>
      <c r="G2452">
        <v>2311</v>
      </c>
      <c r="H2452" s="116"/>
      <c r="I2452" s="116"/>
      <c r="L2452" s="170">
        <v>45615</v>
      </c>
      <c r="M2452" s="116">
        <v>2438</v>
      </c>
      <c r="N2452" s="116">
        <v>2478.4499999999998</v>
      </c>
      <c r="O2452" s="116">
        <v>2414.0500000000002</v>
      </c>
      <c r="P2452" s="116">
        <v>2415</v>
      </c>
      <c r="Q2452" s="116">
        <v>2438</v>
      </c>
      <c r="R2452">
        <v>69393</v>
      </c>
    </row>
    <row r="2453" spans="1:18" x14ac:dyDescent="0.25">
      <c r="A2453" s="170">
        <v>45617</v>
      </c>
      <c r="B2453" s="116">
        <v>2513.9499999999998</v>
      </c>
      <c r="C2453" s="116">
        <v>2371.1999999999998</v>
      </c>
      <c r="D2453" s="116">
        <v>2365</v>
      </c>
      <c r="E2453" s="116">
        <v>2513.9499999999998</v>
      </c>
      <c r="F2453" s="116">
        <v>2371.1999999999998</v>
      </c>
      <c r="G2453">
        <v>3132</v>
      </c>
      <c r="H2453" s="116"/>
      <c r="I2453" s="116"/>
      <c r="L2453" s="170">
        <v>45617</v>
      </c>
      <c r="M2453" s="116">
        <v>2369.65</v>
      </c>
      <c r="N2453" s="116">
        <v>2449.6</v>
      </c>
      <c r="O2453" s="116">
        <v>2361.1</v>
      </c>
      <c r="P2453" s="116">
        <v>2438</v>
      </c>
      <c r="Q2453" s="116">
        <v>2369.65</v>
      </c>
      <c r="R2453">
        <v>76664</v>
      </c>
    </row>
    <row r="2454" spans="1:18" x14ac:dyDescent="0.25">
      <c r="A2454" s="170">
        <v>45618</v>
      </c>
      <c r="B2454" s="116">
        <v>2440.4499999999998</v>
      </c>
      <c r="C2454" s="116">
        <v>2415.1999999999998</v>
      </c>
      <c r="D2454" s="116">
        <v>2349.65</v>
      </c>
      <c r="E2454" s="116">
        <v>2352.6999999999998</v>
      </c>
      <c r="F2454" s="116">
        <v>2415.1999999999998</v>
      </c>
      <c r="G2454">
        <v>3390</v>
      </c>
      <c r="H2454" s="116"/>
      <c r="I2454" s="116"/>
      <c r="L2454" s="170">
        <v>45618</v>
      </c>
      <c r="M2454" s="116">
        <v>2411.8000000000002</v>
      </c>
      <c r="N2454" s="116">
        <v>2439.9</v>
      </c>
      <c r="O2454" s="116">
        <v>2350</v>
      </c>
      <c r="P2454" s="116">
        <v>2389</v>
      </c>
      <c r="Q2454" s="116">
        <v>2411.8000000000002</v>
      </c>
      <c r="R2454">
        <v>288891</v>
      </c>
    </row>
    <row r="2455" spans="1:18" x14ac:dyDescent="0.25">
      <c r="A2455" s="170">
        <v>45621</v>
      </c>
      <c r="B2455" s="116">
        <v>2484.5</v>
      </c>
      <c r="C2455" s="116">
        <v>2345.9</v>
      </c>
      <c r="D2455" s="116">
        <v>2334</v>
      </c>
      <c r="E2455" s="116">
        <v>2474.8000000000002</v>
      </c>
      <c r="F2455" s="116">
        <v>2345.9</v>
      </c>
      <c r="G2455">
        <v>4408</v>
      </c>
      <c r="H2455" s="116"/>
      <c r="I2455" s="116"/>
      <c r="L2455" s="170">
        <v>45621</v>
      </c>
      <c r="M2455" s="116">
        <v>2341.65</v>
      </c>
      <c r="N2455" s="116">
        <v>2486.85</v>
      </c>
      <c r="O2455" s="116">
        <v>2330</v>
      </c>
      <c r="P2455" s="116">
        <v>2454.9</v>
      </c>
      <c r="Q2455" s="116">
        <v>2341.65</v>
      </c>
      <c r="R2455">
        <v>112152</v>
      </c>
    </row>
    <row r="2456" spans="1:18" x14ac:dyDescent="0.25">
      <c r="A2456" s="170">
        <v>45622</v>
      </c>
      <c r="B2456" s="116">
        <v>2424.25</v>
      </c>
      <c r="C2456" s="116">
        <v>2395.5500000000002</v>
      </c>
      <c r="D2456" s="116">
        <v>2309</v>
      </c>
      <c r="E2456" s="116">
        <v>2369.9499999999998</v>
      </c>
      <c r="F2456" s="116">
        <v>2395.5500000000002</v>
      </c>
      <c r="G2456">
        <v>5588</v>
      </c>
      <c r="H2456" s="116"/>
      <c r="I2456" s="116"/>
      <c r="L2456" s="170">
        <v>45622</v>
      </c>
      <c r="M2456" s="116">
        <v>2393.65</v>
      </c>
      <c r="N2456" s="116">
        <v>2424.9</v>
      </c>
      <c r="O2456" s="116">
        <v>2307</v>
      </c>
      <c r="P2456" s="116">
        <v>2351.1</v>
      </c>
      <c r="Q2456" s="116">
        <v>2393.65</v>
      </c>
      <c r="R2456">
        <v>237622</v>
      </c>
    </row>
    <row r="2457" spans="1:18" x14ac:dyDescent="0.25">
      <c r="A2457" s="170">
        <v>45623</v>
      </c>
      <c r="B2457" s="116">
        <v>2440.9</v>
      </c>
      <c r="C2457" s="116">
        <v>2385.0500000000002</v>
      </c>
      <c r="D2457" s="116">
        <v>2364</v>
      </c>
      <c r="E2457" s="116">
        <v>2440.9</v>
      </c>
      <c r="F2457" s="116">
        <v>2385.0500000000002</v>
      </c>
      <c r="G2457">
        <v>3658</v>
      </c>
      <c r="H2457" s="116"/>
      <c r="I2457" s="116"/>
      <c r="L2457" s="170">
        <v>45623</v>
      </c>
      <c r="M2457" s="116">
        <v>2385.4499999999998</v>
      </c>
      <c r="N2457" s="116">
        <v>2413.4</v>
      </c>
      <c r="O2457" s="116">
        <v>2361.6</v>
      </c>
      <c r="P2457" s="116">
        <v>2393.65</v>
      </c>
      <c r="Q2457" s="116">
        <v>2385.4499999999998</v>
      </c>
      <c r="R2457">
        <v>67862</v>
      </c>
    </row>
    <row r="2458" spans="1:18" x14ac:dyDescent="0.25">
      <c r="A2458" s="170">
        <v>45624</v>
      </c>
      <c r="B2458" s="116">
        <v>2432.0500000000002</v>
      </c>
      <c r="C2458" s="116">
        <v>2411.15</v>
      </c>
      <c r="D2458" s="116">
        <v>2385.0500000000002</v>
      </c>
      <c r="E2458" s="116">
        <v>2410.9499999999998</v>
      </c>
      <c r="F2458" s="116">
        <v>2411.15</v>
      </c>
      <c r="G2458">
        <v>1705</v>
      </c>
      <c r="H2458" s="116"/>
      <c r="I2458" s="116"/>
      <c r="L2458" s="170">
        <v>45624</v>
      </c>
      <c r="M2458" s="116">
        <v>2413.6</v>
      </c>
      <c r="N2458" s="116">
        <v>2435.4</v>
      </c>
      <c r="O2458" s="116">
        <v>2378.65</v>
      </c>
      <c r="P2458" s="116">
        <v>2385.4499999999998</v>
      </c>
      <c r="Q2458" s="116">
        <v>2413.6</v>
      </c>
      <c r="R2458">
        <v>78199</v>
      </c>
    </row>
    <row r="2459" spans="1:18" x14ac:dyDescent="0.25">
      <c r="A2459" s="170">
        <v>45625</v>
      </c>
      <c r="B2459" s="116">
        <v>2455</v>
      </c>
      <c r="C2459" s="116">
        <v>2445.6999999999998</v>
      </c>
      <c r="D2459" s="116">
        <v>2395</v>
      </c>
      <c r="E2459" s="116">
        <v>2430.1</v>
      </c>
      <c r="F2459" s="116">
        <v>2445.6999999999998</v>
      </c>
      <c r="G2459">
        <v>1351</v>
      </c>
      <c r="H2459" s="116"/>
      <c r="I2459" s="116"/>
      <c r="L2459" s="170">
        <v>45625</v>
      </c>
      <c r="M2459" s="116">
        <v>2444.4</v>
      </c>
      <c r="N2459" s="116">
        <v>2454.35</v>
      </c>
      <c r="O2459" s="116">
        <v>2396</v>
      </c>
      <c r="P2459" s="116">
        <v>2413.6</v>
      </c>
      <c r="Q2459" s="116">
        <v>2444.4</v>
      </c>
      <c r="R2459">
        <v>74377</v>
      </c>
    </row>
    <row r="2460" spans="1:18" x14ac:dyDescent="0.25">
      <c r="A2460" s="170">
        <v>45628</v>
      </c>
      <c r="B2460" s="116">
        <v>2451.4</v>
      </c>
      <c r="C2460" s="116">
        <v>2409.25</v>
      </c>
      <c r="D2460" s="116">
        <v>2392.6999999999998</v>
      </c>
      <c r="E2460" s="116">
        <v>2440</v>
      </c>
      <c r="F2460" s="116">
        <v>2409.25</v>
      </c>
      <c r="G2460">
        <v>3705</v>
      </c>
      <c r="H2460" s="116"/>
      <c r="I2460" s="116"/>
      <c r="L2460" s="170">
        <v>45628</v>
      </c>
      <c r="M2460" s="116">
        <v>2406.6999999999998</v>
      </c>
      <c r="N2460" s="116">
        <v>2452.1</v>
      </c>
      <c r="O2460" s="116">
        <v>2390</v>
      </c>
      <c r="P2460" s="116">
        <v>2436</v>
      </c>
      <c r="Q2460" s="116">
        <v>2406.6999999999998</v>
      </c>
      <c r="R2460">
        <v>98357</v>
      </c>
    </row>
    <row r="2461" spans="1:18" x14ac:dyDescent="0.25">
      <c r="A2461" s="170">
        <v>45629</v>
      </c>
      <c r="B2461" s="116">
        <v>2459.9499999999998</v>
      </c>
      <c r="C2461" s="116">
        <v>2422.1</v>
      </c>
      <c r="D2461" s="116">
        <v>2408.4499999999998</v>
      </c>
      <c r="E2461" s="116">
        <v>2409.25</v>
      </c>
      <c r="F2461" s="116">
        <v>2422.1</v>
      </c>
      <c r="G2461">
        <v>3097</v>
      </c>
      <c r="H2461" s="116"/>
      <c r="I2461" s="116"/>
      <c r="L2461" s="170">
        <v>45629</v>
      </c>
      <c r="M2461" s="116">
        <v>2422.15</v>
      </c>
      <c r="N2461" s="116">
        <v>2457.75</v>
      </c>
      <c r="O2461" s="116">
        <v>2401.5500000000002</v>
      </c>
      <c r="P2461" s="116">
        <v>2410</v>
      </c>
      <c r="Q2461" s="116">
        <v>2422.15</v>
      </c>
      <c r="R2461">
        <v>124654</v>
      </c>
    </row>
    <row r="2462" spans="1:18" x14ac:dyDescent="0.25">
      <c r="A2462" s="170">
        <v>45630</v>
      </c>
      <c r="B2462" s="116">
        <v>2453.9499999999998</v>
      </c>
      <c r="C2462" s="116">
        <v>2401.6999999999998</v>
      </c>
      <c r="D2462" s="116">
        <v>2380</v>
      </c>
      <c r="E2462" s="116">
        <v>2453.9499999999998</v>
      </c>
      <c r="F2462" s="116">
        <v>2401.6999999999998</v>
      </c>
      <c r="G2462">
        <v>1425</v>
      </c>
      <c r="H2462" s="116"/>
      <c r="I2462" s="116"/>
      <c r="L2462" s="170">
        <v>45630</v>
      </c>
      <c r="M2462" s="116">
        <v>2401.8000000000002</v>
      </c>
      <c r="N2462" s="116">
        <v>2434.65</v>
      </c>
      <c r="O2462" s="116">
        <v>2380</v>
      </c>
      <c r="P2462" s="116">
        <v>2425</v>
      </c>
      <c r="Q2462" s="116">
        <v>2401.8000000000002</v>
      </c>
      <c r="R2462">
        <v>143220</v>
      </c>
    </row>
    <row r="2463" spans="1:18" x14ac:dyDescent="0.25">
      <c r="A2463" s="170">
        <v>45631</v>
      </c>
      <c r="B2463" s="116">
        <v>2407.75</v>
      </c>
      <c r="C2463" s="116">
        <v>2377.1</v>
      </c>
      <c r="D2463" s="116">
        <v>2361.1</v>
      </c>
      <c r="E2463" s="116">
        <v>2401.6999999999998</v>
      </c>
      <c r="F2463" s="116">
        <v>2377.1</v>
      </c>
      <c r="G2463">
        <v>1154</v>
      </c>
      <c r="H2463" s="116"/>
      <c r="I2463" s="116"/>
      <c r="L2463" s="170">
        <v>45631</v>
      </c>
      <c r="M2463" s="116">
        <v>2381.1999999999998</v>
      </c>
      <c r="N2463" s="116">
        <v>2407.8000000000002</v>
      </c>
      <c r="O2463" s="116">
        <v>2361</v>
      </c>
      <c r="P2463" s="116">
        <v>2402.1</v>
      </c>
      <c r="Q2463" s="116">
        <v>2381.1999999999998</v>
      </c>
      <c r="R2463">
        <v>62744</v>
      </c>
    </row>
    <row r="2464" spans="1:18" x14ac:dyDescent="0.25">
      <c r="A2464" s="170">
        <v>45632</v>
      </c>
      <c r="B2464" s="116">
        <v>2437.9499999999998</v>
      </c>
      <c r="C2464" s="116">
        <v>2346.4</v>
      </c>
      <c r="D2464" s="116">
        <v>2335</v>
      </c>
      <c r="E2464" s="116">
        <v>2437.9499999999998</v>
      </c>
      <c r="F2464" s="116">
        <v>2346.4</v>
      </c>
      <c r="G2464">
        <v>1939</v>
      </c>
      <c r="H2464" s="116"/>
      <c r="I2464" s="116"/>
      <c r="L2464" s="170">
        <v>45632</v>
      </c>
      <c r="M2464" s="116">
        <v>2343.15</v>
      </c>
      <c r="N2464" s="116">
        <v>2399</v>
      </c>
      <c r="O2464" s="116">
        <v>2333</v>
      </c>
      <c r="P2464" s="116">
        <v>2382.1</v>
      </c>
      <c r="Q2464" s="116">
        <v>2343.15</v>
      </c>
      <c r="R2464">
        <v>74344</v>
      </c>
    </row>
    <row r="2465" spans="1:18" x14ac:dyDescent="0.25">
      <c r="A2465" s="170">
        <v>45635</v>
      </c>
      <c r="B2465" s="116">
        <v>2363.15</v>
      </c>
      <c r="C2465" s="116">
        <v>2328.1999999999998</v>
      </c>
      <c r="D2465" s="116">
        <v>2323.1</v>
      </c>
      <c r="E2465" s="116">
        <v>2343</v>
      </c>
      <c r="F2465" s="116">
        <v>2328.1999999999998</v>
      </c>
      <c r="G2465">
        <v>2327</v>
      </c>
      <c r="H2465" s="116"/>
      <c r="I2465" s="116"/>
      <c r="L2465" s="170">
        <v>45635</v>
      </c>
      <c r="M2465" s="116">
        <v>2327.5500000000002</v>
      </c>
      <c r="N2465" s="116">
        <v>2363.75</v>
      </c>
      <c r="O2465" s="116">
        <v>2322.0500000000002</v>
      </c>
      <c r="P2465" s="116">
        <v>2343.15</v>
      </c>
      <c r="Q2465" s="116">
        <v>2327.5500000000002</v>
      </c>
      <c r="R2465">
        <v>60787</v>
      </c>
    </row>
    <row r="2466" spans="1:18" x14ac:dyDescent="0.25">
      <c r="A2466" s="170">
        <v>45636</v>
      </c>
      <c r="B2466" s="116">
        <v>2346.15</v>
      </c>
      <c r="C2466" s="116">
        <v>2328.9499999999998</v>
      </c>
      <c r="D2466" s="116">
        <v>2320</v>
      </c>
      <c r="E2466" s="116">
        <v>2340</v>
      </c>
      <c r="F2466" s="116">
        <v>2328.9499999999998</v>
      </c>
      <c r="G2466">
        <v>3398</v>
      </c>
      <c r="H2466" s="116"/>
      <c r="I2466" s="116"/>
      <c r="L2466" s="170">
        <v>45636</v>
      </c>
      <c r="M2466" s="116">
        <v>2328.5500000000002</v>
      </c>
      <c r="N2466" s="116">
        <v>2346.6</v>
      </c>
      <c r="O2466" s="116">
        <v>2320.5500000000002</v>
      </c>
      <c r="P2466" s="116">
        <v>2336.35</v>
      </c>
      <c r="Q2466" s="116">
        <v>2328.5500000000002</v>
      </c>
      <c r="R2466">
        <v>52943</v>
      </c>
    </row>
    <row r="2467" spans="1:18" x14ac:dyDescent="0.25">
      <c r="A2467" s="170">
        <v>45637</v>
      </c>
      <c r="B2467" s="116">
        <v>2375.1999999999998</v>
      </c>
      <c r="C2467" s="116">
        <v>2345.4499999999998</v>
      </c>
      <c r="D2467" s="116">
        <v>2326.0500000000002</v>
      </c>
      <c r="E2467" s="116">
        <v>2354.9</v>
      </c>
      <c r="F2467" s="116">
        <v>2345.4499999999998</v>
      </c>
      <c r="G2467">
        <v>2635</v>
      </c>
      <c r="H2467" s="116"/>
      <c r="I2467" s="116"/>
      <c r="L2467" s="170">
        <v>45637</v>
      </c>
      <c r="M2467" s="116">
        <v>2346.8000000000002</v>
      </c>
      <c r="N2467" s="116">
        <v>2379.9</v>
      </c>
      <c r="O2467" s="116">
        <v>2325</v>
      </c>
      <c r="P2467" s="116">
        <v>2332</v>
      </c>
      <c r="Q2467" s="116">
        <v>2346.8000000000002</v>
      </c>
      <c r="R2467">
        <v>79255</v>
      </c>
    </row>
    <row r="2468" spans="1:18" x14ac:dyDescent="0.25">
      <c r="A2468" s="170">
        <v>45638</v>
      </c>
      <c r="B2468" s="116">
        <v>2345.5</v>
      </c>
      <c r="C2468" s="116">
        <v>2306.65</v>
      </c>
      <c r="D2468" s="116">
        <v>2296.65</v>
      </c>
      <c r="E2468" s="116">
        <v>2345.5</v>
      </c>
      <c r="F2468" s="116">
        <v>2306.65</v>
      </c>
      <c r="G2468">
        <v>2393</v>
      </c>
      <c r="H2468" s="116"/>
      <c r="I2468" s="116"/>
      <c r="L2468" s="170">
        <v>45638</v>
      </c>
      <c r="M2468" s="116">
        <v>2304.1</v>
      </c>
      <c r="N2468" s="116">
        <v>2356.3000000000002</v>
      </c>
      <c r="O2468" s="116">
        <v>2297</v>
      </c>
      <c r="P2468" s="116">
        <v>2355</v>
      </c>
      <c r="Q2468" s="116">
        <v>2304.1</v>
      </c>
      <c r="R2468">
        <v>72480</v>
      </c>
    </row>
    <row r="2469" spans="1:18" x14ac:dyDescent="0.25">
      <c r="A2469" s="170">
        <v>45639</v>
      </c>
      <c r="B2469" s="116">
        <v>2310</v>
      </c>
      <c r="C2469" s="116">
        <v>2254.4499999999998</v>
      </c>
      <c r="D2469" s="116">
        <v>2250.85</v>
      </c>
      <c r="E2469" s="116">
        <v>2310</v>
      </c>
      <c r="F2469" s="116">
        <v>2254.4499999999998</v>
      </c>
      <c r="G2469">
        <v>3421</v>
      </c>
      <c r="H2469" s="116"/>
      <c r="I2469" s="116"/>
      <c r="L2469" s="170">
        <v>45639</v>
      </c>
      <c r="M2469" s="116">
        <v>2254</v>
      </c>
      <c r="N2469" s="116">
        <v>2313.0500000000002</v>
      </c>
      <c r="O2469" s="116">
        <v>2250.3000000000002</v>
      </c>
      <c r="P2469" s="116">
        <v>2313.0500000000002</v>
      </c>
      <c r="Q2469" s="116">
        <v>2254</v>
      </c>
      <c r="R2469">
        <v>69253</v>
      </c>
    </row>
    <row r="2470" spans="1:18" x14ac:dyDescent="0.25">
      <c r="A2470" s="170">
        <v>45642</v>
      </c>
      <c r="B2470" s="116">
        <v>2285.25</v>
      </c>
      <c r="C2470" s="116">
        <v>2278.9499999999998</v>
      </c>
      <c r="D2470" s="116">
        <v>2229</v>
      </c>
      <c r="E2470" s="116">
        <v>2262.4</v>
      </c>
      <c r="F2470" s="116">
        <v>2278.9499999999998</v>
      </c>
      <c r="G2470">
        <v>8335</v>
      </c>
      <c r="H2470" s="116"/>
      <c r="I2470" s="116"/>
      <c r="L2470" s="170">
        <v>45642</v>
      </c>
      <c r="M2470" s="116">
        <v>2278.6</v>
      </c>
      <c r="N2470" s="116">
        <v>2283.9499999999998</v>
      </c>
      <c r="O2470" s="116">
        <v>2229</v>
      </c>
      <c r="P2470" s="116">
        <v>2255.5500000000002</v>
      </c>
      <c r="Q2470" s="116">
        <v>2278.6</v>
      </c>
      <c r="R2470">
        <v>79430</v>
      </c>
    </row>
    <row r="2471" spans="1:18" x14ac:dyDescent="0.25">
      <c r="A2471" s="170">
        <v>45643</v>
      </c>
      <c r="B2471" s="116">
        <v>2293.1</v>
      </c>
      <c r="C2471" s="116">
        <v>2264.65</v>
      </c>
      <c r="D2471" s="116">
        <v>2253.4499999999998</v>
      </c>
      <c r="E2471" s="116">
        <v>2289.9499999999998</v>
      </c>
      <c r="F2471" s="116">
        <v>2264.65</v>
      </c>
      <c r="G2471">
        <v>4872</v>
      </c>
      <c r="H2471" s="116"/>
      <c r="I2471" s="116"/>
      <c r="L2471" s="170">
        <v>45643</v>
      </c>
      <c r="M2471" s="116">
        <v>2264.9499999999998</v>
      </c>
      <c r="N2471" s="116">
        <v>2298.65</v>
      </c>
      <c r="O2471" s="116">
        <v>2253.4</v>
      </c>
      <c r="P2471" s="116">
        <v>2278.6</v>
      </c>
      <c r="Q2471" s="116">
        <v>2264.9499999999998</v>
      </c>
      <c r="R2471">
        <v>74215</v>
      </c>
    </row>
    <row r="2472" spans="1:18" x14ac:dyDescent="0.25">
      <c r="A2472" s="170">
        <v>45644</v>
      </c>
      <c r="B2472" s="116">
        <v>2340.1999999999998</v>
      </c>
      <c r="C2472" s="116">
        <v>2334.9499999999998</v>
      </c>
      <c r="D2472" s="116">
        <v>2271.65</v>
      </c>
      <c r="E2472" s="116">
        <v>2319.9499999999998</v>
      </c>
      <c r="F2472" s="116">
        <v>2334.9499999999998</v>
      </c>
      <c r="G2472">
        <v>3765</v>
      </c>
      <c r="H2472" s="116"/>
      <c r="I2472" s="116"/>
      <c r="L2472" s="170">
        <v>45644</v>
      </c>
      <c r="M2472" s="116">
        <v>2332.5500000000002</v>
      </c>
      <c r="N2472" s="116">
        <v>2339.5</v>
      </c>
      <c r="O2472" s="116">
        <v>2270.1</v>
      </c>
      <c r="P2472" s="116">
        <v>2285</v>
      </c>
      <c r="Q2472" s="116">
        <v>2332.5500000000002</v>
      </c>
      <c r="R2472">
        <v>100691</v>
      </c>
    </row>
    <row r="2473" spans="1:18" x14ac:dyDescent="0.25">
      <c r="A2473" s="170">
        <v>45645</v>
      </c>
      <c r="B2473" s="116">
        <v>2336.35</v>
      </c>
      <c r="C2473" s="116">
        <v>2325.25</v>
      </c>
      <c r="D2473" s="116">
        <v>2285.35</v>
      </c>
      <c r="E2473" s="116">
        <v>2300</v>
      </c>
      <c r="F2473" s="116">
        <v>2325.25</v>
      </c>
      <c r="G2473">
        <v>3135</v>
      </c>
      <c r="H2473" s="116"/>
      <c r="I2473" s="116"/>
      <c r="L2473" s="170">
        <v>45645</v>
      </c>
      <c r="M2473" s="116">
        <v>2326.3000000000002</v>
      </c>
      <c r="N2473" s="116">
        <v>2337</v>
      </c>
      <c r="O2473" s="116">
        <v>2286.25</v>
      </c>
      <c r="P2473" s="116">
        <v>2315</v>
      </c>
      <c r="Q2473" s="116">
        <v>2326.3000000000002</v>
      </c>
      <c r="R2473">
        <v>79063</v>
      </c>
    </row>
    <row r="2474" spans="1:18" x14ac:dyDescent="0.25">
      <c r="A2474" s="170">
        <v>45646</v>
      </c>
      <c r="B2474" s="116">
        <v>2342.85</v>
      </c>
      <c r="C2474" s="116">
        <v>2284.5</v>
      </c>
      <c r="D2474" s="116">
        <v>2266.6999999999998</v>
      </c>
      <c r="E2474" s="116">
        <v>2342.85</v>
      </c>
      <c r="F2474" s="116">
        <v>2284.5</v>
      </c>
      <c r="G2474">
        <v>2104</v>
      </c>
      <c r="H2474" s="116"/>
      <c r="I2474" s="116"/>
      <c r="L2474" s="170">
        <v>45646</v>
      </c>
      <c r="M2474" s="116">
        <v>2275.9499999999998</v>
      </c>
      <c r="N2474" s="116">
        <v>2326.3000000000002</v>
      </c>
      <c r="O2474" s="116">
        <v>2264</v>
      </c>
      <c r="P2474" s="116">
        <v>2325</v>
      </c>
      <c r="Q2474" s="116">
        <v>2275.9499999999998</v>
      </c>
      <c r="R2474">
        <v>85491</v>
      </c>
    </row>
    <row r="2475" spans="1:18" x14ac:dyDescent="0.25">
      <c r="A2475" s="170">
        <v>45649</v>
      </c>
      <c r="B2475" s="116">
        <v>2291.5500000000002</v>
      </c>
      <c r="C2475" s="116">
        <v>2282.85</v>
      </c>
      <c r="D2475" s="116">
        <v>2227</v>
      </c>
      <c r="E2475" s="116">
        <v>2280</v>
      </c>
      <c r="F2475" s="116">
        <v>2282.85</v>
      </c>
      <c r="G2475">
        <v>1956</v>
      </c>
      <c r="H2475" s="116"/>
      <c r="I2475" s="116"/>
      <c r="L2475" s="170">
        <v>45649</v>
      </c>
      <c r="M2475" s="116">
        <v>2282.75</v>
      </c>
      <c r="N2475" s="116">
        <v>2292.65</v>
      </c>
      <c r="O2475" s="116">
        <v>2225</v>
      </c>
      <c r="P2475" s="116">
        <v>2275.9499999999998</v>
      </c>
      <c r="Q2475" s="116">
        <v>2282.75</v>
      </c>
      <c r="R2475">
        <v>42130</v>
      </c>
    </row>
    <row r="2476" spans="1:18" x14ac:dyDescent="0.25">
      <c r="A2476" s="170">
        <v>45650</v>
      </c>
      <c r="B2476" s="116">
        <v>2285.4499999999998</v>
      </c>
      <c r="C2476" s="116">
        <v>2265.1</v>
      </c>
      <c r="D2476" s="116">
        <v>2244.75</v>
      </c>
      <c r="E2476" s="116">
        <v>2285.4499999999998</v>
      </c>
      <c r="F2476" s="116">
        <v>2265.1</v>
      </c>
      <c r="G2476">
        <v>1994</v>
      </c>
      <c r="H2476" s="116"/>
      <c r="I2476" s="116"/>
      <c r="L2476" s="170">
        <v>45650</v>
      </c>
      <c r="M2476" s="116">
        <v>2264.6</v>
      </c>
      <c r="N2476" s="116">
        <v>2287.9499999999998</v>
      </c>
      <c r="O2476" s="116">
        <v>2243</v>
      </c>
      <c r="P2476" s="116">
        <v>2266</v>
      </c>
      <c r="Q2476" s="116">
        <v>2264.6</v>
      </c>
      <c r="R2476">
        <v>45373</v>
      </c>
    </row>
    <row r="2477" spans="1:18" x14ac:dyDescent="0.25">
      <c r="A2477" s="170">
        <v>45652</v>
      </c>
      <c r="B2477" s="116">
        <v>2298.35</v>
      </c>
      <c r="C2477" s="116">
        <v>2241.8000000000002</v>
      </c>
      <c r="D2477" s="116">
        <v>2220</v>
      </c>
      <c r="E2477" s="116">
        <v>2298.35</v>
      </c>
      <c r="F2477" s="116">
        <v>2241.8000000000002</v>
      </c>
      <c r="G2477">
        <v>1691</v>
      </c>
      <c r="H2477" s="116"/>
      <c r="I2477" s="116"/>
      <c r="L2477" s="170">
        <v>45652</v>
      </c>
      <c r="M2477" s="116">
        <v>2243.1999999999998</v>
      </c>
      <c r="N2477" s="116">
        <v>2274.9499999999998</v>
      </c>
      <c r="O2477" s="116">
        <v>2213.4</v>
      </c>
      <c r="P2477" s="116">
        <v>2264.6</v>
      </c>
      <c r="Q2477" s="116">
        <v>2243.1999999999998</v>
      </c>
      <c r="R2477">
        <v>23712</v>
      </c>
    </row>
    <row r="2478" spans="1:18" x14ac:dyDescent="0.25">
      <c r="A2478" s="170">
        <v>45653</v>
      </c>
      <c r="B2478" s="116">
        <v>2294.9499999999998</v>
      </c>
      <c r="C2478" s="116">
        <v>2271.0500000000002</v>
      </c>
      <c r="D2478" s="116">
        <v>2245</v>
      </c>
      <c r="E2478" s="116">
        <v>2294.9499999999998</v>
      </c>
      <c r="F2478" s="116">
        <v>2271.0500000000002</v>
      </c>
      <c r="G2478">
        <v>1289</v>
      </c>
      <c r="H2478" s="116"/>
      <c r="I2478" s="116"/>
      <c r="L2478" s="170">
        <v>45653</v>
      </c>
      <c r="M2478" s="116">
        <v>2274.4499999999998</v>
      </c>
      <c r="N2478" s="116">
        <v>2284.1999999999998</v>
      </c>
      <c r="O2478" s="116">
        <v>2241</v>
      </c>
      <c r="P2478" s="116">
        <v>2243.1999999999998</v>
      </c>
      <c r="Q2478" s="116">
        <v>2274.4499999999998</v>
      </c>
      <c r="R2478">
        <v>40292</v>
      </c>
    </row>
    <row r="2479" spans="1:18" x14ac:dyDescent="0.25">
      <c r="A2479" s="170">
        <v>45656</v>
      </c>
      <c r="B2479" s="116">
        <v>2274.15</v>
      </c>
      <c r="C2479" s="116">
        <v>2188.4499999999998</v>
      </c>
      <c r="D2479" s="116">
        <v>2165</v>
      </c>
      <c r="E2479" s="116">
        <v>2271</v>
      </c>
      <c r="F2479" s="116">
        <v>2188.4499999999998</v>
      </c>
      <c r="G2479">
        <v>5228</v>
      </c>
      <c r="H2479" s="116"/>
      <c r="I2479" s="116"/>
      <c r="L2479" s="170">
        <v>45656</v>
      </c>
      <c r="M2479" s="116">
        <v>2187.75</v>
      </c>
      <c r="N2479" s="116">
        <v>2280.15</v>
      </c>
      <c r="O2479" s="116">
        <v>2162.75</v>
      </c>
      <c r="P2479" s="116">
        <v>2274.4499999999998</v>
      </c>
      <c r="Q2479" s="116">
        <v>2187.75</v>
      </c>
      <c r="R2479">
        <v>220260</v>
      </c>
    </row>
    <row r="2480" spans="1:18" x14ac:dyDescent="0.25">
      <c r="A2480" s="170">
        <v>45657</v>
      </c>
      <c r="B2480" s="116">
        <v>2266.5500000000002</v>
      </c>
      <c r="C2480" s="116">
        <v>2252</v>
      </c>
      <c r="D2480" s="116">
        <v>2164.0500000000002</v>
      </c>
      <c r="E2480" s="116">
        <v>2188.4499999999998</v>
      </c>
      <c r="F2480" s="116">
        <v>2252</v>
      </c>
      <c r="G2480">
        <v>3767</v>
      </c>
      <c r="H2480" s="116"/>
      <c r="I2480" s="116"/>
      <c r="L2480" s="170">
        <v>45657</v>
      </c>
      <c r="M2480" s="116">
        <v>2251.85</v>
      </c>
      <c r="N2480" s="116">
        <v>2265.4499999999998</v>
      </c>
      <c r="O2480" s="116">
        <v>2158.4</v>
      </c>
      <c r="P2480" s="116">
        <v>2190.1</v>
      </c>
      <c r="Q2480" s="116">
        <v>2251.85</v>
      </c>
      <c r="R2480">
        <v>124472</v>
      </c>
    </row>
    <row r="2481" spans="1:18" x14ac:dyDescent="0.25">
      <c r="A2481" s="170">
        <v>45658</v>
      </c>
      <c r="B2481" s="116">
        <v>2271.1999999999998</v>
      </c>
      <c r="C2481" s="116">
        <v>2234.1999999999998</v>
      </c>
      <c r="D2481" s="116">
        <v>2223</v>
      </c>
      <c r="E2481" s="116">
        <v>2252</v>
      </c>
      <c r="F2481" s="116">
        <v>2234.1999999999998</v>
      </c>
      <c r="G2481">
        <v>976</v>
      </c>
      <c r="H2481" s="116"/>
      <c r="I2481" s="116"/>
      <c r="L2481" s="170">
        <v>45658</v>
      </c>
      <c r="M2481" s="116">
        <v>2232.1</v>
      </c>
      <c r="N2481" s="116">
        <v>2272</v>
      </c>
      <c r="O2481" s="116">
        <v>2222.0500000000002</v>
      </c>
      <c r="P2481" s="116">
        <v>2235</v>
      </c>
      <c r="Q2481" s="116">
        <v>2232.1</v>
      </c>
      <c r="R2481">
        <v>23429</v>
      </c>
    </row>
    <row r="2482" spans="1:18" x14ac:dyDescent="0.25">
      <c r="A2482" s="170">
        <v>45659</v>
      </c>
      <c r="B2482" s="116">
        <v>2255.9499999999998</v>
      </c>
      <c r="C2482" s="116">
        <v>2221.4</v>
      </c>
      <c r="D2482" s="116">
        <v>2209.75</v>
      </c>
      <c r="E2482" s="116">
        <v>2243.6</v>
      </c>
      <c r="F2482" s="116">
        <v>2221.4</v>
      </c>
      <c r="G2482">
        <v>2221</v>
      </c>
      <c r="H2482" s="116"/>
      <c r="I2482" s="116"/>
      <c r="L2482" s="170">
        <v>45659</v>
      </c>
      <c r="M2482" s="116">
        <v>2219.75</v>
      </c>
      <c r="N2482" s="116">
        <v>2258.1</v>
      </c>
      <c r="O2482" s="116">
        <v>2208</v>
      </c>
      <c r="P2482" s="116">
        <v>2250</v>
      </c>
      <c r="Q2482" s="116">
        <v>2219.75</v>
      </c>
      <c r="R2482">
        <v>40952</v>
      </c>
    </row>
    <row r="2483" spans="1:18" x14ac:dyDescent="0.25">
      <c r="A2483" s="170">
        <v>45660</v>
      </c>
      <c r="B2483" s="116">
        <v>2249.0500000000002</v>
      </c>
      <c r="C2483" s="116">
        <v>2240.85</v>
      </c>
      <c r="D2483" s="116">
        <v>2219</v>
      </c>
      <c r="E2483" s="116">
        <v>2221.4</v>
      </c>
      <c r="F2483" s="116">
        <v>2240.85</v>
      </c>
      <c r="G2483">
        <v>2488</v>
      </c>
      <c r="H2483" s="116"/>
      <c r="I2483" s="116"/>
      <c r="L2483" s="170">
        <v>45660</v>
      </c>
      <c r="M2483" s="116">
        <v>2241.0500000000002</v>
      </c>
      <c r="N2483" s="116">
        <v>2249.9499999999998</v>
      </c>
      <c r="O2483" s="116">
        <v>2215.4</v>
      </c>
      <c r="P2483" s="116">
        <v>2221.9499999999998</v>
      </c>
      <c r="Q2483" s="116">
        <v>2241.0500000000002</v>
      </c>
      <c r="R2483">
        <v>53477</v>
      </c>
    </row>
    <row r="2484" spans="1:18" x14ac:dyDescent="0.25">
      <c r="A2484" s="170">
        <v>45663</v>
      </c>
      <c r="B2484" s="116">
        <v>2246.9499999999998</v>
      </c>
      <c r="C2484" s="116">
        <v>2203.1999999999998</v>
      </c>
      <c r="D2484" s="116">
        <v>2181.4</v>
      </c>
      <c r="E2484" s="116">
        <v>2241.65</v>
      </c>
      <c r="F2484" s="116">
        <v>2203.1999999999998</v>
      </c>
      <c r="G2484">
        <v>2574</v>
      </c>
      <c r="H2484" s="116"/>
      <c r="I2484" s="116"/>
      <c r="L2484" s="170">
        <v>45663</v>
      </c>
      <c r="M2484" s="116">
        <v>2201.1</v>
      </c>
      <c r="N2484" s="116">
        <v>2248.9499999999998</v>
      </c>
      <c r="O2484" s="116">
        <v>2179.9499999999998</v>
      </c>
      <c r="P2484" s="116">
        <v>2236</v>
      </c>
      <c r="Q2484" s="116">
        <v>2201.1</v>
      </c>
      <c r="R2484">
        <v>72497</v>
      </c>
    </row>
    <row r="2485" spans="1:18" x14ac:dyDescent="0.25">
      <c r="A2485" s="170">
        <v>45664</v>
      </c>
      <c r="B2485" s="116">
        <v>2244.9499999999998</v>
      </c>
      <c r="C2485" s="116">
        <v>2230.1</v>
      </c>
      <c r="D2485" s="116">
        <v>2190</v>
      </c>
      <c r="E2485" s="116">
        <v>2244.9499999999998</v>
      </c>
      <c r="F2485" s="116">
        <v>2230.1</v>
      </c>
      <c r="G2485">
        <v>2519</v>
      </c>
      <c r="H2485" s="116"/>
      <c r="I2485" s="116"/>
      <c r="L2485" s="170">
        <v>45664</v>
      </c>
      <c r="M2485" s="116">
        <v>2231.1</v>
      </c>
      <c r="N2485" s="116">
        <v>2239.9</v>
      </c>
      <c r="O2485" s="116">
        <v>2188.8000000000002</v>
      </c>
      <c r="P2485" s="116">
        <v>2232</v>
      </c>
      <c r="Q2485" s="116">
        <v>2231.1</v>
      </c>
      <c r="R2485">
        <v>96662</v>
      </c>
    </row>
    <row r="2486" spans="1:18" x14ac:dyDescent="0.25">
      <c r="A2486" s="170">
        <v>45665</v>
      </c>
      <c r="B2486" s="116">
        <v>2242.4499999999998</v>
      </c>
      <c r="C2486" s="116">
        <v>2207.85</v>
      </c>
      <c r="D2486" s="116">
        <v>2184.6</v>
      </c>
      <c r="E2486" s="116">
        <v>2234.9499999999998</v>
      </c>
      <c r="F2486" s="116">
        <v>2207.85</v>
      </c>
      <c r="G2486">
        <v>1289</v>
      </c>
      <c r="H2486" s="116"/>
      <c r="I2486" s="116"/>
      <c r="L2486" s="170">
        <v>45665</v>
      </c>
      <c r="M2486" s="116">
        <v>2208</v>
      </c>
      <c r="N2486" s="116">
        <v>2241.5500000000002</v>
      </c>
      <c r="O2486" s="116">
        <v>2185.1</v>
      </c>
      <c r="P2486" s="116">
        <v>2231.1</v>
      </c>
      <c r="Q2486" s="116">
        <v>2208</v>
      </c>
      <c r="R2486">
        <v>54801</v>
      </c>
    </row>
    <row r="2487" spans="1:18" x14ac:dyDescent="0.25">
      <c r="A2487" s="170">
        <v>45666</v>
      </c>
      <c r="B2487" s="116">
        <v>2228.65</v>
      </c>
      <c r="C2487" s="116">
        <v>2208.75</v>
      </c>
      <c r="D2487" s="116">
        <v>2200</v>
      </c>
      <c r="E2487" s="116">
        <v>2222</v>
      </c>
      <c r="F2487" s="116">
        <v>2208.75</v>
      </c>
      <c r="G2487">
        <v>1304</v>
      </c>
      <c r="H2487" s="116"/>
      <c r="I2487" s="116"/>
      <c r="L2487" s="170">
        <v>45666</v>
      </c>
      <c r="M2487" s="116">
        <v>2208.35</v>
      </c>
      <c r="N2487" s="116">
        <v>2231</v>
      </c>
      <c r="O2487" s="116">
        <v>2201</v>
      </c>
      <c r="P2487" s="116">
        <v>2201</v>
      </c>
      <c r="Q2487" s="116">
        <v>2208.35</v>
      </c>
      <c r="R2487">
        <v>34234</v>
      </c>
    </row>
    <row r="2488" spans="1:18" x14ac:dyDescent="0.25">
      <c r="A2488" s="170">
        <v>45667</v>
      </c>
      <c r="B2488" s="116">
        <v>2207.4</v>
      </c>
      <c r="C2488" s="116">
        <v>2190.0500000000002</v>
      </c>
      <c r="D2488" s="116">
        <v>2145.25</v>
      </c>
      <c r="E2488" s="116">
        <v>2200.5</v>
      </c>
      <c r="F2488" s="116">
        <v>2190.0500000000002</v>
      </c>
      <c r="G2488">
        <v>3059</v>
      </c>
      <c r="H2488" s="116"/>
      <c r="I2488" s="116"/>
      <c r="L2488" s="170">
        <v>45667</v>
      </c>
      <c r="M2488" s="116">
        <v>2190.4</v>
      </c>
      <c r="N2488" s="116">
        <v>2213.9</v>
      </c>
      <c r="O2488" s="116">
        <v>2141.35</v>
      </c>
      <c r="P2488" s="116">
        <v>2208.35</v>
      </c>
      <c r="Q2488" s="116">
        <v>2190.4</v>
      </c>
      <c r="R2488">
        <v>89191</v>
      </c>
    </row>
    <row r="2489" spans="1:18" x14ac:dyDescent="0.25">
      <c r="A2489" s="170">
        <v>45670</v>
      </c>
      <c r="B2489" s="116">
        <v>2164.75</v>
      </c>
      <c r="C2489" s="116">
        <v>2090.1999999999998</v>
      </c>
      <c r="D2489" s="116">
        <v>2080</v>
      </c>
      <c r="E2489" s="116">
        <v>2140.3000000000002</v>
      </c>
      <c r="F2489" s="116">
        <v>2090.1999999999998</v>
      </c>
      <c r="G2489">
        <v>3795</v>
      </c>
      <c r="H2489" s="116"/>
      <c r="I2489" s="116"/>
      <c r="L2489" s="170">
        <v>45670</v>
      </c>
      <c r="M2489" s="116">
        <v>2093.35</v>
      </c>
      <c r="N2489" s="116">
        <v>2165.8000000000002</v>
      </c>
      <c r="O2489" s="116">
        <v>2078.9499999999998</v>
      </c>
      <c r="P2489" s="116">
        <v>2143</v>
      </c>
      <c r="Q2489" s="116">
        <v>2093.35</v>
      </c>
      <c r="R2489">
        <v>83019</v>
      </c>
    </row>
    <row r="2490" spans="1:18" x14ac:dyDescent="0.25">
      <c r="A2490" s="170">
        <v>45671</v>
      </c>
      <c r="B2490" s="116">
        <v>2123.15</v>
      </c>
      <c r="C2490" s="116">
        <v>2077.1999999999998</v>
      </c>
      <c r="D2490" s="116">
        <v>2051.5</v>
      </c>
      <c r="E2490" s="116">
        <v>2051.5</v>
      </c>
      <c r="F2490" s="116">
        <v>2077.1999999999998</v>
      </c>
      <c r="G2490">
        <v>4468</v>
      </c>
      <c r="H2490" s="116"/>
      <c r="I2490" s="116"/>
      <c r="L2490" s="170">
        <v>45671</v>
      </c>
      <c r="M2490" s="116">
        <v>2072.0500000000002</v>
      </c>
      <c r="N2490" s="116">
        <v>2118</v>
      </c>
      <c r="O2490" s="116">
        <v>2051</v>
      </c>
      <c r="P2490" s="116">
        <v>2100.0500000000002</v>
      </c>
      <c r="Q2490" s="116">
        <v>2072.0500000000002</v>
      </c>
      <c r="R2490">
        <v>66252</v>
      </c>
    </row>
    <row r="2491" spans="1:18" x14ac:dyDescent="0.25">
      <c r="A2491" s="170">
        <v>45672</v>
      </c>
      <c r="B2491" s="116">
        <v>2134.9</v>
      </c>
      <c r="C2491" s="116">
        <v>2043.35</v>
      </c>
      <c r="D2491" s="116">
        <v>2016</v>
      </c>
      <c r="E2491" s="116">
        <v>2134.9</v>
      </c>
      <c r="F2491" s="116">
        <v>2043.35</v>
      </c>
      <c r="G2491">
        <v>5796</v>
      </c>
      <c r="H2491" s="116"/>
      <c r="I2491" s="116"/>
      <c r="L2491" s="170">
        <v>45672</v>
      </c>
      <c r="M2491" s="116">
        <v>2042.5</v>
      </c>
      <c r="N2491" s="116">
        <v>2116.4</v>
      </c>
      <c r="O2491" s="116">
        <v>1987</v>
      </c>
      <c r="P2491" s="116">
        <v>2086</v>
      </c>
      <c r="Q2491" s="116">
        <v>2042.5</v>
      </c>
      <c r="R2491">
        <v>113576</v>
      </c>
    </row>
    <row r="2492" spans="1:18" x14ac:dyDescent="0.25">
      <c r="A2492" s="170">
        <v>45673</v>
      </c>
      <c r="B2492" s="116">
        <v>2066.8000000000002</v>
      </c>
      <c r="C2492" s="116">
        <v>2052.85</v>
      </c>
      <c r="D2492" s="116">
        <v>2014.85</v>
      </c>
      <c r="E2492" s="116">
        <v>2055.85</v>
      </c>
      <c r="F2492" s="116">
        <v>2052.85</v>
      </c>
      <c r="G2492">
        <v>3640</v>
      </c>
      <c r="H2492" s="116"/>
      <c r="I2492" s="116"/>
      <c r="L2492" s="170">
        <v>45673</v>
      </c>
      <c r="M2492" s="116">
        <v>2053.0500000000002</v>
      </c>
      <c r="N2492" s="116">
        <v>2069.1999999999998</v>
      </c>
      <c r="O2492" s="116">
        <v>2013.3</v>
      </c>
      <c r="P2492" s="116">
        <v>2052</v>
      </c>
      <c r="Q2492" s="116">
        <v>2053.0500000000002</v>
      </c>
      <c r="R2492">
        <v>60312</v>
      </c>
    </row>
    <row r="2493" spans="1:18" x14ac:dyDescent="0.25">
      <c r="A2493" s="170">
        <v>45674</v>
      </c>
      <c r="B2493" s="116">
        <v>2070</v>
      </c>
      <c r="C2493" s="116">
        <v>2062.3000000000002</v>
      </c>
      <c r="D2493" s="116">
        <v>2012.85</v>
      </c>
      <c r="E2493" s="116">
        <v>2052.85</v>
      </c>
      <c r="F2493" s="116">
        <v>2062.3000000000002</v>
      </c>
      <c r="G2493">
        <v>7786</v>
      </c>
      <c r="H2493" s="116"/>
      <c r="I2493" s="116"/>
      <c r="L2493" s="170">
        <v>45674</v>
      </c>
      <c r="M2493" s="116">
        <v>2063.3000000000002</v>
      </c>
      <c r="N2493" s="116">
        <v>2069.6999999999998</v>
      </c>
      <c r="O2493" s="116">
        <v>2013.85</v>
      </c>
      <c r="P2493" s="116">
        <v>2050</v>
      </c>
      <c r="Q2493" s="116">
        <v>2063.3000000000002</v>
      </c>
      <c r="R2493">
        <v>102985</v>
      </c>
    </row>
    <row r="2494" spans="1:18" x14ac:dyDescent="0.25">
      <c r="A2494" s="170">
        <v>45677</v>
      </c>
      <c r="B2494" s="116">
        <v>2149.6999999999998</v>
      </c>
      <c r="C2494" s="116">
        <v>2136.1999999999998</v>
      </c>
      <c r="D2494" s="116">
        <v>2049.65</v>
      </c>
      <c r="E2494" s="116">
        <v>2063.5500000000002</v>
      </c>
      <c r="F2494" s="116">
        <v>2136.1999999999998</v>
      </c>
      <c r="G2494">
        <v>2040</v>
      </c>
      <c r="H2494" s="116"/>
      <c r="I2494" s="116"/>
      <c r="L2494" s="170">
        <v>45677</v>
      </c>
      <c r="M2494" s="116">
        <v>2135.5</v>
      </c>
      <c r="N2494" s="116">
        <v>2149.5</v>
      </c>
      <c r="O2494" s="116">
        <v>2048</v>
      </c>
      <c r="P2494" s="116">
        <v>2065</v>
      </c>
      <c r="Q2494" s="116">
        <v>2135.5</v>
      </c>
      <c r="R2494">
        <v>111858</v>
      </c>
    </row>
    <row r="2495" spans="1:18" x14ac:dyDescent="0.25">
      <c r="A2495" s="170">
        <v>45678</v>
      </c>
      <c r="B2495" s="116">
        <v>2200.5</v>
      </c>
      <c r="C2495" s="116">
        <v>2142.1</v>
      </c>
      <c r="D2495" s="116">
        <v>2118.8000000000002</v>
      </c>
      <c r="E2495" s="116">
        <v>2122</v>
      </c>
      <c r="F2495" s="116">
        <v>2142.1</v>
      </c>
      <c r="G2495">
        <v>4390</v>
      </c>
      <c r="H2495" s="116"/>
      <c r="I2495" s="116"/>
      <c r="L2495" s="170">
        <v>45678</v>
      </c>
      <c r="M2495" s="116">
        <v>2146</v>
      </c>
      <c r="N2495" s="116">
        <v>2202</v>
      </c>
      <c r="O2495" s="116">
        <v>2110.1</v>
      </c>
      <c r="P2495" s="116">
        <v>2128.3000000000002</v>
      </c>
      <c r="Q2495" s="116">
        <v>2146</v>
      </c>
      <c r="R2495">
        <v>167412</v>
      </c>
    </row>
    <row r="2496" spans="1:18" x14ac:dyDescent="0.25">
      <c r="A2496" s="170">
        <v>45679</v>
      </c>
      <c r="B2496" s="116">
        <v>2199.9499999999998</v>
      </c>
      <c r="C2496" s="116">
        <v>2111.75</v>
      </c>
      <c r="D2496" s="116">
        <v>2090</v>
      </c>
      <c r="E2496" s="116">
        <v>2199.9499999999998</v>
      </c>
      <c r="F2496" s="116">
        <v>2111.75</v>
      </c>
      <c r="G2496">
        <v>2712</v>
      </c>
      <c r="H2496" s="116"/>
      <c r="I2496" s="116"/>
      <c r="L2496" s="170">
        <v>45679</v>
      </c>
      <c r="M2496" s="116">
        <v>2107.85</v>
      </c>
      <c r="N2496" s="116">
        <v>2164.85</v>
      </c>
      <c r="O2496" s="116">
        <v>2089.4</v>
      </c>
      <c r="P2496" s="116">
        <v>2151.35</v>
      </c>
      <c r="Q2496" s="116">
        <v>2107.85</v>
      </c>
      <c r="R2496">
        <v>252676</v>
      </c>
    </row>
    <row r="2497" spans="1:18" x14ac:dyDescent="0.25">
      <c r="A2497" s="170">
        <v>45680</v>
      </c>
      <c r="B2497" s="116">
        <v>2136.65</v>
      </c>
      <c r="C2497" s="116">
        <v>2092.1999999999998</v>
      </c>
      <c r="D2497" s="116">
        <v>2078.5500000000002</v>
      </c>
      <c r="E2497" s="116">
        <v>2100.6999999999998</v>
      </c>
      <c r="F2497" s="116">
        <v>2092.1999999999998</v>
      </c>
      <c r="G2497">
        <v>4666</v>
      </c>
      <c r="H2497" s="116"/>
      <c r="I2497" s="116"/>
      <c r="L2497" s="170">
        <v>45680</v>
      </c>
      <c r="M2497" s="116">
        <v>2087.6</v>
      </c>
      <c r="N2497" s="116">
        <v>2141.4499999999998</v>
      </c>
      <c r="O2497" s="116">
        <v>2080</v>
      </c>
      <c r="P2497" s="116">
        <v>2105</v>
      </c>
      <c r="Q2497" s="116">
        <v>2087.6</v>
      </c>
      <c r="R2497">
        <v>241306</v>
      </c>
    </row>
    <row r="2498" spans="1:18" x14ac:dyDescent="0.25">
      <c r="A2498" s="170">
        <v>45681</v>
      </c>
      <c r="B2498" s="116">
        <v>2110</v>
      </c>
      <c r="C2498" s="116">
        <v>2093.6</v>
      </c>
      <c r="D2498" s="116">
        <v>2038.9</v>
      </c>
      <c r="E2498" s="116">
        <v>2095.85</v>
      </c>
      <c r="F2498" s="116">
        <v>2093.6</v>
      </c>
      <c r="G2498">
        <v>4604</v>
      </c>
      <c r="H2498" s="116"/>
      <c r="I2498" s="116"/>
      <c r="L2498" s="170">
        <v>45681</v>
      </c>
      <c r="M2498" s="116">
        <v>2099.5500000000002</v>
      </c>
      <c r="N2498" s="116">
        <v>2113.3000000000002</v>
      </c>
      <c r="O2498" s="116">
        <v>2039.05</v>
      </c>
      <c r="P2498" s="116">
        <v>2104.5</v>
      </c>
      <c r="Q2498" s="116">
        <v>2099.5500000000002</v>
      </c>
      <c r="R2498">
        <v>141936</v>
      </c>
    </row>
    <row r="2499" spans="1:18" x14ac:dyDescent="0.25">
      <c r="A2499" s="170">
        <v>45684</v>
      </c>
      <c r="B2499" s="116">
        <v>2093</v>
      </c>
      <c r="C2499" s="116">
        <v>2062.9499999999998</v>
      </c>
      <c r="D2499" s="116">
        <v>2031.35</v>
      </c>
      <c r="E2499" s="116">
        <v>2093</v>
      </c>
      <c r="F2499" s="116">
        <v>2062.9499999999998</v>
      </c>
      <c r="G2499">
        <v>2786</v>
      </c>
      <c r="H2499" s="116"/>
      <c r="I2499" s="116"/>
      <c r="L2499" s="170">
        <v>45684</v>
      </c>
      <c r="M2499" s="116">
        <v>2062.3000000000002</v>
      </c>
      <c r="N2499" s="116">
        <v>2094.15</v>
      </c>
      <c r="O2499" s="116">
        <v>2031.5</v>
      </c>
      <c r="P2499" s="116">
        <v>2094.15</v>
      </c>
      <c r="Q2499" s="116">
        <v>2062.3000000000002</v>
      </c>
      <c r="R2499">
        <v>215485</v>
      </c>
    </row>
    <row r="2500" spans="1:18" x14ac:dyDescent="0.25">
      <c r="A2500" s="170">
        <v>45685</v>
      </c>
      <c r="B2500" s="116">
        <v>2075</v>
      </c>
      <c r="C2500" s="116">
        <v>2025.05</v>
      </c>
      <c r="D2500" s="116">
        <v>1982.5</v>
      </c>
      <c r="E2500" s="116">
        <v>2062</v>
      </c>
      <c r="F2500" s="116">
        <v>2025.05</v>
      </c>
      <c r="G2500">
        <v>4233</v>
      </c>
      <c r="H2500" s="116"/>
      <c r="I2500" s="116"/>
      <c r="L2500" s="170">
        <v>45685</v>
      </c>
      <c r="M2500" s="116">
        <v>2023.15</v>
      </c>
      <c r="N2500" s="116">
        <v>2077.4499999999998</v>
      </c>
      <c r="O2500" s="116">
        <v>1981.1</v>
      </c>
      <c r="P2500" s="116">
        <v>2064.85</v>
      </c>
      <c r="Q2500" s="116">
        <v>2023.15</v>
      </c>
      <c r="R2500">
        <v>102336</v>
      </c>
    </row>
    <row r="2501" spans="1:18" x14ac:dyDescent="0.25">
      <c r="A2501" s="170">
        <v>45686</v>
      </c>
      <c r="B2501" s="116">
        <v>2030.75</v>
      </c>
      <c r="C2501" s="116">
        <v>1990.85</v>
      </c>
      <c r="D2501" s="116">
        <v>1972</v>
      </c>
      <c r="E2501" s="116">
        <v>2002</v>
      </c>
      <c r="F2501" s="116">
        <v>1990.85</v>
      </c>
      <c r="G2501">
        <v>5494</v>
      </c>
      <c r="H2501" s="116"/>
      <c r="I2501" s="116"/>
      <c r="L2501" s="170">
        <v>45686</v>
      </c>
      <c r="M2501" s="116">
        <v>1983.95</v>
      </c>
      <c r="N2501" s="116">
        <v>2028.2</v>
      </c>
      <c r="O2501" s="116">
        <v>1969.95</v>
      </c>
      <c r="P2501" s="116">
        <v>2028.2</v>
      </c>
      <c r="Q2501" s="116">
        <v>1983.95</v>
      </c>
      <c r="R2501">
        <v>226380</v>
      </c>
    </row>
    <row r="2502" spans="1:18" x14ac:dyDescent="0.25">
      <c r="A2502" s="170">
        <v>45687</v>
      </c>
      <c r="B2502" s="116">
        <v>2016.95</v>
      </c>
      <c r="C2502" s="116">
        <v>1981.35</v>
      </c>
      <c r="D2502" s="116">
        <v>1974.55</v>
      </c>
      <c r="E2502" s="116">
        <v>2016.95</v>
      </c>
      <c r="F2502" s="116">
        <v>1981.35</v>
      </c>
      <c r="G2502">
        <v>2577</v>
      </c>
      <c r="H2502" s="116"/>
      <c r="I2502" s="116"/>
      <c r="L2502" s="170">
        <v>45687</v>
      </c>
      <c r="M2502" s="116">
        <v>1980.05</v>
      </c>
      <c r="N2502" s="116">
        <v>2009.95</v>
      </c>
      <c r="O2502" s="116">
        <v>1975</v>
      </c>
      <c r="P2502" s="116">
        <v>2003.75</v>
      </c>
      <c r="Q2502" s="116">
        <v>1980.05</v>
      </c>
      <c r="R2502">
        <v>219216</v>
      </c>
    </row>
    <row r="2503" spans="1:18" x14ac:dyDescent="0.25">
      <c r="A2503" s="170">
        <v>45688</v>
      </c>
      <c r="B2503" s="116">
        <v>2016.25</v>
      </c>
      <c r="C2503" s="116">
        <v>1976.25</v>
      </c>
      <c r="D2503" s="116">
        <v>1963</v>
      </c>
      <c r="E2503" s="116">
        <v>2009.7</v>
      </c>
      <c r="F2503" s="116">
        <v>1976.25</v>
      </c>
      <c r="G2503">
        <v>5197</v>
      </c>
      <c r="H2503" s="116"/>
      <c r="I2503" s="116"/>
      <c r="L2503" s="170">
        <v>45688</v>
      </c>
      <c r="M2503" s="116">
        <v>1977.15</v>
      </c>
      <c r="N2503" s="116">
        <v>2013.7</v>
      </c>
      <c r="O2503" s="116">
        <v>1961.55</v>
      </c>
      <c r="P2503" s="116">
        <v>1994.75</v>
      </c>
      <c r="Q2503" s="116">
        <v>1977.15</v>
      </c>
      <c r="R2503">
        <v>265243</v>
      </c>
    </row>
    <row r="2504" spans="1:18" x14ac:dyDescent="0.25">
      <c r="A2504" s="170">
        <v>45689</v>
      </c>
      <c r="B2504" s="116">
        <v>1995.65</v>
      </c>
      <c r="C2504" s="116">
        <v>1956.25</v>
      </c>
      <c r="D2504" s="116">
        <v>1942.55</v>
      </c>
      <c r="E2504" s="116">
        <v>1982</v>
      </c>
      <c r="F2504" s="116">
        <v>1956.25</v>
      </c>
      <c r="G2504">
        <v>4362</v>
      </c>
      <c r="H2504" s="116"/>
      <c r="I2504" s="116"/>
      <c r="L2504" s="170">
        <v>45689</v>
      </c>
      <c r="M2504" s="116">
        <v>1956.2</v>
      </c>
      <c r="N2504" s="116">
        <v>1995.95</v>
      </c>
      <c r="O2504" s="116">
        <v>1940.5</v>
      </c>
      <c r="P2504" s="116">
        <v>1980.3</v>
      </c>
      <c r="Q2504" s="116">
        <v>1956.2</v>
      </c>
      <c r="R2504">
        <v>92788</v>
      </c>
    </row>
    <row r="2505" spans="1:18" x14ac:dyDescent="0.25">
      <c r="A2505" s="170">
        <v>45691</v>
      </c>
      <c r="B2505" s="116">
        <v>1994</v>
      </c>
      <c r="C2505" s="116">
        <v>1983.55</v>
      </c>
      <c r="D2505" s="116">
        <v>1924.3</v>
      </c>
      <c r="E2505" s="116">
        <v>1950</v>
      </c>
      <c r="F2505" s="116">
        <v>1983.55</v>
      </c>
      <c r="G2505">
        <v>3823</v>
      </c>
      <c r="H2505" s="116"/>
      <c r="I2505" s="116"/>
      <c r="L2505" s="170">
        <v>45691</v>
      </c>
      <c r="M2505" s="116">
        <v>1981.45</v>
      </c>
      <c r="N2505" s="116">
        <v>1994.85</v>
      </c>
      <c r="O2505" s="116">
        <v>1921</v>
      </c>
      <c r="P2505" s="116">
        <v>1955.95</v>
      </c>
      <c r="Q2505" s="116">
        <v>1981.45</v>
      </c>
      <c r="R2505">
        <v>109517</v>
      </c>
    </row>
    <row r="2506" spans="1:18" x14ac:dyDescent="0.25">
      <c r="A2506" s="170">
        <v>45692</v>
      </c>
      <c r="B2506" s="116">
        <v>2017.95</v>
      </c>
      <c r="C2506" s="116">
        <v>1960.8</v>
      </c>
      <c r="D2506" s="116">
        <v>1949.85</v>
      </c>
      <c r="E2506" s="116">
        <v>2017.95</v>
      </c>
      <c r="F2506" s="116">
        <v>1960.8</v>
      </c>
      <c r="G2506">
        <v>4101</v>
      </c>
      <c r="H2506" s="116"/>
      <c r="I2506" s="116"/>
      <c r="L2506" s="170">
        <v>45692</v>
      </c>
      <c r="M2506" s="116">
        <v>1960.4</v>
      </c>
      <c r="N2506" s="116">
        <v>2007</v>
      </c>
      <c r="O2506" s="116">
        <v>1950.6</v>
      </c>
      <c r="P2506" s="116">
        <v>1981.45</v>
      </c>
      <c r="Q2506" s="116">
        <v>1960.4</v>
      </c>
      <c r="R2506">
        <v>137504</v>
      </c>
    </row>
    <row r="2507" spans="1:18" x14ac:dyDescent="0.25">
      <c r="A2507" s="170">
        <v>45693</v>
      </c>
      <c r="B2507" s="116">
        <v>2015.8</v>
      </c>
      <c r="C2507" s="116">
        <v>1991.8</v>
      </c>
      <c r="D2507" s="116">
        <v>1965</v>
      </c>
      <c r="E2507" s="116">
        <v>1999.95</v>
      </c>
      <c r="F2507" s="116">
        <v>1991.8</v>
      </c>
      <c r="G2507">
        <v>6046</v>
      </c>
      <c r="H2507" s="116"/>
      <c r="I2507" s="116"/>
      <c r="L2507" s="170">
        <v>45693</v>
      </c>
      <c r="M2507" s="116">
        <v>1999.35</v>
      </c>
      <c r="N2507" s="116">
        <v>2016.85</v>
      </c>
      <c r="O2507" s="116">
        <v>1960</v>
      </c>
      <c r="P2507" s="116">
        <v>1969</v>
      </c>
      <c r="Q2507" s="116">
        <v>1999.35</v>
      </c>
      <c r="R2507">
        <v>1086628</v>
      </c>
    </row>
    <row r="2508" spans="1:18" x14ac:dyDescent="0.25">
      <c r="A2508" s="170">
        <v>45694</v>
      </c>
      <c r="B2508" s="116">
        <v>2359.6</v>
      </c>
      <c r="C2508" s="116">
        <v>2266.25</v>
      </c>
      <c r="D2508" s="116">
        <v>1992.95</v>
      </c>
      <c r="E2508" s="116">
        <v>2029.95</v>
      </c>
      <c r="F2508" s="116">
        <v>2266.25</v>
      </c>
      <c r="G2508">
        <v>50567</v>
      </c>
      <c r="H2508" s="116"/>
      <c r="I2508" s="116"/>
      <c r="L2508" s="170">
        <v>45694</v>
      </c>
      <c r="M2508" s="116">
        <v>2260.65</v>
      </c>
      <c r="N2508" s="116">
        <v>2364</v>
      </c>
      <c r="O2508" s="116">
        <v>1992</v>
      </c>
      <c r="P2508" s="116">
        <v>2000</v>
      </c>
      <c r="Q2508" s="116">
        <v>2260.65</v>
      </c>
      <c r="R2508">
        <v>2465345</v>
      </c>
    </row>
    <row r="2509" spans="1:18" x14ac:dyDescent="0.25">
      <c r="A2509" s="170">
        <v>45695</v>
      </c>
      <c r="B2509" s="116">
        <v>2251</v>
      </c>
      <c r="C2509" s="116">
        <v>2204.4</v>
      </c>
      <c r="D2509" s="116">
        <v>2173.75</v>
      </c>
      <c r="E2509" s="116">
        <v>2200</v>
      </c>
      <c r="F2509" s="116">
        <v>2204.4</v>
      </c>
      <c r="G2509">
        <v>12464</v>
      </c>
      <c r="H2509" s="116"/>
      <c r="I2509" s="116"/>
      <c r="L2509" s="170">
        <v>45695</v>
      </c>
      <c r="M2509" s="116">
        <v>2208.15</v>
      </c>
      <c r="N2509" s="116">
        <v>2249.6999999999998</v>
      </c>
      <c r="O2509" s="116">
        <v>2175.15</v>
      </c>
      <c r="P2509" s="116">
        <v>2202</v>
      </c>
      <c r="Q2509" s="116">
        <v>2208.15</v>
      </c>
      <c r="R2509">
        <v>461990</v>
      </c>
    </row>
    <row r="2510" spans="1:18" x14ac:dyDescent="0.25">
      <c r="A2510" s="170">
        <v>45698</v>
      </c>
      <c r="B2510" s="116">
        <v>2224.9499999999998</v>
      </c>
      <c r="C2510" s="116">
        <v>2141.5500000000002</v>
      </c>
      <c r="D2510" s="116">
        <v>2132.4</v>
      </c>
      <c r="E2510" s="116">
        <v>2224.9499999999998</v>
      </c>
      <c r="F2510" s="116">
        <v>2141.5500000000002</v>
      </c>
      <c r="G2510">
        <v>4092</v>
      </c>
      <c r="H2510" s="116"/>
      <c r="I2510" s="116"/>
      <c r="L2510" s="170">
        <v>45698</v>
      </c>
      <c r="M2510" s="116">
        <v>2141.4</v>
      </c>
      <c r="N2510" s="116">
        <v>2206.4</v>
      </c>
      <c r="O2510" s="116">
        <v>2133</v>
      </c>
      <c r="P2510" s="116">
        <v>2182.1</v>
      </c>
      <c r="Q2510" s="116">
        <v>2141.4</v>
      </c>
      <c r="R2510">
        <v>87373</v>
      </c>
    </row>
    <row r="2511" spans="1:18" x14ac:dyDescent="0.25">
      <c r="A2511" s="170">
        <v>45699</v>
      </c>
      <c r="B2511" s="116">
        <v>2141.1</v>
      </c>
      <c r="C2511" s="116">
        <v>2056.25</v>
      </c>
      <c r="D2511" s="116">
        <v>2038</v>
      </c>
      <c r="E2511" s="116">
        <v>2141.1</v>
      </c>
      <c r="F2511" s="116">
        <v>2056.25</v>
      </c>
      <c r="G2511">
        <v>6436</v>
      </c>
      <c r="H2511" s="116"/>
      <c r="I2511" s="116"/>
      <c r="L2511" s="170">
        <v>45699</v>
      </c>
      <c r="M2511" s="116">
        <v>2058.1999999999998</v>
      </c>
      <c r="N2511" s="116">
        <v>2149.9</v>
      </c>
      <c r="O2511" s="116">
        <v>2035.55</v>
      </c>
      <c r="P2511" s="116">
        <v>2142.85</v>
      </c>
      <c r="Q2511" s="116">
        <v>2058.1999999999998</v>
      </c>
      <c r="R2511">
        <v>94944</v>
      </c>
    </row>
    <row r="2512" spans="1:18" x14ac:dyDescent="0.25">
      <c r="A2512" s="170">
        <v>45700</v>
      </c>
      <c r="B2512" s="116">
        <v>2063.1999999999998</v>
      </c>
      <c r="C2512" s="116">
        <v>2031.5</v>
      </c>
      <c r="D2512" s="116">
        <v>2005.2</v>
      </c>
      <c r="E2512" s="116">
        <v>2056.25</v>
      </c>
      <c r="F2512" s="116">
        <v>2031.5</v>
      </c>
      <c r="G2512">
        <v>6260</v>
      </c>
      <c r="H2512" s="116"/>
      <c r="I2512" s="116"/>
      <c r="L2512" s="170">
        <v>45700</v>
      </c>
      <c r="M2512" s="116">
        <v>2030.55</v>
      </c>
      <c r="N2512" s="116">
        <v>2074.9499999999998</v>
      </c>
      <c r="O2512" s="116">
        <v>2003.6</v>
      </c>
      <c r="P2512" s="116">
        <v>2056.9</v>
      </c>
      <c r="Q2512" s="116">
        <v>2030.55</v>
      </c>
      <c r="R2512">
        <v>120966</v>
      </c>
    </row>
    <row r="2513" spans="1:18" x14ac:dyDescent="0.25">
      <c r="A2513" s="170">
        <v>45701</v>
      </c>
      <c r="B2513" s="116">
        <v>2057.5</v>
      </c>
      <c r="C2513" s="116">
        <v>1995.65</v>
      </c>
      <c r="D2513" s="116">
        <v>1981</v>
      </c>
      <c r="E2513" s="116">
        <v>2001.15</v>
      </c>
      <c r="F2513" s="116">
        <v>1995.65</v>
      </c>
      <c r="G2513">
        <v>4535</v>
      </c>
      <c r="H2513" s="116"/>
      <c r="I2513" s="116"/>
      <c r="L2513" s="170">
        <v>45701</v>
      </c>
      <c r="M2513" s="116">
        <v>1998.8</v>
      </c>
      <c r="N2513" s="116">
        <v>2059.4499999999998</v>
      </c>
      <c r="O2513" s="116">
        <v>1981</v>
      </c>
      <c r="P2513" s="116">
        <v>2030</v>
      </c>
      <c r="Q2513" s="116">
        <v>1998.8</v>
      </c>
      <c r="R2513">
        <v>102542</v>
      </c>
    </row>
    <row r="2514" spans="1:18" x14ac:dyDescent="0.25">
      <c r="A2514" s="170">
        <v>45702</v>
      </c>
      <c r="B2514" s="116">
        <v>2040</v>
      </c>
      <c r="C2514" s="116">
        <v>2017.75</v>
      </c>
      <c r="D2514" s="116">
        <v>1968</v>
      </c>
      <c r="E2514" s="116">
        <v>2014.95</v>
      </c>
      <c r="F2514" s="116">
        <v>2017.75</v>
      </c>
      <c r="G2514">
        <v>5056</v>
      </c>
      <c r="H2514" s="116"/>
      <c r="I2514" s="116"/>
      <c r="L2514" s="170">
        <v>45702</v>
      </c>
      <c r="M2514" s="116">
        <v>2018</v>
      </c>
      <c r="N2514" s="116">
        <v>2048.3000000000002</v>
      </c>
      <c r="O2514" s="116">
        <v>1968</v>
      </c>
      <c r="P2514" s="116">
        <v>2000</v>
      </c>
      <c r="Q2514" s="116">
        <v>2018</v>
      </c>
      <c r="R2514">
        <v>134842</v>
      </c>
    </row>
    <row r="2515" spans="1:18" x14ac:dyDescent="0.25">
      <c r="A2515" s="170">
        <v>45705</v>
      </c>
      <c r="B2515" s="116">
        <v>2421.3000000000002</v>
      </c>
      <c r="C2515" s="116">
        <v>2332.25</v>
      </c>
      <c r="D2515" s="116">
        <v>2088.25</v>
      </c>
      <c r="E2515" s="116">
        <v>2239.9499999999998</v>
      </c>
      <c r="F2515" s="116">
        <v>2332.25</v>
      </c>
      <c r="G2515">
        <v>123066</v>
      </c>
      <c r="H2515" s="116"/>
      <c r="I2515" s="116"/>
      <c r="L2515" s="170">
        <v>45705</v>
      </c>
      <c r="M2515" s="116">
        <v>2340.25</v>
      </c>
      <c r="N2515" s="116">
        <v>2421.6</v>
      </c>
      <c r="O2515" s="116">
        <v>2086.5</v>
      </c>
      <c r="P2515" s="116">
        <v>2199.9499999999998</v>
      </c>
      <c r="Q2515" s="116">
        <v>2340.25</v>
      </c>
      <c r="R2515">
        <v>3108044</v>
      </c>
    </row>
    <row r="2516" spans="1:18" x14ac:dyDescent="0.25">
      <c r="A2516" s="170">
        <v>45706</v>
      </c>
      <c r="B2516" s="116">
        <v>2744.95</v>
      </c>
      <c r="C2516" s="116">
        <v>2529.6999999999998</v>
      </c>
      <c r="D2516" s="116">
        <v>2298.5</v>
      </c>
      <c r="E2516" s="116">
        <v>2340</v>
      </c>
      <c r="F2516" s="116">
        <v>2529.6999999999998</v>
      </c>
      <c r="G2516">
        <v>138874</v>
      </c>
      <c r="H2516" s="116"/>
      <c r="I2516" s="116"/>
      <c r="L2516" s="170">
        <v>45706</v>
      </c>
      <c r="M2516" s="116">
        <v>2536.85</v>
      </c>
      <c r="N2516" s="116">
        <v>2744.95</v>
      </c>
      <c r="O2516" s="116">
        <v>2300</v>
      </c>
      <c r="P2516" s="116">
        <v>2334.0500000000002</v>
      </c>
      <c r="Q2516" s="116">
        <v>2536.85</v>
      </c>
      <c r="R2516">
        <v>4767565</v>
      </c>
    </row>
    <row r="2517" spans="1:18" x14ac:dyDescent="0.25">
      <c r="A2517" s="170">
        <v>45707</v>
      </c>
      <c r="B2517" s="116">
        <v>2554.85</v>
      </c>
      <c r="C2517" s="116">
        <v>2510.1999999999998</v>
      </c>
      <c r="D2517" s="116">
        <v>2440</v>
      </c>
      <c r="E2517" s="116">
        <v>2499.9499999999998</v>
      </c>
      <c r="F2517" s="116">
        <v>2510.1999999999998</v>
      </c>
      <c r="G2517">
        <v>31604</v>
      </c>
      <c r="H2517" s="116"/>
      <c r="I2517" s="116"/>
      <c r="L2517" s="170">
        <v>45707</v>
      </c>
      <c r="M2517" s="116">
        <v>2507.25</v>
      </c>
      <c r="N2517" s="116">
        <v>2560</v>
      </c>
      <c r="O2517" s="116">
        <v>2440.3000000000002</v>
      </c>
      <c r="P2517" s="116">
        <v>2485</v>
      </c>
      <c r="Q2517" s="116">
        <v>2507.25</v>
      </c>
      <c r="R2517">
        <v>998313</v>
      </c>
    </row>
    <row r="2518" spans="1:18" x14ac:dyDescent="0.25">
      <c r="A2518" s="170">
        <v>45708</v>
      </c>
      <c r="B2518" s="116">
        <v>2584.9499999999998</v>
      </c>
      <c r="C2518" s="116">
        <v>2569.4499999999998</v>
      </c>
      <c r="D2518" s="116">
        <v>2462.0500000000002</v>
      </c>
      <c r="E2518" s="116">
        <v>2499.9499999999998</v>
      </c>
      <c r="F2518" s="116">
        <v>2569.4499999999998</v>
      </c>
      <c r="G2518">
        <v>23120</v>
      </c>
      <c r="H2518" s="116"/>
      <c r="I2518" s="116"/>
      <c r="L2518" s="170">
        <v>45708</v>
      </c>
      <c r="M2518" s="116">
        <v>2569.1</v>
      </c>
      <c r="N2518" s="116">
        <v>2584.3000000000002</v>
      </c>
      <c r="O2518" s="116">
        <v>2461</v>
      </c>
      <c r="P2518" s="116">
        <v>2501</v>
      </c>
      <c r="Q2518" s="116">
        <v>2569.1</v>
      </c>
      <c r="R2518">
        <v>592260</v>
      </c>
    </row>
    <row r="2519" spans="1:18" x14ac:dyDescent="0.25">
      <c r="A2519" s="170">
        <v>45709</v>
      </c>
      <c r="B2519" s="116">
        <v>2586</v>
      </c>
      <c r="C2519" s="116">
        <v>2508.8000000000002</v>
      </c>
      <c r="D2519" s="116">
        <v>2487.5500000000002</v>
      </c>
      <c r="E2519" s="116">
        <v>2583.15</v>
      </c>
      <c r="F2519" s="116">
        <v>2508.8000000000002</v>
      </c>
      <c r="G2519">
        <v>10554</v>
      </c>
      <c r="H2519" s="116"/>
      <c r="I2519" s="116"/>
      <c r="L2519" s="170">
        <v>45709</v>
      </c>
      <c r="M2519" s="116">
        <v>2508.6999999999998</v>
      </c>
      <c r="N2519" s="116">
        <v>2590</v>
      </c>
      <c r="O2519" s="116">
        <v>2490</v>
      </c>
      <c r="P2519" s="116">
        <v>2579</v>
      </c>
      <c r="Q2519" s="116">
        <v>2508.6999999999998</v>
      </c>
      <c r="R2519">
        <v>206809</v>
      </c>
    </row>
    <row r="2520" spans="1:18" x14ac:dyDescent="0.25">
      <c r="A2520" s="170">
        <v>45712</v>
      </c>
      <c r="B2520" s="116">
        <v>2673</v>
      </c>
      <c r="C2520" s="116">
        <v>2631.5</v>
      </c>
      <c r="D2520" s="116">
        <v>2446.4</v>
      </c>
      <c r="E2520" s="116">
        <v>2487.1999999999998</v>
      </c>
      <c r="F2520" s="116">
        <v>2631.5</v>
      </c>
      <c r="G2520">
        <v>84079</v>
      </c>
      <c r="H2520" s="116"/>
      <c r="I2520" s="116"/>
      <c r="L2520" s="170">
        <v>45712</v>
      </c>
      <c r="M2520" s="116">
        <v>2638.15</v>
      </c>
      <c r="N2520" s="116">
        <v>2673</v>
      </c>
      <c r="O2520" s="116">
        <v>2446</v>
      </c>
      <c r="P2520" s="116">
        <v>2446</v>
      </c>
      <c r="Q2520" s="116">
        <v>2638.15</v>
      </c>
      <c r="R2520">
        <v>1265790</v>
      </c>
    </row>
    <row r="2521" spans="1:18" x14ac:dyDescent="0.25">
      <c r="A2521" s="170">
        <v>45713</v>
      </c>
      <c r="B2521" s="116">
        <v>2617.4</v>
      </c>
      <c r="C2521" s="116">
        <v>2558.8000000000002</v>
      </c>
      <c r="D2521" s="116">
        <v>2541.8000000000002</v>
      </c>
      <c r="E2521" s="116">
        <v>2598.15</v>
      </c>
      <c r="F2521" s="116">
        <v>2558.8000000000002</v>
      </c>
      <c r="G2521">
        <v>3542</v>
      </c>
      <c r="H2521" s="116"/>
      <c r="I2521" s="116"/>
      <c r="L2521" s="170">
        <v>45713</v>
      </c>
      <c r="M2521" s="116">
        <v>2562</v>
      </c>
      <c r="N2521" s="116">
        <v>2613</v>
      </c>
      <c r="O2521" s="116">
        <v>2540</v>
      </c>
      <c r="P2521" s="116">
        <v>2606</v>
      </c>
      <c r="Q2521" s="116">
        <v>2562</v>
      </c>
      <c r="R2521">
        <v>161274</v>
      </c>
    </row>
    <row r="2522" spans="1:18" x14ac:dyDescent="0.25">
      <c r="A2522" s="170">
        <v>45715</v>
      </c>
      <c r="B2522" s="116">
        <v>2641.95</v>
      </c>
      <c r="C2522" s="116">
        <v>2617.5</v>
      </c>
      <c r="D2522" s="116">
        <v>2558.1</v>
      </c>
      <c r="E2522" s="116">
        <v>2558.85</v>
      </c>
      <c r="F2522" s="116">
        <v>2617.5</v>
      </c>
      <c r="G2522">
        <v>4834</v>
      </c>
      <c r="H2522" s="116"/>
      <c r="I2522" s="116"/>
      <c r="L2522" s="170">
        <v>45715</v>
      </c>
      <c r="M2522" s="116">
        <v>2620.9</v>
      </c>
      <c r="N2522" s="116">
        <v>2644.95</v>
      </c>
      <c r="O2522" s="116">
        <v>2550</v>
      </c>
      <c r="P2522" s="116">
        <v>2562</v>
      </c>
      <c r="Q2522" s="116">
        <v>2620.9</v>
      </c>
      <c r="R2522">
        <v>261659</v>
      </c>
    </row>
    <row r="2523" spans="1:18" x14ac:dyDescent="0.25">
      <c r="A2523" s="170">
        <v>45716</v>
      </c>
      <c r="B2523" s="116">
        <v>2590.0500000000002</v>
      </c>
      <c r="C2523" s="116">
        <v>2474.5500000000002</v>
      </c>
      <c r="D2523" s="116">
        <v>2458</v>
      </c>
      <c r="E2523" s="116">
        <v>2590.0500000000002</v>
      </c>
      <c r="F2523" s="116">
        <v>2474.5500000000002</v>
      </c>
      <c r="G2523">
        <v>5430</v>
      </c>
      <c r="H2523" s="116"/>
      <c r="I2523" s="116"/>
      <c r="L2523" s="170">
        <v>45716</v>
      </c>
      <c r="M2523" s="116">
        <v>2475.35</v>
      </c>
      <c r="N2523" s="116">
        <v>2585.1</v>
      </c>
      <c r="O2523" s="116">
        <v>2455.0500000000002</v>
      </c>
      <c r="P2523" s="116">
        <v>2580</v>
      </c>
      <c r="Q2523" s="116">
        <v>2475.35</v>
      </c>
      <c r="R2523">
        <v>173151</v>
      </c>
    </row>
    <row r="2524" spans="1:18" x14ac:dyDescent="0.25">
      <c r="A2524" s="170">
        <v>45719</v>
      </c>
      <c r="B2524" s="116">
        <v>2535</v>
      </c>
      <c r="C2524" s="116">
        <v>2514.9</v>
      </c>
      <c r="D2524" s="116">
        <v>2397</v>
      </c>
      <c r="E2524" s="116">
        <v>2519.9499999999998</v>
      </c>
      <c r="F2524" s="116">
        <v>2514.9</v>
      </c>
      <c r="G2524">
        <v>2607</v>
      </c>
      <c r="H2524" s="116"/>
      <c r="I2524" s="116"/>
      <c r="L2524" s="170">
        <v>45719</v>
      </c>
      <c r="M2524" s="116">
        <v>2520.1</v>
      </c>
      <c r="N2524" s="116">
        <v>2540.9499999999998</v>
      </c>
      <c r="O2524" s="116">
        <v>2390.0500000000002</v>
      </c>
      <c r="P2524" s="116">
        <v>2485</v>
      </c>
      <c r="Q2524" s="116">
        <v>2520.1</v>
      </c>
      <c r="R2524">
        <v>125530</v>
      </c>
    </row>
    <row r="2525" spans="1:18" x14ac:dyDescent="0.25">
      <c r="A2525" s="170">
        <v>45720</v>
      </c>
      <c r="B2525" s="116">
        <v>2675.9</v>
      </c>
      <c r="C2525" s="116">
        <v>2636.25</v>
      </c>
      <c r="D2525" s="116">
        <v>2493.4</v>
      </c>
      <c r="E2525" s="116">
        <v>2570.5500000000002</v>
      </c>
      <c r="F2525" s="116">
        <v>2636.25</v>
      </c>
      <c r="G2525">
        <v>8743</v>
      </c>
      <c r="H2525" s="116"/>
      <c r="I2525" s="116"/>
      <c r="L2525" s="170">
        <v>45720</v>
      </c>
      <c r="M2525" s="116">
        <v>2647.55</v>
      </c>
      <c r="N2525" s="116">
        <v>2675</v>
      </c>
      <c r="O2525" s="116">
        <v>2482.15</v>
      </c>
      <c r="P2525" s="116">
        <v>2501</v>
      </c>
      <c r="Q2525" s="116">
        <v>2647.55</v>
      </c>
      <c r="R2525">
        <v>287521</v>
      </c>
    </row>
    <row r="2526" spans="1:18" x14ac:dyDescent="0.25">
      <c r="A2526" s="170">
        <v>45721</v>
      </c>
      <c r="B2526" s="116">
        <v>2775</v>
      </c>
      <c r="C2526" s="116">
        <v>2692.15</v>
      </c>
      <c r="D2526" s="116">
        <v>2627.2</v>
      </c>
      <c r="E2526" s="116">
        <v>2659.95</v>
      </c>
      <c r="F2526" s="116">
        <v>2692.15</v>
      </c>
      <c r="G2526">
        <v>17566</v>
      </c>
      <c r="H2526" s="116"/>
      <c r="I2526" s="116"/>
      <c r="L2526" s="170">
        <v>45721</v>
      </c>
      <c r="M2526" s="116">
        <v>2693.3</v>
      </c>
      <c r="N2526" s="116">
        <v>2777</v>
      </c>
      <c r="O2526" s="116">
        <v>2631</v>
      </c>
      <c r="P2526" s="116">
        <v>2660.75</v>
      </c>
      <c r="Q2526" s="116">
        <v>2693.3</v>
      </c>
      <c r="R2526">
        <v>432828</v>
      </c>
    </row>
    <row r="2527" spans="1:18" x14ac:dyDescent="0.25">
      <c r="A2527" s="170">
        <v>45722</v>
      </c>
      <c r="B2527" s="116">
        <v>2770</v>
      </c>
      <c r="C2527" s="116">
        <v>2690.7</v>
      </c>
      <c r="D2527" s="116">
        <v>2678.4</v>
      </c>
      <c r="E2527" s="116">
        <v>2770</v>
      </c>
      <c r="F2527" s="116">
        <v>2690.7</v>
      </c>
      <c r="G2527">
        <v>3716</v>
      </c>
      <c r="H2527" s="116"/>
      <c r="I2527" s="116"/>
      <c r="L2527" s="170">
        <v>45722</v>
      </c>
      <c r="M2527" s="116">
        <v>2690.2</v>
      </c>
      <c r="N2527" s="116">
        <v>2745.9</v>
      </c>
      <c r="O2527" s="116">
        <v>2675.2</v>
      </c>
      <c r="P2527" s="116">
        <v>2689.05</v>
      </c>
      <c r="Q2527" s="116">
        <v>2690.2</v>
      </c>
      <c r="R2527">
        <v>219351</v>
      </c>
    </row>
    <row r="2528" spans="1:18" x14ac:dyDescent="0.25">
      <c r="A2528" s="170">
        <v>45723</v>
      </c>
      <c r="B2528" s="116">
        <v>2780.2</v>
      </c>
      <c r="C2528" s="116">
        <v>2751.5</v>
      </c>
      <c r="D2528" s="116">
        <v>2690.95</v>
      </c>
      <c r="E2528" s="116">
        <v>2699.95</v>
      </c>
      <c r="F2528" s="116">
        <v>2751.5</v>
      </c>
      <c r="G2528">
        <v>5159</v>
      </c>
      <c r="H2528" s="116"/>
      <c r="I2528" s="116"/>
      <c r="L2528" s="170">
        <v>45723</v>
      </c>
      <c r="M2528" s="116">
        <v>2751.6</v>
      </c>
      <c r="N2528" s="116">
        <v>2780</v>
      </c>
      <c r="O2528" s="116">
        <v>2690.2</v>
      </c>
      <c r="P2528" s="116">
        <v>2690.2</v>
      </c>
      <c r="Q2528" s="116">
        <v>2751.6</v>
      </c>
      <c r="R2528">
        <v>202498</v>
      </c>
    </row>
    <row r="2529" spans="1:18" x14ac:dyDescent="0.25">
      <c r="A2529" s="170">
        <v>45726</v>
      </c>
      <c r="B2529" s="116">
        <v>2793.8</v>
      </c>
      <c r="C2529" s="116">
        <v>2662.8</v>
      </c>
      <c r="D2529" s="116">
        <v>2651.6</v>
      </c>
      <c r="E2529" s="116">
        <v>2769.75</v>
      </c>
      <c r="F2529" s="116">
        <v>2662.8</v>
      </c>
      <c r="G2529">
        <v>6149</v>
      </c>
      <c r="H2529" s="116"/>
      <c r="I2529" s="116"/>
      <c r="L2529" s="170">
        <v>45726</v>
      </c>
      <c r="M2529" s="116">
        <v>2660.8</v>
      </c>
      <c r="N2529" s="116">
        <v>2798.2</v>
      </c>
      <c r="O2529" s="116">
        <v>2650.1</v>
      </c>
      <c r="P2529" s="116">
        <v>2748</v>
      </c>
      <c r="Q2529" s="116">
        <v>2660.8</v>
      </c>
      <c r="R2529">
        <v>142096</v>
      </c>
    </row>
    <row r="2530" spans="1:18" x14ac:dyDescent="0.25">
      <c r="A2530" s="170">
        <v>45727</v>
      </c>
      <c r="B2530" s="116">
        <v>2672.2</v>
      </c>
      <c r="C2530" s="116">
        <v>2655.55</v>
      </c>
      <c r="D2530" s="116">
        <v>2604.8000000000002</v>
      </c>
      <c r="E2530" s="116">
        <v>2655.05</v>
      </c>
      <c r="F2530" s="116">
        <v>2655.55</v>
      </c>
      <c r="G2530">
        <v>6628</v>
      </c>
      <c r="H2530" s="116"/>
      <c r="I2530" s="116"/>
      <c r="L2530" s="170">
        <v>45727</v>
      </c>
      <c r="M2530" s="116">
        <v>2656.45</v>
      </c>
      <c r="N2530" s="116">
        <v>2675</v>
      </c>
      <c r="O2530" s="116">
        <v>2605.4499999999998</v>
      </c>
      <c r="P2530" s="116">
        <v>2660</v>
      </c>
      <c r="Q2530" s="116">
        <v>2656.45</v>
      </c>
      <c r="R2530">
        <v>146136</v>
      </c>
    </row>
    <row r="2531" spans="1:18" x14ac:dyDescent="0.25">
      <c r="A2531" s="170">
        <v>45728</v>
      </c>
      <c r="B2531" s="116">
        <v>2743.95</v>
      </c>
      <c r="C2531" s="116">
        <v>2682.35</v>
      </c>
      <c r="D2531" s="116">
        <v>2653.1</v>
      </c>
      <c r="E2531" s="116">
        <v>2670</v>
      </c>
      <c r="F2531" s="116">
        <v>2682.35</v>
      </c>
      <c r="G2531">
        <v>9430</v>
      </c>
      <c r="H2531" s="116"/>
      <c r="I2531" s="116"/>
      <c r="L2531" s="170">
        <v>45728</v>
      </c>
      <c r="M2531" s="116">
        <v>2683.1</v>
      </c>
      <c r="N2531" s="116">
        <v>2744.45</v>
      </c>
      <c r="O2531" s="116">
        <v>2654.75</v>
      </c>
      <c r="P2531" s="116">
        <v>2674.45</v>
      </c>
      <c r="Q2531" s="116">
        <v>2683.1</v>
      </c>
      <c r="R2531">
        <v>228177</v>
      </c>
    </row>
    <row r="2532" spans="1:18" x14ac:dyDescent="0.25">
      <c r="A2532" s="170">
        <v>45729</v>
      </c>
      <c r="B2532" s="116">
        <v>2744.95</v>
      </c>
      <c r="C2532" s="116">
        <v>2657.45</v>
      </c>
      <c r="D2532" s="116">
        <v>2641.8</v>
      </c>
      <c r="E2532" s="116">
        <v>2744.95</v>
      </c>
      <c r="F2532" s="116">
        <v>2657.45</v>
      </c>
      <c r="G2532">
        <v>1691</v>
      </c>
      <c r="H2532" s="116"/>
      <c r="I2532" s="116"/>
      <c r="L2532" s="170">
        <v>45729</v>
      </c>
      <c r="M2532" s="116">
        <v>2657.8</v>
      </c>
      <c r="N2532" s="116">
        <v>2695.1</v>
      </c>
      <c r="O2532" s="116">
        <v>2640.05</v>
      </c>
      <c r="P2532" s="116">
        <v>2690</v>
      </c>
      <c r="Q2532" s="116">
        <v>2657.8</v>
      </c>
      <c r="R2532">
        <v>62016</v>
      </c>
    </row>
    <row r="2533" spans="1:18" x14ac:dyDescent="0.25">
      <c r="A2533" s="170">
        <v>45733</v>
      </c>
      <c r="B2533" s="116">
        <v>2726.5</v>
      </c>
      <c r="C2533" s="116">
        <v>2692.5</v>
      </c>
      <c r="D2533" s="116">
        <v>2651.7</v>
      </c>
      <c r="E2533" s="116">
        <v>2660</v>
      </c>
      <c r="F2533" s="116">
        <v>2692.5</v>
      </c>
      <c r="G2533">
        <v>3757</v>
      </c>
      <c r="H2533" s="116"/>
      <c r="I2533" s="116"/>
      <c r="L2533" s="170">
        <v>45733</v>
      </c>
      <c r="M2533" s="116">
        <v>2693.45</v>
      </c>
      <c r="N2533" s="116">
        <v>2730</v>
      </c>
      <c r="O2533" s="116">
        <v>2650</v>
      </c>
      <c r="P2533" s="116">
        <v>2657.8</v>
      </c>
      <c r="Q2533" s="116">
        <v>2693.45</v>
      </c>
      <c r="R2533">
        <v>100554</v>
      </c>
    </row>
    <row r="2534" spans="1:18" x14ac:dyDescent="0.25">
      <c r="A2534" s="170">
        <v>45734</v>
      </c>
      <c r="B2534" s="116">
        <v>2810</v>
      </c>
      <c r="C2534" s="116">
        <v>2792</v>
      </c>
      <c r="D2534" s="116">
        <v>2685</v>
      </c>
      <c r="E2534" s="116">
        <v>2694.6</v>
      </c>
      <c r="F2534" s="116">
        <v>2792</v>
      </c>
      <c r="G2534">
        <v>5416</v>
      </c>
      <c r="H2534" s="116"/>
      <c r="I2534" s="116"/>
      <c r="L2534" s="170">
        <v>45734</v>
      </c>
      <c r="M2534" s="116">
        <v>2795.15</v>
      </c>
      <c r="N2534" s="116">
        <v>2810.95</v>
      </c>
      <c r="O2534" s="116">
        <v>2677.2</v>
      </c>
      <c r="P2534" s="116">
        <v>2693.45</v>
      </c>
      <c r="Q2534" s="116">
        <v>2795.15</v>
      </c>
      <c r="R2534">
        <v>161525</v>
      </c>
    </row>
    <row r="2535" spans="1:18" x14ac:dyDescent="0.25">
      <c r="A2535" s="170">
        <v>45735</v>
      </c>
      <c r="B2535" s="116">
        <v>2846</v>
      </c>
      <c r="C2535" s="116">
        <v>2835.15</v>
      </c>
      <c r="D2535" s="116">
        <v>2771.15</v>
      </c>
      <c r="E2535" s="116">
        <v>2795.15</v>
      </c>
      <c r="F2535" s="116">
        <v>2835.15</v>
      </c>
      <c r="G2535">
        <v>3748</v>
      </c>
      <c r="H2535" s="116"/>
      <c r="I2535" s="116"/>
      <c r="L2535" s="170">
        <v>45735</v>
      </c>
      <c r="M2535" s="116">
        <v>2838.3</v>
      </c>
      <c r="N2535" s="116">
        <v>2845</v>
      </c>
      <c r="O2535" s="116">
        <v>2767.8</v>
      </c>
      <c r="P2535" s="116">
        <v>2799.95</v>
      </c>
      <c r="Q2535" s="116">
        <v>2838.3</v>
      </c>
      <c r="R2535">
        <v>127582</v>
      </c>
    </row>
    <row r="2536" spans="1:18" x14ac:dyDescent="0.25">
      <c r="A2536" s="170">
        <v>45736</v>
      </c>
      <c r="B2536" s="116">
        <v>2922.8</v>
      </c>
      <c r="C2536" s="116">
        <v>2860.75</v>
      </c>
      <c r="D2536" s="116">
        <v>2830.15</v>
      </c>
      <c r="E2536" s="116">
        <v>2849.95</v>
      </c>
      <c r="F2536" s="116">
        <v>2860.75</v>
      </c>
      <c r="G2536">
        <v>5764</v>
      </c>
      <c r="H2536" s="116"/>
      <c r="I2536" s="116"/>
      <c r="L2536" s="170">
        <v>45736</v>
      </c>
      <c r="M2536" s="116">
        <v>2860.5</v>
      </c>
      <c r="N2536" s="116">
        <v>2921.2</v>
      </c>
      <c r="O2536" s="116">
        <v>2832.05</v>
      </c>
      <c r="P2536" s="116">
        <v>2850</v>
      </c>
      <c r="Q2536" s="116">
        <v>2860.5</v>
      </c>
      <c r="R2536">
        <v>143779</v>
      </c>
    </row>
    <row r="2537" spans="1:18" x14ac:dyDescent="0.25">
      <c r="A2537" s="170">
        <v>45737</v>
      </c>
      <c r="B2537" s="116">
        <v>2971.65</v>
      </c>
      <c r="C2537" s="116">
        <v>2943.6</v>
      </c>
      <c r="D2537" s="116">
        <v>2832.85</v>
      </c>
      <c r="E2537" s="116">
        <v>2855.4</v>
      </c>
      <c r="F2537" s="116">
        <v>2943.6</v>
      </c>
      <c r="G2537">
        <v>9432</v>
      </c>
      <c r="H2537" s="116"/>
      <c r="I2537" s="116"/>
      <c r="L2537" s="170">
        <v>45737</v>
      </c>
      <c r="M2537" s="116">
        <v>2935.65</v>
      </c>
      <c r="N2537" s="116">
        <v>2968.9</v>
      </c>
      <c r="O2537" s="116">
        <v>2839.35</v>
      </c>
      <c r="P2537" s="116">
        <v>2861</v>
      </c>
      <c r="Q2537" s="116">
        <v>2935.65</v>
      </c>
      <c r="R2537">
        <v>178487</v>
      </c>
    </row>
    <row r="2538" spans="1:18" x14ac:dyDescent="0.25">
      <c r="A2538" s="170">
        <v>45740</v>
      </c>
      <c r="B2538" s="116">
        <v>2975</v>
      </c>
      <c r="C2538" s="116">
        <v>2882.9</v>
      </c>
      <c r="D2538" s="116">
        <v>2859.35</v>
      </c>
      <c r="E2538" s="116">
        <v>2943.65</v>
      </c>
      <c r="F2538" s="116">
        <v>2882.9</v>
      </c>
      <c r="G2538">
        <v>5731</v>
      </c>
      <c r="H2538" s="116"/>
      <c r="I2538" s="116"/>
      <c r="L2538" s="170">
        <v>45740</v>
      </c>
      <c r="M2538" s="116">
        <v>2882.95</v>
      </c>
      <c r="N2538" s="116">
        <v>2988</v>
      </c>
      <c r="O2538" s="116">
        <v>2860.8</v>
      </c>
      <c r="P2538" s="116">
        <v>2959</v>
      </c>
      <c r="Q2538" s="116">
        <v>2882.95</v>
      </c>
      <c r="R2538">
        <v>66538</v>
      </c>
    </row>
    <row r="2539" spans="1:18" x14ac:dyDescent="0.25">
      <c r="A2539" s="170">
        <v>45741</v>
      </c>
      <c r="B2539" s="116">
        <v>2883</v>
      </c>
      <c r="C2539" s="116">
        <v>2834.7</v>
      </c>
      <c r="D2539" s="116">
        <v>2793.55</v>
      </c>
      <c r="E2539" s="116">
        <v>2852</v>
      </c>
      <c r="F2539" s="116">
        <v>2834.7</v>
      </c>
      <c r="G2539">
        <v>2015</v>
      </c>
      <c r="H2539" s="116"/>
      <c r="I2539" s="116"/>
      <c r="L2539" s="170">
        <v>45741</v>
      </c>
      <c r="M2539" s="116">
        <v>2834.3</v>
      </c>
      <c r="N2539" s="116">
        <v>2888.9</v>
      </c>
      <c r="O2539" s="116">
        <v>2790</v>
      </c>
      <c r="P2539" s="116">
        <v>2877</v>
      </c>
      <c r="Q2539" s="116">
        <v>2834.3</v>
      </c>
      <c r="R2539">
        <v>115045</v>
      </c>
    </row>
    <row r="2540" spans="1:18" x14ac:dyDescent="0.25">
      <c r="A2540" s="170">
        <v>45742</v>
      </c>
      <c r="B2540" s="116">
        <v>2908.75</v>
      </c>
      <c r="C2540" s="116">
        <v>2820.4</v>
      </c>
      <c r="D2540" s="116">
        <v>2795.25</v>
      </c>
      <c r="E2540" s="116">
        <v>2838</v>
      </c>
      <c r="F2540" s="116">
        <v>2820.4</v>
      </c>
      <c r="G2540">
        <v>5970</v>
      </c>
      <c r="H2540" s="116"/>
      <c r="I2540" s="116"/>
      <c r="L2540" s="170">
        <v>45742</v>
      </c>
      <c r="M2540" s="116">
        <v>2818.45</v>
      </c>
      <c r="N2540" s="116">
        <v>2909.6</v>
      </c>
      <c r="O2540" s="116">
        <v>2790</v>
      </c>
      <c r="P2540" s="116">
        <v>2834.3</v>
      </c>
      <c r="Q2540" s="116">
        <v>2818.45</v>
      </c>
      <c r="R2540">
        <v>114784</v>
      </c>
    </row>
    <row r="2541" spans="1:18" x14ac:dyDescent="0.25">
      <c r="A2541" s="170">
        <v>45743</v>
      </c>
      <c r="B2541" s="116">
        <v>2848.9</v>
      </c>
      <c r="C2541" s="116">
        <v>2836.6</v>
      </c>
      <c r="D2541" s="116">
        <v>2756.35</v>
      </c>
      <c r="E2541" s="116">
        <v>2803.05</v>
      </c>
      <c r="F2541" s="116">
        <v>2836.6</v>
      </c>
      <c r="G2541">
        <v>4891</v>
      </c>
      <c r="H2541" s="116"/>
      <c r="I2541" s="116"/>
      <c r="L2541" s="170">
        <v>45743</v>
      </c>
      <c r="M2541" s="116">
        <v>2836.9</v>
      </c>
      <c r="N2541" s="116">
        <v>2850.85</v>
      </c>
      <c r="O2541" s="116">
        <v>2772.9</v>
      </c>
      <c r="P2541" s="116">
        <v>2819.25</v>
      </c>
      <c r="Q2541" s="116">
        <v>2836.9</v>
      </c>
      <c r="R2541">
        <v>77284</v>
      </c>
    </row>
    <row r="2542" spans="1:18" x14ac:dyDescent="0.25">
      <c r="A2542" s="170">
        <v>45744</v>
      </c>
      <c r="B2542" s="116">
        <v>2894.95</v>
      </c>
      <c r="C2542" s="116">
        <v>2877.3</v>
      </c>
      <c r="D2542" s="116">
        <v>2812.6</v>
      </c>
      <c r="E2542" s="116">
        <v>2845.55</v>
      </c>
      <c r="F2542" s="116">
        <v>2877.3</v>
      </c>
      <c r="G2542">
        <v>3544</v>
      </c>
      <c r="H2542" s="116"/>
      <c r="I2542" s="116"/>
      <c r="L2542" s="170">
        <v>45744</v>
      </c>
      <c r="M2542" s="116">
        <v>2880.35</v>
      </c>
      <c r="N2542" s="116">
        <v>2899.95</v>
      </c>
      <c r="O2542" s="116">
        <v>2809.4</v>
      </c>
      <c r="P2542" s="116">
        <v>2836.9</v>
      </c>
      <c r="Q2542" s="116">
        <v>2880.35</v>
      </c>
      <c r="R2542">
        <v>108168</v>
      </c>
    </row>
    <row r="2543" spans="1:18" x14ac:dyDescent="0.25">
      <c r="A2543" s="170">
        <v>45748</v>
      </c>
      <c r="B2543" s="116">
        <v>2872</v>
      </c>
      <c r="C2543" s="116">
        <v>2793.4</v>
      </c>
      <c r="D2543" s="116">
        <v>2772.6</v>
      </c>
      <c r="E2543" s="116">
        <v>2835.05</v>
      </c>
      <c r="F2543" s="116">
        <v>2793.4</v>
      </c>
      <c r="G2543">
        <v>2896</v>
      </c>
      <c r="H2543" s="116"/>
      <c r="I2543" s="116"/>
      <c r="L2543" s="170">
        <v>45748</v>
      </c>
      <c r="M2543" s="116">
        <v>2797.35</v>
      </c>
      <c r="N2543" s="116">
        <v>2878</v>
      </c>
      <c r="O2543" s="116">
        <v>2777</v>
      </c>
      <c r="P2543" s="116">
        <v>2872</v>
      </c>
      <c r="Q2543" s="116">
        <v>2797.35</v>
      </c>
      <c r="R2543">
        <v>79332</v>
      </c>
    </row>
    <row r="2544" spans="1:18" x14ac:dyDescent="0.25">
      <c r="A2544" s="170">
        <v>45749</v>
      </c>
      <c r="B2544" s="116">
        <v>2832.3</v>
      </c>
      <c r="C2544" s="116">
        <v>2776.6</v>
      </c>
      <c r="D2544" s="116">
        <v>2754</v>
      </c>
      <c r="E2544" s="116">
        <v>2832.3</v>
      </c>
      <c r="F2544" s="116">
        <v>2776.6</v>
      </c>
      <c r="G2544">
        <v>2138</v>
      </c>
      <c r="H2544" s="116"/>
      <c r="I2544" s="116"/>
      <c r="L2544" s="170">
        <v>45749</v>
      </c>
      <c r="M2544" s="116">
        <v>2776.6</v>
      </c>
      <c r="N2544" s="116">
        <v>2838.4</v>
      </c>
      <c r="O2544" s="116">
        <v>2753.65</v>
      </c>
      <c r="P2544" s="116">
        <v>2808.95</v>
      </c>
      <c r="Q2544" s="116">
        <v>2776.6</v>
      </c>
      <c r="R2544">
        <v>61863</v>
      </c>
    </row>
    <row r="2545" spans="1:18" x14ac:dyDescent="0.25">
      <c r="A2545" s="170">
        <v>45750</v>
      </c>
      <c r="B2545" s="116">
        <v>2884</v>
      </c>
      <c r="C2545" s="116">
        <v>2857.9</v>
      </c>
      <c r="D2545" s="116">
        <v>2783</v>
      </c>
      <c r="E2545" s="116">
        <v>2783</v>
      </c>
      <c r="F2545" s="116">
        <v>2857.9</v>
      </c>
      <c r="G2545">
        <v>9299</v>
      </c>
      <c r="H2545" s="116"/>
      <c r="I2545" s="116"/>
      <c r="L2545" s="170">
        <v>45750</v>
      </c>
      <c r="M2545" s="116">
        <v>2856.75</v>
      </c>
      <c r="N2545" s="116">
        <v>2887.5</v>
      </c>
      <c r="O2545" s="116">
        <v>2787</v>
      </c>
      <c r="P2545" s="116">
        <v>2791.95</v>
      </c>
      <c r="Q2545" s="116">
        <v>2856.75</v>
      </c>
      <c r="R2545">
        <v>166370</v>
      </c>
    </row>
    <row r="2546" spans="1:18" x14ac:dyDescent="0.25">
      <c r="A2546" s="170">
        <v>45751</v>
      </c>
      <c r="B2546" s="116">
        <v>2866.85</v>
      </c>
      <c r="C2546" s="116">
        <v>2735.75</v>
      </c>
      <c r="D2546" s="116">
        <v>2705.45</v>
      </c>
      <c r="E2546" s="116">
        <v>2857.9</v>
      </c>
      <c r="F2546" s="116">
        <v>2735.75</v>
      </c>
      <c r="G2546">
        <v>7289</v>
      </c>
      <c r="H2546" s="116"/>
      <c r="I2546" s="116"/>
      <c r="L2546" s="170">
        <v>45751</v>
      </c>
      <c r="M2546" s="116">
        <v>2739.25</v>
      </c>
      <c r="N2546" s="116">
        <v>2870.95</v>
      </c>
      <c r="O2546" s="116">
        <v>2704.6</v>
      </c>
      <c r="P2546" s="116">
        <v>2856.75</v>
      </c>
      <c r="Q2546" s="116">
        <v>2739.25</v>
      </c>
      <c r="R2546">
        <v>103973</v>
      </c>
    </row>
    <row r="2547" spans="1:18" x14ac:dyDescent="0.25">
      <c r="A2547" s="170">
        <v>45754</v>
      </c>
      <c r="B2547" s="116">
        <v>2667.4</v>
      </c>
      <c r="C2547" s="116">
        <v>2577.15</v>
      </c>
      <c r="D2547" s="116">
        <v>2275.0500000000002</v>
      </c>
      <c r="E2547" s="116">
        <v>2275.0500000000002</v>
      </c>
      <c r="F2547" s="116">
        <v>2577.15</v>
      </c>
      <c r="G2547">
        <v>5761</v>
      </c>
      <c r="H2547" s="116"/>
      <c r="I2547" s="116"/>
      <c r="L2547" s="170">
        <v>45754</v>
      </c>
      <c r="M2547" s="116">
        <v>2574.3000000000002</v>
      </c>
      <c r="N2547" s="116">
        <v>2668.35</v>
      </c>
      <c r="O2547" s="116">
        <v>2401</v>
      </c>
      <c r="P2547" s="116">
        <v>2410</v>
      </c>
      <c r="Q2547" s="116">
        <v>2574.3000000000002</v>
      </c>
      <c r="R2547">
        <v>147923</v>
      </c>
    </row>
    <row r="2548" spans="1:18" x14ac:dyDescent="0.25">
      <c r="A2548" s="170">
        <v>45755</v>
      </c>
      <c r="B2548" s="116">
        <v>2745.5</v>
      </c>
      <c r="C2548" s="116">
        <v>2728.95</v>
      </c>
      <c r="D2548" s="116">
        <v>2609</v>
      </c>
      <c r="E2548" s="116">
        <v>2673.95</v>
      </c>
      <c r="F2548" s="116">
        <v>2728.95</v>
      </c>
      <c r="G2548">
        <v>5236</v>
      </c>
      <c r="H2548" s="116"/>
      <c r="I2548" s="116"/>
      <c r="L2548" s="170">
        <v>45755</v>
      </c>
      <c r="M2548" s="116">
        <v>2728.4</v>
      </c>
      <c r="N2548" s="116">
        <v>2745.45</v>
      </c>
      <c r="O2548" s="116">
        <v>2602.0500000000002</v>
      </c>
      <c r="P2548" s="116">
        <v>2640</v>
      </c>
      <c r="Q2548" s="116">
        <v>2728.4</v>
      </c>
      <c r="R2548">
        <v>133036</v>
      </c>
    </row>
    <row r="2549" spans="1:18" x14ac:dyDescent="0.25">
      <c r="A2549" s="170">
        <v>45756</v>
      </c>
      <c r="B2549" s="116">
        <v>2709</v>
      </c>
      <c r="C2549" s="116">
        <v>2675.05</v>
      </c>
      <c r="D2549" s="116">
        <v>2641.85</v>
      </c>
      <c r="E2549" s="116">
        <v>2698</v>
      </c>
      <c r="F2549" s="116">
        <v>2675.05</v>
      </c>
      <c r="G2549">
        <v>2323</v>
      </c>
      <c r="H2549" s="116"/>
      <c r="I2549" s="116"/>
      <c r="L2549" s="170">
        <v>45756</v>
      </c>
      <c r="M2549" s="116">
        <v>2675.3</v>
      </c>
      <c r="N2549" s="116">
        <v>2710</v>
      </c>
      <c r="O2549" s="116">
        <v>2640.15</v>
      </c>
      <c r="P2549" s="116">
        <v>2701.05</v>
      </c>
      <c r="Q2549" s="116">
        <v>2675.3</v>
      </c>
      <c r="R2549">
        <v>73069</v>
      </c>
    </row>
    <row r="2550" spans="1:18" x14ac:dyDescent="0.25">
      <c r="A2550" s="170">
        <v>45758</v>
      </c>
      <c r="B2550" s="116">
        <v>2773.95</v>
      </c>
      <c r="C2550" s="116">
        <v>2747.05</v>
      </c>
      <c r="D2550" s="116">
        <v>2723.3</v>
      </c>
      <c r="E2550" s="116">
        <v>2773.95</v>
      </c>
      <c r="F2550" s="116">
        <v>2747.05</v>
      </c>
      <c r="G2550">
        <v>3900</v>
      </c>
      <c r="H2550" s="116"/>
      <c r="I2550" s="116"/>
      <c r="L2550" s="170">
        <v>45758</v>
      </c>
      <c r="M2550" s="116">
        <v>2751.1</v>
      </c>
      <c r="N2550" s="116">
        <v>2769.9</v>
      </c>
      <c r="O2550" s="116">
        <v>2719.5</v>
      </c>
      <c r="P2550" s="116">
        <v>2727</v>
      </c>
      <c r="Q2550" s="116">
        <v>2751.1</v>
      </c>
      <c r="R2550">
        <v>104602</v>
      </c>
    </row>
    <row r="2551" spans="1:18" x14ac:dyDescent="0.25">
      <c r="A2551" s="170">
        <v>45762</v>
      </c>
      <c r="B2551" s="116">
        <v>2890</v>
      </c>
      <c r="C2551" s="116">
        <v>2876.65</v>
      </c>
      <c r="D2551" s="116">
        <v>2798.1</v>
      </c>
      <c r="E2551" s="116">
        <v>2799.85</v>
      </c>
      <c r="F2551" s="116">
        <v>2876.65</v>
      </c>
      <c r="G2551">
        <v>2397</v>
      </c>
      <c r="H2551" s="116"/>
      <c r="I2551" s="116"/>
      <c r="L2551" s="170">
        <v>45762</v>
      </c>
      <c r="M2551" s="116">
        <v>2878.2</v>
      </c>
      <c r="N2551" s="116">
        <v>2889.9</v>
      </c>
      <c r="O2551" s="116">
        <v>2778.6</v>
      </c>
      <c r="P2551" s="116">
        <v>2778.6</v>
      </c>
      <c r="Q2551" s="116">
        <v>2878.2</v>
      </c>
      <c r="R2551">
        <v>171350</v>
      </c>
    </row>
    <row r="2552" spans="1:18" x14ac:dyDescent="0.25">
      <c r="A2552" s="170">
        <v>45763</v>
      </c>
      <c r="B2552" s="116">
        <v>2933.75</v>
      </c>
      <c r="C2552" s="116">
        <v>2928.6</v>
      </c>
      <c r="D2552" s="116">
        <v>2874.5</v>
      </c>
      <c r="E2552" s="116">
        <v>2899.7</v>
      </c>
      <c r="F2552" s="116">
        <v>2928.6</v>
      </c>
      <c r="G2552">
        <v>3683</v>
      </c>
      <c r="H2552" s="116"/>
      <c r="I2552" s="116"/>
      <c r="L2552" s="170">
        <v>45763</v>
      </c>
      <c r="M2552" s="116">
        <v>2926.9</v>
      </c>
      <c r="N2552" s="116">
        <v>2937.4</v>
      </c>
      <c r="O2552" s="116">
        <v>2871.2</v>
      </c>
      <c r="P2552" s="116">
        <v>2889</v>
      </c>
      <c r="Q2552" s="116">
        <v>2926.9</v>
      </c>
      <c r="R2552">
        <v>167215</v>
      </c>
    </row>
    <row r="2553" spans="1:18" x14ac:dyDescent="0.25">
      <c r="A2553" s="170">
        <v>45764</v>
      </c>
      <c r="B2553" s="116">
        <v>2960</v>
      </c>
      <c r="C2553" s="116">
        <v>2909.25</v>
      </c>
      <c r="D2553" s="116">
        <v>2822.4</v>
      </c>
      <c r="E2553" s="116">
        <v>2924.95</v>
      </c>
      <c r="F2553" s="116">
        <v>2909.25</v>
      </c>
      <c r="G2553">
        <v>3924</v>
      </c>
      <c r="H2553" s="116"/>
      <c r="I2553" s="116"/>
      <c r="L2553" s="170">
        <v>45764</v>
      </c>
      <c r="M2553" s="116">
        <v>2906.8</v>
      </c>
      <c r="N2553" s="116">
        <v>2963.9</v>
      </c>
      <c r="O2553" s="116">
        <v>2825.7</v>
      </c>
      <c r="P2553" s="116">
        <v>2917</v>
      </c>
      <c r="Q2553" s="116">
        <v>2906.8</v>
      </c>
      <c r="R2553">
        <v>151023</v>
      </c>
    </row>
    <row r="2554" spans="1:18" x14ac:dyDescent="0.25">
      <c r="A2554" s="170">
        <v>45768</v>
      </c>
      <c r="B2554" s="116">
        <v>2912.5</v>
      </c>
      <c r="C2554" s="116">
        <v>2815.65</v>
      </c>
      <c r="D2554" s="116">
        <v>2808.2</v>
      </c>
      <c r="E2554" s="116">
        <v>2900.05</v>
      </c>
      <c r="F2554" s="116">
        <v>2815.65</v>
      </c>
      <c r="G2554">
        <v>7929</v>
      </c>
      <c r="H2554" s="116"/>
      <c r="I2554" s="116"/>
      <c r="L2554" s="170">
        <v>45768</v>
      </c>
      <c r="M2554" s="116">
        <v>2815.4</v>
      </c>
      <c r="N2554" s="116">
        <v>2919</v>
      </c>
      <c r="O2554" s="116">
        <v>2810</v>
      </c>
      <c r="P2554" s="116">
        <v>2907</v>
      </c>
      <c r="Q2554" s="116">
        <v>2815.4</v>
      </c>
      <c r="R2554">
        <v>85320</v>
      </c>
    </row>
    <row r="2555" spans="1:18" x14ac:dyDescent="0.25">
      <c r="A2555" s="170">
        <v>45769</v>
      </c>
      <c r="B2555" s="116">
        <v>2842</v>
      </c>
      <c r="C2555" s="116">
        <v>2808.4</v>
      </c>
      <c r="D2555" s="116">
        <v>2772.95</v>
      </c>
      <c r="E2555" s="116">
        <v>2812.5</v>
      </c>
      <c r="F2555" s="116">
        <v>2808.4</v>
      </c>
      <c r="G2555">
        <v>5081</v>
      </c>
      <c r="H2555" s="116"/>
      <c r="I2555" s="116"/>
      <c r="L2555" s="170">
        <v>45769</v>
      </c>
      <c r="M2555" s="116">
        <v>2809.3</v>
      </c>
      <c r="N2555" s="116">
        <v>2864.9</v>
      </c>
      <c r="O2555" s="116">
        <v>2775</v>
      </c>
      <c r="P2555" s="116">
        <v>2815.5</v>
      </c>
      <c r="Q2555" s="116">
        <v>2809.3</v>
      </c>
      <c r="R2555">
        <v>79621</v>
      </c>
    </row>
    <row r="2556" spans="1:18" x14ac:dyDescent="0.25">
      <c r="A2556" s="170">
        <v>45770</v>
      </c>
      <c r="B2556" s="116">
        <v>2879.45</v>
      </c>
      <c r="C2556" s="116">
        <v>2850.9</v>
      </c>
      <c r="D2556" s="116">
        <v>2801.1</v>
      </c>
      <c r="E2556" s="116">
        <v>2809</v>
      </c>
      <c r="F2556" s="116">
        <v>2850.9</v>
      </c>
      <c r="G2556">
        <v>2554</v>
      </c>
      <c r="H2556" s="116"/>
      <c r="I2556" s="116"/>
      <c r="L2556" s="170">
        <v>45770</v>
      </c>
      <c r="M2556" s="116">
        <v>2846.6</v>
      </c>
      <c r="N2556" s="116">
        <v>2882</v>
      </c>
      <c r="O2556" s="116">
        <v>2802</v>
      </c>
      <c r="P2556" s="116">
        <v>2818</v>
      </c>
      <c r="Q2556" s="116">
        <v>2846.6</v>
      </c>
      <c r="R2556">
        <v>85241</v>
      </c>
    </row>
    <row r="2557" spans="1:18" x14ac:dyDescent="0.25">
      <c r="A2557" s="170">
        <v>45771</v>
      </c>
      <c r="B2557" s="116">
        <v>3147.45</v>
      </c>
      <c r="C2557" s="116">
        <v>2916.75</v>
      </c>
      <c r="D2557" s="116">
        <v>2850.2</v>
      </c>
      <c r="E2557" s="116">
        <v>2850.2</v>
      </c>
      <c r="F2557" s="116">
        <v>2916.75</v>
      </c>
      <c r="G2557">
        <v>62538</v>
      </c>
      <c r="H2557" s="116"/>
      <c r="I2557" s="116"/>
      <c r="L2557" s="170">
        <v>45771</v>
      </c>
      <c r="M2557" s="116">
        <v>2916</v>
      </c>
      <c r="N2557" s="116">
        <v>3148</v>
      </c>
      <c r="O2557" s="116">
        <v>2855.1</v>
      </c>
      <c r="P2557" s="116">
        <v>2865</v>
      </c>
      <c r="Q2557" s="116">
        <v>2916</v>
      </c>
      <c r="R2557">
        <v>1963631</v>
      </c>
    </row>
    <row r="2558" spans="1:18" x14ac:dyDescent="0.25">
      <c r="A2558" s="170">
        <v>45772</v>
      </c>
      <c r="B2558" s="116">
        <v>2944</v>
      </c>
      <c r="C2558" s="116">
        <v>2804.05</v>
      </c>
      <c r="D2558" s="116">
        <v>2788</v>
      </c>
      <c r="E2558" s="116">
        <v>2944</v>
      </c>
      <c r="F2558" s="116">
        <v>2804.05</v>
      </c>
      <c r="G2558">
        <v>12165</v>
      </c>
      <c r="H2558" s="116"/>
      <c r="I2558" s="116"/>
      <c r="L2558" s="170">
        <v>45772</v>
      </c>
      <c r="M2558" s="116">
        <v>2802.7</v>
      </c>
      <c r="N2558" s="116">
        <v>2944.8</v>
      </c>
      <c r="O2558" s="116">
        <v>2780</v>
      </c>
      <c r="P2558" s="116">
        <v>2941.5</v>
      </c>
      <c r="Q2558" s="116">
        <v>2802.7</v>
      </c>
      <c r="R2558">
        <v>158911</v>
      </c>
    </row>
    <row r="2559" spans="1:18" x14ac:dyDescent="0.25">
      <c r="A2559" s="170">
        <v>45775</v>
      </c>
      <c r="B2559" s="116">
        <v>2870</v>
      </c>
      <c r="C2559" s="116">
        <v>2848.65</v>
      </c>
      <c r="D2559" s="116">
        <v>2792</v>
      </c>
      <c r="E2559" s="116">
        <v>2810.05</v>
      </c>
      <c r="F2559" s="116">
        <v>2848.65</v>
      </c>
      <c r="G2559">
        <v>9192</v>
      </c>
      <c r="H2559" s="116"/>
      <c r="I2559" s="116"/>
      <c r="L2559" s="170">
        <v>45775</v>
      </c>
      <c r="M2559" s="116">
        <v>2849.8</v>
      </c>
      <c r="N2559" s="116">
        <v>2875.7</v>
      </c>
      <c r="O2559" s="116">
        <v>2792</v>
      </c>
      <c r="P2559" s="116">
        <v>2822</v>
      </c>
      <c r="Q2559" s="116">
        <v>2849.8</v>
      </c>
      <c r="R2559">
        <v>116592</v>
      </c>
    </row>
    <row r="2560" spans="1:18" x14ac:dyDescent="0.25">
      <c r="A2560" s="170">
        <v>45776</v>
      </c>
      <c r="B2560" s="116">
        <v>2928.7</v>
      </c>
      <c r="C2560" s="116">
        <v>2904.45</v>
      </c>
      <c r="D2560" s="116">
        <v>2811.25</v>
      </c>
      <c r="E2560" s="116">
        <v>2830.6</v>
      </c>
      <c r="F2560" s="116">
        <v>2904.45</v>
      </c>
      <c r="G2560">
        <v>5271</v>
      </c>
      <c r="H2560" s="116"/>
      <c r="I2560" s="116"/>
      <c r="L2560" s="170">
        <v>45776</v>
      </c>
      <c r="M2560" s="116">
        <v>2902.2</v>
      </c>
      <c r="N2560" s="116">
        <v>2930.9</v>
      </c>
      <c r="O2560" s="116">
        <v>2810.1</v>
      </c>
      <c r="P2560" s="116">
        <v>2849</v>
      </c>
      <c r="Q2560" s="116">
        <v>2902.2</v>
      </c>
      <c r="R2560">
        <v>177315</v>
      </c>
    </row>
    <row r="2561" spans="1:18" x14ac:dyDescent="0.25">
      <c r="A2561" s="170">
        <v>45777</v>
      </c>
      <c r="B2561" s="116">
        <v>3045</v>
      </c>
      <c r="C2561" s="116">
        <v>2959.45</v>
      </c>
      <c r="D2561" s="116">
        <v>2884.75</v>
      </c>
      <c r="E2561" s="116">
        <v>2917.95</v>
      </c>
      <c r="F2561" s="116">
        <v>2959.45</v>
      </c>
      <c r="G2561">
        <v>16334</v>
      </c>
      <c r="H2561" s="116"/>
      <c r="I2561" s="116"/>
      <c r="L2561" s="170">
        <v>45777</v>
      </c>
      <c r="M2561" s="116">
        <v>2964.6</v>
      </c>
      <c r="N2561" s="116">
        <v>3045</v>
      </c>
      <c r="O2561" s="116">
        <v>2884.8</v>
      </c>
      <c r="P2561" s="116">
        <v>2918</v>
      </c>
      <c r="Q2561" s="116">
        <v>2964.6</v>
      </c>
      <c r="R2561">
        <v>344867</v>
      </c>
    </row>
    <row r="2562" spans="1:18" x14ac:dyDescent="0.25">
      <c r="A2562" s="170">
        <v>45779</v>
      </c>
      <c r="B2562" s="116">
        <v>2956.95</v>
      </c>
      <c r="C2562" s="116">
        <v>2852.45</v>
      </c>
      <c r="D2562" s="116">
        <v>2844</v>
      </c>
      <c r="E2562" s="116">
        <v>2956.95</v>
      </c>
      <c r="F2562" s="116">
        <v>2852.45</v>
      </c>
      <c r="G2562">
        <v>3558</v>
      </c>
      <c r="H2562" s="116"/>
      <c r="I2562" s="116"/>
      <c r="L2562" s="170">
        <v>45779</v>
      </c>
      <c r="M2562" s="116">
        <v>2852.8</v>
      </c>
      <c r="N2562" s="116">
        <v>2945.7</v>
      </c>
      <c r="O2562" s="116">
        <v>2842.1</v>
      </c>
      <c r="P2562" s="116">
        <v>2935.3</v>
      </c>
      <c r="Q2562" s="116">
        <v>2852.8</v>
      </c>
      <c r="R2562">
        <v>212531</v>
      </c>
    </row>
    <row r="2563" spans="1:18" x14ac:dyDescent="0.25">
      <c r="A2563" s="170">
        <v>45782</v>
      </c>
      <c r="B2563" s="116">
        <v>2914.55</v>
      </c>
      <c r="C2563" s="116">
        <v>2893.85</v>
      </c>
      <c r="D2563" s="116">
        <v>2850.4</v>
      </c>
      <c r="E2563" s="116">
        <v>2860.4</v>
      </c>
      <c r="F2563" s="116">
        <v>2893.85</v>
      </c>
      <c r="G2563">
        <v>3321</v>
      </c>
      <c r="H2563" s="116"/>
      <c r="I2563" s="116"/>
      <c r="L2563" s="170">
        <v>45782</v>
      </c>
      <c r="M2563" s="116">
        <v>2894</v>
      </c>
      <c r="N2563" s="116">
        <v>2919.9</v>
      </c>
      <c r="O2563" s="116">
        <v>2848.1</v>
      </c>
      <c r="P2563" s="116">
        <v>2862.5</v>
      </c>
      <c r="Q2563" s="116">
        <v>2894</v>
      </c>
      <c r="R2563">
        <v>181479</v>
      </c>
    </row>
    <row r="2564" spans="1:18" x14ac:dyDescent="0.25">
      <c r="A2564" s="170">
        <v>45783</v>
      </c>
      <c r="B2564" s="116">
        <v>2909.95</v>
      </c>
      <c r="C2564" s="116">
        <v>2840.55</v>
      </c>
      <c r="D2564" s="116">
        <v>2828.3</v>
      </c>
      <c r="E2564" s="116">
        <v>2893.85</v>
      </c>
      <c r="F2564" s="116">
        <v>2840.55</v>
      </c>
      <c r="G2564">
        <v>3307</v>
      </c>
      <c r="H2564" s="116"/>
      <c r="I2564" s="116"/>
      <c r="L2564" s="170">
        <v>45783</v>
      </c>
      <c r="M2564" s="116">
        <v>2840.8</v>
      </c>
      <c r="N2564" s="116">
        <v>2915.2</v>
      </c>
      <c r="O2564" s="116">
        <v>2826.3</v>
      </c>
      <c r="P2564" s="116">
        <v>2891.2</v>
      </c>
      <c r="Q2564" s="116">
        <v>2840.8</v>
      </c>
      <c r="R2564">
        <v>99437</v>
      </c>
    </row>
    <row r="2565" spans="1:18" x14ac:dyDescent="0.25">
      <c r="A2565" s="170">
        <v>45784</v>
      </c>
      <c r="B2565" s="116">
        <v>2860</v>
      </c>
      <c r="C2565" s="116">
        <v>2847.6</v>
      </c>
      <c r="D2565" s="116">
        <v>2750.35</v>
      </c>
      <c r="E2565" s="116">
        <v>2750.35</v>
      </c>
      <c r="F2565" s="116">
        <v>2847.6</v>
      </c>
      <c r="G2565">
        <v>2268</v>
      </c>
      <c r="H2565" s="116"/>
      <c r="I2565" s="116"/>
      <c r="L2565" s="170">
        <v>45784</v>
      </c>
      <c r="M2565" s="116">
        <v>2850.5</v>
      </c>
      <c r="N2565" s="116">
        <v>2863.9</v>
      </c>
      <c r="O2565" s="116">
        <v>2796.9</v>
      </c>
      <c r="P2565" s="116">
        <v>2801</v>
      </c>
      <c r="Q2565" s="116">
        <v>2850.5</v>
      </c>
      <c r="R2565">
        <v>97133</v>
      </c>
    </row>
    <row r="2566" spans="1:18" x14ac:dyDescent="0.25">
      <c r="A2566" s="170">
        <v>45785</v>
      </c>
      <c r="B2566" s="116">
        <v>2882.2</v>
      </c>
      <c r="C2566" s="116">
        <v>2740.95</v>
      </c>
      <c r="D2566" s="116">
        <v>2729.75</v>
      </c>
      <c r="E2566" s="116">
        <v>2874.45</v>
      </c>
      <c r="F2566" s="116">
        <v>2740.95</v>
      </c>
      <c r="G2566">
        <v>2158</v>
      </c>
      <c r="H2566" s="116"/>
      <c r="I2566" s="116"/>
      <c r="L2566" s="170">
        <v>45785</v>
      </c>
      <c r="M2566" s="116">
        <v>2743.3</v>
      </c>
      <c r="N2566" s="116">
        <v>2885.6</v>
      </c>
      <c r="O2566" s="116">
        <v>2730</v>
      </c>
      <c r="P2566" s="116">
        <v>2860.4</v>
      </c>
      <c r="Q2566" s="116">
        <v>2743.3</v>
      </c>
      <c r="R2566">
        <v>106474</v>
      </c>
    </row>
    <row r="2567" spans="1:18" x14ac:dyDescent="0.25">
      <c r="A2567" s="170">
        <v>45786</v>
      </c>
      <c r="B2567" s="116">
        <v>2769.95</v>
      </c>
      <c r="C2567" s="116">
        <v>2758.3</v>
      </c>
      <c r="D2567" s="116">
        <v>2699.3</v>
      </c>
      <c r="E2567" s="116">
        <v>2714.15</v>
      </c>
      <c r="F2567" s="116">
        <v>2758.3</v>
      </c>
      <c r="G2567">
        <v>2240</v>
      </c>
      <c r="H2567" s="116"/>
      <c r="I2567" s="116"/>
      <c r="L2567" s="170">
        <v>45786</v>
      </c>
      <c r="M2567" s="116">
        <v>2759.9</v>
      </c>
      <c r="N2567" s="116">
        <v>2768.1</v>
      </c>
      <c r="O2567" s="116">
        <v>2693.9</v>
      </c>
      <c r="P2567" s="116">
        <v>2701</v>
      </c>
      <c r="Q2567" s="116">
        <v>2759.9</v>
      </c>
      <c r="R2567">
        <v>61908</v>
      </c>
    </row>
    <row r="2568" spans="1:18" x14ac:dyDescent="0.25">
      <c r="A2568" s="170">
        <v>45789</v>
      </c>
      <c r="B2568" s="116">
        <v>2840.45</v>
      </c>
      <c r="C2568" s="116">
        <v>2721.25</v>
      </c>
      <c r="D2568" s="116">
        <v>2708.4</v>
      </c>
      <c r="E2568" s="116">
        <v>2804.85</v>
      </c>
      <c r="F2568" s="116">
        <v>2721.25</v>
      </c>
      <c r="G2568">
        <v>5101</v>
      </c>
      <c r="H2568" s="116"/>
      <c r="I2568" s="116"/>
      <c r="L2568" s="170">
        <v>45789</v>
      </c>
      <c r="M2568" s="116">
        <v>2721.5</v>
      </c>
      <c r="N2568" s="116">
        <v>2874</v>
      </c>
      <c r="O2568" s="116">
        <v>2706.1</v>
      </c>
      <c r="P2568" s="116">
        <v>2799</v>
      </c>
      <c r="Q2568" s="116">
        <v>2721.5</v>
      </c>
      <c r="R2568">
        <v>184335</v>
      </c>
    </row>
    <row r="2569" spans="1:18" x14ac:dyDescent="0.25">
      <c r="A2569" s="170">
        <v>45790</v>
      </c>
      <c r="B2569" s="116">
        <v>2826</v>
      </c>
      <c r="C2569" s="116">
        <v>2790.15</v>
      </c>
      <c r="D2569" s="116">
        <v>2729.5</v>
      </c>
      <c r="E2569" s="116">
        <v>2731.1</v>
      </c>
      <c r="F2569" s="116">
        <v>2790.15</v>
      </c>
      <c r="G2569">
        <v>5395</v>
      </c>
      <c r="H2569" s="116"/>
      <c r="I2569" s="116"/>
      <c r="L2569" s="170">
        <v>45790</v>
      </c>
      <c r="M2569" s="116">
        <v>2788.7</v>
      </c>
      <c r="N2569" s="116">
        <v>2829.6</v>
      </c>
      <c r="O2569" s="116">
        <v>2725</v>
      </c>
      <c r="P2569" s="116">
        <v>2748</v>
      </c>
      <c r="Q2569" s="116">
        <v>2788.7</v>
      </c>
      <c r="R2569">
        <v>195288</v>
      </c>
    </row>
    <row r="2570" spans="1:18" x14ac:dyDescent="0.25">
      <c r="A2570" s="170">
        <v>45791</v>
      </c>
      <c r="B2570" s="116">
        <v>3026.2</v>
      </c>
      <c r="C2570" s="116">
        <v>2877.1</v>
      </c>
      <c r="D2570" s="116">
        <v>2860</v>
      </c>
      <c r="E2570" s="116">
        <v>2907.4</v>
      </c>
      <c r="F2570" s="116">
        <v>2877.1</v>
      </c>
      <c r="G2570">
        <v>33901</v>
      </c>
      <c r="H2570" s="116"/>
      <c r="I2570" s="116"/>
      <c r="L2570" s="170">
        <v>45791</v>
      </c>
      <c r="M2570" s="116">
        <v>2878.8</v>
      </c>
      <c r="N2570" s="116">
        <v>3025</v>
      </c>
      <c r="O2570" s="116">
        <v>2860.7</v>
      </c>
      <c r="P2570" s="116">
        <v>2914.1</v>
      </c>
      <c r="Q2570" s="116">
        <v>2878.8</v>
      </c>
      <c r="R2570">
        <v>671906</v>
      </c>
    </row>
    <row r="2571" spans="1:18" x14ac:dyDescent="0.25">
      <c r="A2571" s="170">
        <v>45792</v>
      </c>
      <c r="B2571" s="116">
        <v>2906.6</v>
      </c>
      <c r="C2571" s="116">
        <v>2878.7</v>
      </c>
      <c r="D2571" s="116">
        <v>2850</v>
      </c>
      <c r="E2571" s="116">
        <v>2880</v>
      </c>
      <c r="F2571" s="116">
        <v>2878.7</v>
      </c>
      <c r="G2571">
        <v>3708</v>
      </c>
      <c r="H2571" s="116"/>
      <c r="I2571" s="116"/>
      <c r="L2571" s="170">
        <v>45792</v>
      </c>
      <c r="M2571" s="116">
        <v>2878.9</v>
      </c>
      <c r="N2571" s="116">
        <v>2911.4</v>
      </c>
      <c r="O2571" s="116">
        <v>2849.4</v>
      </c>
      <c r="P2571" s="116">
        <v>2888</v>
      </c>
      <c r="Q2571" s="116">
        <v>2878.9</v>
      </c>
      <c r="R2571">
        <v>126405</v>
      </c>
    </row>
    <row r="2572" spans="1:18" x14ac:dyDescent="0.25">
      <c r="A2572" s="170">
        <v>45793</v>
      </c>
      <c r="B2572" s="116">
        <v>2896.55</v>
      </c>
      <c r="C2572" s="116">
        <v>2827.6</v>
      </c>
      <c r="D2572" s="116">
        <v>2811.7</v>
      </c>
      <c r="E2572" s="116">
        <v>2878.1</v>
      </c>
      <c r="F2572" s="116">
        <v>2827.6</v>
      </c>
      <c r="G2572">
        <v>4980</v>
      </c>
      <c r="H2572" s="116"/>
      <c r="I2572" s="116"/>
      <c r="L2572" s="170">
        <v>45793</v>
      </c>
      <c r="M2572" s="116">
        <v>2828.6</v>
      </c>
      <c r="N2572" s="116">
        <v>2904</v>
      </c>
      <c r="O2572" s="116">
        <v>2812</v>
      </c>
      <c r="P2572" s="116">
        <v>2897</v>
      </c>
      <c r="Q2572" s="116">
        <v>2828.6</v>
      </c>
      <c r="R2572">
        <v>160815</v>
      </c>
    </row>
    <row r="2573" spans="1:18" x14ac:dyDescent="0.25">
      <c r="A2573" s="170">
        <v>45796</v>
      </c>
      <c r="B2573" s="116">
        <v>2860</v>
      </c>
      <c r="C2573" s="116">
        <v>2820.15</v>
      </c>
      <c r="D2573" s="116">
        <v>2800</v>
      </c>
      <c r="E2573" s="116">
        <v>2860</v>
      </c>
      <c r="F2573" s="116">
        <v>2820.15</v>
      </c>
      <c r="G2573">
        <v>3493</v>
      </c>
      <c r="H2573" s="116"/>
      <c r="I2573" s="116"/>
      <c r="L2573" s="170">
        <v>45796</v>
      </c>
      <c r="M2573" s="116">
        <v>2820.6</v>
      </c>
      <c r="N2573" s="116">
        <v>2856</v>
      </c>
      <c r="O2573" s="116">
        <v>2794.2</v>
      </c>
      <c r="P2573" s="116">
        <v>2856</v>
      </c>
      <c r="Q2573" s="116">
        <v>2820.6</v>
      </c>
      <c r="R2573">
        <v>98745</v>
      </c>
    </row>
    <row r="2574" spans="1:18" x14ac:dyDescent="0.25">
      <c r="A2574" s="170">
        <v>45797</v>
      </c>
      <c r="B2574" s="116">
        <v>2824.6</v>
      </c>
      <c r="C2574" s="116">
        <v>2787.3</v>
      </c>
      <c r="D2574" s="116">
        <v>2766.05</v>
      </c>
      <c r="E2574" s="116">
        <v>2820.2</v>
      </c>
      <c r="F2574" s="116">
        <v>2787.3</v>
      </c>
      <c r="G2574">
        <v>5430</v>
      </c>
      <c r="H2574" s="116"/>
      <c r="I2574" s="116"/>
      <c r="L2574" s="170">
        <v>45797</v>
      </c>
      <c r="M2574" s="116">
        <v>2786.6</v>
      </c>
      <c r="N2574" s="116">
        <v>2841.4</v>
      </c>
      <c r="O2574" s="116">
        <v>2763.2</v>
      </c>
      <c r="P2574" s="116">
        <v>2825.8</v>
      </c>
      <c r="Q2574" s="116">
        <v>2786.6</v>
      </c>
      <c r="R2574">
        <v>121014</v>
      </c>
    </row>
    <row r="2575" spans="1:18" x14ac:dyDescent="0.25">
      <c r="A2575" s="170">
        <v>45798</v>
      </c>
      <c r="B2575" s="116">
        <v>3012.2</v>
      </c>
      <c r="C2575" s="116">
        <v>2984.45</v>
      </c>
      <c r="D2575" s="116">
        <v>2804</v>
      </c>
      <c r="E2575" s="116">
        <v>2808.6</v>
      </c>
      <c r="F2575" s="116">
        <v>2984.45</v>
      </c>
      <c r="G2575">
        <v>54379</v>
      </c>
      <c r="H2575" s="116"/>
      <c r="I2575" s="116"/>
      <c r="L2575" s="170">
        <v>45798</v>
      </c>
      <c r="M2575" s="116">
        <v>2984.2</v>
      </c>
      <c r="N2575" s="116">
        <v>3011.3</v>
      </c>
      <c r="O2575" s="116">
        <v>2791.7</v>
      </c>
      <c r="P2575" s="116">
        <v>2810.9</v>
      </c>
      <c r="Q2575" s="116">
        <v>2984.2</v>
      </c>
      <c r="R2575">
        <v>1084959</v>
      </c>
    </row>
    <row r="2576" spans="1:18" x14ac:dyDescent="0.25">
      <c r="A2576" s="170">
        <v>45799</v>
      </c>
      <c r="B2576" s="116">
        <v>3036.25</v>
      </c>
      <c r="C2576" s="116">
        <v>3018.55</v>
      </c>
      <c r="D2576" s="116">
        <v>2941.35</v>
      </c>
      <c r="E2576" s="116">
        <v>2972.85</v>
      </c>
      <c r="F2576" s="116">
        <v>3018.55</v>
      </c>
      <c r="G2576">
        <v>17256</v>
      </c>
      <c r="H2576" s="116"/>
      <c r="I2576" s="116"/>
      <c r="L2576" s="170">
        <v>45799</v>
      </c>
      <c r="M2576" s="116">
        <v>3018.7</v>
      </c>
      <c r="N2576" s="116">
        <v>3035</v>
      </c>
      <c r="O2576" s="116">
        <v>2942</v>
      </c>
      <c r="P2576" s="116">
        <v>2972.1</v>
      </c>
      <c r="Q2576" s="116">
        <v>3018.7</v>
      </c>
      <c r="R2576">
        <v>213418</v>
      </c>
    </row>
    <row r="2577" spans="1:18" x14ac:dyDescent="0.25">
      <c r="A2577" s="170">
        <v>45800</v>
      </c>
      <c r="B2577" s="116">
        <v>3049.95</v>
      </c>
      <c r="C2577" s="116">
        <v>3021.55</v>
      </c>
      <c r="D2577" s="116">
        <v>2969.35</v>
      </c>
      <c r="E2577" s="116">
        <v>3049.95</v>
      </c>
      <c r="F2577" s="116">
        <v>3021.55</v>
      </c>
      <c r="G2577">
        <v>4741</v>
      </c>
      <c r="H2577" s="116"/>
      <c r="I2577" s="116"/>
      <c r="L2577" s="170">
        <v>45800</v>
      </c>
      <c r="M2577" s="116">
        <v>3020.9</v>
      </c>
      <c r="N2577" s="116">
        <v>3030</v>
      </c>
      <c r="O2577" s="116">
        <v>2968.1</v>
      </c>
      <c r="P2577" s="116">
        <v>3009</v>
      </c>
      <c r="Q2577" s="116">
        <v>3020.9</v>
      </c>
      <c r="R2577">
        <v>101269</v>
      </c>
    </row>
    <row r="2578" spans="1:18" x14ac:dyDescent="0.25">
      <c r="A2578" s="170">
        <v>45803</v>
      </c>
      <c r="B2578" s="116">
        <v>3064.65</v>
      </c>
      <c r="C2578" s="116">
        <v>2960.05</v>
      </c>
      <c r="D2578" s="116">
        <v>2956.2</v>
      </c>
      <c r="E2578" s="116">
        <v>3064.65</v>
      </c>
      <c r="F2578" s="116">
        <v>2960.05</v>
      </c>
      <c r="G2578">
        <v>7426</v>
      </c>
      <c r="H2578" s="116"/>
      <c r="I2578" s="116"/>
      <c r="L2578" s="170">
        <v>45803</v>
      </c>
      <c r="M2578" s="116">
        <v>2960.5</v>
      </c>
      <c r="N2578" s="116">
        <v>3055.7</v>
      </c>
      <c r="O2578" s="116">
        <v>2952</v>
      </c>
      <c r="P2578" s="116">
        <v>3035</v>
      </c>
      <c r="Q2578" s="116">
        <v>2960.5</v>
      </c>
      <c r="R2578">
        <v>104383</v>
      </c>
    </row>
    <row r="2579" spans="1:18" x14ac:dyDescent="0.25">
      <c r="A2579" s="170">
        <v>45804</v>
      </c>
      <c r="B2579" s="116">
        <v>3144.1</v>
      </c>
      <c r="C2579" s="116">
        <v>3118.75</v>
      </c>
      <c r="D2579" s="116">
        <v>2956.2</v>
      </c>
      <c r="E2579" s="116">
        <v>2956.25</v>
      </c>
      <c r="F2579" s="116">
        <v>3118.75</v>
      </c>
      <c r="G2579">
        <v>45522</v>
      </c>
      <c r="H2579" s="116"/>
      <c r="I2579" s="116"/>
      <c r="L2579" s="170">
        <v>45804</v>
      </c>
      <c r="M2579" s="116">
        <v>3118.2</v>
      </c>
      <c r="N2579" s="116">
        <v>3145.7</v>
      </c>
      <c r="O2579" s="116">
        <v>2955.4</v>
      </c>
      <c r="P2579" s="116">
        <v>2965.5</v>
      </c>
      <c r="Q2579" s="116">
        <v>3118.2</v>
      </c>
      <c r="R2579">
        <v>690461</v>
      </c>
    </row>
    <row r="2580" spans="1:18" x14ac:dyDescent="0.25">
      <c r="A2580" s="170">
        <v>45805</v>
      </c>
      <c r="B2580" s="116">
        <v>3396</v>
      </c>
      <c r="C2580" s="116">
        <v>3350</v>
      </c>
      <c r="D2580" s="116">
        <v>3109.5</v>
      </c>
      <c r="E2580" s="116">
        <v>3118.85</v>
      </c>
      <c r="F2580" s="116">
        <v>3350</v>
      </c>
      <c r="G2580">
        <v>47568</v>
      </c>
      <c r="H2580" s="116"/>
      <c r="I2580" s="116"/>
      <c r="L2580" s="170">
        <v>45805</v>
      </c>
      <c r="M2580" s="116">
        <v>3348.2</v>
      </c>
      <c r="N2580" s="116">
        <v>3398</v>
      </c>
      <c r="O2580" s="116">
        <v>3105.9</v>
      </c>
      <c r="P2580" s="116">
        <v>3131</v>
      </c>
      <c r="Q2580" s="116">
        <v>3348.2</v>
      </c>
      <c r="R2580">
        <v>797325</v>
      </c>
    </row>
    <row r="2581" spans="1:18" x14ac:dyDescent="0.25">
      <c r="A2581" s="170">
        <v>45806</v>
      </c>
      <c r="B2581" s="116">
        <v>3370</v>
      </c>
      <c r="C2581" s="116">
        <v>3269.05</v>
      </c>
      <c r="D2581" s="116">
        <v>3229</v>
      </c>
      <c r="E2581" s="116">
        <v>3348.95</v>
      </c>
      <c r="F2581" s="116">
        <v>3269.05</v>
      </c>
      <c r="G2581">
        <v>22072</v>
      </c>
      <c r="H2581" s="116"/>
      <c r="I2581" s="116"/>
      <c r="L2581" s="170">
        <v>45806</v>
      </c>
      <c r="M2581" s="116">
        <v>3263.4</v>
      </c>
      <c r="N2581" s="116">
        <v>3374.9</v>
      </c>
      <c r="O2581" s="116">
        <v>3228.9</v>
      </c>
      <c r="P2581" s="116">
        <v>3336</v>
      </c>
      <c r="Q2581" s="116">
        <v>3263.4</v>
      </c>
      <c r="R2581">
        <v>245166</v>
      </c>
    </row>
    <row r="2582" spans="1:18" x14ac:dyDescent="0.25">
      <c r="A2582" s="170">
        <v>45807</v>
      </c>
      <c r="B2582" s="116">
        <v>3360.4</v>
      </c>
      <c r="C2582" s="116">
        <v>3295</v>
      </c>
      <c r="D2582" s="116">
        <v>3234.95</v>
      </c>
      <c r="E2582" s="116">
        <v>3235</v>
      </c>
      <c r="F2582" s="116">
        <v>3295</v>
      </c>
      <c r="G2582">
        <v>12685</v>
      </c>
      <c r="H2582" s="116"/>
      <c r="I2582" s="116"/>
      <c r="L2582" s="170">
        <v>45807</v>
      </c>
      <c r="M2582" s="116">
        <v>3298.6</v>
      </c>
      <c r="N2582" s="116">
        <v>3359</v>
      </c>
      <c r="O2582" s="116">
        <v>3237.9</v>
      </c>
      <c r="P2582" s="116">
        <v>3249.9</v>
      </c>
      <c r="Q2582" s="116">
        <v>3298.6</v>
      </c>
      <c r="R2582">
        <v>292575</v>
      </c>
    </row>
    <row r="2583" spans="1:18" x14ac:dyDescent="0.25">
      <c r="A2583" s="170">
        <v>45810</v>
      </c>
      <c r="B2583" s="116">
        <v>3396.25</v>
      </c>
      <c r="C2583" s="116">
        <v>3271.55</v>
      </c>
      <c r="D2583" s="116">
        <v>3256</v>
      </c>
      <c r="E2583" s="116">
        <v>3295</v>
      </c>
      <c r="F2583" s="116">
        <v>3271.55</v>
      </c>
      <c r="G2583">
        <v>8744</v>
      </c>
      <c r="H2583" s="116"/>
      <c r="I2583" s="116"/>
      <c r="L2583" s="170">
        <v>45810</v>
      </c>
      <c r="M2583" s="116">
        <v>3271.1</v>
      </c>
      <c r="N2583" s="116">
        <v>3397.6</v>
      </c>
      <c r="O2583" s="116">
        <v>3252.6</v>
      </c>
      <c r="P2583" s="116">
        <v>3298</v>
      </c>
      <c r="Q2583" s="116">
        <v>3271.1</v>
      </c>
      <c r="R2583">
        <v>208929</v>
      </c>
    </row>
    <row r="2584" spans="1:18" x14ac:dyDescent="0.25">
      <c r="A2584" s="170">
        <v>45811</v>
      </c>
      <c r="B2584" s="116">
        <v>3330</v>
      </c>
      <c r="C2584" s="116">
        <v>3223.65</v>
      </c>
      <c r="D2584" s="116">
        <v>3195.25</v>
      </c>
      <c r="E2584" s="116">
        <v>3271.1</v>
      </c>
      <c r="F2584" s="116">
        <v>3223.65</v>
      </c>
      <c r="G2584">
        <v>6619</v>
      </c>
      <c r="H2584" s="116"/>
      <c r="I2584" s="116"/>
      <c r="L2584" s="170">
        <v>45811</v>
      </c>
      <c r="M2584" s="116">
        <v>3245.1</v>
      </c>
      <c r="N2584" s="116">
        <v>3332</v>
      </c>
      <c r="O2584" s="116">
        <v>3220</v>
      </c>
      <c r="P2584" s="116">
        <v>3270</v>
      </c>
      <c r="Q2584" s="116">
        <v>3245.1</v>
      </c>
      <c r="R2584">
        <v>121504</v>
      </c>
    </row>
    <row r="2585" spans="1:18" x14ac:dyDescent="0.25">
      <c r="A2585" s="170">
        <v>45812</v>
      </c>
      <c r="B2585" s="116">
        <v>3449.2</v>
      </c>
      <c r="C2585" s="116">
        <v>3427.35</v>
      </c>
      <c r="D2585" s="116">
        <v>3241.05</v>
      </c>
      <c r="E2585" s="116">
        <v>3300</v>
      </c>
      <c r="F2585" s="116">
        <v>3427.35</v>
      </c>
      <c r="G2585">
        <v>12978</v>
      </c>
      <c r="H2585" s="116"/>
      <c r="I2585" s="116"/>
      <c r="L2585" s="170">
        <v>45812</v>
      </c>
      <c r="M2585" s="116">
        <v>3420</v>
      </c>
      <c r="N2585" s="116">
        <v>3455.9</v>
      </c>
      <c r="O2585" s="116">
        <v>3238.8</v>
      </c>
      <c r="P2585" s="116">
        <v>3259</v>
      </c>
      <c r="Q2585" s="116">
        <v>3420</v>
      </c>
      <c r="R2585">
        <v>269490</v>
      </c>
    </row>
    <row r="2586" spans="1:18" x14ac:dyDescent="0.25">
      <c r="A2586" s="170">
        <v>45813</v>
      </c>
      <c r="B2586" s="116">
        <v>3515.95</v>
      </c>
      <c r="C2586" s="116">
        <v>3459.7</v>
      </c>
      <c r="D2586" s="116">
        <v>3403.05</v>
      </c>
      <c r="E2586" s="116">
        <v>3428.7</v>
      </c>
      <c r="F2586" s="116">
        <v>3459.7</v>
      </c>
      <c r="G2586">
        <v>13481</v>
      </c>
      <c r="H2586" s="116"/>
      <c r="I2586" s="116"/>
      <c r="L2586" s="170">
        <v>45813</v>
      </c>
      <c r="M2586" s="116">
        <v>3466.2</v>
      </c>
      <c r="N2586" s="116">
        <v>3515.7</v>
      </c>
      <c r="O2586" s="116">
        <v>3401.3</v>
      </c>
      <c r="P2586" s="116">
        <v>3440</v>
      </c>
      <c r="Q2586" s="116">
        <v>3466.2</v>
      </c>
      <c r="R2586">
        <v>207434</v>
      </c>
    </row>
    <row r="2587" spans="1:18" x14ac:dyDescent="0.25">
      <c r="A2587" s="170">
        <v>45814</v>
      </c>
      <c r="B2587" s="116">
        <v>3488.65</v>
      </c>
      <c r="C2587" s="116">
        <v>3431.5</v>
      </c>
      <c r="D2587" s="116">
        <v>3366.95</v>
      </c>
      <c r="E2587" s="116">
        <v>3458</v>
      </c>
      <c r="F2587" s="116">
        <v>3431.5</v>
      </c>
      <c r="G2587">
        <v>5384</v>
      </c>
      <c r="H2587" s="116"/>
      <c r="I2587" s="116"/>
      <c r="L2587" s="170">
        <v>45814</v>
      </c>
      <c r="M2587" s="116">
        <v>3438.5</v>
      </c>
      <c r="N2587" s="116">
        <v>3490</v>
      </c>
      <c r="O2587" s="116">
        <v>3367.7</v>
      </c>
      <c r="P2587" s="116">
        <v>3451.1</v>
      </c>
      <c r="Q2587" s="116">
        <v>3438.5</v>
      </c>
      <c r="R2587">
        <v>149126</v>
      </c>
    </row>
    <row r="2588" spans="1:18" x14ac:dyDescent="0.25">
      <c r="A2588" s="170">
        <v>45817</v>
      </c>
      <c r="B2588" s="116">
        <v>3500</v>
      </c>
      <c r="C2588" s="116">
        <v>3396.15</v>
      </c>
      <c r="D2588" s="116">
        <v>3386.8</v>
      </c>
      <c r="E2588" s="116">
        <v>3446</v>
      </c>
      <c r="F2588" s="116">
        <v>3396.15</v>
      </c>
      <c r="G2588">
        <v>2496</v>
      </c>
      <c r="H2588" s="116"/>
      <c r="I2588" s="116"/>
      <c r="L2588" s="170">
        <v>45817</v>
      </c>
      <c r="M2588" s="116">
        <v>3397.9</v>
      </c>
      <c r="N2588" s="116">
        <v>3505</v>
      </c>
      <c r="O2588" s="116">
        <v>3387</v>
      </c>
      <c r="P2588" s="116">
        <v>3455</v>
      </c>
      <c r="Q2588" s="116">
        <v>3397.9</v>
      </c>
      <c r="R2588">
        <v>125137</v>
      </c>
    </row>
    <row r="2589" spans="1:18" x14ac:dyDescent="0.25">
      <c r="A2589" s="170">
        <v>45818</v>
      </c>
      <c r="B2589" s="116">
        <v>3439</v>
      </c>
      <c r="C2589" s="116">
        <v>3398.35</v>
      </c>
      <c r="D2589" s="116">
        <v>3344</v>
      </c>
      <c r="E2589" s="116">
        <v>3402.05</v>
      </c>
      <c r="F2589" s="116">
        <v>3398.35</v>
      </c>
      <c r="G2589">
        <v>3151</v>
      </c>
      <c r="H2589" s="116"/>
      <c r="I2589" s="116"/>
      <c r="L2589" s="170">
        <v>45818</v>
      </c>
      <c r="M2589" s="116">
        <v>3398.4</v>
      </c>
      <c r="N2589" s="116">
        <v>3450</v>
      </c>
      <c r="O2589" s="116">
        <v>3346</v>
      </c>
      <c r="P2589" s="116">
        <v>3411.7</v>
      </c>
      <c r="Q2589" s="116">
        <v>3398.4</v>
      </c>
      <c r="R2589">
        <v>112904</v>
      </c>
    </row>
    <row r="2590" spans="1:18" x14ac:dyDescent="0.25">
      <c r="A2590" s="170">
        <v>45819</v>
      </c>
      <c r="B2590" s="116">
        <v>3459.95</v>
      </c>
      <c r="C2590" s="116">
        <v>3379</v>
      </c>
      <c r="D2590" s="116">
        <v>3352.4</v>
      </c>
      <c r="E2590" s="116">
        <v>3352.4</v>
      </c>
      <c r="F2590" s="116">
        <v>3379</v>
      </c>
      <c r="G2590">
        <v>4062</v>
      </c>
      <c r="H2590" s="116"/>
      <c r="I2590" s="116"/>
      <c r="L2590" s="170">
        <v>45819</v>
      </c>
      <c r="M2590" s="116">
        <v>3378</v>
      </c>
      <c r="N2590" s="116">
        <v>3467</v>
      </c>
      <c r="O2590" s="116">
        <v>3365.2</v>
      </c>
      <c r="P2590" s="116">
        <v>3402.1</v>
      </c>
      <c r="Q2590" s="116">
        <v>3378</v>
      </c>
      <c r="R2590">
        <v>99844</v>
      </c>
    </row>
    <row r="2591" spans="1:18" x14ac:dyDescent="0.25">
      <c r="A2591" s="170">
        <v>45820</v>
      </c>
      <c r="B2591" s="116">
        <v>3434.1</v>
      </c>
      <c r="C2591" s="116">
        <v>3318.7</v>
      </c>
      <c r="D2591" s="116">
        <v>3309.65</v>
      </c>
      <c r="E2591" s="116">
        <v>3399.05</v>
      </c>
      <c r="F2591" s="116">
        <v>3318.7</v>
      </c>
      <c r="G2591">
        <v>6110</v>
      </c>
      <c r="H2591" s="116"/>
      <c r="I2591" s="116"/>
      <c r="L2591" s="170">
        <v>45820</v>
      </c>
      <c r="M2591" s="116">
        <v>3320</v>
      </c>
      <c r="N2591" s="116">
        <v>3439.8</v>
      </c>
      <c r="O2591" s="116">
        <v>3310.3</v>
      </c>
      <c r="P2591" s="116">
        <v>3398</v>
      </c>
      <c r="Q2591" s="116">
        <v>3320</v>
      </c>
      <c r="R2591">
        <v>166419</v>
      </c>
    </row>
    <row r="2592" spans="1:18" x14ac:dyDescent="0.25">
      <c r="A2592" s="170">
        <v>45821</v>
      </c>
      <c r="B2592" s="116">
        <v>3329</v>
      </c>
      <c r="C2592" s="116">
        <v>3299.05</v>
      </c>
      <c r="D2592" s="116">
        <v>3255.6</v>
      </c>
      <c r="E2592" s="116">
        <v>3255.6</v>
      </c>
      <c r="F2592" s="116">
        <v>3299.05</v>
      </c>
      <c r="G2592">
        <v>3053</v>
      </c>
      <c r="H2592" s="116"/>
      <c r="I2592" s="116"/>
      <c r="L2592" s="170">
        <v>45821</v>
      </c>
      <c r="M2592" s="116">
        <v>3295</v>
      </c>
      <c r="N2592" s="116">
        <v>3331.6</v>
      </c>
      <c r="O2592" s="116">
        <v>3258.6</v>
      </c>
      <c r="P2592" s="116">
        <v>3300</v>
      </c>
      <c r="Q2592" s="116">
        <v>3295</v>
      </c>
      <c r="R2592">
        <v>105723</v>
      </c>
    </row>
    <row r="2593" spans="1:18" x14ac:dyDescent="0.25">
      <c r="A2593" s="170">
        <v>45824</v>
      </c>
      <c r="B2593" s="116">
        <v>3380.8</v>
      </c>
      <c r="C2593" s="116">
        <v>3366.5</v>
      </c>
      <c r="D2593" s="116">
        <v>3190.7</v>
      </c>
      <c r="E2593" s="116">
        <v>3190.7</v>
      </c>
      <c r="F2593" s="116">
        <v>3366.5</v>
      </c>
      <c r="G2593">
        <v>5896</v>
      </c>
      <c r="H2593" s="116"/>
      <c r="I2593" s="116"/>
      <c r="L2593" s="170">
        <v>45824</v>
      </c>
      <c r="M2593" s="116">
        <v>3366.8</v>
      </c>
      <c r="N2593" s="116">
        <v>3381.1</v>
      </c>
      <c r="O2593" s="116">
        <v>3234.3</v>
      </c>
      <c r="P2593" s="116">
        <v>3285.7</v>
      </c>
      <c r="Q2593" s="116">
        <v>3366.8</v>
      </c>
      <c r="R2593">
        <v>82350</v>
      </c>
    </row>
    <row r="2594" spans="1:18" x14ac:dyDescent="0.25">
      <c r="A2594" s="170">
        <v>45825</v>
      </c>
      <c r="B2594" s="116">
        <v>3324.6</v>
      </c>
      <c r="C2594" s="116">
        <v>3252.3</v>
      </c>
      <c r="D2594" s="116">
        <v>3238</v>
      </c>
      <c r="E2594" s="116">
        <v>3305.05</v>
      </c>
      <c r="F2594" s="116">
        <v>3252.3</v>
      </c>
      <c r="G2594">
        <v>2694</v>
      </c>
      <c r="H2594" s="116"/>
      <c r="I2594" s="116"/>
      <c r="L2594" s="170">
        <v>45825</v>
      </c>
      <c r="M2594" s="116">
        <v>3254</v>
      </c>
      <c r="N2594" s="116">
        <v>3356.7</v>
      </c>
      <c r="O2594" s="116">
        <v>3240</v>
      </c>
      <c r="P2594" s="116">
        <v>3344</v>
      </c>
      <c r="Q2594" s="116">
        <v>3254</v>
      </c>
      <c r="R2594">
        <v>145878</v>
      </c>
    </row>
    <row r="2595" spans="1:18" x14ac:dyDescent="0.25">
      <c r="A2595" s="170">
        <v>45826</v>
      </c>
      <c r="B2595" s="116">
        <v>3304.9</v>
      </c>
      <c r="C2595" s="116">
        <v>3284.7</v>
      </c>
      <c r="D2595" s="116">
        <v>3222.15</v>
      </c>
      <c r="E2595" s="116">
        <v>3222.15</v>
      </c>
      <c r="F2595" s="116">
        <v>3284.7</v>
      </c>
      <c r="G2595">
        <v>2177</v>
      </c>
      <c r="H2595" s="116"/>
      <c r="I2595" s="116"/>
      <c r="L2595" s="170">
        <v>45826</v>
      </c>
      <c r="M2595" s="116">
        <v>3286.4</v>
      </c>
      <c r="N2595" s="116">
        <v>3306.7</v>
      </c>
      <c r="O2595" s="116">
        <v>3240.1</v>
      </c>
      <c r="P2595" s="116">
        <v>3240.1</v>
      </c>
      <c r="Q2595" s="116">
        <v>3286.4</v>
      </c>
      <c r="R2595">
        <v>151746</v>
      </c>
    </row>
    <row r="2596" spans="1:18" x14ac:dyDescent="0.25">
      <c r="A2596" s="170">
        <v>45827</v>
      </c>
      <c r="B2596" s="116">
        <v>3284.3</v>
      </c>
      <c r="C2596" s="116">
        <v>3194</v>
      </c>
      <c r="D2596" s="116">
        <v>3178.3</v>
      </c>
      <c r="E2596" s="116">
        <v>3284.3</v>
      </c>
      <c r="F2596" s="116">
        <v>3194</v>
      </c>
      <c r="G2596">
        <v>6123</v>
      </c>
      <c r="H2596" s="116"/>
      <c r="I2596" s="116"/>
      <c r="L2596" s="170">
        <v>45827</v>
      </c>
      <c r="M2596" s="116">
        <v>3199.2</v>
      </c>
      <c r="N2596" s="116">
        <v>3293.4</v>
      </c>
      <c r="O2596" s="116">
        <v>3175</v>
      </c>
      <c r="P2596" s="116">
        <v>3250</v>
      </c>
      <c r="Q2596" s="116">
        <v>3199.2</v>
      </c>
      <c r="R2596">
        <v>67083</v>
      </c>
    </row>
    <row r="2597" spans="1:18" x14ac:dyDescent="0.25">
      <c r="A2597" s="170">
        <v>45828</v>
      </c>
      <c r="B2597" s="116">
        <v>3253.95</v>
      </c>
      <c r="C2597" s="116">
        <v>3205.2</v>
      </c>
      <c r="D2597" s="116">
        <v>3189.85</v>
      </c>
      <c r="E2597" s="116">
        <v>3195</v>
      </c>
      <c r="F2597" s="116">
        <v>3205.2</v>
      </c>
      <c r="G2597">
        <v>2211</v>
      </c>
      <c r="H2597" s="116"/>
      <c r="I2597" s="116"/>
      <c r="L2597" s="170">
        <v>45828</v>
      </c>
      <c r="M2597" s="116">
        <v>3213.5</v>
      </c>
      <c r="N2597" s="116">
        <v>3255</v>
      </c>
      <c r="O2597" s="116">
        <v>3176</v>
      </c>
      <c r="P2597" s="116">
        <v>3190.2</v>
      </c>
      <c r="Q2597" s="116">
        <v>3213.5</v>
      </c>
      <c r="R2597">
        <v>123913</v>
      </c>
    </row>
    <row r="2598" spans="1:18" x14ac:dyDescent="0.25">
      <c r="A2598" s="170">
        <v>45831</v>
      </c>
      <c r="B2598" s="116">
        <v>3211.95</v>
      </c>
      <c r="C2598" s="116">
        <v>3169.3</v>
      </c>
      <c r="D2598" s="116">
        <v>3152.05</v>
      </c>
      <c r="E2598" s="116">
        <v>3152.05</v>
      </c>
      <c r="F2598" s="116">
        <v>3169.3</v>
      </c>
      <c r="G2598">
        <v>1700</v>
      </c>
      <c r="H2598" s="116"/>
      <c r="I2598" s="116"/>
      <c r="L2598" s="170">
        <v>45831</v>
      </c>
      <c r="M2598" s="116">
        <v>3171.4</v>
      </c>
      <c r="N2598" s="116">
        <v>3215</v>
      </c>
      <c r="O2598" s="116">
        <v>3153.9</v>
      </c>
      <c r="P2598" s="116">
        <v>3176.5</v>
      </c>
      <c r="Q2598" s="116">
        <v>3171.4</v>
      </c>
      <c r="R2598">
        <v>79994</v>
      </c>
    </row>
    <row r="2599" spans="1:18" x14ac:dyDescent="0.25">
      <c r="A2599" s="170">
        <v>45832</v>
      </c>
      <c r="B2599" s="116">
        <v>3277</v>
      </c>
      <c r="C2599" s="116">
        <v>3227.35</v>
      </c>
      <c r="D2599" s="116">
        <v>3199.95</v>
      </c>
      <c r="E2599" s="116">
        <v>3199.95</v>
      </c>
      <c r="F2599" s="116">
        <v>3227.35</v>
      </c>
      <c r="G2599">
        <v>1436</v>
      </c>
      <c r="H2599" s="116"/>
      <c r="I2599" s="116"/>
      <c r="L2599" s="170">
        <v>45832</v>
      </c>
      <c r="M2599" s="116">
        <v>3229.1</v>
      </c>
      <c r="N2599" s="116">
        <v>3280</v>
      </c>
      <c r="O2599" s="116">
        <v>3186</v>
      </c>
      <c r="P2599" s="116">
        <v>3186</v>
      </c>
      <c r="Q2599" s="116">
        <v>3229.1</v>
      </c>
      <c r="R2599">
        <v>109870</v>
      </c>
    </row>
    <row r="2600" spans="1:18" x14ac:dyDescent="0.25">
      <c r="A2600" s="170">
        <v>45833</v>
      </c>
      <c r="B2600" s="116">
        <v>3283.35</v>
      </c>
      <c r="C2600" s="116">
        <v>3262.85</v>
      </c>
      <c r="D2600" s="116">
        <v>3235.4</v>
      </c>
      <c r="E2600" s="116">
        <v>3263.05</v>
      </c>
      <c r="F2600" s="116">
        <v>3262.85</v>
      </c>
      <c r="G2600">
        <v>653</v>
      </c>
      <c r="H2600" s="116"/>
      <c r="I2600" s="116"/>
      <c r="L2600" s="170">
        <v>45833</v>
      </c>
      <c r="M2600" s="116">
        <v>3258.8</v>
      </c>
      <c r="N2600" s="116">
        <v>3288.4</v>
      </c>
      <c r="O2600" s="116">
        <v>3233.2</v>
      </c>
      <c r="P2600" s="116">
        <v>3254.8</v>
      </c>
      <c r="Q2600" s="116">
        <v>3258.8</v>
      </c>
      <c r="R2600">
        <v>96385</v>
      </c>
    </row>
    <row r="2601" spans="1:18" x14ac:dyDescent="0.25">
      <c r="A2601" s="170">
        <v>45834</v>
      </c>
      <c r="B2601" s="116">
        <v>3307.15</v>
      </c>
      <c r="C2601" s="116">
        <v>3297.35</v>
      </c>
      <c r="D2601" s="116">
        <v>3249.55</v>
      </c>
      <c r="E2601" s="116">
        <v>3269.95</v>
      </c>
      <c r="F2601" s="116">
        <v>3297.35</v>
      </c>
      <c r="G2601">
        <v>3202</v>
      </c>
      <c r="H2601" s="116"/>
      <c r="I2601" s="116"/>
      <c r="L2601" s="170">
        <v>45834</v>
      </c>
      <c r="M2601" s="116">
        <v>3301.9</v>
      </c>
      <c r="N2601" s="116">
        <v>3309</v>
      </c>
      <c r="O2601" s="116">
        <v>3247.1</v>
      </c>
      <c r="P2601" s="116">
        <v>3270</v>
      </c>
      <c r="Q2601" s="116">
        <v>3301.9</v>
      </c>
      <c r="R2601">
        <v>156629</v>
      </c>
    </row>
    <row r="2602" spans="1:18" x14ac:dyDescent="0.25">
      <c r="A2602" s="170">
        <v>45835</v>
      </c>
      <c r="B2602" s="116">
        <v>3500</v>
      </c>
      <c r="C2602" s="116">
        <v>3457.7</v>
      </c>
      <c r="D2602" s="116">
        <v>3297.35</v>
      </c>
      <c r="E2602" s="116">
        <v>3318</v>
      </c>
      <c r="F2602" s="116">
        <v>3457.7</v>
      </c>
      <c r="G2602">
        <v>6651</v>
      </c>
      <c r="H2602" s="116"/>
      <c r="I2602" s="116"/>
      <c r="L2602" s="170">
        <v>45835</v>
      </c>
      <c r="M2602" s="116">
        <v>3439.6</v>
      </c>
      <c r="N2602" s="116">
        <v>3500</v>
      </c>
      <c r="O2602" s="116">
        <v>3292.8</v>
      </c>
      <c r="P2602" s="116">
        <v>3324.9</v>
      </c>
      <c r="Q2602" s="116">
        <v>3439.6</v>
      </c>
      <c r="R2602">
        <v>499010</v>
      </c>
    </row>
    <row r="2603" spans="1:18" x14ac:dyDescent="0.25">
      <c r="A2603" s="170">
        <v>45838</v>
      </c>
      <c r="B2603" s="116">
        <v>3460.8</v>
      </c>
      <c r="C2603" s="116">
        <v>3386.7</v>
      </c>
      <c r="D2603" s="116">
        <v>3348.6</v>
      </c>
      <c r="E2603" s="116">
        <v>3457.7</v>
      </c>
      <c r="F2603" s="116">
        <v>3386.7</v>
      </c>
      <c r="G2603">
        <v>3675</v>
      </c>
      <c r="H2603" s="116"/>
      <c r="I2603" s="116"/>
      <c r="L2603" s="170">
        <v>45838</v>
      </c>
      <c r="M2603" s="116">
        <v>3388.1</v>
      </c>
      <c r="N2603" s="116">
        <v>3456</v>
      </c>
      <c r="O2603" s="116">
        <v>3351</v>
      </c>
      <c r="P2603" s="116">
        <v>3456</v>
      </c>
      <c r="Q2603" s="116">
        <v>3388.1</v>
      </c>
      <c r="R2603">
        <v>176697</v>
      </c>
    </row>
    <row r="2604" spans="1:18" x14ac:dyDescent="0.25">
      <c r="A2604" s="170">
        <v>45839</v>
      </c>
      <c r="B2604" s="116">
        <v>3450.05</v>
      </c>
      <c r="C2604" s="116">
        <v>3351.4</v>
      </c>
      <c r="D2604" s="116">
        <v>3345.05</v>
      </c>
      <c r="E2604" s="116">
        <v>3419.95</v>
      </c>
      <c r="F2604" s="116">
        <v>3351.4</v>
      </c>
      <c r="G2604">
        <v>4114</v>
      </c>
      <c r="H2604" s="116"/>
      <c r="I2604" s="116"/>
      <c r="L2604" s="170">
        <v>45839</v>
      </c>
      <c r="M2604" s="116">
        <v>3353.3</v>
      </c>
      <c r="N2604" s="116">
        <v>3450</v>
      </c>
      <c r="O2604" s="116">
        <v>3345.1</v>
      </c>
      <c r="P2604" s="116">
        <v>3388.7</v>
      </c>
      <c r="Q2604" s="116">
        <v>3353.3</v>
      </c>
      <c r="R2604">
        <v>122742</v>
      </c>
    </row>
    <row r="2605" spans="1:18" x14ac:dyDescent="0.25">
      <c r="A2605" s="170">
        <v>45840</v>
      </c>
      <c r="B2605" s="116">
        <v>3375</v>
      </c>
      <c r="C2605" s="116">
        <v>3298.05</v>
      </c>
      <c r="D2605" s="116">
        <v>3268.9</v>
      </c>
      <c r="E2605" s="116">
        <v>3375</v>
      </c>
      <c r="F2605" s="116">
        <v>3298.05</v>
      </c>
      <c r="G2605">
        <v>4095</v>
      </c>
      <c r="H2605" s="116"/>
      <c r="I2605" s="116"/>
      <c r="L2605" s="170">
        <v>45840</v>
      </c>
      <c r="M2605" s="116">
        <v>3293.8</v>
      </c>
      <c r="N2605" s="116">
        <v>3369.2</v>
      </c>
      <c r="O2605" s="116">
        <v>3267</v>
      </c>
      <c r="P2605" s="116">
        <v>3364.6</v>
      </c>
      <c r="Q2605" s="116">
        <v>3293.8</v>
      </c>
      <c r="R2605">
        <v>75713</v>
      </c>
    </row>
    <row r="2606" spans="1:18" x14ac:dyDescent="0.25">
      <c r="A2606" s="170">
        <v>45841</v>
      </c>
      <c r="B2606" s="116">
        <v>3362.55</v>
      </c>
      <c r="C2606" s="116">
        <v>3298.3</v>
      </c>
      <c r="D2606" s="116">
        <v>3272</v>
      </c>
      <c r="E2606" s="116">
        <v>3272</v>
      </c>
      <c r="F2606" s="116">
        <v>3298.3</v>
      </c>
      <c r="G2606">
        <v>4178</v>
      </c>
      <c r="H2606" s="116"/>
      <c r="I2606" s="116"/>
      <c r="L2606" s="170">
        <v>45841</v>
      </c>
      <c r="M2606" s="116">
        <v>3302</v>
      </c>
      <c r="N2606" s="116">
        <v>3363.8</v>
      </c>
      <c r="O2606" s="116">
        <v>3264</v>
      </c>
      <c r="P2606" s="116">
        <v>3264</v>
      </c>
      <c r="Q2606" s="116">
        <v>3302</v>
      </c>
      <c r="R2606">
        <v>80140</v>
      </c>
    </row>
    <row r="2607" spans="1:18" x14ac:dyDescent="0.25">
      <c r="A2607" s="170">
        <v>45842</v>
      </c>
      <c r="B2607" s="116">
        <v>3344.05</v>
      </c>
      <c r="C2607" s="116">
        <v>3285.7</v>
      </c>
      <c r="D2607" s="116">
        <v>3274.1</v>
      </c>
      <c r="E2607" s="116">
        <v>3310</v>
      </c>
      <c r="F2607" s="116">
        <v>3285.7</v>
      </c>
      <c r="G2607">
        <v>1537</v>
      </c>
      <c r="H2607" s="116"/>
      <c r="I2607" s="116"/>
      <c r="L2607" s="170">
        <v>45842</v>
      </c>
      <c r="M2607" s="116">
        <v>3283.7</v>
      </c>
      <c r="N2607" s="116">
        <v>3348</v>
      </c>
      <c r="O2607" s="116">
        <v>3275</v>
      </c>
      <c r="P2607" s="116">
        <v>3303</v>
      </c>
      <c r="Q2607" s="116">
        <v>3283.7</v>
      </c>
      <c r="R2607">
        <v>78280</v>
      </c>
    </row>
    <row r="2608" spans="1:18" x14ac:dyDescent="0.25">
      <c r="A2608" s="170">
        <v>45845</v>
      </c>
      <c r="B2608" s="116">
        <v>3356</v>
      </c>
      <c r="C2608" s="116">
        <v>3281.65</v>
      </c>
      <c r="D2608" s="116">
        <v>3271.45</v>
      </c>
      <c r="E2608" s="116">
        <v>3302.1</v>
      </c>
      <c r="F2608" s="116">
        <v>3281.65</v>
      </c>
      <c r="G2608">
        <v>2844</v>
      </c>
      <c r="H2608" s="116"/>
      <c r="I2608" s="116"/>
      <c r="L2608" s="170">
        <v>45845</v>
      </c>
      <c r="M2608" s="116">
        <v>3285</v>
      </c>
      <c r="N2608" s="116">
        <v>3358.9</v>
      </c>
      <c r="O2608" s="116">
        <v>3274</v>
      </c>
      <c r="P2608" s="116">
        <v>3287.5</v>
      </c>
      <c r="Q2608" s="116">
        <v>3285</v>
      </c>
      <c r="R2608">
        <v>73720</v>
      </c>
    </row>
    <row r="2609" spans="1:18" x14ac:dyDescent="0.25">
      <c r="A2609" s="170">
        <v>45846</v>
      </c>
      <c r="B2609" s="116">
        <v>3336.6</v>
      </c>
      <c r="C2609" s="116">
        <v>3259.3</v>
      </c>
      <c r="D2609" s="116">
        <v>3249.8</v>
      </c>
      <c r="E2609" s="116">
        <v>3250.15</v>
      </c>
      <c r="F2609" s="116">
        <v>3259.3</v>
      </c>
      <c r="G2609">
        <v>1762</v>
      </c>
      <c r="H2609" s="116"/>
      <c r="I2609" s="116"/>
      <c r="L2609" s="170">
        <v>45846</v>
      </c>
      <c r="M2609" s="116">
        <v>3260.7</v>
      </c>
      <c r="N2609" s="116">
        <v>3339</v>
      </c>
      <c r="O2609" s="116">
        <v>3246.1</v>
      </c>
      <c r="P2609" s="116">
        <v>3280</v>
      </c>
      <c r="Q2609" s="116">
        <v>3260.7</v>
      </c>
      <c r="R2609">
        <v>75369</v>
      </c>
    </row>
    <row r="2610" spans="1:18" x14ac:dyDescent="0.25">
      <c r="A2610" s="170">
        <v>45847</v>
      </c>
      <c r="B2610" s="116">
        <v>3343.05</v>
      </c>
      <c r="C2610" s="116">
        <v>3300.35</v>
      </c>
      <c r="D2610" s="116">
        <v>3274.6</v>
      </c>
      <c r="E2610" s="116">
        <v>3287.45</v>
      </c>
      <c r="F2610" s="116">
        <v>3300.35</v>
      </c>
      <c r="G2610">
        <v>1225</v>
      </c>
      <c r="H2610" s="116"/>
      <c r="I2610" s="116"/>
      <c r="L2610" s="170">
        <v>45847</v>
      </c>
      <c r="M2610" s="116">
        <v>3309</v>
      </c>
      <c r="N2610" s="116">
        <v>3344</v>
      </c>
      <c r="O2610" s="116">
        <v>3266.1</v>
      </c>
      <c r="P2610" s="116">
        <v>3266.1</v>
      </c>
      <c r="Q2610" s="116">
        <v>3309</v>
      </c>
      <c r="R2610">
        <v>83528</v>
      </c>
    </row>
    <row r="2611" spans="1:18" x14ac:dyDescent="0.25">
      <c r="A2611" s="170">
        <v>45848</v>
      </c>
      <c r="B2611" s="116">
        <v>3301.5</v>
      </c>
      <c r="C2611" s="116">
        <v>3250.05</v>
      </c>
      <c r="D2611" s="116">
        <v>3248</v>
      </c>
      <c r="E2611" s="116">
        <v>3301.5</v>
      </c>
      <c r="F2611" s="116">
        <v>3250.05</v>
      </c>
      <c r="G2611">
        <v>912</v>
      </c>
      <c r="H2611" s="116"/>
      <c r="I2611" s="116"/>
      <c r="L2611" s="170">
        <v>45848</v>
      </c>
      <c r="M2611" s="116">
        <v>3251.9</v>
      </c>
      <c r="N2611" s="116">
        <v>3319.9</v>
      </c>
      <c r="O2611" s="116">
        <v>3246</v>
      </c>
      <c r="P2611" s="116">
        <v>3309.1</v>
      </c>
      <c r="Q2611" s="116">
        <v>3251.9</v>
      </c>
      <c r="R2611">
        <v>45314</v>
      </c>
    </row>
    <row r="2612" spans="1:18" x14ac:dyDescent="0.25">
      <c r="A2612" s="170">
        <v>45849</v>
      </c>
      <c r="B2612" s="116">
        <v>3266.95</v>
      </c>
      <c r="C2612" s="116">
        <v>3242.3</v>
      </c>
      <c r="D2612" s="116">
        <v>3226.9</v>
      </c>
      <c r="E2612" s="116">
        <v>3244.3</v>
      </c>
      <c r="F2612" s="116">
        <v>3242.3</v>
      </c>
      <c r="G2612">
        <v>1356</v>
      </c>
      <c r="H2612" s="116"/>
      <c r="I2612" s="116"/>
      <c r="L2612" s="170">
        <v>45849</v>
      </c>
      <c r="M2612" s="116">
        <v>3243.8</v>
      </c>
      <c r="N2612" s="116">
        <v>3272.5</v>
      </c>
      <c r="O2612" s="116">
        <v>3225.4</v>
      </c>
      <c r="P2612" s="116">
        <v>3244</v>
      </c>
      <c r="Q2612" s="116">
        <v>3243.8</v>
      </c>
      <c r="R2612">
        <v>43722</v>
      </c>
    </row>
    <row r="2613" spans="1:18" x14ac:dyDescent="0.25">
      <c r="A2613" s="170">
        <v>45852</v>
      </c>
      <c r="B2613" s="116">
        <v>3258.5</v>
      </c>
      <c r="C2613" s="116">
        <v>3187.05</v>
      </c>
      <c r="D2613" s="116">
        <v>3175.9</v>
      </c>
      <c r="E2613" s="116">
        <v>3258.5</v>
      </c>
      <c r="F2613" s="116">
        <v>3187.05</v>
      </c>
      <c r="G2613">
        <v>2012</v>
      </c>
      <c r="H2613" s="116"/>
      <c r="I2613" s="116"/>
      <c r="L2613" s="170">
        <v>45852</v>
      </c>
      <c r="M2613" s="116">
        <v>3187.9</v>
      </c>
      <c r="N2613" s="116">
        <v>3254.9</v>
      </c>
      <c r="O2613" s="116">
        <v>3171.6</v>
      </c>
      <c r="P2613" s="116">
        <v>3243.8</v>
      </c>
      <c r="Q2613" s="116">
        <v>3187.9</v>
      </c>
      <c r="R2613">
        <v>77362</v>
      </c>
    </row>
    <row r="2614" spans="1:18" x14ac:dyDescent="0.25">
      <c r="A2614" s="170">
        <v>45853</v>
      </c>
      <c r="B2614" s="116">
        <v>3221.95</v>
      </c>
      <c r="C2614" s="116">
        <v>3199.9</v>
      </c>
      <c r="D2614" s="116">
        <v>3182.2</v>
      </c>
      <c r="E2614" s="116">
        <v>3202.95</v>
      </c>
      <c r="F2614" s="116">
        <v>3199.9</v>
      </c>
      <c r="G2614">
        <v>1594</v>
      </c>
      <c r="H2614" s="116"/>
      <c r="I2614" s="116"/>
      <c r="L2614" s="170">
        <v>45853</v>
      </c>
      <c r="M2614" s="116">
        <v>3199.3</v>
      </c>
      <c r="N2614" s="116">
        <v>3227.2</v>
      </c>
      <c r="O2614" s="116">
        <v>3176.8</v>
      </c>
      <c r="P2614" s="116">
        <v>3190.1</v>
      </c>
      <c r="Q2614" s="116">
        <v>3199.3</v>
      </c>
      <c r="R2614">
        <v>57695</v>
      </c>
    </row>
    <row r="2615" spans="1:18" x14ac:dyDescent="0.25">
      <c r="A2615" s="170">
        <v>45854</v>
      </c>
      <c r="B2615" s="116">
        <v>3200.5</v>
      </c>
      <c r="C2615" s="116">
        <v>3164.05</v>
      </c>
      <c r="D2615" s="116">
        <v>3157.2</v>
      </c>
      <c r="E2615" s="116">
        <v>3185.35</v>
      </c>
      <c r="F2615" s="116">
        <v>3164.05</v>
      </c>
      <c r="G2615">
        <v>1823</v>
      </c>
      <c r="H2615" s="116"/>
      <c r="I2615" s="116"/>
      <c r="L2615" s="170">
        <v>45854</v>
      </c>
      <c r="M2615" s="116">
        <v>3167.6</v>
      </c>
      <c r="N2615" s="116">
        <v>3200.5</v>
      </c>
      <c r="O2615" s="116">
        <v>3153.9</v>
      </c>
      <c r="P2615" s="116">
        <v>3198</v>
      </c>
      <c r="Q2615" s="116">
        <v>3167.6</v>
      </c>
      <c r="R2615">
        <v>45839</v>
      </c>
    </row>
    <row r="2616" spans="1:18" x14ac:dyDescent="0.25">
      <c r="A2616" s="170">
        <v>45855</v>
      </c>
      <c r="B2616" s="116">
        <v>3196</v>
      </c>
      <c r="C2616" s="116">
        <v>3170.15</v>
      </c>
      <c r="D2616" s="116">
        <v>3159.85</v>
      </c>
      <c r="E2616" s="116">
        <v>3190</v>
      </c>
      <c r="F2616" s="116">
        <v>3170.15</v>
      </c>
      <c r="G2616">
        <v>1016</v>
      </c>
      <c r="H2616" s="116"/>
      <c r="I2616" s="116"/>
      <c r="L2616" s="170">
        <v>45855</v>
      </c>
      <c r="M2616" s="116">
        <v>3173.6</v>
      </c>
      <c r="N2616" s="116">
        <v>3196.8</v>
      </c>
      <c r="O2616" s="116">
        <v>3154.9</v>
      </c>
      <c r="P2616" s="116">
        <v>3170</v>
      </c>
      <c r="Q2616" s="116">
        <v>3173.6</v>
      </c>
      <c r="R2616">
        <v>46351</v>
      </c>
    </row>
    <row r="2617" spans="1:18" x14ac:dyDescent="0.25">
      <c r="A2617" s="170">
        <v>45856</v>
      </c>
      <c r="B2617" s="116">
        <v>3194.2</v>
      </c>
      <c r="C2617" s="116">
        <v>3144.45</v>
      </c>
      <c r="D2617" s="116">
        <v>3116.05</v>
      </c>
      <c r="E2617" s="116">
        <v>3190</v>
      </c>
      <c r="F2617" s="116">
        <v>3144.45</v>
      </c>
      <c r="G2617">
        <v>2185</v>
      </c>
      <c r="H2617" s="116"/>
      <c r="I2617" s="116"/>
      <c r="L2617" s="170">
        <v>45856</v>
      </c>
      <c r="M2617" s="116">
        <v>3138.4</v>
      </c>
      <c r="N2617" s="116">
        <v>3195.6</v>
      </c>
      <c r="O2617" s="116">
        <v>3112.5</v>
      </c>
      <c r="P2617" s="116">
        <v>3184</v>
      </c>
      <c r="Q2617" s="116">
        <v>3138.4</v>
      </c>
      <c r="R2617">
        <v>52526</v>
      </c>
    </row>
    <row r="2618" spans="1:18" x14ac:dyDescent="0.25">
      <c r="A2618" s="170">
        <v>45859</v>
      </c>
      <c r="B2618" s="116">
        <v>3144.45</v>
      </c>
      <c r="C2618" s="116">
        <v>3117.3</v>
      </c>
      <c r="D2618" s="116">
        <v>3073.75</v>
      </c>
      <c r="E2618" s="116">
        <v>3144.4</v>
      </c>
      <c r="F2618" s="116">
        <v>3117.3</v>
      </c>
      <c r="G2618">
        <v>3293</v>
      </c>
      <c r="H2618" s="116"/>
      <c r="I2618" s="116"/>
      <c r="L2618" s="170">
        <v>45859</v>
      </c>
      <c r="M2618" s="116">
        <v>3119.1</v>
      </c>
      <c r="N2618" s="116">
        <v>3149</v>
      </c>
      <c r="O2618" s="116">
        <v>3074.1</v>
      </c>
      <c r="P2618" s="116">
        <v>3138.4</v>
      </c>
      <c r="Q2618" s="116">
        <v>3119.1</v>
      </c>
      <c r="R2618">
        <v>54032</v>
      </c>
    </row>
    <row r="2619" spans="1:18" x14ac:dyDescent="0.25">
      <c r="A2619" s="170">
        <v>45860</v>
      </c>
      <c r="B2619" s="116">
        <v>3154.4</v>
      </c>
      <c r="C2619" s="116">
        <v>3098.4</v>
      </c>
      <c r="D2619" s="116">
        <v>3087.15</v>
      </c>
      <c r="E2619" s="116">
        <v>3139.35</v>
      </c>
      <c r="F2619" s="116">
        <v>3098.4</v>
      </c>
      <c r="G2619">
        <v>972</v>
      </c>
      <c r="H2619" s="116"/>
      <c r="I2619" s="116"/>
      <c r="L2619" s="170">
        <v>45860</v>
      </c>
      <c r="M2619" s="116">
        <v>3098.6</v>
      </c>
      <c r="N2619" s="116">
        <v>3152.2</v>
      </c>
      <c r="O2619" s="116">
        <v>3088</v>
      </c>
      <c r="P2619" s="116">
        <v>3134</v>
      </c>
      <c r="Q2619" s="116">
        <v>3098.6</v>
      </c>
      <c r="R2619">
        <v>55167</v>
      </c>
    </row>
    <row r="2620" spans="1:18" x14ac:dyDescent="0.25">
      <c r="A2620" s="170">
        <v>45861</v>
      </c>
      <c r="B2620" s="116">
        <v>3157.85</v>
      </c>
      <c r="C2620" s="116">
        <v>3130.55</v>
      </c>
      <c r="D2620" s="116">
        <v>3093.05</v>
      </c>
      <c r="E2620" s="116">
        <v>3109.6</v>
      </c>
      <c r="F2620" s="116">
        <v>3130.55</v>
      </c>
      <c r="G2620">
        <v>1331</v>
      </c>
      <c r="H2620" s="116"/>
      <c r="I2620" s="116"/>
      <c r="L2620" s="170">
        <v>45861</v>
      </c>
      <c r="M2620" s="116">
        <v>3131.4</v>
      </c>
      <c r="N2620" s="116">
        <v>3161</v>
      </c>
      <c r="O2620" s="116">
        <v>3090</v>
      </c>
      <c r="P2620" s="116">
        <v>3121.9</v>
      </c>
      <c r="Q2620" s="116">
        <v>3131.4</v>
      </c>
      <c r="R2620">
        <v>58819</v>
      </c>
    </row>
    <row r="2621" spans="1:18" x14ac:dyDescent="0.25">
      <c r="A2621" s="170">
        <v>45862</v>
      </c>
      <c r="B2621" s="116">
        <v>3179.1</v>
      </c>
      <c r="C2621" s="116">
        <v>3159.95</v>
      </c>
      <c r="D2621" s="116">
        <v>3104.85</v>
      </c>
      <c r="E2621" s="116">
        <v>3132</v>
      </c>
      <c r="F2621" s="116">
        <v>3159.95</v>
      </c>
      <c r="G2621">
        <v>1365</v>
      </c>
      <c r="H2621" s="116"/>
      <c r="I2621" s="116"/>
      <c r="L2621" s="170">
        <v>45862</v>
      </c>
      <c r="M2621" s="116">
        <v>3162.4</v>
      </c>
      <c r="N2621" s="116">
        <v>3177.9</v>
      </c>
      <c r="O2621" s="116">
        <v>3100</v>
      </c>
      <c r="P2621" s="116">
        <v>3130</v>
      </c>
      <c r="Q2621" s="116">
        <v>3162.4</v>
      </c>
      <c r="R2621">
        <v>68929</v>
      </c>
    </row>
    <row r="2622" spans="1:18" x14ac:dyDescent="0.25">
      <c r="A2622" s="170">
        <v>45863</v>
      </c>
      <c r="B2622" s="116">
        <v>3217.1</v>
      </c>
      <c r="C2622" s="116">
        <v>3154.75</v>
      </c>
      <c r="D2622" s="116">
        <v>3120.85</v>
      </c>
      <c r="E2622" s="116">
        <v>3180</v>
      </c>
      <c r="F2622" s="116">
        <v>3154.75</v>
      </c>
      <c r="G2622">
        <v>1590</v>
      </c>
      <c r="H2622" s="116"/>
      <c r="I2622" s="116"/>
      <c r="L2622" s="170">
        <v>45863</v>
      </c>
      <c r="M2622" s="116">
        <v>3144.2</v>
      </c>
      <c r="N2622" s="116">
        <v>3220</v>
      </c>
      <c r="O2622" s="116">
        <v>3120.4</v>
      </c>
      <c r="P2622" s="116">
        <v>3175</v>
      </c>
      <c r="Q2622" s="116">
        <v>3144.2</v>
      </c>
      <c r="R2622">
        <v>115563</v>
      </c>
    </row>
    <row r="2623" spans="1:18" x14ac:dyDescent="0.25">
      <c r="A2623" s="170">
        <v>45866</v>
      </c>
      <c r="B2623" s="116">
        <v>3160</v>
      </c>
      <c r="C2623" s="116">
        <v>3088.8</v>
      </c>
      <c r="D2623" s="116">
        <v>3071.65</v>
      </c>
      <c r="E2623" s="116">
        <v>3135</v>
      </c>
      <c r="F2623" s="116">
        <v>3088.8</v>
      </c>
      <c r="G2623">
        <v>2420</v>
      </c>
      <c r="H2623" s="116"/>
      <c r="I2623" s="116"/>
      <c r="L2623" s="170">
        <v>45866</v>
      </c>
      <c r="M2623" s="116">
        <v>3083.5</v>
      </c>
      <c r="N2623" s="116">
        <v>3161.9</v>
      </c>
      <c r="O2623" s="116">
        <v>3072.5</v>
      </c>
      <c r="P2623" s="116">
        <v>3144.2</v>
      </c>
      <c r="Q2623" s="116">
        <v>3083.5</v>
      </c>
      <c r="R2623">
        <v>54855</v>
      </c>
    </row>
    <row r="2624" spans="1:18" x14ac:dyDescent="0.25">
      <c r="A2624" s="170">
        <v>45867</v>
      </c>
      <c r="B2624" s="116">
        <v>3175.4</v>
      </c>
      <c r="C2624" s="116">
        <v>3144.35</v>
      </c>
      <c r="D2624" s="116">
        <v>3000</v>
      </c>
      <c r="E2624" s="116">
        <v>3065</v>
      </c>
      <c r="F2624" s="116">
        <v>3144.35</v>
      </c>
      <c r="G2624">
        <v>2863</v>
      </c>
      <c r="H2624" s="116"/>
      <c r="I2624" s="116"/>
      <c r="L2624" s="170">
        <v>45867</v>
      </c>
      <c r="M2624" s="116">
        <v>3150.2</v>
      </c>
      <c r="N2624" s="116">
        <v>3178.8</v>
      </c>
      <c r="O2624" s="116">
        <v>3083.5</v>
      </c>
      <c r="P2624" s="116">
        <v>3083.5</v>
      </c>
      <c r="Q2624" s="116">
        <v>3150.2</v>
      </c>
      <c r="R2624">
        <v>98969</v>
      </c>
    </row>
    <row r="2625" spans="1:18" x14ac:dyDescent="0.25">
      <c r="A2625" s="170">
        <v>45868</v>
      </c>
      <c r="B2625" s="116">
        <v>3200.35</v>
      </c>
      <c r="C2625" s="116">
        <v>3194.7</v>
      </c>
      <c r="D2625" s="116">
        <v>3145.05</v>
      </c>
      <c r="E2625" s="116">
        <v>3145.05</v>
      </c>
      <c r="F2625" s="116">
        <v>3194.7</v>
      </c>
      <c r="G2625">
        <v>1224</v>
      </c>
      <c r="H2625" s="116"/>
      <c r="I2625" s="116"/>
      <c r="L2625" s="170">
        <v>45868</v>
      </c>
      <c r="M2625" s="116">
        <v>3197</v>
      </c>
      <c r="N2625" s="116">
        <v>3200</v>
      </c>
      <c r="O2625" s="116">
        <v>3150.2</v>
      </c>
      <c r="P2625" s="116">
        <v>3150.8</v>
      </c>
      <c r="Q2625" s="116">
        <v>3197</v>
      </c>
      <c r="R2625">
        <v>96877</v>
      </c>
    </row>
    <row r="2626" spans="1:18" x14ac:dyDescent="0.25">
      <c r="A2626" s="170">
        <v>45869</v>
      </c>
      <c r="B2626" s="116">
        <v>3202.8</v>
      </c>
      <c r="C2626" s="116">
        <v>3158.15</v>
      </c>
      <c r="D2626" s="116">
        <v>3142</v>
      </c>
      <c r="E2626" s="116">
        <v>3160.05</v>
      </c>
      <c r="F2626" s="116">
        <v>3158.15</v>
      </c>
      <c r="G2626">
        <v>2326</v>
      </c>
      <c r="H2626" s="116"/>
      <c r="I2626" s="116"/>
      <c r="L2626" s="170">
        <v>45869</v>
      </c>
      <c r="M2626" s="116">
        <v>3162.6</v>
      </c>
      <c r="N2626" s="116">
        <v>3198.1</v>
      </c>
      <c r="O2626" s="116">
        <v>3135.2</v>
      </c>
      <c r="P2626" s="116">
        <v>3170</v>
      </c>
      <c r="Q2626" s="116">
        <v>3162.6</v>
      </c>
      <c r="R2626">
        <v>65839</v>
      </c>
    </row>
    <row r="2627" spans="1:18" x14ac:dyDescent="0.25">
      <c r="A2627" s="170">
        <v>45870</v>
      </c>
      <c r="B2627" s="116">
        <v>3180</v>
      </c>
      <c r="C2627" s="116">
        <v>2933.9</v>
      </c>
      <c r="D2627" s="116">
        <v>2893.55</v>
      </c>
      <c r="E2627" s="116">
        <v>3150</v>
      </c>
      <c r="F2627" s="116">
        <v>2933.9</v>
      </c>
      <c r="G2627">
        <v>10909</v>
      </c>
      <c r="H2627" s="116"/>
      <c r="I2627" s="116"/>
      <c r="L2627" s="170">
        <v>45870</v>
      </c>
      <c r="M2627" s="116">
        <v>2936.5</v>
      </c>
      <c r="N2627" s="116">
        <v>3184.3</v>
      </c>
      <c r="O2627" s="116">
        <v>2890</v>
      </c>
      <c r="P2627" s="116">
        <v>3162.9</v>
      </c>
      <c r="Q2627" s="116">
        <v>2936.5</v>
      </c>
      <c r="R2627">
        <v>282736</v>
      </c>
    </row>
    <row r="2628" spans="1:18" x14ac:dyDescent="0.25">
      <c r="A2628" s="170">
        <v>45873</v>
      </c>
      <c r="B2628" s="116">
        <v>2935.85</v>
      </c>
      <c r="C2628" s="116">
        <v>2865.25</v>
      </c>
      <c r="D2628" s="116">
        <v>2837.35</v>
      </c>
      <c r="E2628" s="116">
        <v>2935.85</v>
      </c>
      <c r="F2628" s="116">
        <v>2865.25</v>
      </c>
      <c r="G2628">
        <v>3210</v>
      </c>
      <c r="H2628" s="116"/>
      <c r="I2628" s="116"/>
      <c r="L2628" s="170">
        <v>45873</v>
      </c>
      <c r="M2628" s="116">
        <v>2869</v>
      </c>
      <c r="N2628" s="116">
        <v>2936</v>
      </c>
      <c r="O2628" s="116">
        <v>2828</v>
      </c>
      <c r="P2628" s="116">
        <v>2930.1</v>
      </c>
      <c r="Q2628" s="116">
        <v>2869</v>
      </c>
      <c r="R2628">
        <v>143804</v>
      </c>
    </row>
    <row r="2629" spans="1:18" x14ac:dyDescent="0.25">
      <c r="A2629" s="170">
        <v>45874</v>
      </c>
      <c r="B2629" s="116">
        <v>2890</v>
      </c>
      <c r="C2629" s="116">
        <v>2840.3</v>
      </c>
      <c r="D2629" s="116">
        <v>2812</v>
      </c>
      <c r="E2629" s="116">
        <v>2890</v>
      </c>
      <c r="F2629" s="116">
        <v>2840.3</v>
      </c>
      <c r="G2629">
        <v>1266</v>
      </c>
      <c r="H2629" s="116"/>
      <c r="I2629" s="116"/>
      <c r="L2629" s="170">
        <v>45874</v>
      </c>
      <c r="M2629" s="116">
        <v>2828.8</v>
      </c>
      <c r="N2629" s="116">
        <v>2895</v>
      </c>
      <c r="O2629" s="116">
        <v>2811.1</v>
      </c>
      <c r="P2629" s="116">
        <v>2869</v>
      </c>
      <c r="Q2629" s="116">
        <v>2828.8</v>
      </c>
      <c r="R2629">
        <v>100660</v>
      </c>
    </row>
    <row r="2630" spans="1:18" x14ac:dyDescent="0.25">
      <c r="A2630" s="170">
        <v>45875</v>
      </c>
      <c r="B2630" s="116">
        <v>2849.85</v>
      </c>
      <c r="C2630" s="116">
        <v>2711.85</v>
      </c>
      <c r="D2630" s="116">
        <v>2659</v>
      </c>
      <c r="E2630" s="116">
        <v>2849.85</v>
      </c>
      <c r="F2630" s="116">
        <v>2711.85</v>
      </c>
      <c r="G2630">
        <v>14058</v>
      </c>
      <c r="H2630" s="116"/>
      <c r="I2630" s="116"/>
      <c r="L2630" s="170">
        <v>45875</v>
      </c>
      <c r="M2630" s="116">
        <v>2734.9</v>
      </c>
      <c r="N2630" s="116">
        <v>2830.7</v>
      </c>
      <c r="O2630" s="116">
        <v>2720</v>
      </c>
      <c r="P2630" s="116">
        <v>2824</v>
      </c>
      <c r="Q2630" s="116">
        <v>2734.9</v>
      </c>
      <c r="R2630">
        <v>90193</v>
      </c>
    </row>
    <row r="2631" spans="1:18" x14ac:dyDescent="0.25">
      <c r="A2631" s="170">
        <v>45876</v>
      </c>
      <c r="B2631" s="116">
        <v>2720.2</v>
      </c>
      <c r="C2631" s="116">
        <v>2679.1</v>
      </c>
      <c r="D2631" s="116">
        <v>2643.7</v>
      </c>
      <c r="E2631" s="116">
        <v>2701.05</v>
      </c>
      <c r="F2631" s="116">
        <v>2679.1</v>
      </c>
      <c r="G2631">
        <v>3399</v>
      </c>
      <c r="H2631" s="116"/>
      <c r="I2631" s="116"/>
      <c r="L2631" s="170">
        <v>45876</v>
      </c>
      <c r="M2631" s="116">
        <v>2677.5</v>
      </c>
      <c r="N2631" s="116">
        <v>2721.2</v>
      </c>
      <c r="O2631" s="116">
        <v>2645</v>
      </c>
      <c r="P2631" s="116">
        <v>2720</v>
      </c>
      <c r="Q2631" s="116">
        <v>2677.5</v>
      </c>
      <c r="R2631">
        <v>124214</v>
      </c>
    </row>
    <row r="2632" spans="1:18" x14ac:dyDescent="0.25">
      <c r="A2632" s="170">
        <v>45877</v>
      </c>
      <c r="B2632" s="116">
        <v>2681</v>
      </c>
      <c r="C2632" s="116">
        <v>2648.5</v>
      </c>
      <c r="D2632" s="116">
        <v>2625.25</v>
      </c>
      <c r="E2632" s="116">
        <v>2679.1</v>
      </c>
      <c r="F2632" s="116">
        <v>2648.5</v>
      </c>
      <c r="G2632">
        <v>3943</v>
      </c>
      <c r="H2632" s="116"/>
      <c r="I2632" s="116"/>
      <c r="L2632" s="170">
        <v>45877</v>
      </c>
      <c r="M2632" s="116">
        <v>2651</v>
      </c>
      <c r="N2632" s="116">
        <v>2676</v>
      </c>
      <c r="O2632" s="116">
        <v>2630</v>
      </c>
      <c r="P2632" s="116">
        <v>2676</v>
      </c>
      <c r="Q2632" s="116">
        <v>2651</v>
      </c>
      <c r="R2632">
        <v>77215</v>
      </c>
    </row>
    <row r="2633" spans="1:18" x14ac:dyDescent="0.25">
      <c r="A2633" s="170">
        <v>45880</v>
      </c>
      <c r="B2633" s="116">
        <v>2700</v>
      </c>
      <c r="C2633" s="116">
        <v>2688.15</v>
      </c>
      <c r="D2633" s="116">
        <v>2612.3000000000002</v>
      </c>
      <c r="E2633" s="116">
        <v>2647.8</v>
      </c>
      <c r="F2633" s="116">
        <v>2688.15</v>
      </c>
      <c r="G2633">
        <v>6867</v>
      </c>
      <c r="H2633" s="116"/>
      <c r="I2633" s="116"/>
      <c r="L2633" s="170">
        <v>45880</v>
      </c>
      <c r="M2633" s="116">
        <v>2687.1</v>
      </c>
      <c r="N2633" s="116">
        <v>2712.6</v>
      </c>
      <c r="O2633" s="116">
        <v>2611.1</v>
      </c>
      <c r="P2633" s="116">
        <v>2651</v>
      </c>
      <c r="Q2633" s="116">
        <v>2687.1</v>
      </c>
      <c r="R2633">
        <v>56444</v>
      </c>
    </row>
    <row r="2634" spans="1:18" x14ac:dyDescent="0.25">
      <c r="A2634" s="170">
        <v>45881</v>
      </c>
      <c r="B2634" s="116">
        <v>2746.95</v>
      </c>
      <c r="C2634" s="116">
        <v>2589.0500000000002</v>
      </c>
      <c r="D2634" s="116">
        <v>2565</v>
      </c>
      <c r="E2634" s="116">
        <v>2746.95</v>
      </c>
      <c r="F2634" s="116">
        <v>2589.0500000000002</v>
      </c>
      <c r="G2634">
        <v>3533</v>
      </c>
      <c r="H2634" s="116"/>
      <c r="I2634" s="116"/>
      <c r="L2634" s="170">
        <v>45881</v>
      </c>
      <c r="M2634" s="116">
        <v>2588.6999999999998</v>
      </c>
      <c r="N2634" s="116">
        <v>2687</v>
      </c>
      <c r="O2634" s="116">
        <v>2560</v>
      </c>
      <c r="P2634" s="116">
        <v>2678</v>
      </c>
      <c r="Q2634" s="116">
        <v>2588.6999999999998</v>
      </c>
      <c r="R2634">
        <v>141456</v>
      </c>
    </row>
    <row r="2635" spans="1:18" x14ac:dyDescent="0.25">
      <c r="A2635" s="170">
        <v>45882</v>
      </c>
      <c r="B2635" s="116">
        <v>2791.75</v>
      </c>
      <c r="C2635" s="116">
        <v>2773.7</v>
      </c>
      <c r="D2635" s="116">
        <v>2589.1</v>
      </c>
      <c r="E2635" s="116">
        <v>2589.1</v>
      </c>
      <c r="F2635" s="116">
        <v>2773.7</v>
      </c>
      <c r="G2635">
        <v>21452</v>
      </c>
      <c r="H2635" s="116"/>
      <c r="I2635" s="116"/>
      <c r="L2635" s="170">
        <v>45882</v>
      </c>
      <c r="M2635" s="116">
        <v>2772.6</v>
      </c>
      <c r="N2635" s="116">
        <v>2789</v>
      </c>
      <c r="O2635" s="116">
        <v>2597.9</v>
      </c>
      <c r="P2635" s="116">
        <v>2605</v>
      </c>
      <c r="Q2635" s="116">
        <v>2772.6</v>
      </c>
      <c r="R2635">
        <v>421339</v>
      </c>
    </row>
    <row r="2636" spans="1:18" x14ac:dyDescent="0.25">
      <c r="A2636" s="170">
        <v>45883</v>
      </c>
      <c r="B2636" s="116">
        <v>2791.7</v>
      </c>
      <c r="C2636" s="116">
        <v>2768.5</v>
      </c>
      <c r="D2636" s="116">
        <v>2687.15</v>
      </c>
      <c r="E2636" s="116">
        <v>2791.7</v>
      </c>
      <c r="F2636" s="116">
        <v>2768.5</v>
      </c>
      <c r="G2636">
        <v>5078</v>
      </c>
      <c r="H2636" s="116"/>
      <c r="I2636" s="116"/>
      <c r="L2636" s="170">
        <v>45883</v>
      </c>
      <c r="M2636" s="116">
        <v>2769.6</v>
      </c>
      <c r="N2636" s="116">
        <v>2782.1</v>
      </c>
      <c r="O2636" s="116">
        <v>2687.2</v>
      </c>
      <c r="P2636" s="116">
        <v>2772.6</v>
      </c>
      <c r="Q2636" s="116">
        <v>2769.6</v>
      </c>
      <c r="R2636">
        <v>116849</v>
      </c>
    </row>
    <row r="2637" spans="1:18" x14ac:dyDescent="0.25">
      <c r="A2637" s="170">
        <v>45887</v>
      </c>
      <c r="B2637" s="116">
        <v>2809</v>
      </c>
      <c r="C2637" s="116">
        <v>2789.55</v>
      </c>
      <c r="D2637" s="116">
        <v>2701.65</v>
      </c>
      <c r="E2637" s="116">
        <v>2769.95</v>
      </c>
      <c r="F2637" s="116">
        <v>2789.55</v>
      </c>
      <c r="G2637">
        <v>3615</v>
      </c>
      <c r="H2637" s="116"/>
      <c r="I2637" s="116"/>
      <c r="L2637" s="170">
        <v>45887</v>
      </c>
      <c r="M2637" s="116">
        <v>2794.1</v>
      </c>
      <c r="N2637" s="116">
        <v>2815</v>
      </c>
      <c r="O2637" s="116">
        <v>2701</v>
      </c>
      <c r="P2637" s="116">
        <v>2774.4</v>
      </c>
      <c r="Q2637" s="116">
        <v>2794.1</v>
      </c>
      <c r="R2637">
        <v>189209</v>
      </c>
    </row>
    <row r="2638" spans="1:18" x14ac:dyDescent="0.25">
      <c r="A2638" s="170">
        <v>45888</v>
      </c>
      <c r="B2638" s="116">
        <v>2855.35</v>
      </c>
      <c r="C2638" s="116">
        <v>2817.4</v>
      </c>
      <c r="D2638" s="116">
        <v>2745.05</v>
      </c>
      <c r="E2638" s="116">
        <v>2850.95</v>
      </c>
      <c r="F2638" s="116">
        <v>2817.4</v>
      </c>
      <c r="G2638">
        <v>4100</v>
      </c>
      <c r="H2638" s="116"/>
      <c r="I2638" s="116"/>
      <c r="L2638" s="170">
        <v>45888</v>
      </c>
      <c r="M2638" s="116">
        <v>2807.2</v>
      </c>
      <c r="N2638" s="116">
        <v>2829.9</v>
      </c>
      <c r="O2638" s="116">
        <v>2746.1</v>
      </c>
      <c r="P2638" s="116">
        <v>2800</v>
      </c>
      <c r="Q2638" s="116">
        <v>2807.2</v>
      </c>
      <c r="R2638">
        <v>127746</v>
      </c>
    </row>
    <row r="2639" spans="1:18" x14ac:dyDescent="0.25">
      <c r="A2639" s="170">
        <v>45889</v>
      </c>
      <c r="B2639" s="116">
        <v>2851.2</v>
      </c>
      <c r="C2639" s="116">
        <v>2785.4</v>
      </c>
      <c r="D2639" s="116">
        <v>2766.95</v>
      </c>
      <c r="E2639" s="116">
        <v>2802.05</v>
      </c>
      <c r="F2639" s="116">
        <v>2785.4</v>
      </c>
      <c r="G2639">
        <v>3464</v>
      </c>
      <c r="H2639" s="116"/>
      <c r="I2639" s="116"/>
      <c r="L2639" s="170">
        <v>45889</v>
      </c>
      <c r="M2639" s="116">
        <v>2781.3</v>
      </c>
      <c r="N2639" s="116">
        <v>2854.9</v>
      </c>
      <c r="O2639" s="116">
        <v>2763.3</v>
      </c>
      <c r="P2639" s="116">
        <v>2825</v>
      </c>
      <c r="Q2639" s="116">
        <v>2781.3</v>
      </c>
      <c r="R2639">
        <v>114680</v>
      </c>
    </row>
    <row r="2640" spans="1:18" x14ac:dyDescent="0.25">
      <c r="A2640" s="170">
        <v>45890</v>
      </c>
      <c r="B2640" s="116">
        <v>2820</v>
      </c>
      <c r="C2640" s="116">
        <v>2780.25</v>
      </c>
      <c r="D2640" s="116">
        <v>2755.4</v>
      </c>
      <c r="E2640" s="116">
        <v>2785.4</v>
      </c>
      <c r="F2640" s="116">
        <v>2780.25</v>
      </c>
      <c r="G2640">
        <v>4212</v>
      </c>
      <c r="H2640" s="116"/>
      <c r="I2640" s="116"/>
      <c r="L2640" s="170">
        <v>45890</v>
      </c>
      <c r="M2640" s="116">
        <v>2780.4</v>
      </c>
      <c r="N2640" s="116">
        <v>2824.3</v>
      </c>
      <c r="O2640" s="116">
        <v>2756</v>
      </c>
      <c r="P2640" s="116">
        <v>2785</v>
      </c>
      <c r="Q2640" s="116">
        <v>2780.4</v>
      </c>
      <c r="R2640">
        <v>109925</v>
      </c>
    </row>
    <row r="2641" spans="1:18" x14ac:dyDescent="0.25">
      <c r="A2641" s="170">
        <v>45891</v>
      </c>
      <c r="B2641" s="116">
        <v>2803</v>
      </c>
      <c r="C2641" s="116">
        <v>2799.5</v>
      </c>
      <c r="D2641" s="116">
        <v>2753.25</v>
      </c>
      <c r="E2641" s="116">
        <v>2756.55</v>
      </c>
      <c r="F2641" s="116">
        <v>2799.5</v>
      </c>
      <c r="G2641">
        <v>3310</v>
      </c>
      <c r="H2641" s="116"/>
      <c r="I2641" s="116"/>
      <c r="L2641" s="170">
        <v>45891</v>
      </c>
      <c r="M2641" s="116">
        <v>2798.8</v>
      </c>
      <c r="N2641" s="116">
        <v>2806.6</v>
      </c>
      <c r="O2641" s="116">
        <v>2752.6</v>
      </c>
      <c r="P2641" s="116">
        <v>2767</v>
      </c>
      <c r="Q2641" s="116">
        <v>2798.8</v>
      </c>
      <c r="R2641">
        <v>39428</v>
      </c>
    </row>
    <row r="2642" spans="1:18" x14ac:dyDescent="0.25">
      <c r="A2642" s="170">
        <v>45894</v>
      </c>
      <c r="B2642" s="116">
        <v>2864</v>
      </c>
      <c r="C2642" s="116">
        <v>2799.2</v>
      </c>
      <c r="D2642" s="116">
        <v>2792</v>
      </c>
      <c r="E2642" s="116">
        <v>2801</v>
      </c>
      <c r="F2642" s="116">
        <v>2799.2</v>
      </c>
      <c r="G2642">
        <v>3216</v>
      </c>
      <c r="H2642" s="116"/>
      <c r="I2642" s="116"/>
      <c r="L2642" s="170">
        <v>45894</v>
      </c>
      <c r="M2642" s="116">
        <v>2802.1</v>
      </c>
      <c r="N2642" s="116">
        <v>2869</v>
      </c>
      <c r="O2642" s="116">
        <v>2790</v>
      </c>
      <c r="P2642" s="116">
        <v>2802.5</v>
      </c>
      <c r="Q2642" s="116">
        <v>2802.1</v>
      </c>
      <c r="R2642">
        <v>132460</v>
      </c>
    </row>
    <row r="2643" spans="1:18" x14ac:dyDescent="0.25">
      <c r="A2643" s="170">
        <v>45895</v>
      </c>
      <c r="B2643" s="116">
        <v>2832.25</v>
      </c>
      <c r="C2643" s="116">
        <v>2788.2</v>
      </c>
      <c r="D2643" s="116">
        <v>2750.5</v>
      </c>
      <c r="E2643" s="116">
        <v>2806.45</v>
      </c>
      <c r="F2643" s="116">
        <v>2788.2</v>
      </c>
      <c r="G2643">
        <v>2543</v>
      </c>
      <c r="H2643" s="116"/>
      <c r="I2643" s="116"/>
      <c r="L2643" s="170">
        <v>45895</v>
      </c>
      <c r="M2643" s="116">
        <v>2789.4</v>
      </c>
      <c r="N2643" s="116">
        <v>2835</v>
      </c>
      <c r="O2643" s="116">
        <v>2752.6</v>
      </c>
      <c r="P2643" s="116">
        <v>2802.5</v>
      </c>
      <c r="Q2643" s="116">
        <v>2789.4</v>
      </c>
      <c r="R2643">
        <v>180296</v>
      </c>
    </row>
    <row r="2644" spans="1:18" x14ac:dyDescent="0.25">
      <c r="A2644" s="170">
        <v>45897</v>
      </c>
      <c r="B2644" s="116">
        <v>2790</v>
      </c>
      <c r="C2644" s="116">
        <v>2748.15</v>
      </c>
      <c r="D2644" s="116">
        <v>2725</v>
      </c>
      <c r="E2644" s="116">
        <v>2786.65</v>
      </c>
      <c r="F2644" s="116">
        <v>2748.15</v>
      </c>
      <c r="G2644">
        <v>1421</v>
      </c>
      <c r="H2644" s="116"/>
      <c r="I2644" s="116"/>
      <c r="L2644" s="170">
        <v>45897</v>
      </c>
      <c r="M2644" s="116">
        <v>2749.2</v>
      </c>
      <c r="N2644" s="116">
        <v>2792.7</v>
      </c>
      <c r="O2644" s="116">
        <v>2725.5</v>
      </c>
      <c r="P2644" s="116">
        <v>2765</v>
      </c>
      <c r="Q2644" s="116">
        <v>2749.2</v>
      </c>
      <c r="R2644">
        <v>145917</v>
      </c>
    </row>
    <row r="2645" spans="1:18" x14ac:dyDescent="0.25">
      <c r="A2645" s="170">
        <v>45898</v>
      </c>
      <c r="B2645" s="116">
        <v>2813.35</v>
      </c>
      <c r="C2645" s="116">
        <v>2783.45</v>
      </c>
      <c r="D2645" s="116">
        <v>2748.15</v>
      </c>
      <c r="E2645" s="116">
        <v>2748.15</v>
      </c>
      <c r="F2645" s="116">
        <v>2783.45</v>
      </c>
      <c r="G2645">
        <v>1739</v>
      </c>
      <c r="H2645" s="116"/>
      <c r="I2645" s="116"/>
      <c r="L2645" s="170">
        <v>45898</v>
      </c>
      <c r="M2645" s="116">
        <v>2785</v>
      </c>
      <c r="N2645" s="116">
        <v>2815</v>
      </c>
      <c r="O2645" s="116">
        <v>2751</v>
      </c>
      <c r="P2645" s="116">
        <v>2751</v>
      </c>
      <c r="Q2645" s="116">
        <v>2785</v>
      </c>
      <c r="R2645">
        <v>70828</v>
      </c>
    </row>
    <row r="2646" spans="1:18" x14ac:dyDescent="0.25">
      <c r="A2646" s="170">
        <v>45901</v>
      </c>
      <c r="B2646" s="116">
        <v>2816.55</v>
      </c>
      <c r="C2646" s="116">
        <v>2804.55</v>
      </c>
      <c r="D2646" s="116">
        <v>2764.05</v>
      </c>
      <c r="E2646" s="116">
        <v>2790.05</v>
      </c>
      <c r="F2646" s="116">
        <v>2804.55</v>
      </c>
      <c r="G2646">
        <v>1593</v>
      </c>
      <c r="H2646" s="116"/>
      <c r="I2646" s="116"/>
      <c r="L2646" s="170">
        <v>45901</v>
      </c>
      <c r="M2646" s="116">
        <v>2808.5</v>
      </c>
      <c r="N2646" s="116">
        <v>2818.5</v>
      </c>
      <c r="O2646" s="116">
        <v>2757.1</v>
      </c>
      <c r="P2646" s="116">
        <v>2786</v>
      </c>
      <c r="Q2646" s="116">
        <v>2808.5</v>
      </c>
      <c r="R2646">
        <v>89303</v>
      </c>
    </row>
    <row r="2647" spans="1:18" x14ac:dyDescent="0.25">
      <c r="A2647" s="170">
        <v>45902</v>
      </c>
      <c r="B2647" s="116">
        <v>2899.9</v>
      </c>
      <c r="C2647" s="116">
        <v>2749.15</v>
      </c>
      <c r="D2647" s="116">
        <v>2738.4</v>
      </c>
      <c r="E2647" s="116">
        <v>2899.9</v>
      </c>
      <c r="F2647" s="116">
        <v>2749.15</v>
      </c>
      <c r="G2647">
        <v>2447</v>
      </c>
      <c r="H2647" s="116"/>
      <c r="I2647" s="116"/>
      <c r="L2647" s="170">
        <v>45902</v>
      </c>
      <c r="M2647" s="116">
        <v>2752.2</v>
      </c>
      <c r="N2647" s="116">
        <v>2828.8</v>
      </c>
      <c r="O2647" s="116">
        <v>2739.1</v>
      </c>
      <c r="P2647" s="116">
        <v>2806</v>
      </c>
      <c r="Q2647" s="116">
        <v>2752.2</v>
      </c>
      <c r="R2647">
        <v>74423</v>
      </c>
    </row>
    <row r="2648" spans="1:18" x14ac:dyDescent="0.25">
      <c r="A2648" s="170">
        <v>45903</v>
      </c>
      <c r="B2648" s="116">
        <v>2780.9</v>
      </c>
      <c r="C2648" s="116">
        <v>2773.4</v>
      </c>
      <c r="D2648" s="116">
        <v>2700.5</v>
      </c>
      <c r="E2648" s="116">
        <v>2740</v>
      </c>
      <c r="F2648" s="116">
        <v>2773.4</v>
      </c>
      <c r="G2648">
        <v>7576</v>
      </c>
      <c r="H2648" s="116"/>
      <c r="I2648" s="116"/>
      <c r="L2648" s="170">
        <v>45903</v>
      </c>
      <c r="M2648" s="116">
        <v>2776.9</v>
      </c>
      <c r="N2648" s="116">
        <v>2784</v>
      </c>
      <c r="O2648" s="116">
        <v>2700</v>
      </c>
      <c r="P2648" s="116">
        <v>2749</v>
      </c>
      <c r="Q2648" s="116">
        <v>2776.9</v>
      </c>
      <c r="R2648">
        <v>128841</v>
      </c>
    </row>
    <row r="2649" spans="1:18" x14ac:dyDescent="0.25">
      <c r="A2649" s="170">
        <v>45904</v>
      </c>
      <c r="B2649" s="116">
        <v>2880</v>
      </c>
      <c r="C2649" s="116">
        <v>2840.55</v>
      </c>
      <c r="D2649" s="116">
        <v>2756</v>
      </c>
      <c r="E2649" s="116">
        <v>2784.65</v>
      </c>
      <c r="F2649" s="116">
        <v>2840.55</v>
      </c>
      <c r="G2649">
        <v>4397</v>
      </c>
      <c r="H2649" s="116"/>
      <c r="I2649" s="116"/>
      <c r="L2649" s="170">
        <v>45904</v>
      </c>
      <c r="M2649" s="116">
        <v>2851.8</v>
      </c>
      <c r="N2649" s="116">
        <v>2883.4</v>
      </c>
      <c r="O2649" s="116">
        <v>2752.7</v>
      </c>
      <c r="P2649" s="116">
        <v>2789.5</v>
      </c>
      <c r="Q2649" s="116">
        <v>2851.8</v>
      </c>
      <c r="R2649">
        <v>142671</v>
      </c>
    </row>
    <row r="2650" spans="1:18" x14ac:dyDescent="0.25">
      <c r="A2650" s="170">
        <v>45905</v>
      </c>
      <c r="B2650" s="116">
        <v>2863.75</v>
      </c>
      <c r="C2650" s="116">
        <v>2770.3</v>
      </c>
      <c r="D2650" s="116">
        <v>2764</v>
      </c>
      <c r="E2650" s="116">
        <v>2863.75</v>
      </c>
      <c r="F2650" s="116">
        <v>2770.3</v>
      </c>
      <c r="G2650">
        <v>2265</v>
      </c>
      <c r="H2650" s="116"/>
      <c r="I2650" s="116"/>
      <c r="L2650" s="170">
        <v>45905</v>
      </c>
      <c r="M2650" s="116">
        <v>2770.3</v>
      </c>
      <c r="N2650" s="116">
        <v>2849.7</v>
      </c>
      <c r="O2650" s="116">
        <v>2755</v>
      </c>
      <c r="P2650" s="116">
        <v>2845</v>
      </c>
      <c r="Q2650" s="116">
        <v>2770.3</v>
      </c>
      <c r="R2650">
        <v>64535</v>
      </c>
    </row>
    <row r="2651" spans="1:18" x14ac:dyDescent="0.25">
      <c r="A2651" s="170">
        <v>45908</v>
      </c>
      <c r="B2651" s="116">
        <v>2834.15</v>
      </c>
      <c r="C2651" s="116">
        <v>2820.85</v>
      </c>
      <c r="D2651" s="116">
        <v>2759</v>
      </c>
      <c r="E2651" s="116">
        <v>2804</v>
      </c>
      <c r="F2651" s="116">
        <v>2820.85</v>
      </c>
      <c r="G2651">
        <v>5148</v>
      </c>
      <c r="H2651" s="116"/>
      <c r="I2651" s="116"/>
      <c r="L2651" s="170">
        <v>45908</v>
      </c>
      <c r="M2651" s="116">
        <v>2819.1</v>
      </c>
      <c r="N2651" s="116">
        <v>2835</v>
      </c>
      <c r="O2651" s="116">
        <v>2758.1</v>
      </c>
      <c r="P2651" s="116">
        <v>2821</v>
      </c>
      <c r="Q2651" s="116">
        <v>2819.1</v>
      </c>
      <c r="R2651">
        <v>69313</v>
      </c>
    </row>
    <row r="2652" spans="1:18" x14ac:dyDescent="0.25">
      <c r="A2652" s="170">
        <v>45909</v>
      </c>
      <c r="B2652" s="116">
        <v>2825</v>
      </c>
      <c r="C2652" s="116">
        <v>2818.3</v>
      </c>
      <c r="D2652" s="116">
        <v>2780.5</v>
      </c>
      <c r="E2652" s="116">
        <v>2810.25</v>
      </c>
      <c r="F2652" s="116">
        <v>2818.3</v>
      </c>
      <c r="G2652">
        <v>1599</v>
      </c>
      <c r="H2652" s="116"/>
      <c r="I2652" s="116"/>
      <c r="L2652" s="170">
        <v>45909</v>
      </c>
      <c r="M2652" s="116">
        <v>2820.6</v>
      </c>
      <c r="N2652" s="116">
        <v>2824.9</v>
      </c>
      <c r="O2652" s="116">
        <v>2780</v>
      </c>
      <c r="P2652" s="116">
        <v>2819</v>
      </c>
      <c r="Q2652" s="116">
        <v>2820.6</v>
      </c>
      <c r="R2652">
        <v>55776</v>
      </c>
    </row>
    <row r="2653" spans="1:18" x14ac:dyDescent="0.25">
      <c r="A2653" s="170">
        <v>45910</v>
      </c>
      <c r="B2653" s="116">
        <v>2855.95</v>
      </c>
      <c r="C2653" s="116">
        <v>2833.6</v>
      </c>
      <c r="D2653" s="116">
        <v>2801.8</v>
      </c>
      <c r="E2653" s="116">
        <v>2821.6</v>
      </c>
      <c r="F2653" s="116">
        <v>2833.6</v>
      </c>
      <c r="G2653">
        <v>2119</v>
      </c>
      <c r="H2653" s="116"/>
      <c r="I2653" s="116"/>
      <c r="L2653" s="170">
        <v>45910</v>
      </c>
      <c r="M2653" s="116">
        <v>2837.5</v>
      </c>
      <c r="N2653" s="116">
        <v>2855.9</v>
      </c>
      <c r="O2653" s="116">
        <v>2801.6</v>
      </c>
      <c r="P2653" s="116">
        <v>2820</v>
      </c>
      <c r="Q2653" s="116">
        <v>2837.5</v>
      </c>
      <c r="R2653">
        <v>50689</v>
      </c>
    </row>
    <row r="2654" spans="1:18" x14ac:dyDescent="0.25">
      <c r="A2654" s="170">
        <v>45911</v>
      </c>
      <c r="B2654" s="116">
        <v>2879.65</v>
      </c>
      <c r="C2654" s="116">
        <v>2863.8</v>
      </c>
      <c r="D2654" s="116">
        <v>2819.7</v>
      </c>
      <c r="E2654" s="116">
        <v>2851.25</v>
      </c>
      <c r="F2654" s="116">
        <v>2863.8</v>
      </c>
      <c r="G2654">
        <v>2460</v>
      </c>
      <c r="H2654" s="116"/>
      <c r="I2654" s="116"/>
      <c r="L2654" s="170">
        <v>45911</v>
      </c>
      <c r="M2654" s="116">
        <v>2863.8</v>
      </c>
      <c r="N2654" s="116">
        <v>2879</v>
      </c>
      <c r="O2654" s="116">
        <v>2817.8</v>
      </c>
      <c r="P2654" s="116">
        <v>2837</v>
      </c>
      <c r="Q2654" s="116">
        <v>2863.8</v>
      </c>
      <c r="R2654">
        <v>46536</v>
      </c>
    </row>
    <row r="2655" spans="1:18" x14ac:dyDescent="0.25">
      <c r="A2655" s="170">
        <v>45912</v>
      </c>
      <c r="B2655" s="116">
        <v>2855.7</v>
      </c>
      <c r="C2655" s="116">
        <v>2774.95</v>
      </c>
      <c r="D2655" s="116">
        <v>2757.85</v>
      </c>
      <c r="E2655" s="116">
        <v>2855.7</v>
      </c>
      <c r="F2655" s="116">
        <v>2774.95</v>
      </c>
      <c r="G2655">
        <v>3189</v>
      </c>
      <c r="H2655" s="116"/>
      <c r="I2655" s="116"/>
      <c r="L2655" s="170">
        <v>45912</v>
      </c>
      <c r="M2655" s="116">
        <v>2774</v>
      </c>
      <c r="N2655" s="116">
        <v>2854.6</v>
      </c>
      <c r="O2655" s="116">
        <v>2757.1</v>
      </c>
      <c r="P2655" s="116">
        <v>2854.6</v>
      </c>
      <c r="Q2655" s="116">
        <v>2774</v>
      </c>
      <c r="R2655">
        <v>120444</v>
      </c>
    </row>
    <row r="2656" spans="1:18" x14ac:dyDescent="0.25">
      <c r="A2656" s="170">
        <v>45915</v>
      </c>
      <c r="B2656" s="116">
        <v>2789.75</v>
      </c>
      <c r="C2656" s="116">
        <v>2755.05</v>
      </c>
      <c r="D2656" s="116">
        <v>2740</v>
      </c>
      <c r="E2656" s="116">
        <v>2775.05</v>
      </c>
      <c r="F2656" s="116">
        <v>2755.05</v>
      </c>
      <c r="G2656">
        <v>4135</v>
      </c>
      <c r="H2656" s="116"/>
      <c r="I2656" s="116"/>
      <c r="L2656" s="170">
        <v>45915</v>
      </c>
      <c r="M2656" s="116">
        <v>2755.2</v>
      </c>
      <c r="N2656" s="116">
        <v>2785.1</v>
      </c>
      <c r="O2656" s="116">
        <v>2739.3</v>
      </c>
      <c r="P2656" s="116">
        <v>2784</v>
      </c>
      <c r="Q2656" s="116">
        <v>2755.2</v>
      </c>
      <c r="R2656">
        <v>50360</v>
      </c>
    </row>
    <row r="2657" spans="1:18" x14ac:dyDescent="0.25">
      <c r="A2657" s="170">
        <v>45916</v>
      </c>
      <c r="B2657" s="116">
        <v>2767</v>
      </c>
      <c r="C2657" s="116">
        <v>2738.5</v>
      </c>
      <c r="D2657" s="116">
        <v>2727</v>
      </c>
      <c r="E2657" s="116">
        <v>2730.05</v>
      </c>
      <c r="F2657" s="116">
        <v>2738.5</v>
      </c>
      <c r="G2657">
        <v>1040</v>
      </c>
      <c r="H2657" s="116"/>
      <c r="I2657" s="116"/>
      <c r="L2657" s="170">
        <v>45916</v>
      </c>
      <c r="M2657" s="116">
        <v>2738.2</v>
      </c>
      <c r="N2657" s="116">
        <v>2769.9</v>
      </c>
      <c r="O2657" s="116">
        <v>2727.5</v>
      </c>
      <c r="P2657" s="116">
        <v>2760.9</v>
      </c>
      <c r="Q2657" s="116">
        <v>2738.2</v>
      </c>
      <c r="R2657">
        <v>56908</v>
      </c>
    </row>
    <row r="2658" spans="1:18" x14ac:dyDescent="0.25">
      <c r="A2658" s="170">
        <v>45917</v>
      </c>
      <c r="B2658" s="116">
        <v>2767.2</v>
      </c>
      <c r="C2658" s="116">
        <v>2735.5</v>
      </c>
      <c r="D2658" s="116">
        <v>2730.1</v>
      </c>
      <c r="E2658" s="116">
        <v>2751.95</v>
      </c>
      <c r="F2658" s="116">
        <v>2735.5</v>
      </c>
      <c r="G2658">
        <v>2770</v>
      </c>
      <c r="H2658" s="116"/>
      <c r="I2658" s="116"/>
      <c r="L2658" s="170">
        <v>45917</v>
      </c>
      <c r="M2658" s="116">
        <v>2742</v>
      </c>
      <c r="N2658" s="116">
        <v>2768</v>
      </c>
      <c r="O2658" s="116">
        <v>2731.9</v>
      </c>
      <c r="P2658" s="116">
        <v>2742</v>
      </c>
      <c r="Q2658" s="116">
        <v>2742</v>
      </c>
      <c r="R2658">
        <v>182307</v>
      </c>
    </row>
    <row r="2659" spans="1:18" x14ac:dyDescent="0.25">
      <c r="A2659" s="170">
        <v>45918</v>
      </c>
      <c r="B2659" s="116">
        <v>2769.7</v>
      </c>
      <c r="C2659" s="116">
        <v>2749.4</v>
      </c>
      <c r="D2659" s="116">
        <v>2718.15</v>
      </c>
      <c r="E2659" s="116">
        <v>2750</v>
      </c>
      <c r="F2659" s="116">
        <v>2749.4</v>
      </c>
      <c r="G2659">
        <v>3052</v>
      </c>
      <c r="H2659" s="116"/>
      <c r="I2659" s="116"/>
      <c r="L2659" s="170">
        <v>45918</v>
      </c>
      <c r="M2659" s="116">
        <v>2755.4</v>
      </c>
      <c r="N2659" s="116">
        <v>2775</v>
      </c>
      <c r="O2659" s="116">
        <v>2719.9</v>
      </c>
      <c r="P2659" s="116">
        <v>2751</v>
      </c>
      <c r="Q2659" s="116">
        <v>2755.4</v>
      </c>
      <c r="R2659">
        <v>110262</v>
      </c>
    </row>
    <row r="2660" spans="1:18" x14ac:dyDescent="0.25">
      <c r="A2660" s="170">
        <v>45919</v>
      </c>
      <c r="B2660" s="116">
        <v>2757.9</v>
      </c>
      <c r="C2660" s="116">
        <v>2737.95</v>
      </c>
      <c r="D2660" s="116">
        <v>2728.15</v>
      </c>
      <c r="E2660" s="116">
        <v>2752.05</v>
      </c>
      <c r="F2660" s="116">
        <v>2737.95</v>
      </c>
      <c r="G2660">
        <v>1280</v>
      </c>
      <c r="H2660" s="116"/>
      <c r="I2660" s="116"/>
      <c r="L2660" s="170">
        <v>45919</v>
      </c>
      <c r="M2660" s="116">
        <v>2741.1</v>
      </c>
      <c r="N2660" s="116">
        <v>2767.5</v>
      </c>
      <c r="O2660" s="116">
        <v>2730</v>
      </c>
      <c r="P2660" s="116">
        <v>2767.5</v>
      </c>
      <c r="Q2660" s="116">
        <v>2741.1</v>
      </c>
      <c r="R2660">
        <v>85057</v>
      </c>
    </row>
    <row r="2661" spans="1:18" x14ac:dyDescent="0.25">
      <c r="A2661" s="170">
        <v>45922</v>
      </c>
      <c r="B2661" s="116">
        <v>2780</v>
      </c>
      <c r="C2661" s="116">
        <v>2761.1</v>
      </c>
      <c r="D2661" s="116">
        <v>2732.15</v>
      </c>
      <c r="E2661" s="116">
        <v>2749.9</v>
      </c>
      <c r="F2661" s="116">
        <v>2761.1</v>
      </c>
      <c r="G2661">
        <v>1849</v>
      </c>
      <c r="H2661" s="116"/>
      <c r="I2661" s="116"/>
      <c r="L2661" s="170">
        <v>45922</v>
      </c>
      <c r="M2661" s="116">
        <v>2762.3</v>
      </c>
      <c r="N2661" s="116">
        <v>2779.6</v>
      </c>
      <c r="O2661" s="116">
        <v>2725.3</v>
      </c>
      <c r="P2661" s="116">
        <v>2754</v>
      </c>
      <c r="Q2661" s="116">
        <v>2762.3</v>
      </c>
      <c r="R2661">
        <v>81247</v>
      </c>
    </row>
    <row r="2662" spans="1:18" x14ac:dyDescent="0.25">
      <c r="A2662" s="170">
        <v>45923</v>
      </c>
      <c r="B2662" s="116">
        <v>2777.5</v>
      </c>
      <c r="C2662" s="116">
        <v>2759.85</v>
      </c>
      <c r="D2662" s="116">
        <v>2731.05</v>
      </c>
      <c r="E2662" s="116">
        <v>2750.05</v>
      </c>
      <c r="F2662" s="116">
        <v>2759.85</v>
      </c>
      <c r="G2662">
        <v>1332</v>
      </c>
      <c r="H2662" s="116"/>
      <c r="I2662" s="116"/>
      <c r="L2662" s="170">
        <v>45923</v>
      </c>
      <c r="M2662" s="116">
        <v>2761.7</v>
      </c>
      <c r="N2662" s="116">
        <v>2780</v>
      </c>
      <c r="O2662" s="116">
        <v>2730.6</v>
      </c>
      <c r="P2662" s="116">
        <v>2764</v>
      </c>
      <c r="Q2662" s="116">
        <v>2761.7</v>
      </c>
      <c r="R2662">
        <v>68393</v>
      </c>
    </row>
    <row r="2663" spans="1:18" x14ac:dyDescent="0.25">
      <c r="A2663" s="170">
        <v>45924</v>
      </c>
      <c r="B2663" s="116">
        <v>2762.95</v>
      </c>
      <c r="C2663" s="116">
        <v>2748.1</v>
      </c>
      <c r="D2663" s="116">
        <v>2742.6</v>
      </c>
      <c r="E2663" s="116">
        <v>2758.3</v>
      </c>
      <c r="F2663" s="116">
        <v>2748.1</v>
      </c>
      <c r="G2663">
        <v>884</v>
      </c>
      <c r="H2663" s="116"/>
      <c r="I2663" s="116"/>
      <c r="L2663" s="170">
        <v>45924</v>
      </c>
      <c r="M2663" s="116">
        <v>2746.4</v>
      </c>
      <c r="N2663" s="116">
        <v>2765</v>
      </c>
      <c r="O2663" s="116">
        <v>2735.2</v>
      </c>
      <c r="P2663" s="116">
        <v>2758</v>
      </c>
      <c r="Q2663" s="116">
        <v>2746.4</v>
      </c>
      <c r="R2663">
        <v>37974</v>
      </c>
    </row>
    <row r="2664" spans="1:18" x14ac:dyDescent="0.25">
      <c r="A2664" s="170">
        <v>45925</v>
      </c>
      <c r="B2664" s="116">
        <v>2764.4</v>
      </c>
      <c r="C2664" s="116">
        <v>2732.8</v>
      </c>
      <c r="D2664" s="116">
        <v>2725.95</v>
      </c>
      <c r="E2664" s="116">
        <v>2742.55</v>
      </c>
      <c r="F2664" s="116">
        <v>2732.8</v>
      </c>
      <c r="G2664">
        <v>910</v>
      </c>
      <c r="H2664" s="116"/>
      <c r="I2664" s="116"/>
      <c r="L2664" s="170">
        <v>45925</v>
      </c>
      <c r="M2664" s="116">
        <v>2738.2</v>
      </c>
      <c r="N2664" s="116">
        <v>2761.9</v>
      </c>
      <c r="O2664" s="116">
        <v>2725</v>
      </c>
      <c r="P2664" s="116">
        <v>2744</v>
      </c>
      <c r="Q2664" s="116">
        <v>2738.2</v>
      </c>
      <c r="R2664">
        <v>33280</v>
      </c>
    </row>
    <row r="2665" spans="1:18" x14ac:dyDescent="0.25">
      <c r="A2665" s="170">
        <v>45926</v>
      </c>
      <c r="B2665" s="116">
        <v>2708.95</v>
      </c>
      <c r="C2665" s="116">
        <v>2670.7</v>
      </c>
      <c r="D2665" s="116">
        <v>2641.65</v>
      </c>
      <c r="E2665" s="116">
        <v>2708.95</v>
      </c>
      <c r="F2665" s="116">
        <v>2670.7</v>
      </c>
      <c r="G2665">
        <v>2462</v>
      </c>
      <c r="H2665" s="116"/>
      <c r="I2665" s="116"/>
      <c r="L2665" s="170">
        <v>45926</v>
      </c>
      <c r="M2665" s="116">
        <v>2672.4</v>
      </c>
      <c r="N2665" s="116">
        <v>2705.1</v>
      </c>
      <c r="O2665" s="116">
        <v>2640.1</v>
      </c>
      <c r="P2665" s="116">
        <v>2705.1</v>
      </c>
      <c r="Q2665" s="116">
        <v>2672.4</v>
      </c>
      <c r="R2665">
        <v>229634</v>
      </c>
    </row>
    <row r="2666" spans="1:18" x14ac:dyDescent="0.25">
      <c r="A2666" s="170">
        <v>45929</v>
      </c>
      <c r="B2666" s="116">
        <v>2749</v>
      </c>
      <c r="C2666" s="116">
        <v>2659.35</v>
      </c>
      <c r="D2666" s="116">
        <v>2625</v>
      </c>
      <c r="E2666" s="116">
        <v>2631.15</v>
      </c>
      <c r="F2666" s="116">
        <v>2659.35</v>
      </c>
      <c r="G2666">
        <v>1000</v>
      </c>
      <c r="H2666" s="116"/>
      <c r="I2666" s="116"/>
      <c r="L2666" s="170">
        <v>45929</v>
      </c>
      <c r="M2666" s="116">
        <v>2662.9</v>
      </c>
      <c r="N2666" s="116">
        <v>2709</v>
      </c>
      <c r="O2666" s="116">
        <v>2622.6</v>
      </c>
      <c r="P2666" s="116">
        <v>2669.9</v>
      </c>
      <c r="Q2666" s="116">
        <v>2662.9</v>
      </c>
      <c r="R2666">
        <v>89831</v>
      </c>
    </row>
    <row r="2667" spans="1:18" x14ac:dyDescent="0.25">
      <c r="A2667" s="170">
        <v>45930</v>
      </c>
      <c r="B2667" s="116">
        <v>2689.95</v>
      </c>
      <c r="C2667" s="116">
        <v>2656.65</v>
      </c>
      <c r="D2667" s="116">
        <v>2650.35</v>
      </c>
      <c r="E2667" s="116">
        <v>2663</v>
      </c>
      <c r="F2667" s="116">
        <v>2656.65</v>
      </c>
      <c r="G2667">
        <v>2515</v>
      </c>
      <c r="H2667" s="116"/>
      <c r="I2667" s="116"/>
      <c r="L2667" s="170">
        <v>45930</v>
      </c>
      <c r="M2667" s="116">
        <v>2659.7</v>
      </c>
      <c r="N2667" s="116">
        <v>2694.2</v>
      </c>
      <c r="O2667" s="116">
        <v>2645.8</v>
      </c>
      <c r="P2667" s="116">
        <v>2663</v>
      </c>
      <c r="Q2667" s="116">
        <v>2659.7</v>
      </c>
      <c r="R2667">
        <v>58243</v>
      </c>
    </row>
    <row r="2668" spans="1:18" x14ac:dyDescent="0.25">
      <c r="A2668" s="170">
        <v>45931</v>
      </c>
      <c r="B2668" s="116">
        <v>2727</v>
      </c>
      <c r="C2668" s="116">
        <v>2694.55</v>
      </c>
      <c r="D2668" s="116">
        <v>2671</v>
      </c>
      <c r="E2668" s="116">
        <v>2681.65</v>
      </c>
      <c r="F2668" s="116">
        <v>2694.55</v>
      </c>
      <c r="G2668">
        <v>1644</v>
      </c>
      <c r="H2668" s="116"/>
      <c r="I2668" s="116"/>
      <c r="L2668" s="170">
        <v>45931</v>
      </c>
      <c r="M2668" s="116">
        <v>2697.2</v>
      </c>
      <c r="N2668" s="116">
        <v>2729.8</v>
      </c>
      <c r="O2668" s="116">
        <v>2659.7</v>
      </c>
      <c r="P2668" s="116">
        <v>2659.7</v>
      </c>
      <c r="Q2668" s="116">
        <v>2697.2</v>
      </c>
      <c r="R2668">
        <v>46082</v>
      </c>
    </row>
    <row r="2669" spans="1:18" x14ac:dyDescent="0.25">
      <c r="A2669" s="170">
        <v>45933</v>
      </c>
      <c r="B2669" s="116">
        <v>2756.05</v>
      </c>
      <c r="C2669" s="116">
        <v>2735.1</v>
      </c>
      <c r="D2669" s="116">
        <v>2690.5</v>
      </c>
      <c r="E2669" s="116">
        <v>2700.05</v>
      </c>
      <c r="F2669" s="116">
        <v>2735.1</v>
      </c>
      <c r="G2669">
        <v>816</v>
      </c>
      <c r="H2669" s="116"/>
      <c r="I2669" s="116"/>
      <c r="L2669" s="170">
        <v>45933</v>
      </c>
      <c r="M2669" s="116">
        <v>2745.8</v>
      </c>
      <c r="N2669" s="116">
        <v>2759.9</v>
      </c>
      <c r="O2669" s="116">
        <v>2686</v>
      </c>
      <c r="P2669" s="116">
        <v>2693</v>
      </c>
      <c r="Q2669" s="116">
        <v>2745.8</v>
      </c>
      <c r="R2669">
        <v>47199</v>
      </c>
    </row>
    <row r="2670" spans="1:18" x14ac:dyDescent="0.25">
      <c r="A2670" s="170">
        <v>45936</v>
      </c>
      <c r="B2670" s="116">
        <v>2765</v>
      </c>
      <c r="C2670" s="116">
        <v>2735.75</v>
      </c>
      <c r="D2670" s="116">
        <v>2699.05</v>
      </c>
      <c r="E2670" s="116">
        <v>2745</v>
      </c>
      <c r="F2670" s="116">
        <v>2735.75</v>
      </c>
      <c r="G2670">
        <v>2063</v>
      </c>
      <c r="H2670" s="116"/>
      <c r="I2670" s="116"/>
      <c r="L2670" s="170">
        <v>45936</v>
      </c>
      <c r="M2670" s="116">
        <v>2732.3</v>
      </c>
      <c r="N2670" s="116">
        <v>2770</v>
      </c>
      <c r="O2670" s="116">
        <v>2698</v>
      </c>
      <c r="P2670" s="116">
        <v>2754</v>
      </c>
      <c r="Q2670" s="116">
        <v>2732.3</v>
      </c>
      <c r="R2670">
        <v>83843</v>
      </c>
    </row>
    <row r="2671" spans="1:18" x14ac:dyDescent="0.25">
      <c r="A2671" s="170">
        <v>45937</v>
      </c>
      <c r="B2671" s="116">
        <v>2764.7</v>
      </c>
      <c r="C2671" s="116">
        <v>2738.95</v>
      </c>
      <c r="D2671" s="116">
        <v>2719</v>
      </c>
      <c r="E2671" s="116">
        <v>2735.75</v>
      </c>
      <c r="F2671" s="116">
        <v>2738.95</v>
      </c>
      <c r="G2671">
        <v>1657</v>
      </c>
      <c r="H2671" s="116"/>
      <c r="I2671" s="116"/>
      <c r="L2671" s="170">
        <v>45937</v>
      </c>
      <c r="M2671" s="116">
        <v>2740.4</v>
      </c>
      <c r="N2671" s="116">
        <v>2763.6</v>
      </c>
      <c r="O2671" s="116">
        <v>2715.1</v>
      </c>
      <c r="P2671" s="116">
        <v>2745</v>
      </c>
      <c r="Q2671" s="116">
        <v>2740.4</v>
      </c>
      <c r="R2671">
        <v>57028</v>
      </c>
    </row>
    <row r="2672" spans="1:18" x14ac:dyDescent="0.25">
      <c r="A2672" s="170">
        <v>45938</v>
      </c>
      <c r="B2672" s="116">
        <v>2755</v>
      </c>
      <c r="C2672" s="116">
        <v>2727.8</v>
      </c>
      <c r="D2672" s="116">
        <v>2722</v>
      </c>
      <c r="E2672" s="116">
        <v>2739</v>
      </c>
      <c r="F2672" s="116">
        <v>2727.8</v>
      </c>
      <c r="G2672">
        <v>1710</v>
      </c>
      <c r="H2672" s="116"/>
      <c r="I2672" s="116"/>
      <c r="L2672" s="170">
        <v>45938</v>
      </c>
      <c r="M2672" s="116">
        <v>2729.6</v>
      </c>
      <c r="N2672" s="116">
        <v>2757.5</v>
      </c>
      <c r="O2672" s="116">
        <v>2719.2</v>
      </c>
      <c r="P2672" s="116">
        <v>2732</v>
      </c>
      <c r="Q2672" s="116">
        <v>2729.6</v>
      </c>
      <c r="R2672">
        <v>68189</v>
      </c>
    </row>
    <row r="2673" spans="1:18" x14ac:dyDescent="0.25">
      <c r="A2673" s="170">
        <v>45939</v>
      </c>
      <c r="B2673" s="116">
        <v>2769.5</v>
      </c>
      <c r="C2673" s="116">
        <v>2758.6</v>
      </c>
      <c r="D2673" s="116">
        <v>2714.95</v>
      </c>
      <c r="E2673" s="116">
        <v>2735.65</v>
      </c>
      <c r="F2673" s="116">
        <v>2758.6</v>
      </c>
      <c r="G2673">
        <v>2565</v>
      </c>
      <c r="H2673" s="116"/>
      <c r="I2673" s="116"/>
      <c r="L2673" s="170">
        <v>45939</v>
      </c>
      <c r="M2673" s="116">
        <v>2761</v>
      </c>
      <c r="N2673" s="116">
        <v>2772</v>
      </c>
      <c r="O2673" s="116">
        <v>2725.1</v>
      </c>
      <c r="P2673" s="116">
        <v>2730</v>
      </c>
      <c r="Q2673" s="116">
        <v>2761</v>
      </c>
      <c r="R2673">
        <v>81394</v>
      </c>
    </row>
    <row r="2674" spans="1:18" x14ac:dyDescent="0.25">
      <c r="A2674" s="170">
        <v>45940</v>
      </c>
      <c r="B2674" s="116">
        <v>2781</v>
      </c>
      <c r="C2674" s="116">
        <v>2764.05</v>
      </c>
      <c r="D2674" s="116">
        <v>2736.6</v>
      </c>
      <c r="E2674" s="116">
        <v>2758.65</v>
      </c>
      <c r="F2674" s="116">
        <v>2764.05</v>
      </c>
      <c r="G2674">
        <v>964</v>
      </c>
      <c r="H2674" s="116"/>
      <c r="I2674" s="116"/>
      <c r="L2674" s="170">
        <v>45940</v>
      </c>
      <c r="M2674" s="116">
        <v>2767.4</v>
      </c>
      <c r="N2674" s="116">
        <v>2782.4</v>
      </c>
      <c r="O2674" s="116">
        <v>2733.4</v>
      </c>
      <c r="P2674" s="116">
        <v>2755</v>
      </c>
      <c r="Q2674" s="116">
        <v>2767.4</v>
      </c>
      <c r="R2674">
        <v>39058</v>
      </c>
    </row>
    <row r="2675" spans="1:18" x14ac:dyDescent="0.25">
      <c r="A2675" s="170">
        <v>45943</v>
      </c>
      <c r="B2675" s="116">
        <v>2777.3</v>
      </c>
      <c r="C2675" s="116">
        <v>2751.05</v>
      </c>
      <c r="D2675" s="116">
        <v>2726.05</v>
      </c>
      <c r="E2675" s="116">
        <v>2726.05</v>
      </c>
      <c r="F2675" s="116">
        <v>2751.05</v>
      </c>
      <c r="G2675">
        <v>634</v>
      </c>
      <c r="H2675" s="116"/>
      <c r="I2675" s="116"/>
      <c r="L2675" s="170">
        <v>45943</v>
      </c>
      <c r="M2675" s="116">
        <v>2750.5</v>
      </c>
      <c r="N2675" s="116">
        <v>2780</v>
      </c>
      <c r="O2675" s="116">
        <v>2741.7</v>
      </c>
      <c r="P2675" s="116">
        <v>2753.6</v>
      </c>
      <c r="Q2675" s="116">
        <v>2750.5</v>
      </c>
      <c r="R2675">
        <v>55415</v>
      </c>
    </row>
    <row r="2676" spans="1:18" x14ac:dyDescent="0.25">
      <c r="A2676" s="170">
        <v>45944</v>
      </c>
      <c r="B2676" s="116">
        <v>2773.3</v>
      </c>
      <c r="C2676" s="116">
        <v>2763.15</v>
      </c>
      <c r="D2676" s="116">
        <v>2746</v>
      </c>
      <c r="E2676" s="116">
        <v>2750.1</v>
      </c>
      <c r="F2676" s="116">
        <v>2763.15</v>
      </c>
      <c r="G2676">
        <v>1238</v>
      </c>
      <c r="H2676" s="116"/>
      <c r="I2676" s="116"/>
      <c r="L2676" s="170">
        <v>45944</v>
      </c>
      <c r="M2676" s="116">
        <v>2763.6</v>
      </c>
      <c r="N2676" s="116">
        <v>2774.2</v>
      </c>
      <c r="O2676" s="116">
        <v>2741.3</v>
      </c>
      <c r="P2676" s="116">
        <v>2751.9</v>
      </c>
      <c r="Q2676" s="116">
        <v>2763.6</v>
      </c>
      <c r="R2676">
        <v>61716</v>
      </c>
    </row>
    <row r="2677" spans="1:18" x14ac:dyDescent="0.25">
      <c r="A2677" s="170">
        <v>45945</v>
      </c>
      <c r="B2677" s="116">
        <v>2756.05</v>
      </c>
      <c r="C2677" s="116">
        <v>2736.5</v>
      </c>
      <c r="D2677" s="116">
        <v>2730</v>
      </c>
      <c r="E2677" s="116">
        <v>2756.05</v>
      </c>
      <c r="F2677" s="116">
        <v>2736.5</v>
      </c>
      <c r="G2677">
        <v>672</v>
      </c>
      <c r="H2677" s="116"/>
      <c r="I2677" s="116"/>
      <c r="L2677" s="170">
        <v>45945</v>
      </c>
      <c r="M2677" s="116">
        <v>2735.7</v>
      </c>
      <c r="N2677" s="116">
        <v>2763</v>
      </c>
      <c r="O2677" s="116">
        <v>2726</v>
      </c>
      <c r="P2677" s="116">
        <v>2763</v>
      </c>
      <c r="Q2677" s="116">
        <v>2735.7</v>
      </c>
      <c r="R2677">
        <v>33150</v>
      </c>
    </row>
    <row r="2678" spans="1:18" x14ac:dyDescent="0.25">
      <c r="A2678" s="170">
        <v>45946</v>
      </c>
      <c r="B2678" s="116">
        <v>2744.95</v>
      </c>
      <c r="C2678" s="116">
        <v>2728.45</v>
      </c>
      <c r="D2678" s="116">
        <v>2717</v>
      </c>
      <c r="E2678" s="116">
        <v>2738.35</v>
      </c>
      <c r="F2678" s="116">
        <v>2728.45</v>
      </c>
      <c r="G2678">
        <v>1488</v>
      </c>
      <c r="H2678" s="116"/>
      <c r="I2678" s="116"/>
      <c r="L2678" s="170">
        <v>45946</v>
      </c>
      <c r="M2678" s="116">
        <v>2723.7</v>
      </c>
      <c r="N2678" s="116">
        <v>2747.9</v>
      </c>
      <c r="O2678" s="116">
        <v>2716.1</v>
      </c>
      <c r="P2678" s="116">
        <v>2738</v>
      </c>
      <c r="Q2678" s="116">
        <v>2723.7</v>
      </c>
      <c r="R2678">
        <v>38090</v>
      </c>
    </row>
    <row r="2679" spans="1:18" x14ac:dyDescent="0.25">
      <c r="A2679" s="170">
        <v>45947</v>
      </c>
      <c r="B2679" s="116">
        <v>2750</v>
      </c>
      <c r="C2679" s="116">
        <v>2741.35</v>
      </c>
      <c r="D2679" s="116">
        <v>2710.85</v>
      </c>
      <c r="E2679" s="116">
        <v>2717.05</v>
      </c>
      <c r="F2679" s="116">
        <v>2741.35</v>
      </c>
      <c r="G2679">
        <v>1737</v>
      </c>
      <c r="H2679" s="116"/>
      <c r="I2679" s="116"/>
      <c r="L2679" s="170">
        <v>45947</v>
      </c>
      <c r="M2679" s="116">
        <v>2742.9</v>
      </c>
      <c r="N2679" s="116">
        <v>2750.7</v>
      </c>
      <c r="O2679" s="116">
        <v>2708.4</v>
      </c>
      <c r="P2679" s="116">
        <v>2741</v>
      </c>
      <c r="Q2679" s="116">
        <v>2742.9</v>
      </c>
      <c r="R2679">
        <v>53427</v>
      </c>
    </row>
    <row r="2680" spans="1:18" x14ac:dyDescent="0.25">
      <c r="A2680" s="170">
        <v>45950</v>
      </c>
      <c r="B2680" s="116">
        <v>2753.4</v>
      </c>
      <c r="C2680" s="116">
        <v>2745.55</v>
      </c>
      <c r="D2680" s="116">
        <v>2719.5</v>
      </c>
      <c r="E2680" s="116">
        <v>2719.5</v>
      </c>
      <c r="F2680" s="116">
        <v>2745.55</v>
      </c>
      <c r="G2680">
        <v>965</v>
      </c>
      <c r="H2680" s="116"/>
      <c r="I2680" s="116"/>
      <c r="L2680" s="170">
        <v>45950</v>
      </c>
      <c r="M2680" s="116">
        <v>2745.7</v>
      </c>
      <c r="N2680" s="116">
        <v>2759.9</v>
      </c>
      <c r="O2680" s="116">
        <v>2716.1</v>
      </c>
      <c r="P2680" s="116">
        <v>2739</v>
      </c>
      <c r="Q2680" s="116">
        <v>2745.7</v>
      </c>
      <c r="R2680">
        <v>69234</v>
      </c>
    </row>
    <row r="2681" spans="1:18" x14ac:dyDescent="0.25">
      <c r="A2681" s="170">
        <v>45951</v>
      </c>
      <c r="B2681" s="116">
        <v>2763.05</v>
      </c>
      <c r="C2681" s="116">
        <v>2762</v>
      </c>
      <c r="D2681" s="116">
        <v>2750.55</v>
      </c>
      <c r="E2681" s="116">
        <v>2758.75</v>
      </c>
      <c r="F2681" s="116">
        <v>2762</v>
      </c>
      <c r="G2681">
        <v>128</v>
      </c>
      <c r="H2681" s="116"/>
      <c r="I2681" s="116"/>
      <c r="L2681" s="170">
        <v>45951</v>
      </c>
      <c r="M2681" s="116">
        <v>2758.8</v>
      </c>
      <c r="N2681" s="116">
        <v>2766.6</v>
      </c>
      <c r="O2681" s="116">
        <v>2751</v>
      </c>
      <c r="P2681" s="116">
        <v>2754</v>
      </c>
      <c r="Q2681" s="116">
        <v>2758.8</v>
      </c>
      <c r="R2681">
        <v>6317</v>
      </c>
    </row>
    <row r="2682" spans="1:18" x14ac:dyDescent="0.25">
      <c r="A2682" s="170">
        <v>45953</v>
      </c>
      <c r="B2682" s="116">
        <v>2793.05</v>
      </c>
      <c r="C2682" s="116">
        <v>2759.55</v>
      </c>
      <c r="D2682" s="116">
        <v>2747.4</v>
      </c>
      <c r="E2682" s="116">
        <v>2750</v>
      </c>
      <c r="F2682" s="116">
        <v>2759.55</v>
      </c>
      <c r="G2682">
        <v>1975</v>
      </c>
      <c r="H2682" s="116"/>
      <c r="I2682" s="116"/>
      <c r="L2682" s="170">
        <v>45953</v>
      </c>
      <c r="M2682" s="116">
        <v>2760.7</v>
      </c>
      <c r="N2682" s="116">
        <v>2795.9</v>
      </c>
      <c r="O2682" s="116">
        <v>2752</v>
      </c>
      <c r="P2682" s="116">
        <v>2752</v>
      </c>
      <c r="Q2682" s="116">
        <v>2760.7</v>
      </c>
      <c r="R2682">
        <v>40731</v>
      </c>
    </row>
    <row r="2683" spans="1:18" x14ac:dyDescent="0.25">
      <c r="A2683" s="170">
        <v>45954</v>
      </c>
      <c r="B2683" s="116">
        <v>2779.95</v>
      </c>
      <c r="C2683" s="116">
        <v>2750.25</v>
      </c>
      <c r="D2683" s="116">
        <v>2735</v>
      </c>
      <c r="E2683" s="116">
        <v>2779.95</v>
      </c>
      <c r="F2683" s="116">
        <v>2750.25</v>
      </c>
      <c r="G2683">
        <v>784</v>
      </c>
      <c r="H2683" s="116"/>
      <c r="I2683" s="116"/>
      <c r="L2683" s="170">
        <v>45954</v>
      </c>
      <c r="M2683" s="116">
        <v>2758.1</v>
      </c>
      <c r="N2683" s="116">
        <v>2764.1</v>
      </c>
      <c r="O2683" s="116">
        <v>2733.8</v>
      </c>
      <c r="P2683" s="116">
        <v>2764</v>
      </c>
      <c r="Q2683" s="116">
        <v>2758.1</v>
      </c>
      <c r="R2683">
        <v>36805</v>
      </c>
    </row>
    <row r="2684" spans="1:18" x14ac:dyDescent="0.25">
      <c r="A2684" s="170">
        <v>45957</v>
      </c>
      <c r="B2684" s="116">
        <v>2760</v>
      </c>
      <c r="C2684" s="116">
        <v>2686.6</v>
      </c>
      <c r="D2684" s="116">
        <v>2681</v>
      </c>
      <c r="E2684" s="116">
        <v>2750.3</v>
      </c>
      <c r="F2684" s="116">
        <v>2686.6</v>
      </c>
      <c r="G2684">
        <v>1596</v>
      </c>
      <c r="H2684" s="116"/>
      <c r="I2684" s="116"/>
      <c r="L2684" s="170">
        <v>45957</v>
      </c>
      <c r="M2684" s="116">
        <v>2686.9</v>
      </c>
      <c r="N2684" s="116">
        <v>2760</v>
      </c>
      <c r="O2684" s="116">
        <v>2679.9</v>
      </c>
      <c r="P2684" s="116">
        <v>2760</v>
      </c>
      <c r="Q2684" s="116">
        <v>2686.9</v>
      </c>
      <c r="R2684">
        <v>66014</v>
      </c>
    </row>
    <row r="2685" spans="1:18" x14ac:dyDescent="0.25">
      <c r="A2685" s="170">
        <v>45958</v>
      </c>
      <c r="B2685" s="116">
        <v>2722.45</v>
      </c>
      <c r="C2685" s="116">
        <v>2657.4</v>
      </c>
      <c r="D2685" s="116">
        <v>2650.15</v>
      </c>
      <c r="E2685" s="116">
        <v>2684.45</v>
      </c>
      <c r="F2685" s="116">
        <v>2657.4</v>
      </c>
      <c r="G2685">
        <v>20198</v>
      </c>
      <c r="H2685" s="116"/>
      <c r="I2685" s="116"/>
      <c r="L2685" s="170">
        <v>45958</v>
      </c>
      <c r="M2685" s="116">
        <v>2658.1</v>
      </c>
      <c r="N2685" s="116">
        <v>2723.7</v>
      </c>
      <c r="O2685" s="116">
        <v>2652</v>
      </c>
      <c r="P2685" s="116">
        <v>2672</v>
      </c>
      <c r="Q2685" s="116">
        <v>2658.1</v>
      </c>
      <c r="R2685">
        <v>80808</v>
      </c>
    </row>
    <row r="2686" spans="1:18" x14ac:dyDescent="0.25">
      <c r="A2686" s="170">
        <v>45959</v>
      </c>
      <c r="B2686" s="116">
        <v>2680.4</v>
      </c>
      <c r="C2686" s="116">
        <v>2641.95</v>
      </c>
      <c r="D2686" s="116">
        <v>2623</v>
      </c>
      <c r="E2686" s="116">
        <v>2664.5</v>
      </c>
      <c r="F2686" s="116">
        <v>2641.95</v>
      </c>
      <c r="G2686">
        <v>1155</v>
      </c>
      <c r="H2686" s="116"/>
      <c r="I2686" s="116"/>
      <c r="L2686" s="170">
        <v>45959</v>
      </c>
      <c r="M2686" s="116">
        <v>2642.8</v>
      </c>
      <c r="N2686" s="116">
        <v>2680</v>
      </c>
      <c r="O2686" s="116">
        <v>2621</v>
      </c>
      <c r="P2686" s="116">
        <v>2671</v>
      </c>
      <c r="Q2686" s="116">
        <v>2642.8</v>
      </c>
      <c r="R2686">
        <v>65859</v>
      </c>
    </row>
    <row r="2687" spans="1:18" x14ac:dyDescent="0.25">
      <c r="A2687" s="170">
        <v>45960</v>
      </c>
      <c r="B2687" s="116">
        <v>2652.75</v>
      </c>
      <c r="C2687" s="116">
        <v>2619.4</v>
      </c>
      <c r="D2687" s="116">
        <v>2605</v>
      </c>
      <c r="E2687" s="116">
        <v>2647.05</v>
      </c>
      <c r="F2687" s="116">
        <v>2619.4</v>
      </c>
      <c r="G2687">
        <v>1718</v>
      </c>
      <c r="H2687" s="116"/>
      <c r="I2687" s="116"/>
      <c r="L2687" s="170">
        <v>45960</v>
      </c>
      <c r="M2687" s="116">
        <v>2621.7</v>
      </c>
      <c r="N2687" s="116">
        <v>2652</v>
      </c>
      <c r="O2687" s="116">
        <v>2601</v>
      </c>
      <c r="P2687" s="116">
        <v>2652</v>
      </c>
      <c r="Q2687" s="116">
        <v>2621.7</v>
      </c>
      <c r="R2687">
        <v>86402</v>
      </c>
    </row>
    <row r="2688" spans="1:18" x14ac:dyDescent="0.25">
      <c r="A2688" s="170">
        <v>45961</v>
      </c>
      <c r="B2688" s="116">
        <v>2698</v>
      </c>
      <c r="C2688" s="116">
        <v>2624.25</v>
      </c>
      <c r="D2688" s="116">
        <v>2612.0500000000002</v>
      </c>
      <c r="E2688" s="116">
        <v>2627.45</v>
      </c>
      <c r="F2688" s="116">
        <v>2624.25</v>
      </c>
      <c r="G2688">
        <v>2037</v>
      </c>
      <c r="H2688" s="116"/>
      <c r="I2688" s="116"/>
      <c r="L2688" s="170">
        <v>45961</v>
      </c>
      <c r="M2688" s="116">
        <v>2618.6</v>
      </c>
      <c r="N2688" s="116">
        <v>2696.7</v>
      </c>
      <c r="O2688" s="116">
        <v>2606.1</v>
      </c>
      <c r="P2688" s="116">
        <v>2632.7</v>
      </c>
      <c r="Q2688" s="116">
        <v>2618.6</v>
      </c>
      <c r="R2688">
        <v>92299</v>
      </c>
    </row>
    <row r="2689" spans="1:18" x14ac:dyDescent="0.25">
      <c r="A2689" s="170">
        <v>45964</v>
      </c>
      <c r="B2689" s="116">
        <v>2691</v>
      </c>
      <c r="C2689" s="116">
        <v>2685.4</v>
      </c>
      <c r="D2689" s="116">
        <v>2625.4</v>
      </c>
      <c r="E2689" s="116">
        <v>2642</v>
      </c>
      <c r="F2689" s="116">
        <v>2685.4</v>
      </c>
      <c r="G2689">
        <v>4444</v>
      </c>
      <c r="H2689" s="116"/>
      <c r="I2689" s="116"/>
      <c r="L2689" s="170">
        <v>45964</v>
      </c>
      <c r="M2689" s="116">
        <v>2682.8</v>
      </c>
      <c r="N2689" s="116">
        <v>2694</v>
      </c>
      <c r="O2689" s="116">
        <v>2618.6999999999998</v>
      </c>
      <c r="P2689" s="116">
        <v>2644</v>
      </c>
      <c r="Q2689" s="116">
        <v>2682.8</v>
      </c>
      <c r="R2689">
        <v>109437</v>
      </c>
    </row>
    <row r="2690" spans="1:18" x14ac:dyDescent="0.25">
      <c r="A2690" s="170">
        <v>45965</v>
      </c>
      <c r="B2690" s="116">
        <v>2697.6</v>
      </c>
      <c r="C2690" s="116">
        <v>2661.5</v>
      </c>
      <c r="D2690" s="116">
        <v>2643.4</v>
      </c>
      <c r="E2690" s="116">
        <v>2697.6</v>
      </c>
      <c r="F2690" s="116">
        <v>2661.5</v>
      </c>
      <c r="G2690">
        <v>2607</v>
      </c>
      <c r="H2690" s="116"/>
      <c r="I2690" s="116"/>
      <c r="L2690" s="170">
        <v>45965</v>
      </c>
      <c r="M2690" s="116">
        <v>2658.5</v>
      </c>
      <c r="N2690" s="116">
        <v>2693.9</v>
      </c>
      <c r="O2690" s="116">
        <v>2641.2</v>
      </c>
      <c r="P2690" s="116">
        <v>2685.4</v>
      </c>
      <c r="Q2690" s="116">
        <v>2658.5</v>
      </c>
      <c r="R2690">
        <v>96909</v>
      </c>
    </row>
    <row r="2691" spans="1:18" x14ac:dyDescent="0.25">
      <c r="A2691" s="170">
        <v>45967</v>
      </c>
      <c r="B2691" s="116">
        <v>2665</v>
      </c>
      <c r="C2691" s="116">
        <v>2602.6999999999998</v>
      </c>
      <c r="D2691" s="116">
        <v>2563</v>
      </c>
      <c r="E2691" s="116">
        <v>2648.35</v>
      </c>
      <c r="F2691" s="116">
        <v>2602.6999999999998</v>
      </c>
      <c r="G2691">
        <v>3494</v>
      </c>
      <c r="H2691" s="116"/>
      <c r="I2691" s="116"/>
      <c r="L2691" s="170">
        <v>45967</v>
      </c>
      <c r="M2691" s="116">
        <v>2605.5</v>
      </c>
      <c r="N2691" s="116">
        <v>2668.5</v>
      </c>
      <c r="O2691" s="116">
        <v>2562</v>
      </c>
      <c r="P2691" s="116">
        <v>2658.5</v>
      </c>
      <c r="Q2691" s="116">
        <v>2605.5</v>
      </c>
      <c r="R2691">
        <v>89176</v>
      </c>
    </row>
    <row r="2692" spans="1:18" x14ac:dyDescent="0.25">
      <c r="A2692" s="170">
        <v>45968</v>
      </c>
      <c r="B2692" s="116">
        <v>2608.9</v>
      </c>
      <c r="C2692" s="116">
        <v>2590.5500000000002</v>
      </c>
      <c r="D2692" s="116">
        <v>2480</v>
      </c>
      <c r="E2692" s="116">
        <v>2591.0500000000002</v>
      </c>
      <c r="F2692" s="116">
        <v>2590.5500000000002</v>
      </c>
      <c r="G2692">
        <v>3508</v>
      </c>
      <c r="H2692" s="116"/>
      <c r="I2692" s="116"/>
      <c r="L2692" s="170">
        <v>45968</v>
      </c>
      <c r="M2692" s="116">
        <v>2587.9</v>
      </c>
      <c r="N2692" s="116">
        <v>2609.8000000000002</v>
      </c>
      <c r="O2692" s="116">
        <v>2479</v>
      </c>
      <c r="P2692" s="116">
        <v>2605.5</v>
      </c>
      <c r="Q2692" s="116">
        <v>2587.9</v>
      </c>
      <c r="R2692">
        <v>185386</v>
      </c>
    </row>
    <row r="2693" spans="1:18" x14ac:dyDescent="0.25">
      <c r="A2693" s="170">
        <v>45971</v>
      </c>
      <c r="B2693" s="116">
        <v>2577.5</v>
      </c>
      <c r="C2693" s="116">
        <v>2540.3000000000002</v>
      </c>
      <c r="D2693" s="116">
        <v>2536</v>
      </c>
      <c r="E2693" s="116">
        <v>2560.4499999999998</v>
      </c>
      <c r="F2693" s="116">
        <v>2540.3000000000002</v>
      </c>
      <c r="G2693">
        <v>2073</v>
      </c>
      <c r="H2693" s="116"/>
      <c r="I2693" s="116"/>
      <c r="L2693" s="170">
        <v>45971</v>
      </c>
      <c r="M2693" s="116">
        <v>2539.8000000000002</v>
      </c>
      <c r="N2693" s="116">
        <v>2590.6</v>
      </c>
      <c r="O2693" s="116">
        <v>2534.1999999999998</v>
      </c>
      <c r="P2693" s="116">
        <v>2587</v>
      </c>
      <c r="Q2693" s="116">
        <v>2539.8000000000002</v>
      </c>
      <c r="R2693">
        <v>59285</v>
      </c>
    </row>
    <row r="2694" spans="1:18" x14ac:dyDescent="0.25">
      <c r="A2694" s="170">
        <v>45972</v>
      </c>
      <c r="B2694" s="116">
        <v>2565</v>
      </c>
      <c r="C2694" s="116">
        <v>2476.75</v>
      </c>
      <c r="D2694" s="116">
        <v>2468</v>
      </c>
      <c r="E2694" s="116">
        <v>2565</v>
      </c>
      <c r="F2694" s="116">
        <v>2476.75</v>
      </c>
      <c r="G2694">
        <v>4670</v>
      </c>
      <c r="H2694" s="116"/>
      <c r="I2694" s="116"/>
      <c r="L2694" s="170">
        <v>45972</v>
      </c>
      <c r="M2694" s="116">
        <v>2476.3000000000002</v>
      </c>
      <c r="N2694" s="116">
        <v>2550.6999999999998</v>
      </c>
      <c r="O2694" s="116">
        <v>2467.5</v>
      </c>
      <c r="P2694" s="116">
        <v>2548</v>
      </c>
      <c r="Q2694" s="116">
        <v>2476.3000000000002</v>
      </c>
      <c r="R2694">
        <v>256001</v>
      </c>
    </row>
    <row r="2695" spans="1:18" x14ac:dyDescent="0.25">
      <c r="A2695" s="170">
        <v>45973</v>
      </c>
      <c r="B2695" s="116">
        <v>2536</v>
      </c>
      <c r="C2695" s="116">
        <v>2505.9</v>
      </c>
      <c r="D2695" s="116">
        <v>2477.5</v>
      </c>
      <c r="E2695" s="116">
        <v>2499.75</v>
      </c>
      <c r="F2695" s="116">
        <v>2505.9</v>
      </c>
      <c r="G2695">
        <v>3612</v>
      </c>
      <c r="H2695" s="116"/>
      <c r="I2695" s="116"/>
      <c r="L2695" s="170">
        <v>45973</v>
      </c>
      <c r="M2695" s="116">
        <v>2506.6999999999998</v>
      </c>
      <c r="N2695" s="116">
        <v>2536.6</v>
      </c>
      <c r="O2695" s="116">
        <v>2473.1</v>
      </c>
      <c r="P2695" s="116">
        <v>2486</v>
      </c>
      <c r="Q2695" s="116">
        <v>2506.6999999999998</v>
      </c>
      <c r="R2695">
        <v>123096</v>
      </c>
    </row>
    <row r="2696" spans="1:18" x14ac:dyDescent="0.25">
      <c r="A2696" s="170">
        <v>45974</v>
      </c>
      <c r="B2696" s="116">
        <v>2546.5</v>
      </c>
      <c r="C2696" s="116">
        <v>2493.5500000000002</v>
      </c>
      <c r="D2696" s="116">
        <v>2490</v>
      </c>
      <c r="E2696" s="116">
        <v>2533.9499999999998</v>
      </c>
      <c r="F2696" s="116">
        <v>2493.5500000000002</v>
      </c>
      <c r="G2696">
        <v>2996</v>
      </c>
      <c r="H2696" s="116"/>
      <c r="I2696" s="116"/>
      <c r="L2696" s="170">
        <v>45974</v>
      </c>
      <c r="M2696" s="116">
        <v>2494.5</v>
      </c>
      <c r="N2696" s="116">
        <v>2548.1</v>
      </c>
      <c r="O2696" s="116">
        <v>2486.3000000000002</v>
      </c>
      <c r="P2696" s="116">
        <v>2506.6999999999998</v>
      </c>
      <c r="Q2696" s="116">
        <v>2494.5</v>
      </c>
      <c r="R2696">
        <v>61513</v>
      </c>
    </row>
    <row r="2697" spans="1:18" x14ac:dyDescent="0.25">
      <c r="A2697" s="170">
        <v>45975</v>
      </c>
      <c r="B2697" s="116">
        <v>2514.5</v>
      </c>
      <c r="C2697" s="116">
        <v>2477.9</v>
      </c>
      <c r="D2697" s="116">
        <v>2471</v>
      </c>
      <c r="E2697" s="116">
        <v>2495.8000000000002</v>
      </c>
      <c r="F2697" s="116">
        <v>2477.9</v>
      </c>
      <c r="G2697">
        <v>1791</v>
      </c>
      <c r="H2697" s="116"/>
      <c r="I2697" s="116"/>
      <c r="L2697" s="170">
        <v>45975</v>
      </c>
      <c r="M2697" s="116">
        <v>2479.4</v>
      </c>
      <c r="N2697" s="116">
        <v>2515.1999999999998</v>
      </c>
      <c r="O2697" s="116">
        <v>2470.9</v>
      </c>
      <c r="P2697" s="116">
        <v>2499.8000000000002</v>
      </c>
      <c r="Q2697" s="116">
        <v>2479.4</v>
      </c>
      <c r="R2697">
        <v>51386</v>
      </c>
    </row>
    <row r="2698" spans="1:18" x14ac:dyDescent="0.25">
      <c r="A2698" s="170">
        <v>45978</v>
      </c>
      <c r="B2698" s="116">
        <v>2554.15</v>
      </c>
      <c r="C2698" s="116">
        <v>2491.15</v>
      </c>
      <c r="D2698" s="116">
        <v>2475</v>
      </c>
      <c r="E2698" s="116">
        <v>2554.15</v>
      </c>
      <c r="F2698" s="116">
        <v>2491.15</v>
      </c>
      <c r="G2698">
        <v>5851</v>
      </c>
      <c r="H2698" s="116"/>
      <c r="I2698" s="116"/>
      <c r="L2698" s="170">
        <v>45978</v>
      </c>
      <c r="M2698" s="116">
        <v>2493.1</v>
      </c>
      <c r="N2698" s="116">
        <v>2524.9</v>
      </c>
      <c r="O2698" s="116">
        <v>2474.6999999999998</v>
      </c>
      <c r="P2698" s="116">
        <v>2491.6999999999998</v>
      </c>
      <c r="Q2698" s="116">
        <v>2493.1</v>
      </c>
      <c r="R2698">
        <v>174553</v>
      </c>
    </row>
    <row r="2699" spans="1:18" x14ac:dyDescent="0.25">
      <c r="A2699" s="170">
        <v>45979</v>
      </c>
      <c r="B2699" s="116">
        <v>2502.35</v>
      </c>
      <c r="C2699" s="116">
        <v>2487.75</v>
      </c>
      <c r="D2699" s="116">
        <v>2483.6</v>
      </c>
      <c r="E2699" s="116">
        <v>2500.1</v>
      </c>
      <c r="F2699" s="116">
        <v>2487.75</v>
      </c>
      <c r="G2699">
        <v>1610</v>
      </c>
      <c r="H2699" s="116"/>
      <c r="I2699" s="116"/>
      <c r="L2699" s="170">
        <v>45979</v>
      </c>
      <c r="M2699" s="116">
        <v>2487.9</v>
      </c>
      <c r="N2699" s="116">
        <v>2505</v>
      </c>
      <c r="O2699" s="116">
        <v>2481.3000000000002</v>
      </c>
      <c r="P2699" s="116">
        <v>2505</v>
      </c>
      <c r="Q2699" s="116">
        <v>2487.9</v>
      </c>
      <c r="R2699">
        <v>68377</v>
      </c>
    </row>
    <row r="2700" spans="1:18" x14ac:dyDescent="0.25">
      <c r="A2700" s="170">
        <v>45980</v>
      </c>
      <c r="B2700" s="116">
        <v>2524.9499999999998</v>
      </c>
      <c r="C2700" s="116">
        <v>2518.4499999999998</v>
      </c>
      <c r="D2700" s="116">
        <v>2472.1999999999998</v>
      </c>
      <c r="E2700" s="116">
        <v>2491</v>
      </c>
      <c r="F2700" s="116">
        <v>2518.4499999999998</v>
      </c>
      <c r="G2700">
        <v>1478</v>
      </c>
      <c r="H2700" s="116"/>
      <c r="I2700" s="116"/>
      <c r="L2700" s="170">
        <v>45980</v>
      </c>
      <c r="M2700" s="116">
        <v>2519</v>
      </c>
      <c r="N2700" s="116">
        <v>2526.4</v>
      </c>
      <c r="O2700" s="116">
        <v>2471.4</v>
      </c>
      <c r="P2700" s="116">
        <v>2490</v>
      </c>
      <c r="Q2700" s="116">
        <v>2519</v>
      </c>
      <c r="R2700">
        <v>53349</v>
      </c>
    </row>
    <row r="2701" spans="1:18" x14ac:dyDescent="0.25">
      <c r="A2701" s="170">
        <v>45981</v>
      </c>
      <c r="B2701" s="116">
        <v>2532.15</v>
      </c>
      <c r="C2701" s="116">
        <v>2508.75</v>
      </c>
      <c r="D2701" s="116">
        <v>2502</v>
      </c>
      <c r="E2701" s="116">
        <v>2510.4</v>
      </c>
      <c r="F2701" s="116">
        <v>2508.75</v>
      </c>
      <c r="G2701">
        <v>1383</v>
      </c>
      <c r="H2701" s="116"/>
      <c r="I2701" s="116"/>
      <c r="L2701" s="170">
        <v>45981</v>
      </c>
      <c r="M2701" s="116">
        <v>2509</v>
      </c>
      <c r="N2701" s="116">
        <v>2532.6</v>
      </c>
      <c r="O2701" s="116">
        <v>2501.1</v>
      </c>
      <c r="P2701" s="116">
        <v>2514.5</v>
      </c>
      <c r="Q2701" s="116">
        <v>2509</v>
      </c>
      <c r="R2701">
        <v>31608</v>
      </c>
    </row>
    <row r="2702" spans="1:18" x14ac:dyDescent="0.25">
      <c r="A2702" s="170">
        <v>45982</v>
      </c>
      <c r="B2702" s="116">
        <v>2544.9</v>
      </c>
      <c r="C2702" s="116">
        <v>2496.8000000000002</v>
      </c>
      <c r="D2702" s="116">
        <v>2490</v>
      </c>
      <c r="E2702" s="116">
        <v>2544.9</v>
      </c>
      <c r="F2702" s="116">
        <v>2496.8000000000002</v>
      </c>
      <c r="G2702">
        <v>1317</v>
      </c>
      <c r="H2702" s="116"/>
      <c r="I2702" s="116"/>
      <c r="L2702" s="170">
        <v>45982</v>
      </c>
      <c r="M2702" s="116">
        <v>2497.9</v>
      </c>
      <c r="N2702" s="116">
        <v>2523.4</v>
      </c>
      <c r="O2702" s="116">
        <v>2488</v>
      </c>
      <c r="P2702" s="116">
        <v>2501.1999999999998</v>
      </c>
      <c r="Q2702" s="116">
        <v>2497.9</v>
      </c>
      <c r="R2702">
        <v>72263</v>
      </c>
    </row>
    <row r="2703" spans="1:18" x14ac:dyDescent="0.25">
      <c r="A2703" s="170">
        <v>45985</v>
      </c>
      <c r="B2703" s="116">
        <v>2496.8000000000002</v>
      </c>
      <c r="C2703" s="116">
        <v>2474.85</v>
      </c>
      <c r="D2703" s="116">
        <v>2404.5500000000002</v>
      </c>
      <c r="E2703" s="116">
        <v>2496.8000000000002</v>
      </c>
      <c r="F2703" s="116">
        <v>2474.85</v>
      </c>
      <c r="G2703">
        <v>2305</v>
      </c>
      <c r="H2703" s="116"/>
      <c r="I2703" s="116"/>
      <c r="L2703" s="170">
        <v>45985</v>
      </c>
      <c r="M2703" s="116">
        <v>2477</v>
      </c>
      <c r="N2703" s="116">
        <v>2497.9</v>
      </c>
      <c r="O2703" s="116">
        <v>2404.1999999999998</v>
      </c>
      <c r="P2703" s="116">
        <v>2497.9</v>
      </c>
      <c r="Q2703" s="116">
        <v>2477</v>
      </c>
      <c r="R2703">
        <v>127654</v>
      </c>
    </row>
    <row r="2704" spans="1:18" x14ac:dyDescent="0.25">
      <c r="A2704" s="170">
        <v>45986</v>
      </c>
      <c r="B2704" s="116">
        <v>2499</v>
      </c>
      <c r="C2704" s="116">
        <v>2487.85</v>
      </c>
      <c r="D2704" s="116">
        <v>2429.0500000000002</v>
      </c>
      <c r="E2704" s="116">
        <v>2465.5</v>
      </c>
      <c r="F2704" s="116">
        <v>2487.85</v>
      </c>
      <c r="G2704">
        <v>1809</v>
      </c>
      <c r="H2704" s="116"/>
      <c r="I2704" s="116"/>
      <c r="L2704" s="170">
        <v>45986</v>
      </c>
      <c r="M2704" s="116">
        <v>2486.1</v>
      </c>
      <c r="N2704" s="116">
        <v>2499</v>
      </c>
      <c r="O2704" s="116">
        <v>2430</v>
      </c>
      <c r="P2704" s="116">
        <v>2477</v>
      </c>
      <c r="Q2704" s="116">
        <v>2486.1</v>
      </c>
      <c r="R2704">
        <v>81580</v>
      </c>
    </row>
    <row r="2705" spans="1:18" x14ac:dyDescent="0.25">
      <c r="A2705" s="170">
        <v>45987</v>
      </c>
      <c r="B2705" s="116">
        <v>2496.1</v>
      </c>
      <c r="C2705" s="116">
        <v>2488.0500000000002</v>
      </c>
      <c r="D2705" s="116">
        <v>2465</v>
      </c>
      <c r="E2705" s="116">
        <v>2470.1</v>
      </c>
      <c r="F2705" s="116">
        <v>2488.0500000000002</v>
      </c>
      <c r="G2705">
        <v>1994</v>
      </c>
      <c r="H2705" s="116"/>
      <c r="I2705" s="116"/>
      <c r="L2705" s="170">
        <v>45987</v>
      </c>
      <c r="M2705" s="116">
        <v>2489.3000000000002</v>
      </c>
      <c r="N2705" s="116">
        <v>2509.9</v>
      </c>
      <c r="O2705" s="116">
        <v>2459.6999999999998</v>
      </c>
      <c r="P2705" s="116">
        <v>2483</v>
      </c>
      <c r="Q2705" s="116">
        <v>2489.3000000000002</v>
      </c>
      <c r="R2705">
        <v>65730</v>
      </c>
    </row>
    <row r="2706" spans="1:18" x14ac:dyDescent="0.25">
      <c r="A2706" s="170">
        <v>45988</v>
      </c>
      <c r="B2706" s="116">
        <v>2524</v>
      </c>
      <c r="C2706" s="116">
        <v>2519.1</v>
      </c>
      <c r="D2706" s="116">
        <v>2465</v>
      </c>
      <c r="E2706" s="116">
        <v>2482</v>
      </c>
      <c r="F2706" s="116">
        <v>2519.1</v>
      </c>
      <c r="G2706">
        <v>2270</v>
      </c>
      <c r="H2706" s="116"/>
      <c r="I2706" s="116"/>
      <c r="L2706" s="170">
        <v>45988</v>
      </c>
      <c r="M2706" s="116">
        <v>2519.6</v>
      </c>
      <c r="N2706" s="116">
        <v>2524.4</v>
      </c>
      <c r="O2706" s="116">
        <v>2465.1</v>
      </c>
      <c r="P2706" s="116">
        <v>2489.6999999999998</v>
      </c>
      <c r="Q2706" s="116">
        <v>2519.6</v>
      </c>
      <c r="R2706">
        <v>44167</v>
      </c>
    </row>
    <row r="2707" spans="1:18" x14ac:dyDescent="0.25">
      <c r="A2707" s="170">
        <v>45989</v>
      </c>
      <c r="B2707" s="116">
        <v>2575.1</v>
      </c>
      <c r="C2707" s="116">
        <v>2566.65</v>
      </c>
      <c r="D2707" s="116">
        <v>2480</v>
      </c>
      <c r="E2707" s="116">
        <v>2529.65</v>
      </c>
      <c r="F2707" s="116">
        <v>2566.65</v>
      </c>
      <c r="G2707">
        <v>3031</v>
      </c>
      <c r="H2707" s="116"/>
      <c r="I2707" s="116"/>
      <c r="L2707" s="170">
        <v>45989</v>
      </c>
      <c r="M2707" s="116">
        <v>2569.5</v>
      </c>
      <c r="N2707" s="116">
        <v>2585.1</v>
      </c>
      <c r="O2707" s="116">
        <v>2479</v>
      </c>
      <c r="P2707" s="116">
        <v>2519.6</v>
      </c>
      <c r="Q2707" s="116">
        <v>2569.5</v>
      </c>
      <c r="R2707">
        <v>110509</v>
      </c>
    </row>
    <row r="2708" spans="1:18" x14ac:dyDescent="0.25">
      <c r="A2708" s="170">
        <v>45992</v>
      </c>
      <c r="B2708" s="116">
        <v>2566.65</v>
      </c>
      <c r="C2708" s="116">
        <v>2494.6999999999998</v>
      </c>
      <c r="D2708" s="116">
        <v>2490</v>
      </c>
      <c r="E2708" s="116">
        <v>2566.65</v>
      </c>
      <c r="F2708" s="116">
        <v>2494.6999999999998</v>
      </c>
      <c r="G2708">
        <v>2497</v>
      </c>
      <c r="H2708" s="116"/>
      <c r="I2708" s="116"/>
      <c r="L2708" s="170">
        <v>45992</v>
      </c>
      <c r="M2708" s="116">
        <v>2495.4</v>
      </c>
      <c r="N2708" s="116">
        <v>2558.5</v>
      </c>
      <c r="O2708" s="116">
        <v>2490</v>
      </c>
      <c r="P2708" s="116">
        <v>2551</v>
      </c>
      <c r="Q2708" s="116">
        <v>2495.4</v>
      </c>
      <c r="R2708">
        <v>90045</v>
      </c>
    </row>
    <row r="2709" spans="1:18" x14ac:dyDescent="0.25">
      <c r="A2709" s="170">
        <v>45993</v>
      </c>
      <c r="B2709">
        <v>2525</v>
      </c>
      <c r="C2709">
        <v>2516.4499999999998</v>
      </c>
      <c r="D2709">
        <v>2482.8000000000002</v>
      </c>
      <c r="E2709">
        <v>2494.6999999999998</v>
      </c>
      <c r="F2709">
        <v>2516.4499999999998</v>
      </c>
      <c r="G2709">
        <v>808</v>
      </c>
      <c r="H2709" s="116"/>
      <c r="I2709" s="116"/>
      <c r="L2709" s="170">
        <v>45993</v>
      </c>
      <c r="M2709" s="116">
        <v>2519.6</v>
      </c>
      <c r="N2709" s="116">
        <v>2525.5</v>
      </c>
      <c r="O2709" s="116">
        <v>2482</v>
      </c>
      <c r="P2709" s="116">
        <v>2495.6</v>
      </c>
      <c r="Q2709" s="116">
        <v>2519.6</v>
      </c>
      <c r="R2709">
        <v>80503</v>
      </c>
    </row>
    <row r="2710" spans="1:18" x14ac:dyDescent="0.25">
      <c r="A2710" s="170">
        <v>45994</v>
      </c>
      <c r="B2710">
        <v>2533.25</v>
      </c>
      <c r="C2710">
        <v>2520.1999999999998</v>
      </c>
      <c r="D2710">
        <v>2461.8000000000002</v>
      </c>
      <c r="E2710">
        <v>2532.9499999999998</v>
      </c>
      <c r="F2710">
        <v>2520.1999999999998</v>
      </c>
      <c r="G2710">
        <v>2085</v>
      </c>
      <c r="H2710" s="116"/>
      <c r="I2710" s="116"/>
      <c r="L2710" s="170">
        <v>45994</v>
      </c>
      <c r="M2710" s="116">
        <v>2518.9</v>
      </c>
      <c r="N2710" s="116">
        <v>2529.9</v>
      </c>
      <c r="O2710" s="116">
        <v>2461.1</v>
      </c>
      <c r="P2710" s="116">
        <v>2512</v>
      </c>
      <c r="Q2710" s="116">
        <v>2518.9</v>
      </c>
      <c r="R2710">
        <v>118991</v>
      </c>
    </row>
    <row r="2711" spans="1:18" x14ac:dyDescent="0.25">
      <c r="A2711" s="170">
        <v>45995</v>
      </c>
      <c r="B2711">
        <v>2537</v>
      </c>
      <c r="C2711">
        <v>2509.3000000000002</v>
      </c>
      <c r="D2711">
        <v>2496.3000000000002</v>
      </c>
      <c r="E2711">
        <v>2500.75</v>
      </c>
      <c r="F2711">
        <v>2509.3000000000002</v>
      </c>
      <c r="G2711">
        <v>2717</v>
      </c>
      <c r="H2711" s="116"/>
      <c r="I2711" s="116"/>
      <c r="L2711" s="170">
        <v>45995</v>
      </c>
      <c r="M2711" s="116">
        <v>2510.8000000000002</v>
      </c>
      <c r="N2711" s="116">
        <v>2539</v>
      </c>
      <c r="O2711" s="116">
        <v>2494.9</v>
      </c>
      <c r="P2711" s="116">
        <v>2520</v>
      </c>
      <c r="Q2711" s="116">
        <v>2510.8000000000002</v>
      </c>
      <c r="R2711">
        <v>82587</v>
      </c>
    </row>
    <row r="2712" spans="1:18" x14ac:dyDescent="0.25">
      <c r="A2712" s="170">
        <v>45996</v>
      </c>
      <c r="B2712">
        <v>2576.1999999999998</v>
      </c>
      <c r="C2712">
        <v>2543.1</v>
      </c>
      <c r="D2712">
        <v>2508.35</v>
      </c>
      <c r="E2712">
        <v>2508.35</v>
      </c>
      <c r="F2712">
        <v>2543.1</v>
      </c>
      <c r="G2712">
        <v>2979</v>
      </c>
      <c r="H2712" s="116"/>
      <c r="I2712" s="116"/>
      <c r="L2712" s="170">
        <v>45996</v>
      </c>
      <c r="M2712" s="116">
        <v>2545.6</v>
      </c>
      <c r="N2712" s="116">
        <v>2582.5</v>
      </c>
      <c r="O2712" s="116">
        <v>2491.1999999999998</v>
      </c>
      <c r="P2712" s="116">
        <v>2492</v>
      </c>
      <c r="Q2712" s="116">
        <v>2545.6</v>
      </c>
      <c r="R2712">
        <v>159008</v>
      </c>
    </row>
    <row r="2713" spans="1:18" x14ac:dyDescent="0.25">
      <c r="A2713" s="170">
        <v>45999</v>
      </c>
      <c r="B2713">
        <v>2560.65</v>
      </c>
      <c r="C2713">
        <v>2543.4</v>
      </c>
      <c r="D2713">
        <v>2513.6999999999998</v>
      </c>
      <c r="E2713">
        <v>2547</v>
      </c>
      <c r="F2713">
        <v>2543.4</v>
      </c>
      <c r="G2713">
        <v>1398</v>
      </c>
      <c r="H2713" s="116"/>
      <c r="I2713" s="116"/>
      <c r="L2713" s="170">
        <v>45999</v>
      </c>
      <c r="M2713" s="116">
        <v>2544.3000000000002</v>
      </c>
      <c r="N2713" s="116">
        <v>2567</v>
      </c>
      <c r="O2713" s="116">
        <v>2511.1</v>
      </c>
      <c r="P2713" s="116">
        <v>2545.6</v>
      </c>
      <c r="Q2713" s="116">
        <v>2544.3000000000002</v>
      </c>
      <c r="R2713">
        <v>75958</v>
      </c>
    </row>
    <row r="2714" spans="1:18" x14ac:dyDescent="0.25">
      <c r="A2714" s="170">
        <v>46000</v>
      </c>
      <c r="B2714">
        <v>2567.1999999999998</v>
      </c>
      <c r="C2714">
        <v>2560.0500000000002</v>
      </c>
      <c r="D2714">
        <v>2491.5</v>
      </c>
      <c r="E2714">
        <v>2527</v>
      </c>
      <c r="F2714">
        <v>2560.0500000000002</v>
      </c>
      <c r="G2714">
        <v>21449</v>
      </c>
      <c r="H2714" s="116"/>
      <c r="I2714" s="116"/>
      <c r="L2714" s="170">
        <v>46000</v>
      </c>
      <c r="M2714" s="116">
        <v>2559.1999999999998</v>
      </c>
      <c r="N2714" s="116">
        <v>2569.5</v>
      </c>
      <c r="O2714" s="116">
        <v>2491</v>
      </c>
      <c r="P2714" s="116">
        <v>2534.3000000000002</v>
      </c>
      <c r="Q2714" s="116">
        <v>2559.1999999999998</v>
      </c>
      <c r="R2714">
        <v>118147</v>
      </c>
    </row>
    <row r="2715" spans="1:18" x14ac:dyDescent="0.25">
      <c r="A2715" s="170">
        <v>46001</v>
      </c>
      <c r="B2715">
        <v>2615</v>
      </c>
      <c r="C2715">
        <v>2591.4</v>
      </c>
      <c r="D2715">
        <v>2555.85</v>
      </c>
      <c r="E2715">
        <v>2555.85</v>
      </c>
      <c r="F2715">
        <v>2591.4</v>
      </c>
      <c r="G2715">
        <v>4536</v>
      </c>
      <c r="H2715" s="116"/>
      <c r="I2715" s="116"/>
      <c r="L2715" s="170">
        <v>46001</v>
      </c>
      <c r="M2715" s="116">
        <v>2593.3000000000002</v>
      </c>
      <c r="N2715" s="116">
        <v>2618</v>
      </c>
      <c r="O2715" s="116">
        <v>2547</v>
      </c>
      <c r="P2715" s="116">
        <v>2555</v>
      </c>
      <c r="Q2715" s="116">
        <v>2593.3000000000002</v>
      </c>
      <c r="R2715">
        <v>73410</v>
      </c>
    </row>
    <row r="2716" spans="1:18" x14ac:dyDescent="0.25">
      <c r="A2716" s="170">
        <v>46002</v>
      </c>
      <c r="B2716">
        <v>2630</v>
      </c>
      <c r="C2716">
        <v>2623.95</v>
      </c>
      <c r="D2716">
        <v>2570</v>
      </c>
      <c r="E2716">
        <v>2575.6</v>
      </c>
      <c r="F2716">
        <v>2623.95</v>
      </c>
      <c r="G2716">
        <v>2261</v>
      </c>
      <c r="H2716" s="116"/>
      <c r="I2716" s="116"/>
      <c r="L2716" s="170">
        <v>46002</v>
      </c>
      <c r="M2716" s="116">
        <v>2622.1</v>
      </c>
      <c r="N2716" s="116">
        <v>2635</v>
      </c>
      <c r="O2716" s="116">
        <v>2570</v>
      </c>
      <c r="P2716" s="116">
        <v>2592</v>
      </c>
      <c r="Q2716" s="116">
        <v>2622.1</v>
      </c>
      <c r="R2716">
        <v>74843</v>
      </c>
    </row>
    <row r="2717" spans="1:18" x14ac:dyDescent="0.25">
      <c r="A2717" s="170">
        <v>46003</v>
      </c>
      <c r="B2717">
        <v>2615.9499999999998</v>
      </c>
      <c r="C2717">
        <v>2598</v>
      </c>
      <c r="D2717">
        <v>2561</v>
      </c>
      <c r="E2717">
        <v>2615</v>
      </c>
      <c r="F2717">
        <v>2598</v>
      </c>
      <c r="G2717">
        <v>2239</v>
      </c>
      <c r="H2717" s="116"/>
      <c r="I2717" s="116"/>
      <c r="L2717" s="170">
        <v>46003</v>
      </c>
      <c r="M2717" s="116">
        <v>2600.8000000000002</v>
      </c>
      <c r="N2717" s="116">
        <v>2635</v>
      </c>
      <c r="O2717" s="116">
        <v>2559</v>
      </c>
      <c r="P2717" s="116">
        <v>2624</v>
      </c>
      <c r="Q2717" s="116">
        <v>2600.8000000000002</v>
      </c>
      <c r="R2717">
        <v>170216</v>
      </c>
    </row>
    <row r="2718" spans="1:18" x14ac:dyDescent="0.25">
      <c r="A2718" s="170">
        <v>46006</v>
      </c>
      <c r="B2718">
        <v>2605</v>
      </c>
      <c r="C2718">
        <v>2575.0500000000002</v>
      </c>
      <c r="D2718">
        <v>2562.35</v>
      </c>
      <c r="E2718">
        <v>2562.35</v>
      </c>
      <c r="F2718">
        <v>2575.0500000000002</v>
      </c>
      <c r="G2718">
        <v>89044</v>
      </c>
      <c r="H2718" s="116"/>
      <c r="I2718" s="116"/>
      <c r="L2718" s="170">
        <v>46006</v>
      </c>
      <c r="M2718" s="116">
        <v>2578.1</v>
      </c>
      <c r="N2718" s="116">
        <v>2608.9</v>
      </c>
      <c r="O2718" s="116">
        <v>2571</v>
      </c>
      <c r="P2718" s="116">
        <v>2587.6999999999998</v>
      </c>
      <c r="Q2718" s="116">
        <v>2578.1</v>
      </c>
      <c r="R2718">
        <v>25785</v>
      </c>
    </row>
    <row r="2719" spans="1:18" x14ac:dyDescent="0.25">
      <c r="A2719" s="170">
        <v>46007</v>
      </c>
      <c r="B2719">
        <v>2600</v>
      </c>
      <c r="C2719">
        <v>2588.4</v>
      </c>
      <c r="D2719">
        <v>2573.3000000000002</v>
      </c>
      <c r="E2719">
        <v>2580.4</v>
      </c>
      <c r="F2719">
        <v>2588.4</v>
      </c>
      <c r="G2719">
        <v>2440</v>
      </c>
      <c r="H2719" s="116"/>
      <c r="I2719" s="116"/>
      <c r="L2719" s="170">
        <v>46007</v>
      </c>
      <c r="M2719" s="116">
        <v>2585.5</v>
      </c>
      <c r="N2719" s="116">
        <v>2599.9</v>
      </c>
      <c r="O2719" s="116">
        <v>2572.1999999999998</v>
      </c>
      <c r="P2719" s="116">
        <v>2578.1</v>
      </c>
      <c r="Q2719" s="116">
        <v>2585.5</v>
      </c>
      <c r="R2719">
        <v>41890</v>
      </c>
    </row>
    <row r="2720" spans="1:18" x14ac:dyDescent="0.25">
      <c r="A2720" s="170">
        <v>46008</v>
      </c>
      <c r="B2720">
        <v>2587.9</v>
      </c>
      <c r="C2720">
        <v>2581.6999999999998</v>
      </c>
      <c r="D2720">
        <v>2560.75</v>
      </c>
      <c r="E2720">
        <v>2574.6999999999998</v>
      </c>
      <c r="F2720">
        <v>2581.6999999999998</v>
      </c>
      <c r="G2720">
        <v>1437</v>
      </c>
      <c r="H2720" s="116"/>
      <c r="I2720" s="116"/>
      <c r="L2720" s="170">
        <v>46008</v>
      </c>
      <c r="M2720" s="116">
        <v>2582.6</v>
      </c>
      <c r="N2720" s="116">
        <v>2589.6999999999998</v>
      </c>
      <c r="O2720" s="116">
        <v>2562</v>
      </c>
      <c r="P2720" s="116">
        <v>2585</v>
      </c>
      <c r="Q2720" s="116">
        <v>2582.6</v>
      </c>
      <c r="R2720">
        <v>65795</v>
      </c>
    </row>
    <row r="2721" spans="1:18" x14ac:dyDescent="0.25">
      <c r="A2721" s="170">
        <v>46009</v>
      </c>
      <c r="B2721">
        <v>2580</v>
      </c>
      <c r="C2721">
        <v>2552.35</v>
      </c>
      <c r="D2721">
        <v>2508.1999999999998</v>
      </c>
      <c r="E2721">
        <v>2580</v>
      </c>
      <c r="F2721">
        <v>2552.35</v>
      </c>
      <c r="G2721">
        <v>2822</v>
      </c>
      <c r="H2721" s="116"/>
      <c r="I2721" s="116"/>
      <c r="L2721" s="170">
        <v>46009</v>
      </c>
      <c r="M2721" s="116">
        <v>2554.1999999999998</v>
      </c>
      <c r="N2721" s="116">
        <v>2594.5</v>
      </c>
      <c r="O2721" s="116">
        <v>2506.6999999999998</v>
      </c>
      <c r="P2721" s="116">
        <v>2594.5</v>
      </c>
      <c r="Q2721" s="116">
        <v>2554.1999999999998</v>
      </c>
      <c r="R2721">
        <v>67558</v>
      </c>
    </row>
    <row r="2722" spans="1:18" x14ac:dyDescent="0.25">
      <c r="A2722" s="170">
        <v>46010</v>
      </c>
      <c r="B2722">
        <v>2561.15</v>
      </c>
      <c r="C2722">
        <v>2534.6</v>
      </c>
      <c r="D2722">
        <v>2513.15</v>
      </c>
      <c r="E2722">
        <v>2554.75</v>
      </c>
      <c r="F2722">
        <v>2534.6</v>
      </c>
      <c r="G2722">
        <v>2023</v>
      </c>
      <c r="H2722" s="116"/>
      <c r="I2722" s="116"/>
      <c r="L2722" s="170">
        <v>46010</v>
      </c>
      <c r="M2722" s="116">
        <v>2529</v>
      </c>
      <c r="N2722" s="116">
        <v>2575</v>
      </c>
      <c r="O2722" s="116">
        <v>2510</v>
      </c>
      <c r="P2722" s="116">
        <v>2575</v>
      </c>
      <c r="Q2722" s="116">
        <v>2529</v>
      </c>
      <c r="R2722">
        <v>126499</v>
      </c>
    </row>
    <row r="2723" spans="1:18" x14ac:dyDescent="0.25">
      <c r="A2723" s="170">
        <v>46013</v>
      </c>
      <c r="B2723">
        <v>2550.75</v>
      </c>
      <c r="C2723">
        <v>2523.3000000000002</v>
      </c>
      <c r="D2723">
        <v>2506.75</v>
      </c>
      <c r="E2723">
        <v>2506.75</v>
      </c>
      <c r="F2723">
        <v>2523.3000000000002</v>
      </c>
      <c r="G2723">
        <v>2594</v>
      </c>
      <c r="H2723" s="116"/>
      <c r="I2723" s="116"/>
      <c r="L2723" s="170">
        <v>46013</v>
      </c>
      <c r="M2723" s="116">
        <v>2523.4</v>
      </c>
      <c r="N2723" s="116">
        <v>2550.1</v>
      </c>
      <c r="O2723" s="116">
        <v>2519.9</v>
      </c>
      <c r="P2723" s="116">
        <v>2530.1</v>
      </c>
      <c r="Q2723" s="116">
        <v>2523.4</v>
      </c>
      <c r="R2723">
        <v>54185</v>
      </c>
    </row>
    <row r="2724" spans="1:18" x14ac:dyDescent="0.25">
      <c r="A2724" s="170">
        <v>46014</v>
      </c>
      <c r="B2724">
        <v>2538.35</v>
      </c>
      <c r="C2724">
        <v>2498.35</v>
      </c>
      <c r="D2724">
        <v>2486.3000000000002</v>
      </c>
      <c r="E2724">
        <v>2538.35</v>
      </c>
      <c r="F2724">
        <v>2498.35</v>
      </c>
      <c r="G2724">
        <v>2556</v>
      </c>
      <c r="H2724" s="116"/>
      <c r="I2724" s="116"/>
      <c r="L2724" s="170">
        <v>46014</v>
      </c>
      <c r="M2724" s="116">
        <v>2500.1999999999998</v>
      </c>
      <c r="N2724" s="116">
        <v>2536.3000000000002</v>
      </c>
      <c r="O2724" s="116">
        <v>2485</v>
      </c>
      <c r="P2724" s="116">
        <v>2525</v>
      </c>
      <c r="Q2724" s="116">
        <v>2500.1999999999998</v>
      </c>
      <c r="R2724">
        <v>51595</v>
      </c>
    </row>
    <row r="2725" spans="1:18" x14ac:dyDescent="0.25">
      <c r="A2725" s="170">
        <v>46015</v>
      </c>
      <c r="B2725">
        <v>2506</v>
      </c>
      <c r="C2725">
        <v>2484.6999999999998</v>
      </c>
      <c r="D2725">
        <v>2460.25</v>
      </c>
      <c r="E2725">
        <v>2460.25</v>
      </c>
      <c r="F2725">
        <v>2484.6999999999998</v>
      </c>
      <c r="G2725">
        <v>1997</v>
      </c>
      <c r="H2725" s="116"/>
      <c r="I2725" s="116"/>
      <c r="L2725" s="170">
        <v>46015</v>
      </c>
      <c r="M2725" s="116">
        <v>2486.9</v>
      </c>
      <c r="N2725" s="116">
        <v>2510.3000000000002</v>
      </c>
      <c r="O2725" s="116">
        <v>2476</v>
      </c>
      <c r="P2725" s="116">
        <v>2501</v>
      </c>
      <c r="Q2725" s="116">
        <v>2486.9</v>
      </c>
      <c r="R2725">
        <v>39843</v>
      </c>
    </row>
    <row r="2726" spans="1:18" x14ac:dyDescent="0.25">
      <c r="A2726" s="170">
        <v>46017</v>
      </c>
      <c r="B2726">
        <v>2508.85</v>
      </c>
      <c r="C2726">
        <v>2464.9</v>
      </c>
      <c r="D2726">
        <v>2460</v>
      </c>
      <c r="E2726">
        <v>2508.85</v>
      </c>
      <c r="F2726">
        <v>2464.9</v>
      </c>
      <c r="G2726">
        <v>1245</v>
      </c>
      <c r="H2726" s="116"/>
      <c r="I2726" s="116"/>
      <c r="L2726" s="170">
        <v>46017</v>
      </c>
      <c r="M2726" s="116">
        <v>2464.3000000000002</v>
      </c>
      <c r="N2726" s="116">
        <v>2488.8000000000002</v>
      </c>
      <c r="O2726" s="116">
        <v>2459.5</v>
      </c>
      <c r="P2726" s="116">
        <v>2488</v>
      </c>
      <c r="Q2726" s="116">
        <v>2464.3000000000002</v>
      </c>
      <c r="R2726">
        <v>32764</v>
      </c>
    </row>
    <row r="2727" spans="1:18" x14ac:dyDescent="0.25">
      <c r="A2727" s="170">
        <v>46020</v>
      </c>
      <c r="B2727">
        <v>2485.0500000000002</v>
      </c>
      <c r="C2727">
        <v>2476.65</v>
      </c>
      <c r="D2727">
        <v>2442</v>
      </c>
      <c r="E2727">
        <v>2485.0500000000002</v>
      </c>
      <c r="F2727">
        <v>2476.65</v>
      </c>
      <c r="G2727">
        <v>3433</v>
      </c>
      <c r="H2727" s="116"/>
      <c r="I2727" s="116"/>
      <c r="L2727" s="170">
        <v>46020</v>
      </c>
      <c r="M2727" s="116">
        <v>2477.4</v>
      </c>
      <c r="N2727" s="116">
        <v>2487.5</v>
      </c>
      <c r="O2727" s="116">
        <v>2445</v>
      </c>
      <c r="P2727" s="116">
        <v>2483</v>
      </c>
      <c r="Q2727" s="116">
        <v>2477.4</v>
      </c>
      <c r="R2727">
        <v>51186</v>
      </c>
    </row>
    <row r="2728" spans="1:18" x14ac:dyDescent="0.25">
      <c r="A2728" s="170">
        <v>46021</v>
      </c>
      <c r="B2728">
        <v>2465.8000000000002</v>
      </c>
      <c r="C2728">
        <v>2389.35</v>
      </c>
      <c r="D2728">
        <v>2364.1</v>
      </c>
      <c r="E2728">
        <v>2459.5</v>
      </c>
      <c r="F2728">
        <v>2389.35</v>
      </c>
      <c r="G2728">
        <v>9557</v>
      </c>
      <c r="H2728" s="116"/>
      <c r="I2728" s="116"/>
      <c r="L2728" s="170">
        <v>46021</v>
      </c>
      <c r="M2728" s="116">
        <v>2384.1999999999998</v>
      </c>
      <c r="N2728" s="116">
        <v>2468.4</v>
      </c>
      <c r="O2728" s="116">
        <v>2362.6</v>
      </c>
      <c r="P2728" s="116">
        <v>2462.1999999999998</v>
      </c>
      <c r="Q2728" s="116">
        <v>2384.1999999999998</v>
      </c>
      <c r="R2728">
        <v>517479</v>
      </c>
    </row>
    <row r="2729" spans="1:18" x14ac:dyDescent="0.25">
      <c r="A2729" s="170">
        <v>46022</v>
      </c>
      <c r="B2729">
        <v>2481.4</v>
      </c>
      <c r="C2729">
        <v>2470.9499999999998</v>
      </c>
      <c r="D2729">
        <v>2382</v>
      </c>
      <c r="E2729">
        <v>2400.9499999999998</v>
      </c>
      <c r="F2729">
        <v>2470.9499999999998</v>
      </c>
      <c r="G2729">
        <v>4477</v>
      </c>
      <c r="H2729" s="116"/>
      <c r="I2729" s="116"/>
      <c r="L2729" s="170">
        <v>46022</v>
      </c>
      <c r="M2729" s="116">
        <v>2473.6</v>
      </c>
      <c r="N2729" s="116">
        <v>2482.5</v>
      </c>
      <c r="O2729" s="116">
        <v>2382</v>
      </c>
      <c r="P2729" s="116">
        <v>2419.4</v>
      </c>
      <c r="Q2729" s="116">
        <v>2473.6</v>
      </c>
      <c r="R2729">
        <v>114120</v>
      </c>
    </row>
    <row r="2730" spans="1:18" x14ac:dyDescent="0.25">
      <c r="A2730" s="170">
        <v>46023</v>
      </c>
      <c r="B2730">
        <v>2473.4499999999998</v>
      </c>
      <c r="C2730">
        <v>2455.25</v>
      </c>
      <c r="D2730">
        <v>2442.8000000000002</v>
      </c>
      <c r="E2730">
        <v>2473.4499999999998</v>
      </c>
      <c r="F2730">
        <v>2455.25</v>
      </c>
      <c r="G2730">
        <v>1509</v>
      </c>
      <c r="H2730" s="116"/>
      <c r="I2730" s="116"/>
      <c r="L2730" s="170">
        <v>46023</v>
      </c>
      <c r="M2730" s="116">
        <v>2455.9</v>
      </c>
      <c r="N2730" s="116">
        <v>2476</v>
      </c>
      <c r="O2730" s="116">
        <v>2442.5</v>
      </c>
      <c r="P2730" s="116">
        <v>2476</v>
      </c>
      <c r="Q2730" s="116">
        <v>2455.9</v>
      </c>
      <c r="R2730">
        <v>40789</v>
      </c>
    </row>
    <row r="2731" spans="1:18" x14ac:dyDescent="0.25">
      <c r="A2731" s="170">
        <v>46024</v>
      </c>
      <c r="B2731">
        <v>2486</v>
      </c>
      <c r="C2731">
        <v>2483.35</v>
      </c>
      <c r="D2731">
        <v>2446.1</v>
      </c>
      <c r="E2731">
        <v>2455</v>
      </c>
      <c r="F2731">
        <v>2483.35</v>
      </c>
      <c r="G2731">
        <v>1238</v>
      </c>
      <c r="H2731" s="116"/>
      <c r="I2731" s="116"/>
      <c r="L2731" s="170">
        <v>46024</v>
      </c>
      <c r="M2731" s="116">
        <v>2483.8000000000002</v>
      </c>
      <c r="N2731" s="116">
        <v>2487.6999999999998</v>
      </c>
      <c r="O2731" s="116">
        <v>2443.9</v>
      </c>
      <c r="P2731" s="116">
        <v>2461.3000000000002</v>
      </c>
      <c r="Q2731" s="116">
        <v>2483.8000000000002</v>
      </c>
      <c r="R2731">
        <v>27469</v>
      </c>
    </row>
    <row r="2732" spans="1:18" x14ac:dyDescent="0.25">
      <c r="A2732" s="170">
        <v>46027</v>
      </c>
      <c r="B2732">
        <v>2479</v>
      </c>
      <c r="C2732">
        <v>2457.0500000000002</v>
      </c>
      <c r="D2732">
        <v>2451.25</v>
      </c>
      <c r="E2732">
        <v>2458.8000000000002</v>
      </c>
      <c r="F2732">
        <v>2457.0500000000002</v>
      </c>
      <c r="G2732">
        <v>3061</v>
      </c>
      <c r="H2732" s="116"/>
      <c r="I2732" s="116"/>
      <c r="L2732" s="170">
        <v>46027</v>
      </c>
      <c r="M2732" s="116">
        <v>2456.1999999999998</v>
      </c>
      <c r="N2732" s="116">
        <v>2484.9</v>
      </c>
      <c r="O2732" s="116">
        <v>2452</v>
      </c>
      <c r="P2732" s="116">
        <v>2484.9</v>
      </c>
      <c r="Q2732" s="116">
        <v>2456.1999999999998</v>
      </c>
      <c r="R2732">
        <v>44205</v>
      </c>
    </row>
    <row r="2733" spans="1:18" x14ac:dyDescent="0.25">
      <c r="A2733" s="170">
        <v>46028</v>
      </c>
      <c r="B2733">
        <v>2501.15</v>
      </c>
      <c r="C2733">
        <v>2482.25</v>
      </c>
      <c r="D2733">
        <v>2442</v>
      </c>
      <c r="E2733">
        <v>2442.0500000000002</v>
      </c>
      <c r="F2733">
        <v>2482.25</v>
      </c>
      <c r="G2733">
        <v>2719</v>
      </c>
      <c r="H2733" s="116"/>
      <c r="I2733" s="116"/>
      <c r="L2733" s="170">
        <v>46028</v>
      </c>
      <c r="M2733" s="116">
        <v>2483.3000000000002</v>
      </c>
      <c r="N2733" s="116">
        <v>2504</v>
      </c>
      <c r="O2733" s="116">
        <v>2437.1999999999998</v>
      </c>
      <c r="P2733" s="116">
        <v>2456</v>
      </c>
      <c r="Q2733" s="116">
        <v>2483.3000000000002</v>
      </c>
      <c r="R2733">
        <v>45634</v>
      </c>
    </row>
    <row r="2734" spans="1:18" x14ac:dyDescent="0.25">
      <c r="A2734" s="170">
        <v>46029</v>
      </c>
      <c r="B2734">
        <v>2526.15</v>
      </c>
      <c r="C2734">
        <v>2457.85</v>
      </c>
      <c r="D2734">
        <v>2447.9</v>
      </c>
      <c r="E2734">
        <v>2480</v>
      </c>
      <c r="F2734">
        <v>2457.85</v>
      </c>
      <c r="G2734">
        <v>5034</v>
      </c>
      <c r="H2734" s="116"/>
      <c r="I2734" s="116"/>
      <c r="L2734" s="170">
        <v>46029</v>
      </c>
      <c r="M2734" s="116">
        <v>2459.8000000000002</v>
      </c>
      <c r="N2734" s="116">
        <v>2528</v>
      </c>
      <c r="O2734" s="116">
        <v>2448</v>
      </c>
      <c r="P2734" s="116">
        <v>2483.3000000000002</v>
      </c>
      <c r="Q2734" s="116">
        <v>2459.8000000000002</v>
      </c>
      <c r="R2734">
        <v>155760</v>
      </c>
    </row>
    <row r="2735" spans="1:18" x14ac:dyDescent="0.25">
      <c r="A2735" s="170">
        <v>46030</v>
      </c>
      <c r="B2735">
        <v>2456</v>
      </c>
      <c r="C2735">
        <v>2398.85</v>
      </c>
      <c r="D2735">
        <v>2390</v>
      </c>
      <c r="E2735">
        <v>2456</v>
      </c>
      <c r="F2735">
        <v>2398.85</v>
      </c>
      <c r="G2735">
        <v>1481</v>
      </c>
      <c r="H2735" s="116"/>
      <c r="I2735" s="116"/>
      <c r="L2735" s="170">
        <v>46030</v>
      </c>
      <c r="M2735" s="116">
        <v>2398.6999999999998</v>
      </c>
      <c r="N2735" s="116">
        <v>2455.3000000000002</v>
      </c>
      <c r="O2735" s="116">
        <v>2386.8000000000002</v>
      </c>
      <c r="P2735" s="116">
        <v>2455</v>
      </c>
      <c r="Q2735" s="116">
        <v>2398.6999999999998</v>
      </c>
      <c r="R2735">
        <v>43925</v>
      </c>
    </row>
    <row r="2736" spans="1:18" x14ac:dyDescent="0.25">
      <c r="A2736" s="170">
        <v>46031</v>
      </c>
      <c r="B2736">
        <v>2401.25</v>
      </c>
      <c r="C2736">
        <v>2374.5</v>
      </c>
      <c r="D2736">
        <v>2358</v>
      </c>
      <c r="E2736">
        <v>2372.75</v>
      </c>
      <c r="F2736">
        <v>2374.5</v>
      </c>
      <c r="G2736">
        <v>3213</v>
      </c>
      <c r="H2736" s="116"/>
      <c r="I2736" s="116"/>
      <c r="L2736" s="170">
        <v>46031</v>
      </c>
      <c r="M2736" s="116">
        <v>2372.1</v>
      </c>
      <c r="N2736" s="116">
        <v>2404</v>
      </c>
      <c r="O2736" s="116">
        <v>2350</v>
      </c>
      <c r="P2736" s="116">
        <v>2390</v>
      </c>
      <c r="Q2736" s="116">
        <v>2372.1</v>
      </c>
      <c r="R2736">
        <v>81420</v>
      </c>
    </row>
    <row r="2737" spans="1:18" x14ac:dyDescent="0.25">
      <c r="A2737" s="170">
        <v>46034</v>
      </c>
      <c r="B2737">
        <v>2402</v>
      </c>
      <c r="C2737">
        <v>2398.65</v>
      </c>
      <c r="D2737">
        <v>2338.9</v>
      </c>
      <c r="E2737">
        <v>2362.0500000000002</v>
      </c>
      <c r="F2737">
        <v>2398.65</v>
      </c>
      <c r="G2737">
        <v>2438</v>
      </c>
      <c r="H2737" s="116"/>
      <c r="I2737" s="116"/>
      <c r="L2737" s="170">
        <v>46034</v>
      </c>
      <c r="M2737" s="116">
        <v>2397.1</v>
      </c>
      <c r="N2737" s="116">
        <v>2403.8000000000002</v>
      </c>
      <c r="O2737" s="116">
        <v>2337.6</v>
      </c>
      <c r="P2737" s="116">
        <v>2372</v>
      </c>
      <c r="Q2737" s="116">
        <v>2397.1</v>
      </c>
      <c r="R2737">
        <v>44475</v>
      </c>
    </row>
    <row r="2738" spans="1:18" x14ac:dyDescent="0.25">
      <c r="A2738" s="170">
        <v>46035</v>
      </c>
      <c r="B2738">
        <v>2415</v>
      </c>
      <c r="C2738">
        <v>2369.85</v>
      </c>
      <c r="D2738">
        <v>2347.9</v>
      </c>
      <c r="E2738">
        <v>2408.65</v>
      </c>
      <c r="F2738">
        <v>2369.85</v>
      </c>
      <c r="G2738">
        <v>2016</v>
      </c>
      <c r="H2738" s="116"/>
      <c r="I2738" s="116"/>
      <c r="L2738" s="170">
        <v>46035</v>
      </c>
      <c r="M2738" s="116">
        <v>2369.1</v>
      </c>
      <c r="N2738" s="116">
        <v>2417.1</v>
      </c>
      <c r="O2738" s="116">
        <v>2349</v>
      </c>
      <c r="P2738" s="116">
        <v>2397</v>
      </c>
      <c r="Q2738" s="116">
        <v>2369.1</v>
      </c>
      <c r="R2738">
        <v>58611</v>
      </c>
    </row>
    <row r="2739" spans="1:18" x14ac:dyDescent="0.25">
      <c r="A2739" s="170">
        <v>46036</v>
      </c>
      <c r="B2739">
        <v>2410.9</v>
      </c>
      <c r="C2739">
        <v>2392.9499999999998</v>
      </c>
      <c r="D2739">
        <v>2362.5</v>
      </c>
      <c r="E2739">
        <v>2369.9</v>
      </c>
      <c r="F2739">
        <v>2392.9499999999998</v>
      </c>
      <c r="G2739">
        <v>2295</v>
      </c>
      <c r="H2739" s="116"/>
      <c r="I2739" s="116"/>
      <c r="L2739" s="170">
        <v>46036</v>
      </c>
      <c r="M2739" s="116">
        <v>2394.8000000000002</v>
      </c>
      <c r="N2739" s="116">
        <v>2411.5</v>
      </c>
      <c r="O2739" s="116">
        <v>2361</v>
      </c>
      <c r="P2739" s="116">
        <v>2369</v>
      </c>
      <c r="Q2739" s="116">
        <v>2394.8000000000002</v>
      </c>
      <c r="R2739">
        <v>56103</v>
      </c>
    </row>
    <row r="2740" spans="1:18" x14ac:dyDescent="0.25">
      <c r="A2740" s="170">
        <v>46038</v>
      </c>
      <c r="B2740">
        <v>2394.5</v>
      </c>
      <c r="C2740">
        <v>2348.6999999999998</v>
      </c>
      <c r="D2740">
        <v>2340.6999999999998</v>
      </c>
      <c r="E2740">
        <v>2394.5</v>
      </c>
      <c r="F2740">
        <v>2348.6999999999998</v>
      </c>
      <c r="G2740">
        <v>2296</v>
      </c>
      <c r="H2740" s="116"/>
      <c r="I2740" s="116"/>
      <c r="L2740" s="170">
        <v>46038</v>
      </c>
      <c r="M2740" s="116">
        <v>2345.4</v>
      </c>
      <c r="N2740" s="116">
        <v>2409.8000000000002</v>
      </c>
      <c r="O2740" s="116">
        <v>2340</v>
      </c>
      <c r="P2740" s="116">
        <v>2409.8000000000002</v>
      </c>
      <c r="Q2740" s="116">
        <v>2345.4</v>
      </c>
      <c r="R2740">
        <v>59347</v>
      </c>
    </row>
    <row r="2741" spans="1:18" x14ac:dyDescent="0.25">
      <c r="A2741" s="170">
        <v>46041</v>
      </c>
      <c r="B2741">
        <v>2355.8000000000002</v>
      </c>
      <c r="C2741">
        <v>2329.6</v>
      </c>
      <c r="D2741">
        <v>2325.1</v>
      </c>
      <c r="E2741">
        <v>2348.75</v>
      </c>
      <c r="F2741">
        <v>2329.6</v>
      </c>
      <c r="G2741">
        <v>2476</v>
      </c>
      <c r="H2741" s="116"/>
      <c r="I2741" s="116"/>
      <c r="L2741" s="170">
        <v>46041</v>
      </c>
      <c r="M2741" s="116">
        <v>2329.6</v>
      </c>
      <c r="N2741" s="116">
        <v>2354.8000000000002</v>
      </c>
      <c r="O2741" s="116">
        <v>2324.9</v>
      </c>
      <c r="P2741" s="116">
        <v>2345.9</v>
      </c>
      <c r="Q2741" s="116">
        <v>2329.6</v>
      </c>
      <c r="R2741">
        <v>22916</v>
      </c>
    </row>
    <row r="2742" spans="1:18" x14ac:dyDescent="0.25">
      <c r="A2742" s="170">
        <v>46042</v>
      </c>
      <c r="B2742">
        <v>2340.75</v>
      </c>
      <c r="C2742">
        <v>2269.8000000000002</v>
      </c>
      <c r="D2742">
        <v>2261.75</v>
      </c>
      <c r="E2742">
        <v>2329.6</v>
      </c>
      <c r="F2742">
        <v>2269.8000000000002</v>
      </c>
      <c r="G2742">
        <v>4775</v>
      </c>
      <c r="H2742" s="116"/>
      <c r="I2742" s="116"/>
      <c r="L2742" s="170">
        <v>46042</v>
      </c>
      <c r="M2742" s="116">
        <v>2272.6</v>
      </c>
      <c r="N2742" s="116">
        <v>2337.3000000000002</v>
      </c>
      <c r="O2742" s="116">
        <v>2263.3000000000002</v>
      </c>
      <c r="P2742" s="116">
        <v>2329</v>
      </c>
      <c r="Q2742" s="116">
        <v>2272.6</v>
      </c>
      <c r="R2742">
        <v>100472</v>
      </c>
    </row>
    <row r="2743" spans="1:18" x14ac:dyDescent="0.25">
      <c r="A2743" s="170">
        <v>46043</v>
      </c>
      <c r="B2743">
        <v>2291.1999999999998</v>
      </c>
      <c r="C2743">
        <v>2274.0500000000002</v>
      </c>
      <c r="D2743">
        <v>2220</v>
      </c>
      <c r="E2743">
        <v>2269.9</v>
      </c>
      <c r="F2743">
        <v>2274.0500000000002</v>
      </c>
      <c r="G2743">
        <v>3971</v>
      </c>
      <c r="H2743" s="116"/>
      <c r="I2743" s="116"/>
      <c r="L2743" s="170">
        <v>46043</v>
      </c>
      <c r="M2743" s="116">
        <v>2278.5</v>
      </c>
      <c r="N2743" s="116">
        <v>2299</v>
      </c>
      <c r="O2743" s="116">
        <v>2220.3000000000002</v>
      </c>
      <c r="P2743" s="116">
        <v>2270.1</v>
      </c>
      <c r="Q2743" s="116">
        <v>2278.5</v>
      </c>
      <c r="R2743">
        <v>100394</v>
      </c>
    </row>
    <row r="2744" spans="1:18" x14ac:dyDescent="0.25">
      <c r="A2744" s="170">
        <v>46044</v>
      </c>
      <c r="B2744">
        <v>2391.35</v>
      </c>
      <c r="C2744">
        <v>2379.85</v>
      </c>
      <c r="D2744">
        <v>2290</v>
      </c>
      <c r="E2744">
        <v>2290</v>
      </c>
      <c r="F2744">
        <v>2379.85</v>
      </c>
      <c r="G2744">
        <v>2949</v>
      </c>
      <c r="H2744" s="116"/>
      <c r="I2744" s="116"/>
      <c r="L2744" s="170">
        <v>46044</v>
      </c>
      <c r="M2744" s="116">
        <v>2380.1999999999998</v>
      </c>
      <c r="N2744" s="116">
        <v>2393.5</v>
      </c>
      <c r="O2744" s="116">
        <v>2291.3000000000002</v>
      </c>
      <c r="P2744" s="116">
        <v>2304</v>
      </c>
      <c r="Q2744" s="116">
        <v>2380.1999999999998</v>
      </c>
      <c r="R2744">
        <v>88898</v>
      </c>
    </row>
    <row r="2745" spans="1:18" x14ac:dyDescent="0.25">
      <c r="A2745" s="170">
        <v>46045</v>
      </c>
      <c r="B2745">
        <v>2391</v>
      </c>
      <c r="C2745">
        <v>2311.5</v>
      </c>
      <c r="D2745">
        <v>2308.0500000000002</v>
      </c>
      <c r="E2745">
        <v>2390.85</v>
      </c>
      <c r="F2745">
        <v>2311.5</v>
      </c>
      <c r="G2745">
        <v>3136</v>
      </c>
      <c r="H2745" s="116"/>
      <c r="I2745" s="116"/>
      <c r="L2745" s="170">
        <v>46045</v>
      </c>
      <c r="M2745" s="116">
        <v>2313.4</v>
      </c>
      <c r="N2745" s="116">
        <v>2420</v>
      </c>
      <c r="O2745" s="116">
        <v>2307.6</v>
      </c>
      <c r="P2745" s="116">
        <v>2381.9</v>
      </c>
      <c r="Q2745" s="116">
        <v>2313.4</v>
      </c>
      <c r="R2745">
        <v>86873</v>
      </c>
    </row>
    <row r="2746" spans="1:18" x14ac:dyDescent="0.25">
      <c r="A2746" s="170">
        <v>46049</v>
      </c>
      <c r="B2746">
        <v>2354.9499999999998</v>
      </c>
      <c r="C2746">
        <v>2339.1</v>
      </c>
      <c r="D2746">
        <v>2279.1</v>
      </c>
      <c r="E2746">
        <v>2312.3000000000002</v>
      </c>
      <c r="F2746">
        <v>2339.1</v>
      </c>
      <c r="G2746">
        <v>2037</v>
      </c>
      <c r="H2746" s="116"/>
      <c r="I2746" s="116"/>
      <c r="L2746" s="170">
        <v>46049</v>
      </c>
      <c r="M2746" s="116">
        <v>2340.8000000000002</v>
      </c>
      <c r="N2746" s="116">
        <v>2356.1999999999998</v>
      </c>
      <c r="O2746" s="116">
        <v>2278.3000000000002</v>
      </c>
      <c r="P2746" s="116">
        <v>2319</v>
      </c>
      <c r="Q2746" s="116">
        <v>2340.8000000000002</v>
      </c>
      <c r="R2746">
        <v>46789</v>
      </c>
    </row>
    <row r="2747" spans="1:18" x14ac:dyDescent="0.25">
      <c r="A2747" s="170">
        <v>46050</v>
      </c>
      <c r="B2747">
        <v>2443.4499999999998</v>
      </c>
      <c r="C2747">
        <v>2433.5500000000002</v>
      </c>
      <c r="D2747">
        <v>2333</v>
      </c>
      <c r="E2747">
        <v>2339.1</v>
      </c>
      <c r="F2747">
        <v>2433.5500000000002</v>
      </c>
      <c r="G2747">
        <v>3032</v>
      </c>
      <c r="H2747" s="116"/>
      <c r="I2747" s="116"/>
      <c r="L2747" s="170">
        <v>46050</v>
      </c>
      <c r="M2747" s="116">
        <v>2434.1999999999998</v>
      </c>
      <c r="N2747" s="116">
        <v>2442.9</v>
      </c>
      <c r="O2747" s="116">
        <v>2331.9</v>
      </c>
      <c r="P2747" s="116">
        <v>2351</v>
      </c>
      <c r="Q2747" s="116">
        <v>2434.1999999999998</v>
      </c>
      <c r="R2747">
        <v>78593</v>
      </c>
    </row>
    <row r="2748" spans="1:18" x14ac:dyDescent="0.25">
      <c r="A2748" s="170">
        <v>46051</v>
      </c>
      <c r="B2748">
        <v>2495.5</v>
      </c>
      <c r="C2748">
        <v>2363.6</v>
      </c>
      <c r="D2748">
        <v>2343.9499999999998</v>
      </c>
      <c r="E2748">
        <v>2495.5</v>
      </c>
      <c r="F2748">
        <v>2363.6</v>
      </c>
      <c r="G2748">
        <v>3280</v>
      </c>
      <c r="H2748" s="116"/>
      <c r="I2748" s="116"/>
      <c r="L2748" s="170">
        <v>46051</v>
      </c>
      <c r="M2748" s="116">
        <v>2366.6</v>
      </c>
      <c r="N2748" s="116">
        <v>2438.1999999999998</v>
      </c>
      <c r="O2748" s="116">
        <v>2345</v>
      </c>
      <c r="P2748" s="116">
        <v>2438.1999999999998</v>
      </c>
      <c r="Q2748" s="116">
        <v>2366.6</v>
      </c>
      <c r="R2748">
        <v>73586</v>
      </c>
    </row>
    <row r="2749" spans="1:18" x14ac:dyDescent="0.25">
      <c r="A2749" s="170">
        <v>46052</v>
      </c>
      <c r="B2749">
        <v>2407.0500000000002</v>
      </c>
      <c r="C2749">
        <v>2397.4499999999998</v>
      </c>
      <c r="D2749">
        <v>2305.6</v>
      </c>
      <c r="E2749">
        <v>2375.4</v>
      </c>
      <c r="F2749">
        <v>2397.4499999999998</v>
      </c>
      <c r="G2749">
        <v>1805</v>
      </c>
      <c r="H2749" s="116"/>
      <c r="I2749" s="116"/>
      <c r="L2749" s="170">
        <v>46052</v>
      </c>
      <c r="M2749" s="116">
        <v>2401.6</v>
      </c>
      <c r="N2749" s="116">
        <v>2414</v>
      </c>
      <c r="O2749" s="116">
        <v>2306.3000000000002</v>
      </c>
      <c r="P2749" s="116">
        <v>2359.9</v>
      </c>
      <c r="Q2749" s="116">
        <v>2401.6</v>
      </c>
      <c r="R2749">
        <v>109753</v>
      </c>
    </row>
    <row r="2750" spans="1:18" x14ac:dyDescent="0.25">
      <c r="A2750" s="170">
        <v>46054</v>
      </c>
      <c r="B2750">
        <v>2445</v>
      </c>
      <c r="C2750">
        <v>2407.5500000000002</v>
      </c>
      <c r="D2750">
        <v>2378</v>
      </c>
      <c r="E2750">
        <v>2397.5</v>
      </c>
      <c r="F2750">
        <v>2407.5500000000002</v>
      </c>
      <c r="G2750">
        <v>837</v>
      </c>
      <c r="H2750" s="116"/>
      <c r="I2750" s="116"/>
      <c r="L2750" s="170">
        <v>46054</v>
      </c>
      <c r="M2750" s="116">
        <v>2408.4</v>
      </c>
      <c r="N2750" s="116">
        <v>2448</v>
      </c>
      <c r="O2750" s="116">
        <v>2372.1999999999998</v>
      </c>
      <c r="P2750" s="116">
        <v>2421.4</v>
      </c>
      <c r="Q2750" s="116">
        <v>2408.4</v>
      </c>
      <c r="R2750">
        <v>20797</v>
      </c>
    </row>
    <row r="2751" spans="1:18" x14ac:dyDescent="0.25">
      <c r="A2751" s="170">
        <v>46055</v>
      </c>
      <c r="B2751">
        <v>2434.9499999999998</v>
      </c>
      <c r="C2751">
        <v>2426.4</v>
      </c>
      <c r="D2751">
        <v>2345</v>
      </c>
      <c r="E2751">
        <v>2407.4499999999998</v>
      </c>
      <c r="F2751">
        <v>2426.4</v>
      </c>
      <c r="G2751">
        <v>1587</v>
      </c>
      <c r="H2751" s="116"/>
      <c r="I2751" s="116"/>
      <c r="L2751" s="170">
        <v>46055</v>
      </c>
      <c r="M2751" s="116">
        <v>2407.1999999999998</v>
      </c>
      <c r="N2751" s="116">
        <v>2426.6</v>
      </c>
      <c r="O2751" s="116">
        <v>2342.1</v>
      </c>
      <c r="P2751" s="116">
        <v>2400.1999999999998</v>
      </c>
      <c r="Q2751" s="116">
        <v>2407.1999999999998</v>
      </c>
      <c r="R2751">
        <v>75479</v>
      </c>
    </row>
    <row r="2752" spans="1:18" x14ac:dyDescent="0.25">
      <c r="A2752" s="170">
        <v>46056</v>
      </c>
      <c r="B2752">
        <v>2475.15</v>
      </c>
      <c r="C2752">
        <v>2435.15</v>
      </c>
      <c r="D2752">
        <v>2402.6</v>
      </c>
      <c r="E2752">
        <v>2460.65</v>
      </c>
      <c r="F2752">
        <v>2435.15</v>
      </c>
      <c r="G2752">
        <v>4760</v>
      </c>
      <c r="H2752" s="116"/>
      <c r="I2752" s="116"/>
      <c r="L2752" s="170">
        <v>46056</v>
      </c>
      <c r="M2752" s="116">
        <v>2435.3000000000002</v>
      </c>
      <c r="N2752" s="116">
        <v>2475.6</v>
      </c>
      <c r="O2752" s="116">
        <v>2401.8000000000002</v>
      </c>
      <c r="P2752" s="116">
        <v>2465</v>
      </c>
      <c r="Q2752" s="116">
        <v>2435.3000000000002</v>
      </c>
      <c r="R2752">
        <v>89069</v>
      </c>
    </row>
    <row r="2753" spans="1:18" x14ac:dyDescent="0.25">
      <c r="A2753" s="170">
        <v>46057</v>
      </c>
      <c r="B2753">
        <v>2421</v>
      </c>
      <c r="C2753">
        <v>2406.15</v>
      </c>
      <c r="D2753">
        <v>2384.6</v>
      </c>
      <c r="E2753">
        <v>2421</v>
      </c>
      <c r="F2753">
        <v>2406.15</v>
      </c>
      <c r="G2753">
        <v>1670</v>
      </c>
      <c r="H2753" s="116"/>
      <c r="I2753" s="116"/>
      <c r="L2753" s="170">
        <v>46057</v>
      </c>
      <c r="M2753" s="116">
        <v>2407.1</v>
      </c>
      <c r="N2753" s="116">
        <v>2420</v>
      </c>
      <c r="O2753" s="116">
        <v>2385.1</v>
      </c>
      <c r="P2753" s="116">
        <v>2406.6</v>
      </c>
      <c r="Q2753" s="116">
        <v>2407.1</v>
      </c>
      <c r="R2753">
        <v>36450</v>
      </c>
    </row>
    <row r="2754" spans="1:18" x14ac:dyDescent="0.25">
      <c r="A2754" s="170">
        <v>46058</v>
      </c>
      <c r="B2754">
        <v>2455.15</v>
      </c>
      <c r="C2754">
        <v>2443.1</v>
      </c>
      <c r="D2754">
        <v>2370.35</v>
      </c>
      <c r="E2754">
        <v>2382.4</v>
      </c>
      <c r="F2754">
        <v>2443.1</v>
      </c>
      <c r="G2754">
        <v>1558</v>
      </c>
      <c r="H2754" s="116"/>
      <c r="I2754" s="116"/>
      <c r="L2754" s="170">
        <v>46058</v>
      </c>
      <c r="M2754" s="116">
        <v>2444.6</v>
      </c>
      <c r="N2754" s="116">
        <v>2456.5</v>
      </c>
      <c r="O2754" s="116">
        <v>2370.3000000000002</v>
      </c>
      <c r="P2754" s="116">
        <v>2407.1</v>
      </c>
      <c r="Q2754" s="116">
        <v>2444.6</v>
      </c>
      <c r="R2754">
        <v>51183</v>
      </c>
    </row>
    <row r="2755" spans="1:18" x14ac:dyDescent="0.25">
      <c r="A2755" s="170">
        <v>46059</v>
      </c>
      <c r="B2755">
        <v>2492.3000000000002</v>
      </c>
      <c r="C2755">
        <v>2485.85</v>
      </c>
      <c r="D2755">
        <v>2404.85</v>
      </c>
      <c r="E2755">
        <v>2413.35</v>
      </c>
      <c r="F2755">
        <v>2485.85</v>
      </c>
      <c r="G2755">
        <v>2063</v>
      </c>
      <c r="H2755" s="116"/>
      <c r="I2755" s="116"/>
      <c r="L2755" s="170">
        <v>46059</v>
      </c>
      <c r="M2755" s="116">
        <v>2484</v>
      </c>
      <c r="N2755" s="116">
        <v>2489</v>
      </c>
      <c r="O2755" s="116">
        <v>2405</v>
      </c>
      <c r="P2755" s="116">
        <v>2444.6</v>
      </c>
      <c r="Q2755" s="116">
        <v>2484</v>
      </c>
      <c r="R2755">
        <v>75210</v>
      </c>
    </row>
    <row r="2756" spans="1:18" x14ac:dyDescent="0.25">
      <c r="A2756" s="170">
        <v>46062</v>
      </c>
      <c r="B2756">
        <v>2538</v>
      </c>
      <c r="C2756">
        <v>2511</v>
      </c>
      <c r="D2756">
        <v>2409.25</v>
      </c>
      <c r="E2756">
        <v>2409.25</v>
      </c>
      <c r="F2756">
        <v>2511</v>
      </c>
      <c r="G2756">
        <v>6012</v>
      </c>
      <c r="H2756" s="116"/>
      <c r="I2756" s="116"/>
      <c r="L2756" s="170">
        <v>46062</v>
      </c>
      <c r="M2756" s="116">
        <v>2516.1999999999998</v>
      </c>
      <c r="N2756" s="116">
        <v>2540</v>
      </c>
      <c r="O2756" s="116">
        <v>2475</v>
      </c>
      <c r="P2756" s="116">
        <v>2489</v>
      </c>
      <c r="Q2756" s="116">
        <v>2516.1999999999998</v>
      </c>
      <c r="R2756">
        <v>104890</v>
      </c>
    </row>
    <row r="2757" spans="1:18" x14ac:dyDescent="0.25">
      <c r="A2757" s="170">
        <v>46063</v>
      </c>
      <c r="B2757">
        <v>2675.4</v>
      </c>
      <c r="C2757">
        <v>2619.8000000000002</v>
      </c>
      <c r="D2757">
        <v>2541.35</v>
      </c>
      <c r="E2757">
        <v>2558.6</v>
      </c>
      <c r="F2757">
        <v>2619.8000000000002</v>
      </c>
      <c r="G2757">
        <v>23292</v>
      </c>
      <c r="H2757" s="116"/>
      <c r="I2757" s="116"/>
      <c r="L2757" s="170">
        <v>46063</v>
      </c>
      <c r="M2757" s="116">
        <v>2622.9</v>
      </c>
      <c r="N2757" s="116">
        <v>2675</v>
      </c>
      <c r="O2757" s="116">
        <v>2541.6</v>
      </c>
      <c r="P2757" s="116">
        <v>2550.4</v>
      </c>
      <c r="Q2757" s="116">
        <v>2622.9</v>
      </c>
      <c r="R2757">
        <v>356548</v>
      </c>
    </row>
    <row r="2758" spans="1:18" x14ac:dyDescent="0.25">
      <c r="A2758" s="170">
        <v>46064</v>
      </c>
      <c r="B2758">
        <v>2715.15</v>
      </c>
      <c r="C2758">
        <v>2700.8</v>
      </c>
      <c r="D2758">
        <v>2612.5</v>
      </c>
      <c r="E2758">
        <v>2621</v>
      </c>
      <c r="F2758">
        <v>2700.8</v>
      </c>
      <c r="G2758">
        <v>5603</v>
      </c>
      <c r="H2758" s="116"/>
      <c r="I2758" s="116"/>
      <c r="L2758" s="170">
        <v>46064</v>
      </c>
      <c r="M2758" s="116">
        <v>2699.3</v>
      </c>
      <c r="N2758" s="116">
        <v>2719.8</v>
      </c>
      <c r="O2758" s="116">
        <v>2610</v>
      </c>
      <c r="P2758" s="116">
        <v>2622</v>
      </c>
      <c r="Q2758" s="116">
        <v>2699.3</v>
      </c>
      <c r="R2758">
        <v>114978</v>
      </c>
    </row>
    <row r="2759" spans="1:18" x14ac:dyDescent="0.25">
      <c r="A2759" s="170">
        <v>46065</v>
      </c>
      <c r="B2759">
        <v>2705</v>
      </c>
      <c r="C2759">
        <v>2666.95</v>
      </c>
      <c r="D2759">
        <v>2643.85</v>
      </c>
      <c r="E2759">
        <v>2705</v>
      </c>
      <c r="F2759">
        <v>2666.95</v>
      </c>
      <c r="G2759">
        <v>4016</v>
      </c>
      <c r="H2759" s="116"/>
      <c r="I2759" s="116"/>
      <c r="L2759" s="170">
        <v>46065</v>
      </c>
      <c r="M2759" s="116">
        <v>2668.5</v>
      </c>
      <c r="N2759" s="116">
        <v>2705.7</v>
      </c>
      <c r="O2759" s="116">
        <v>2644.8</v>
      </c>
      <c r="P2759" s="116">
        <v>2705.7</v>
      </c>
      <c r="Q2759" s="116">
        <v>2668.5</v>
      </c>
      <c r="R2759">
        <v>43439</v>
      </c>
    </row>
    <row r="2760" spans="1:18" x14ac:dyDescent="0.25">
      <c r="A2760" s="170">
        <v>46066</v>
      </c>
      <c r="B2760">
        <v>2659.8</v>
      </c>
      <c r="C2760">
        <v>2593.9</v>
      </c>
      <c r="D2760">
        <v>2585.0500000000002</v>
      </c>
      <c r="E2760">
        <v>2648.8</v>
      </c>
      <c r="F2760">
        <v>2593.9</v>
      </c>
      <c r="G2760">
        <v>1635</v>
      </c>
      <c r="H2760" s="116"/>
      <c r="I2760" s="116"/>
      <c r="L2760" s="170">
        <v>46066</v>
      </c>
      <c r="M2760" s="116">
        <v>2594.4</v>
      </c>
      <c r="N2760" s="116">
        <v>2668.5</v>
      </c>
      <c r="O2760" s="116">
        <v>2584.8000000000002</v>
      </c>
      <c r="P2760" s="116">
        <v>2645</v>
      </c>
      <c r="Q2760" s="116">
        <v>2594.4</v>
      </c>
      <c r="R2760">
        <v>61048</v>
      </c>
    </row>
    <row r="2761" spans="1:18" x14ac:dyDescent="0.25">
      <c r="A2761" s="170">
        <v>46069</v>
      </c>
      <c r="B2761">
        <v>2637.85</v>
      </c>
      <c r="C2761">
        <v>2598.4</v>
      </c>
      <c r="D2761">
        <v>2573.4499999999998</v>
      </c>
      <c r="E2761">
        <v>2573.4499999999998</v>
      </c>
      <c r="F2761">
        <v>2598.4</v>
      </c>
      <c r="G2761">
        <v>4556</v>
      </c>
      <c r="H2761" s="116"/>
      <c r="I2761" s="116"/>
      <c r="L2761" s="170">
        <v>46069</v>
      </c>
      <c r="M2761" s="116">
        <v>2597.3000000000002</v>
      </c>
      <c r="N2761" s="116">
        <v>2639</v>
      </c>
      <c r="O2761" s="116">
        <v>2584.8000000000002</v>
      </c>
      <c r="P2761" s="116">
        <v>2590</v>
      </c>
      <c r="Q2761" s="116">
        <v>2597.3000000000002</v>
      </c>
      <c r="R2761">
        <v>34053</v>
      </c>
    </row>
    <row r="2762" spans="1:18" x14ac:dyDescent="0.25">
      <c r="A2762" s="170">
        <v>46070</v>
      </c>
      <c r="B2762">
        <v>2624</v>
      </c>
      <c r="C2762">
        <v>2605.75</v>
      </c>
      <c r="D2762">
        <v>2578.15</v>
      </c>
      <c r="E2762">
        <v>2595</v>
      </c>
      <c r="F2762">
        <v>2605.75</v>
      </c>
      <c r="G2762">
        <v>2746</v>
      </c>
      <c r="H2762" s="116"/>
      <c r="I2762" s="116"/>
      <c r="L2762" s="170">
        <v>46070</v>
      </c>
      <c r="M2762" s="116">
        <v>2603.6</v>
      </c>
      <c r="N2762" s="116">
        <v>2627</v>
      </c>
      <c r="O2762" s="116">
        <v>2579</v>
      </c>
      <c r="P2762" s="116">
        <v>2590.8000000000002</v>
      </c>
      <c r="Q2762" s="116">
        <v>2603.6</v>
      </c>
      <c r="R2762">
        <v>87738</v>
      </c>
    </row>
    <row r="2763" spans="1:18" x14ac:dyDescent="0.25">
      <c r="A2763" s="170">
        <v>46071</v>
      </c>
      <c r="B2763">
        <v>2641</v>
      </c>
      <c r="C2763">
        <v>2584.4</v>
      </c>
      <c r="D2763">
        <v>2580</v>
      </c>
      <c r="E2763">
        <v>2605.75</v>
      </c>
      <c r="F2763">
        <v>2584.4</v>
      </c>
      <c r="G2763">
        <v>1172</v>
      </c>
      <c r="H2763" s="116"/>
      <c r="I2763" s="116"/>
      <c r="L2763" s="170">
        <v>46071</v>
      </c>
      <c r="M2763" s="116">
        <v>2583.8000000000002</v>
      </c>
      <c r="N2763" s="116">
        <v>2644</v>
      </c>
      <c r="O2763" s="116">
        <v>2578.6</v>
      </c>
      <c r="P2763" s="116">
        <v>2603.6</v>
      </c>
      <c r="Q2763" s="116">
        <v>2583.8000000000002</v>
      </c>
      <c r="R2763">
        <v>44733</v>
      </c>
    </row>
    <row r="2764" spans="1:18" x14ac:dyDescent="0.25">
      <c r="A2764" s="170">
        <v>46072</v>
      </c>
      <c r="B2764">
        <v>2627</v>
      </c>
      <c r="C2764">
        <v>2571.1</v>
      </c>
      <c r="D2764">
        <v>2559.1999999999998</v>
      </c>
      <c r="E2764">
        <v>2584.4</v>
      </c>
      <c r="F2764">
        <v>2571.1</v>
      </c>
      <c r="G2764">
        <v>2191</v>
      </c>
      <c r="H2764" s="116"/>
      <c r="I2764" s="116"/>
      <c r="L2764" s="170">
        <v>46072</v>
      </c>
      <c r="M2764" s="116">
        <v>2577.9</v>
      </c>
      <c r="N2764" s="116">
        <v>2625</v>
      </c>
      <c r="O2764" s="116">
        <v>2560</v>
      </c>
      <c r="P2764" s="116">
        <v>2584</v>
      </c>
      <c r="Q2764" s="116">
        <v>2577.9</v>
      </c>
      <c r="R2764">
        <v>57060</v>
      </c>
    </row>
    <row r="2765" spans="1:18" x14ac:dyDescent="0.25">
      <c r="A2765" s="170">
        <v>46073</v>
      </c>
      <c r="B2765">
        <v>2611.1999999999998</v>
      </c>
      <c r="C2765">
        <v>2600.1</v>
      </c>
      <c r="D2765">
        <v>2559.0500000000002</v>
      </c>
      <c r="E2765">
        <v>2575</v>
      </c>
      <c r="F2765">
        <v>2600.1</v>
      </c>
      <c r="G2765">
        <v>1327</v>
      </c>
      <c r="H2765" s="116"/>
      <c r="I2765" s="116"/>
      <c r="L2765" s="170">
        <v>46073</v>
      </c>
      <c r="M2765" s="116">
        <v>2596.9</v>
      </c>
      <c r="N2765" s="116">
        <v>2610.4</v>
      </c>
      <c r="O2765" s="116">
        <v>2558.1</v>
      </c>
      <c r="P2765" s="116">
        <v>2577</v>
      </c>
      <c r="Q2765" s="116">
        <v>2596.9</v>
      </c>
      <c r="R2765">
        <v>39094</v>
      </c>
    </row>
    <row r="2766" spans="1:18" x14ac:dyDescent="0.25">
      <c r="A2766" s="170">
        <v>46076</v>
      </c>
      <c r="B2766">
        <v>2666.95</v>
      </c>
      <c r="C2766">
        <v>2637.35</v>
      </c>
      <c r="D2766">
        <v>2600.4</v>
      </c>
      <c r="E2766">
        <v>2600.4</v>
      </c>
      <c r="F2766">
        <v>2637.35</v>
      </c>
      <c r="G2766">
        <v>4081</v>
      </c>
      <c r="H2766" s="116"/>
      <c r="I2766" s="116"/>
      <c r="L2766" s="170">
        <v>46076</v>
      </c>
      <c r="M2766" s="116">
        <v>2638.6</v>
      </c>
      <c r="N2766" s="116">
        <v>2668.8</v>
      </c>
      <c r="O2766" s="116">
        <v>2610.5</v>
      </c>
      <c r="P2766" s="116">
        <v>2616.8000000000002</v>
      </c>
      <c r="Q2766" s="116">
        <v>2638.6</v>
      </c>
      <c r="R2766">
        <v>59249</v>
      </c>
    </row>
    <row r="2767" spans="1:18" x14ac:dyDescent="0.25">
      <c r="A2767" s="170">
        <v>46077</v>
      </c>
      <c r="B2767">
        <v>2693.65</v>
      </c>
      <c r="C2767">
        <v>2619.4</v>
      </c>
      <c r="D2767">
        <v>2591.6</v>
      </c>
      <c r="E2767">
        <v>2693.65</v>
      </c>
      <c r="F2767">
        <v>2619.4</v>
      </c>
      <c r="G2767">
        <v>1307</v>
      </c>
      <c r="H2767" s="116"/>
      <c r="I2767" s="116"/>
      <c r="L2767" s="170">
        <v>46077</v>
      </c>
      <c r="M2767" s="116">
        <v>2618.1999999999998</v>
      </c>
      <c r="N2767" s="116">
        <v>2635.1</v>
      </c>
      <c r="O2767" s="116">
        <v>2591.3000000000002</v>
      </c>
      <c r="P2767" s="116">
        <v>2635.1</v>
      </c>
      <c r="Q2767" s="116">
        <v>2618.1999999999998</v>
      </c>
      <c r="R2767">
        <v>57672</v>
      </c>
    </row>
    <row r="2768" spans="1:18" x14ac:dyDescent="0.25">
      <c r="A2768" s="170">
        <v>46078</v>
      </c>
      <c r="B2768">
        <v>2665</v>
      </c>
      <c r="C2768">
        <v>2650.85</v>
      </c>
      <c r="D2768">
        <v>2597.0500000000002</v>
      </c>
      <c r="E2768">
        <v>2597.0500000000002</v>
      </c>
      <c r="F2768">
        <v>2650.85</v>
      </c>
      <c r="G2768">
        <v>2948</v>
      </c>
      <c r="H2768" s="116"/>
      <c r="I2768" s="116"/>
      <c r="L2768" s="170">
        <v>46078</v>
      </c>
      <c r="M2768" s="116">
        <v>2652.5</v>
      </c>
      <c r="N2768" s="116">
        <v>2667.4</v>
      </c>
      <c r="O2768" s="116">
        <v>2602.5</v>
      </c>
      <c r="P2768" s="116">
        <v>2602.5</v>
      </c>
      <c r="Q2768" s="116">
        <v>2652.5</v>
      </c>
      <c r="R2768">
        <v>39395</v>
      </c>
    </row>
    <row r="2769" spans="1:18" x14ac:dyDescent="0.25">
      <c r="A2769" s="170">
        <v>46079</v>
      </c>
      <c r="B2769">
        <v>2646.85</v>
      </c>
      <c r="C2769">
        <v>2624.85</v>
      </c>
      <c r="D2769">
        <v>2611</v>
      </c>
      <c r="E2769">
        <v>2626.15</v>
      </c>
      <c r="F2769">
        <v>2624.85</v>
      </c>
      <c r="G2769">
        <v>1318</v>
      </c>
      <c r="H2769" s="116"/>
      <c r="I2769" s="116"/>
      <c r="L2769" s="170">
        <v>46079</v>
      </c>
      <c r="M2769" s="116">
        <v>2626</v>
      </c>
      <c r="N2769" s="116">
        <v>2650</v>
      </c>
      <c r="O2769" s="116">
        <v>2610</v>
      </c>
      <c r="P2769" s="116">
        <v>2650</v>
      </c>
      <c r="Q2769" s="116">
        <v>2626</v>
      </c>
      <c r="R2769">
        <v>34573</v>
      </c>
    </row>
    <row r="2770" spans="1:18" x14ac:dyDescent="0.25">
      <c r="A2770" s="170">
        <v>46080</v>
      </c>
      <c r="B2770">
        <v>2611.6</v>
      </c>
      <c r="C2770">
        <v>2570</v>
      </c>
      <c r="D2770">
        <v>2566.1</v>
      </c>
      <c r="E2770">
        <v>2611.6</v>
      </c>
      <c r="F2770">
        <v>2570</v>
      </c>
      <c r="G2770">
        <v>1083</v>
      </c>
      <c r="H2770" s="116"/>
      <c r="I2770" s="116"/>
      <c r="L2770" s="170">
        <v>46080</v>
      </c>
      <c r="M2770" s="116">
        <v>2571.6</v>
      </c>
      <c r="N2770" s="116">
        <v>2633.1</v>
      </c>
      <c r="O2770" s="116">
        <v>2566</v>
      </c>
      <c r="P2770" s="116">
        <v>2632.1</v>
      </c>
      <c r="Q2770" s="116">
        <v>2571.6</v>
      </c>
      <c r="R2770">
        <v>46525</v>
      </c>
    </row>
    <row r="2771" spans="1:18" x14ac:dyDescent="0.25">
      <c r="A2771" s="170">
        <v>46083</v>
      </c>
      <c r="B2771">
        <v>2578.9</v>
      </c>
      <c r="C2771">
        <v>2535.9</v>
      </c>
      <c r="D2771">
        <v>2511.6999999999998</v>
      </c>
      <c r="E2771">
        <v>2512.25</v>
      </c>
      <c r="F2771">
        <v>2535.9</v>
      </c>
      <c r="G2771">
        <v>1880</v>
      </c>
      <c r="H2771" s="116"/>
      <c r="I2771" s="116"/>
      <c r="L2771" s="170">
        <v>46083</v>
      </c>
      <c r="M2771" s="116">
        <v>2532.6</v>
      </c>
      <c r="N2771" s="116">
        <v>2581.6</v>
      </c>
      <c r="O2771" s="116">
        <v>2511.6999999999998</v>
      </c>
      <c r="P2771" s="116">
        <v>2520</v>
      </c>
      <c r="Q2771" s="116">
        <v>2532.6</v>
      </c>
      <c r="R2771">
        <v>106428</v>
      </c>
    </row>
    <row r="2772" spans="1:18" x14ac:dyDescent="0.25">
      <c r="A2772" s="170">
        <v>46085</v>
      </c>
      <c r="B2772">
        <v>2507.5</v>
      </c>
      <c r="C2772">
        <v>2482.4</v>
      </c>
      <c r="D2772">
        <v>2479.4499999999998</v>
      </c>
      <c r="E2772">
        <v>2500</v>
      </c>
      <c r="F2772">
        <v>2482.4</v>
      </c>
      <c r="G2772">
        <v>3005</v>
      </c>
      <c r="H2772" s="116"/>
      <c r="I2772" s="116"/>
      <c r="L2772" s="170">
        <v>46085</v>
      </c>
      <c r="M2772" s="116">
        <v>2485.9</v>
      </c>
      <c r="N2772" s="116">
        <v>2512.1</v>
      </c>
      <c r="O2772" s="116">
        <v>2480</v>
      </c>
      <c r="P2772" s="116">
        <v>2501</v>
      </c>
      <c r="Q2772" s="116">
        <v>2485.9</v>
      </c>
      <c r="R2772">
        <v>52317</v>
      </c>
    </row>
    <row r="2773" spans="1:18" x14ac:dyDescent="0.25">
      <c r="A2773" s="170">
        <v>46086</v>
      </c>
      <c r="B2773">
        <v>2520.4</v>
      </c>
      <c r="C2773">
        <v>2478.1</v>
      </c>
      <c r="D2773">
        <v>2451</v>
      </c>
      <c r="E2773">
        <v>2497.3000000000002</v>
      </c>
      <c r="F2773">
        <v>2478.1</v>
      </c>
      <c r="G2773">
        <v>2156</v>
      </c>
      <c r="H2773" s="116"/>
      <c r="I2773" s="116"/>
      <c r="L2773" s="170">
        <v>46086</v>
      </c>
      <c r="M2773" s="116">
        <v>2479.3000000000002</v>
      </c>
      <c r="N2773" s="116">
        <v>2525</v>
      </c>
      <c r="O2773" s="116">
        <v>2450.1</v>
      </c>
      <c r="P2773" s="116">
        <v>2487</v>
      </c>
      <c r="Q2773" s="116">
        <v>2479.3000000000002</v>
      </c>
      <c r="R2773">
        <v>46130</v>
      </c>
    </row>
    <row r="2774" spans="1:18" x14ac:dyDescent="0.25">
      <c r="A2774" s="170">
        <v>46087</v>
      </c>
      <c r="B2774">
        <v>2528.0500000000002</v>
      </c>
      <c r="C2774">
        <v>2512.75</v>
      </c>
      <c r="D2774">
        <v>2445</v>
      </c>
      <c r="E2774">
        <v>2445</v>
      </c>
      <c r="F2774">
        <v>2512.75</v>
      </c>
      <c r="G2774">
        <v>1152</v>
      </c>
      <c r="H2774" s="116"/>
      <c r="I2774" s="116"/>
      <c r="L2774" s="170">
        <v>46087</v>
      </c>
      <c r="M2774" s="116">
        <v>2517.3000000000002</v>
      </c>
      <c r="N2774" s="116">
        <v>2528.9</v>
      </c>
      <c r="O2774" s="116">
        <v>2470.5</v>
      </c>
      <c r="P2774" s="116">
        <v>2478</v>
      </c>
      <c r="Q2774" s="116">
        <v>2517.3000000000002</v>
      </c>
      <c r="R2774">
        <v>32929</v>
      </c>
    </row>
    <row r="2775" spans="1:18" x14ac:dyDescent="0.25">
      <c r="A2775" s="170">
        <v>46090</v>
      </c>
      <c r="B2775">
        <v>2532.4</v>
      </c>
      <c r="C2775">
        <v>2521.6999999999998</v>
      </c>
      <c r="D2775">
        <v>2452.85</v>
      </c>
      <c r="E2775">
        <v>2501</v>
      </c>
      <c r="F2775">
        <v>2521.6999999999998</v>
      </c>
      <c r="G2775">
        <v>6692</v>
      </c>
      <c r="H2775" s="116"/>
      <c r="I2775" s="116"/>
      <c r="L2775" s="170">
        <v>46090</v>
      </c>
      <c r="M2775" s="116">
        <v>2519.1999999999998</v>
      </c>
      <c r="N2775" s="116">
        <v>2529.9</v>
      </c>
      <c r="O2775" s="116">
        <v>2450.8000000000002</v>
      </c>
      <c r="P2775" s="116">
        <v>2500</v>
      </c>
      <c r="Q2775" s="116">
        <v>2519.1999999999998</v>
      </c>
      <c r="R2775">
        <v>44706</v>
      </c>
    </row>
    <row r="2776" spans="1:18" x14ac:dyDescent="0.25">
      <c r="A2776" s="170">
        <v>46091</v>
      </c>
      <c r="B2776">
        <v>2555</v>
      </c>
      <c r="C2776">
        <v>2491.5500000000002</v>
      </c>
      <c r="D2776">
        <v>2480.1</v>
      </c>
      <c r="E2776">
        <v>2520.6999999999998</v>
      </c>
      <c r="F2776">
        <v>2491.5500000000002</v>
      </c>
      <c r="G2776">
        <v>3084</v>
      </c>
      <c r="H2776" s="116"/>
      <c r="I2776" s="116"/>
      <c r="L2776" s="170">
        <v>46091</v>
      </c>
      <c r="M2776" s="116">
        <v>2487</v>
      </c>
      <c r="N2776" s="116">
        <v>2554</v>
      </c>
      <c r="O2776" s="116">
        <v>2473</v>
      </c>
      <c r="P2776" s="116">
        <v>2527</v>
      </c>
      <c r="Q2776" s="116">
        <v>2487</v>
      </c>
      <c r="R2776">
        <v>60144</v>
      </c>
    </row>
    <row r="2777" spans="1:18" x14ac:dyDescent="0.25">
      <c r="A2777" s="170">
        <v>46092</v>
      </c>
      <c r="B2777">
        <v>2540</v>
      </c>
      <c r="C2777">
        <v>2485.15</v>
      </c>
      <c r="D2777">
        <v>2472.65</v>
      </c>
      <c r="E2777">
        <v>2493</v>
      </c>
      <c r="F2777">
        <v>2485.15</v>
      </c>
      <c r="G2777">
        <v>3187</v>
      </c>
      <c r="H2777" s="116"/>
      <c r="I2777" s="116"/>
      <c r="L2777" s="170">
        <v>46092</v>
      </c>
      <c r="M2777" s="116">
        <v>2486</v>
      </c>
      <c r="N2777" s="116">
        <v>2541</v>
      </c>
      <c r="O2777" s="116">
        <v>2471</v>
      </c>
      <c r="P2777" s="116">
        <v>2489.5</v>
      </c>
      <c r="Q2777" s="116">
        <v>2486</v>
      </c>
      <c r="R2777">
        <v>42649</v>
      </c>
    </row>
    <row r="2778" spans="1:18" x14ac:dyDescent="0.25">
      <c r="A2778" s="170">
        <v>46093</v>
      </c>
      <c r="B2778">
        <v>2517.1999999999998</v>
      </c>
      <c r="C2778">
        <v>2504.15</v>
      </c>
      <c r="D2778">
        <v>2434.5500000000002</v>
      </c>
      <c r="E2778">
        <v>2479.9499999999998</v>
      </c>
      <c r="F2778">
        <v>2504.15</v>
      </c>
      <c r="G2778">
        <v>6323</v>
      </c>
      <c r="H2778" s="116"/>
      <c r="I2778" s="116"/>
      <c r="L2778" s="170">
        <v>46093</v>
      </c>
      <c r="M2778" s="116">
        <v>2504.4</v>
      </c>
      <c r="N2778" s="116">
        <v>2519.4</v>
      </c>
      <c r="O2778" s="116">
        <v>2436.8000000000002</v>
      </c>
      <c r="P2778" s="116">
        <v>2486</v>
      </c>
      <c r="Q2778" s="116">
        <v>2504.4</v>
      </c>
      <c r="R2778">
        <v>47013</v>
      </c>
    </row>
    <row r="2779" spans="1:18" x14ac:dyDescent="0.25">
      <c r="A2779" s="170">
        <v>46094</v>
      </c>
      <c r="B2779">
        <v>2482.6999999999998</v>
      </c>
      <c r="C2779">
        <v>2423.5500000000002</v>
      </c>
      <c r="D2779">
        <v>2401</v>
      </c>
      <c r="E2779">
        <v>2482.6999999999998</v>
      </c>
      <c r="F2779">
        <v>2423.5500000000002</v>
      </c>
      <c r="G2779">
        <v>2721</v>
      </c>
      <c r="H2779" s="116"/>
      <c r="I2779" s="116"/>
      <c r="L2779" s="170">
        <v>46094</v>
      </c>
      <c r="M2779" s="116">
        <v>2424.3000000000002</v>
      </c>
      <c r="N2779" s="116">
        <v>2500</v>
      </c>
      <c r="O2779" s="116">
        <v>2397.6999999999998</v>
      </c>
      <c r="P2779" s="116">
        <v>2500</v>
      </c>
      <c r="Q2779" s="116">
        <v>2424.3000000000002</v>
      </c>
      <c r="R2779">
        <v>51430</v>
      </c>
    </row>
    <row r="2780" spans="1:18" x14ac:dyDescent="0.25">
      <c r="A2780" s="170">
        <v>46097</v>
      </c>
      <c r="B2780">
        <v>2432</v>
      </c>
      <c r="C2780">
        <v>2405.15</v>
      </c>
      <c r="D2780">
        <v>2379</v>
      </c>
      <c r="E2780">
        <v>2385.35</v>
      </c>
      <c r="F2780">
        <v>2405.15</v>
      </c>
      <c r="G2780">
        <v>1431</v>
      </c>
      <c r="H2780" s="116"/>
      <c r="I2780" s="116"/>
      <c r="L2780" s="170">
        <v>46097</v>
      </c>
      <c r="M2780" s="116">
        <v>2403</v>
      </c>
      <c r="N2780" s="116">
        <v>2432.4</v>
      </c>
      <c r="O2780" s="116">
        <v>2379.1999999999998</v>
      </c>
      <c r="P2780" s="116">
        <v>2413</v>
      </c>
      <c r="Q2780" s="116">
        <v>2403</v>
      </c>
      <c r="R2780">
        <v>43791</v>
      </c>
    </row>
    <row r="2781" spans="1:18" x14ac:dyDescent="0.25">
      <c r="A2781" s="170">
        <v>46098</v>
      </c>
      <c r="B2781">
        <v>2439.9499999999998</v>
      </c>
      <c r="C2781">
        <v>2433.65</v>
      </c>
      <c r="D2781">
        <v>2398</v>
      </c>
      <c r="E2781">
        <v>2405.1999999999998</v>
      </c>
      <c r="F2781">
        <v>2433.65</v>
      </c>
      <c r="G2781">
        <v>1980</v>
      </c>
      <c r="H2781" s="116"/>
      <c r="I2781" s="116"/>
      <c r="L2781" s="170">
        <v>46098</v>
      </c>
      <c r="M2781" s="116">
        <v>2429.6</v>
      </c>
      <c r="N2781" s="116">
        <v>2440</v>
      </c>
      <c r="O2781" s="116">
        <v>2396</v>
      </c>
      <c r="P2781" s="116">
        <v>2404.9</v>
      </c>
      <c r="Q2781" s="116">
        <v>2429.6</v>
      </c>
      <c r="R2781">
        <v>31162</v>
      </c>
    </row>
    <row r="2782" spans="1:18" x14ac:dyDescent="0.25">
      <c r="A2782" s="170">
        <v>46099</v>
      </c>
      <c r="B2782">
        <v>2470.9499999999998</v>
      </c>
      <c r="C2782">
        <v>2435.1</v>
      </c>
      <c r="D2782">
        <v>2431.6999999999998</v>
      </c>
      <c r="E2782">
        <v>2433.5</v>
      </c>
      <c r="F2782">
        <v>2435.1</v>
      </c>
      <c r="G2782">
        <v>1970</v>
      </c>
      <c r="H2782" s="116"/>
      <c r="I2782" s="116"/>
      <c r="L2782" s="170">
        <v>46099</v>
      </c>
      <c r="M2782" s="116">
        <v>2437.6</v>
      </c>
      <c r="N2782" s="116">
        <v>2472</v>
      </c>
      <c r="O2782" s="116">
        <v>2418.1999999999998</v>
      </c>
      <c r="P2782" s="116">
        <v>2428.9</v>
      </c>
      <c r="Q2782" s="116">
        <v>2437.6</v>
      </c>
      <c r="R2782">
        <v>26379</v>
      </c>
    </row>
    <row r="2783" spans="1:18" x14ac:dyDescent="0.25">
      <c r="A2783" s="170">
        <v>46100</v>
      </c>
      <c r="B2783">
        <v>2421.35</v>
      </c>
      <c r="C2783">
        <v>2377.65</v>
      </c>
      <c r="D2783">
        <v>2372.5</v>
      </c>
      <c r="E2783">
        <v>2400</v>
      </c>
      <c r="F2783">
        <v>2377.65</v>
      </c>
      <c r="G2783">
        <v>1454</v>
      </c>
      <c r="H2783" s="116"/>
      <c r="I2783" s="116"/>
      <c r="L2783" s="170">
        <v>46100</v>
      </c>
      <c r="M2783" s="116">
        <v>2376.6999999999998</v>
      </c>
      <c r="N2783" s="116">
        <v>2419.6</v>
      </c>
      <c r="O2783" s="116">
        <v>2372.4</v>
      </c>
      <c r="P2783" s="116">
        <v>2401</v>
      </c>
      <c r="Q2783" s="116">
        <v>2376.6999999999998</v>
      </c>
      <c r="R2783">
        <v>23012</v>
      </c>
    </row>
    <row r="2784" spans="1:18" x14ac:dyDescent="0.25">
      <c r="A2784" s="170">
        <v>46101</v>
      </c>
      <c r="B2784">
        <v>2415</v>
      </c>
      <c r="C2784">
        <v>2380.9</v>
      </c>
      <c r="D2784">
        <v>2365.65</v>
      </c>
      <c r="E2784">
        <v>2367.65</v>
      </c>
      <c r="F2784">
        <v>2380.9</v>
      </c>
      <c r="G2784">
        <v>5609</v>
      </c>
      <c r="H2784" s="116"/>
      <c r="I2784" s="116"/>
      <c r="L2784" s="170">
        <v>46101</v>
      </c>
      <c r="M2784" s="116">
        <v>2384.8000000000002</v>
      </c>
      <c r="N2784" s="116">
        <v>2416</v>
      </c>
      <c r="O2784" s="116">
        <v>2362.5</v>
      </c>
      <c r="P2784" s="116">
        <v>2376.8000000000002</v>
      </c>
      <c r="Q2784" s="116">
        <v>2384.8000000000002</v>
      </c>
      <c r="R2784">
        <v>58866</v>
      </c>
    </row>
    <row r="2785" spans="1:18" x14ac:dyDescent="0.25">
      <c r="A2785" s="170">
        <v>46104</v>
      </c>
      <c r="B2785">
        <v>2357.4</v>
      </c>
      <c r="C2785">
        <v>2279.85</v>
      </c>
      <c r="D2785">
        <v>2269.0500000000002</v>
      </c>
      <c r="E2785">
        <v>2353.4</v>
      </c>
      <c r="F2785">
        <v>2279.85</v>
      </c>
      <c r="G2785">
        <v>2645</v>
      </c>
      <c r="H2785" s="116"/>
      <c r="I2785" s="116"/>
      <c r="L2785" s="170">
        <v>46104</v>
      </c>
      <c r="M2785" s="116">
        <v>2279.1999999999998</v>
      </c>
      <c r="N2785" s="116">
        <v>2364.9</v>
      </c>
      <c r="O2785" s="116">
        <v>2269.1</v>
      </c>
      <c r="P2785" s="116">
        <v>2353.4</v>
      </c>
      <c r="Q2785" s="116">
        <v>2279.1999999999998</v>
      </c>
      <c r="R2785">
        <v>50972</v>
      </c>
    </row>
    <row r="2786" spans="1:18" x14ac:dyDescent="0.25">
      <c r="A2786" s="170">
        <v>46105</v>
      </c>
      <c r="B2786">
        <v>2338.65</v>
      </c>
      <c r="C2786">
        <v>2308</v>
      </c>
      <c r="D2786">
        <v>2285.5</v>
      </c>
      <c r="E2786">
        <v>2301.5</v>
      </c>
      <c r="F2786">
        <v>2308</v>
      </c>
      <c r="G2786">
        <v>3599</v>
      </c>
      <c r="H2786" s="116"/>
      <c r="I2786" s="116"/>
      <c r="L2786" s="170">
        <v>46105</v>
      </c>
      <c r="M2786" s="116">
        <v>2309.1</v>
      </c>
      <c r="N2786" s="116">
        <v>2340</v>
      </c>
      <c r="O2786" s="116">
        <v>2284.6</v>
      </c>
      <c r="P2786" s="116">
        <v>2301</v>
      </c>
      <c r="Q2786" s="116">
        <v>2309.1</v>
      </c>
      <c r="R2786">
        <v>51349</v>
      </c>
    </row>
    <row r="2787" spans="1:18" x14ac:dyDescent="0.25">
      <c r="A2787" s="170">
        <v>46106</v>
      </c>
      <c r="B2787">
        <v>2350.1</v>
      </c>
      <c r="C2787">
        <v>2321.6</v>
      </c>
      <c r="D2787">
        <v>2308</v>
      </c>
      <c r="E2787">
        <v>2333</v>
      </c>
      <c r="F2787">
        <v>2321.6</v>
      </c>
      <c r="G2787">
        <v>1990</v>
      </c>
      <c r="H2787" s="116"/>
      <c r="I2787" s="116"/>
      <c r="L2787" s="170">
        <v>46106</v>
      </c>
      <c r="M2787" s="116">
        <v>2321.6</v>
      </c>
      <c r="N2787" s="116">
        <v>2352.5</v>
      </c>
      <c r="O2787" s="116">
        <v>2305.1999999999998</v>
      </c>
      <c r="P2787" s="116">
        <v>2310</v>
      </c>
      <c r="Q2787" s="116">
        <v>2321.6</v>
      </c>
      <c r="R2787">
        <v>87862</v>
      </c>
    </row>
    <row r="2788" spans="1:18" x14ac:dyDescent="0.25">
      <c r="A2788" s="170">
        <v>46108</v>
      </c>
      <c r="B2788">
        <v>2325.9</v>
      </c>
      <c r="C2788">
        <v>2259.1999999999998</v>
      </c>
      <c r="D2788">
        <v>2257.1</v>
      </c>
      <c r="E2788">
        <v>2300.5500000000002</v>
      </c>
      <c r="F2788">
        <v>2259.1999999999998</v>
      </c>
      <c r="G2788">
        <v>3765</v>
      </c>
      <c r="H2788" s="116"/>
      <c r="I2788" s="116"/>
      <c r="L2788" s="170">
        <v>46108</v>
      </c>
      <c r="M2788" s="116">
        <v>2259.5</v>
      </c>
      <c r="N2788" s="116">
        <v>2330.4</v>
      </c>
      <c r="O2788" s="116">
        <v>2255.1</v>
      </c>
      <c r="P2788" s="116">
        <v>2320.6</v>
      </c>
      <c r="Q2788" s="116">
        <v>2259.5</v>
      </c>
      <c r="R2788">
        <v>61215</v>
      </c>
    </row>
    <row r="2789" spans="1:18" x14ac:dyDescent="0.25">
      <c r="A2789" s="170">
        <v>46111</v>
      </c>
      <c r="B2789">
        <v>2394.85</v>
      </c>
      <c r="C2789">
        <v>2283.4</v>
      </c>
      <c r="D2789">
        <v>2218</v>
      </c>
      <c r="E2789">
        <v>2394.85</v>
      </c>
      <c r="F2789">
        <v>2283.4</v>
      </c>
      <c r="G2789">
        <v>5011</v>
      </c>
      <c r="H2789" s="116"/>
      <c r="I2789" s="116"/>
      <c r="L2789" s="170">
        <v>46111</v>
      </c>
      <c r="M2789" s="116">
        <v>2283</v>
      </c>
      <c r="N2789" s="116">
        <v>2296.9</v>
      </c>
      <c r="O2789" s="116">
        <v>2217.6</v>
      </c>
      <c r="P2789" s="116">
        <v>2259.5</v>
      </c>
      <c r="Q2789" s="116">
        <v>2283</v>
      </c>
      <c r="R2789">
        <v>129602</v>
      </c>
    </row>
    <row r="2790" spans="1:18" x14ac:dyDescent="0.25">
      <c r="A2790" s="170">
        <v>46113</v>
      </c>
      <c r="B2790">
        <v>2402.4499999999998</v>
      </c>
      <c r="C2790">
        <v>2324.3000000000002</v>
      </c>
      <c r="D2790">
        <v>2292.15</v>
      </c>
      <c r="E2790">
        <v>2319.9499999999998</v>
      </c>
      <c r="F2790">
        <v>2324.3000000000002</v>
      </c>
      <c r="G2790">
        <v>5942</v>
      </c>
      <c r="H2790" s="116"/>
      <c r="I2790" s="116"/>
      <c r="L2790" s="170">
        <v>46113</v>
      </c>
      <c r="M2790" s="116">
        <v>2329.1999999999998</v>
      </c>
      <c r="N2790" s="116">
        <v>2401.9</v>
      </c>
      <c r="O2790" s="116">
        <v>2291.1999999999998</v>
      </c>
      <c r="P2790" s="116">
        <v>2305</v>
      </c>
      <c r="Q2790" s="116">
        <v>2329.1999999999998</v>
      </c>
      <c r="R2790">
        <v>70124</v>
      </c>
    </row>
    <row r="2791" spans="1:18" x14ac:dyDescent="0.25">
      <c r="A2791" s="170">
        <v>46114</v>
      </c>
      <c r="B2791">
        <v>2315.4</v>
      </c>
      <c r="C2791">
        <v>2310.4499999999998</v>
      </c>
      <c r="D2791">
        <v>2262</v>
      </c>
      <c r="E2791">
        <v>2299.9499999999998</v>
      </c>
      <c r="F2791">
        <v>2310.4499999999998</v>
      </c>
      <c r="G2791">
        <v>2779</v>
      </c>
      <c r="H2791" s="116"/>
      <c r="I2791" s="116"/>
      <c r="L2791" s="170">
        <v>46114</v>
      </c>
      <c r="M2791" s="116">
        <v>2311.5</v>
      </c>
      <c r="N2791" s="116">
        <v>2339.8000000000002</v>
      </c>
      <c r="O2791" s="116">
        <v>2261.9</v>
      </c>
      <c r="P2791" s="116">
        <v>2293.1</v>
      </c>
      <c r="Q2791" s="116">
        <v>2311.5</v>
      </c>
      <c r="R2791">
        <v>109321</v>
      </c>
    </row>
    <row r="2792" spans="1:18" x14ac:dyDescent="0.25">
      <c r="A2792" s="170">
        <v>46118</v>
      </c>
      <c r="B2792">
        <v>2351.9499999999998</v>
      </c>
      <c r="C2792">
        <v>2346.65</v>
      </c>
      <c r="D2792">
        <v>2267.35</v>
      </c>
      <c r="E2792">
        <v>2324.1</v>
      </c>
      <c r="F2792">
        <v>2346.65</v>
      </c>
      <c r="G2792">
        <v>2207</v>
      </c>
      <c r="H2792" s="116"/>
      <c r="I2792" s="116"/>
      <c r="L2792" s="170">
        <v>46118</v>
      </c>
      <c r="M2792" s="116">
        <v>2346.6</v>
      </c>
      <c r="N2792" s="116">
        <v>2355.9</v>
      </c>
      <c r="O2792" s="116">
        <v>2267.8000000000002</v>
      </c>
      <c r="P2792" s="116">
        <v>2307</v>
      </c>
      <c r="Q2792" s="116">
        <v>2346.6</v>
      </c>
      <c r="R2792">
        <v>37644</v>
      </c>
    </row>
    <row r="2793" spans="1:18" x14ac:dyDescent="0.25">
      <c r="A2793" s="170">
        <v>46119</v>
      </c>
      <c r="B2793">
        <v>2356.1999999999998</v>
      </c>
      <c r="C2793">
        <v>2331.1999999999998</v>
      </c>
      <c r="D2793">
        <v>2311.5500000000002</v>
      </c>
      <c r="E2793">
        <v>2346.9499999999998</v>
      </c>
      <c r="F2793">
        <v>2331.1999999999998</v>
      </c>
      <c r="G2793">
        <v>2567</v>
      </c>
      <c r="H2793" s="116"/>
      <c r="I2793" s="116"/>
      <c r="L2793" s="170">
        <v>46119</v>
      </c>
      <c r="M2793" s="116">
        <v>2333.4</v>
      </c>
      <c r="N2793" s="116">
        <v>2357.9</v>
      </c>
      <c r="O2793" s="116">
        <v>2315.1999999999998</v>
      </c>
      <c r="P2793" s="116">
        <v>2339.9</v>
      </c>
      <c r="Q2793" s="116">
        <v>2333.4</v>
      </c>
      <c r="R2793">
        <v>54934</v>
      </c>
    </row>
    <row r="2794" spans="1:18" x14ac:dyDescent="0.25">
      <c r="A2794" s="170">
        <v>46120</v>
      </c>
      <c r="B2794">
        <v>2397</v>
      </c>
      <c r="C2794">
        <v>2354.75</v>
      </c>
      <c r="D2794">
        <v>2347.85</v>
      </c>
      <c r="E2794">
        <v>2384.9499999999998</v>
      </c>
      <c r="F2794">
        <v>2354.75</v>
      </c>
      <c r="G2794">
        <v>1417</v>
      </c>
      <c r="H2794" s="116"/>
      <c r="I2794" s="116"/>
      <c r="L2794" s="170">
        <v>46120</v>
      </c>
      <c r="M2794" s="116">
        <v>2354.3000000000002</v>
      </c>
      <c r="N2794" s="116">
        <v>2396.9</v>
      </c>
      <c r="O2794" s="116">
        <v>2348</v>
      </c>
      <c r="P2794" s="116">
        <v>2377</v>
      </c>
      <c r="Q2794" s="116">
        <v>2354.3000000000002</v>
      </c>
      <c r="R2794">
        <v>56548</v>
      </c>
    </row>
    <row r="2795" spans="1:18" x14ac:dyDescent="0.25">
      <c r="A2795" s="170">
        <v>46121</v>
      </c>
      <c r="B2795">
        <v>2373.1</v>
      </c>
      <c r="C2795">
        <v>2360.3000000000002</v>
      </c>
      <c r="D2795">
        <v>2350</v>
      </c>
      <c r="E2795">
        <v>2361.9499999999998</v>
      </c>
      <c r="F2795">
        <v>2360.3000000000002</v>
      </c>
      <c r="G2795">
        <v>1346</v>
      </c>
      <c r="H2795" s="116"/>
      <c r="I2795" s="116"/>
      <c r="L2795" s="170">
        <v>46121</v>
      </c>
      <c r="M2795" s="116">
        <v>2359.6999999999998</v>
      </c>
      <c r="N2795" s="116">
        <v>2374.3000000000002</v>
      </c>
      <c r="O2795" s="116">
        <v>2345</v>
      </c>
      <c r="P2795" s="116">
        <v>2354.3000000000002</v>
      </c>
      <c r="Q2795" s="116">
        <v>2359.6999999999998</v>
      </c>
      <c r="R2795">
        <v>23611</v>
      </c>
    </row>
    <row r="2796" spans="1:18" x14ac:dyDescent="0.25">
      <c r="A2796" s="170">
        <v>46122</v>
      </c>
      <c r="B2796">
        <v>2430.3000000000002</v>
      </c>
      <c r="C2796">
        <v>2393.25</v>
      </c>
      <c r="D2796">
        <v>2357.85</v>
      </c>
      <c r="E2796">
        <v>2357.85</v>
      </c>
      <c r="F2796">
        <v>2393.25</v>
      </c>
      <c r="G2796">
        <v>2774</v>
      </c>
      <c r="H2796" s="116"/>
      <c r="I2796" s="116"/>
      <c r="L2796" s="170">
        <v>46122</v>
      </c>
      <c r="M2796" s="116">
        <v>2394</v>
      </c>
      <c r="N2796" s="116">
        <v>2431.8000000000002</v>
      </c>
      <c r="O2796" s="116">
        <v>2357</v>
      </c>
      <c r="P2796" s="116">
        <v>2359.6999999999998</v>
      </c>
      <c r="Q2796" s="116">
        <v>2394</v>
      </c>
      <c r="R2796">
        <v>56237</v>
      </c>
    </row>
    <row r="2797" spans="1:18" x14ac:dyDescent="0.25">
      <c r="A2797" s="170">
        <v>46125</v>
      </c>
      <c r="B2797">
        <v>2468.15</v>
      </c>
      <c r="C2797">
        <v>2409.85</v>
      </c>
      <c r="D2797">
        <v>2340</v>
      </c>
      <c r="E2797">
        <v>2389.8000000000002</v>
      </c>
      <c r="F2797">
        <v>2409.85</v>
      </c>
      <c r="G2797">
        <v>2517</v>
      </c>
      <c r="H2797" s="116"/>
      <c r="I2797" s="116"/>
      <c r="L2797" s="170">
        <v>46125</v>
      </c>
      <c r="M2797" s="116">
        <v>2414.1999999999998</v>
      </c>
      <c r="N2797" s="116">
        <v>2468.8000000000002</v>
      </c>
      <c r="O2797" s="116">
        <v>2341.1999999999998</v>
      </c>
      <c r="P2797" s="116">
        <v>2370.1</v>
      </c>
      <c r="Q2797" s="116">
        <v>2414.1999999999998</v>
      </c>
      <c r="R2797">
        <v>63740</v>
      </c>
    </row>
    <row r="2798" spans="1:18" x14ac:dyDescent="0.25">
      <c r="A2798" s="170">
        <v>46127</v>
      </c>
      <c r="B2798">
        <v>2433.85</v>
      </c>
      <c r="C2798">
        <v>2406.25</v>
      </c>
      <c r="D2798">
        <v>2391</v>
      </c>
      <c r="E2798">
        <v>2426.25</v>
      </c>
      <c r="F2798">
        <v>2406.25</v>
      </c>
      <c r="G2798">
        <v>3500</v>
      </c>
      <c r="H2798" s="116"/>
      <c r="I2798" s="116"/>
      <c r="L2798" s="170">
        <v>46127</v>
      </c>
      <c r="M2798" s="116">
        <v>2405.1999999999998</v>
      </c>
      <c r="N2798" s="116">
        <v>2439.3000000000002</v>
      </c>
      <c r="O2798" s="116">
        <v>2391</v>
      </c>
      <c r="P2798" s="116">
        <v>2430</v>
      </c>
      <c r="Q2798" s="116">
        <v>2405.1999999999998</v>
      </c>
      <c r="R2798">
        <v>61085</v>
      </c>
    </row>
    <row r="2799" spans="1:18" x14ac:dyDescent="0.25">
      <c r="A2799" s="170">
        <v>46128</v>
      </c>
      <c r="B2799">
        <v>2442.4</v>
      </c>
      <c r="C2799">
        <v>2419.1</v>
      </c>
      <c r="D2799">
        <v>2395</v>
      </c>
      <c r="E2799">
        <v>2419.9499999999998</v>
      </c>
      <c r="F2799">
        <v>2419.1</v>
      </c>
      <c r="G2799">
        <v>2376</v>
      </c>
      <c r="H2799" s="116"/>
      <c r="I2799" s="116"/>
      <c r="L2799" s="170">
        <v>46128</v>
      </c>
      <c r="M2799" s="116">
        <v>2419.8000000000002</v>
      </c>
      <c r="N2799" s="116">
        <v>2441.6</v>
      </c>
      <c r="O2799" s="116">
        <v>2391.6</v>
      </c>
      <c r="P2799" s="116">
        <v>2417.1999999999998</v>
      </c>
      <c r="Q2799" s="116">
        <v>2419.8000000000002</v>
      </c>
      <c r="R2799">
        <v>34264</v>
      </c>
    </row>
    <row r="2800" spans="1:18" x14ac:dyDescent="0.25">
      <c r="A2800" s="170">
        <v>46129</v>
      </c>
      <c r="B2800">
        <v>2465</v>
      </c>
      <c r="C2800">
        <v>2451.8000000000002</v>
      </c>
      <c r="D2800">
        <v>2418.5</v>
      </c>
      <c r="E2800">
        <v>2443.9499999999998</v>
      </c>
      <c r="F2800">
        <v>2451.8000000000002</v>
      </c>
      <c r="G2800">
        <v>1739</v>
      </c>
      <c r="H2800" s="116"/>
      <c r="I2800" s="116"/>
      <c r="L2800" s="170">
        <v>46129</v>
      </c>
      <c r="M2800" s="116">
        <v>2453.9</v>
      </c>
      <c r="N2800" s="116">
        <v>2465.4</v>
      </c>
      <c r="O2800" s="116">
        <v>2410</v>
      </c>
      <c r="P2800" s="116">
        <v>2419.8000000000002</v>
      </c>
      <c r="Q2800" s="116">
        <v>2453.9</v>
      </c>
      <c r="R2800">
        <v>42722</v>
      </c>
    </row>
    <row r="2801" spans="1:18" x14ac:dyDescent="0.25">
      <c r="A2801" s="170">
        <v>46132</v>
      </c>
      <c r="B2801">
        <v>2486.9499999999998</v>
      </c>
      <c r="C2801">
        <v>2432.1</v>
      </c>
      <c r="D2801">
        <v>2415</v>
      </c>
      <c r="E2801">
        <v>2486.9499999999998</v>
      </c>
      <c r="F2801">
        <v>2432.1</v>
      </c>
      <c r="G2801">
        <v>1067</v>
      </c>
      <c r="H2801" s="116"/>
      <c r="I2801" s="116"/>
      <c r="L2801" s="170">
        <v>46132</v>
      </c>
      <c r="M2801" s="116">
        <v>2429.9</v>
      </c>
      <c r="N2801" s="116">
        <v>2466.1</v>
      </c>
      <c r="O2801" s="116">
        <v>2410.9</v>
      </c>
      <c r="P2801" s="116">
        <v>2465</v>
      </c>
      <c r="Q2801" s="116">
        <v>2429.9</v>
      </c>
      <c r="R2801">
        <v>35944</v>
      </c>
    </row>
    <row r="2802" spans="1:18" x14ac:dyDescent="0.25">
      <c r="A2802" s="170">
        <v>46133</v>
      </c>
      <c r="B2802">
        <v>2449.6</v>
      </c>
      <c r="C2802">
        <v>2426.9499999999998</v>
      </c>
      <c r="D2802">
        <v>2419.6999999999998</v>
      </c>
      <c r="E2802">
        <v>2432.15</v>
      </c>
      <c r="F2802">
        <v>2426.9499999999998</v>
      </c>
      <c r="G2802">
        <v>1461</v>
      </c>
      <c r="H2802" s="116"/>
      <c r="I2802" s="116"/>
      <c r="L2802" s="170">
        <v>46133</v>
      </c>
      <c r="M2802" s="116">
        <v>2427.4</v>
      </c>
      <c r="N2802" s="116">
        <v>2450</v>
      </c>
      <c r="O2802" s="116">
        <v>2420.1</v>
      </c>
      <c r="P2802" s="116">
        <v>2429.9</v>
      </c>
      <c r="Q2802" s="116">
        <v>2427.4</v>
      </c>
      <c r="R2802">
        <v>19344</v>
      </c>
    </row>
    <row r="2803" spans="1:18" x14ac:dyDescent="0.25">
      <c r="A2803" s="170">
        <v>46134</v>
      </c>
      <c r="B2803">
        <v>2494</v>
      </c>
      <c r="C2803">
        <v>2462.75</v>
      </c>
      <c r="D2803">
        <v>2399.6</v>
      </c>
      <c r="E2803">
        <v>2424.6999999999998</v>
      </c>
      <c r="F2803">
        <v>2462.75</v>
      </c>
      <c r="G2803">
        <v>3341</v>
      </c>
      <c r="H2803" s="116"/>
      <c r="I2803" s="116"/>
      <c r="L2803" s="170">
        <v>46134</v>
      </c>
      <c r="M2803" s="116">
        <v>2465.6</v>
      </c>
      <c r="N2803" s="116">
        <v>2496</v>
      </c>
      <c r="O2803" s="116">
        <v>2397.1</v>
      </c>
      <c r="P2803" s="116">
        <v>2420.1999999999998</v>
      </c>
      <c r="Q2803" s="116">
        <v>2465.6</v>
      </c>
      <c r="R2803">
        <v>58615</v>
      </c>
    </row>
    <row r="2804" spans="1:18" x14ac:dyDescent="0.25">
      <c r="A2804" s="170">
        <v>46135</v>
      </c>
      <c r="B2804">
        <v>2525.8000000000002</v>
      </c>
      <c r="C2804">
        <v>2491.4</v>
      </c>
      <c r="D2804">
        <v>2459.85</v>
      </c>
      <c r="E2804">
        <v>2460.9499999999998</v>
      </c>
      <c r="F2804">
        <v>2491.4</v>
      </c>
      <c r="G2804">
        <v>3420</v>
      </c>
      <c r="H2804" s="116"/>
      <c r="I2804" s="116"/>
      <c r="L2804" s="170">
        <v>46135</v>
      </c>
      <c r="M2804" s="116">
        <v>2494.6</v>
      </c>
      <c r="N2804" s="116">
        <v>2529.9</v>
      </c>
      <c r="O2804" s="116">
        <v>2456</v>
      </c>
      <c r="P2804" s="116">
        <v>2480</v>
      </c>
      <c r="Q2804" s="116">
        <v>2494.6</v>
      </c>
      <c r="R2804">
        <v>69999</v>
      </c>
    </row>
    <row r="2805" spans="1:18" x14ac:dyDescent="0.25">
      <c r="A2805" s="170">
        <v>46136</v>
      </c>
      <c r="B2805">
        <v>2508.75</v>
      </c>
      <c r="C2805">
        <v>2473.0500000000002</v>
      </c>
      <c r="D2805">
        <v>2462.5</v>
      </c>
      <c r="E2805">
        <v>2497.15</v>
      </c>
      <c r="F2805">
        <v>2473.0500000000002</v>
      </c>
      <c r="G2805">
        <v>1596</v>
      </c>
      <c r="H2805" s="116"/>
      <c r="I2805" s="116"/>
      <c r="L2805" s="170">
        <v>46136</v>
      </c>
      <c r="M2805" s="116">
        <v>2472</v>
      </c>
      <c r="N2805" s="116">
        <v>2509.6</v>
      </c>
      <c r="O2805" s="116">
        <v>2459.8000000000002</v>
      </c>
      <c r="P2805" s="116">
        <v>2496.4</v>
      </c>
      <c r="Q2805" s="116">
        <v>2472</v>
      </c>
      <c r="R2805">
        <v>56508</v>
      </c>
    </row>
    <row r="2806" spans="1:18" x14ac:dyDescent="0.25">
      <c r="A2806" s="170">
        <v>46139</v>
      </c>
      <c r="B2806">
        <v>2498.65</v>
      </c>
      <c r="C2806">
        <v>2445.1</v>
      </c>
      <c r="D2806">
        <v>2426.5500000000002</v>
      </c>
      <c r="E2806">
        <v>2470</v>
      </c>
      <c r="F2806">
        <v>2445.1</v>
      </c>
      <c r="G2806">
        <v>5808</v>
      </c>
      <c r="H2806" s="116"/>
      <c r="I2806" s="116"/>
      <c r="L2806" s="170">
        <v>46139</v>
      </c>
      <c r="M2806" s="116">
        <v>2439.1999999999998</v>
      </c>
      <c r="N2806" s="116">
        <v>2495</v>
      </c>
      <c r="O2806" s="116">
        <v>2427</v>
      </c>
      <c r="P2806" s="116">
        <v>2472</v>
      </c>
      <c r="Q2806" s="116">
        <v>2439.1999999999998</v>
      </c>
      <c r="R2806">
        <v>121838</v>
      </c>
    </row>
    <row r="2807" spans="1:18" x14ac:dyDescent="0.25">
      <c r="A2807" s="170">
        <v>46140</v>
      </c>
      <c r="B2807">
        <v>2459.35</v>
      </c>
      <c r="C2807">
        <v>2410.6</v>
      </c>
      <c r="D2807">
        <v>2405.15</v>
      </c>
      <c r="E2807">
        <v>2441.5500000000002</v>
      </c>
      <c r="F2807">
        <v>2410.6</v>
      </c>
      <c r="G2807">
        <v>2509</v>
      </c>
      <c r="H2807" s="116"/>
      <c r="I2807" s="116"/>
      <c r="L2807" s="170">
        <v>46140</v>
      </c>
      <c r="M2807" s="116">
        <v>2410.1999999999998</v>
      </c>
      <c r="N2807" s="116">
        <v>2466.3000000000002</v>
      </c>
      <c r="O2807" s="116">
        <v>2404.1999999999998</v>
      </c>
      <c r="P2807" s="116">
        <v>2450</v>
      </c>
      <c r="Q2807" s="116">
        <v>2410.1999999999998</v>
      </c>
      <c r="R2807">
        <v>53102</v>
      </c>
    </row>
    <row r="2808" spans="1:18" x14ac:dyDescent="0.25">
      <c r="A2808" s="170">
        <v>46141</v>
      </c>
      <c r="B2808">
        <v>2425.3000000000002</v>
      </c>
      <c r="C2808">
        <v>2371</v>
      </c>
      <c r="D2808">
        <v>2359.6</v>
      </c>
      <c r="E2808">
        <v>2425.0500000000002</v>
      </c>
      <c r="F2808">
        <v>2371</v>
      </c>
      <c r="G2808">
        <v>19321</v>
      </c>
      <c r="H2808" s="116"/>
      <c r="I2808" s="116"/>
      <c r="L2808" s="170">
        <v>46141</v>
      </c>
      <c r="M2808" s="116">
        <v>2366.6</v>
      </c>
      <c r="N2808" s="116">
        <v>2428.5</v>
      </c>
      <c r="O2808" s="116">
        <v>2359.5</v>
      </c>
      <c r="P2808" s="116">
        <v>2415</v>
      </c>
      <c r="Q2808" s="116">
        <v>2366.6</v>
      </c>
      <c r="R2808">
        <v>161302</v>
      </c>
    </row>
    <row r="2809" spans="1:18" x14ac:dyDescent="0.25">
      <c r="A2809" s="170">
        <v>46142</v>
      </c>
      <c r="B2809">
        <v>2371.0500000000002</v>
      </c>
      <c r="C2809">
        <v>2335.6</v>
      </c>
      <c r="D2809">
        <v>2319.0500000000002</v>
      </c>
      <c r="E2809">
        <v>2371</v>
      </c>
      <c r="F2809">
        <v>2335.6</v>
      </c>
      <c r="G2809">
        <v>3594</v>
      </c>
      <c r="H2809" s="116"/>
      <c r="I2809" s="116"/>
      <c r="L2809" s="170">
        <v>46142</v>
      </c>
      <c r="M2809" s="116">
        <v>2336.4</v>
      </c>
      <c r="N2809" s="116">
        <v>2370.8000000000002</v>
      </c>
      <c r="O2809" s="116">
        <v>2319.4</v>
      </c>
      <c r="P2809" s="116">
        <v>2367.1999999999998</v>
      </c>
      <c r="Q2809" s="116">
        <v>2336.4</v>
      </c>
      <c r="R2809">
        <v>113696</v>
      </c>
    </row>
    <row r="2810" spans="1:18" x14ac:dyDescent="0.25">
      <c r="A2810" s="170">
        <v>46146</v>
      </c>
      <c r="B2810">
        <v>2469.65</v>
      </c>
      <c r="C2810">
        <v>2351.1</v>
      </c>
      <c r="D2810">
        <v>2325</v>
      </c>
      <c r="E2810">
        <v>2469.65</v>
      </c>
      <c r="F2810">
        <v>2351.1</v>
      </c>
      <c r="G2810">
        <v>17977</v>
      </c>
      <c r="H2810" s="116"/>
      <c r="I2810" s="116"/>
      <c r="L2810" s="170">
        <v>46146</v>
      </c>
      <c r="M2810" s="116">
        <v>2349.9</v>
      </c>
      <c r="N2810" s="116">
        <v>2387.4</v>
      </c>
      <c r="O2810" s="116">
        <v>2322.5</v>
      </c>
      <c r="P2810" s="116">
        <v>2342</v>
      </c>
      <c r="Q2810" s="116">
        <v>2349.9</v>
      </c>
      <c r="R2810">
        <v>114106</v>
      </c>
    </row>
    <row r="2811" spans="1:18" x14ac:dyDescent="0.25">
      <c r="A2811" s="170">
        <v>46147</v>
      </c>
      <c r="B2811">
        <v>2399</v>
      </c>
      <c r="C2811">
        <v>2362.25</v>
      </c>
      <c r="D2811">
        <v>2351.1</v>
      </c>
      <c r="E2811">
        <v>2351.1</v>
      </c>
      <c r="F2811">
        <v>2362.25</v>
      </c>
      <c r="G2811">
        <v>6396</v>
      </c>
      <c r="H2811" s="116"/>
      <c r="I2811" s="116"/>
      <c r="L2811" s="170">
        <v>46147</v>
      </c>
      <c r="M2811" s="116">
        <v>2363.6999999999998</v>
      </c>
      <c r="N2811" s="116">
        <v>2399</v>
      </c>
      <c r="O2811" s="116">
        <v>2335</v>
      </c>
      <c r="P2811" s="116">
        <v>2335</v>
      </c>
      <c r="Q2811" s="116">
        <v>2363.6999999999998</v>
      </c>
      <c r="R2811">
        <v>103668</v>
      </c>
    </row>
    <row r="2812" spans="1:18" x14ac:dyDescent="0.25">
      <c r="A2812" s="170">
        <v>46148</v>
      </c>
      <c r="B2812">
        <v>2449</v>
      </c>
      <c r="C2812">
        <v>2424.3000000000002</v>
      </c>
      <c r="D2812">
        <v>2378.25</v>
      </c>
      <c r="E2812">
        <v>2387.9499999999998</v>
      </c>
      <c r="F2812">
        <v>2424.3000000000002</v>
      </c>
      <c r="G2812">
        <v>14089</v>
      </c>
      <c r="H2812" s="116"/>
      <c r="I2812" s="116"/>
      <c r="L2812" s="170">
        <v>46148</v>
      </c>
      <c r="M2812" s="116">
        <v>2423.3000000000002</v>
      </c>
      <c r="N2812" s="116">
        <v>2450</v>
      </c>
      <c r="O2812" s="116">
        <v>2365</v>
      </c>
      <c r="P2812" s="116">
        <v>2380</v>
      </c>
      <c r="Q2812" s="116">
        <v>2423.3000000000002</v>
      </c>
      <c r="R2812">
        <v>70074</v>
      </c>
    </row>
    <row r="2813" spans="1:18" x14ac:dyDescent="0.25">
      <c r="A2813" s="170">
        <v>46149</v>
      </c>
      <c r="B2813">
        <v>2488.4</v>
      </c>
      <c r="C2813">
        <v>2478.9499999999998</v>
      </c>
      <c r="D2813">
        <v>2432.3000000000002</v>
      </c>
      <c r="E2813">
        <v>2449.1999999999998</v>
      </c>
      <c r="F2813">
        <v>2478.9499999999998</v>
      </c>
      <c r="G2813">
        <v>17190</v>
      </c>
      <c r="H2813" s="116"/>
      <c r="I2813" s="116"/>
      <c r="L2813" s="170">
        <v>46149</v>
      </c>
      <c r="M2813" s="116">
        <v>2481.3000000000002</v>
      </c>
      <c r="N2813" s="116">
        <v>2490</v>
      </c>
      <c r="O2813" s="116">
        <v>2423.5</v>
      </c>
      <c r="P2813" s="116">
        <v>2423.5</v>
      </c>
      <c r="Q2813" s="116">
        <v>2481.3000000000002</v>
      </c>
      <c r="R2813">
        <v>129747</v>
      </c>
    </row>
    <row r="2814" spans="1:18" x14ac:dyDescent="0.25">
      <c r="A2814" s="170">
        <v>46150</v>
      </c>
      <c r="B2814">
        <v>2505</v>
      </c>
      <c r="C2814">
        <v>2484.6999999999998</v>
      </c>
      <c r="D2814">
        <v>2440</v>
      </c>
      <c r="E2814">
        <v>2482</v>
      </c>
      <c r="F2814">
        <v>2484.6999999999998</v>
      </c>
      <c r="G2814">
        <v>50656</v>
      </c>
      <c r="H2814" s="116"/>
      <c r="I2814" s="116"/>
      <c r="L2814" s="170">
        <v>46150</v>
      </c>
      <c r="M2814" s="116">
        <v>2476.9</v>
      </c>
      <c r="N2814" s="116">
        <v>2504.9</v>
      </c>
      <c r="O2814" s="116">
        <v>2441</v>
      </c>
      <c r="P2814" s="116">
        <v>2481.3000000000002</v>
      </c>
      <c r="Q2814" s="116">
        <v>2476.9</v>
      </c>
      <c r="R2814">
        <v>68013</v>
      </c>
    </row>
    <row r="2815" spans="1:18" x14ac:dyDescent="0.25">
      <c r="A2815" s="170">
        <v>46153</v>
      </c>
      <c r="B2815">
        <v>2484.35</v>
      </c>
      <c r="C2815">
        <v>2435.9499999999998</v>
      </c>
      <c r="D2815">
        <v>2428.9499999999998</v>
      </c>
      <c r="E2815">
        <v>2484.35</v>
      </c>
      <c r="F2815">
        <v>2435.9499999999998</v>
      </c>
      <c r="G2815">
        <v>4356</v>
      </c>
      <c r="H2815" s="116"/>
      <c r="I2815" s="116"/>
      <c r="L2815" s="170">
        <v>46153</v>
      </c>
      <c r="M2815" s="116">
        <v>2436.1999999999998</v>
      </c>
      <c r="N2815" s="116">
        <v>2476.9</v>
      </c>
      <c r="O2815" s="116">
        <v>2430.5</v>
      </c>
      <c r="P2815" s="116">
        <v>2476.9</v>
      </c>
      <c r="Q2815" s="116">
        <v>2436.1999999999998</v>
      </c>
      <c r="R2815">
        <v>31876</v>
      </c>
    </row>
    <row r="2816" spans="1:18" x14ac:dyDescent="0.25">
      <c r="A2816" s="170">
        <v>46154</v>
      </c>
      <c r="B2816">
        <v>2491</v>
      </c>
      <c r="C2816">
        <v>2448.1</v>
      </c>
      <c r="D2816">
        <v>2412</v>
      </c>
      <c r="E2816">
        <v>2436</v>
      </c>
      <c r="F2816">
        <v>2448.1</v>
      </c>
      <c r="G2816">
        <v>6858</v>
      </c>
      <c r="H2816" s="116"/>
      <c r="I2816" s="116"/>
      <c r="L2816" s="170">
        <v>46154</v>
      </c>
      <c r="M2816" s="116">
        <v>2448.8000000000002</v>
      </c>
      <c r="N2816" s="116">
        <v>2493.6999999999998</v>
      </c>
      <c r="O2816" s="116">
        <v>2407.4</v>
      </c>
      <c r="P2816" s="116">
        <v>2436.1999999999998</v>
      </c>
      <c r="Q2816" s="116">
        <v>2448.8000000000002</v>
      </c>
      <c r="R2816">
        <v>84111</v>
      </c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2026-06-15T21:05:46Z</dcterms:modified>
  <cp:category/>
  <cp:contentStatus/>
</cp:coreProperties>
</file>